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X:\DEBT_BACKOFFICE\Debt_Factsheets\2025 - Fortnightly Portfolio\7. 15 July 2025\"/>
    </mc:Choice>
  </mc:AlternateContent>
  <xr:revisionPtr revIDLastSave="0" documentId="13_ncr:1_{18FD6215-43E8-4E6C-B5EA-CC8363B02753}" xr6:coauthVersionLast="47" xr6:coauthVersionMax="47" xr10:uidLastSave="{00000000-0000-0000-0000-000000000000}"/>
  <bookViews>
    <workbookView xWindow="-120" yWindow="-120" windowWidth="24240" windowHeight="13020" tabRatio="708" activeTab="3" xr2:uid="{C80173FC-A43D-4439-A038-0A1A68244E30}"/>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3" i="3" l="1"/>
  <c r="G122" i="3"/>
  <c r="F123" i="3"/>
  <c r="H171" i="7"/>
  <c r="H170" i="7"/>
  <c r="H169" i="7"/>
  <c r="H168" i="7"/>
  <c r="G42" i="3"/>
  <c r="F42" i="3"/>
  <c r="F99" i="6"/>
  <c r="F100" i="6"/>
  <c r="F151" i="5"/>
  <c r="F105" i="4"/>
  <c r="J140" i="9" l="1"/>
  <c r="F13" i="9"/>
  <c r="F30" i="9" s="1"/>
  <c r="F47" i="9" s="1"/>
  <c r="G115" i="8"/>
  <c r="I177" i="7"/>
  <c r="F177" i="7"/>
  <c r="F139" i="7"/>
  <c r="F138" i="7"/>
  <c r="F137" i="7"/>
  <c r="F136" i="7"/>
  <c r="F8" i="7"/>
  <c r="F25" i="7" s="1"/>
  <c r="F141" i="7" s="1"/>
  <c r="J149" i="6"/>
  <c r="I149" i="6"/>
  <c r="I148" i="6"/>
  <c r="J148" i="6" s="1"/>
  <c r="I147" i="6"/>
  <c r="J147" i="6" s="1"/>
  <c r="G147" i="6"/>
  <c r="I146" i="6"/>
  <c r="J146" i="6" s="1"/>
  <c r="I179" i="5"/>
  <c r="F179" i="5"/>
  <c r="F8" i="5"/>
  <c r="F25" i="5" s="1"/>
  <c r="I157" i="4"/>
  <c r="F157" i="4"/>
  <c r="I152" i="4"/>
  <c r="J152" i="4" s="1"/>
  <c r="I151" i="4"/>
  <c r="J151" i="4" s="1"/>
  <c r="I150" i="4"/>
  <c r="J150" i="4" s="1"/>
  <c r="F8" i="4"/>
  <c r="F25" i="4" s="1"/>
  <c r="F104" i="4" s="1"/>
  <c r="G88" i="9"/>
  <c r="F88" i="9"/>
  <c r="F98" i="9" s="1"/>
  <c r="G76" i="8"/>
  <c r="F76" i="8"/>
  <c r="G126" i="7"/>
  <c r="F126" i="7"/>
  <c r="G90" i="6"/>
  <c r="F90" i="6"/>
  <c r="G141" i="5"/>
  <c r="F141" i="5"/>
  <c r="G95" i="4"/>
  <c r="F95" i="4"/>
  <c r="G118" i="3"/>
  <c r="F118" i="3"/>
  <c r="F129" i="3" s="1"/>
  <c r="G97" i="2"/>
  <c r="F97" i="2"/>
  <c r="G101" i="1"/>
  <c r="F101" i="1"/>
  <c r="G128" i="3" l="1"/>
  <c r="F150" i="5"/>
  <c r="G150" i="5" s="1"/>
  <c r="G98" i="9"/>
  <c r="G13" i="9"/>
  <c r="G30" i="9" s="1"/>
  <c r="G47" i="9" s="1"/>
  <c r="F142" i="7"/>
  <c r="G141" i="7" s="1"/>
  <c r="G142" i="7" s="1"/>
  <c r="G129" i="3" l="1"/>
</calcChain>
</file>

<file path=xl/sharedStrings.xml><?xml version="1.0" encoding="utf-8"?>
<sst xmlns="http://schemas.openxmlformats.org/spreadsheetml/2006/main" count="3326" uniqueCount="753">
  <si>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</si>
  <si>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</si>
  <si>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</si>
  <si>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</si>
  <si>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</si>
  <si>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</si>
  <si>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</si>
  <si>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</si>
  <si>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</si>
  <si>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</si>
  <si>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</si>
  <si>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</si>
  <si>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</si>
  <si>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</si>
  <si>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</si>
  <si>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</si>
  <si>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</si>
  <si>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</si>
  <si>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</si>
  <si>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</si>
  <si>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</si>
  <si>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</si>
  <si>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</si>
  <si>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</si>
  <si>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</si>
  <si>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</si>
  <si>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ICRA AAA</t>
  </si>
  <si>
    <t>INE557F08FR8</t>
  </si>
  <si>
    <t>National Housing Bank - 7.22% - 23/07/2026**</t>
  </si>
  <si>
    <t>INE115A07QJ2</t>
  </si>
  <si>
    <t>LIC Housing Finance Ltd - 7.7% - 16/05/2028**</t>
  </si>
  <si>
    <t>INE261F08EJ7</t>
  </si>
  <si>
    <t>National Bank for Agriculture &amp; Rural Development - 7.64% - 06/12/2029**</t>
  </si>
  <si>
    <t>INE040A08930</t>
  </si>
  <si>
    <t>HDFC Bank Ltd (Prev HDFC Ltd) - 7.65% - 25/05/2033**</t>
  </si>
  <si>
    <t>INE261F08EH1</t>
  </si>
  <si>
    <t>National Bank for Agriculture &amp; Rural Development - 7.62% - 10/05/2029**</t>
  </si>
  <si>
    <t>INE020B08EK4</t>
  </si>
  <si>
    <t>REC LTD - 7.46% - 30/06/2028**</t>
  </si>
  <si>
    <t>INE053F08304</t>
  </si>
  <si>
    <t>Indian Railway Finance Corporation Ltd - 7.23% - 15/10/2026**</t>
  </si>
  <si>
    <t>INE020B08EL2</t>
  </si>
  <si>
    <t>REC LTD - 7.44% - 30/04/2026**</t>
  </si>
  <si>
    <t>INE134E08MX3</t>
  </si>
  <si>
    <t>Power Finance Corporation Ltd - 7.6% - 13/04/2029**</t>
  </si>
  <si>
    <t>INE242A08544</t>
  </si>
  <si>
    <t>Indian Oil Corporation Ltd - 7.44% - 25/11/2027**</t>
  </si>
  <si>
    <t>INE296A07SV1</t>
  </si>
  <si>
    <t>Bajaj Finance Ltd - 7.82% - 31/01/2034</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</si>
  <si>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</si>
  <si>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</si>
  <si>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</si>
  <si>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</si>
  <si>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</si>
  <si>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</si>
  <si>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</si>
  <si>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</si>
  <si>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INE134E08IO0</t>
  </si>
  <si>
    <t>Power Finance Corporation Ltd - 7.23% - 05/01/2027**</t>
  </si>
  <si>
    <t>INE752E08783</t>
  </si>
  <si>
    <t>Power Grid Corporation of India Ltd - 6.94% - 15/04/2035**</t>
  </si>
  <si>
    <t>INE0KUG08084</t>
  </si>
  <si>
    <t>National Bank for Financing Infrastructure and Development - 7.04% - 07/04/2035**</t>
  </si>
  <si>
    <t>INE756I07FG5</t>
  </si>
  <si>
    <t>HDB Financial Services Ltd - 7.4091% - 05/06/2028**</t>
  </si>
  <si>
    <t>INE134E08NS1</t>
  </si>
  <si>
    <t>Power Finance Corporation Ltd - 6.61% - 15/07/2028**</t>
  </si>
  <si>
    <t>INE115A07MW4</t>
  </si>
  <si>
    <t>LIC Housing Finance Ltd - 7.95% - 29/01/2028**</t>
  </si>
  <si>
    <t>INE756I07EX3</t>
  </si>
  <si>
    <t>HDB Financial Services Ltd - 8.2378% - 06/04/2027**</t>
  </si>
  <si>
    <t>INE556F08KH1</t>
  </si>
  <si>
    <t>Small Industries Development Bank of India - 7.43% - 31/08/2026**</t>
  </si>
  <si>
    <t>INE296A07SU3</t>
  </si>
  <si>
    <t>Bajaj Finance Ltd - 7.87% - 08/02/2034**</t>
  </si>
  <si>
    <t>INE556F08KP4</t>
  </si>
  <si>
    <t>Small Industries Development Bank of India - 7.68% - 10/08/2027**</t>
  </si>
  <si>
    <t>(b) Privately Placed / Unlisted</t>
  </si>
  <si>
    <t>(c) Govt Security</t>
  </si>
  <si>
    <t>IN0020240126</t>
  </si>
  <si>
    <t>6.79% Central Government Securities 07/10/2034</t>
  </si>
  <si>
    <t>Sovereign</t>
  </si>
  <si>
    <t>IN0020230135</t>
  </si>
  <si>
    <t>7.32% Government Securities-13/11/2030</t>
  </si>
  <si>
    <t>IN3120240400</t>
  </si>
  <si>
    <t>6.96% Tamil Nadu State Government Securities - 04/12/2028</t>
  </si>
  <si>
    <t>IN0020230051</t>
  </si>
  <si>
    <t>7.30% Government Securities - 19/06/2053</t>
  </si>
  <si>
    <t>IN0020230077</t>
  </si>
  <si>
    <t>7.18%  Government Securities - 24/07/2037</t>
  </si>
  <si>
    <t>IN0020230101</t>
  </si>
  <si>
    <t>7.37% Government Securities-23/10/2028</t>
  </si>
  <si>
    <t>IN0020250026</t>
  </si>
  <si>
    <t>6.33% Central Government Securities 05/05/2035</t>
  </si>
  <si>
    <t>IN0020250018</t>
  </si>
  <si>
    <t>6.90% Central Government Securities 15/04/2065</t>
  </si>
  <si>
    <t>(d) Securitized Debt Instruments</t>
  </si>
  <si>
    <t>Total for Debt Instruments</t>
  </si>
  <si>
    <t>C) Money Market Instruments</t>
  </si>
  <si>
    <t>(a) Certificate of Deposits</t>
  </si>
  <si>
    <t>INE028A16HY6</t>
  </si>
  <si>
    <t>Bank of Baroda - 12/12/2025**</t>
  </si>
  <si>
    <t>IND A1+</t>
  </si>
  <si>
    <t>INE692A16II0</t>
  </si>
  <si>
    <t>Union Bank of India - 18/12/2025**</t>
  </si>
  <si>
    <t>ICRA A1+</t>
  </si>
  <si>
    <t>INE562A16NQ8</t>
  </si>
  <si>
    <t>Indian Bank - 04/12/2025**</t>
  </si>
  <si>
    <t>CRISIL A1+</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</si>
  <si>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</si>
  <si>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</si>
  <si>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</si>
  <si>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</si>
  <si>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</si>
  <si>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</si>
  <si>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</si>
  <si>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</si>
  <si>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</si>
  <si>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</si>
  <si>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</si>
  <si>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</si>
  <si>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</si>
  <si>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</si>
  <si>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</si>
  <si>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</si>
  <si>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</si>
  <si>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</si>
  <si>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</si>
  <si>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</si>
  <si>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</si>
  <si>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</si>
  <si>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</si>
  <si>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</si>
  <si>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</si>
  <si>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</si>
  <si>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</si>
  <si>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</si>
  <si>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</si>
  <si>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</si>
  <si>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INE031A08962</t>
  </si>
  <si>
    <t>Housing and Urban Development Corp. Ltd - 6.9% - 23/04/2032**</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</si>
  <si>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</si>
  <si>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</si>
  <si>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</si>
  <si>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</si>
  <si>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</si>
  <si>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</si>
  <si>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</si>
  <si>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</si>
  <si>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</si>
  <si>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</si>
  <si>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INE261F08EM1</t>
  </si>
  <si>
    <t>National Bank for Agriculture &amp; Rural Development - 7.53% - 24/03/2028</t>
  </si>
  <si>
    <t>INE261F08EO7</t>
  </si>
  <si>
    <t>National Bank for Agriculture &amp; Rural Development - 7.48% - 15/09/2028**</t>
  </si>
  <si>
    <t>INE0KUG08035</t>
  </si>
  <si>
    <t>National Bank for Financing Infrastructure and Development - 7.43% - 04/07/2034**</t>
  </si>
  <si>
    <t>INE261F08EF5</t>
  </si>
  <si>
    <t>National Bank for Agriculture &amp; Rural Development - 7.8% - 15/03/2027**</t>
  </si>
  <si>
    <t>INE053F08338</t>
  </si>
  <si>
    <t>Indian Railway Finance Corporation Ltd - 7.68% - 24/11/2026</t>
  </si>
  <si>
    <t>IN0020240027</t>
  </si>
  <si>
    <t>7.23% Central Government Securities 15/04/2039</t>
  </si>
  <si>
    <t>IN0020240050</t>
  </si>
  <si>
    <t>7.04% Central Government Securities 03/06/2029</t>
  </si>
  <si>
    <t>INE562A16ON3</t>
  </si>
  <si>
    <t>Indian Bank - 25/03/2026**</t>
  </si>
  <si>
    <t>INE514E16CJ9</t>
  </si>
  <si>
    <t>Export Import Bank of India - 04/03/2026**</t>
  </si>
  <si>
    <t>INE040A16GE5</t>
  </si>
  <si>
    <t>HDFC Bank Ltd - 04/02/2026**</t>
  </si>
  <si>
    <t>INE514E16CK7</t>
  </si>
  <si>
    <t>Export Import Bank of India - 20/03/2026**</t>
  </si>
  <si>
    <t>Sundaram Money Market Fund</t>
  </si>
  <si>
    <t>IN3120160053</t>
  </si>
  <si>
    <t>8.07% Tamil Nadu State Development Loan - 15/06/2026</t>
  </si>
  <si>
    <t>IN3120150187</t>
  </si>
  <si>
    <t>8.38% Tamil Nadu State Development Loan - 27/01/2026</t>
  </si>
  <si>
    <t>IN1520160038</t>
  </si>
  <si>
    <t>7.98% Gujarat State Development Loan - 11/05/2026</t>
  </si>
  <si>
    <t>INE238AD6AN0</t>
  </si>
  <si>
    <t>Axis Bank Ltd - 04/03/2026</t>
  </si>
  <si>
    <t>INE160A16RK5</t>
  </si>
  <si>
    <t>Punjab National Bank - 18/03/2026**</t>
  </si>
  <si>
    <t>INE040A16GS5</t>
  </si>
  <si>
    <t>HDFC Bank Ltd - 24/03/2026**</t>
  </si>
  <si>
    <t>INE160A16QM3</t>
  </si>
  <si>
    <t>Punjab National Bank - 05/12/2025</t>
  </si>
  <si>
    <t>INE562A16OG7</t>
  </si>
  <si>
    <t>Indian Bank - 06/03/2026**</t>
  </si>
  <si>
    <t>INE261F16975</t>
  </si>
  <si>
    <t>National Bank for Agriculture &amp; Rural Development - 10/03/2026**</t>
  </si>
  <si>
    <t>INE562A16OI3</t>
  </si>
  <si>
    <t>Indian Bank - 12/03/2026**</t>
  </si>
  <si>
    <t>INE476A16B64</t>
  </si>
  <si>
    <t>Canara Bank - 18/03/2026**</t>
  </si>
  <si>
    <t>INE237A168Z9</t>
  </si>
  <si>
    <t>Kotak Mahindra Bank Ltd - 19/03/2026**</t>
  </si>
  <si>
    <t>INE556F16BG5</t>
  </si>
  <si>
    <t>Small Industries Development Bank of India - 26/03/2026**</t>
  </si>
  <si>
    <t>INE556F16BB6</t>
  </si>
  <si>
    <t>Small Industries Development Bank of India - 27/02/2026**</t>
  </si>
  <si>
    <t>INE261F16967</t>
  </si>
  <si>
    <t>National Bank for Agriculture &amp; Rural Development - 27/02/2026**</t>
  </si>
  <si>
    <t>INE238AD6AM2</t>
  </si>
  <si>
    <t>Axis Bank Ltd - 04/02/2026</t>
  </si>
  <si>
    <t>INE949L16CY1</t>
  </si>
  <si>
    <t>AU Small Finance Bank Ltd - 28/10/2025**</t>
  </si>
  <si>
    <t>INE095A16X85</t>
  </si>
  <si>
    <t>IndusInd Bank Ltd - 05/12/2025**</t>
  </si>
  <si>
    <t>INE238AD6AX9</t>
  </si>
  <si>
    <t>Axis Bank Ltd - 16/12/2025</t>
  </si>
  <si>
    <t>INE562A16OA0</t>
  </si>
  <si>
    <t>Indian Bank - 04/02/2026**</t>
  </si>
  <si>
    <t>INE261F16934</t>
  </si>
  <si>
    <t>National Bank for Agriculture &amp; Rural Development - 05/02/2026**</t>
  </si>
  <si>
    <t>INE084A16DC4</t>
  </si>
  <si>
    <t>Bank of India - 06/02/2026**</t>
  </si>
  <si>
    <t>INE237A165Z5</t>
  </si>
  <si>
    <t>Kotak Mahindra Bank Ltd - 18/02/2026**</t>
  </si>
  <si>
    <t>INE261F16959</t>
  </si>
  <si>
    <t>National Bank for Agriculture &amp; Rural Development - 17/02/2026**</t>
  </si>
  <si>
    <t>INE237A166Z3</t>
  </si>
  <si>
    <t>Kotak Mahindra Bank Ltd - 27/02/2026**</t>
  </si>
  <si>
    <t>INE008A16X99</t>
  </si>
  <si>
    <t>IDBI Bank Ltd - 23/02/2026**</t>
  </si>
  <si>
    <t>INE237A167Z1</t>
  </si>
  <si>
    <t>Kotak Mahindra Bank Ltd - 13/03/2026**</t>
  </si>
  <si>
    <t>INE476A16B31</t>
  </si>
  <si>
    <t>Canara Bank - 13/03/2026**</t>
  </si>
  <si>
    <t>INE040A16GW7</t>
  </si>
  <si>
    <t>HDFC Bank Ltd - 19/05/2026**</t>
  </si>
  <si>
    <t>INE238AD6AT7</t>
  </si>
  <si>
    <t>Axis Bank Ltd - 11/06/2026**</t>
  </si>
  <si>
    <t>INE040A16HB9</t>
  </si>
  <si>
    <t>HDFC Bank Ltd - 24/06/2026**</t>
  </si>
  <si>
    <t>INE476A16ZT9</t>
  </si>
  <si>
    <t>Canara Bank - 18/12/2025</t>
  </si>
  <si>
    <t>INE092T16XX1</t>
  </si>
  <si>
    <t>IDFC First Bank Ltd - 23/01/2026**</t>
  </si>
  <si>
    <t>INE476A16A65</t>
  </si>
  <si>
    <t>Canara Bank - 24/02/2026**</t>
  </si>
  <si>
    <t>INE556F16BA8</t>
  </si>
  <si>
    <t>Small Industries Development Bank of India - 06/02/2026**</t>
  </si>
  <si>
    <t>INE763G14XJ8</t>
  </si>
  <si>
    <t>ICICI Securities Ltd - 03/03/2026**</t>
  </si>
  <si>
    <t>INE144H14HG8</t>
  </si>
  <si>
    <t>Deutsche Investments India Private Ltd - 22/12/2025**</t>
  </si>
  <si>
    <t>INE144H14HQ7</t>
  </si>
  <si>
    <t>Deutsche Investments India Private Ltd - 27/02/2026**</t>
  </si>
  <si>
    <t>INE121A14XO2</t>
  </si>
  <si>
    <t>Cholamandalam Investment and Finance Company Ltd - 26/05/2026**</t>
  </si>
  <si>
    <t>INE403D14544</t>
  </si>
  <si>
    <t>Bharti Telecom Ltd - 17/10/2025</t>
  </si>
  <si>
    <t>INE115A14FJ1</t>
  </si>
  <si>
    <t>LIC Housing Finance Ltd - 18/02/2026**</t>
  </si>
  <si>
    <t>INE338I14JI6</t>
  </si>
  <si>
    <t>Motilal Oswal Financial Services Ltd - 25/02/2026**</t>
  </si>
  <si>
    <t>INE763G14YJ6</t>
  </si>
  <si>
    <t>ICICI Securities Ltd - 15/05/2026**</t>
  </si>
  <si>
    <t>INE09OL14HG3</t>
  </si>
  <si>
    <t>Birla Group Holdings Pvt Ltd - 22/05/2026**</t>
  </si>
  <si>
    <t>INE790I14GC7</t>
  </si>
  <si>
    <t>HSBC InvestDirect Financial Services India Limited - 13/02/2026**</t>
  </si>
  <si>
    <t>INE121A14XG8</t>
  </si>
  <si>
    <t>Cholamandalam Investment and Finance Company Ltd - 14/11/2025**</t>
  </si>
  <si>
    <t>INE007N14EB3</t>
  </si>
  <si>
    <t>Fedbank Financial Services Ltd - 05/12/2025**</t>
  </si>
  <si>
    <t>INE338I14JF2</t>
  </si>
  <si>
    <t>Motilal Oswal Financial Services Ltd - 06/02/2026**</t>
  </si>
  <si>
    <t>INE144H14HM6</t>
  </si>
  <si>
    <t>Deutsche Investments India Private Ltd - 09/09/2025**</t>
  </si>
  <si>
    <t>INE121A14XK0</t>
  </si>
  <si>
    <t>Cholamandalam Investment and Finance Company Ltd - 22/05/2026**</t>
  </si>
  <si>
    <t>IN002024Z453</t>
  </si>
  <si>
    <t>364 Days - T Bill - 20/02/2026</t>
  </si>
  <si>
    <t>Sundaram Low Duration Fund</t>
  </si>
  <si>
    <t>INE721A07SB0</t>
  </si>
  <si>
    <t>Shriram Finance Ltd - 9.2% - 22/05/2026</t>
  </si>
  <si>
    <t>CRISIL AA+</t>
  </si>
  <si>
    <t>INE477A07373</t>
  </si>
  <si>
    <t>Can Fin Homes Ltd - 8.45% - 27/05/2026**</t>
  </si>
  <si>
    <t>IND AA+</t>
  </si>
  <si>
    <t>INE020B08ED9</t>
  </si>
  <si>
    <t>REC LTD - 7.56% - 30/06/2026**</t>
  </si>
  <si>
    <t>INE403D08181</t>
  </si>
  <si>
    <t>Bharti Telecom Ltd - 8.9% - 04/12/2025</t>
  </si>
  <si>
    <t>INE572E07183</t>
  </si>
  <si>
    <t>PNB Housing Finance Ltd - 8.15% - 29/07/2027**</t>
  </si>
  <si>
    <t>CARE AA+</t>
  </si>
  <si>
    <t>INE414G07II5</t>
  </si>
  <si>
    <t>Muthoot Finance Ltd - 8.4% - 28/08/2028**</t>
  </si>
  <si>
    <t>ICRA AA+</t>
  </si>
  <si>
    <t>INE134E08IE1</t>
  </si>
  <si>
    <t>Power Finance Corporation Ltd - 8.03% - 02/05/2026**</t>
  </si>
  <si>
    <t>INE523H07CB9</t>
  </si>
  <si>
    <t>JM Financial Products Ltd - 8.92% - 16/11/2026**</t>
  </si>
  <si>
    <t>CRISIL AA</t>
  </si>
  <si>
    <t>INE233A08121</t>
  </si>
  <si>
    <t>Godrej Industries Ltd - 8.36% - 28/08/2026**</t>
  </si>
  <si>
    <t>INE477A07415</t>
  </si>
  <si>
    <t>Can Fin Homes Ltd - 8.09% - 04/01/2027**</t>
  </si>
  <si>
    <t>INE020B08FF1</t>
  </si>
  <si>
    <t>REC LTD - 7.56% - 31/08/2027**</t>
  </si>
  <si>
    <t>INE121A07QT9</t>
  </si>
  <si>
    <t>Cholamandalam Investment and Finance Company Ltd - 8.45% - 21/11/2025**</t>
  </si>
  <si>
    <t>INE414G07JL7</t>
  </si>
  <si>
    <t>Muthoot Finance Ltd - 8.65% - 31/01/2028**</t>
  </si>
  <si>
    <t>IN0020220037</t>
  </si>
  <si>
    <t>7.38% Central Government Securities 20/06/2027</t>
  </si>
  <si>
    <t>INE092T16YI0</t>
  </si>
  <si>
    <t>IDFC First Bank Ltd - 25/05/2026**</t>
  </si>
  <si>
    <t>INE040A16GF2</t>
  </si>
  <si>
    <t>HDFC Bank Ltd - 06/02/2026**</t>
  </si>
  <si>
    <t>INE261F16983</t>
  </si>
  <si>
    <t>National Bank for Agriculture &amp; Rural Development - 13/03/2026**</t>
  </si>
  <si>
    <t>INE261F16AA7</t>
  </si>
  <si>
    <t>National Bank for Agriculture &amp; Rural Development - 25/03/2026</t>
  </si>
  <si>
    <t>Sundaram Liquid Fund</t>
  </si>
  <si>
    <t>INE115A07PZ0</t>
  </si>
  <si>
    <t>LIC Housing Finance Ltd - 7.38% - 18/08/2025**</t>
  </si>
  <si>
    <t>INE414G07HT4</t>
  </si>
  <si>
    <t>Muthoot Finance Ltd - 8.6% - 25/08/2025**</t>
  </si>
  <si>
    <t>INE134E08LO4</t>
  </si>
  <si>
    <t>Power Finance Corporation Ltd - 7.13% - 08/08/2025**</t>
  </si>
  <si>
    <t>INE084A16DM3</t>
  </si>
  <si>
    <t>Bank of India - 05/08/2025**</t>
  </si>
  <si>
    <t>INE092T16YM2</t>
  </si>
  <si>
    <t>IDFC First Bank Ltd - 23/09/2025**</t>
  </si>
  <si>
    <t>INE028A16IP2</t>
  </si>
  <si>
    <t>Bank of Baroda - 06/08/2025</t>
  </si>
  <si>
    <t>INE160A16RV2</t>
  </si>
  <si>
    <t>Punjab National Bank - 14/08/2025**</t>
  </si>
  <si>
    <t>INE040A16GY3</t>
  </si>
  <si>
    <t>HDFC Bank Ltd - 17/07/2025</t>
  </si>
  <si>
    <t>INE565A16BB8</t>
  </si>
  <si>
    <t>Indian Overseas Bank - 22/08/2025**</t>
  </si>
  <si>
    <t>CARE A1+</t>
  </si>
  <si>
    <t>INE476A16C22</t>
  </si>
  <si>
    <t>Canara Bank - 26/08/2025**</t>
  </si>
  <si>
    <t>INE565A16BD4</t>
  </si>
  <si>
    <t>Indian Overseas Bank - 09/09/2025**</t>
  </si>
  <si>
    <t>INE040A16FM0</t>
  </si>
  <si>
    <t>HDFC Bank Ltd - 19/09/2025</t>
  </si>
  <si>
    <t>INE562A16OU8</t>
  </si>
  <si>
    <t>Indian Bank - 14/08/2025**</t>
  </si>
  <si>
    <t>INE028A16IY4</t>
  </si>
  <si>
    <t>Bank of Baroda - 04/09/2025**</t>
  </si>
  <si>
    <t>INE238AD6900</t>
  </si>
  <si>
    <t>Axis Bank Ltd - 04/09/2025</t>
  </si>
  <si>
    <t>INE238AD6918</t>
  </si>
  <si>
    <t>Axis Bank Ltd - 09/09/2025</t>
  </si>
  <si>
    <t>INE476A16C71</t>
  </si>
  <si>
    <t>Canara Bank - 18/09/2025**</t>
  </si>
  <si>
    <t>INE028A16JB0</t>
  </si>
  <si>
    <t>Bank of Baroda - 18/09/2025**</t>
  </si>
  <si>
    <t>INE237A162Y5</t>
  </si>
  <si>
    <t>Kotak Mahindra Bank Ltd - 22/08/2025**</t>
  </si>
  <si>
    <t>INE476A16C06</t>
  </si>
  <si>
    <t>Canara Bank - 22/08/2025**</t>
  </si>
  <si>
    <t>INE040A16FJ6</t>
  </si>
  <si>
    <t>HDFC Bank Ltd - 22/08/2025**</t>
  </si>
  <si>
    <t>INE160A16SE6</t>
  </si>
  <si>
    <t>Punjab National Bank - 04/09/2025**</t>
  </si>
  <si>
    <t>INE084A16DT8</t>
  </si>
  <si>
    <t>Bank of India - 10/09/2025**</t>
  </si>
  <si>
    <t>INE238AD6876</t>
  </si>
  <si>
    <t>Axis Bank Ltd - 16/07/2025</t>
  </si>
  <si>
    <t>INE562A16NH7</t>
  </si>
  <si>
    <t>Indian Bank - 20/08/2025**</t>
  </si>
  <si>
    <t>INE238AD6942</t>
  </si>
  <si>
    <t>Axis Bank Ltd - 10/10/2025</t>
  </si>
  <si>
    <t>INE110L14TM4</t>
  </si>
  <si>
    <t>Reliance Jio Infocomm Ltd - 16/07/2025**</t>
  </si>
  <si>
    <t>INE110L14TZ6</t>
  </si>
  <si>
    <t>Reliance Jio Infocomm Ltd - 15/09/2025**</t>
  </si>
  <si>
    <t>INE929O14DK9</t>
  </si>
  <si>
    <t>Reliance Retail Ventures Ltd - 14/08/2025**</t>
  </si>
  <si>
    <t>INE331A14NZ4</t>
  </si>
  <si>
    <t>Ramco Cements Ltd - 01/09/2025**</t>
  </si>
  <si>
    <t>INE763G14ZG9</t>
  </si>
  <si>
    <t>ICICI Securities Ltd - 24/09/2025**</t>
  </si>
  <si>
    <t>INE763G14YG2</t>
  </si>
  <si>
    <t>ICICI Securities Ltd - 08/08/2025**</t>
  </si>
  <si>
    <t>INE763G14YI8</t>
  </si>
  <si>
    <t>ICICI Securities Ltd - 12/08/2025**</t>
  </si>
  <si>
    <t>INE700G14OG5</t>
  </si>
  <si>
    <t>HDFC Securities Ltd - 13/08/2025**</t>
  </si>
  <si>
    <t>INE289B14JR7</t>
  </si>
  <si>
    <t>GIC Housing Finance Ltd - 26/08/2025**</t>
  </si>
  <si>
    <t>INE790I14FZ0</t>
  </si>
  <si>
    <t>HSBC InvestDirect Financial Services India Limited - 26/08/2025**</t>
  </si>
  <si>
    <t>INE556F14LF1</t>
  </si>
  <si>
    <t>Small Industries Development Bank of India - 08/09/2025**</t>
  </si>
  <si>
    <t>INE110L14TU7</t>
  </si>
  <si>
    <t>Reliance Jio Infocomm Ltd - 12/09/2025**</t>
  </si>
  <si>
    <t>INE261F14NZ2</t>
  </si>
  <si>
    <t>National Bank for Agriculture &amp; Rural Development - 17/09/2025</t>
  </si>
  <si>
    <t>INE982D14BF5</t>
  </si>
  <si>
    <t>Godrej &amp; Boyce Mfg Co Ltd - 16/09/2025**</t>
  </si>
  <si>
    <t>INE242A14YA3</t>
  </si>
  <si>
    <t>Indian Oil Corporation Ltd - 19/09/2025</t>
  </si>
  <si>
    <t>INE09OL14HQ2</t>
  </si>
  <si>
    <t>Birla Group Holdings Pvt Ltd - 22/09/2025**</t>
  </si>
  <si>
    <t>INE071G14GR4</t>
  </si>
  <si>
    <t>ICICI Home Finance Company Ltd - 16/07/2025</t>
  </si>
  <si>
    <t>INE071G14GU8</t>
  </si>
  <si>
    <t>ICICI Home Finance Company Ltd - 14/08/2025**</t>
  </si>
  <si>
    <t>INE912E14MD2</t>
  </si>
  <si>
    <t>SBI FACTORS LTD - 20/08/2025**</t>
  </si>
  <si>
    <t>INE870H14VF1</t>
  </si>
  <si>
    <t>Network18 Media &amp; Investments Ltd - 28/08/2025**</t>
  </si>
  <si>
    <t>INE912E14MF7</t>
  </si>
  <si>
    <t>SBI FACTORS LTD - 28/08/2025**</t>
  </si>
  <si>
    <t>INE763G14YW9</t>
  </si>
  <si>
    <t>ICICI Securities Ltd - 04/09/2025**</t>
  </si>
  <si>
    <t>INE233A142N4</t>
  </si>
  <si>
    <t>Godrej Industries Ltd - 16/09/2025**</t>
  </si>
  <si>
    <t>INE245A14JY7</t>
  </si>
  <si>
    <t>TATA Power Company Ltd - 18/09/2025**</t>
  </si>
  <si>
    <t>INE103A14447</t>
  </si>
  <si>
    <t>Mangalore Refinery and Petrochemicals Ltd - 24/07/2025**</t>
  </si>
  <si>
    <t>INE338I14KD5</t>
  </si>
  <si>
    <t>Motilal Oswal Financial Services Ltd - 08/08/2025**</t>
  </si>
  <si>
    <t>INE01C314BP1</t>
  </si>
  <si>
    <t>Bajaj Financial Securities Ltd - 13/08/2025**</t>
  </si>
  <si>
    <t>INE572E14JU4</t>
  </si>
  <si>
    <t>PNB Housing Finance Ltd - 18/08/2025**</t>
  </si>
  <si>
    <t>INE261F14NT5</t>
  </si>
  <si>
    <t>National Bank for Agriculture &amp; Rural Development - 22/08/2025**</t>
  </si>
  <si>
    <t>INE144H14HO2</t>
  </si>
  <si>
    <t>Deutsche Investments India Private Ltd - 19/08/2025**</t>
  </si>
  <si>
    <t>INE850D14TZ4</t>
  </si>
  <si>
    <t>Godrej Agrovet Ltd - 26/08/2025**</t>
  </si>
  <si>
    <t>INE865C14NT0</t>
  </si>
  <si>
    <t>Aditya Birla Money Ltd - 25/08/2025**</t>
  </si>
  <si>
    <t>INE975F14A50</t>
  </si>
  <si>
    <t>Kotak Mahindra Investments Ltd - 29/08/2025**</t>
  </si>
  <si>
    <t>INE261F14NU3</t>
  </si>
  <si>
    <t>National Bank for Agriculture &amp; Rural Development - 03/09/2025**</t>
  </si>
  <si>
    <t>INE242A14XX7</t>
  </si>
  <si>
    <t>Indian Oil Corporation Ltd - 04/09/2025**</t>
  </si>
  <si>
    <t>INE929O14DN3</t>
  </si>
  <si>
    <t>Reliance Retail Ventures Ltd - 04/09/2025**</t>
  </si>
  <si>
    <t>INE870H14VI5</t>
  </si>
  <si>
    <t>Network18 Media &amp; Investments Ltd - 04/09/2025**</t>
  </si>
  <si>
    <t>INE700G14OQ4</t>
  </si>
  <si>
    <t>HDFC Securities Ltd - 08/09/2025**</t>
  </si>
  <si>
    <t>INE027214852</t>
  </si>
  <si>
    <t>BOBCARD Ltd - 18/09/2025**</t>
  </si>
  <si>
    <t>INE002A14LK7</t>
  </si>
  <si>
    <t>Reliance Industries Ltd - 23/09/2025**</t>
  </si>
  <si>
    <t>INE338I14KF0</t>
  </si>
  <si>
    <t>Motilal Oswal Financial Services Ltd - 14/08/2025**</t>
  </si>
  <si>
    <t>INE417C14959</t>
  </si>
  <si>
    <t>Pilani Investment and Industries Corporation Ltd. - 22/08/2025**</t>
  </si>
  <si>
    <t>INE975F14B34</t>
  </si>
  <si>
    <t>Kotak Mahindra Investments Ltd - 08/09/2025**</t>
  </si>
  <si>
    <t>INE879F14JV8</t>
  </si>
  <si>
    <t>Infina Finance Pvt Ltd - 22/09/2025</t>
  </si>
  <si>
    <t>IN002024Z222</t>
  </si>
  <si>
    <t>364 Days - T Bill - 28/08/2025</t>
  </si>
  <si>
    <t>IN002024Y498</t>
  </si>
  <si>
    <t>182 Days - T Bill - 18/09/2025</t>
  </si>
  <si>
    <t>IN002024Z214</t>
  </si>
  <si>
    <t>364 Days - T Bill - 21/08/2025</t>
  </si>
  <si>
    <t>IN002025X059</t>
  </si>
  <si>
    <t>91 Days - T Bill - 01/08/2025</t>
  </si>
  <si>
    <t>IN002024Y506</t>
  </si>
  <si>
    <t>182 Days - T Bill - 25/09/2025</t>
  </si>
  <si>
    <t>IN002025X158</t>
  </si>
  <si>
    <t>91 Days - T Bill - 09/10/2025</t>
  </si>
  <si>
    <t>Reverse Repo</t>
  </si>
  <si>
    <t>Sundaram Short Duration Fund</t>
  </si>
  <si>
    <t>INE134E08MJ2</t>
  </si>
  <si>
    <t>Power Finance Corporation Ltd - 7.77% - 15/04/2028**</t>
  </si>
  <si>
    <t>INE121A07RZ4</t>
  </si>
  <si>
    <t>Cholamandalam Investment and Finance Company Ltd - 8.54% - 12/04/2029**</t>
  </si>
  <si>
    <t>INE020B08EI8</t>
  </si>
  <si>
    <t>REC LTD - 7.51% - 31/07/2026**</t>
  </si>
  <si>
    <t>INE146O07557</t>
  </si>
  <si>
    <t>Hinduja Leyland Finance Ltd - 8.4% - 06/05/2027**</t>
  </si>
  <si>
    <t>INE134E08LP1</t>
  </si>
  <si>
    <t>Power Finance Corporation Ltd - 7.13% - 15/07/2026**</t>
  </si>
  <si>
    <t>INE115A07PI6</t>
  </si>
  <si>
    <t>LIC Housing Finance Ltd - 6.17% - 03/09/2026**</t>
  </si>
  <si>
    <t>IN0020240019</t>
  </si>
  <si>
    <t>7.10% Central Government Securities 08/04/2034</t>
  </si>
  <si>
    <t>IN3120230484</t>
  </si>
  <si>
    <t>7.44% Tamil Nadu State Government Securities -20/03/2034</t>
  </si>
  <si>
    <t>Sundaram Ultra Short Duration Fund</t>
  </si>
  <si>
    <t>INE071G07637</t>
  </si>
  <si>
    <t>ICICI Home Finance Company Ltd - 8.061% - 25/03/2026**</t>
  </si>
  <si>
    <t>INE756I07EJ2</t>
  </si>
  <si>
    <t>HDB Financial Services Ltd - 7.65% - 10/09/2027**</t>
  </si>
  <si>
    <t>INE756I07EI4</t>
  </si>
  <si>
    <t>HDB Financial Services Ltd - 7.5% - 23/09/2025**</t>
  </si>
  <si>
    <t>INE756I07EN4</t>
  </si>
  <si>
    <t>HDB Financial Services Ltd - 7.84% - 14/07/2026**</t>
  </si>
  <si>
    <t>INE121A07SN8</t>
  </si>
  <si>
    <t>Cholamandalam Investment and Finance Company Ltd - 7.38% - 28/05/2027**</t>
  </si>
  <si>
    <t>INE556F16AX2</t>
  </si>
  <si>
    <t>Small Industries Development Bank of India - 05/12/2025</t>
  </si>
  <si>
    <t>INE171A16MM9</t>
  </si>
  <si>
    <t>The Federal Bank Ltd - 28/11/2025</t>
  </si>
  <si>
    <t>INE238AD6991</t>
  </si>
  <si>
    <t>Axis Bank Ltd - 12/11/2025**</t>
  </si>
  <si>
    <t>INE238AD6983</t>
  </si>
  <si>
    <t>Axis Bank Ltd - 13/11/2025**</t>
  </si>
  <si>
    <t>INE692A16IC3</t>
  </si>
  <si>
    <t>Union Bank of India - 04/12/2025**</t>
  </si>
  <si>
    <t>INE476A16ZQ5</t>
  </si>
  <si>
    <t>Canara Bank - 12/12/2025</t>
  </si>
  <si>
    <t>INE476A16A24</t>
  </si>
  <si>
    <t>Canara Bank - 03/02/2026**</t>
  </si>
  <si>
    <t>INE095A16Y50</t>
  </si>
  <si>
    <t>IndusInd Bank Ltd - 04/02/2026**</t>
  </si>
  <si>
    <t>INE171A16MK3</t>
  </si>
  <si>
    <t>The Federal Bank Ltd - 25/11/2025**</t>
  </si>
  <si>
    <t>INE040A16FY5</t>
  </si>
  <si>
    <t>HDFC Bank Ltd - 04/12/2025</t>
  </si>
  <si>
    <t>INE556F16AY0</t>
  </si>
  <si>
    <t>Small Industries Development Bank of India - 13/01/2026**</t>
  </si>
  <si>
    <t>INE556F16BD2</t>
  </si>
  <si>
    <t>Small Industries Development Bank of India - 11/03/2026**</t>
  </si>
  <si>
    <t>INE498L14EE2</t>
  </si>
  <si>
    <t>L &amp; T Finance Ltd - 09/06/2026**</t>
  </si>
  <si>
    <t>INE121A14XQ7</t>
  </si>
  <si>
    <t>Cholamandalam Investment and Finance Company Ltd - 28/05/2026**</t>
  </si>
  <si>
    <t>Sundaram Medium Duration Fund</t>
  </si>
  <si>
    <t>IN0020210186</t>
  </si>
  <si>
    <t>5.74% Central Government Securities 15/11/2026</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</si>
  <si>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</si>
  <si>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</si>
  <si>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</si>
  <si>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</si>
  <si>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</si>
  <si>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</si>
  <si>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</si>
  <si>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</si>
  <si>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</si>
  <si>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</si>
  <si>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</si>
  <si>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</si>
  <si>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INE860A01027</t>
  </si>
  <si>
    <t>HCL Technologies Ltd</t>
  </si>
  <si>
    <t>It - Software</t>
  </si>
  <si>
    <t>INE009A01021</t>
  </si>
  <si>
    <t>Infosys Ltd</t>
  </si>
  <si>
    <t>INE238A01034</t>
  </si>
  <si>
    <t>Axis Bank Ltd</t>
  </si>
  <si>
    <t>INE062A01020</t>
  </si>
  <si>
    <t>State Bank of India</t>
  </si>
  <si>
    <t>INE029A01011</t>
  </si>
  <si>
    <t>Bharat Petroleum Corporation Ltd</t>
  </si>
  <si>
    <t>INE154A01025</t>
  </si>
  <si>
    <t>ITC Ltd</t>
  </si>
  <si>
    <t>Diversified Fmcg</t>
  </si>
  <si>
    <t>INE481G01011</t>
  </si>
  <si>
    <t>Ultratech Cement Ltd</t>
  </si>
  <si>
    <t>Cement &amp; Cement Products</t>
  </si>
  <si>
    <t>INE196A01026</t>
  </si>
  <si>
    <t>Marico Ltd</t>
  </si>
  <si>
    <t>Agricultural Food &amp; Other Products</t>
  </si>
  <si>
    <t>INE237A01028</t>
  </si>
  <si>
    <t>Kotak Mahindra Bank Ltd</t>
  </si>
  <si>
    <t>INE018A01030</t>
  </si>
  <si>
    <t>Larsen &amp; Toubro Ltd</t>
  </si>
  <si>
    <t>Construction</t>
  </si>
  <si>
    <t>INE797F01020</t>
  </si>
  <si>
    <t>Jubilant Foodworks Ltd</t>
  </si>
  <si>
    <t>Leisure Services</t>
  </si>
  <si>
    <t>INE726G01019</t>
  </si>
  <si>
    <t>ICICI Prudential Life Insurance Company Ltd</t>
  </si>
  <si>
    <t>Insurance</t>
  </si>
  <si>
    <t>INE603J01030</t>
  </si>
  <si>
    <t>PI Industries Ltd</t>
  </si>
  <si>
    <t>Fertilizers &amp; Agrochemicals</t>
  </si>
  <si>
    <t>INE917I01010</t>
  </si>
  <si>
    <t>Bajaj Auto Ltd</t>
  </si>
  <si>
    <t>Automobiles</t>
  </si>
  <si>
    <t>INE585B01010</t>
  </si>
  <si>
    <t>Maruti Suzuki India Ltd</t>
  </si>
  <si>
    <t>INE047A01021</t>
  </si>
  <si>
    <t>Grasim Industries Ltd</t>
  </si>
  <si>
    <t>INE540L01014</t>
  </si>
  <si>
    <t>Alkem Laboratories Ltd</t>
  </si>
  <si>
    <t>Pharmaceuticals &amp; Biotechnology</t>
  </si>
  <si>
    <t>INE854D01024</t>
  </si>
  <si>
    <t>United Spirits Ltd</t>
  </si>
  <si>
    <t>Beverages</t>
  </si>
  <si>
    <t>IN0020240118</t>
  </si>
  <si>
    <t>7.09% Central Government Securities 05/08/2054</t>
  </si>
  <si>
    <t>Sundaram Overnight Fund</t>
  </si>
  <si>
    <t>IN002025X034</t>
  </si>
  <si>
    <t>91 Days - T Bill - 17/07/2025</t>
  </si>
  <si>
    <t>IN002024Z172</t>
  </si>
  <si>
    <t>364 Days - T Bill - 24/07/2025</t>
  </si>
  <si>
    <t>IN002024Y431</t>
  </si>
  <si>
    <t>182 Days - T Bill - 07/08/2025</t>
  </si>
  <si>
    <t>IN002024Y415</t>
  </si>
  <si>
    <t>182 Days - T Bill - 24/07/2025</t>
  </si>
  <si>
    <t>YTM (%)*</t>
  </si>
  <si>
    <t>Fortnightly Portfolio Statement as on 15 July 2025</t>
  </si>
  <si>
    <t>Index</t>
  </si>
  <si>
    <t>S. No.</t>
  </si>
  <si>
    <t>ACRONYM</t>
  </si>
  <si>
    <t>SCHEME NAME</t>
  </si>
  <si>
    <t>SFRLTP</t>
  </si>
  <si>
    <t>SFRSTP</t>
  </si>
  <si>
    <t>SMMF</t>
  </si>
  <si>
    <t>SPLDF</t>
  </si>
  <si>
    <t>SPMON</t>
  </si>
  <si>
    <t>SPSDF</t>
  </si>
  <si>
    <t>SPUSDF</t>
  </si>
  <si>
    <t>SUNBDS</t>
  </si>
  <si>
    <t>SUNMIA</t>
  </si>
  <si>
    <t>SUNONF</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</si>
  <si>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</si>
  <si>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</si>
  <si>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</si>
  <si>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</si>
  <si>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</si>
  <si>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</si>
  <si>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</si>
  <si>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</si>
  <si>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</si>
  <si>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</si>
  <si>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</si>
  <si>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</si>
  <si>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</si>
  <si>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</si>
  <si>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</si>
  <si>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</si>
  <si>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 xml:space="preserve">                    NIFTY Corporate Bond Index A-II</t>
  </si>
  <si>
    <t xml:space="preserve">           NIFTY Banking and PSU Debt Index A-II</t>
  </si>
  <si>
    <t xml:space="preserve">                    NIFTY Money Market Index A-I</t>
  </si>
  <si>
    <t>INE0JEI23010</t>
  </si>
  <si>
    <t>Roadstar Infra Investment Trust (InvIT)</t>
  </si>
  <si>
    <t>Services</t>
  </si>
  <si>
    <t>#</t>
  </si>
  <si>
    <t>Refer below point i)</t>
  </si>
  <si>
    <t>Average Maturity  (years)</t>
  </si>
  <si>
    <t>ISIN</t>
  </si>
  <si>
    <t>NAME OF THE SECURITY</t>
  </si>
  <si>
    <t>VALUE OF THE SECURITY CONSIDERED UNDER NET RECEIVABLES</t>
  </si>
  <si>
    <t>% TO AUM</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</si>
  <si>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</si>
  <si>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</si>
  <si>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</si>
  <si>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</si>
  <si>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</si>
  <si>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</si>
  <si>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</si>
  <si>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 (Rs. in Lacs)</t>
  </si>
  <si>
    <t>Amount Recovered 30th Sep 2021</t>
  </si>
  <si>
    <t xml:space="preserve">Further amount received on 31-Aug-2024 </t>
  </si>
  <si>
    <t xml:space="preserve">Total settlement till date  </t>
  </si>
  <si>
    <t xml:space="preserve">PRINCIPAL </t>
  </si>
  <si>
    <t>Interest Accrued till 3rd June 2019</t>
  </si>
  <si>
    <t xml:space="preserve">Interest not accrued due to category by rating agency as default till maturity </t>
  </si>
  <si>
    <t xml:space="preserve">Total </t>
  </si>
  <si>
    <t xml:space="preserve"> ## (Rs. in Lacs)</t>
  </si>
  <si>
    <t xml:space="preserve">Total Cost  </t>
  </si>
  <si>
    <t xml:space="preserve">Discounting Charges / Interest accrued till maturity </t>
  </si>
  <si>
    <t>Total CP Outstanding</t>
  </si>
  <si>
    <t xml:space="preserve"> 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</si>
  <si>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</si>
  <si>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</si>
  <si>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</si>
  <si>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</si>
  <si>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</si>
  <si>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</si>
  <si>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</si>
  <si>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</si>
  <si>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</si>
  <si>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</si>
  <si>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https://www.sundarammutual.com/pdf2/2025/Rationale_for_Valuation/Update_on_ILFS_Financial_Services_Recovery_06_03_2025.pdf</t>
  </si>
  <si>
    <t xml:space="preserve">              NIFTY Low Duration Debt Index A-I</t>
  </si>
  <si>
    <t>++ Aggregate Investments by Other schemes of Sundaram Mutual Fund - Rs. 6,326.47 Lakhs</t>
  </si>
  <si>
    <t>Amount Recovered - 06th Mar 2025</t>
  </si>
  <si>
    <t xml:space="preserve">                      NIFTY Liquid Index A-I</t>
  </si>
  <si>
    <t>9.05% Dewan Housing Finance Corporation Ltd-NCD-09/09/2019</t>
  </si>
  <si>
    <t>Dewan Housing Finance Corporation Ltd-9.10%-09/09/2019</t>
  </si>
  <si>
    <t>INE202B07654</t>
  </si>
  <si>
    <t>11.55%_Prev 11.45%-Dewan Housing Finance Corp Ltd-12/09/2019  ##</t>
  </si>
  <si>
    <t>9.10%-Dewan Housing Finance Corporation Ltd-16/08/2019 ##</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</si>
  <si>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</si>
  <si>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</si>
  <si>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</si>
  <si>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</si>
  <si>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</si>
  <si>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</si>
  <si>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</si>
  <si>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</si>
  <si>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</si>
  <si>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</si>
  <si>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</si>
  <si>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Interest Rate Swaps</t>
  </si>
  <si>
    <t>Interest Rate Swaps Pay Fix Receive Floating (11/12/2025) (FV 2500 Lacs)~</t>
  </si>
  <si>
    <t>Interest Rate Swaps Pay Fix Receive Floating (06/03/2026) (FV 2500 Lacs)~</t>
  </si>
  <si>
    <t>Interest Rate Swaps Pay Fix Receive Floating (20/03/2026) (FV 2500 Lacs)~</t>
  </si>
  <si>
    <t>Interest Rate Swaps Pay Fix Receive Floating (26/05/2026) (FV 2500 Lacs)~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</si>
  <si>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</si>
  <si>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</si>
  <si>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</si>
  <si>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</si>
  <si>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</si>
  <si>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</si>
  <si>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</si>
  <si>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</si>
  <si>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</si>
  <si>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</si>
  <si>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</si>
  <si>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</si>
  <si>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NABARD</t>
  </si>
  <si>
    <t>REC Ltd</t>
  </si>
  <si>
    <t xml:space="preserve">          NIFTY Ultra Short Duration Debt Index A-I</t>
  </si>
  <si>
    <t>INE528G08394</t>
  </si>
  <si>
    <t>9%-YES BANK LTD-NCD-Call opt-18/10/2022-Perpetual Bond $</t>
  </si>
  <si>
    <t>TOTAL AMOUNT INCLUDING INTEREST DUE TO THE SCHEME</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</si>
  <si>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</si>
  <si>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</si>
  <si>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</si>
  <si>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</si>
  <si>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INE0GGX23010</t>
  </si>
  <si>
    <t>Power Grid Infrastructure Investment Trust(InvIT)</t>
  </si>
  <si>
    <t>Power</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</si>
  <si>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</si>
  <si>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</si>
  <si>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</si>
  <si>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</si>
  <si>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</si>
  <si>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</si>
  <si>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</si>
  <si>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 xml:space="preserve">      CRISIL Hybrid 85 Plus 15 - Conservative Index</t>
  </si>
  <si>
    <t>Macaulay Duration (Days)</t>
  </si>
  <si>
    <t>Average Maturity (Days)</t>
  </si>
  <si>
    <t xml:space="preserve">                        NIFTY 1D Rate Index</t>
  </si>
  <si>
    <t>YTM (%)</t>
  </si>
  <si>
    <t>Direct Plan - Quarterly IDCW</t>
  </si>
  <si>
    <t>Regular Plan - Quarterly IDCW</t>
  </si>
  <si>
    <t>d) IDCW declared during the period (Rupees per unit)</t>
  </si>
  <si>
    <t>Direct Plan - Monthly IDCW</t>
  </si>
  <si>
    <t>Regular Plan - Monthly IDCW</t>
  </si>
  <si>
    <t>Regular Plan - IDCW</t>
  </si>
  <si>
    <t>15-Jul-2025</t>
  </si>
  <si>
    <t>i) Exposure to securities classified as below investment grade or default as on 15-Jul-2025:-</t>
  </si>
  <si>
    <t>h)  Hedging Positions through Swaps as on 15-Jul-2025:-</t>
  </si>
  <si>
    <t>% to AUM as on  15-Jul-2025</t>
  </si>
  <si>
    <t>h) Exposure to securities classified as below investment grade or default as on 15-Jul-2025:-</t>
  </si>
  <si>
    <t>++ Aggregate Investments by Other schemes of Sundaram Mutual Fund - Rs.15,725.19 Lakhs</t>
  </si>
  <si>
    <t>HDFC Bank Ltd - MD 18-07-2025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</si>
</sst>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1014009]###0.00%;\(###0.00%\)"/>
    <numFmt numFmtId="165" formatCode="[$-1014009]###0.00;\(###0.00\)"/>
    <numFmt numFmtId="166" formatCode="[$-1014009]General"/>
    <numFmt numFmtId="167" formatCode="[$-1014009]###0;\(###0\)"/>
    <numFmt numFmtId="168" formatCode="[$-1014009]###0.0000;\(###0.0000\)"/>
    <numFmt numFmtId="169" formatCode="[$-1014009]#,##0.00\ %;\(#,##0.00\)"/>
    <numFmt numFmtId="170" formatCode="[$-1014009]#.0000"/>
    <numFmt numFmtId="171" formatCode="[$-1014009]#,##0.00;\(#,##0.00\)"/>
    <numFmt numFmtId="172" formatCode="dd\-mmm\-yyyy"/>
    <numFmt numFmtId="173" formatCode="[$-1014009]#,##0;\(#,##0\)"/>
    <numFmt numFmtId="174" formatCode="_(* #,##0.00_);_(* \(#,##0.00\);_(* &quot;-&quot;??_);_(@_)"/>
    <numFmt numFmtId="175" formatCode="dd/mmm/yyyy"/>
  </numFmts>
  <fonts count="35" x14ac:knownFonts="1">
    <font>
      <sz val="10"/>
      <name val="Arial"/>
      <charset val="1"/>
    </font>
    <font>
      <sz val="11"/>
      <color theme="1"/>
      <name val="Aptos Narrow"/>
      <family val="2"/>
      <scheme val="minor"/>
    </font>
    <font>
      <sz val="10"/>
      <color indexed="8"/>
      <name val="Calibri"/>
      <family val="2"/>
    </font>
    <font>
      <b/>
      <sz val="10"/>
      <color indexed="8"/>
      <name val="Calibri"/>
      <family val="2"/>
    </font>
    <font>
      <b/>
      <i/>
      <sz val="10"/>
      <color indexed="8"/>
      <name val="Calibri"/>
      <family val="2"/>
    </font>
    <font>
      <sz val="10"/>
      <name val="Arial"/>
      <family val="2"/>
    </font>
    <font>
      <sz val="10"/>
      <name val="Arial"/>
      <family val="2"/>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b/>
      <i/>
      <sz val="10"/>
      <color indexed="8"/>
      <name val="Calibri"/>
      <family val="2"/>
    </font>
    <font>
      <sz val="10"/>
      <name val="Calibri"/>
      <family val="2"/>
    </font>
    <font>
      <b/>
      <sz val="10"/>
      <name val="Calibri"/>
      <family val="2"/>
    </font>
    <font>
      <b/>
      <sz val="10"/>
      <name val="Arial"/>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0"/>
      <color theme="1"/>
      <name val="Calibri"/>
      <family val="2"/>
    </font>
    <font>
      <sz val="10"/>
      <color theme="1"/>
      <name val="Calibri"/>
      <family val="2"/>
    </font>
    <font>
      <b/>
      <sz val="11"/>
      <name val="Aptos Narrow"/>
      <family val="2"/>
      <scheme val="minor"/>
    </font>
  </fonts>
  <fills count="2">
    <fill>
      <patternFill patternType="none"/>
    </fill>
    <fill>
      <patternFill patternType="gray125"/>
    </fill>
  </fills>
  <borders count="2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s>
  <cellStyleXfs count="12">
    <xf numFmtId="0" fontId="0" fillId="0" borderId="0">
      <alignment wrapText="1"/>
    </xf>
    <xf numFmtId="9" fontId="5" fillId="0" borderId="0" applyFont="0" applyFill="0" applyBorder="0" applyAlignment="0" applyProtection="0"/>
    <xf numFmtId="43" fontId="6" fillId="0" borderId="0" applyFont="0" applyFill="0" applyBorder="0" applyAlignment="0" applyProtection="0"/>
    <xf numFmtId="0" fontId="8" fillId="0" borderId="0" applyNumberFormat="0" applyFill="0" applyBorder="0" applyAlignment="0" applyProtection="0">
      <alignment wrapText="1"/>
    </xf>
    <xf numFmtId="0" fontId="1" fillId="0" borderId="0"/>
    <xf numFmtId="0" fontId="1" fillId="0" borderId="0"/>
    <xf numFmtId="0" fontId="6" fillId="0" borderId="0">
      <alignment wrapText="1"/>
    </xf>
    <xf numFmtId="43" fontId="6" fillId="0" borderId="0" applyFont="0" applyFill="0" applyBorder="0" applyAlignment="0" applyProtection="0"/>
    <xf numFmtId="9" fontId="23" fillId="0" borderId="0" applyFont="0" applyFill="0" applyBorder="0" applyAlignment="0" applyProtection="0"/>
    <xf numFmtId="43" fontId="6" fillId="0" borderId="0" applyFont="0" applyFill="0" applyBorder="0" applyAlignment="0" applyProtection="0"/>
    <xf numFmtId="0" fontId="1" fillId="0" borderId="0"/>
    <xf numFmtId="0" fontId="1" fillId="0" borderId="0"/>
  </cellStyleXfs>
  <cellXfs count="221">
    <xf numFmtId="0" fontId="0" fillId="0" borderId="0" xfId="0">
      <alignment wrapText="1"/>
    </xf>
    <xf numFmtId="0" fontId="9" fillId="0" borderId="0" xfId="3" applyFont="1" applyFill="1" applyBorder="1" applyAlignment="1">
      <alignment horizontal="center" vertical="center" wrapText="1"/>
    </xf>
    <xf numFmtId="0" fontId="15" fillId="0" borderId="7" xfId="3" applyFont="1" applyFill="1" applyBorder="1" applyAlignment="1">
      <alignment vertical="center"/>
    </xf>
    <xf numFmtId="4" fontId="22" fillId="0" borderId="12" xfId="8" applyNumberFormat="1" applyFont="1" applyFill="1" applyBorder="1"/>
    <xf numFmtId="4" fontId="22" fillId="0" borderId="0" xfId="8" applyNumberFormat="1" applyFont="1" applyFill="1" applyBorder="1"/>
    <xf numFmtId="43" fontId="22" fillId="0" borderId="12" xfId="9" applyFont="1" applyFill="1" applyBorder="1"/>
    <xf numFmtId="43" fontId="22" fillId="0" borderId="0" xfId="7" applyFont="1" applyFill="1" applyBorder="1"/>
    <xf numFmtId="173" fontId="11" fillId="0" borderId="4" xfId="0" quotePrefix="1" applyNumberFormat="1" applyFont="1" applyBorder="1" applyAlignment="1">
      <alignment horizontal="left" vertical="center" wrapText="1" readingOrder="1"/>
    </xf>
    <xf numFmtId="0" fontId="11" fillId="0" borderId="4" xfId="0" applyFont="1" applyBorder="1" applyAlignment="1">
      <alignment horizontal="left" vertical="center" wrapText="1" readingOrder="1"/>
    </xf>
    <xf numFmtId="0" fontId="2" fillId="0" borderId="4" xfId="0" applyFont="1" applyBorder="1" applyAlignment="1">
      <alignment horizontal="left" vertical="center" wrapText="1" readingOrder="1"/>
    </xf>
    <xf numFmtId="0" fontId="17" fillId="0" borderId="5" xfId="0" applyFont="1" applyBorder="1" applyAlignment="1">
      <alignment horizontal="right" vertical="center" wrapText="1" readingOrder="1"/>
    </xf>
    <xf numFmtId="0" fontId="2" fillId="0" borderId="4" xfId="0" applyFont="1" applyBorder="1" applyAlignment="1">
      <alignment horizontal="right" vertical="top" wrapText="1" readingOrder="1"/>
    </xf>
    <xf numFmtId="0" fontId="14" fillId="0" borderId="0" xfId="5" applyFont="1"/>
    <xf numFmtId="0" fontId="7" fillId="0" borderId="7" xfId="0" applyFont="1" applyBorder="1" applyAlignment="1">
      <alignment horizontal="center" vertical="center" wrapText="1" readingOrder="1"/>
    </xf>
    <xf numFmtId="43" fontId="7" fillId="0" borderId="7" xfId="2" applyFont="1" applyFill="1" applyBorder="1" applyAlignment="1">
      <alignment horizontal="center" vertical="center" wrapText="1" readingOrder="1"/>
    </xf>
    <xf numFmtId="0" fontId="0" fillId="0" borderId="0" xfId="0" applyAlignment="1">
      <alignment horizontal="center" vertical="center" wrapText="1"/>
    </xf>
    <xf numFmtId="0" fontId="10" fillId="0" borderId="4" xfId="0" applyFont="1" applyBorder="1" applyAlignment="1">
      <alignment horizontal="right" vertical="top" wrapText="1" readingOrder="1"/>
    </xf>
    <xf numFmtId="165" fontId="10" fillId="0" borderId="8" xfId="0" applyNumberFormat="1" applyFont="1" applyBorder="1" applyAlignment="1">
      <alignment horizontal="right" vertical="center" wrapText="1" readingOrder="1"/>
    </xf>
    <xf numFmtId="0" fontId="3" fillId="0" borderId="4" xfId="0" applyFont="1" applyBorder="1" applyAlignment="1">
      <alignment horizontal="left" vertical="center" wrapText="1" readingOrder="1"/>
    </xf>
    <xf numFmtId="0" fontId="3" fillId="0" borderId="4" xfId="0" applyFont="1" applyBorder="1" applyAlignment="1">
      <alignment horizontal="right" vertical="center" wrapText="1" readingOrder="1"/>
    </xf>
    <xf numFmtId="164" fontId="3"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166" fontId="2" fillId="0" borderId="4" xfId="0" applyNumberFormat="1" applyFont="1" applyBorder="1" applyAlignment="1">
      <alignment horizontal="right" vertical="center" wrapText="1" readingOrder="1"/>
    </xf>
    <xf numFmtId="167" fontId="2" fillId="0" borderId="4" xfId="0" applyNumberFormat="1" applyFont="1" applyBorder="1" applyAlignment="1">
      <alignment horizontal="right" vertical="center" wrapText="1" readingOrder="1"/>
    </xf>
    <xf numFmtId="165" fontId="2" fillId="0" borderId="4" xfId="0" applyNumberFormat="1" applyFont="1" applyBorder="1" applyAlignment="1">
      <alignment horizontal="right" vertical="center" wrapText="1" readingOrder="1"/>
    </xf>
    <xf numFmtId="164" fontId="2" fillId="0" borderId="4" xfId="0" applyNumberFormat="1" applyFont="1" applyBorder="1" applyAlignment="1">
      <alignment horizontal="right" vertical="center" wrapText="1" readingOrder="1"/>
    </xf>
    <xf numFmtId="0" fontId="2" fillId="0" borderId="4" xfId="0" applyFont="1" applyBorder="1" applyAlignment="1">
      <alignment horizontal="right" vertical="center" wrapText="1" readingOrder="1"/>
    </xf>
    <xf numFmtId="169" fontId="3" fillId="0" borderId="4" xfId="0" applyNumberFormat="1" applyFont="1" applyBorder="1" applyAlignment="1">
      <alignment horizontal="right" vertical="center" wrapText="1" readingOrder="1"/>
    </xf>
    <xf numFmtId="0" fontId="17" fillId="0" borderId="5" xfId="0" applyFont="1" applyBorder="1" applyAlignment="1">
      <alignment horizontal="left" vertical="center" wrapText="1" readingOrder="1"/>
    </xf>
    <xf numFmtId="0" fontId="17" fillId="0" borderId="0" xfId="0" applyFont="1" applyAlignment="1">
      <alignment horizontal="left" vertical="center" wrapText="1" readingOrder="1"/>
    </xf>
    <xf numFmtId="0" fontId="10" fillId="0" borderId="0" xfId="0" applyFont="1" applyAlignment="1">
      <alignment horizontal="left" vertical="center" wrapText="1" readingOrder="1"/>
    </xf>
    <xf numFmtId="0" fontId="17" fillId="0" borderId="0" xfId="0" applyFont="1" applyAlignment="1">
      <alignment horizontal="right" vertical="center" wrapText="1" readingOrder="1"/>
    </xf>
    <xf numFmtId="0" fontId="17" fillId="0" borderId="6" xfId="0" applyFont="1" applyBorder="1" applyAlignment="1">
      <alignment horizontal="right" vertical="center" wrapText="1" readingOrder="1"/>
    </xf>
    <xf numFmtId="0" fontId="17" fillId="0" borderId="4" xfId="0" applyFont="1" applyBorder="1" applyAlignment="1">
      <alignment horizontal="right" vertical="center" wrapText="1" readingOrder="1"/>
    </xf>
    <xf numFmtId="0" fontId="10" fillId="0" borderId="0" xfId="0" applyFont="1" applyAlignment="1">
      <alignment horizontal="right" vertical="top" wrapText="1" readingOrder="1"/>
    </xf>
    <xf numFmtId="0" fontId="11" fillId="0" borderId="4" xfId="0" applyFont="1" applyBorder="1" applyAlignment="1">
      <alignment horizontal="right" vertical="top" wrapText="1" readingOrder="1"/>
    </xf>
    <xf numFmtId="0" fontId="11" fillId="0" borderId="4" xfId="0" applyFont="1" applyBorder="1" applyAlignment="1">
      <alignment horizontal="left" vertical="top" wrapText="1" readingOrder="1"/>
    </xf>
    <xf numFmtId="172" fontId="11" fillId="0" borderId="4" xfId="0" applyNumberFormat="1" applyFont="1" applyBorder="1" applyAlignment="1">
      <alignment horizontal="right" vertical="top" wrapText="1" readingOrder="1"/>
    </xf>
    <xf numFmtId="0" fontId="2" fillId="0" borderId="0" xfId="0" applyFont="1" applyAlignment="1">
      <alignment horizontal="right" vertical="top" wrapText="1" readingOrder="1"/>
    </xf>
    <xf numFmtId="170" fontId="2" fillId="0" borderId="4" xfId="0" applyNumberFormat="1" applyFont="1" applyBorder="1" applyAlignment="1">
      <alignment horizontal="right" vertical="center" wrapText="1" readingOrder="1"/>
    </xf>
    <xf numFmtId="0" fontId="2" fillId="0" borderId="0" xfId="0" applyFont="1" applyAlignment="1">
      <alignment horizontal="left" vertical="center" wrapText="1" readingOrder="1"/>
    </xf>
    <xf numFmtId="0" fontId="2" fillId="0" borderId="0" xfId="0" applyFont="1" applyAlignment="1">
      <alignment horizontal="right" vertical="center" wrapText="1" readingOrder="1"/>
    </xf>
    <xf numFmtId="0" fontId="0" fillId="0" borderId="0" xfId="0" applyAlignment="1">
      <alignment horizontal="center" vertical="top" readingOrder="1"/>
    </xf>
    <xf numFmtId="0" fontId="11" fillId="0" borderId="12" xfId="0" applyFont="1" applyBorder="1" applyAlignment="1">
      <alignment horizontal="left" vertical="center" wrapText="1" readingOrder="1"/>
    </xf>
    <xf numFmtId="0" fontId="11" fillId="0" borderId="20" xfId="0" applyFont="1" applyBorder="1" applyAlignment="1">
      <alignment horizontal="left" vertical="center" wrapText="1" readingOrder="1"/>
    </xf>
    <xf numFmtId="0" fontId="10" fillId="0" borderId="6" xfId="0" applyFont="1" applyBorder="1" applyAlignment="1">
      <alignment horizontal="right" vertical="top" wrapText="1" readingOrder="1"/>
    </xf>
    <xf numFmtId="0" fontId="6" fillId="0" borderId="0" xfId="6">
      <alignment wrapText="1"/>
    </xf>
    <xf numFmtId="0" fontId="18" fillId="0" borderId="0" xfId="0" applyFont="1" applyAlignment="1">
      <alignment vertical="center" wrapText="1"/>
    </xf>
    <xf numFmtId="0" fontId="0" fillId="0" borderId="0" xfId="0" applyAlignment="1">
      <alignment vertical="center" wrapText="1"/>
    </xf>
    <xf numFmtId="0" fontId="19" fillId="0" borderId="12" xfId="0" applyFont="1" applyBorder="1" applyAlignment="1">
      <alignment horizontal="center" vertical="center" wrapText="1"/>
    </xf>
    <xf numFmtId="0" fontId="18" fillId="0" borderId="12" xfId="0" applyFont="1" applyBorder="1" applyAlignment="1">
      <alignment vertical="center" wrapText="1"/>
    </xf>
    <xf numFmtId="0" fontId="18" fillId="0" borderId="12" xfId="0" applyFont="1" applyBorder="1" applyAlignment="1">
      <alignment horizontal="justify" vertical="center" wrapText="1"/>
    </xf>
    <xf numFmtId="171" fontId="11" fillId="0" borderId="4" xfId="0" applyNumberFormat="1" applyFont="1" applyBorder="1" applyAlignment="1">
      <alignment horizontal="left" vertical="center" wrapText="1" readingOrder="1"/>
    </xf>
    <xf numFmtId="173" fontId="11" fillId="0" borderId="4" xfId="0" applyNumberFormat="1" applyFont="1" applyBorder="1" applyAlignment="1">
      <alignment horizontal="left" vertical="center" wrapText="1" readingOrder="1"/>
    </xf>
    <xf numFmtId="43" fontId="0" fillId="0" borderId="0" xfId="7" applyFont="1" applyFill="1" applyAlignment="1">
      <alignment wrapText="1"/>
    </xf>
    <xf numFmtId="0" fontId="20" fillId="0" borderId="0" xfId="0" applyFont="1" applyAlignment="1"/>
    <xf numFmtId="0" fontId="0" fillId="0" borderId="0" xfId="0" applyAlignment="1"/>
    <xf numFmtId="166" fontId="10" fillId="0" borderId="4" xfId="0" applyNumberFormat="1" applyFont="1" applyBorder="1" applyAlignment="1">
      <alignment horizontal="right" vertical="center" wrapText="1" readingOrder="1"/>
    </xf>
    <xf numFmtId="0" fontId="10" fillId="0" borderId="4" xfId="0" applyFont="1" applyBorder="1" applyAlignment="1">
      <alignment horizontal="left" vertical="center" wrapText="1" readingOrder="1"/>
    </xf>
    <xf numFmtId="167" fontId="10" fillId="0" borderId="4" xfId="0" applyNumberFormat="1" applyFont="1" applyBorder="1" applyAlignment="1">
      <alignment horizontal="right" vertical="center" wrapText="1" readingOrder="1"/>
    </xf>
    <xf numFmtId="165" fontId="10" fillId="0" borderId="4" xfId="0" applyNumberFormat="1" applyFont="1" applyBorder="1" applyAlignment="1">
      <alignment horizontal="right" vertical="center" wrapText="1" readingOrder="1"/>
    </xf>
    <xf numFmtId="164" fontId="10" fillId="0" borderId="4" xfId="0" applyNumberFormat="1" applyFont="1" applyBorder="1" applyAlignment="1">
      <alignment horizontal="right" vertical="center" wrapText="1" readingOrder="1"/>
    </xf>
    <xf numFmtId="0" fontId="20" fillId="0" borderId="0" xfId="0" applyFont="1" applyAlignment="1">
      <alignment horizontal="center" vertical="center" wrapText="1"/>
    </xf>
    <xf numFmtId="0" fontId="17" fillId="0" borderId="4" xfId="0" applyFont="1" applyBorder="1" applyAlignment="1">
      <alignment horizontal="left" vertical="center" wrapText="1" readingOrder="1"/>
    </xf>
    <xf numFmtId="0" fontId="18" fillId="0" borderId="0" xfId="0" applyFont="1">
      <alignment wrapText="1"/>
    </xf>
    <xf numFmtId="168" fontId="10" fillId="0" borderId="4" xfId="0" applyNumberFormat="1" applyFont="1" applyBorder="1" applyAlignment="1">
      <alignment horizontal="right" vertical="center" wrapText="1" readingOrder="1"/>
    </xf>
    <xf numFmtId="165" fontId="11" fillId="0" borderId="4" xfId="0" applyNumberFormat="1" applyFont="1" applyBorder="1" applyAlignment="1">
      <alignment horizontal="right" vertical="center" wrapText="1" readingOrder="1"/>
    </xf>
    <xf numFmtId="164" fontId="11" fillId="0" borderId="4" xfId="0" applyNumberFormat="1" applyFont="1" applyBorder="1" applyAlignment="1">
      <alignment horizontal="right" vertical="center" wrapText="1" readingOrder="1"/>
    </xf>
    <xf numFmtId="14" fontId="18" fillId="0" borderId="12" xfId="0" quotePrefix="1" applyNumberFormat="1" applyFont="1" applyBorder="1" applyAlignment="1">
      <alignment horizontal="justify" vertical="center" wrapText="1"/>
    </xf>
    <xf numFmtId="0" fontId="21" fillId="0" borderId="12" xfId="4" applyFont="1" applyBorder="1" applyAlignment="1">
      <alignment horizontal="center" vertical="center"/>
    </xf>
    <xf numFmtId="0" fontId="21" fillId="0" borderId="12" xfId="4" applyFont="1" applyBorder="1" applyAlignment="1">
      <alignment horizontal="center" vertical="center" wrapText="1"/>
    </xf>
    <xf numFmtId="0" fontId="6" fillId="0" borderId="0" xfId="6" applyAlignment="1">
      <alignment vertical="center" wrapText="1"/>
    </xf>
    <xf numFmtId="0" fontId="22" fillId="0" borderId="12" xfId="4" applyFont="1" applyBorder="1" applyAlignment="1">
      <alignment vertical="center"/>
    </xf>
    <xf numFmtId="0" fontId="22" fillId="0" borderId="12" xfId="4" applyFont="1" applyBorder="1" applyAlignment="1">
      <alignment wrapText="1"/>
    </xf>
    <xf numFmtId="0" fontId="22" fillId="0" borderId="12" xfId="4" applyFont="1" applyBorder="1"/>
    <xf numFmtId="0" fontId="21" fillId="0" borderId="12" xfId="4" applyFont="1" applyBorder="1" applyAlignment="1">
      <alignment horizontal="center"/>
    </xf>
    <xf numFmtId="4" fontId="22" fillId="0" borderId="12" xfId="4" applyNumberFormat="1" applyFont="1" applyBorder="1"/>
    <xf numFmtId="2" fontId="22" fillId="0" borderId="12" xfId="4" applyNumberFormat="1" applyFont="1" applyBorder="1"/>
    <xf numFmtId="4" fontId="6" fillId="0" borderId="12" xfId="6" applyNumberFormat="1" applyBorder="1">
      <alignment wrapText="1"/>
    </xf>
    <xf numFmtId="0" fontId="24" fillId="0" borderId="0" xfId="0" applyFont="1" applyAlignment="1"/>
    <xf numFmtId="0" fontId="8" fillId="0" borderId="0" xfId="3" applyFill="1" applyAlignment="1"/>
    <xf numFmtId="0" fontId="20" fillId="0" borderId="0" xfId="0" applyFont="1">
      <alignment wrapText="1"/>
    </xf>
    <xf numFmtId="0" fontId="11" fillId="0" borderId="4" xfId="0" applyFont="1" applyBorder="1" applyAlignment="1">
      <alignment horizontal="center" vertical="center" wrapText="1" readingOrder="1"/>
    </xf>
    <xf numFmtId="0" fontId="1" fillId="0" borderId="0" xfId="11" applyAlignment="1">
      <alignment wrapText="1"/>
    </xf>
    <xf numFmtId="0" fontId="32" fillId="0" borderId="12" xfId="11" applyFont="1" applyBorder="1" applyAlignment="1">
      <alignment horizontal="center" vertical="center"/>
    </xf>
    <xf numFmtId="0" fontId="32" fillId="0" borderId="0" xfId="11" applyFont="1" applyAlignment="1">
      <alignment horizontal="center" vertical="center"/>
    </xf>
    <xf numFmtId="0" fontId="33" fillId="0" borderId="12" xfId="11" applyFont="1" applyBorder="1" applyAlignment="1">
      <alignment vertical="center"/>
    </xf>
    <xf numFmtId="0" fontId="33" fillId="0" borderId="12" xfId="11" applyFont="1" applyBorder="1" applyAlignment="1">
      <alignment vertical="center" wrapText="1"/>
    </xf>
    <xf numFmtId="0" fontId="33" fillId="0" borderId="0" xfId="11" applyFont="1" applyAlignment="1">
      <alignment horizontal="center" vertical="center"/>
    </xf>
    <xf numFmtId="0" fontId="31" fillId="0" borderId="0" xfId="11" applyFont="1" applyAlignment="1">
      <alignment wrapText="1"/>
    </xf>
    <xf numFmtId="0" fontId="32" fillId="0" borderId="12" xfId="11" applyFont="1" applyBorder="1" applyAlignment="1">
      <alignment horizontal="center" vertical="center" wrapText="1"/>
    </xf>
    <xf numFmtId="0" fontId="34" fillId="0" borderId="0" xfId="11" applyFont="1" applyAlignment="1">
      <alignment horizontal="center" vertical="center"/>
    </xf>
    <xf numFmtId="0" fontId="33" fillId="0" borderId="12" xfId="11" applyFont="1" applyBorder="1" applyAlignment="1">
      <alignment horizontal="left" vertical="center"/>
    </xf>
    <xf numFmtId="4" fontId="33" fillId="0" borderId="12" xfId="11" applyNumberFormat="1" applyFont="1" applyBorder="1" applyAlignment="1">
      <alignment horizontal="right" vertical="center"/>
    </xf>
    <xf numFmtId="10" fontId="33" fillId="0" borderId="12" xfId="8" applyNumberFormat="1" applyFont="1" applyFill="1" applyBorder="1" applyAlignment="1">
      <alignment vertical="center"/>
    </xf>
    <xf numFmtId="43" fontId="31" fillId="0" borderId="0" xfId="7" applyFont="1" applyFill="1" applyAlignment="1">
      <alignment vertical="center"/>
    </xf>
    <xf numFmtId="43" fontId="33" fillId="0" borderId="0" xfId="7" applyFont="1" applyFill="1" applyAlignment="1">
      <alignment horizontal="center" vertical="center"/>
    </xf>
    <xf numFmtId="164" fontId="18" fillId="0" borderId="4" xfId="0" applyNumberFormat="1" applyFont="1" applyBorder="1" applyAlignment="1">
      <alignment horizontal="right" vertical="center" wrapText="1" readingOrder="1"/>
    </xf>
    <xf numFmtId="165" fontId="10" fillId="0" borderId="12" xfId="0" applyNumberFormat="1" applyFont="1" applyBorder="1" applyAlignment="1">
      <alignment horizontal="right" vertical="center" wrapText="1" readingOrder="1"/>
    </xf>
    <xf numFmtId="10" fontId="0" fillId="0" borderId="0" xfId="1" applyNumberFormat="1" applyFont="1" applyFill="1" applyAlignment="1">
      <alignment wrapText="1"/>
    </xf>
    <xf numFmtId="0" fontId="17" fillId="0" borderId="12" xfId="0" applyFont="1" applyBorder="1" applyAlignment="1">
      <alignment horizontal="left" vertical="center" wrapText="1" readingOrder="1"/>
    </xf>
    <xf numFmtId="0" fontId="25" fillId="0" borderId="12" xfId="0" applyFont="1" applyBorder="1">
      <alignment wrapText="1"/>
    </xf>
    <xf numFmtId="0" fontId="17" fillId="0" borderId="12" xfId="0" applyFont="1" applyBorder="1" applyAlignment="1">
      <alignment horizontal="right" vertical="center" wrapText="1" readingOrder="1"/>
    </xf>
    <xf numFmtId="0" fontId="0" fillId="0" borderId="12" xfId="0" applyBorder="1">
      <alignment wrapText="1"/>
    </xf>
    <xf numFmtId="0" fontId="10" fillId="0" borderId="4" xfId="0" applyFont="1" applyBorder="1" applyAlignment="1">
      <alignment horizontal="right" vertical="center" wrapText="1" readingOrder="1"/>
    </xf>
    <xf numFmtId="0" fontId="24" fillId="0" borderId="0" xfId="10" applyFont="1"/>
    <xf numFmtId="0" fontId="0" fillId="0" borderId="0" xfId="0" applyAlignment="1">
      <alignment horizontal="center" vertical="center"/>
    </xf>
    <xf numFmtId="0" fontId="26" fillId="0" borderId="7" xfId="0" applyFont="1" applyBorder="1" applyAlignment="1">
      <alignment horizontal="center" vertical="center" wrapText="1"/>
    </xf>
    <xf numFmtId="0" fontId="27" fillId="0" borderId="7" xfId="0" applyFont="1" applyBorder="1" applyAlignment="1">
      <alignment horizontal="center" vertical="center" wrapText="1"/>
    </xf>
    <xf numFmtId="10" fontId="0" fillId="0" borderId="0" xfId="1" applyNumberFormat="1" applyFont="1" applyFill="1" applyAlignment="1">
      <alignment horizontal="center" vertical="center" wrapText="1"/>
    </xf>
    <xf numFmtId="0" fontId="0" fillId="0" borderId="0" xfId="0" applyAlignment="1">
      <alignment vertical="center"/>
    </xf>
    <xf numFmtId="0" fontId="28" fillId="0" borderId="7" xfId="0" applyFont="1" applyBorder="1" applyAlignment="1">
      <alignment vertical="center"/>
    </xf>
    <xf numFmtId="0" fontId="29" fillId="0" borderId="7" xfId="0" applyFont="1" applyBorder="1" applyAlignment="1">
      <alignment vertical="center" wrapText="1"/>
    </xf>
    <xf numFmtId="0" fontId="29" fillId="0" borderId="7" xfId="0" applyFont="1" applyBorder="1" applyAlignment="1">
      <alignment vertical="center"/>
    </xf>
    <xf numFmtId="43" fontId="28" fillId="0" borderId="7" xfId="7" applyFont="1" applyFill="1" applyBorder="1" applyAlignment="1">
      <alignment vertical="center"/>
    </xf>
    <xf numFmtId="175" fontId="28" fillId="0" borderId="7" xfId="0" applyNumberFormat="1" applyFont="1" applyBorder="1" applyAlignment="1">
      <alignment vertical="center"/>
    </xf>
    <xf numFmtId="10" fontId="0" fillId="0" borderId="0" xfId="1" applyNumberFormat="1" applyFont="1" applyFill="1" applyAlignment="1">
      <alignment vertical="center" wrapText="1"/>
    </xf>
    <xf numFmtId="10" fontId="30" fillId="0" borderId="0" xfId="1" applyNumberFormat="1" applyFont="1" applyFill="1" applyAlignment="1"/>
    <xf numFmtId="0" fontId="30" fillId="0" borderId="0" xfId="0" applyFont="1" applyAlignment="1"/>
    <xf numFmtId="0" fontId="19" fillId="0" borderId="0" xfId="0" applyFont="1" applyAlignment="1">
      <alignment vertical="center" readingOrder="1"/>
    </xf>
    <xf numFmtId="4" fontId="18" fillId="0" borderId="12" xfId="0" applyNumberFormat="1" applyFont="1" applyBorder="1" applyAlignment="1">
      <alignment vertical="center"/>
    </xf>
    <xf numFmtId="174" fontId="22" fillId="0" borderId="12" xfId="4" applyNumberFormat="1" applyFont="1" applyBorder="1"/>
    <xf numFmtId="0" fontId="22" fillId="0" borderId="0" xfId="4" applyFont="1"/>
    <xf numFmtId="0" fontId="22" fillId="0" borderId="0" xfId="4" applyFont="1" applyAlignment="1">
      <alignment wrapText="1"/>
    </xf>
    <xf numFmtId="4" fontId="18" fillId="0" borderId="0" xfId="0" applyNumberFormat="1" applyFont="1" applyAlignment="1">
      <alignment vertical="center"/>
    </xf>
    <xf numFmtId="174" fontId="22" fillId="0" borderId="0" xfId="4" applyNumberFormat="1" applyFont="1"/>
    <xf numFmtId="0" fontId="22" fillId="0" borderId="0" xfId="4" applyFont="1" applyAlignment="1">
      <alignment vertical="center" wrapText="1"/>
    </xf>
    <xf numFmtId="0" fontId="24" fillId="0" borderId="0" xfId="0" applyFont="1" applyAlignment="1">
      <alignment horizontal="left" vertical="top" readingOrder="1"/>
    </xf>
    <xf numFmtId="43" fontId="22" fillId="0" borderId="12" xfId="7" applyFont="1" applyFill="1" applyBorder="1"/>
    <xf numFmtId="4" fontId="22" fillId="0" borderId="0" xfId="4" applyNumberFormat="1" applyFont="1"/>
    <xf numFmtId="0" fontId="11" fillId="0" borderId="0" xfId="0" applyFont="1" applyAlignment="1">
      <alignment horizontal="left" vertical="center" wrapText="1" readingOrder="1"/>
    </xf>
    <xf numFmtId="2" fontId="0" fillId="0" borderId="0" xfId="0" applyNumberFormat="1">
      <alignment wrapText="1"/>
    </xf>
    <xf numFmtId="9" fontId="0" fillId="0" borderId="0" xfId="1" applyFont="1" applyFill="1" applyAlignment="1">
      <alignment wrapText="1"/>
    </xf>
    <xf numFmtId="0" fontId="17" fillId="0" borderId="0" xfId="6" applyFont="1" applyAlignment="1">
      <alignment horizontal="left" vertical="center" wrapText="1" readingOrder="1"/>
    </xf>
    <xf numFmtId="0" fontId="10" fillId="0" borderId="5" xfId="0" applyFont="1" applyBorder="1" applyAlignment="1">
      <alignment horizontal="left" vertical="center" wrapText="1" readingOrder="1"/>
    </xf>
    <xf numFmtId="0" fontId="11" fillId="0" borderId="5" xfId="0" applyFont="1" applyBorder="1" applyAlignment="1">
      <alignment horizontal="left" vertical="center" wrapText="1" readingOrder="1"/>
    </xf>
    <xf numFmtId="0" fontId="10" fillId="0" borderId="0" xfId="0" applyFont="1" applyAlignment="1">
      <alignment horizontal="right" vertical="center" wrapText="1" readingOrder="1"/>
    </xf>
    <xf numFmtId="0" fontId="12" fillId="0" borderId="7" xfId="4" applyFont="1" applyBorder="1" applyAlignment="1">
      <alignment horizontal="center"/>
    </xf>
    <xf numFmtId="0" fontId="13" fillId="0" borderId="7" xfId="4" applyFont="1" applyBorder="1" applyAlignment="1">
      <alignment horizontal="center" vertical="center"/>
    </xf>
    <xf numFmtId="0" fontId="14" fillId="0" borderId="7" xfId="4" applyFont="1" applyBorder="1" applyAlignment="1">
      <alignment horizontal="center"/>
    </xf>
    <xf numFmtId="0" fontId="16" fillId="0" borderId="7" xfId="4" applyFont="1" applyBorder="1" applyAlignment="1">
      <alignment vertical="top"/>
    </xf>
    <xf numFmtId="0" fontId="10" fillId="0" borderId="12" xfId="0" applyFont="1" applyBorder="1" applyAlignment="1">
      <alignment horizontal="left" vertical="center" wrapText="1" readingOrder="1"/>
    </xf>
    <xf numFmtId="0" fontId="10" fillId="0" borderId="9" xfId="0" applyFont="1" applyBorder="1" applyAlignment="1">
      <alignment horizontal="left" vertical="center" wrapText="1" readingOrder="1"/>
    </xf>
    <xf numFmtId="0" fontId="10" fillId="0" borderId="11" xfId="0" applyFont="1" applyBorder="1" applyAlignment="1">
      <alignment horizontal="left" vertical="center" wrapText="1" readingOrder="1"/>
    </xf>
    <xf numFmtId="0" fontId="10" fillId="0" borderId="10" xfId="0" applyFont="1" applyBorder="1" applyAlignment="1">
      <alignment horizontal="left" vertical="center" wrapText="1" readingOrder="1"/>
    </xf>
    <xf numFmtId="0" fontId="7" fillId="0" borderId="7" xfId="0" applyFont="1" applyBorder="1" applyAlignment="1">
      <alignment horizontal="center" vertical="center" wrapText="1" readingOrder="1"/>
    </xf>
    <xf numFmtId="0" fontId="10" fillId="0" borderId="0" xfId="0" applyFont="1" applyAlignment="1">
      <alignment horizontal="left" vertical="center" wrapText="1" readingOrder="1"/>
    </xf>
    <xf numFmtId="0" fontId="11" fillId="0" borderId="1" xfId="0" applyFont="1" applyBorder="1" applyAlignment="1">
      <alignment horizontal="left" vertical="center" wrapText="1" readingOrder="1"/>
    </xf>
    <xf numFmtId="0" fontId="11" fillId="0" borderId="2"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10" fillId="0" borderId="1" xfId="0" applyFont="1" applyBorder="1" applyAlignment="1">
      <alignment horizontal="left" vertical="center" wrapText="1" readingOrder="1"/>
    </xf>
    <xf numFmtId="0" fontId="10" fillId="0" borderId="3" xfId="0" applyFont="1" applyBorder="1" applyAlignment="1">
      <alignment horizontal="left" vertical="center" wrapText="1" readingOrder="1"/>
    </xf>
    <xf numFmtId="0" fontId="11" fillId="0" borderId="12" xfId="0" applyFont="1" applyBorder="1" applyAlignment="1">
      <alignment horizontal="center" vertical="center" wrapText="1" readingOrder="1"/>
    </xf>
    <xf numFmtId="0" fontId="2" fillId="0" borderId="1" xfId="0" applyFont="1" applyBorder="1" applyAlignment="1">
      <alignment horizontal="left" vertical="center" wrapText="1" readingOrder="1"/>
    </xf>
    <xf numFmtId="0" fontId="2" fillId="0" borderId="3" xfId="0" applyFont="1" applyBorder="1" applyAlignment="1">
      <alignment horizontal="left" vertical="center" wrapText="1" readingOrder="1"/>
    </xf>
    <xf numFmtId="0" fontId="19" fillId="0" borderId="9" xfId="0" applyFont="1" applyBorder="1" applyAlignment="1">
      <alignment horizontal="center" vertical="center"/>
    </xf>
    <xf numFmtId="0" fontId="19" fillId="0" borderId="10" xfId="0" applyFont="1" applyBorder="1" applyAlignment="1">
      <alignment horizontal="center" vertical="center"/>
    </xf>
    <xf numFmtId="0" fontId="19" fillId="0" borderId="11" xfId="0" applyFont="1" applyBorder="1" applyAlignment="1">
      <alignment horizontal="center" vertical="center"/>
    </xf>
    <xf numFmtId="0" fontId="10" fillId="0" borderId="13" xfId="0" applyFont="1" applyBorder="1" applyAlignment="1">
      <alignment horizontal="left" vertical="center" wrapText="1" readingOrder="1"/>
    </xf>
    <xf numFmtId="0" fontId="10" fillId="0" borderId="0" xfId="6" quotePrefix="1" applyFont="1" applyAlignment="1">
      <alignment horizontal="left" vertical="center" wrapText="1" readingOrder="1"/>
    </xf>
    <xf numFmtId="0" fontId="10" fillId="0" borderId="0" xfId="6" applyFont="1" applyAlignment="1">
      <alignment horizontal="left" vertical="center" wrapText="1" readingOrder="1"/>
    </xf>
    <xf numFmtId="0" fontId="11" fillId="0" borderId="9" xfId="0" applyFont="1" applyBorder="1" applyAlignment="1">
      <alignment horizontal="center" vertical="center" wrapText="1" readingOrder="1"/>
    </xf>
    <xf numFmtId="0" fontId="11" fillId="0" borderId="11" xfId="0" applyFont="1" applyBorder="1" applyAlignment="1">
      <alignment horizontal="center" vertical="center" wrapText="1" readingOrder="1"/>
    </xf>
    <xf numFmtId="0" fontId="22" fillId="0" borderId="0" xfId="4" applyFont="1" applyAlignment="1">
      <alignment horizontal="justify" vertical="center" wrapText="1"/>
    </xf>
    <xf numFmtId="0" fontId="21" fillId="0" borderId="14" xfId="4" applyFont="1" applyBorder="1" applyAlignment="1">
      <alignment horizontal="center" vertical="center" wrapText="1"/>
    </xf>
    <xf numFmtId="0" fontId="21" fillId="0" borderId="8" xfId="4" applyFont="1" applyBorder="1" applyAlignment="1">
      <alignment horizontal="center" vertical="center" wrapText="1"/>
    </xf>
    <xf numFmtId="0" fontId="21" fillId="0" borderId="14" xfId="4" applyFont="1" applyBorder="1" applyAlignment="1">
      <alignment horizontal="center" vertical="center"/>
    </xf>
    <xf numFmtId="0" fontId="21" fillId="0" borderId="15" xfId="4" applyFont="1" applyBorder="1" applyAlignment="1">
      <alignment horizontal="center" vertical="center"/>
    </xf>
    <xf numFmtId="0" fontId="21" fillId="0" borderId="8" xfId="4" applyFont="1" applyBorder="1" applyAlignment="1">
      <alignment horizontal="center" vertical="center"/>
    </xf>
    <xf numFmtId="0" fontId="21" fillId="0" borderId="9" xfId="4" applyFont="1" applyBorder="1" applyAlignment="1">
      <alignment horizontal="center" vertical="center"/>
    </xf>
    <xf numFmtId="0" fontId="21" fillId="0" borderId="10" xfId="4" applyFont="1" applyBorder="1" applyAlignment="1">
      <alignment horizontal="center" vertical="center"/>
    </xf>
    <xf numFmtId="0" fontId="21" fillId="0" borderId="11" xfId="4" applyFont="1" applyBorder="1" applyAlignment="1">
      <alignment horizontal="center" vertical="center"/>
    </xf>
    <xf numFmtId="0" fontId="21" fillId="0" borderId="9" xfId="4" applyFont="1" applyBorder="1" applyAlignment="1">
      <alignment horizontal="center" vertical="center" wrapText="1"/>
    </xf>
    <xf numFmtId="0" fontId="21" fillId="0" borderId="10" xfId="4" applyFont="1" applyBorder="1" applyAlignment="1">
      <alignment horizontal="center" vertical="center" wrapText="1"/>
    </xf>
    <xf numFmtId="0" fontId="21" fillId="0" borderId="11" xfId="4" applyFont="1" applyBorder="1" applyAlignment="1">
      <alignment horizontal="center" vertical="center" wrapText="1"/>
    </xf>
    <xf numFmtId="0" fontId="21" fillId="0" borderId="16" xfId="4" applyFont="1" applyBorder="1" applyAlignment="1">
      <alignment horizontal="center" vertical="center" wrapText="1"/>
    </xf>
    <xf numFmtId="0" fontId="21" fillId="0" borderId="17" xfId="4" applyFont="1" applyBorder="1" applyAlignment="1">
      <alignment horizontal="center" vertical="center" wrapText="1"/>
    </xf>
    <xf numFmtId="0" fontId="21" fillId="0" borderId="12" xfId="4" applyFont="1" applyBorder="1" applyAlignment="1">
      <alignment horizontal="center" vertical="center"/>
    </xf>
    <xf numFmtId="0" fontId="21" fillId="0" borderId="12" xfId="4" applyFont="1" applyBorder="1" applyAlignment="1">
      <alignment horizontal="center" vertical="center" wrapText="1"/>
    </xf>
    <xf numFmtId="43" fontId="22" fillId="0" borderId="12" xfId="7" applyFont="1" applyFill="1" applyBorder="1" applyAlignment="1">
      <alignment horizontal="center"/>
    </xf>
    <xf numFmtId="0" fontId="22" fillId="0" borderId="12" xfId="4" applyFont="1" applyBorder="1" applyAlignment="1">
      <alignment horizontal="center"/>
    </xf>
    <xf numFmtId="0" fontId="21" fillId="0" borderId="12" xfId="4" applyFont="1" applyBorder="1" applyAlignment="1">
      <alignment horizontal="center"/>
    </xf>
    <xf numFmtId="0" fontId="21" fillId="0" borderId="12" xfId="4" applyFont="1" applyBorder="1" applyAlignment="1">
      <alignment horizontal="center" wrapText="1"/>
    </xf>
    <xf numFmtId="0" fontId="10" fillId="0" borderId="0" xfId="0" quotePrefix="1" applyFont="1" applyAlignment="1">
      <alignment horizontal="left" vertical="center" wrapText="1" readingOrder="1"/>
    </xf>
    <xf numFmtId="0" fontId="22" fillId="0" borderId="0" xfId="4" applyFont="1" applyAlignment="1">
      <alignment horizontal="left" vertical="center" wrapText="1"/>
    </xf>
    <xf numFmtId="0" fontId="21" fillId="0" borderId="0" xfId="4" applyFont="1" applyAlignment="1">
      <alignment horizontal="center"/>
    </xf>
    <xf numFmtId="43" fontId="22" fillId="0" borderId="9" xfId="7" applyFont="1" applyFill="1" applyBorder="1" applyAlignment="1">
      <alignment horizontal="center"/>
    </xf>
    <xf numFmtId="43" fontId="22" fillId="0" borderId="10" xfId="7" applyFont="1" applyFill="1" applyBorder="1" applyAlignment="1">
      <alignment horizontal="center"/>
    </xf>
    <xf numFmtId="43" fontId="22" fillId="0" borderId="11" xfId="7" applyFont="1" applyFill="1" applyBorder="1" applyAlignment="1">
      <alignment horizontal="center"/>
    </xf>
    <xf numFmtId="0" fontId="22" fillId="0" borderId="0" xfId="4" applyFont="1" applyAlignment="1">
      <alignment horizontal="center"/>
    </xf>
    <xf numFmtId="0" fontId="21" fillId="0" borderId="9" xfId="4" applyFont="1" applyBorder="1" applyAlignment="1">
      <alignment horizontal="center" wrapText="1"/>
    </xf>
    <xf numFmtId="0" fontId="21" fillId="0" borderId="10" xfId="4" applyFont="1" applyBorder="1" applyAlignment="1">
      <alignment horizontal="center" wrapText="1"/>
    </xf>
    <xf numFmtId="0" fontId="21" fillId="0" borderId="11" xfId="4" applyFont="1" applyBorder="1" applyAlignment="1">
      <alignment horizontal="center" wrapText="1"/>
    </xf>
    <xf numFmtId="0" fontId="21" fillId="0" borderId="9" xfId="4" applyFont="1" applyBorder="1" applyAlignment="1">
      <alignment horizontal="center"/>
    </xf>
    <xf numFmtId="0" fontId="21" fillId="0" borderId="11" xfId="4" applyFont="1" applyBorder="1" applyAlignment="1">
      <alignment horizontal="center"/>
    </xf>
    <xf numFmtId="0" fontId="24" fillId="0" borderId="0" xfId="0" applyFont="1" applyAlignment="1">
      <alignment horizontal="left" vertical="top" readingOrder="1"/>
    </xf>
    <xf numFmtId="0" fontId="10" fillId="0" borderId="0" xfId="0" applyFont="1" applyAlignment="1">
      <alignment horizontal="justify" vertical="top" wrapText="1" readingOrder="1"/>
    </xf>
    <xf numFmtId="0" fontId="33" fillId="0" borderId="9" xfId="11" applyFont="1" applyBorder="1" applyAlignment="1">
      <alignment horizontal="left" vertical="center" wrapText="1"/>
    </xf>
    <xf numFmtId="0" fontId="33" fillId="0" borderId="10" xfId="11" applyFont="1" applyBorder="1" applyAlignment="1">
      <alignment horizontal="left" vertical="center" wrapText="1"/>
    </xf>
    <xf numFmtId="0" fontId="33" fillId="0" borderId="11" xfId="11" applyFont="1" applyBorder="1" applyAlignment="1">
      <alignment horizontal="left" vertical="center" wrapText="1"/>
    </xf>
    <xf numFmtId="0" fontId="32" fillId="0" borderId="9" xfId="11" applyFont="1" applyBorder="1" applyAlignment="1">
      <alignment horizontal="center" vertical="center"/>
    </xf>
    <xf numFmtId="0" fontId="32" fillId="0" borderId="10" xfId="11" applyFont="1" applyBorder="1" applyAlignment="1">
      <alignment horizontal="center" vertical="center"/>
    </xf>
    <xf numFmtId="0" fontId="32" fillId="0" borderId="11" xfId="11" applyFont="1" applyBorder="1" applyAlignment="1">
      <alignment horizontal="center" vertical="center"/>
    </xf>
    <xf numFmtId="0" fontId="32" fillId="0" borderId="12" xfId="11" applyFont="1" applyBorder="1" applyAlignment="1">
      <alignment horizontal="center" vertical="center"/>
    </xf>
    <xf numFmtId="0" fontId="19" fillId="0" borderId="9" xfId="0" applyFont="1" applyBorder="1" applyAlignment="1">
      <alignment horizontal="left" vertical="center" readingOrder="1"/>
    </xf>
    <xf numFmtId="0" fontId="19" fillId="0" borderId="10" xfId="0" applyFont="1" applyBorder="1" applyAlignment="1">
      <alignment horizontal="left" vertical="center" readingOrder="1"/>
    </xf>
    <xf numFmtId="0" fontId="19" fillId="0" borderId="11" xfId="0" applyFont="1" applyBorder="1" applyAlignment="1">
      <alignment horizontal="left" vertical="center" readingOrder="1"/>
    </xf>
    <xf numFmtId="0" fontId="32" fillId="0" borderId="9" xfId="11" applyFont="1" applyBorder="1" applyAlignment="1">
      <alignment horizontal="center" vertical="center" wrapText="1"/>
    </xf>
    <xf numFmtId="0" fontId="32" fillId="0" borderId="11" xfId="11" applyFont="1" applyBorder="1" applyAlignment="1">
      <alignment horizontal="center" vertical="center" wrapText="1"/>
    </xf>
    <xf numFmtId="43" fontId="33" fillId="0" borderId="9" xfId="7" applyFont="1" applyFill="1" applyBorder="1" applyAlignment="1">
      <alignment horizontal="center" vertical="center"/>
    </xf>
    <xf numFmtId="43" fontId="33" fillId="0" borderId="11" xfId="7" applyFont="1" applyFill="1" applyBorder="1" applyAlignment="1">
      <alignment horizontal="center" vertical="center"/>
    </xf>
    <xf numFmtId="0" fontId="24" fillId="0" borderId="12" xfId="0" applyFont="1" applyBorder="1" applyAlignment="1">
      <alignment horizontal="left" vertical="top" readingOrder="1"/>
    </xf>
    <xf numFmtId="0" fontId="10" fillId="0" borderId="18" xfId="0" applyFont="1" applyBorder="1" applyAlignment="1">
      <alignment horizontal="left" vertical="center" wrapText="1" readingOrder="1"/>
    </xf>
    <xf numFmtId="0" fontId="10" fillId="0" borderId="19" xfId="0" applyFont="1" applyBorder="1" applyAlignment="1">
      <alignment horizontal="left" vertical="center" wrapText="1" readingOrder="1"/>
    </xf>
    <xf numFmtId="0" fontId="2" fillId="0" borderId="21" xfId="0" applyFont="1" applyFill="1" applyBorder="1" applyAlignment="1">
      <alignment horizontal="right" vertical="top" wrapText="1" readingOrder="1"/>
    </xf>
    <xf numFmtId="0" fontId="2" fillId="0" borderId="21" xfId="0" applyFont="1" applyFill="1" applyBorder="1" applyAlignment="1">
      <alignment horizontal="left" vertical="center" wrapText="1" readingOrder="1"/>
    </xf>
    <xf numFmtId="165" fontId="2" fillId="0" borderId="21" xfId="0" applyNumberFormat="1" applyFont="1" applyFill="1" applyBorder="1" applyAlignment="1">
      <alignment horizontal="right" vertical="center" wrapText="1" readingOrder="1"/>
    </xf>
    <xf numFmtId="164" fontId="2" fillId="0" borderId="4" xfId="0" applyNumberFormat="1" applyFont="1" applyFill="1" applyBorder="1" applyAlignment="1">
      <alignment horizontal="right" vertical="center" wrapText="1" readingOrder="1"/>
    </xf>
    <xf numFmtId="165" fontId="2" fillId="0" borderId="8" xfId="0" applyNumberFormat="1" applyFont="1" applyFill="1" applyBorder="1" applyAlignment="1">
      <alignment horizontal="right" vertical="center" wrapText="1" readingOrder="1"/>
    </xf>
  </cellXfs>
  <cellStyles count="12">
    <cellStyle name="Comma 2" xfId="7" xr:uid="{1D7C3BC1-FAA2-47D3-AD89-8C376FE0CF04}"/>
    <cellStyle name="Comma 2 2" xfId="9" xr:uid="{B6A428E9-CC5F-4277-A9B2-1F9B9262C09F}"/>
    <cellStyle name="Comma 3" xfId="2" xr:uid="{AA9BE168-A2A9-4FB7-87A8-8FA7709359BC}"/>
    <cellStyle name="Hyperlink 2" xfId="3" xr:uid="{8C3957E2-9600-4EDE-B041-C11A6CE77185}"/>
    <cellStyle name="Normal" xfId="0" builtinId="0"/>
    <cellStyle name="Normal 2 2 2" xfId="4" xr:uid="{0C141D80-57AA-4846-87C2-6761CBA9502C}"/>
    <cellStyle name="Normal 2 2 3" xfId="11" xr:uid="{418B994B-9BAE-43C9-9A82-311E996CD9E1}"/>
    <cellStyle name="Normal 2 3" xfId="5" xr:uid="{897DF732-0CAF-47D7-AB3A-FA1311B4A98C}"/>
    <cellStyle name="Normal 3" xfId="6" xr:uid="{6F8B778C-8775-4272-92BA-01E21AB5D470}"/>
    <cellStyle name="Normal 4" xfId="10" xr:uid="{79D758C8-35F1-4F81-A029-7D643BE7A91F}"/>
    <cellStyle name="Percent" xfId="1" builtinId="5"/>
    <cellStyle name="Percent 2" xfId="8" xr:uid="{8B084486-CA96-445D-B3D2-A680F993CB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147</xdr:row>
      <xdr:rowOff>0</xdr:rowOff>
    </xdr:from>
    <xdr:to>
      <xdr:col>2</xdr:col>
      <xdr:colOff>2095500</xdr:colOff>
      <xdr:row>148</xdr:row>
      <xdr:rowOff>27375</xdr:rowOff>
    </xdr:to>
    <xdr:pic>
      <xdr:nvPicPr>
        <xdr:cNvPr id="4" name="Picture 3">
          <a:extLst>
            <a:ext uri="{FF2B5EF4-FFF2-40B4-BE49-F238E27FC236}">
              <a16:creationId xmlns:a16="http://schemas.microsoft.com/office/drawing/2014/main" id="{65F9D07E-D934-40CA-A133-6F120CE01B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6860500"/>
          <a:ext cx="34480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57152</xdr:colOff>
      <xdr:row>152</xdr:row>
      <xdr:rowOff>180976</xdr:rowOff>
    </xdr:from>
    <xdr:to>
      <xdr:col>2</xdr:col>
      <xdr:colOff>2057400</xdr:colOff>
      <xdr:row>153</xdr:row>
      <xdr:rowOff>65476</xdr:rowOff>
    </xdr:to>
    <xdr:pic>
      <xdr:nvPicPr>
        <xdr:cNvPr id="5" name="Picture 4">
          <a:extLst>
            <a:ext uri="{FF2B5EF4-FFF2-40B4-BE49-F238E27FC236}">
              <a16:creationId xmlns:a16="http://schemas.microsoft.com/office/drawing/2014/main" id="{67DED525-3E0A-437A-AC8B-63B789B3B6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7" y="29641801"/>
          <a:ext cx="3352798"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148</xdr:row>
      <xdr:rowOff>0</xdr:rowOff>
    </xdr:from>
    <xdr:to>
      <xdr:col>2</xdr:col>
      <xdr:colOff>1809751</xdr:colOff>
      <xdr:row>160</xdr:row>
      <xdr:rowOff>36900</xdr:rowOff>
    </xdr:to>
    <xdr:pic>
      <xdr:nvPicPr>
        <xdr:cNvPr id="4" name="Picture 3">
          <a:extLst>
            <a:ext uri="{FF2B5EF4-FFF2-40B4-BE49-F238E27FC236}">
              <a16:creationId xmlns:a16="http://schemas.microsoft.com/office/drawing/2014/main" id="{C877F875-05E9-42A2-9C91-2F4164007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6" y="29060775"/>
          <a:ext cx="32194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143</xdr:row>
      <xdr:rowOff>0</xdr:rowOff>
    </xdr:from>
    <xdr:to>
      <xdr:col>2</xdr:col>
      <xdr:colOff>1790700</xdr:colOff>
      <xdr:row>143</xdr:row>
      <xdr:rowOff>1980000</xdr:rowOff>
    </xdr:to>
    <xdr:pic>
      <xdr:nvPicPr>
        <xdr:cNvPr id="5" name="Picture 4">
          <a:extLst>
            <a:ext uri="{FF2B5EF4-FFF2-40B4-BE49-F238E27FC236}">
              <a16:creationId xmlns:a16="http://schemas.microsoft.com/office/drawing/2014/main" id="{D2F796A7-33ED-4038-9DF7-BA707E7089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279475"/>
          <a:ext cx="320040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2100764</xdr:colOff>
      <xdr:row>167</xdr:row>
      <xdr:rowOff>27375</xdr:rowOff>
    </xdr:to>
    <xdr:pic>
      <xdr:nvPicPr>
        <xdr:cNvPr id="4" name="Picture 3">
          <a:extLst>
            <a:ext uri="{FF2B5EF4-FFF2-40B4-BE49-F238E27FC236}">
              <a16:creationId xmlns:a16="http://schemas.microsoft.com/office/drawing/2014/main" id="{B8F8E716-DC43-4D00-93B5-8176498892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7751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172</xdr:row>
      <xdr:rowOff>0</xdr:rowOff>
    </xdr:from>
    <xdr:to>
      <xdr:col>2</xdr:col>
      <xdr:colOff>2100764</xdr:colOff>
      <xdr:row>172</xdr:row>
      <xdr:rowOff>1980000</xdr:rowOff>
    </xdr:to>
    <xdr:pic>
      <xdr:nvPicPr>
        <xdr:cNvPr id="5" name="Picture 4">
          <a:extLst>
            <a:ext uri="{FF2B5EF4-FFF2-40B4-BE49-F238E27FC236}">
              <a16:creationId xmlns:a16="http://schemas.microsoft.com/office/drawing/2014/main" id="{96C9E2B5-2B2A-4077-B884-A768E987169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5374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176</xdr:row>
      <xdr:rowOff>200025</xdr:rowOff>
    </xdr:from>
    <xdr:to>
      <xdr:col>2</xdr:col>
      <xdr:colOff>2305050</xdr:colOff>
      <xdr:row>176</xdr:row>
      <xdr:rowOff>2180025</xdr:rowOff>
    </xdr:to>
    <xdr:pic>
      <xdr:nvPicPr>
        <xdr:cNvPr id="4" name="Picture 3">
          <a:extLst>
            <a:ext uri="{FF2B5EF4-FFF2-40B4-BE49-F238E27FC236}">
              <a16:creationId xmlns:a16="http://schemas.microsoft.com/office/drawing/2014/main" id="{CB9DEDF9-2003-4296-828A-1EBF59ACB8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366325"/>
          <a:ext cx="359092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171</xdr:row>
      <xdr:rowOff>0</xdr:rowOff>
    </xdr:from>
    <xdr:to>
      <xdr:col>2</xdr:col>
      <xdr:colOff>2286000</xdr:colOff>
      <xdr:row>172</xdr:row>
      <xdr:rowOff>151200</xdr:rowOff>
    </xdr:to>
    <xdr:pic>
      <xdr:nvPicPr>
        <xdr:cNvPr id="5" name="Picture 4">
          <a:extLst>
            <a:ext uri="{FF2B5EF4-FFF2-40B4-BE49-F238E27FC236}">
              <a16:creationId xmlns:a16="http://schemas.microsoft.com/office/drawing/2014/main" id="{2E9F28AF-6961-4E68-B6C1-B60677AF7C5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6725" y="32565975"/>
          <a:ext cx="3495675" cy="210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199</xdr:row>
      <xdr:rowOff>0</xdr:rowOff>
    </xdr:from>
    <xdr:to>
      <xdr:col>2</xdr:col>
      <xdr:colOff>2100764</xdr:colOff>
      <xdr:row>200</xdr:row>
      <xdr:rowOff>27375</xdr:rowOff>
    </xdr:to>
    <xdr:pic>
      <xdr:nvPicPr>
        <xdr:cNvPr id="4" name="Picture 3">
          <a:extLst>
            <a:ext uri="{FF2B5EF4-FFF2-40B4-BE49-F238E27FC236}">
              <a16:creationId xmlns:a16="http://schemas.microsoft.com/office/drawing/2014/main" id="{AE62B38F-D152-483A-8C6E-1BA99D8362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4425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204</xdr:row>
      <xdr:rowOff>0</xdr:rowOff>
    </xdr:from>
    <xdr:to>
      <xdr:col>2</xdr:col>
      <xdr:colOff>2100764</xdr:colOff>
      <xdr:row>204</xdr:row>
      <xdr:rowOff>1980000</xdr:rowOff>
    </xdr:to>
    <xdr:pic>
      <xdr:nvPicPr>
        <xdr:cNvPr id="5" name="Picture 4">
          <a:extLst>
            <a:ext uri="{FF2B5EF4-FFF2-40B4-BE49-F238E27FC236}">
              <a16:creationId xmlns:a16="http://schemas.microsoft.com/office/drawing/2014/main" id="{5993636B-07E7-44F1-A553-ED0D2694C98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0428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162</xdr:row>
      <xdr:rowOff>0</xdr:rowOff>
    </xdr:from>
    <xdr:to>
      <xdr:col>2</xdr:col>
      <xdr:colOff>2095500</xdr:colOff>
      <xdr:row>163</xdr:row>
      <xdr:rowOff>27375</xdr:rowOff>
    </xdr:to>
    <xdr:pic>
      <xdr:nvPicPr>
        <xdr:cNvPr id="4" name="Picture 3">
          <a:extLst>
            <a:ext uri="{FF2B5EF4-FFF2-40B4-BE49-F238E27FC236}">
              <a16:creationId xmlns:a16="http://schemas.microsoft.com/office/drawing/2014/main" id="{1AD8F116-E28A-4D2D-B21E-3BFB9B498C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384875"/>
          <a:ext cx="33813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167</xdr:row>
      <xdr:rowOff>0</xdr:rowOff>
    </xdr:from>
    <xdr:to>
      <xdr:col>2</xdr:col>
      <xdr:colOff>2100765</xdr:colOff>
      <xdr:row>167</xdr:row>
      <xdr:rowOff>1980000</xdr:rowOff>
    </xdr:to>
    <xdr:pic>
      <xdr:nvPicPr>
        <xdr:cNvPr id="5" name="Picture 4">
          <a:extLst>
            <a:ext uri="{FF2B5EF4-FFF2-40B4-BE49-F238E27FC236}">
              <a16:creationId xmlns:a16="http://schemas.microsoft.com/office/drawing/2014/main" id="{B3DFACAD-4423-4A2C-A9F0-D199344050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6" y="339852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203</xdr:row>
      <xdr:rowOff>0</xdr:rowOff>
    </xdr:from>
    <xdr:to>
      <xdr:col>2</xdr:col>
      <xdr:colOff>2100764</xdr:colOff>
      <xdr:row>203</xdr:row>
      <xdr:rowOff>1980000</xdr:rowOff>
    </xdr:to>
    <xdr:pic>
      <xdr:nvPicPr>
        <xdr:cNvPr id="4" name="Picture 3">
          <a:extLst>
            <a:ext uri="{FF2B5EF4-FFF2-40B4-BE49-F238E27FC236}">
              <a16:creationId xmlns:a16="http://schemas.microsoft.com/office/drawing/2014/main" id="{499E4A78-1C64-43B5-81B7-072448D096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18909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197</xdr:row>
      <xdr:rowOff>0</xdr:rowOff>
    </xdr:from>
    <xdr:to>
      <xdr:col>2</xdr:col>
      <xdr:colOff>2100764</xdr:colOff>
      <xdr:row>198</xdr:row>
      <xdr:rowOff>27375</xdr:rowOff>
    </xdr:to>
    <xdr:pic>
      <xdr:nvPicPr>
        <xdr:cNvPr id="5" name="Picture 4">
          <a:extLst>
            <a:ext uri="{FF2B5EF4-FFF2-40B4-BE49-F238E27FC236}">
              <a16:creationId xmlns:a16="http://schemas.microsoft.com/office/drawing/2014/main" id="{7B5C2516-2E99-4279-A598-9FA0BBA852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9667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130</xdr:row>
      <xdr:rowOff>0</xdr:rowOff>
    </xdr:from>
    <xdr:to>
      <xdr:col>2</xdr:col>
      <xdr:colOff>2133599</xdr:colOff>
      <xdr:row>131</xdr:row>
      <xdr:rowOff>27375</xdr:rowOff>
    </xdr:to>
    <xdr:pic>
      <xdr:nvPicPr>
        <xdr:cNvPr id="4" name="Picture 3">
          <a:extLst>
            <a:ext uri="{FF2B5EF4-FFF2-40B4-BE49-F238E27FC236}">
              <a16:creationId xmlns:a16="http://schemas.microsoft.com/office/drawing/2014/main" id="{F893B0CF-2CD7-48C6-9225-385941052C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4460200"/>
          <a:ext cx="344804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135</xdr:row>
      <xdr:rowOff>38101</xdr:rowOff>
    </xdr:from>
    <xdr:to>
      <xdr:col>2</xdr:col>
      <xdr:colOff>2095499</xdr:colOff>
      <xdr:row>135</xdr:row>
      <xdr:rowOff>2018101</xdr:rowOff>
    </xdr:to>
    <xdr:pic>
      <xdr:nvPicPr>
        <xdr:cNvPr id="5" name="Picture 4">
          <a:extLst>
            <a:ext uri="{FF2B5EF4-FFF2-40B4-BE49-F238E27FC236}">
              <a16:creationId xmlns:a16="http://schemas.microsoft.com/office/drawing/2014/main" id="{0BBAAC2E-04F4-428A-AFA1-E9177BBE4F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27098626"/>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2</xdr:col>
      <xdr:colOff>2095500</xdr:colOff>
      <xdr:row>153</xdr:row>
      <xdr:rowOff>28576</xdr:rowOff>
    </xdr:to>
    <xdr:pic>
      <xdr:nvPicPr>
        <xdr:cNvPr id="4" name="Picture 3">
          <a:extLst>
            <a:ext uri="{FF2B5EF4-FFF2-40B4-BE49-F238E27FC236}">
              <a16:creationId xmlns:a16="http://schemas.microsoft.com/office/drawing/2014/main" id="{B9B8B809-784E-4084-9AED-3582B45BCD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8508325"/>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157</xdr:row>
      <xdr:rowOff>123825</xdr:rowOff>
    </xdr:from>
    <xdr:to>
      <xdr:col>2</xdr:col>
      <xdr:colOff>2047873</xdr:colOff>
      <xdr:row>158</xdr:row>
      <xdr:rowOff>8325</xdr:rowOff>
    </xdr:to>
    <xdr:pic>
      <xdr:nvPicPr>
        <xdr:cNvPr id="5" name="Picture 4">
          <a:extLst>
            <a:ext uri="{FF2B5EF4-FFF2-40B4-BE49-F238E27FC236}">
              <a16:creationId xmlns:a16="http://schemas.microsoft.com/office/drawing/2014/main" id="{2198A82B-4FEF-4B4A-8401-BBFAD0000BB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1232475"/>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114</xdr:row>
      <xdr:rowOff>161924</xdr:rowOff>
    </xdr:from>
    <xdr:to>
      <xdr:col>2</xdr:col>
      <xdr:colOff>2179348</xdr:colOff>
      <xdr:row>127</xdr:row>
      <xdr:rowOff>36899</xdr:rowOff>
    </xdr:to>
    <xdr:pic>
      <xdr:nvPicPr>
        <xdr:cNvPr id="4" name="Picture 3">
          <a:extLst>
            <a:ext uri="{FF2B5EF4-FFF2-40B4-BE49-F238E27FC236}">
              <a16:creationId xmlns:a16="http://schemas.microsoft.com/office/drawing/2014/main" id="{E8C36D6E-E1D7-4A2E-92E1-B97BC3A7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364574"/>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110</xdr:row>
      <xdr:rowOff>0</xdr:rowOff>
    </xdr:from>
    <xdr:to>
      <xdr:col>2</xdr:col>
      <xdr:colOff>2101725</xdr:colOff>
      <xdr:row>111</xdr:row>
      <xdr:rowOff>25899</xdr:rowOff>
    </xdr:to>
    <xdr:pic>
      <xdr:nvPicPr>
        <xdr:cNvPr id="5" name="Picture 4">
          <a:extLst>
            <a:ext uri="{FF2B5EF4-FFF2-40B4-BE49-F238E27FC236}">
              <a16:creationId xmlns:a16="http://schemas.microsoft.com/office/drawing/2014/main" id="{12AF7AE6-E619-44BF-9B13-80DDE412BB4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90525" y="18764250"/>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ECB1-931A-4245-BCB1-90ADEBA1CFC8}">
  <dimension ref="A1:C11"/>
  <sheetViews>
    <sheetView workbookViewId="0">
      <selection activeCell="C10" sqref="C10"/>
    </sheetView>
  </sheetViews>
  <sheetFormatPr defaultColWidth="8.85546875" defaultRowHeight="15" x14ac:dyDescent="0.25"/>
  <cols>
    <col min="1" max="1" width="6.140625" style="12" bestFit="1" customWidth="1"/>
    <col min="2" max="2" width="10.85546875" style="12" bestFit="1" customWidth="1"/>
    <col min="3" max="3" width="35" style="12" bestFit="1" customWidth="1"/>
    <col min="4" max="16384" width="8.85546875" style="12"/>
  </cols>
  <sheetData>
    <row r="1" spans="1:3" x14ac:dyDescent="0.25">
      <c r="A1" s="139" t="s">
        <v>605</v>
      </c>
      <c r="B1" s="140" t="s">
        <v>606</v>
      </c>
      <c r="C1" s="140" t="s">
        <v>607</v>
      </c>
    </row>
    <row r="2" spans="1:3" x14ac:dyDescent="0.25">
      <c r="A2" s="141">
        <v>1</v>
      </c>
      <c r="B2" s="2" t="s">
        <v>608</v>
      </c>
      <c r="C2" s="142" t="s">
        <v>1</v>
      </c>
    </row>
    <row r="3" spans="1:3" x14ac:dyDescent="0.25">
      <c r="A3" s="141">
        <v>2</v>
      </c>
      <c r="B3" s="2" t="s">
        <v>609</v>
      </c>
      <c r="C3" s="142" t="s">
        <v>134</v>
      </c>
    </row>
    <row r="4" spans="1:3" x14ac:dyDescent="0.25">
      <c r="A4" s="141">
        <v>3</v>
      </c>
      <c r="B4" s="2" t="s">
        <v>610</v>
      </c>
      <c r="C4" s="142" t="s">
        <v>173</v>
      </c>
    </row>
    <row r="5" spans="1:3" x14ac:dyDescent="0.25">
      <c r="A5" s="141">
        <v>4</v>
      </c>
      <c r="B5" s="2" t="s">
        <v>611</v>
      </c>
      <c r="C5" s="142" t="s">
        <v>276</v>
      </c>
    </row>
    <row r="6" spans="1:3" x14ac:dyDescent="0.25">
      <c r="A6" s="141">
        <v>5</v>
      </c>
      <c r="B6" s="2" t="s">
        <v>612</v>
      </c>
      <c r="C6" s="142" t="s">
        <v>318</v>
      </c>
    </row>
    <row r="7" spans="1:3" x14ac:dyDescent="0.25">
      <c r="A7" s="141">
        <v>6</v>
      </c>
      <c r="B7" s="2" t="s">
        <v>613</v>
      </c>
      <c r="C7" s="142" t="s">
        <v>473</v>
      </c>
    </row>
    <row r="8" spans="1:3" x14ac:dyDescent="0.25">
      <c r="A8" s="141">
        <v>7</v>
      </c>
      <c r="B8" s="2" t="s">
        <v>614</v>
      </c>
      <c r="C8" s="142" t="s">
        <v>490</v>
      </c>
    </row>
    <row r="9" spans="1:3" x14ac:dyDescent="0.25">
      <c r="A9" s="141">
        <v>8</v>
      </c>
      <c r="B9" s="2" t="s">
        <v>615</v>
      </c>
      <c r="C9" s="142" t="s">
        <v>529</v>
      </c>
    </row>
    <row r="10" spans="1:3" x14ac:dyDescent="0.25">
      <c r="A10" s="141">
        <v>9</v>
      </c>
      <c r="B10" s="2" t="s">
        <v>616</v>
      </c>
      <c r="C10" s="142" t="s">
        <v>532</v>
      </c>
    </row>
    <row r="11" spans="1:3" x14ac:dyDescent="0.25">
      <c r="A11" s="141">
        <v>10</v>
      </c>
      <c r="B11" s="2" t="s">
        <v>617</v>
      </c>
      <c r="C11" s="142" t="s">
        <v>593</v>
      </c>
    </row>
  </sheetData>
  <hyperlinks>
    <hyperlink ref="B3" location="SFRSTP!A1" display="SFRSTP" xr:uid="{701F24F1-14FC-4040-A9BD-402DFEE95201}"/>
    <hyperlink ref="B4" location="SMMF!A1" display="SMMF" xr:uid="{D08BC2D6-D25F-4B29-9FFA-E0E2599B46F8}"/>
    <hyperlink ref="B5" location="SPLDF!A1" display="SPLDF" xr:uid="{E8E19065-B9C4-46D2-9143-D0B730EB8F3F}"/>
    <hyperlink ref="B6" location="SPMON!A1" display="SPMON" xr:uid="{1B29E43F-0CDD-4C40-85FD-917147502DA4}"/>
    <hyperlink ref="B7" location="SPSDF!A1" display="SPSDF" xr:uid="{1A6F23D7-4450-4D19-B6CF-55DE6025E0E6}"/>
    <hyperlink ref="B8" location="SPUSDF!A1" display="SPUSDF" xr:uid="{C4E9DCBE-98B5-4076-AF9C-A1A5BC6D2F89}"/>
    <hyperlink ref="B9" location="SUNBDS!A1" display="SUNBDS" xr:uid="{8F9FE29A-14BA-4186-93DC-F013E12E88C1}"/>
    <hyperlink ref="B10" location="SUNMIA!A1" display="SUNMIA" xr:uid="{3553112C-8C3B-494A-943D-B8C0D0851E13}"/>
    <hyperlink ref="B11" location="SUNONF!A1" display="SUNONF" xr:uid="{80A13E58-452F-47B5-8A49-E9957A0308D2}"/>
    <hyperlink ref="B2" location="SFRLTP!A1" display="SFRLTP" xr:uid="{33D88756-E2E7-4B78-9482-69ECA22329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B101E-F279-4400-9D5C-FA91384EE90E}">
  <sheetPr>
    <outlinePr summaryBelow="0" summaryRight="0"/>
  </sheetPr>
  <dimension ref="A1:Q153"/>
  <sheetViews>
    <sheetView showGridLines="0" workbookViewId="0">
      <selection activeCell="C20" sqref="C20"/>
    </sheetView>
  </sheetViews>
  <sheetFormatPr defaultRowHeight="12.75" x14ac:dyDescent="0.2"/>
  <cols>
    <col min="1" max="1" width="5.85546875" bestFit="1" customWidth="1"/>
    <col min="2" max="2" width="20.28515625" bestFit="1" customWidth="1"/>
    <col min="3" max="3" width="48.42578125" customWidth="1"/>
    <col min="4" max="4" width="10.7109375" bestFit="1" customWidth="1"/>
    <col min="5" max="5" width="9.42578125" bestFit="1" customWidth="1"/>
    <col min="6" max="6" width="10.140625" bestFit="1" customWidth="1"/>
    <col min="7" max="7" width="14" bestFit="1" customWidth="1"/>
    <col min="8" max="8" width="9.140625" customWidth="1"/>
  </cols>
  <sheetData>
    <row r="1" spans="1:9" ht="15" x14ac:dyDescent="0.2">
      <c r="A1" s="147" t="s">
        <v>0</v>
      </c>
      <c r="B1" s="147"/>
      <c r="C1" s="147"/>
      <c r="D1" s="147"/>
      <c r="E1" s="147"/>
      <c r="F1" s="147"/>
      <c r="G1" s="147"/>
      <c r="H1" s="147"/>
      <c r="I1" s="1" t="s">
        <v>604</v>
      </c>
    </row>
    <row r="2" spans="1:9" ht="15" x14ac:dyDescent="0.2">
      <c r="A2" s="147" t="s">
        <v>1</v>
      </c>
      <c r="B2" s="147"/>
      <c r="C2" s="147"/>
      <c r="D2" s="147"/>
      <c r="E2" s="147"/>
      <c r="F2" s="147"/>
      <c r="G2" s="147"/>
      <c r="H2" s="147"/>
    </row>
    <row r="3" spans="1:9" ht="15" x14ac:dyDescent="0.2">
      <c r="A3" s="147" t="s">
        <v>603</v>
      </c>
      <c r="B3" s="147"/>
      <c r="C3" s="147"/>
      <c r="D3" s="147"/>
      <c r="E3" s="147"/>
      <c r="F3" s="147"/>
      <c r="G3" s="147"/>
      <c r="H3" s="147"/>
    </row>
    <row r="4" spans="1:9" s="15" customFormat="1" ht="30" x14ac:dyDescent="0.2">
      <c r="A4" s="13" t="s">
        <v>2</v>
      </c>
      <c r="B4" s="13" t="s">
        <v>3</v>
      </c>
      <c r="C4" s="13" t="s">
        <v>4</v>
      </c>
      <c r="D4" s="13" t="s">
        <v>5</v>
      </c>
      <c r="E4" s="13" t="s">
        <v>6</v>
      </c>
      <c r="F4" s="13" t="s">
        <v>7</v>
      </c>
      <c r="G4" s="13" t="s">
        <v>8</v>
      </c>
      <c r="H4" s="14" t="s">
        <v>602</v>
      </c>
    </row>
    <row r="5" spans="1:9" x14ac:dyDescent="0.2">
      <c r="A5" s="16"/>
      <c r="B5" s="16"/>
      <c r="C5" s="8" t="s">
        <v>9</v>
      </c>
      <c r="D5" s="16"/>
      <c r="E5" s="16"/>
      <c r="F5" s="16"/>
      <c r="G5" s="16"/>
      <c r="H5" s="17" t="s">
        <v>12</v>
      </c>
    </row>
    <row r="6" spans="1:9" x14ac:dyDescent="0.2">
      <c r="A6" s="11"/>
      <c r="B6" s="11"/>
      <c r="C6" s="18" t="s">
        <v>10</v>
      </c>
      <c r="D6" s="11"/>
      <c r="E6" s="11"/>
      <c r="F6" s="11"/>
      <c r="G6" s="11"/>
      <c r="H6" s="17" t="s">
        <v>12</v>
      </c>
    </row>
    <row r="7" spans="1:9" x14ac:dyDescent="0.2">
      <c r="A7" s="11"/>
      <c r="B7" s="11"/>
      <c r="C7" s="18" t="s">
        <v>11</v>
      </c>
      <c r="D7" s="11"/>
      <c r="E7" s="11" t="s">
        <v>12</v>
      </c>
      <c r="F7" s="19" t="s">
        <v>13</v>
      </c>
      <c r="G7" s="20">
        <v>0</v>
      </c>
      <c r="H7" s="17" t="s">
        <v>12</v>
      </c>
    </row>
    <row r="8" spans="1:9" x14ac:dyDescent="0.2">
      <c r="A8" s="11"/>
      <c r="B8" s="11"/>
      <c r="C8" s="21"/>
      <c r="D8" s="11"/>
      <c r="E8" s="11"/>
      <c r="F8" s="22"/>
      <c r="G8" s="22"/>
      <c r="H8" s="17" t="s">
        <v>12</v>
      </c>
    </row>
    <row r="9" spans="1:9" x14ac:dyDescent="0.2">
      <c r="A9" s="11"/>
      <c r="B9" s="11"/>
      <c r="C9" s="18" t="s">
        <v>14</v>
      </c>
      <c r="D9" s="11"/>
      <c r="E9" s="11"/>
      <c r="F9" s="11"/>
      <c r="G9" s="11"/>
      <c r="H9" s="17" t="s">
        <v>12</v>
      </c>
    </row>
    <row r="10" spans="1:9" x14ac:dyDescent="0.2">
      <c r="A10" s="11"/>
      <c r="B10" s="11"/>
      <c r="C10" s="18" t="s">
        <v>11</v>
      </c>
      <c r="D10" s="11"/>
      <c r="E10" s="11" t="s">
        <v>12</v>
      </c>
      <c r="F10" s="19" t="s">
        <v>13</v>
      </c>
      <c r="G10" s="20">
        <v>0</v>
      </c>
      <c r="H10" s="17" t="s">
        <v>12</v>
      </c>
    </row>
    <row r="11" spans="1:9" x14ac:dyDescent="0.2">
      <c r="A11" s="11"/>
      <c r="B11" s="11"/>
      <c r="C11" s="21"/>
      <c r="D11" s="11"/>
      <c r="E11" s="11"/>
      <c r="F11" s="22"/>
      <c r="G11" s="22"/>
      <c r="H11" s="17" t="s">
        <v>12</v>
      </c>
    </row>
    <row r="12" spans="1:9" x14ac:dyDescent="0.2">
      <c r="A12" s="11"/>
      <c r="B12" s="11"/>
      <c r="C12" s="18" t="s">
        <v>15</v>
      </c>
      <c r="D12" s="11"/>
      <c r="E12" s="11"/>
      <c r="F12" s="11"/>
      <c r="G12" s="11"/>
      <c r="H12" s="17" t="s">
        <v>12</v>
      </c>
    </row>
    <row r="13" spans="1:9" x14ac:dyDescent="0.2">
      <c r="A13" s="11"/>
      <c r="B13" s="11"/>
      <c r="C13" s="18" t="s">
        <v>11</v>
      </c>
      <c r="D13" s="11"/>
      <c r="E13" s="11" t="s">
        <v>12</v>
      </c>
      <c r="F13" s="19" t="s">
        <v>13</v>
      </c>
      <c r="G13" s="20">
        <v>0</v>
      </c>
      <c r="H13" s="17" t="s">
        <v>12</v>
      </c>
    </row>
    <row r="14" spans="1:9" x14ac:dyDescent="0.2">
      <c r="A14" s="11"/>
      <c r="B14" s="11"/>
      <c r="C14" s="21"/>
      <c r="D14" s="11"/>
      <c r="E14" s="11"/>
      <c r="F14" s="22"/>
      <c r="G14" s="22"/>
      <c r="H14" s="17" t="s">
        <v>12</v>
      </c>
    </row>
    <row r="15" spans="1:9" x14ac:dyDescent="0.2">
      <c r="A15" s="11"/>
      <c r="B15" s="11"/>
      <c r="C15" s="18" t="s">
        <v>16</v>
      </c>
      <c r="D15" s="11"/>
      <c r="E15" s="11"/>
      <c r="F15" s="11"/>
      <c r="G15" s="11"/>
      <c r="H15" s="17" t="s">
        <v>12</v>
      </c>
    </row>
    <row r="16" spans="1:9" x14ac:dyDescent="0.2">
      <c r="A16" s="11"/>
      <c r="B16" s="11"/>
      <c r="C16" s="18" t="s">
        <v>11</v>
      </c>
      <c r="D16" s="11"/>
      <c r="E16" s="11" t="s">
        <v>12</v>
      </c>
      <c r="F16" s="19" t="s">
        <v>13</v>
      </c>
      <c r="G16" s="20">
        <v>0</v>
      </c>
      <c r="H16" s="17" t="s">
        <v>12</v>
      </c>
    </row>
    <row r="17" spans="1:8" x14ac:dyDescent="0.2">
      <c r="A17" s="11"/>
      <c r="B17" s="11"/>
      <c r="C17" s="21"/>
      <c r="D17" s="11"/>
      <c r="E17" s="11"/>
      <c r="F17" s="22"/>
      <c r="G17" s="22"/>
      <c r="H17" s="17" t="s">
        <v>12</v>
      </c>
    </row>
    <row r="18" spans="1:8" x14ac:dyDescent="0.2">
      <c r="A18" s="11"/>
      <c r="B18" s="11"/>
      <c r="C18" s="18" t="s">
        <v>17</v>
      </c>
      <c r="D18" s="11"/>
      <c r="E18" s="11"/>
      <c r="F18" s="22"/>
      <c r="G18" s="22"/>
      <c r="H18" s="17" t="s">
        <v>12</v>
      </c>
    </row>
    <row r="19" spans="1:8" x14ac:dyDescent="0.2">
      <c r="A19" s="11"/>
      <c r="B19" s="11"/>
      <c r="C19" s="18" t="s">
        <v>11</v>
      </c>
      <c r="D19" s="11"/>
      <c r="E19" s="11" t="s">
        <v>12</v>
      </c>
      <c r="F19" s="19" t="s">
        <v>13</v>
      </c>
      <c r="G19" s="20">
        <v>0</v>
      </c>
      <c r="H19" s="17" t="s">
        <v>12</v>
      </c>
    </row>
    <row r="20" spans="1:8" x14ac:dyDescent="0.2">
      <c r="A20" s="11"/>
      <c r="B20" s="11"/>
      <c r="C20" s="21"/>
      <c r="D20" s="11"/>
      <c r="E20" s="11"/>
      <c r="F20" s="22"/>
      <c r="G20" s="22"/>
      <c r="H20" s="17" t="s">
        <v>12</v>
      </c>
    </row>
    <row r="21" spans="1:8" x14ac:dyDescent="0.2">
      <c r="A21" s="11"/>
      <c r="B21" s="11"/>
      <c r="C21" s="18" t="s">
        <v>18</v>
      </c>
      <c r="D21" s="11"/>
      <c r="E21" s="11"/>
      <c r="F21" s="22"/>
      <c r="G21" s="22"/>
      <c r="H21" s="17" t="s">
        <v>12</v>
      </c>
    </row>
    <row r="22" spans="1:8" x14ac:dyDescent="0.2">
      <c r="A22" s="11"/>
      <c r="B22" s="11"/>
      <c r="C22" s="18" t="s">
        <v>11</v>
      </c>
      <c r="D22" s="11"/>
      <c r="E22" s="11" t="s">
        <v>12</v>
      </c>
      <c r="F22" s="19" t="s">
        <v>13</v>
      </c>
      <c r="G22" s="20">
        <v>0</v>
      </c>
      <c r="H22" s="17" t="s">
        <v>12</v>
      </c>
    </row>
    <row r="23" spans="1:8" x14ac:dyDescent="0.2">
      <c r="A23" s="11"/>
      <c r="B23" s="11"/>
      <c r="C23" s="21"/>
      <c r="D23" s="11"/>
      <c r="E23" s="11"/>
      <c r="F23" s="22"/>
      <c r="G23" s="22"/>
      <c r="H23" s="17" t="s">
        <v>12</v>
      </c>
    </row>
    <row r="24" spans="1:8" x14ac:dyDescent="0.2">
      <c r="A24" s="11"/>
      <c r="B24" s="11"/>
      <c r="C24" s="18" t="s">
        <v>19</v>
      </c>
      <c r="D24" s="11"/>
      <c r="E24" s="11"/>
      <c r="F24" s="23">
        <v>0</v>
      </c>
      <c r="G24" s="20">
        <v>0</v>
      </c>
      <c r="H24" s="17" t="s">
        <v>12</v>
      </c>
    </row>
    <row r="25" spans="1:8" x14ac:dyDescent="0.2">
      <c r="A25" s="11"/>
      <c r="B25" s="11"/>
      <c r="C25" s="21"/>
      <c r="D25" s="11"/>
      <c r="E25" s="11"/>
      <c r="F25" s="22"/>
      <c r="G25" s="22"/>
      <c r="H25" s="17" t="s">
        <v>12</v>
      </c>
    </row>
    <row r="26" spans="1:8" x14ac:dyDescent="0.2">
      <c r="A26" s="11"/>
      <c r="B26" s="11"/>
      <c r="C26" s="18" t="s">
        <v>20</v>
      </c>
      <c r="D26" s="11"/>
      <c r="E26" s="11"/>
      <c r="F26" s="22"/>
      <c r="G26" s="22"/>
      <c r="H26" s="17" t="s">
        <v>12</v>
      </c>
    </row>
    <row r="27" spans="1:8" x14ac:dyDescent="0.2">
      <c r="A27" s="11"/>
      <c r="B27" s="11"/>
      <c r="C27" s="18" t="s">
        <v>10</v>
      </c>
      <c r="D27" s="11"/>
      <c r="E27" s="11"/>
      <c r="F27" s="22"/>
      <c r="G27" s="22"/>
      <c r="H27" s="17" t="s">
        <v>12</v>
      </c>
    </row>
    <row r="28" spans="1:8" ht="25.5" x14ac:dyDescent="0.2">
      <c r="A28" s="24">
        <v>1</v>
      </c>
      <c r="B28" s="9" t="s">
        <v>21</v>
      </c>
      <c r="C28" s="9" t="s">
        <v>22</v>
      </c>
      <c r="D28" s="9" t="s">
        <v>23</v>
      </c>
      <c r="E28" s="25">
        <v>5000</v>
      </c>
      <c r="F28" s="26">
        <v>5165.53</v>
      </c>
      <c r="G28" s="27">
        <v>6.6797899999999993E-2</v>
      </c>
      <c r="H28" s="17">
        <v>6.6773999999999996</v>
      </c>
    </row>
    <row r="29" spans="1:8" ht="25.5" x14ac:dyDescent="0.2">
      <c r="A29" s="24">
        <v>2</v>
      </c>
      <c r="B29" s="9" t="s">
        <v>24</v>
      </c>
      <c r="C29" s="9" t="s">
        <v>25</v>
      </c>
      <c r="D29" s="9" t="s">
        <v>26</v>
      </c>
      <c r="E29" s="25">
        <v>4000</v>
      </c>
      <c r="F29" s="26">
        <v>4100.3440000000001</v>
      </c>
      <c r="G29" s="27">
        <v>5.3023479999999998E-2</v>
      </c>
      <c r="H29" s="17">
        <v>6.64</v>
      </c>
    </row>
    <row r="30" spans="1:8" x14ac:dyDescent="0.2">
      <c r="A30" s="24">
        <v>3</v>
      </c>
      <c r="B30" s="9" t="s">
        <v>27</v>
      </c>
      <c r="C30" s="9" t="s">
        <v>28</v>
      </c>
      <c r="D30" s="9" t="s">
        <v>23</v>
      </c>
      <c r="E30" s="25">
        <v>4000</v>
      </c>
      <c r="F30" s="26">
        <v>4033.7640000000001</v>
      </c>
      <c r="G30" s="27">
        <v>5.2162500000000001E-2</v>
      </c>
      <c r="H30" s="17">
        <v>6.34</v>
      </c>
    </row>
    <row r="31" spans="1:8" x14ac:dyDescent="0.2">
      <c r="A31" s="24">
        <v>4</v>
      </c>
      <c r="B31" s="9" t="s">
        <v>29</v>
      </c>
      <c r="C31" s="9" t="s">
        <v>30</v>
      </c>
      <c r="D31" s="9" t="s">
        <v>23</v>
      </c>
      <c r="E31" s="25">
        <v>300</v>
      </c>
      <c r="F31" s="26">
        <v>3062.6489999999999</v>
      </c>
      <c r="G31" s="27">
        <v>3.9604550000000002E-2</v>
      </c>
      <c r="H31" s="17">
        <v>6.85</v>
      </c>
    </row>
    <row r="32" spans="1:8" ht="25.5" x14ac:dyDescent="0.2">
      <c r="A32" s="24">
        <v>5</v>
      </c>
      <c r="B32" s="9" t="s">
        <v>31</v>
      </c>
      <c r="C32" s="9" t="s">
        <v>32</v>
      </c>
      <c r="D32" s="9" t="s">
        <v>26</v>
      </c>
      <c r="E32" s="25">
        <v>2500</v>
      </c>
      <c r="F32" s="26">
        <v>2578.8249999999998</v>
      </c>
      <c r="G32" s="27">
        <v>3.3348000000000003E-2</v>
      </c>
      <c r="H32" s="17">
        <v>6.77</v>
      </c>
    </row>
    <row r="33" spans="1:8" x14ac:dyDescent="0.2">
      <c r="A33" s="24">
        <v>6</v>
      </c>
      <c r="B33" s="9" t="s">
        <v>33</v>
      </c>
      <c r="C33" s="9" t="s">
        <v>34</v>
      </c>
      <c r="D33" s="9" t="s">
        <v>26</v>
      </c>
      <c r="E33" s="25">
        <v>2500</v>
      </c>
      <c r="F33" s="26">
        <v>2573.5725000000002</v>
      </c>
      <c r="G33" s="27">
        <v>3.3280079999999997E-2</v>
      </c>
      <c r="H33" s="17">
        <v>5.5922000000000001</v>
      </c>
    </row>
    <row r="34" spans="1:8" ht="25.5" x14ac:dyDescent="0.2">
      <c r="A34" s="24">
        <v>7</v>
      </c>
      <c r="B34" s="9" t="s">
        <v>35</v>
      </c>
      <c r="C34" s="9" t="s">
        <v>36</v>
      </c>
      <c r="D34" s="9" t="s">
        <v>23</v>
      </c>
      <c r="E34" s="25">
        <v>2500</v>
      </c>
      <c r="F34" s="26">
        <v>2568.5050000000001</v>
      </c>
      <c r="G34" s="27">
        <v>3.3214550000000002E-2</v>
      </c>
      <c r="H34" s="17">
        <v>6.77</v>
      </c>
    </row>
    <row r="35" spans="1:8" x14ac:dyDescent="0.2">
      <c r="A35" s="24">
        <v>8</v>
      </c>
      <c r="B35" s="9" t="s">
        <v>37</v>
      </c>
      <c r="C35" s="9" t="s">
        <v>38</v>
      </c>
      <c r="D35" s="9" t="s">
        <v>26</v>
      </c>
      <c r="E35" s="25">
        <v>2500</v>
      </c>
      <c r="F35" s="26">
        <v>2556.2600000000002</v>
      </c>
      <c r="G35" s="27">
        <v>3.3056200000000001E-2</v>
      </c>
      <c r="H35" s="17">
        <v>6.5937000000000001</v>
      </c>
    </row>
    <row r="36" spans="1:8" ht="25.5" x14ac:dyDescent="0.2">
      <c r="A36" s="24">
        <v>9</v>
      </c>
      <c r="B36" s="9" t="s">
        <v>39</v>
      </c>
      <c r="C36" s="9" t="s">
        <v>40</v>
      </c>
      <c r="D36" s="9" t="s">
        <v>26</v>
      </c>
      <c r="E36" s="25">
        <v>2500</v>
      </c>
      <c r="F36" s="26">
        <v>2523.7925</v>
      </c>
      <c r="G36" s="27">
        <v>3.2636350000000001E-2</v>
      </c>
      <c r="H36" s="17">
        <v>6.4215999999999998</v>
      </c>
    </row>
    <row r="37" spans="1:8" x14ac:dyDescent="0.2">
      <c r="A37" s="24">
        <v>10</v>
      </c>
      <c r="B37" s="9" t="s">
        <v>41</v>
      </c>
      <c r="C37" s="9" t="s">
        <v>42</v>
      </c>
      <c r="D37" s="9" t="s">
        <v>26</v>
      </c>
      <c r="E37" s="25">
        <v>2500</v>
      </c>
      <c r="F37" s="26">
        <v>2519.0425</v>
      </c>
      <c r="G37" s="27">
        <v>3.257492E-2</v>
      </c>
      <c r="H37" s="17">
        <v>6.4050000000000002</v>
      </c>
    </row>
    <row r="38" spans="1:8" x14ac:dyDescent="0.2">
      <c r="A38" s="24">
        <v>11</v>
      </c>
      <c r="B38" s="9" t="s">
        <v>43</v>
      </c>
      <c r="C38" s="9" t="s">
        <v>44</v>
      </c>
      <c r="D38" s="9" t="s">
        <v>26</v>
      </c>
      <c r="E38" s="25">
        <v>2000</v>
      </c>
      <c r="F38" s="26">
        <v>2053.5320000000002</v>
      </c>
      <c r="G38" s="27">
        <v>2.6555189999999999E-2</v>
      </c>
      <c r="H38" s="17">
        <v>6.7554999999999996</v>
      </c>
    </row>
    <row r="39" spans="1:8" x14ac:dyDescent="0.2">
      <c r="A39" s="24">
        <v>12</v>
      </c>
      <c r="B39" s="9" t="s">
        <v>45</v>
      </c>
      <c r="C39" s="9" t="s">
        <v>46</v>
      </c>
      <c r="D39" s="9" t="s">
        <v>26</v>
      </c>
      <c r="E39" s="25">
        <v>200</v>
      </c>
      <c r="F39" s="26">
        <v>2042.682</v>
      </c>
      <c r="G39" s="27">
        <v>2.6414880000000002E-2</v>
      </c>
      <c r="H39" s="17">
        <v>6.4124999999999996</v>
      </c>
    </row>
    <row r="40" spans="1:8" x14ac:dyDescent="0.2">
      <c r="A40" s="24">
        <v>13</v>
      </c>
      <c r="B40" s="9" t="s">
        <v>47</v>
      </c>
      <c r="C40" s="9" t="s">
        <v>48</v>
      </c>
      <c r="D40" s="9" t="s">
        <v>23</v>
      </c>
      <c r="E40" s="25">
        <v>2000</v>
      </c>
      <c r="F40" s="26">
        <v>2034.28</v>
      </c>
      <c r="G40" s="27">
        <v>2.630623E-2</v>
      </c>
      <c r="H40" s="17">
        <v>7.53</v>
      </c>
    </row>
    <row r="41" spans="1:8" x14ac:dyDescent="0.2">
      <c r="A41" s="24">
        <v>14</v>
      </c>
      <c r="B41" s="9" t="s">
        <v>49</v>
      </c>
      <c r="C41" s="9" t="s">
        <v>50</v>
      </c>
      <c r="D41" s="9" t="s">
        <v>23</v>
      </c>
      <c r="E41" s="25">
        <v>2000</v>
      </c>
      <c r="F41" s="26">
        <v>2019.922</v>
      </c>
      <c r="G41" s="27">
        <v>2.6120560000000001E-2</v>
      </c>
      <c r="H41" s="17">
        <v>6.34</v>
      </c>
    </row>
    <row r="42" spans="1:8" x14ac:dyDescent="0.2">
      <c r="A42" s="24">
        <v>15</v>
      </c>
      <c r="B42" s="9" t="s">
        <v>51</v>
      </c>
      <c r="C42" s="9" t="s">
        <v>52</v>
      </c>
      <c r="D42" s="9" t="s">
        <v>26</v>
      </c>
      <c r="E42" s="25">
        <v>1500</v>
      </c>
      <c r="F42" s="26">
        <v>1557.0239999999999</v>
      </c>
      <c r="G42" s="27">
        <v>2.0134610000000001E-2</v>
      </c>
      <c r="H42" s="17">
        <v>7.14</v>
      </c>
    </row>
    <row r="43" spans="1:8" x14ac:dyDescent="0.2">
      <c r="A43" s="24">
        <v>16</v>
      </c>
      <c r="B43" s="9" t="s">
        <v>53</v>
      </c>
      <c r="C43" s="9" t="s">
        <v>54</v>
      </c>
      <c r="D43" s="9" t="s">
        <v>26</v>
      </c>
      <c r="E43" s="25">
        <v>1500</v>
      </c>
      <c r="F43" s="26">
        <v>1522.1565000000001</v>
      </c>
      <c r="G43" s="27">
        <v>1.9683719999999998E-2</v>
      </c>
      <c r="H43" s="17">
        <v>6.4249999999999998</v>
      </c>
    </row>
    <row r="44" spans="1:8" ht="25.5" x14ac:dyDescent="0.2">
      <c r="A44" s="24">
        <v>17</v>
      </c>
      <c r="B44" s="9" t="s">
        <v>55</v>
      </c>
      <c r="C44" s="9" t="s">
        <v>56</v>
      </c>
      <c r="D44" s="9" t="s">
        <v>23</v>
      </c>
      <c r="E44" s="25">
        <v>1500</v>
      </c>
      <c r="F44" s="26">
        <v>1515.9704999999999</v>
      </c>
      <c r="G44" s="27">
        <v>1.960373E-2</v>
      </c>
      <c r="H44" s="17">
        <v>6.48</v>
      </c>
    </row>
    <row r="45" spans="1:8" x14ac:dyDescent="0.2">
      <c r="A45" s="24">
        <v>18</v>
      </c>
      <c r="B45" s="9" t="s">
        <v>57</v>
      </c>
      <c r="C45" s="9" t="s">
        <v>58</v>
      </c>
      <c r="D45" s="9" t="s">
        <v>26</v>
      </c>
      <c r="E45" s="25">
        <v>150</v>
      </c>
      <c r="F45" s="26">
        <v>1514.31</v>
      </c>
      <c r="G45" s="27">
        <v>1.9582249999999999E-2</v>
      </c>
      <c r="H45" s="17">
        <v>6.4958999999999998</v>
      </c>
    </row>
    <row r="46" spans="1:8" ht="25.5" x14ac:dyDescent="0.2">
      <c r="A46" s="24">
        <v>19</v>
      </c>
      <c r="B46" s="9" t="s">
        <v>59</v>
      </c>
      <c r="C46" s="9" t="s">
        <v>60</v>
      </c>
      <c r="D46" s="9" t="s">
        <v>26</v>
      </c>
      <c r="E46" s="25">
        <v>1500</v>
      </c>
      <c r="F46" s="26">
        <v>1500.7950000000001</v>
      </c>
      <c r="G46" s="27">
        <v>1.9407489999999999E-2</v>
      </c>
      <c r="H46" s="17">
        <v>6.9290000000000003</v>
      </c>
    </row>
    <row r="47" spans="1:8" ht="25.5" x14ac:dyDescent="0.2">
      <c r="A47" s="24">
        <v>20</v>
      </c>
      <c r="B47" s="9" t="s">
        <v>61</v>
      </c>
      <c r="C47" s="9" t="s">
        <v>62</v>
      </c>
      <c r="D47" s="9" t="s">
        <v>26</v>
      </c>
      <c r="E47" s="25">
        <v>1500</v>
      </c>
      <c r="F47" s="26">
        <v>1491.0719999999999</v>
      </c>
      <c r="G47" s="27">
        <v>1.928175E-2</v>
      </c>
      <c r="H47" s="17">
        <v>7.12</v>
      </c>
    </row>
    <row r="48" spans="1:8" x14ac:dyDescent="0.2">
      <c r="A48" s="24">
        <v>21</v>
      </c>
      <c r="B48" s="9" t="s">
        <v>63</v>
      </c>
      <c r="C48" s="9" t="s">
        <v>64</v>
      </c>
      <c r="D48" s="9" t="s">
        <v>23</v>
      </c>
      <c r="E48" s="25">
        <v>1400</v>
      </c>
      <c r="F48" s="26">
        <v>1407.9436000000001</v>
      </c>
      <c r="G48" s="27">
        <v>1.8206779999999999E-2</v>
      </c>
      <c r="H48" s="17">
        <v>7.1698000000000004</v>
      </c>
    </row>
    <row r="49" spans="1:8" x14ac:dyDescent="0.2">
      <c r="A49" s="24">
        <v>22</v>
      </c>
      <c r="B49" s="9" t="s">
        <v>65</v>
      </c>
      <c r="C49" s="9" t="s">
        <v>66</v>
      </c>
      <c r="D49" s="9" t="s">
        <v>26</v>
      </c>
      <c r="E49" s="25">
        <v>1300</v>
      </c>
      <c r="F49" s="26">
        <v>1296.8488</v>
      </c>
      <c r="G49" s="27">
        <v>1.6770159999999999E-2</v>
      </c>
      <c r="H49" s="17">
        <v>6.7</v>
      </c>
    </row>
    <row r="50" spans="1:8" x14ac:dyDescent="0.2">
      <c r="A50" s="24">
        <v>23</v>
      </c>
      <c r="B50" s="9" t="s">
        <v>67</v>
      </c>
      <c r="C50" s="9" t="s">
        <v>68</v>
      </c>
      <c r="D50" s="9" t="s">
        <v>23</v>
      </c>
      <c r="E50" s="25">
        <v>100</v>
      </c>
      <c r="F50" s="26">
        <v>1024.2170000000001</v>
      </c>
      <c r="G50" s="27">
        <v>1.324463E-2</v>
      </c>
      <c r="H50" s="17">
        <v>6.85</v>
      </c>
    </row>
    <row r="51" spans="1:8" x14ac:dyDescent="0.2">
      <c r="A51" s="24">
        <v>24</v>
      </c>
      <c r="B51" s="9" t="s">
        <v>69</v>
      </c>
      <c r="C51" s="9" t="s">
        <v>70</v>
      </c>
      <c r="D51" s="9" t="s">
        <v>23</v>
      </c>
      <c r="E51" s="25">
        <v>1000</v>
      </c>
      <c r="F51" s="26">
        <v>1017.624</v>
      </c>
      <c r="G51" s="27">
        <v>1.315937E-2</v>
      </c>
      <c r="H51" s="17">
        <v>7.08</v>
      </c>
    </row>
    <row r="52" spans="1:8" ht="25.5" x14ac:dyDescent="0.2">
      <c r="A52" s="24">
        <v>25</v>
      </c>
      <c r="B52" s="9" t="s">
        <v>71</v>
      </c>
      <c r="C52" s="9" t="s">
        <v>72</v>
      </c>
      <c r="D52" s="9" t="s">
        <v>23</v>
      </c>
      <c r="E52" s="25">
        <v>1000</v>
      </c>
      <c r="F52" s="26">
        <v>1009.975</v>
      </c>
      <c r="G52" s="27">
        <v>1.3060459999999999E-2</v>
      </c>
      <c r="H52" s="17">
        <v>6.4588000000000001</v>
      </c>
    </row>
    <row r="53" spans="1:8" x14ac:dyDescent="0.2">
      <c r="A53" s="24">
        <v>26</v>
      </c>
      <c r="B53" s="9" t="s">
        <v>73</v>
      </c>
      <c r="C53" s="9" t="s">
        <v>74</v>
      </c>
      <c r="D53" s="9" t="s">
        <v>23</v>
      </c>
      <c r="E53" s="25">
        <v>500</v>
      </c>
      <c r="F53" s="26">
        <v>511.35649999999998</v>
      </c>
      <c r="G53" s="27">
        <v>6.6125899999999998E-3</v>
      </c>
      <c r="H53" s="17">
        <v>7.49</v>
      </c>
    </row>
    <row r="54" spans="1:8" ht="25.5" x14ac:dyDescent="0.2">
      <c r="A54" s="24">
        <v>27</v>
      </c>
      <c r="B54" s="9" t="s">
        <v>75</v>
      </c>
      <c r="C54" s="9" t="s">
        <v>76</v>
      </c>
      <c r="D54" s="9" t="s">
        <v>23</v>
      </c>
      <c r="E54" s="25">
        <v>500</v>
      </c>
      <c r="F54" s="26">
        <v>510.79149999999998</v>
      </c>
      <c r="G54" s="27">
        <v>6.6052899999999998E-3</v>
      </c>
      <c r="H54" s="17">
        <v>6.53</v>
      </c>
    </row>
    <row r="55" spans="1:8" x14ac:dyDescent="0.2">
      <c r="A55" s="11"/>
      <c r="B55" s="11"/>
      <c r="C55" s="18" t="s">
        <v>11</v>
      </c>
      <c r="D55" s="11"/>
      <c r="E55" s="11" t="s">
        <v>12</v>
      </c>
      <c r="F55" s="23">
        <v>55712.784899999999</v>
      </c>
      <c r="G55" s="20">
        <v>0.72044821999999997</v>
      </c>
      <c r="H55" s="17" t="s">
        <v>12</v>
      </c>
    </row>
    <row r="56" spans="1:8" x14ac:dyDescent="0.2">
      <c r="A56" s="11"/>
      <c r="B56" s="11"/>
      <c r="C56" s="21"/>
      <c r="D56" s="11"/>
      <c r="E56" s="11"/>
      <c r="F56" s="22"/>
      <c r="G56" s="22"/>
      <c r="H56" s="17" t="s">
        <v>12</v>
      </c>
    </row>
    <row r="57" spans="1:8" x14ac:dyDescent="0.2">
      <c r="A57" s="11"/>
      <c r="B57" s="11"/>
      <c r="C57" s="18" t="s">
        <v>77</v>
      </c>
      <c r="D57" s="11"/>
      <c r="E57" s="11"/>
      <c r="F57" s="11"/>
      <c r="G57" s="11"/>
      <c r="H57" s="17" t="s">
        <v>12</v>
      </c>
    </row>
    <row r="58" spans="1:8" x14ac:dyDescent="0.2">
      <c r="A58" s="11"/>
      <c r="B58" s="11"/>
      <c r="C58" s="18" t="s">
        <v>11</v>
      </c>
      <c r="D58" s="11"/>
      <c r="E58" s="11" t="s">
        <v>12</v>
      </c>
      <c r="F58" s="19" t="s">
        <v>13</v>
      </c>
      <c r="G58" s="20">
        <v>0</v>
      </c>
      <c r="H58" s="17" t="s">
        <v>12</v>
      </c>
    </row>
    <row r="59" spans="1:8" x14ac:dyDescent="0.2">
      <c r="A59" s="11"/>
      <c r="B59" s="11"/>
      <c r="C59" s="21"/>
      <c r="D59" s="11"/>
      <c r="E59" s="11"/>
      <c r="F59" s="22"/>
      <c r="G59" s="22"/>
      <c r="H59" s="17" t="s">
        <v>12</v>
      </c>
    </row>
    <row r="60" spans="1:8" x14ac:dyDescent="0.2">
      <c r="A60" s="11"/>
      <c r="B60" s="11"/>
      <c r="C60" s="18" t="s">
        <v>78</v>
      </c>
      <c r="D60" s="11"/>
      <c r="E60" s="11"/>
      <c r="F60" s="11"/>
      <c r="G60" s="11"/>
      <c r="H60" s="17" t="s">
        <v>12</v>
      </c>
    </row>
    <row r="61" spans="1:8" x14ac:dyDescent="0.2">
      <c r="A61" s="24">
        <v>1</v>
      </c>
      <c r="B61" s="9" t="s">
        <v>79</v>
      </c>
      <c r="C61" s="9" t="s">
        <v>80</v>
      </c>
      <c r="D61" s="9" t="s">
        <v>81</v>
      </c>
      <c r="E61" s="25">
        <v>2500000</v>
      </c>
      <c r="F61" s="26">
        <v>2570.9025000000001</v>
      </c>
      <c r="G61" s="27">
        <v>3.3245549999999999E-2</v>
      </c>
      <c r="H61" s="17">
        <v>6.4783999999999997</v>
      </c>
    </row>
    <row r="62" spans="1:8" x14ac:dyDescent="0.2">
      <c r="A62" s="24">
        <v>2</v>
      </c>
      <c r="B62" s="9" t="s">
        <v>82</v>
      </c>
      <c r="C62" s="9" t="s">
        <v>83</v>
      </c>
      <c r="D62" s="9" t="s">
        <v>81</v>
      </c>
      <c r="E62" s="25">
        <v>2000000</v>
      </c>
      <c r="F62" s="26">
        <v>2110.0059999999999</v>
      </c>
      <c r="G62" s="27">
        <v>2.7285480000000001E-2</v>
      </c>
      <c r="H62" s="17">
        <v>6.1849999999999996</v>
      </c>
    </row>
    <row r="63" spans="1:8" ht="25.5" x14ac:dyDescent="0.2">
      <c r="A63" s="24">
        <v>3</v>
      </c>
      <c r="B63" s="9" t="s">
        <v>84</v>
      </c>
      <c r="C63" s="9" t="s">
        <v>85</v>
      </c>
      <c r="D63" s="9" t="s">
        <v>81</v>
      </c>
      <c r="E63" s="25">
        <v>1500000</v>
      </c>
      <c r="F63" s="26">
        <v>1535.5515</v>
      </c>
      <c r="G63" s="27">
        <v>1.985694E-2</v>
      </c>
      <c r="H63" s="17">
        <v>6.2652000000000001</v>
      </c>
    </row>
    <row r="64" spans="1:8" x14ac:dyDescent="0.2">
      <c r="A64" s="24">
        <v>4</v>
      </c>
      <c r="B64" s="9" t="s">
        <v>86</v>
      </c>
      <c r="C64" s="9" t="s">
        <v>87</v>
      </c>
      <c r="D64" s="9" t="s">
        <v>81</v>
      </c>
      <c r="E64" s="25">
        <v>1000000</v>
      </c>
      <c r="F64" s="26">
        <v>1037.798</v>
      </c>
      <c r="G64" s="27">
        <v>1.342025E-2</v>
      </c>
      <c r="H64" s="17">
        <v>7.1117999999999997</v>
      </c>
    </row>
    <row r="65" spans="1:8" x14ac:dyDescent="0.2">
      <c r="A65" s="24">
        <v>5</v>
      </c>
      <c r="B65" s="9" t="s">
        <v>88</v>
      </c>
      <c r="C65" s="9" t="s">
        <v>89</v>
      </c>
      <c r="D65" s="9" t="s">
        <v>81</v>
      </c>
      <c r="E65" s="25">
        <v>500000</v>
      </c>
      <c r="F65" s="26">
        <v>523.50199999999995</v>
      </c>
      <c r="G65" s="27">
        <v>6.7696500000000003E-3</v>
      </c>
      <c r="H65" s="17">
        <v>6.7161</v>
      </c>
    </row>
    <row r="66" spans="1:8" x14ac:dyDescent="0.2">
      <c r="A66" s="24">
        <v>6</v>
      </c>
      <c r="B66" s="9" t="s">
        <v>90</v>
      </c>
      <c r="C66" s="9" t="s">
        <v>91</v>
      </c>
      <c r="D66" s="9" t="s">
        <v>81</v>
      </c>
      <c r="E66" s="25">
        <v>500000</v>
      </c>
      <c r="F66" s="26">
        <v>522.27949999999998</v>
      </c>
      <c r="G66" s="27">
        <v>6.7538399999999997E-3</v>
      </c>
      <c r="H66" s="17">
        <v>5.9339000000000004</v>
      </c>
    </row>
    <row r="67" spans="1:8" x14ac:dyDescent="0.2">
      <c r="A67" s="24">
        <v>7</v>
      </c>
      <c r="B67" s="9" t="s">
        <v>92</v>
      </c>
      <c r="C67" s="9" t="s">
        <v>93</v>
      </c>
      <c r="D67" s="9" t="s">
        <v>81</v>
      </c>
      <c r="E67" s="25">
        <v>500000</v>
      </c>
      <c r="F67" s="26">
        <v>500.66399999999999</v>
      </c>
      <c r="G67" s="27">
        <v>6.4743200000000004E-3</v>
      </c>
      <c r="H67" s="17">
        <v>6.4095000000000004</v>
      </c>
    </row>
    <row r="68" spans="1:8" x14ac:dyDescent="0.2">
      <c r="A68" s="24">
        <v>8</v>
      </c>
      <c r="B68" s="9" t="s">
        <v>94</v>
      </c>
      <c r="C68" s="9" t="s">
        <v>95</v>
      </c>
      <c r="D68" s="9" t="s">
        <v>81</v>
      </c>
      <c r="E68" s="25">
        <v>500000</v>
      </c>
      <c r="F68" s="26">
        <v>491.214</v>
      </c>
      <c r="G68" s="27">
        <v>6.3521200000000002E-3</v>
      </c>
      <c r="H68" s="17">
        <v>7.1544999999999996</v>
      </c>
    </row>
    <row r="69" spans="1:8" x14ac:dyDescent="0.2">
      <c r="A69" s="11"/>
      <c r="B69" s="11"/>
      <c r="C69" s="18" t="s">
        <v>11</v>
      </c>
      <c r="D69" s="11"/>
      <c r="E69" s="11" t="s">
        <v>12</v>
      </c>
      <c r="F69" s="23">
        <v>9291.9174999999996</v>
      </c>
      <c r="G69" s="20">
        <v>0.12015815000000001</v>
      </c>
      <c r="H69" s="17" t="s">
        <v>12</v>
      </c>
    </row>
    <row r="70" spans="1:8" x14ac:dyDescent="0.2">
      <c r="A70" s="11"/>
      <c r="B70" s="11"/>
      <c r="C70" s="21"/>
      <c r="D70" s="11"/>
      <c r="E70" s="11"/>
      <c r="F70" s="22"/>
      <c r="G70" s="22"/>
      <c r="H70" s="17" t="s">
        <v>12</v>
      </c>
    </row>
    <row r="71" spans="1:8" x14ac:dyDescent="0.2">
      <c r="A71" s="11"/>
      <c r="B71" s="11"/>
      <c r="C71" s="18" t="s">
        <v>96</v>
      </c>
      <c r="D71" s="11"/>
      <c r="E71" s="11"/>
      <c r="F71" s="22"/>
      <c r="G71" s="22"/>
      <c r="H71" s="17" t="s">
        <v>12</v>
      </c>
    </row>
    <row r="72" spans="1:8" x14ac:dyDescent="0.2">
      <c r="A72" s="11"/>
      <c r="B72" s="11"/>
      <c r="C72" s="18" t="s">
        <v>11</v>
      </c>
      <c r="D72" s="11"/>
      <c r="E72" s="11" t="s">
        <v>12</v>
      </c>
      <c r="F72" s="19" t="s">
        <v>13</v>
      </c>
      <c r="G72" s="20">
        <v>0</v>
      </c>
      <c r="H72" s="17" t="s">
        <v>12</v>
      </c>
    </row>
    <row r="73" spans="1:8" x14ac:dyDescent="0.2">
      <c r="A73" s="11"/>
      <c r="B73" s="11"/>
      <c r="C73" s="21"/>
      <c r="D73" s="11"/>
      <c r="E73" s="11"/>
      <c r="F73" s="22"/>
      <c r="G73" s="22"/>
      <c r="H73" s="17" t="s">
        <v>12</v>
      </c>
    </row>
    <row r="74" spans="1:8" x14ac:dyDescent="0.2">
      <c r="A74" s="11"/>
      <c r="B74" s="11"/>
      <c r="C74" s="18" t="s">
        <v>97</v>
      </c>
      <c r="D74" s="11"/>
      <c r="E74" s="11"/>
      <c r="F74" s="23">
        <v>65004.702400000002</v>
      </c>
      <c r="G74" s="20">
        <v>0.84060637000000005</v>
      </c>
      <c r="H74" s="17" t="s">
        <v>12</v>
      </c>
    </row>
    <row r="75" spans="1:8" x14ac:dyDescent="0.2">
      <c r="A75" s="11"/>
      <c r="B75" s="11"/>
      <c r="C75" s="21"/>
      <c r="D75" s="11"/>
      <c r="E75" s="11"/>
      <c r="F75" s="22"/>
      <c r="G75" s="22"/>
      <c r="H75" s="17" t="s">
        <v>12</v>
      </c>
    </row>
    <row r="76" spans="1:8" x14ac:dyDescent="0.2">
      <c r="A76" s="11"/>
      <c r="B76" s="11"/>
      <c r="C76" s="18" t="s">
        <v>98</v>
      </c>
      <c r="D76" s="11"/>
      <c r="E76" s="11"/>
      <c r="F76" s="22"/>
      <c r="G76" s="22"/>
      <c r="H76" s="17" t="s">
        <v>12</v>
      </c>
    </row>
    <row r="77" spans="1:8" x14ac:dyDescent="0.2">
      <c r="A77" s="11"/>
      <c r="B77" s="11"/>
      <c r="C77" s="18" t="s">
        <v>99</v>
      </c>
      <c r="D77" s="11"/>
      <c r="E77" s="11"/>
      <c r="F77" s="22"/>
      <c r="G77" s="22"/>
      <c r="H77" s="17" t="s">
        <v>12</v>
      </c>
    </row>
    <row r="78" spans="1:8" x14ac:dyDescent="0.2">
      <c r="A78" s="24">
        <v>1</v>
      </c>
      <c r="B78" s="9" t="s">
        <v>100</v>
      </c>
      <c r="C78" s="9" t="s">
        <v>101</v>
      </c>
      <c r="D78" s="9" t="s">
        <v>102</v>
      </c>
      <c r="E78" s="25">
        <v>600</v>
      </c>
      <c r="F78" s="26">
        <v>2929.9740000000002</v>
      </c>
      <c r="G78" s="27">
        <v>3.7888869999999998E-2</v>
      </c>
      <c r="H78" s="17">
        <v>5.8548</v>
      </c>
    </row>
    <row r="79" spans="1:8" x14ac:dyDescent="0.2">
      <c r="A79" s="24">
        <v>2</v>
      </c>
      <c r="B79" s="9" t="s">
        <v>103</v>
      </c>
      <c r="C79" s="9" t="s">
        <v>104</v>
      </c>
      <c r="D79" s="9" t="s">
        <v>105</v>
      </c>
      <c r="E79" s="25">
        <v>500</v>
      </c>
      <c r="F79" s="26">
        <v>2439.4</v>
      </c>
      <c r="G79" s="27">
        <v>3.1545030000000002E-2</v>
      </c>
      <c r="H79" s="17">
        <v>5.85</v>
      </c>
    </row>
    <row r="80" spans="1:8" x14ac:dyDescent="0.2">
      <c r="A80" s="24">
        <v>3</v>
      </c>
      <c r="B80" s="9" t="s">
        <v>106</v>
      </c>
      <c r="C80" s="9" t="s">
        <v>107</v>
      </c>
      <c r="D80" s="9" t="s">
        <v>108</v>
      </c>
      <c r="E80" s="25">
        <v>200</v>
      </c>
      <c r="F80" s="26">
        <v>977.79100000000005</v>
      </c>
      <c r="G80" s="27">
        <v>1.2644280000000001E-2</v>
      </c>
      <c r="H80" s="17">
        <v>5.8798000000000004</v>
      </c>
    </row>
    <row r="81" spans="1:8" x14ac:dyDescent="0.2">
      <c r="A81" s="11"/>
      <c r="B81" s="11"/>
      <c r="C81" s="18" t="s">
        <v>11</v>
      </c>
      <c r="D81" s="11"/>
      <c r="E81" s="11" t="s">
        <v>12</v>
      </c>
      <c r="F81" s="23">
        <v>6347.165</v>
      </c>
      <c r="G81" s="20">
        <v>8.2078180000000001E-2</v>
      </c>
      <c r="H81" s="17" t="s">
        <v>12</v>
      </c>
    </row>
    <row r="82" spans="1:8" x14ac:dyDescent="0.2">
      <c r="A82" s="11"/>
      <c r="B82" s="11"/>
      <c r="C82" s="21"/>
      <c r="D82" s="11"/>
      <c r="E82" s="11"/>
      <c r="F82" s="22"/>
      <c r="G82" s="22"/>
      <c r="H82" s="17" t="s">
        <v>12</v>
      </c>
    </row>
    <row r="83" spans="1:8" x14ac:dyDescent="0.2">
      <c r="A83" s="11"/>
      <c r="B83" s="11"/>
      <c r="C83" s="18" t="s">
        <v>109</v>
      </c>
      <c r="D83" s="11"/>
      <c r="E83" s="11"/>
      <c r="F83" s="22"/>
      <c r="G83" s="22"/>
      <c r="H83" s="17" t="s">
        <v>12</v>
      </c>
    </row>
    <row r="84" spans="1:8" x14ac:dyDescent="0.2">
      <c r="A84" s="11"/>
      <c r="B84" s="11"/>
      <c r="C84" s="18" t="s">
        <v>11</v>
      </c>
      <c r="D84" s="11"/>
      <c r="E84" s="11" t="s">
        <v>12</v>
      </c>
      <c r="F84" s="19" t="s">
        <v>13</v>
      </c>
      <c r="G84" s="20">
        <v>0</v>
      </c>
      <c r="H84" s="17" t="s">
        <v>12</v>
      </c>
    </row>
    <row r="85" spans="1:8" x14ac:dyDescent="0.2">
      <c r="A85" s="11"/>
      <c r="B85" s="11"/>
      <c r="C85" s="21"/>
      <c r="D85" s="11"/>
      <c r="E85" s="11"/>
      <c r="F85" s="22"/>
      <c r="G85" s="22"/>
      <c r="H85" s="17" t="s">
        <v>12</v>
      </c>
    </row>
    <row r="86" spans="1:8" x14ac:dyDescent="0.2">
      <c r="A86" s="11"/>
      <c r="B86" s="11"/>
      <c r="C86" s="18" t="s">
        <v>110</v>
      </c>
      <c r="D86" s="11"/>
      <c r="E86" s="11"/>
      <c r="F86" s="22"/>
      <c r="G86" s="22"/>
      <c r="H86" s="17" t="s">
        <v>12</v>
      </c>
    </row>
    <row r="87" spans="1:8" x14ac:dyDescent="0.2">
      <c r="A87" s="11"/>
      <c r="B87" s="11"/>
      <c r="C87" s="18" t="s">
        <v>11</v>
      </c>
      <c r="D87" s="11"/>
      <c r="E87" s="11" t="s">
        <v>12</v>
      </c>
      <c r="F87" s="19" t="s">
        <v>13</v>
      </c>
      <c r="G87" s="20">
        <v>0</v>
      </c>
      <c r="H87" s="17" t="s">
        <v>12</v>
      </c>
    </row>
    <row r="88" spans="1:8" x14ac:dyDescent="0.2">
      <c r="A88" s="11"/>
      <c r="B88" s="11"/>
      <c r="C88" s="21"/>
      <c r="D88" s="11"/>
      <c r="E88" s="11"/>
      <c r="F88" s="22"/>
      <c r="G88" s="22"/>
      <c r="H88" s="17" t="s">
        <v>12</v>
      </c>
    </row>
    <row r="89" spans="1:8" x14ac:dyDescent="0.2">
      <c r="A89" s="11"/>
      <c r="B89" s="11"/>
      <c r="C89" s="18" t="s">
        <v>111</v>
      </c>
      <c r="D89" s="11"/>
      <c r="E89" s="11"/>
      <c r="F89" s="22"/>
      <c r="G89" s="22"/>
      <c r="H89" s="17" t="s">
        <v>12</v>
      </c>
    </row>
    <row r="90" spans="1:8" x14ac:dyDescent="0.2">
      <c r="A90" s="24">
        <v>1</v>
      </c>
      <c r="B90" s="9"/>
      <c r="C90" s="9" t="s">
        <v>112</v>
      </c>
      <c r="D90" s="9"/>
      <c r="E90" s="28"/>
      <c r="F90" s="26">
        <v>4175.5077589969997</v>
      </c>
      <c r="G90" s="27">
        <v>5.399545E-2</v>
      </c>
      <c r="H90" s="17">
        <v>5.3</v>
      </c>
    </row>
    <row r="91" spans="1:8" x14ac:dyDescent="0.2">
      <c r="A91" s="11"/>
      <c r="B91" s="11"/>
      <c r="C91" s="18" t="s">
        <v>11</v>
      </c>
      <c r="D91" s="11"/>
      <c r="E91" s="11" t="s">
        <v>12</v>
      </c>
      <c r="F91" s="23">
        <v>4175.5077589969997</v>
      </c>
      <c r="G91" s="20">
        <v>5.399545E-2</v>
      </c>
      <c r="H91" s="17" t="s">
        <v>12</v>
      </c>
    </row>
    <row r="92" spans="1:8" x14ac:dyDescent="0.2">
      <c r="A92" s="11"/>
      <c r="B92" s="11"/>
      <c r="C92" s="21"/>
      <c r="D92" s="11"/>
      <c r="E92" s="11"/>
      <c r="F92" s="22"/>
      <c r="G92" s="22"/>
      <c r="H92" s="17" t="s">
        <v>12</v>
      </c>
    </row>
    <row r="93" spans="1:8" x14ac:dyDescent="0.2">
      <c r="A93" s="11"/>
      <c r="B93" s="11"/>
      <c r="C93" s="18" t="s">
        <v>113</v>
      </c>
      <c r="D93" s="11"/>
      <c r="E93" s="11"/>
      <c r="F93" s="23">
        <v>10522.672758997</v>
      </c>
      <c r="G93" s="20">
        <v>0.13607363</v>
      </c>
      <c r="H93" s="17" t="s">
        <v>12</v>
      </c>
    </row>
    <row r="94" spans="1:8" x14ac:dyDescent="0.2">
      <c r="A94" s="11"/>
      <c r="B94" s="11"/>
      <c r="C94" s="22"/>
      <c r="D94" s="11"/>
      <c r="E94" s="11"/>
      <c r="F94" s="11"/>
      <c r="G94" s="11"/>
      <c r="H94" s="17" t="s">
        <v>12</v>
      </c>
    </row>
    <row r="95" spans="1:8" x14ac:dyDescent="0.2">
      <c r="A95" s="11"/>
      <c r="B95" s="11"/>
      <c r="C95" s="18" t="s">
        <v>114</v>
      </c>
      <c r="D95" s="11"/>
      <c r="E95" s="11"/>
      <c r="F95" s="11"/>
      <c r="G95" s="11"/>
      <c r="H95" s="17" t="s">
        <v>12</v>
      </c>
    </row>
    <row r="96" spans="1:8" x14ac:dyDescent="0.2">
      <c r="A96" s="11"/>
      <c r="B96" s="11"/>
      <c r="C96" s="18" t="s">
        <v>115</v>
      </c>
      <c r="D96" s="11"/>
      <c r="E96" s="11"/>
      <c r="F96" s="11"/>
      <c r="G96" s="11"/>
      <c r="H96" s="17" t="s">
        <v>12</v>
      </c>
    </row>
    <row r="97" spans="1:17" x14ac:dyDescent="0.2">
      <c r="A97" s="11"/>
      <c r="B97" s="11"/>
      <c r="C97" s="18" t="s">
        <v>11</v>
      </c>
      <c r="D97" s="11"/>
      <c r="E97" s="11" t="s">
        <v>12</v>
      </c>
      <c r="F97" s="19" t="s">
        <v>13</v>
      </c>
      <c r="G97" s="20">
        <v>0</v>
      </c>
      <c r="H97" s="17" t="s">
        <v>12</v>
      </c>
    </row>
    <row r="98" spans="1:17" x14ac:dyDescent="0.2">
      <c r="A98" s="16"/>
      <c r="B98" s="16"/>
      <c r="C98" s="65"/>
      <c r="D98" s="16"/>
      <c r="E98" s="16"/>
      <c r="F98" s="35"/>
      <c r="G98" s="35"/>
      <c r="H98" s="17" t="s">
        <v>12</v>
      </c>
    </row>
    <row r="99" spans="1:17" x14ac:dyDescent="0.2">
      <c r="A99" s="16"/>
      <c r="B99" s="16"/>
      <c r="C99" s="8" t="s">
        <v>618</v>
      </c>
      <c r="D99" s="16"/>
      <c r="E99" s="16"/>
      <c r="F99" s="35"/>
      <c r="G99" s="35"/>
      <c r="H99" s="17" t="s">
        <v>12</v>
      </c>
      <c r="K99" s="48"/>
      <c r="L99" s="48"/>
      <c r="M99" s="48"/>
      <c r="N99" s="48"/>
      <c r="O99" s="66"/>
      <c r="P99" s="66"/>
      <c r="Q99" s="66"/>
    </row>
    <row r="100" spans="1:17" x14ac:dyDescent="0.2">
      <c r="A100" s="59">
        <v>1</v>
      </c>
      <c r="B100" s="60" t="s">
        <v>116</v>
      </c>
      <c r="C100" s="60" t="s">
        <v>117</v>
      </c>
      <c r="D100" s="60"/>
      <c r="E100" s="67">
        <v>2586.3710000000001</v>
      </c>
      <c r="F100" s="62">
        <v>291.43341193800001</v>
      </c>
      <c r="G100" s="63">
        <v>3.7686600000000001E-3</v>
      </c>
      <c r="H100" s="17"/>
    </row>
    <row r="101" spans="1:17" x14ac:dyDescent="0.2">
      <c r="A101" s="16"/>
      <c r="B101" s="16"/>
      <c r="C101" s="8" t="s">
        <v>11</v>
      </c>
      <c r="D101" s="16"/>
      <c r="E101" s="16" t="s">
        <v>12</v>
      </c>
      <c r="F101" s="68">
        <f>SUM(F100)</f>
        <v>291.43341193800001</v>
      </c>
      <c r="G101" s="69">
        <f>SUM(G100)</f>
        <v>3.7686600000000001E-3</v>
      </c>
      <c r="H101" s="17" t="s">
        <v>12</v>
      </c>
    </row>
    <row r="102" spans="1:17" x14ac:dyDescent="0.2">
      <c r="A102" s="16"/>
      <c r="B102" s="16"/>
      <c r="C102" s="65"/>
      <c r="D102" s="16"/>
      <c r="E102" s="16"/>
      <c r="F102" s="35"/>
      <c r="G102" s="35"/>
      <c r="H102" s="17" t="s">
        <v>12</v>
      </c>
    </row>
    <row r="103" spans="1:17" x14ac:dyDescent="0.2">
      <c r="A103" s="11"/>
      <c r="B103" s="11"/>
      <c r="C103" s="18" t="s">
        <v>118</v>
      </c>
      <c r="D103" s="11"/>
      <c r="E103" s="11"/>
      <c r="F103" s="11"/>
      <c r="G103" s="11"/>
      <c r="H103" s="17" t="s">
        <v>12</v>
      </c>
    </row>
    <row r="104" spans="1:17" x14ac:dyDescent="0.2">
      <c r="A104" s="11"/>
      <c r="B104" s="11"/>
      <c r="C104" s="18" t="s">
        <v>119</v>
      </c>
      <c r="D104" s="11"/>
      <c r="E104" s="11"/>
      <c r="F104" s="11"/>
      <c r="G104" s="11"/>
      <c r="H104" s="17" t="s">
        <v>12</v>
      </c>
    </row>
    <row r="105" spans="1:17" x14ac:dyDescent="0.2">
      <c r="A105" s="11"/>
      <c r="B105" s="11"/>
      <c r="C105" s="18" t="s">
        <v>11</v>
      </c>
      <c r="D105" s="11"/>
      <c r="E105" s="11" t="s">
        <v>12</v>
      </c>
      <c r="F105" s="19" t="s">
        <v>13</v>
      </c>
      <c r="G105" s="20">
        <v>0</v>
      </c>
      <c r="H105" s="17" t="s">
        <v>12</v>
      </c>
    </row>
    <row r="106" spans="1:17" x14ac:dyDescent="0.2">
      <c r="A106" s="11"/>
      <c r="B106" s="11"/>
      <c r="C106" s="21"/>
      <c r="D106" s="11"/>
      <c r="E106" s="11"/>
      <c r="F106" s="22"/>
      <c r="G106" s="22"/>
      <c r="H106" s="17" t="s">
        <v>12</v>
      </c>
    </row>
    <row r="107" spans="1:17" x14ac:dyDescent="0.2">
      <c r="A107" s="11"/>
      <c r="B107" s="11"/>
      <c r="C107" s="18" t="s">
        <v>120</v>
      </c>
      <c r="D107" s="11"/>
      <c r="E107" s="11"/>
      <c r="F107" s="22"/>
      <c r="G107" s="22"/>
      <c r="H107" s="17" t="s">
        <v>12</v>
      </c>
    </row>
    <row r="108" spans="1:17" x14ac:dyDescent="0.2">
      <c r="A108" s="11"/>
      <c r="B108" s="11"/>
      <c r="C108" s="18" t="s">
        <v>11</v>
      </c>
      <c r="D108" s="11"/>
      <c r="E108" s="11" t="s">
        <v>12</v>
      </c>
      <c r="F108" s="19" t="s">
        <v>13</v>
      </c>
      <c r="G108" s="20">
        <v>0</v>
      </c>
      <c r="H108" s="17" t="s">
        <v>12</v>
      </c>
    </row>
    <row r="109" spans="1:17" x14ac:dyDescent="0.2">
      <c r="A109" s="11"/>
      <c r="B109" s="11"/>
      <c r="C109" s="21"/>
      <c r="D109" s="11"/>
      <c r="E109" s="11"/>
      <c r="F109" s="22"/>
      <c r="G109" s="22"/>
      <c r="H109" s="17" t="s">
        <v>12</v>
      </c>
    </row>
    <row r="110" spans="1:17" x14ac:dyDescent="0.2">
      <c r="A110" s="28"/>
      <c r="B110" s="9"/>
      <c r="C110" s="9" t="s">
        <v>121</v>
      </c>
      <c r="D110" s="9"/>
      <c r="E110" s="28"/>
      <c r="F110" s="26">
        <v>1511.92116502</v>
      </c>
      <c r="G110" s="27">
        <v>1.955136E-2</v>
      </c>
      <c r="H110" s="17" t="s">
        <v>12</v>
      </c>
    </row>
    <row r="111" spans="1:17" x14ac:dyDescent="0.2">
      <c r="A111" s="21"/>
      <c r="B111" s="21"/>
      <c r="C111" s="18" t="s">
        <v>122</v>
      </c>
      <c r="D111" s="22"/>
      <c r="E111" s="22"/>
      <c r="F111" s="23">
        <v>77330.729735954999</v>
      </c>
      <c r="G111" s="29">
        <v>1.0000000200000001</v>
      </c>
      <c r="H111" s="17" t="s">
        <v>12</v>
      </c>
    </row>
    <row r="112" spans="1:17" x14ac:dyDescent="0.2">
      <c r="A112" s="30"/>
      <c r="B112" s="30"/>
      <c r="C112" s="30"/>
      <c r="D112" s="10"/>
      <c r="E112" s="10"/>
      <c r="F112" s="10"/>
      <c r="G112" s="10"/>
    </row>
    <row r="113" spans="1:8" x14ac:dyDescent="0.2">
      <c r="A113" s="31"/>
      <c r="B113" s="148" t="s">
        <v>619</v>
      </c>
      <c r="C113" s="148"/>
      <c r="D113" s="148"/>
      <c r="E113" s="148"/>
      <c r="F113" s="148"/>
      <c r="G113" s="148"/>
      <c r="H113" s="148"/>
    </row>
    <row r="114" spans="1:8" x14ac:dyDescent="0.2">
      <c r="A114" s="31"/>
      <c r="B114" s="148" t="s">
        <v>620</v>
      </c>
      <c r="C114" s="148"/>
      <c r="D114" s="148"/>
      <c r="E114" s="148"/>
      <c r="F114" s="148"/>
      <c r="G114" s="148"/>
      <c r="H114" s="148"/>
    </row>
    <row r="115" spans="1:8" x14ac:dyDescent="0.2">
      <c r="A115" s="31"/>
      <c r="B115" s="148" t="s">
        <v>621</v>
      </c>
      <c r="C115" s="148"/>
      <c r="D115" s="148"/>
      <c r="E115" s="148"/>
      <c r="F115" s="148"/>
      <c r="G115" s="148"/>
      <c r="H115" s="148"/>
    </row>
    <row r="116" spans="1:8" x14ac:dyDescent="0.2">
      <c r="A116" s="31"/>
      <c r="B116" s="31"/>
      <c r="C116" s="31"/>
      <c r="D116" s="33"/>
      <c r="E116" s="33"/>
      <c r="F116" s="33"/>
      <c r="G116" s="33"/>
    </row>
    <row r="117" spans="1:8" x14ac:dyDescent="0.2">
      <c r="A117" s="31"/>
      <c r="B117" s="149" t="s">
        <v>123</v>
      </c>
      <c r="C117" s="150"/>
      <c r="D117" s="151"/>
      <c r="E117" s="34"/>
      <c r="F117" s="33"/>
      <c r="G117" s="33"/>
    </row>
    <row r="118" spans="1:8" ht="27" customHeight="1" x14ac:dyDescent="0.2">
      <c r="A118" s="31"/>
      <c r="B118" s="152" t="s">
        <v>124</v>
      </c>
      <c r="C118" s="153"/>
      <c r="D118" s="8" t="s">
        <v>125</v>
      </c>
      <c r="E118" s="34"/>
      <c r="F118" s="33"/>
      <c r="G118" s="33"/>
    </row>
    <row r="119" spans="1:8" x14ac:dyDescent="0.2">
      <c r="A119" s="31"/>
      <c r="B119" s="152" t="s">
        <v>126</v>
      </c>
      <c r="C119" s="153"/>
      <c r="D119" s="8" t="s">
        <v>125</v>
      </c>
      <c r="E119" s="34"/>
      <c r="F119" s="33"/>
      <c r="G119" s="33"/>
    </row>
    <row r="120" spans="1:8" x14ac:dyDescent="0.2">
      <c r="A120" s="31"/>
      <c r="B120" s="152" t="s">
        <v>127</v>
      </c>
      <c r="C120" s="153"/>
      <c r="D120" s="35" t="s">
        <v>12</v>
      </c>
      <c r="E120" s="34"/>
      <c r="F120" s="33"/>
      <c r="G120" s="33"/>
    </row>
    <row r="121" spans="1:8" x14ac:dyDescent="0.2">
      <c r="A121" s="36"/>
      <c r="B121" s="37" t="s">
        <v>12</v>
      </c>
      <c r="C121" s="37" t="s">
        <v>622</v>
      </c>
      <c r="D121" s="37" t="s">
        <v>128</v>
      </c>
      <c r="E121" s="36"/>
      <c r="F121" s="36"/>
      <c r="G121" s="36"/>
    </row>
    <row r="122" spans="1:8" x14ac:dyDescent="0.2">
      <c r="A122" s="36"/>
      <c r="B122" s="38" t="s">
        <v>129</v>
      </c>
      <c r="C122" s="39">
        <v>45838</v>
      </c>
      <c r="D122" s="39">
        <v>45853</v>
      </c>
      <c r="E122" s="36"/>
      <c r="F122" s="36"/>
      <c r="G122" s="36"/>
    </row>
    <row r="123" spans="1:8" x14ac:dyDescent="0.2">
      <c r="A123" s="40"/>
      <c r="B123" s="9" t="s">
        <v>130</v>
      </c>
      <c r="C123" s="41">
        <v>41.675800000000002</v>
      </c>
      <c r="D123" s="41">
        <v>41.837400000000002</v>
      </c>
      <c r="E123" s="40"/>
      <c r="F123" s="42"/>
      <c r="G123" s="43"/>
    </row>
    <row r="124" spans="1:8" ht="25.5" x14ac:dyDescent="0.2">
      <c r="A124" s="40"/>
      <c r="B124" s="9" t="s">
        <v>740</v>
      </c>
      <c r="C124" s="41">
        <v>19.955300000000001</v>
      </c>
      <c r="D124" s="41">
        <v>20.032699999999998</v>
      </c>
      <c r="E124" s="40"/>
      <c r="F124" s="42"/>
      <c r="G124" s="43"/>
    </row>
    <row r="125" spans="1:8" x14ac:dyDescent="0.2">
      <c r="A125" s="40"/>
      <c r="B125" s="9" t="s">
        <v>131</v>
      </c>
      <c r="C125" s="41">
        <v>40.300800000000002</v>
      </c>
      <c r="D125" s="41">
        <v>40.453400000000002</v>
      </c>
      <c r="E125" s="40"/>
      <c r="F125" s="42"/>
      <c r="G125" s="43"/>
    </row>
    <row r="126" spans="1:8" ht="25.5" x14ac:dyDescent="0.2">
      <c r="A126" s="40"/>
      <c r="B126" s="9" t="s">
        <v>741</v>
      </c>
      <c r="C126" s="41">
        <v>19.332899999999999</v>
      </c>
      <c r="D126" s="41">
        <v>19.406099999999999</v>
      </c>
      <c r="E126" s="40"/>
      <c r="F126" s="42"/>
      <c r="G126" s="43"/>
    </row>
    <row r="127" spans="1:8" x14ac:dyDescent="0.2">
      <c r="A127" s="40"/>
      <c r="B127" s="40"/>
      <c r="C127" s="40"/>
      <c r="D127" s="40"/>
      <c r="E127" s="40"/>
      <c r="F127" s="40"/>
      <c r="G127" s="40"/>
    </row>
    <row r="128" spans="1:8" x14ac:dyDescent="0.2">
      <c r="A128" s="40"/>
      <c r="B128" s="155" t="s">
        <v>742</v>
      </c>
      <c r="C128" s="156"/>
      <c r="D128" s="8" t="s">
        <v>125</v>
      </c>
      <c r="E128" s="40"/>
      <c r="F128" s="40"/>
      <c r="G128" s="40"/>
    </row>
    <row r="129" spans="1:14" x14ac:dyDescent="0.2">
      <c r="A129" s="36"/>
      <c r="B129" s="136"/>
      <c r="C129" s="136"/>
      <c r="D129" s="137"/>
      <c r="E129" s="36"/>
      <c r="F129" s="32"/>
      <c r="G129" s="138"/>
    </row>
    <row r="130" spans="1:14" x14ac:dyDescent="0.2">
      <c r="A130" s="36"/>
      <c r="B130" s="152" t="s">
        <v>132</v>
      </c>
      <c r="C130" s="153"/>
      <c r="D130" s="8" t="s">
        <v>125</v>
      </c>
      <c r="E130" s="47"/>
      <c r="F130" s="36"/>
      <c r="G130" s="36"/>
    </row>
    <row r="131" spans="1:14" x14ac:dyDescent="0.2">
      <c r="A131" s="36"/>
      <c r="B131" s="152" t="s">
        <v>133</v>
      </c>
      <c r="C131" s="153"/>
      <c r="D131" s="8" t="s">
        <v>125</v>
      </c>
      <c r="E131" s="47"/>
      <c r="F131" s="36"/>
      <c r="G131" s="36"/>
    </row>
    <row r="132" spans="1:14" x14ac:dyDescent="0.2">
      <c r="A132" s="36"/>
      <c r="B132" s="152" t="s">
        <v>623</v>
      </c>
      <c r="C132" s="153"/>
      <c r="D132" s="8" t="s">
        <v>125</v>
      </c>
      <c r="E132" s="47"/>
      <c r="F132" s="36"/>
      <c r="G132" s="36"/>
    </row>
    <row r="133" spans="1:14" x14ac:dyDescent="0.2">
      <c r="A133" s="44"/>
      <c r="B133" s="44"/>
      <c r="C133" s="44"/>
      <c r="D133" s="44"/>
      <c r="E133" s="44"/>
      <c r="F133" s="44"/>
      <c r="G133" s="44"/>
    </row>
    <row r="134" spans="1:14" s="49" customFormat="1" x14ac:dyDescent="0.2">
      <c r="B134" s="157" t="s">
        <v>624</v>
      </c>
      <c r="C134" s="158"/>
      <c r="D134" s="159"/>
      <c r="H134"/>
      <c r="I134"/>
      <c r="J134" s="48"/>
      <c r="K134" s="48"/>
      <c r="L134" s="48"/>
      <c r="M134" s="48"/>
      <c r="N134" s="48"/>
    </row>
    <row r="135" spans="1:14" s="49" customFormat="1" ht="38.25" x14ac:dyDescent="0.2">
      <c r="B135" s="154" t="s">
        <v>625</v>
      </c>
      <c r="C135" s="154"/>
      <c r="D135" s="51" t="s">
        <v>1</v>
      </c>
      <c r="H135"/>
      <c r="I135"/>
      <c r="J135" s="48"/>
      <c r="K135" s="48"/>
      <c r="L135" s="48"/>
      <c r="M135" s="48"/>
      <c r="N135" s="48"/>
    </row>
    <row r="136" spans="1:14" s="49" customFormat="1" x14ac:dyDescent="0.2">
      <c r="B136" s="143" t="s">
        <v>626</v>
      </c>
      <c r="C136" s="143"/>
      <c r="D136" s="52"/>
      <c r="H136"/>
      <c r="I136"/>
      <c r="J136" s="48"/>
      <c r="K136" s="48"/>
      <c r="L136" s="48"/>
      <c r="M136" s="48"/>
      <c r="N136" s="48"/>
    </row>
    <row r="137" spans="1:14" s="49" customFormat="1" x14ac:dyDescent="0.2">
      <c r="B137" s="144"/>
      <c r="C137" s="145"/>
      <c r="D137" s="53"/>
      <c r="H137"/>
      <c r="I137"/>
      <c r="J137" s="48"/>
      <c r="K137" s="48"/>
      <c r="L137" s="48"/>
      <c r="M137" s="48"/>
      <c r="N137" s="48"/>
    </row>
    <row r="138" spans="1:14" s="49" customFormat="1" x14ac:dyDescent="0.2">
      <c r="B138" s="143" t="s">
        <v>627</v>
      </c>
      <c r="C138" s="143"/>
      <c r="D138" s="54">
        <v>6.4847218559381723</v>
      </c>
      <c r="H138"/>
      <c r="I138"/>
      <c r="J138" s="48"/>
      <c r="K138" s="48"/>
      <c r="L138" s="48"/>
      <c r="M138" s="48"/>
      <c r="N138" s="48"/>
    </row>
    <row r="139" spans="1:14" s="49" customFormat="1" x14ac:dyDescent="0.2">
      <c r="B139" s="144"/>
      <c r="C139" s="145"/>
      <c r="D139" s="53"/>
      <c r="H139"/>
      <c r="I139"/>
      <c r="J139" s="48"/>
      <c r="K139" s="48"/>
      <c r="L139" s="48"/>
      <c r="M139" s="48"/>
      <c r="N139" s="48"/>
    </row>
    <row r="140" spans="1:14" s="49" customFormat="1" x14ac:dyDescent="0.2">
      <c r="B140" s="143" t="s">
        <v>628</v>
      </c>
      <c r="C140" s="143"/>
      <c r="D140" s="54">
        <v>2.9787172969776203</v>
      </c>
      <c r="H140"/>
      <c r="I140"/>
      <c r="J140" s="48"/>
      <c r="K140" s="48"/>
      <c r="L140" s="48"/>
      <c r="M140" s="48"/>
      <c r="N140" s="48"/>
    </row>
    <row r="141" spans="1:14" s="49" customFormat="1" x14ac:dyDescent="0.2">
      <c r="B141" s="143" t="s">
        <v>629</v>
      </c>
      <c r="C141" s="143"/>
      <c r="D141" s="54">
        <v>4.0134507876880656</v>
      </c>
      <c r="H141"/>
      <c r="I141"/>
      <c r="J141" s="48"/>
      <c r="K141" s="48"/>
      <c r="L141" s="48"/>
      <c r="M141" s="48"/>
      <c r="N141" s="48"/>
    </row>
    <row r="142" spans="1:14" s="49" customFormat="1" x14ac:dyDescent="0.2">
      <c r="B142" s="144"/>
      <c r="C142" s="145"/>
      <c r="D142" s="53"/>
      <c r="I142"/>
      <c r="J142" s="48"/>
      <c r="K142" s="48"/>
      <c r="L142" s="48"/>
      <c r="M142" s="48"/>
      <c r="N142" s="48"/>
    </row>
    <row r="143" spans="1:14" s="49" customFormat="1" x14ac:dyDescent="0.2">
      <c r="B143" s="143" t="s">
        <v>630</v>
      </c>
      <c r="C143" s="143"/>
      <c r="D143" s="7" t="s">
        <v>746</v>
      </c>
      <c r="I143"/>
      <c r="J143" s="48"/>
      <c r="K143" s="48"/>
      <c r="L143" s="48"/>
      <c r="M143" s="48"/>
      <c r="N143" s="50"/>
    </row>
    <row r="144" spans="1:14" s="49" customFormat="1" x14ac:dyDescent="0.2">
      <c r="B144" s="144" t="s">
        <v>631</v>
      </c>
      <c r="C144" s="146"/>
      <c r="D144" s="145"/>
      <c r="I144"/>
      <c r="J144" s="48"/>
      <c r="K144" s="48"/>
      <c r="L144" s="48"/>
      <c r="M144" s="48"/>
      <c r="N144" s="48"/>
    </row>
    <row r="146" spans="2:4" ht="25.5" x14ac:dyDescent="0.2">
      <c r="B146" s="83" t="s">
        <v>632</v>
      </c>
    </row>
    <row r="148" spans="2:4" ht="153.75" customHeight="1" x14ac:dyDescent="0.2"/>
    <row r="151" spans="2:4" x14ac:dyDescent="0.2">
      <c r="B151" s="57" t="s">
        <v>633</v>
      </c>
      <c r="C151" s="58"/>
      <c r="D151" s="57"/>
    </row>
    <row r="152" spans="2:4" x14ac:dyDescent="0.2">
      <c r="B152" s="57" t="s">
        <v>634</v>
      </c>
      <c r="D152" s="57"/>
    </row>
    <row r="153" spans="2:4" ht="165" customHeight="1" x14ac:dyDescent="0.2"/>
  </sheetData>
  <mergeCells count="25">
    <mergeCell ref="B132:C132"/>
    <mergeCell ref="B135:C135"/>
    <mergeCell ref="B128:C128"/>
    <mergeCell ref="B131:C131"/>
    <mergeCell ref="B130:C130"/>
    <mergeCell ref="B134:D134"/>
    <mergeCell ref="B115:H115"/>
    <mergeCell ref="B117:D117"/>
    <mergeCell ref="B118:C118"/>
    <mergeCell ref="B119:C119"/>
    <mergeCell ref="B120:C120"/>
    <mergeCell ref="A1:H1"/>
    <mergeCell ref="A2:H2"/>
    <mergeCell ref="A3:H3"/>
    <mergeCell ref="B113:H113"/>
    <mergeCell ref="B114:H114"/>
    <mergeCell ref="B141:C141"/>
    <mergeCell ref="B142:C142"/>
    <mergeCell ref="B143:C143"/>
    <mergeCell ref="B144:D144"/>
    <mergeCell ref="B136:C136"/>
    <mergeCell ref="B137:C137"/>
    <mergeCell ref="B138:C138"/>
    <mergeCell ref="B139:C139"/>
    <mergeCell ref="B140:C140"/>
  </mergeCells>
  <hyperlinks>
    <hyperlink ref="I1" location="Index!B2" display="Index" xr:uid="{5AE59468-1320-46DF-A92B-801680ACA13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F572F-1349-4E95-A289-FEB57C8EFF8E}">
  <sheetPr>
    <outlinePr summaryBelow="0" summaryRight="0"/>
  </sheetPr>
  <dimension ref="A1:R152"/>
  <sheetViews>
    <sheetView showGridLines="0" topLeftCell="A159" workbookViewId="0">
      <selection activeCell="C20" sqref="C20"/>
    </sheetView>
  </sheetViews>
  <sheetFormatPr defaultRowHeight="12.75" x14ac:dyDescent="0.2"/>
  <cols>
    <col min="1" max="1" width="5.85546875" bestFit="1" customWidth="1"/>
    <col min="2" max="2" width="21.140625" customWidth="1"/>
    <col min="3" max="3" width="48.42578125" customWidth="1"/>
    <col min="4" max="4" width="10.7109375" bestFit="1" customWidth="1"/>
    <col min="5" max="5" width="9.42578125" bestFit="1" customWidth="1"/>
    <col min="6" max="6" width="10.140625" bestFit="1" customWidth="1"/>
    <col min="7" max="7" width="14" bestFit="1" customWidth="1"/>
    <col min="8" max="8" width="9.140625" customWidth="1"/>
  </cols>
  <sheetData>
    <row r="1" spans="1:9" ht="15" x14ac:dyDescent="0.2">
      <c r="A1" s="147" t="s">
        <v>0</v>
      </c>
      <c r="B1" s="147"/>
      <c r="C1" s="147"/>
      <c r="D1" s="147"/>
      <c r="E1" s="147"/>
      <c r="F1" s="147"/>
      <c r="G1" s="147"/>
      <c r="H1" s="147"/>
      <c r="I1" s="1" t="s">
        <v>604</v>
      </c>
    </row>
    <row r="2" spans="1:9" ht="15" x14ac:dyDescent="0.2">
      <c r="A2" s="147" t="s">
        <v>134</v>
      </c>
      <c r="B2" s="147"/>
      <c r="C2" s="147"/>
      <c r="D2" s="147"/>
      <c r="E2" s="147"/>
      <c r="F2" s="147"/>
      <c r="G2" s="147"/>
      <c r="H2" s="147"/>
    </row>
    <row r="3" spans="1:9" ht="15" x14ac:dyDescent="0.2">
      <c r="A3" s="147" t="s">
        <v>603</v>
      </c>
      <c r="B3" s="147"/>
      <c r="C3" s="147"/>
      <c r="D3" s="147"/>
      <c r="E3" s="147"/>
      <c r="F3" s="147"/>
      <c r="G3" s="147"/>
      <c r="H3" s="147"/>
    </row>
    <row r="4" spans="1:9" s="15" customFormat="1" ht="30" x14ac:dyDescent="0.2">
      <c r="A4" s="13" t="s">
        <v>2</v>
      </c>
      <c r="B4" s="13" t="s">
        <v>3</v>
      </c>
      <c r="C4" s="13" t="s">
        <v>4</v>
      </c>
      <c r="D4" s="13" t="s">
        <v>5</v>
      </c>
      <c r="E4" s="13" t="s">
        <v>6</v>
      </c>
      <c r="F4" s="13" t="s">
        <v>7</v>
      </c>
      <c r="G4" s="13" t="s">
        <v>8</v>
      </c>
      <c r="H4" s="14" t="s">
        <v>602</v>
      </c>
    </row>
    <row r="5" spans="1:9" x14ac:dyDescent="0.2">
      <c r="A5" s="16"/>
      <c r="B5" s="16"/>
      <c r="C5" s="8" t="s">
        <v>9</v>
      </c>
      <c r="D5" s="16"/>
      <c r="E5" s="16"/>
      <c r="F5" s="16"/>
      <c r="G5" s="16"/>
      <c r="H5" s="17" t="s">
        <v>12</v>
      </c>
    </row>
    <row r="6" spans="1:9" x14ac:dyDescent="0.2">
      <c r="A6" s="11"/>
      <c r="B6" s="11"/>
      <c r="C6" s="18" t="s">
        <v>10</v>
      </c>
      <c r="D6" s="11"/>
      <c r="E6" s="11"/>
      <c r="F6" s="11"/>
      <c r="G6" s="11"/>
      <c r="H6" s="17" t="s">
        <v>12</v>
      </c>
    </row>
    <row r="7" spans="1:9" x14ac:dyDescent="0.2">
      <c r="A7" s="11"/>
      <c r="B7" s="11"/>
      <c r="C7" s="18" t="s">
        <v>11</v>
      </c>
      <c r="D7" s="11"/>
      <c r="E7" s="11" t="s">
        <v>12</v>
      </c>
      <c r="F7" s="19" t="s">
        <v>13</v>
      </c>
      <c r="G7" s="20">
        <v>0</v>
      </c>
      <c r="H7" s="17" t="s">
        <v>12</v>
      </c>
    </row>
    <row r="8" spans="1:9" x14ac:dyDescent="0.2">
      <c r="A8" s="11"/>
      <c r="B8" s="11"/>
      <c r="C8" s="21"/>
      <c r="D8" s="11"/>
      <c r="E8" s="11"/>
      <c r="F8" s="22"/>
      <c r="G8" s="22"/>
      <c r="H8" s="17" t="s">
        <v>12</v>
      </c>
    </row>
    <row r="9" spans="1:9" x14ac:dyDescent="0.2">
      <c r="A9" s="11"/>
      <c r="B9" s="11"/>
      <c r="C9" s="18" t="s">
        <v>14</v>
      </c>
      <c r="D9" s="11"/>
      <c r="E9" s="11"/>
      <c r="F9" s="11"/>
      <c r="G9" s="11"/>
      <c r="H9" s="17" t="s">
        <v>12</v>
      </c>
    </row>
    <row r="10" spans="1:9" x14ac:dyDescent="0.2">
      <c r="A10" s="11"/>
      <c r="B10" s="11"/>
      <c r="C10" s="18" t="s">
        <v>11</v>
      </c>
      <c r="D10" s="11"/>
      <c r="E10" s="11" t="s">
        <v>12</v>
      </c>
      <c r="F10" s="19" t="s">
        <v>13</v>
      </c>
      <c r="G10" s="20">
        <v>0</v>
      </c>
      <c r="H10" s="17" t="s">
        <v>12</v>
      </c>
    </row>
    <row r="11" spans="1:9" x14ac:dyDescent="0.2">
      <c r="A11" s="11"/>
      <c r="B11" s="11"/>
      <c r="C11" s="21"/>
      <c r="D11" s="11"/>
      <c r="E11" s="11"/>
      <c r="F11" s="22"/>
      <c r="G11" s="22"/>
      <c r="H11" s="17" t="s">
        <v>12</v>
      </c>
    </row>
    <row r="12" spans="1:9" x14ac:dyDescent="0.2">
      <c r="A12" s="11"/>
      <c r="B12" s="11"/>
      <c r="C12" s="18" t="s">
        <v>15</v>
      </c>
      <c r="D12" s="11"/>
      <c r="E12" s="11"/>
      <c r="F12" s="11"/>
      <c r="G12" s="11"/>
      <c r="H12" s="17" t="s">
        <v>12</v>
      </c>
    </row>
    <row r="13" spans="1:9" x14ac:dyDescent="0.2">
      <c r="A13" s="11"/>
      <c r="B13" s="11"/>
      <c r="C13" s="18" t="s">
        <v>11</v>
      </c>
      <c r="D13" s="11"/>
      <c r="E13" s="11" t="s">
        <v>12</v>
      </c>
      <c r="F13" s="19" t="s">
        <v>13</v>
      </c>
      <c r="G13" s="20">
        <v>0</v>
      </c>
      <c r="H13" s="17" t="s">
        <v>12</v>
      </c>
    </row>
    <row r="14" spans="1:9" x14ac:dyDescent="0.2">
      <c r="A14" s="11"/>
      <c r="B14" s="11"/>
      <c r="C14" s="21"/>
      <c r="D14" s="11"/>
      <c r="E14" s="11"/>
      <c r="F14" s="22"/>
      <c r="G14" s="22"/>
      <c r="H14" s="17" t="s">
        <v>12</v>
      </c>
    </row>
    <row r="15" spans="1:9" x14ac:dyDescent="0.2">
      <c r="A15" s="11"/>
      <c r="B15" s="11"/>
      <c r="C15" s="18" t="s">
        <v>16</v>
      </c>
      <c r="D15" s="11"/>
      <c r="E15" s="11"/>
      <c r="F15" s="11"/>
      <c r="G15" s="11"/>
      <c r="H15" s="17" t="s">
        <v>12</v>
      </c>
    </row>
    <row r="16" spans="1:9" x14ac:dyDescent="0.2">
      <c r="A16" s="11"/>
      <c r="B16" s="11"/>
      <c r="C16" s="18" t="s">
        <v>11</v>
      </c>
      <c r="D16" s="11"/>
      <c r="E16" s="11" t="s">
        <v>12</v>
      </c>
      <c r="F16" s="19" t="s">
        <v>13</v>
      </c>
      <c r="G16" s="20">
        <v>0</v>
      </c>
      <c r="H16" s="17" t="s">
        <v>12</v>
      </c>
    </row>
    <row r="17" spans="1:8" x14ac:dyDescent="0.2">
      <c r="A17" s="11"/>
      <c r="B17" s="11"/>
      <c r="C17" s="21"/>
      <c r="D17" s="11"/>
      <c r="E17" s="11"/>
      <c r="F17" s="22"/>
      <c r="G17" s="22"/>
      <c r="H17" s="17" t="s">
        <v>12</v>
      </c>
    </row>
    <row r="18" spans="1:8" x14ac:dyDescent="0.2">
      <c r="A18" s="11"/>
      <c r="B18" s="11"/>
      <c r="C18" s="18" t="s">
        <v>17</v>
      </c>
      <c r="D18" s="11"/>
      <c r="E18" s="11"/>
      <c r="F18" s="22"/>
      <c r="G18" s="22"/>
      <c r="H18" s="17" t="s">
        <v>12</v>
      </c>
    </row>
    <row r="19" spans="1:8" x14ac:dyDescent="0.2">
      <c r="A19" s="11"/>
      <c r="B19" s="11"/>
      <c r="C19" s="18" t="s">
        <v>11</v>
      </c>
      <c r="D19" s="11"/>
      <c r="E19" s="11" t="s">
        <v>12</v>
      </c>
      <c r="F19" s="19" t="s">
        <v>13</v>
      </c>
      <c r="G19" s="20">
        <v>0</v>
      </c>
      <c r="H19" s="17" t="s">
        <v>12</v>
      </c>
    </row>
    <row r="20" spans="1:8" x14ac:dyDescent="0.2">
      <c r="A20" s="11"/>
      <c r="B20" s="11"/>
      <c r="C20" s="21"/>
      <c r="D20" s="11"/>
      <c r="E20" s="11"/>
      <c r="F20" s="22"/>
      <c r="G20" s="22"/>
      <c r="H20" s="17" t="s">
        <v>12</v>
      </c>
    </row>
    <row r="21" spans="1:8" x14ac:dyDescent="0.2">
      <c r="A21" s="11"/>
      <c r="B21" s="11"/>
      <c r="C21" s="18" t="s">
        <v>18</v>
      </c>
      <c r="D21" s="11"/>
      <c r="E21" s="11"/>
      <c r="F21" s="22"/>
      <c r="G21" s="22"/>
      <c r="H21" s="17" t="s">
        <v>12</v>
      </c>
    </row>
    <row r="22" spans="1:8" x14ac:dyDescent="0.2">
      <c r="A22" s="11"/>
      <c r="B22" s="11"/>
      <c r="C22" s="18" t="s">
        <v>11</v>
      </c>
      <c r="D22" s="11"/>
      <c r="E22" s="11" t="s">
        <v>12</v>
      </c>
      <c r="F22" s="19" t="s">
        <v>13</v>
      </c>
      <c r="G22" s="20">
        <v>0</v>
      </c>
      <c r="H22" s="17" t="s">
        <v>12</v>
      </c>
    </row>
    <row r="23" spans="1:8" x14ac:dyDescent="0.2">
      <c r="A23" s="11"/>
      <c r="B23" s="11"/>
      <c r="C23" s="21"/>
      <c r="D23" s="11"/>
      <c r="E23" s="11"/>
      <c r="F23" s="22"/>
      <c r="G23" s="22"/>
      <c r="H23" s="17" t="s">
        <v>12</v>
      </c>
    </row>
    <row r="24" spans="1:8" x14ac:dyDescent="0.2">
      <c r="A24" s="11"/>
      <c r="B24" s="11"/>
      <c r="C24" s="18" t="s">
        <v>19</v>
      </c>
      <c r="D24" s="11"/>
      <c r="E24" s="11"/>
      <c r="F24" s="23">
        <v>0</v>
      </c>
      <c r="G24" s="20">
        <v>0</v>
      </c>
      <c r="H24" s="17" t="s">
        <v>12</v>
      </c>
    </row>
    <row r="25" spans="1:8" x14ac:dyDescent="0.2">
      <c r="A25" s="11"/>
      <c r="B25" s="11"/>
      <c r="C25" s="21"/>
      <c r="D25" s="11"/>
      <c r="E25" s="11"/>
      <c r="F25" s="22"/>
      <c r="G25" s="22"/>
      <c r="H25" s="17" t="s">
        <v>12</v>
      </c>
    </row>
    <row r="26" spans="1:8" x14ac:dyDescent="0.2">
      <c r="A26" s="11"/>
      <c r="B26" s="11"/>
      <c r="C26" s="18" t="s">
        <v>20</v>
      </c>
      <c r="D26" s="11"/>
      <c r="E26" s="11"/>
      <c r="F26" s="22"/>
      <c r="G26" s="22"/>
      <c r="H26" s="17" t="s">
        <v>12</v>
      </c>
    </row>
    <row r="27" spans="1:8" x14ac:dyDescent="0.2">
      <c r="A27" s="11"/>
      <c r="B27" s="11"/>
      <c r="C27" s="18" t="s">
        <v>10</v>
      </c>
      <c r="D27" s="11"/>
      <c r="E27" s="11"/>
      <c r="F27" s="22"/>
      <c r="G27" s="22"/>
      <c r="H27" s="17" t="s">
        <v>12</v>
      </c>
    </row>
    <row r="28" spans="1:8" x14ac:dyDescent="0.2">
      <c r="A28" s="24">
        <v>1</v>
      </c>
      <c r="B28" s="9" t="s">
        <v>45</v>
      </c>
      <c r="C28" s="9" t="s">
        <v>46</v>
      </c>
      <c r="D28" s="9" t="s">
        <v>26</v>
      </c>
      <c r="E28" s="25">
        <v>300</v>
      </c>
      <c r="F28" s="26">
        <v>3064.0230000000001</v>
      </c>
      <c r="G28" s="27">
        <v>6.5144359999999998E-2</v>
      </c>
      <c r="H28" s="17">
        <v>6.4124999999999996</v>
      </c>
    </row>
    <row r="29" spans="1:8" x14ac:dyDescent="0.2">
      <c r="A29" s="24">
        <v>2</v>
      </c>
      <c r="B29" s="9" t="s">
        <v>135</v>
      </c>
      <c r="C29" s="9" t="s">
        <v>136</v>
      </c>
      <c r="D29" s="9" t="s">
        <v>26</v>
      </c>
      <c r="E29" s="25">
        <v>250</v>
      </c>
      <c r="F29" s="26">
        <v>2558.9924999999998</v>
      </c>
      <c r="G29" s="27">
        <v>5.4406879999999998E-2</v>
      </c>
      <c r="H29" s="17">
        <v>6.55</v>
      </c>
    </row>
    <row r="30" spans="1:8" x14ac:dyDescent="0.2">
      <c r="A30" s="24">
        <v>3</v>
      </c>
      <c r="B30" s="9" t="s">
        <v>137</v>
      </c>
      <c r="C30" s="9" t="s">
        <v>138</v>
      </c>
      <c r="D30" s="9" t="s">
        <v>26</v>
      </c>
      <c r="E30" s="25">
        <v>2500</v>
      </c>
      <c r="F30" s="26">
        <v>2547.2925</v>
      </c>
      <c r="G30" s="27">
        <v>5.4158119999999997E-2</v>
      </c>
      <c r="H30" s="17">
        <v>6.9275000000000002</v>
      </c>
    </row>
    <row r="31" spans="1:8" ht="25.5" x14ac:dyDescent="0.2">
      <c r="A31" s="24">
        <v>4</v>
      </c>
      <c r="B31" s="9" t="s">
        <v>139</v>
      </c>
      <c r="C31" s="9" t="s">
        <v>140</v>
      </c>
      <c r="D31" s="9" t="s">
        <v>26</v>
      </c>
      <c r="E31" s="25">
        <v>2500</v>
      </c>
      <c r="F31" s="26">
        <v>2489.13</v>
      </c>
      <c r="G31" s="27">
        <v>5.292152E-2</v>
      </c>
      <c r="H31" s="17">
        <v>6.9749999999999996</v>
      </c>
    </row>
    <row r="32" spans="1:8" x14ac:dyDescent="0.2">
      <c r="A32" s="24">
        <v>5</v>
      </c>
      <c r="B32" s="9" t="s">
        <v>141</v>
      </c>
      <c r="C32" s="9" t="s">
        <v>142</v>
      </c>
      <c r="D32" s="9" t="s">
        <v>23</v>
      </c>
      <c r="E32" s="25">
        <v>2000</v>
      </c>
      <c r="F32" s="26">
        <v>2042.0920000000001</v>
      </c>
      <c r="G32" s="27">
        <v>4.3417030000000002E-2</v>
      </c>
      <c r="H32" s="17">
        <v>6.43</v>
      </c>
    </row>
    <row r="33" spans="1:8" ht="25.5" x14ac:dyDescent="0.2">
      <c r="A33" s="24">
        <v>6</v>
      </c>
      <c r="B33" s="9" t="s">
        <v>143</v>
      </c>
      <c r="C33" s="9" t="s">
        <v>144</v>
      </c>
      <c r="D33" s="9" t="s">
        <v>26</v>
      </c>
      <c r="E33" s="25">
        <v>200</v>
      </c>
      <c r="F33" s="26">
        <v>2011.71</v>
      </c>
      <c r="G33" s="27">
        <v>4.2771070000000001E-2</v>
      </c>
      <c r="H33" s="17">
        <v>6.23</v>
      </c>
    </row>
    <row r="34" spans="1:8" x14ac:dyDescent="0.2">
      <c r="A34" s="24">
        <v>7</v>
      </c>
      <c r="B34" s="9" t="s">
        <v>145</v>
      </c>
      <c r="C34" s="9" t="s">
        <v>146</v>
      </c>
      <c r="D34" s="9" t="s">
        <v>26</v>
      </c>
      <c r="E34" s="25">
        <v>200</v>
      </c>
      <c r="F34" s="26">
        <v>1993.1579999999999</v>
      </c>
      <c r="G34" s="27">
        <v>4.237664E-2</v>
      </c>
      <c r="H34" s="17">
        <v>6.3990999999999998</v>
      </c>
    </row>
    <row r="35" spans="1:8" ht="25.5" x14ac:dyDescent="0.2">
      <c r="A35" s="24">
        <v>8</v>
      </c>
      <c r="B35" s="9" t="s">
        <v>35</v>
      </c>
      <c r="C35" s="9" t="s">
        <v>36</v>
      </c>
      <c r="D35" s="9" t="s">
        <v>23</v>
      </c>
      <c r="E35" s="25">
        <v>1500</v>
      </c>
      <c r="F35" s="26">
        <v>1541.1030000000001</v>
      </c>
      <c r="G35" s="27">
        <v>3.2765469999999998E-2</v>
      </c>
      <c r="H35" s="17">
        <v>6.77</v>
      </c>
    </row>
    <row r="36" spans="1:8" x14ac:dyDescent="0.2">
      <c r="A36" s="24">
        <v>9</v>
      </c>
      <c r="B36" s="9" t="s">
        <v>147</v>
      </c>
      <c r="C36" s="9" t="s">
        <v>148</v>
      </c>
      <c r="D36" s="9" t="s">
        <v>26</v>
      </c>
      <c r="E36" s="25">
        <v>1500</v>
      </c>
      <c r="F36" s="26">
        <v>1534.1475</v>
      </c>
      <c r="G36" s="27">
        <v>3.2617590000000002E-2</v>
      </c>
      <c r="H36" s="17">
        <v>6.4950000000000001</v>
      </c>
    </row>
    <row r="37" spans="1:8" ht="25.5" x14ac:dyDescent="0.2">
      <c r="A37" s="24">
        <v>10</v>
      </c>
      <c r="B37" s="9" t="s">
        <v>39</v>
      </c>
      <c r="C37" s="9" t="s">
        <v>40</v>
      </c>
      <c r="D37" s="9" t="s">
        <v>26</v>
      </c>
      <c r="E37" s="25">
        <v>1500</v>
      </c>
      <c r="F37" s="26">
        <v>1514.2755</v>
      </c>
      <c r="G37" s="27">
        <v>3.2195090000000003E-2</v>
      </c>
      <c r="H37" s="17">
        <v>6.4215999999999998</v>
      </c>
    </row>
    <row r="38" spans="1:8" ht="25.5" x14ac:dyDescent="0.2">
      <c r="A38" s="24">
        <v>11</v>
      </c>
      <c r="B38" s="9" t="s">
        <v>149</v>
      </c>
      <c r="C38" s="9" t="s">
        <v>150</v>
      </c>
      <c r="D38" s="9" t="s">
        <v>26</v>
      </c>
      <c r="E38" s="25">
        <v>1000</v>
      </c>
      <c r="F38" s="26">
        <v>1026.4010000000001</v>
      </c>
      <c r="G38" s="27">
        <v>2.1822370000000001E-2</v>
      </c>
      <c r="H38" s="17">
        <v>6.9290000000000003</v>
      </c>
    </row>
    <row r="39" spans="1:8" ht="25.5" x14ac:dyDescent="0.2">
      <c r="A39" s="24">
        <v>12</v>
      </c>
      <c r="B39" s="9" t="s">
        <v>24</v>
      </c>
      <c r="C39" s="9" t="s">
        <v>25</v>
      </c>
      <c r="D39" s="9" t="s">
        <v>26</v>
      </c>
      <c r="E39" s="25">
        <v>1000</v>
      </c>
      <c r="F39" s="26">
        <v>1025.086</v>
      </c>
      <c r="G39" s="27">
        <v>2.179441E-2</v>
      </c>
      <c r="H39" s="17">
        <v>6.64</v>
      </c>
    </row>
    <row r="40" spans="1:8" ht="25.5" x14ac:dyDescent="0.2">
      <c r="A40" s="24">
        <v>13</v>
      </c>
      <c r="B40" s="9" t="s">
        <v>151</v>
      </c>
      <c r="C40" s="9" t="s">
        <v>152</v>
      </c>
      <c r="D40" s="9" t="s">
        <v>26</v>
      </c>
      <c r="E40" s="25">
        <v>1000</v>
      </c>
      <c r="F40" s="26">
        <v>1020.751</v>
      </c>
      <c r="G40" s="27">
        <v>2.1702240000000001E-2</v>
      </c>
      <c r="H40" s="17">
        <v>6.64</v>
      </c>
    </row>
    <row r="41" spans="1:8" ht="25.5" x14ac:dyDescent="0.2">
      <c r="A41" s="24">
        <v>14</v>
      </c>
      <c r="B41" s="9" t="s">
        <v>59</v>
      </c>
      <c r="C41" s="9" t="s">
        <v>60</v>
      </c>
      <c r="D41" s="9" t="s">
        <v>26</v>
      </c>
      <c r="E41" s="25">
        <v>1000</v>
      </c>
      <c r="F41" s="26">
        <v>1000.53</v>
      </c>
      <c r="G41" s="27">
        <v>2.1272320000000001E-2</v>
      </c>
      <c r="H41" s="17">
        <v>6.9290000000000003</v>
      </c>
    </row>
    <row r="42" spans="1:8" x14ac:dyDescent="0.2">
      <c r="A42" s="24">
        <v>15</v>
      </c>
      <c r="B42" s="9" t="s">
        <v>65</v>
      </c>
      <c r="C42" s="9" t="s">
        <v>66</v>
      </c>
      <c r="D42" s="9" t="s">
        <v>26</v>
      </c>
      <c r="E42" s="25">
        <v>1000</v>
      </c>
      <c r="F42" s="26">
        <v>997.57600000000002</v>
      </c>
      <c r="G42" s="27">
        <v>2.1209519999999999E-2</v>
      </c>
      <c r="H42" s="17">
        <v>6.7</v>
      </c>
    </row>
    <row r="43" spans="1:8" x14ac:dyDescent="0.2">
      <c r="A43" s="24">
        <v>16</v>
      </c>
      <c r="B43" s="9" t="s">
        <v>43</v>
      </c>
      <c r="C43" s="9" t="s">
        <v>44</v>
      </c>
      <c r="D43" s="9" t="s">
        <v>26</v>
      </c>
      <c r="E43" s="25">
        <v>500</v>
      </c>
      <c r="F43" s="26">
        <v>513.38300000000004</v>
      </c>
      <c r="G43" s="27">
        <v>1.0915060000000001E-2</v>
      </c>
      <c r="H43" s="17">
        <v>6.7554999999999996</v>
      </c>
    </row>
    <row r="44" spans="1:8" ht="25.5" x14ac:dyDescent="0.2">
      <c r="A44" s="24">
        <v>17</v>
      </c>
      <c r="B44" s="9" t="s">
        <v>153</v>
      </c>
      <c r="C44" s="9" t="s">
        <v>154</v>
      </c>
      <c r="D44" s="9" t="s">
        <v>23</v>
      </c>
      <c r="E44" s="25">
        <v>500</v>
      </c>
      <c r="F44" s="26">
        <v>510.98399999999998</v>
      </c>
      <c r="G44" s="27">
        <v>1.086406E-2</v>
      </c>
      <c r="H44" s="17">
        <v>6.69</v>
      </c>
    </row>
    <row r="45" spans="1:8" ht="25.5" x14ac:dyDescent="0.2">
      <c r="A45" s="24">
        <v>18</v>
      </c>
      <c r="B45" s="9" t="s">
        <v>155</v>
      </c>
      <c r="C45" s="9" t="s">
        <v>156</v>
      </c>
      <c r="D45" s="9" t="s">
        <v>26</v>
      </c>
      <c r="E45" s="25">
        <v>500</v>
      </c>
      <c r="F45" s="26">
        <v>510.14449999999999</v>
      </c>
      <c r="G45" s="27">
        <v>1.084621E-2</v>
      </c>
      <c r="H45" s="17">
        <v>7.1150000000000002</v>
      </c>
    </row>
    <row r="46" spans="1:8" ht="25.5" x14ac:dyDescent="0.2">
      <c r="A46" s="24">
        <v>19</v>
      </c>
      <c r="B46" s="9" t="s">
        <v>157</v>
      </c>
      <c r="C46" s="9" t="s">
        <v>158</v>
      </c>
      <c r="D46" s="9" t="s">
        <v>26</v>
      </c>
      <c r="E46" s="25">
        <v>500</v>
      </c>
      <c r="F46" s="26">
        <v>509.31849999999997</v>
      </c>
      <c r="G46" s="27">
        <v>1.082865E-2</v>
      </c>
      <c r="H46" s="17">
        <v>6.5449999999999999</v>
      </c>
    </row>
    <row r="47" spans="1:8" x14ac:dyDescent="0.2">
      <c r="A47" s="24">
        <v>20</v>
      </c>
      <c r="B47" s="9" t="s">
        <v>69</v>
      </c>
      <c r="C47" s="9" t="s">
        <v>70</v>
      </c>
      <c r="D47" s="9" t="s">
        <v>23</v>
      </c>
      <c r="E47" s="25">
        <v>500</v>
      </c>
      <c r="F47" s="26">
        <v>508.81200000000001</v>
      </c>
      <c r="G47" s="27">
        <v>1.081788E-2</v>
      </c>
      <c r="H47" s="17">
        <v>7.08</v>
      </c>
    </row>
    <row r="48" spans="1:8" ht="25.5" x14ac:dyDescent="0.2">
      <c r="A48" s="24">
        <v>21</v>
      </c>
      <c r="B48" s="9" t="s">
        <v>159</v>
      </c>
      <c r="C48" s="9" t="s">
        <v>160</v>
      </c>
      <c r="D48" s="9" t="s">
        <v>26</v>
      </c>
      <c r="E48" s="25">
        <v>500</v>
      </c>
      <c r="F48" s="26">
        <v>507.81799999999998</v>
      </c>
      <c r="G48" s="27">
        <v>1.0796750000000001E-2</v>
      </c>
      <c r="H48" s="17">
        <v>6.4230999999999998</v>
      </c>
    </row>
    <row r="49" spans="1:8" x14ac:dyDescent="0.2">
      <c r="A49" s="24">
        <v>22</v>
      </c>
      <c r="B49" s="9" t="s">
        <v>53</v>
      </c>
      <c r="C49" s="9" t="s">
        <v>54</v>
      </c>
      <c r="D49" s="9" t="s">
        <v>26</v>
      </c>
      <c r="E49" s="25">
        <v>500</v>
      </c>
      <c r="F49" s="26">
        <v>507.38549999999998</v>
      </c>
      <c r="G49" s="27">
        <v>1.078755E-2</v>
      </c>
      <c r="H49" s="17">
        <v>6.4249999999999998</v>
      </c>
    </row>
    <row r="50" spans="1:8" x14ac:dyDescent="0.2">
      <c r="A50" s="24">
        <v>23</v>
      </c>
      <c r="B50" s="9" t="s">
        <v>49</v>
      </c>
      <c r="C50" s="9" t="s">
        <v>50</v>
      </c>
      <c r="D50" s="9" t="s">
        <v>23</v>
      </c>
      <c r="E50" s="25">
        <v>500</v>
      </c>
      <c r="F50" s="26">
        <v>504.98050000000001</v>
      </c>
      <c r="G50" s="27">
        <v>1.073642E-2</v>
      </c>
      <c r="H50" s="17">
        <v>6.34</v>
      </c>
    </row>
    <row r="51" spans="1:8" x14ac:dyDescent="0.2">
      <c r="A51" s="24">
        <v>24</v>
      </c>
      <c r="B51" s="9" t="s">
        <v>57</v>
      </c>
      <c r="C51" s="9" t="s">
        <v>58</v>
      </c>
      <c r="D51" s="9" t="s">
        <v>26</v>
      </c>
      <c r="E51" s="25">
        <v>50</v>
      </c>
      <c r="F51" s="26">
        <v>504.77</v>
      </c>
      <c r="G51" s="27">
        <v>1.0731940000000001E-2</v>
      </c>
      <c r="H51" s="17">
        <v>6.4958999999999998</v>
      </c>
    </row>
    <row r="52" spans="1:8" x14ac:dyDescent="0.2">
      <c r="A52" s="11"/>
      <c r="B52" s="11"/>
      <c r="C52" s="18" t="s">
        <v>11</v>
      </c>
      <c r="D52" s="11"/>
      <c r="E52" s="11" t="s">
        <v>12</v>
      </c>
      <c r="F52" s="23">
        <v>30943.864000000001</v>
      </c>
      <c r="G52" s="20">
        <v>0.65789914999999999</v>
      </c>
      <c r="H52" s="17" t="s">
        <v>12</v>
      </c>
    </row>
    <row r="53" spans="1:8" x14ac:dyDescent="0.2">
      <c r="A53" s="11"/>
      <c r="B53" s="11"/>
      <c r="C53" s="21"/>
      <c r="D53" s="11"/>
      <c r="E53" s="11"/>
      <c r="F53" s="22"/>
      <c r="G53" s="22"/>
      <c r="H53" s="17" t="s">
        <v>12</v>
      </c>
    </row>
    <row r="54" spans="1:8" x14ac:dyDescent="0.2">
      <c r="A54" s="11"/>
      <c r="B54" s="11"/>
      <c r="C54" s="18" t="s">
        <v>77</v>
      </c>
      <c r="D54" s="11"/>
      <c r="E54" s="11"/>
      <c r="F54" s="11"/>
      <c r="G54" s="11"/>
      <c r="H54" s="17" t="s">
        <v>12</v>
      </c>
    </row>
    <row r="55" spans="1:8" x14ac:dyDescent="0.2">
      <c r="A55" s="11"/>
      <c r="B55" s="11"/>
      <c r="C55" s="18" t="s">
        <v>11</v>
      </c>
      <c r="D55" s="11"/>
      <c r="E55" s="11" t="s">
        <v>12</v>
      </c>
      <c r="F55" s="19" t="s">
        <v>13</v>
      </c>
      <c r="G55" s="20">
        <v>0</v>
      </c>
      <c r="H55" s="17" t="s">
        <v>12</v>
      </c>
    </row>
    <row r="56" spans="1:8" x14ac:dyDescent="0.2">
      <c r="A56" s="11"/>
      <c r="B56" s="11"/>
      <c r="C56" s="21"/>
      <c r="D56" s="11"/>
      <c r="E56" s="11"/>
      <c r="F56" s="22"/>
      <c r="G56" s="22"/>
      <c r="H56" s="17" t="s">
        <v>12</v>
      </c>
    </row>
    <row r="57" spans="1:8" x14ac:dyDescent="0.2">
      <c r="A57" s="11"/>
      <c r="B57" s="11"/>
      <c r="C57" s="18" t="s">
        <v>78</v>
      </c>
      <c r="D57" s="11"/>
      <c r="E57" s="11"/>
      <c r="F57" s="11"/>
      <c r="G57" s="11"/>
      <c r="H57" s="17" t="s">
        <v>12</v>
      </c>
    </row>
    <row r="58" spans="1:8" x14ac:dyDescent="0.2">
      <c r="A58" s="24">
        <v>1</v>
      </c>
      <c r="B58" s="9" t="s">
        <v>79</v>
      </c>
      <c r="C58" s="9" t="s">
        <v>80</v>
      </c>
      <c r="D58" s="9" t="s">
        <v>81</v>
      </c>
      <c r="E58" s="25">
        <v>3000000</v>
      </c>
      <c r="F58" s="26">
        <v>3085.0830000000001</v>
      </c>
      <c r="G58" s="27">
        <v>6.5592109999999995E-2</v>
      </c>
      <c r="H58" s="17">
        <v>6.4783999999999997</v>
      </c>
    </row>
    <row r="59" spans="1:8" x14ac:dyDescent="0.2">
      <c r="A59" s="24">
        <v>2</v>
      </c>
      <c r="B59" s="9" t="s">
        <v>82</v>
      </c>
      <c r="C59" s="9" t="s">
        <v>83</v>
      </c>
      <c r="D59" s="9" t="s">
        <v>81</v>
      </c>
      <c r="E59" s="25">
        <v>1000000</v>
      </c>
      <c r="F59" s="26">
        <v>1055.0029999999999</v>
      </c>
      <c r="G59" s="27">
        <v>2.2430470000000001E-2</v>
      </c>
      <c r="H59" s="17">
        <v>6.1849999999999996</v>
      </c>
    </row>
    <row r="60" spans="1:8" ht="25.5" x14ac:dyDescent="0.2">
      <c r="A60" s="24">
        <v>3</v>
      </c>
      <c r="B60" s="9" t="s">
        <v>84</v>
      </c>
      <c r="C60" s="9" t="s">
        <v>85</v>
      </c>
      <c r="D60" s="9" t="s">
        <v>81</v>
      </c>
      <c r="E60" s="25">
        <v>1000000</v>
      </c>
      <c r="F60" s="26">
        <v>1023.701</v>
      </c>
      <c r="G60" s="27">
        <v>2.176496E-2</v>
      </c>
      <c r="H60" s="17">
        <v>6.2652000000000001</v>
      </c>
    </row>
    <row r="61" spans="1:8" x14ac:dyDescent="0.2">
      <c r="A61" s="24">
        <v>4</v>
      </c>
      <c r="B61" s="9" t="s">
        <v>161</v>
      </c>
      <c r="C61" s="9" t="s">
        <v>162</v>
      </c>
      <c r="D61" s="9" t="s">
        <v>81</v>
      </c>
      <c r="E61" s="25">
        <v>500000</v>
      </c>
      <c r="F61" s="26">
        <v>525.51149999999996</v>
      </c>
      <c r="G61" s="27">
        <v>1.1172929999999999E-2</v>
      </c>
      <c r="H61" s="17">
        <v>6.7668999999999997</v>
      </c>
    </row>
    <row r="62" spans="1:8" x14ac:dyDescent="0.2">
      <c r="A62" s="24">
        <v>5</v>
      </c>
      <c r="B62" s="9" t="s">
        <v>163</v>
      </c>
      <c r="C62" s="9" t="s">
        <v>164</v>
      </c>
      <c r="D62" s="9" t="s">
        <v>81</v>
      </c>
      <c r="E62" s="25">
        <v>500000</v>
      </c>
      <c r="F62" s="26">
        <v>518.08749999999998</v>
      </c>
      <c r="G62" s="27">
        <v>1.101509E-2</v>
      </c>
      <c r="H62" s="17">
        <v>6.0682999999999998</v>
      </c>
    </row>
    <row r="63" spans="1:8" x14ac:dyDescent="0.2">
      <c r="A63" s="24">
        <v>6</v>
      </c>
      <c r="B63" s="9" t="s">
        <v>94</v>
      </c>
      <c r="C63" s="9" t="s">
        <v>95</v>
      </c>
      <c r="D63" s="9" t="s">
        <v>81</v>
      </c>
      <c r="E63" s="25">
        <v>500000</v>
      </c>
      <c r="F63" s="26">
        <v>491.214</v>
      </c>
      <c r="G63" s="27">
        <v>1.044373E-2</v>
      </c>
      <c r="H63" s="17">
        <v>7.1544999999999996</v>
      </c>
    </row>
    <row r="64" spans="1:8" x14ac:dyDescent="0.2">
      <c r="A64" s="11"/>
      <c r="B64" s="11"/>
      <c r="C64" s="18" t="s">
        <v>11</v>
      </c>
      <c r="D64" s="11"/>
      <c r="E64" s="11" t="s">
        <v>12</v>
      </c>
      <c r="F64" s="23">
        <v>6698.6</v>
      </c>
      <c r="G64" s="20">
        <v>0.14241929</v>
      </c>
      <c r="H64" s="17" t="s">
        <v>12</v>
      </c>
    </row>
    <row r="65" spans="1:8" x14ac:dyDescent="0.2">
      <c r="A65" s="11"/>
      <c r="B65" s="11"/>
      <c r="C65" s="21"/>
      <c r="D65" s="11"/>
      <c r="E65" s="11"/>
      <c r="F65" s="22"/>
      <c r="G65" s="22"/>
      <c r="H65" s="17" t="s">
        <v>12</v>
      </c>
    </row>
    <row r="66" spans="1:8" x14ac:dyDescent="0.2">
      <c r="A66" s="11"/>
      <c r="B66" s="11"/>
      <c r="C66" s="18" t="s">
        <v>96</v>
      </c>
      <c r="D66" s="11"/>
      <c r="E66" s="11"/>
      <c r="F66" s="22"/>
      <c r="G66" s="22"/>
      <c r="H66" s="17" t="s">
        <v>12</v>
      </c>
    </row>
    <row r="67" spans="1:8" x14ac:dyDescent="0.2">
      <c r="A67" s="11"/>
      <c r="B67" s="11"/>
      <c r="C67" s="18" t="s">
        <v>11</v>
      </c>
      <c r="D67" s="11"/>
      <c r="E67" s="11" t="s">
        <v>12</v>
      </c>
      <c r="F67" s="19" t="s">
        <v>13</v>
      </c>
      <c r="G67" s="20">
        <v>0</v>
      </c>
      <c r="H67" s="17" t="s">
        <v>12</v>
      </c>
    </row>
    <row r="68" spans="1:8" x14ac:dyDescent="0.2">
      <c r="A68" s="11"/>
      <c r="B68" s="11"/>
      <c r="C68" s="21"/>
      <c r="D68" s="11"/>
      <c r="E68" s="11"/>
      <c r="F68" s="22"/>
      <c r="G68" s="22"/>
      <c r="H68" s="17" t="s">
        <v>12</v>
      </c>
    </row>
    <row r="69" spans="1:8" x14ac:dyDescent="0.2">
      <c r="A69" s="11"/>
      <c r="B69" s="11"/>
      <c r="C69" s="18" t="s">
        <v>97</v>
      </c>
      <c r="D69" s="11"/>
      <c r="E69" s="11"/>
      <c r="F69" s="23">
        <v>37642.464</v>
      </c>
      <c r="G69" s="20">
        <v>0.80031843999999996</v>
      </c>
      <c r="H69" s="17" t="s">
        <v>12</v>
      </c>
    </row>
    <row r="70" spans="1:8" x14ac:dyDescent="0.2">
      <c r="A70" s="11"/>
      <c r="B70" s="11"/>
      <c r="C70" s="21"/>
      <c r="D70" s="11"/>
      <c r="E70" s="11"/>
      <c r="F70" s="22"/>
      <c r="G70" s="22"/>
      <c r="H70" s="17" t="s">
        <v>12</v>
      </c>
    </row>
    <row r="71" spans="1:8" x14ac:dyDescent="0.2">
      <c r="A71" s="11"/>
      <c r="B71" s="11"/>
      <c r="C71" s="18" t="s">
        <v>98</v>
      </c>
      <c r="D71" s="11"/>
      <c r="E71" s="11"/>
      <c r="F71" s="22"/>
      <c r="G71" s="22"/>
      <c r="H71" s="17" t="s">
        <v>12</v>
      </c>
    </row>
    <row r="72" spans="1:8" x14ac:dyDescent="0.2">
      <c r="A72" s="11"/>
      <c r="B72" s="11"/>
      <c r="C72" s="18" t="s">
        <v>99</v>
      </c>
      <c r="D72" s="11"/>
      <c r="E72" s="11"/>
      <c r="F72" s="22"/>
      <c r="G72" s="22"/>
      <c r="H72" s="17" t="s">
        <v>12</v>
      </c>
    </row>
    <row r="73" spans="1:8" x14ac:dyDescent="0.2">
      <c r="A73" s="24">
        <v>1</v>
      </c>
      <c r="B73" s="9" t="s">
        <v>165</v>
      </c>
      <c r="C73" s="9" t="s">
        <v>166</v>
      </c>
      <c r="D73" s="9" t="s">
        <v>108</v>
      </c>
      <c r="E73" s="25">
        <v>400</v>
      </c>
      <c r="F73" s="26">
        <v>1920.384</v>
      </c>
      <c r="G73" s="27">
        <v>4.082939E-2</v>
      </c>
      <c r="H73" s="17">
        <v>6.0049999999999999</v>
      </c>
    </row>
    <row r="74" spans="1:8" x14ac:dyDescent="0.2">
      <c r="A74" s="24">
        <v>2</v>
      </c>
      <c r="B74" s="9" t="s">
        <v>167</v>
      </c>
      <c r="C74" s="9" t="s">
        <v>168</v>
      </c>
      <c r="D74" s="9" t="s">
        <v>108</v>
      </c>
      <c r="E74" s="25">
        <v>200</v>
      </c>
      <c r="F74" s="26">
        <v>963.65200000000004</v>
      </c>
      <c r="G74" s="27">
        <v>2.0488260000000001E-2</v>
      </c>
      <c r="H74" s="17">
        <v>5.96</v>
      </c>
    </row>
    <row r="75" spans="1:8" x14ac:dyDescent="0.2">
      <c r="A75" s="24">
        <v>3</v>
      </c>
      <c r="B75" s="9" t="s">
        <v>169</v>
      </c>
      <c r="C75" s="9" t="s">
        <v>170</v>
      </c>
      <c r="D75" s="9" t="s">
        <v>108</v>
      </c>
      <c r="E75" s="25">
        <v>100</v>
      </c>
      <c r="F75" s="26">
        <v>483.78899999999999</v>
      </c>
      <c r="G75" s="27">
        <v>1.0285860000000001E-2</v>
      </c>
      <c r="H75" s="17">
        <v>6.0250000000000004</v>
      </c>
    </row>
    <row r="76" spans="1:8" x14ac:dyDescent="0.2">
      <c r="A76" s="24">
        <v>4</v>
      </c>
      <c r="B76" s="9" t="s">
        <v>171</v>
      </c>
      <c r="C76" s="9" t="s">
        <v>172</v>
      </c>
      <c r="D76" s="9" t="s">
        <v>108</v>
      </c>
      <c r="E76" s="25">
        <v>100</v>
      </c>
      <c r="F76" s="26">
        <v>480.61599999999999</v>
      </c>
      <c r="G76" s="27">
        <v>1.0218400000000001E-2</v>
      </c>
      <c r="H76" s="17">
        <v>5.96</v>
      </c>
    </row>
    <row r="77" spans="1:8" x14ac:dyDescent="0.2">
      <c r="A77" s="11"/>
      <c r="B77" s="11"/>
      <c r="C77" s="18" t="s">
        <v>11</v>
      </c>
      <c r="D77" s="11"/>
      <c r="E77" s="11" t="s">
        <v>12</v>
      </c>
      <c r="F77" s="23">
        <v>3848.4409999999998</v>
      </c>
      <c r="G77" s="20">
        <v>8.1821909999999998E-2</v>
      </c>
      <c r="H77" s="17" t="s">
        <v>12</v>
      </c>
    </row>
    <row r="78" spans="1:8" x14ac:dyDescent="0.2">
      <c r="A78" s="11"/>
      <c r="B78" s="11"/>
      <c r="C78" s="21"/>
      <c r="D78" s="11"/>
      <c r="E78" s="11"/>
      <c r="F78" s="22"/>
      <c r="G78" s="22"/>
      <c r="H78" s="17" t="s">
        <v>12</v>
      </c>
    </row>
    <row r="79" spans="1:8" x14ac:dyDescent="0.2">
      <c r="A79" s="11"/>
      <c r="B79" s="11"/>
      <c r="C79" s="18" t="s">
        <v>109</v>
      </c>
      <c r="D79" s="11"/>
      <c r="E79" s="11"/>
      <c r="F79" s="22"/>
      <c r="G79" s="22"/>
      <c r="H79" s="17" t="s">
        <v>12</v>
      </c>
    </row>
    <row r="80" spans="1:8" x14ac:dyDescent="0.2">
      <c r="A80" s="11"/>
      <c r="B80" s="11"/>
      <c r="C80" s="18" t="s">
        <v>11</v>
      </c>
      <c r="D80" s="11"/>
      <c r="E80" s="11" t="s">
        <v>12</v>
      </c>
      <c r="F80" s="19" t="s">
        <v>13</v>
      </c>
      <c r="G80" s="20">
        <v>0</v>
      </c>
      <c r="H80" s="17" t="s">
        <v>12</v>
      </c>
    </row>
    <row r="81" spans="1:17" x14ac:dyDescent="0.2">
      <c r="A81" s="11"/>
      <c r="B81" s="11"/>
      <c r="C81" s="21"/>
      <c r="D81" s="11"/>
      <c r="E81" s="11"/>
      <c r="F81" s="22"/>
      <c r="G81" s="22"/>
      <c r="H81" s="17" t="s">
        <v>12</v>
      </c>
    </row>
    <row r="82" spans="1:17" x14ac:dyDescent="0.2">
      <c r="A82" s="11"/>
      <c r="B82" s="11"/>
      <c r="C82" s="18" t="s">
        <v>110</v>
      </c>
      <c r="D82" s="11"/>
      <c r="E82" s="11"/>
      <c r="F82" s="22"/>
      <c r="G82" s="22"/>
      <c r="H82" s="17" t="s">
        <v>12</v>
      </c>
    </row>
    <row r="83" spans="1:17" x14ac:dyDescent="0.2">
      <c r="A83" s="11"/>
      <c r="B83" s="11"/>
      <c r="C83" s="18" t="s">
        <v>11</v>
      </c>
      <c r="D83" s="11"/>
      <c r="E83" s="11" t="s">
        <v>12</v>
      </c>
      <c r="F83" s="19" t="s">
        <v>13</v>
      </c>
      <c r="G83" s="20">
        <v>0</v>
      </c>
      <c r="H83" s="17" t="s">
        <v>12</v>
      </c>
    </row>
    <row r="84" spans="1:17" x14ac:dyDescent="0.2">
      <c r="A84" s="11"/>
      <c r="B84" s="11"/>
      <c r="C84" s="21"/>
      <c r="D84" s="11"/>
      <c r="E84" s="11"/>
      <c r="F84" s="22"/>
      <c r="G84" s="22"/>
      <c r="H84" s="17" t="s">
        <v>12</v>
      </c>
    </row>
    <row r="85" spans="1:17" x14ac:dyDescent="0.2">
      <c r="A85" s="11"/>
      <c r="B85" s="11"/>
      <c r="C85" s="18" t="s">
        <v>111</v>
      </c>
      <c r="D85" s="11"/>
      <c r="E85" s="11"/>
      <c r="F85" s="22"/>
      <c r="G85" s="22"/>
      <c r="H85" s="17" t="s">
        <v>12</v>
      </c>
    </row>
    <row r="86" spans="1:17" x14ac:dyDescent="0.2">
      <c r="A86" s="24">
        <v>1</v>
      </c>
      <c r="B86" s="9"/>
      <c r="C86" s="9" t="s">
        <v>112</v>
      </c>
      <c r="D86" s="9"/>
      <c r="E86" s="28"/>
      <c r="F86" s="26">
        <v>4484.0602660109998</v>
      </c>
      <c r="G86" s="27">
        <v>9.5335840000000005E-2</v>
      </c>
      <c r="H86" s="17">
        <v>5.3</v>
      </c>
    </row>
    <row r="87" spans="1:17" x14ac:dyDescent="0.2">
      <c r="A87" s="11"/>
      <c r="B87" s="11"/>
      <c r="C87" s="18" t="s">
        <v>11</v>
      </c>
      <c r="D87" s="11"/>
      <c r="E87" s="11" t="s">
        <v>12</v>
      </c>
      <c r="F87" s="23">
        <v>4484.0602660109998</v>
      </c>
      <c r="G87" s="20">
        <v>9.5335840000000005E-2</v>
      </c>
      <c r="H87" s="17" t="s">
        <v>12</v>
      </c>
    </row>
    <row r="88" spans="1:17" x14ac:dyDescent="0.2">
      <c r="A88" s="11"/>
      <c r="B88" s="11"/>
      <c r="C88" s="21"/>
      <c r="D88" s="11"/>
      <c r="E88" s="11"/>
      <c r="F88" s="22"/>
      <c r="G88" s="22"/>
      <c r="H88" s="17" t="s">
        <v>12</v>
      </c>
    </row>
    <row r="89" spans="1:17" x14ac:dyDescent="0.2">
      <c r="A89" s="11"/>
      <c r="B89" s="11"/>
      <c r="C89" s="18" t="s">
        <v>113</v>
      </c>
      <c r="D89" s="11"/>
      <c r="E89" s="11"/>
      <c r="F89" s="23">
        <v>8332.5012660110006</v>
      </c>
      <c r="G89" s="20">
        <v>0.17715775</v>
      </c>
      <c r="H89" s="17" t="s">
        <v>12</v>
      </c>
    </row>
    <row r="90" spans="1:17" x14ac:dyDescent="0.2">
      <c r="A90" s="11"/>
      <c r="B90" s="11"/>
      <c r="C90" s="22"/>
      <c r="D90" s="11"/>
      <c r="E90" s="11"/>
      <c r="F90" s="11"/>
      <c r="G90" s="11"/>
      <c r="H90" s="17" t="s">
        <v>12</v>
      </c>
    </row>
    <row r="91" spans="1:17" x14ac:dyDescent="0.2">
      <c r="A91" s="11"/>
      <c r="B91" s="11"/>
      <c r="C91" s="18" t="s">
        <v>114</v>
      </c>
      <c r="D91" s="11"/>
      <c r="E91" s="11"/>
      <c r="F91" s="11"/>
      <c r="G91" s="11"/>
      <c r="H91" s="17" t="s">
        <v>12</v>
      </c>
    </row>
    <row r="92" spans="1:17" x14ac:dyDescent="0.2">
      <c r="A92" s="11"/>
      <c r="B92" s="11"/>
      <c r="C92" s="18" t="s">
        <v>115</v>
      </c>
      <c r="D92" s="11"/>
      <c r="E92" s="11"/>
      <c r="F92" s="11"/>
      <c r="G92" s="11"/>
      <c r="H92" s="17" t="s">
        <v>12</v>
      </c>
    </row>
    <row r="93" spans="1:17" x14ac:dyDescent="0.2">
      <c r="A93" s="11"/>
      <c r="B93" s="11"/>
      <c r="C93" s="18" t="s">
        <v>11</v>
      </c>
      <c r="D93" s="11"/>
      <c r="E93" s="11" t="s">
        <v>12</v>
      </c>
      <c r="F93" s="19" t="s">
        <v>13</v>
      </c>
      <c r="G93" s="20">
        <v>0</v>
      </c>
      <c r="H93" s="17" t="s">
        <v>12</v>
      </c>
    </row>
    <row r="94" spans="1:17" x14ac:dyDescent="0.2">
      <c r="A94" s="16"/>
      <c r="B94" s="16"/>
      <c r="C94" s="65"/>
      <c r="D94" s="16"/>
      <c r="E94" s="16"/>
      <c r="F94" s="35"/>
      <c r="G94" s="35"/>
      <c r="H94" s="17" t="s">
        <v>12</v>
      </c>
    </row>
    <row r="95" spans="1:17" x14ac:dyDescent="0.2">
      <c r="A95" s="16"/>
      <c r="B95" s="16"/>
      <c r="C95" s="8" t="s">
        <v>618</v>
      </c>
      <c r="D95" s="16"/>
      <c r="E95" s="16"/>
      <c r="F95" s="35"/>
      <c r="G95" s="35"/>
      <c r="H95" s="17" t="s">
        <v>12</v>
      </c>
      <c r="K95" s="48"/>
      <c r="L95" s="48"/>
      <c r="M95" s="48"/>
      <c r="N95" s="48"/>
      <c r="O95" s="66"/>
      <c r="P95" s="66"/>
      <c r="Q95" s="66"/>
    </row>
    <row r="96" spans="1:17" x14ac:dyDescent="0.2">
      <c r="A96" s="59">
        <v>1</v>
      </c>
      <c r="B96" s="60" t="s">
        <v>116</v>
      </c>
      <c r="C96" s="60" t="s">
        <v>117</v>
      </c>
      <c r="D96" s="60"/>
      <c r="E96" s="67">
        <v>1167.5340000000001</v>
      </c>
      <c r="F96" s="62">
        <v>131.558240165</v>
      </c>
      <c r="G96" s="63">
        <v>2.79707E-3</v>
      </c>
      <c r="H96" s="17"/>
    </row>
    <row r="97" spans="1:8" x14ac:dyDescent="0.2">
      <c r="A97" s="16"/>
      <c r="B97" s="16"/>
      <c r="C97" s="8" t="s">
        <v>11</v>
      </c>
      <c r="D97" s="16"/>
      <c r="E97" s="16" t="s">
        <v>12</v>
      </c>
      <c r="F97" s="68">
        <f>SUM(F96)</f>
        <v>131.558240165</v>
      </c>
      <c r="G97" s="69">
        <f>SUM(G96)</f>
        <v>2.79707E-3</v>
      </c>
      <c r="H97" s="17" t="s">
        <v>12</v>
      </c>
    </row>
    <row r="98" spans="1:8" x14ac:dyDescent="0.2">
      <c r="A98" s="11"/>
      <c r="B98" s="11"/>
      <c r="C98" s="21"/>
      <c r="D98" s="11"/>
      <c r="E98" s="11"/>
      <c r="F98" s="22"/>
      <c r="G98" s="22"/>
      <c r="H98" s="17" t="s">
        <v>12</v>
      </c>
    </row>
    <row r="99" spans="1:8" x14ac:dyDescent="0.2">
      <c r="A99" s="11"/>
      <c r="B99" s="11"/>
      <c r="C99" s="18" t="s">
        <v>118</v>
      </c>
      <c r="D99" s="11"/>
      <c r="E99" s="11"/>
      <c r="F99" s="11"/>
      <c r="G99" s="11"/>
      <c r="H99" s="17" t="s">
        <v>12</v>
      </c>
    </row>
    <row r="100" spans="1:8" x14ac:dyDescent="0.2">
      <c r="A100" s="11"/>
      <c r="B100" s="11"/>
      <c r="C100" s="18" t="s">
        <v>119</v>
      </c>
      <c r="D100" s="11"/>
      <c r="E100" s="11"/>
      <c r="F100" s="11"/>
      <c r="G100" s="11"/>
      <c r="H100" s="17" t="s">
        <v>12</v>
      </c>
    </row>
    <row r="101" spans="1:8" x14ac:dyDescent="0.2">
      <c r="A101" s="11"/>
      <c r="B101" s="11"/>
      <c r="C101" s="18" t="s">
        <v>11</v>
      </c>
      <c r="D101" s="11"/>
      <c r="E101" s="11" t="s">
        <v>12</v>
      </c>
      <c r="F101" s="19" t="s">
        <v>13</v>
      </c>
      <c r="G101" s="20">
        <v>0</v>
      </c>
      <c r="H101" s="17" t="s">
        <v>12</v>
      </c>
    </row>
    <row r="102" spans="1:8" x14ac:dyDescent="0.2">
      <c r="A102" s="11"/>
      <c r="B102" s="11"/>
      <c r="C102" s="21"/>
      <c r="D102" s="11"/>
      <c r="E102" s="11"/>
      <c r="F102" s="22"/>
      <c r="G102" s="22"/>
      <c r="H102" s="17" t="s">
        <v>12</v>
      </c>
    </row>
    <row r="103" spans="1:8" x14ac:dyDescent="0.2">
      <c r="A103" s="11"/>
      <c r="B103" s="11"/>
      <c r="C103" s="18" t="s">
        <v>120</v>
      </c>
      <c r="D103" s="11"/>
      <c r="E103" s="11"/>
      <c r="F103" s="22"/>
      <c r="G103" s="22"/>
      <c r="H103" s="17" t="s">
        <v>12</v>
      </c>
    </row>
    <row r="104" spans="1:8" x14ac:dyDescent="0.2">
      <c r="A104" s="11"/>
      <c r="B104" s="11"/>
      <c r="C104" s="18" t="s">
        <v>11</v>
      </c>
      <c r="D104" s="11"/>
      <c r="E104" s="11" t="s">
        <v>12</v>
      </c>
      <c r="F104" s="19" t="s">
        <v>13</v>
      </c>
      <c r="G104" s="20">
        <v>0</v>
      </c>
      <c r="H104" s="17" t="s">
        <v>12</v>
      </c>
    </row>
    <row r="105" spans="1:8" x14ac:dyDescent="0.2">
      <c r="A105" s="11"/>
      <c r="B105" s="11"/>
      <c r="C105" s="21"/>
      <c r="D105" s="11"/>
      <c r="E105" s="11"/>
      <c r="F105" s="22"/>
      <c r="G105" s="22"/>
      <c r="H105" s="17" t="s">
        <v>12</v>
      </c>
    </row>
    <row r="106" spans="1:8" x14ac:dyDescent="0.2">
      <c r="A106" s="28"/>
      <c r="B106" s="9"/>
      <c r="C106" s="9" t="s">
        <v>121</v>
      </c>
      <c r="D106" s="9"/>
      <c r="E106" s="28"/>
      <c r="F106" s="26">
        <v>927.83595437999998</v>
      </c>
      <c r="G106" s="27">
        <v>1.9726770000000001E-2</v>
      </c>
      <c r="H106" s="17" t="s">
        <v>12</v>
      </c>
    </row>
    <row r="107" spans="1:8" x14ac:dyDescent="0.2">
      <c r="A107" s="21"/>
      <c r="B107" s="21"/>
      <c r="C107" s="18" t="s">
        <v>122</v>
      </c>
      <c r="D107" s="22"/>
      <c r="E107" s="22"/>
      <c r="F107" s="23">
        <v>47034.359460555999</v>
      </c>
      <c r="G107" s="29">
        <v>1.00000003</v>
      </c>
      <c r="H107" s="17" t="s">
        <v>12</v>
      </c>
    </row>
    <row r="108" spans="1:8" x14ac:dyDescent="0.2">
      <c r="A108" s="30"/>
      <c r="B108" s="30"/>
      <c r="C108" s="30"/>
      <c r="D108" s="10"/>
      <c r="E108" s="10"/>
      <c r="F108" s="10"/>
      <c r="G108" s="10"/>
    </row>
    <row r="109" spans="1:8" x14ac:dyDescent="0.2">
      <c r="A109" s="31"/>
      <c r="B109" s="148" t="s">
        <v>619</v>
      </c>
      <c r="C109" s="148"/>
      <c r="D109" s="148"/>
      <c r="E109" s="148"/>
      <c r="F109" s="148"/>
      <c r="G109" s="148"/>
      <c r="H109" s="148"/>
    </row>
    <row r="110" spans="1:8" x14ac:dyDescent="0.2">
      <c r="A110" s="31"/>
      <c r="B110" s="148" t="s">
        <v>620</v>
      </c>
      <c r="C110" s="148"/>
      <c r="D110" s="148"/>
      <c r="E110" s="148"/>
      <c r="F110" s="148"/>
      <c r="G110" s="148"/>
      <c r="H110" s="148"/>
    </row>
    <row r="111" spans="1:8" x14ac:dyDescent="0.2">
      <c r="A111" s="31"/>
      <c r="B111" s="148" t="s">
        <v>621</v>
      </c>
      <c r="C111" s="148"/>
      <c r="D111" s="148"/>
      <c r="E111" s="148"/>
      <c r="F111" s="148"/>
      <c r="G111" s="148"/>
      <c r="H111" s="148"/>
    </row>
    <row r="112" spans="1:8" x14ac:dyDescent="0.2">
      <c r="A112" s="31"/>
      <c r="B112" s="31"/>
      <c r="C112" s="31"/>
      <c r="D112" s="33"/>
      <c r="E112" s="33"/>
      <c r="F112" s="33"/>
      <c r="G112" s="33"/>
    </row>
    <row r="113" spans="1:7" x14ac:dyDescent="0.2">
      <c r="A113" s="31"/>
      <c r="B113" s="149" t="s">
        <v>123</v>
      </c>
      <c r="C113" s="150"/>
      <c r="D113" s="151"/>
      <c r="E113" s="34"/>
      <c r="F113" s="33"/>
      <c r="G113" s="33"/>
    </row>
    <row r="114" spans="1:7" x14ac:dyDescent="0.2">
      <c r="A114" s="31"/>
      <c r="B114" s="152" t="s">
        <v>124</v>
      </c>
      <c r="C114" s="153"/>
      <c r="D114" s="8" t="s">
        <v>125</v>
      </c>
      <c r="E114" s="34"/>
      <c r="F114" s="33"/>
      <c r="G114" s="33"/>
    </row>
    <row r="115" spans="1:7" x14ac:dyDescent="0.2">
      <c r="A115" s="31"/>
      <c r="B115" s="152" t="s">
        <v>126</v>
      </c>
      <c r="C115" s="153"/>
      <c r="D115" s="8" t="s">
        <v>125</v>
      </c>
      <c r="E115" s="34"/>
      <c r="F115" s="33"/>
      <c r="G115" s="33"/>
    </row>
    <row r="116" spans="1:7" x14ac:dyDescent="0.2">
      <c r="A116" s="31"/>
      <c r="B116" s="152" t="s">
        <v>127</v>
      </c>
      <c r="C116" s="153"/>
      <c r="D116" s="35" t="s">
        <v>12</v>
      </c>
      <c r="E116" s="34"/>
      <c r="F116" s="33"/>
      <c r="G116" s="33"/>
    </row>
    <row r="117" spans="1:7" x14ac:dyDescent="0.2">
      <c r="A117" s="36"/>
      <c r="B117" s="37" t="s">
        <v>12</v>
      </c>
      <c r="C117" s="37" t="s">
        <v>622</v>
      </c>
      <c r="D117" s="37" t="s">
        <v>128</v>
      </c>
      <c r="E117" s="36"/>
      <c r="F117" s="36"/>
      <c r="G117" s="36"/>
    </row>
    <row r="118" spans="1:7" x14ac:dyDescent="0.2">
      <c r="A118" s="36"/>
      <c r="B118" s="38" t="s">
        <v>129</v>
      </c>
      <c r="C118" s="39">
        <v>45838</v>
      </c>
      <c r="D118" s="39">
        <v>45853</v>
      </c>
      <c r="E118" s="36"/>
      <c r="F118" s="36"/>
      <c r="G118" s="36"/>
    </row>
    <row r="119" spans="1:7" x14ac:dyDescent="0.2">
      <c r="A119" s="40"/>
      <c r="B119" s="9" t="s">
        <v>130</v>
      </c>
      <c r="C119" s="41">
        <v>43.807400000000001</v>
      </c>
      <c r="D119" s="41">
        <v>43.9529</v>
      </c>
      <c r="E119" s="40"/>
      <c r="F119" s="42"/>
      <c r="G119" s="43"/>
    </row>
    <row r="120" spans="1:7" ht="25.5" x14ac:dyDescent="0.2">
      <c r="A120" s="40"/>
      <c r="B120" s="9" t="s">
        <v>743</v>
      </c>
      <c r="C120" s="41">
        <v>11.7004</v>
      </c>
      <c r="D120" s="41">
        <v>11.7393</v>
      </c>
      <c r="E120" s="40"/>
      <c r="F120" s="42"/>
      <c r="G120" s="43"/>
    </row>
    <row r="121" spans="1:7" x14ac:dyDescent="0.2">
      <c r="A121" s="40"/>
      <c r="B121" s="9" t="s">
        <v>131</v>
      </c>
      <c r="C121" s="41">
        <v>43.194000000000003</v>
      </c>
      <c r="D121" s="41">
        <v>43.335000000000001</v>
      </c>
      <c r="E121" s="40"/>
      <c r="F121" s="42"/>
      <c r="G121" s="43"/>
    </row>
    <row r="122" spans="1:7" ht="25.5" x14ac:dyDescent="0.2">
      <c r="A122" s="40"/>
      <c r="B122" s="9" t="s">
        <v>744</v>
      </c>
      <c r="C122" s="41">
        <v>11.744999999999999</v>
      </c>
      <c r="D122" s="41">
        <v>11.7834</v>
      </c>
      <c r="E122" s="40"/>
      <c r="F122" s="42"/>
      <c r="G122" s="43"/>
    </row>
    <row r="123" spans="1:7" x14ac:dyDescent="0.2">
      <c r="A123" s="40"/>
      <c r="B123" s="40"/>
      <c r="C123" s="40"/>
      <c r="D123" s="40"/>
      <c r="E123" s="40"/>
      <c r="F123" s="40"/>
      <c r="G123" s="40"/>
    </row>
    <row r="124" spans="1:7" x14ac:dyDescent="0.2">
      <c r="A124" s="40"/>
      <c r="B124" s="155" t="s">
        <v>742</v>
      </c>
      <c r="C124" s="156"/>
      <c r="D124" s="18" t="s">
        <v>125</v>
      </c>
      <c r="E124" s="40"/>
      <c r="F124" s="40"/>
      <c r="G124" s="40"/>
    </row>
    <row r="125" spans="1:7" x14ac:dyDescent="0.2">
      <c r="A125" s="40"/>
      <c r="B125" s="44"/>
      <c r="C125" s="44"/>
      <c r="D125" s="44"/>
      <c r="E125" s="40"/>
      <c r="F125" s="40"/>
      <c r="G125" s="40"/>
    </row>
    <row r="126" spans="1:7" x14ac:dyDescent="0.2">
      <c r="A126" s="36"/>
      <c r="B126" s="152" t="s">
        <v>132</v>
      </c>
      <c r="C126" s="153"/>
      <c r="D126" s="8" t="s">
        <v>125</v>
      </c>
      <c r="E126" s="47"/>
      <c r="F126" s="36"/>
      <c r="G126" s="36"/>
    </row>
    <row r="127" spans="1:7" x14ac:dyDescent="0.2">
      <c r="A127" s="36"/>
      <c r="B127" s="152" t="s">
        <v>133</v>
      </c>
      <c r="C127" s="153"/>
      <c r="D127" s="8" t="s">
        <v>125</v>
      </c>
      <c r="E127" s="47"/>
      <c r="F127" s="36"/>
      <c r="G127" s="36"/>
    </row>
    <row r="128" spans="1:7" x14ac:dyDescent="0.2">
      <c r="A128" s="36"/>
      <c r="B128" s="152" t="s">
        <v>623</v>
      </c>
      <c r="C128" s="153"/>
      <c r="D128" s="8" t="s">
        <v>125</v>
      </c>
      <c r="E128" s="47"/>
      <c r="F128" s="36"/>
      <c r="G128" s="36"/>
    </row>
    <row r="129" spans="1:18" x14ac:dyDescent="0.2">
      <c r="A129" s="44"/>
      <c r="B129" s="44"/>
      <c r="C129" s="44"/>
      <c r="D129" s="44"/>
      <c r="E129" s="44"/>
      <c r="F129" s="44"/>
      <c r="G129" s="44"/>
    </row>
    <row r="130" spans="1:18" s="49" customFormat="1" x14ac:dyDescent="0.2">
      <c r="B130" s="157" t="s">
        <v>624</v>
      </c>
      <c r="C130" s="158"/>
      <c r="D130" s="159"/>
      <c r="I130"/>
      <c r="J130" s="15"/>
      <c r="K130" s="48"/>
      <c r="L130" s="48"/>
      <c r="M130" s="48"/>
      <c r="N130" s="48"/>
      <c r="O130" s="50"/>
    </row>
    <row r="131" spans="1:18" s="49" customFormat="1" ht="38.25" x14ac:dyDescent="0.2">
      <c r="B131" s="154" t="s">
        <v>625</v>
      </c>
      <c r="C131" s="154"/>
      <c r="D131" s="51" t="s">
        <v>134</v>
      </c>
      <c r="I131"/>
      <c r="J131" s="15"/>
      <c r="K131" s="48"/>
      <c r="L131" s="48"/>
      <c r="M131" s="48"/>
      <c r="N131" s="48"/>
      <c r="O131" s="50"/>
    </row>
    <row r="132" spans="1:18" s="49" customFormat="1" x14ac:dyDescent="0.2">
      <c r="B132" s="143" t="s">
        <v>626</v>
      </c>
      <c r="C132" s="143"/>
      <c r="D132" s="52"/>
      <c r="I132"/>
      <c r="J132" s="15"/>
      <c r="K132" s="48"/>
      <c r="L132" s="48"/>
      <c r="M132" s="48"/>
      <c r="N132" s="48"/>
      <c r="O132" s="50"/>
    </row>
    <row r="133" spans="1:18" s="49" customFormat="1" x14ac:dyDescent="0.2">
      <c r="B133" s="143"/>
      <c r="C133" s="143"/>
      <c r="D133" s="53"/>
      <c r="I133"/>
      <c r="J133"/>
      <c r="K133" s="48"/>
      <c r="L133" s="48"/>
      <c r="M133" s="48"/>
      <c r="N133" s="48"/>
      <c r="O133" s="50"/>
    </row>
    <row r="134" spans="1:18" s="49" customFormat="1" x14ac:dyDescent="0.2">
      <c r="B134" s="143" t="s">
        <v>627</v>
      </c>
      <c r="C134" s="143"/>
      <c r="D134" s="54">
        <v>6.4136468872950312</v>
      </c>
      <c r="I134"/>
      <c r="J134"/>
      <c r="K134" s="48"/>
      <c r="L134" s="48"/>
      <c r="M134" s="48"/>
      <c r="N134" s="48"/>
      <c r="O134" s="50"/>
    </row>
    <row r="135" spans="1:18" s="49" customFormat="1" x14ac:dyDescent="0.2">
      <c r="B135" s="143"/>
      <c r="C135" s="143"/>
      <c r="D135" s="53"/>
      <c r="I135"/>
      <c r="J135" s="15"/>
      <c r="K135" s="48"/>
      <c r="L135" s="48"/>
      <c r="M135" s="48"/>
      <c r="N135" s="48"/>
      <c r="O135" s="50"/>
    </row>
    <row r="136" spans="1:18" s="49" customFormat="1" x14ac:dyDescent="0.2">
      <c r="B136" s="143" t="s">
        <v>628</v>
      </c>
      <c r="C136" s="143"/>
      <c r="D136" s="54">
        <v>2.8360001286745735</v>
      </c>
      <c r="I136"/>
      <c r="J136" s="15"/>
      <c r="K136" s="48"/>
      <c r="L136" s="48"/>
      <c r="M136" s="48"/>
      <c r="N136" s="48"/>
      <c r="O136" s="50"/>
    </row>
    <row r="137" spans="1:18" s="49" customFormat="1" x14ac:dyDescent="0.2">
      <c r="B137" s="143" t="s">
        <v>629</v>
      </c>
      <c r="C137" s="143"/>
      <c r="D137" s="54">
        <v>3.6493528842083149</v>
      </c>
      <c r="I137"/>
      <c r="J137" s="15"/>
      <c r="K137" s="48"/>
      <c r="L137" s="48"/>
      <c r="M137" s="48"/>
      <c r="N137" s="48"/>
      <c r="O137" s="50"/>
    </row>
    <row r="138" spans="1:18" s="49" customFormat="1" x14ac:dyDescent="0.2">
      <c r="B138" s="143"/>
      <c r="C138" s="143"/>
      <c r="D138" s="53"/>
      <c r="I138"/>
      <c r="J138" s="15"/>
      <c r="K138" s="48"/>
      <c r="L138" s="48"/>
      <c r="M138" s="48"/>
      <c r="N138" s="48"/>
      <c r="O138" s="50"/>
      <c r="R138"/>
    </row>
    <row r="139" spans="1:18" s="49" customFormat="1" x14ac:dyDescent="0.2">
      <c r="B139" s="143" t="s">
        <v>630</v>
      </c>
      <c r="C139" s="143"/>
      <c r="D139" s="7" t="s">
        <v>746</v>
      </c>
      <c r="I139"/>
      <c r="J139" s="15"/>
      <c r="K139" s="48"/>
      <c r="L139" s="48"/>
      <c r="M139" s="48"/>
      <c r="N139" s="48"/>
      <c r="O139" s="50"/>
    </row>
    <row r="140" spans="1:18" s="49" customFormat="1" x14ac:dyDescent="0.2">
      <c r="B140" s="144" t="s">
        <v>631</v>
      </c>
      <c r="C140" s="146"/>
      <c r="D140" s="145"/>
      <c r="I140"/>
      <c r="J140" s="15"/>
      <c r="K140" s="48"/>
      <c r="L140" s="48"/>
      <c r="M140" s="48"/>
      <c r="N140" s="48"/>
      <c r="O140" s="50"/>
      <c r="R140"/>
    </row>
    <row r="141" spans="1:18" x14ac:dyDescent="0.2">
      <c r="J141" s="15"/>
    </row>
    <row r="142" spans="1:18" x14ac:dyDescent="0.2">
      <c r="B142" s="57" t="s">
        <v>632</v>
      </c>
    </row>
    <row r="143" spans="1:18" ht="5.25" customHeight="1" x14ac:dyDescent="0.2"/>
    <row r="144" spans="1:18" ht="168" customHeight="1" x14ac:dyDescent="0.2"/>
    <row r="147" spans="2:10" x14ac:dyDescent="0.2">
      <c r="B147" s="57" t="s">
        <v>633</v>
      </c>
      <c r="C147" s="58"/>
      <c r="D147" s="57"/>
    </row>
    <row r="148" spans="2:10" x14ac:dyDescent="0.2">
      <c r="B148" s="57" t="s">
        <v>635</v>
      </c>
      <c r="D148" s="57"/>
    </row>
    <row r="150" spans="2:10" x14ac:dyDescent="0.2">
      <c r="J150" s="15"/>
    </row>
    <row r="151" spans="2:10" x14ac:dyDescent="0.2">
      <c r="J151" s="15"/>
    </row>
    <row r="152" spans="2:10" x14ac:dyDescent="0.2">
      <c r="J152" s="15"/>
    </row>
  </sheetData>
  <mergeCells count="25">
    <mergeCell ref="B111:H111"/>
    <mergeCell ref="B113:D113"/>
    <mergeCell ref="B114:C114"/>
    <mergeCell ref="B115:C115"/>
    <mergeCell ref="B124:C124"/>
    <mergeCell ref="B116:C116"/>
    <mergeCell ref="A1:H1"/>
    <mergeCell ref="A2:H2"/>
    <mergeCell ref="A3:H3"/>
    <mergeCell ref="B109:H109"/>
    <mergeCell ref="B110:H110"/>
    <mergeCell ref="B126:C126"/>
    <mergeCell ref="B130:D130"/>
    <mergeCell ref="B133:C133"/>
    <mergeCell ref="B134:C134"/>
    <mergeCell ref="B127:C127"/>
    <mergeCell ref="B128:C128"/>
    <mergeCell ref="B131:C131"/>
    <mergeCell ref="B132:C132"/>
    <mergeCell ref="B140:D140"/>
    <mergeCell ref="B135:C135"/>
    <mergeCell ref="B136:C136"/>
    <mergeCell ref="B137:C137"/>
    <mergeCell ref="B138:C138"/>
    <mergeCell ref="B139:C139"/>
  </mergeCells>
  <hyperlinks>
    <hyperlink ref="I1" location="Index!B2" display="Index" xr:uid="{6E20A2B6-8EA4-46DE-8BD0-9795D436FA5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72411-8D07-4634-92E0-24CDFF44DB9F}">
  <sheetPr>
    <outlinePr summaryBelow="0" summaryRight="0"/>
  </sheetPr>
  <dimension ref="A1:Q177"/>
  <sheetViews>
    <sheetView showGridLines="0" tabSelected="1" topLeftCell="A107" workbookViewId="0">
      <selection activeCell="F129" sqref="F129"/>
    </sheetView>
  </sheetViews>
  <sheetFormatPr defaultRowHeight="12.75" x14ac:dyDescent="0.2"/>
  <cols>
    <col min="1" max="1" width="5.85546875" bestFit="1" customWidth="1"/>
    <col min="2" max="2" width="19.28515625" bestFit="1" customWidth="1"/>
    <col min="3" max="3" width="48.42578125" customWidth="1"/>
    <col min="4" max="4" width="10.7109375" bestFit="1" customWidth="1"/>
    <col min="5" max="5" width="9.42578125" bestFit="1" customWidth="1"/>
    <col min="6" max="6" width="10.140625" bestFit="1" customWidth="1"/>
    <col min="7" max="7" width="14" bestFit="1" customWidth="1"/>
    <col min="8" max="8" width="9.140625" customWidth="1"/>
  </cols>
  <sheetData>
    <row r="1" spans="1:9" ht="15" x14ac:dyDescent="0.2">
      <c r="A1" s="147" t="s">
        <v>0</v>
      </c>
      <c r="B1" s="147"/>
      <c r="C1" s="147"/>
      <c r="D1" s="147"/>
      <c r="E1" s="147"/>
      <c r="F1" s="147"/>
      <c r="G1" s="147"/>
      <c r="H1" s="147"/>
      <c r="I1" s="1" t="s">
        <v>604</v>
      </c>
    </row>
    <row r="2" spans="1:9" ht="15" x14ac:dyDescent="0.2">
      <c r="A2" s="147" t="s">
        <v>173</v>
      </c>
      <c r="B2" s="147"/>
      <c r="C2" s="147"/>
      <c r="D2" s="147"/>
      <c r="E2" s="147"/>
      <c r="F2" s="147"/>
      <c r="G2" s="147"/>
      <c r="H2" s="147"/>
    </row>
    <row r="3" spans="1:9" ht="15" x14ac:dyDescent="0.2">
      <c r="A3" s="147" t="s">
        <v>603</v>
      </c>
      <c r="B3" s="147"/>
      <c r="C3" s="147"/>
      <c r="D3" s="147"/>
      <c r="E3" s="147"/>
      <c r="F3" s="147"/>
      <c r="G3" s="147"/>
      <c r="H3" s="147"/>
    </row>
    <row r="4" spans="1:9" s="15" customFormat="1" ht="30" x14ac:dyDescent="0.2">
      <c r="A4" s="13" t="s">
        <v>2</v>
      </c>
      <c r="B4" s="13" t="s">
        <v>3</v>
      </c>
      <c r="C4" s="13" t="s">
        <v>4</v>
      </c>
      <c r="D4" s="13" t="s">
        <v>5</v>
      </c>
      <c r="E4" s="13" t="s">
        <v>6</v>
      </c>
      <c r="F4" s="13" t="s">
        <v>7</v>
      </c>
      <c r="G4" s="13" t="s">
        <v>8</v>
      </c>
      <c r="H4" s="14" t="s">
        <v>602</v>
      </c>
    </row>
    <row r="5" spans="1:9" x14ac:dyDescent="0.2">
      <c r="A5" s="16"/>
      <c r="B5" s="16"/>
      <c r="C5" s="8" t="s">
        <v>9</v>
      </c>
      <c r="D5" s="16"/>
      <c r="E5" s="16"/>
      <c r="F5" s="16"/>
      <c r="G5" s="16"/>
      <c r="H5" s="17" t="s">
        <v>12</v>
      </c>
    </row>
    <row r="6" spans="1:9" x14ac:dyDescent="0.2">
      <c r="A6" s="11"/>
      <c r="B6" s="11"/>
      <c r="C6" s="18" t="s">
        <v>10</v>
      </c>
      <c r="D6" s="11"/>
      <c r="E6" s="11"/>
      <c r="F6" s="11"/>
      <c r="G6" s="11"/>
      <c r="H6" s="17" t="s">
        <v>12</v>
      </c>
    </row>
    <row r="7" spans="1:9" x14ac:dyDescent="0.2">
      <c r="A7" s="11"/>
      <c r="B7" s="11"/>
      <c r="C7" s="18" t="s">
        <v>11</v>
      </c>
      <c r="D7" s="11"/>
      <c r="E7" s="11" t="s">
        <v>12</v>
      </c>
      <c r="F7" s="19" t="s">
        <v>13</v>
      </c>
      <c r="G7" s="20">
        <v>0</v>
      </c>
      <c r="H7" s="17" t="s">
        <v>12</v>
      </c>
    </row>
    <row r="8" spans="1:9" x14ac:dyDescent="0.2">
      <c r="A8" s="11"/>
      <c r="B8" s="11"/>
      <c r="C8" s="21"/>
      <c r="D8" s="11"/>
      <c r="E8" s="11"/>
      <c r="F8" s="22"/>
      <c r="G8" s="22"/>
      <c r="H8" s="17" t="s">
        <v>12</v>
      </c>
    </row>
    <row r="9" spans="1:9" x14ac:dyDescent="0.2">
      <c r="A9" s="11"/>
      <c r="B9" s="11"/>
      <c r="C9" s="18" t="s">
        <v>14</v>
      </c>
      <c r="D9" s="11"/>
      <c r="E9" s="11"/>
      <c r="F9" s="11"/>
      <c r="G9" s="11"/>
      <c r="H9" s="17" t="s">
        <v>12</v>
      </c>
    </row>
    <row r="10" spans="1:9" x14ac:dyDescent="0.2">
      <c r="A10" s="11"/>
      <c r="B10" s="11"/>
      <c r="C10" s="18" t="s">
        <v>11</v>
      </c>
      <c r="D10" s="11"/>
      <c r="E10" s="11" t="s">
        <v>12</v>
      </c>
      <c r="F10" s="19" t="s">
        <v>13</v>
      </c>
      <c r="G10" s="20">
        <v>0</v>
      </c>
      <c r="H10" s="17" t="s">
        <v>12</v>
      </c>
    </row>
    <row r="11" spans="1:9" x14ac:dyDescent="0.2">
      <c r="A11" s="11"/>
      <c r="B11" s="11"/>
      <c r="C11" s="21"/>
      <c r="D11" s="11"/>
      <c r="E11" s="11"/>
      <c r="F11" s="22"/>
      <c r="G11" s="22"/>
      <c r="H11" s="17" t="s">
        <v>12</v>
      </c>
    </row>
    <row r="12" spans="1:9" x14ac:dyDescent="0.2">
      <c r="A12" s="11"/>
      <c r="B12" s="11"/>
      <c r="C12" s="18" t="s">
        <v>15</v>
      </c>
      <c r="D12" s="11"/>
      <c r="E12" s="11"/>
      <c r="F12" s="11"/>
      <c r="G12" s="11"/>
      <c r="H12" s="17" t="s">
        <v>12</v>
      </c>
    </row>
    <row r="13" spans="1:9" x14ac:dyDescent="0.2">
      <c r="A13" s="11"/>
      <c r="B13" s="11"/>
      <c r="C13" s="18" t="s">
        <v>11</v>
      </c>
      <c r="D13" s="11"/>
      <c r="E13" s="11" t="s">
        <v>12</v>
      </c>
      <c r="F13" s="19" t="s">
        <v>13</v>
      </c>
      <c r="G13" s="20">
        <v>0</v>
      </c>
      <c r="H13" s="17" t="s">
        <v>12</v>
      </c>
    </row>
    <row r="14" spans="1:9" x14ac:dyDescent="0.2">
      <c r="A14" s="11"/>
      <c r="B14" s="11"/>
      <c r="C14" s="21"/>
      <c r="D14" s="11"/>
      <c r="E14" s="11"/>
      <c r="F14" s="22"/>
      <c r="G14" s="22"/>
      <c r="H14" s="17" t="s">
        <v>12</v>
      </c>
    </row>
    <row r="15" spans="1:9" x14ac:dyDescent="0.2">
      <c r="A15" s="11"/>
      <c r="B15" s="11"/>
      <c r="C15" s="18" t="s">
        <v>16</v>
      </c>
      <c r="D15" s="11"/>
      <c r="E15" s="11"/>
      <c r="F15" s="11"/>
      <c r="G15" s="11"/>
      <c r="H15" s="17" t="s">
        <v>12</v>
      </c>
    </row>
    <row r="16" spans="1:9" x14ac:dyDescent="0.2">
      <c r="A16" s="11"/>
      <c r="B16" s="11"/>
      <c r="C16" s="18" t="s">
        <v>11</v>
      </c>
      <c r="D16" s="11"/>
      <c r="E16" s="11" t="s">
        <v>12</v>
      </c>
      <c r="F16" s="19" t="s">
        <v>13</v>
      </c>
      <c r="G16" s="20">
        <v>0</v>
      </c>
      <c r="H16" s="17" t="s">
        <v>12</v>
      </c>
    </row>
    <row r="17" spans="1:8" x14ac:dyDescent="0.2">
      <c r="A17" s="11"/>
      <c r="B17" s="11"/>
      <c r="C17" s="21"/>
      <c r="D17" s="11"/>
      <c r="E17" s="11"/>
      <c r="F17" s="22"/>
      <c r="G17" s="22"/>
      <c r="H17" s="17" t="s">
        <v>12</v>
      </c>
    </row>
    <row r="18" spans="1:8" x14ac:dyDescent="0.2">
      <c r="A18" s="11"/>
      <c r="B18" s="11"/>
      <c r="C18" s="18" t="s">
        <v>17</v>
      </c>
      <c r="D18" s="11"/>
      <c r="E18" s="11"/>
      <c r="F18" s="22"/>
      <c r="G18" s="22"/>
      <c r="H18" s="17" t="s">
        <v>12</v>
      </c>
    </row>
    <row r="19" spans="1:8" x14ac:dyDescent="0.2">
      <c r="A19" s="11"/>
      <c r="B19" s="11"/>
      <c r="C19" s="18" t="s">
        <v>11</v>
      </c>
      <c r="D19" s="11"/>
      <c r="E19" s="11" t="s">
        <v>12</v>
      </c>
      <c r="F19" s="19" t="s">
        <v>13</v>
      </c>
      <c r="G19" s="20">
        <v>0</v>
      </c>
      <c r="H19" s="17" t="s">
        <v>12</v>
      </c>
    </row>
    <row r="20" spans="1:8" x14ac:dyDescent="0.2">
      <c r="A20" s="11"/>
      <c r="B20" s="11"/>
      <c r="C20" s="21"/>
      <c r="D20" s="11"/>
      <c r="E20" s="11"/>
      <c r="F20" s="22"/>
      <c r="G20" s="22"/>
      <c r="H20" s="17" t="s">
        <v>12</v>
      </c>
    </row>
    <row r="21" spans="1:8" x14ac:dyDescent="0.2">
      <c r="A21" s="11"/>
      <c r="B21" s="11"/>
      <c r="C21" s="18" t="s">
        <v>18</v>
      </c>
      <c r="D21" s="11"/>
      <c r="E21" s="11"/>
      <c r="F21" s="22"/>
      <c r="G21" s="22"/>
      <c r="H21" s="17" t="s">
        <v>12</v>
      </c>
    </row>
    <row r="22" spans="1:8" x14ac:dyDescent="0.2">
      <c r="A22" s="11"/>
      <c r="B22" s="11"/>
      <c r="C22" s="18" t="s">
        <v>11</v>
      </c>
      <c r="D22" s="11"/>
      <c r="E22" s="11" t="s">
        <v>12</v>
      </c>
      <c r="F22" s="19" t="s">
        <v>13</v>
      </c>
      <c r="G22" s="20">
        <v>0</v>
      </c>
      <c r="H22" s="17" t="s">
        <v>12</v>
      </c>
    </row>
    <row r="23" spans="1:8" x14ac:dyDescent="0.2">
      <c r="A23" s="11"/>
      <c r="B23" s="11"/>
      <c r="C23" s="21"/>
      <c r="D23" s="11"/>
      <c r="E23" s="11"/>
      <c r="F23" s="22"/>
      <c r="G23" s="22"/>
      <c r="H23" s="17" t="s">
        <v>12</v>
      </c>
    </row>
    <row r="24" spans="1:8" x14ac:dyDescent="0.2">
      <c r="A24" s="11"/>
      <c r="B24" s="11"/>
      <c r="C24" s="18" t="s">
        <v>19</v>
      </c>
      <c r="D24" s="11"/>
      <c r="E24" s="11"/>
      <c r="F24" s="23">
        <v>0</v>
      </c>
      <c r="G24" s="20">
        <v>0</v>
      </c>
      <c r="H24" s="17" t="s">
        <v>12</v>
      </c>
    </row>
    <row r="25" spans="1:8" x14ac:dyDescent="0.2">
      <c r="A25" s="11"/>
      <c r="B25" s="11"/>
      <c r="C25" s="21"/>
      <c r="D25" s="11"/>
      <c r="E25" s="11"/>
      <c r="F25" s="22"/>
      <c r="G25" s="22"/>
      <c r="H25" s="17" t="s">
        <v>12</v>
      </c>
    </row>
    <row r="26" spans="1:8" x14ac:dyDescent="0.2">
      <c r="A26" s="11"/>
      <c r="B26" s="11"/>
      <c r="C26" s="18" t="s">
        <v>20</v>
      </c>
      <c r="D26" s="11"/>
      <c r="E26" s="11"/>
      <c r="F26" s="22"/>
      <c r="G26" s="22"/>
      <c r="H26" s="17" t="s">
        <v>12</v>
      </c>
    </row>
    <row r="27" spans="1:8" x14ac:dyDescent="0.2">
      <c r="A27" s="11"/>
      <c r="B27" s="11"/>
      <c r="C27" s="18" t="s">
        <v>10</v>
      </c>
      <c r="D27" s="11"/>
      <c r="E27" s="11"/>
      <c r="F27" s="22"/>
      <c r="G27" s="22"/>
      <c r="H27" s="17" t="s">
        <v>12</v>
      </c>
    </row>
    <row r="28" spans="1:8" x14ac:dyDescent="0.2">
      <c r="A28" s="11"/>
      <c r="B28" s="11"/>
      <c r="C28" s="18" t="s">
        <v>11</v>
      </c>
      <c r="D28" s="11"/>
      <c r="E28" s="11" t="s">
        <v>12</v>
      </c>
      <c r="F28" s="19" t="s">
        <v>13</v>
      </c>
      <c r="G28" s="20">
        <v>0</v>
      </c>
      <c r="H28" s="17" t="s">
        <v>12</v>
      </c>
    </row>
    <row r="29" spans="1:8" x14ac:dyDescent="0.2">
      <c r="A29" s="11"/>
      <c r="B29" s="11"/>
      <c r="C29" s="21"/>
      <c r="D29" s="11"/>
      <c r="E29" s="11"/>
      <c r="F29" s="22"/>
      <c r="G29" s="22"/>
      <c r="H29" s="17" t="s">
        <v>12</v>
      </c>
    </row>
    <row r="30" spans="1:8" x14ac:dyDescent="0.2">
      <c r="A30" s="11"/>
      <c r="B30" s="11"/>
      <c r="C30" s="18" t="s">
        <v>77</v>
      </c>
      <c r="D30" s="11"/>
      <c r="E30" s="11"/>
      <c r="F30" s="11"/>
      <c r="G30" s="11"/>
      <c r="H30" s="17" t="s">
        <v>12</v>
      </c>
    </row>
    <row r="31" spans="1:8" x14ac:dyDescent="0.2">
      <c r="A31" s="11"/>
      <c r="B31" s="11"/>
      <c r="C31" s="18" t="s">
        <v>11</v>
      </c>
      <c r="D31" s="11"/>
      <c r="E31" s="11" t="s">
        <v>12</v>
      </c>
      <c r="F31" s="19" t="s">
        <v>13</v>
      </c>
      <c r="G31" s="20">
        <v>0</v>
      </c>
      <c r="H31" s="17" t="s">
        <v>12</v>
      </c>
    </row>
    <row r="32" spans="1:8" x14ac:dyDescent="0.2">
      <c r="A32" s="11"/>
      <c r="B32" s="11"/>
      <c r="C32" s="21"/>
      <c r="D32" s="11"/>
      <c r="E32" s="11"/>
      <c r="F32" s="22"/>
      <c r="G32" s="22"/>
      <c r="H32" s="17" t="s">
        <v>12</v>
      </c>
    </row>
    <row r="33" spans="1:10" x14ac:dyDescent="0.2">
      <c r="A33" s="11"/>
      <c r="B33" s="11"/>
      <c r="C33" s="18" t="s">
        <v>78</v>
      </c>
      <c r="D33" s="11"/>
      <c r="E33" s="11"/>
      <c r="F33" s="11"/>
      <c r="G33" s="11"/>
      <c r="H33" s="17" t="s">
        <v>12</v>
      </c>
    </row>
    <row r="34" spans="1:10" x14ac:dyDescent="0.2">
      <c r="A34" s="24">
        <v>1</v>
      </c>
      <c r="B34" s="9" t="s">
        <v>174</v>
      </c>
      <c r="C34" s="9" t="s">
        <v>175</v>
      </c>
      <c r="D34" s="9" t="s">
        <v>81</v>
      </c>
      <c r="E34" s="25">
        <v>5000000</v>
      </c>
      <c r="F34" s="26">
        <v>5102.41</v>
      </c>
      <c r="G34" s="27">
        <v>2.5882800000000001E-2</v>
      </c>
      <c r="H34" s="17">
        <v>5.8105000000000002</v>
      </c>
    </row>
    <row r="35" spans="1:10" x14ac:dyDescent="0.2">
      <c r="A35" s="24">
        <v>2</v>
      </c>
      <c r="B35" s="9" t="s">
        <v>176</v>
      </c>
      <c r="C35" s="9" t="s">
        <v>177</v>
      </c>
      <c r="D35" s="9" t="s">
        <v>81</v>
      </c>
      <c r="E35" s="25">
        <v>4000000</v>
      </c>
      <c r="F35" s="26">
        <v>4056.1640000000002</v>
      </c>
      <c r="G35" s="27">
        <v>2.0575550000000001E-2</v>
      </c>
      <c r="H35" s="17">
        <v>5.7298</v>
      </c>
    </row>
    <row r="36" spans="1:10" x14ac:dyDescent="0.2">
      <c r="A36" s="24">
        <v>3</v>
      </c>
      <c r="B36" s="9" t="s">
        <v>178</v>
      </c>
      <c r="C36" s="9" t="s">
        <v>179</v>
      </c>
      <c r="D36" s="9" t="s">
        <v>81</v>
      </c>
      <c r="E36" s="25">
        <v>2500000</v>
      </c>
      <c r="F36" s="26">
        <v>2543.8150000000001</v>
      </c>
      <c r="G36" s="27">
        <v>1.2903909999999999E-2</v>
      </c>
      <c r="H36" s="17">
        <v>5.8258999999999999</v>
      </c>
    </row>
    <row r="37" spans="1:10" x14ac:dyDescent="0.2">
      <c r="A37" s="11"/>
      <c r="B37" s="11"/>
      <c r="C37" s="18" t="s">
        <v>11</v>
      </c>
      <c r="D37" s="11"/>
      <c r="E37" s="11" t="s">
        <v>12</v>
      </c>
      <c r="F37" s="23">
        <v>11702.388999999999</v>
      </c>
      <c r="G37" s="20">
        <v>5.936226E-2</v>
      </c>
      <c r="H37" s="17" t="s">
        <v>12</v>
      </c>
    </row>
    <row r="38" spans="1:10" x14ac:dyDescent="0.2">
      <c r="A38" s="11"/>
      <c r="B38" s="11"/>
      <c r="C38" s="21"/>
      <c r="D38" s="11"/>
      <c r="E38" s="11"/>
      <c r="F38" s="22"/>
      <c r="G38" s="22"/>
      <c r="H38" s="17" t="s">
        <v>12</v>
      </c>
    </row>
    <row r="39" spans="1:10" x14ac:dyDescent="0.2">
      <c r="A39" s="11"/>
      <c r="B39" s="11"/>
      <c r="C39" s="18" t="s">
        <v>96</v>
      </c>
      <c r="D39" s="11"/>
      <c r="E39" s="11"/>
      <c r="F39" s="22"/>
      <c r="G39" s="22"/>
      <c r="H39" s="17" t="s">
        <v>12</v>
      </c>
    </row>
    <row r="40" spans="1:10" x14ac:dyDescent="0.2">
      <c r="A40" s="11"/>
      <c r="B40" s="11"/>
      <c r="C40" s="18" t="s">
        <v>11</v>
      </c>
      <c r="D40" s="11"/>
      <c r="E40" s="11" t="s">
        <v>12</v>
      </c>
      <c r="F40" s="19" t="s">
        <v>13</v>
      </c>
      <c r="G40" s="20">
        <v>0</v>
      </c>
      <c r="H40" s="17" t="s">
        <v>12</v>
      </c>
    </row>
    <row r="41" spans="1:10" x14ac:dyDescent="0.2">
      <c r="A41" s="11"/>
      <c r="B41" s="11"/>
      <c r="C41" s="21"/>
      <c r="D41" s="11"/>
      <c r="E41" s="11"/>
      <c r="F41" s="22"/>
      <c r="G41" s="22"/>
      <c r="H41" s="17" t="s">
        <v>12</v>
      </c>
    </row>
    <row r="42" spans="1:10" x14ac:dyDescent="0.2">
      <c r="A42" s="11"/>
      <c r="B42" s="11"/>
      <c r="C42" s="18" t="s">
        <v>97</v>
      </c>
      <c r="D42" s="11"/>
      <c r="E42" s="11"/>
      <c r="F42" s="23">
        <f>F37</f>
        <v>11702.388999999999</v>
      </c>
      <c r="G42" s="20">
        <f>G37</f>
        <v>5.936226E-2</v>
      </c>
      <c r="H42" s="17" t="s">
        <v>12</v>
      </c>
      <c r="J42" s="133"/>
    </row>
    <row r="43" spans="1:10" x14ac:dyDescent="0.2">
      <c r="A43" s="11"/>
      <c r="B43" s="11"/>
      <c r="C43" s="21"/>
      <c r="D43" s="11"/>
      <c r="E43" s="11"/>
      <c r="F43" s="22"/>
      <c r="G43" s="22"/>
      <c r="H43" s="17" t="s">
        <v>12</v>
      </c>
    </row>
    <row r="44" spans="1:10" x14ac:dyDescent="0.2">
      <c r="A44" s="11"/>
      <c r="B44" s="11"/>
      <c r="C44" s="18" t="s">
        <v>98</v>
      </c>
      <c r="D44" s="11"/>
      <c r="E44" s="11"/>
      <c r="F44" s="22"/>
      <c r="G44" s="22"/>
      <c r="H44" s="17" t="s">
        <v>12</v>
      </c>
    </row>
    <row r="45" spans="1:10" x14ac:dyDescent="0.2">
      <c r="A45" s="11"/>
      <c r="B45" s="11"/>
      <c r="C45" s="18" t="s">
        <v>99</v>
      </c>
      <c r="D45" s="11"/>
      <c r="E45" s="11"/>
      <c r="F45" s="22"/>
      <c r="G45" s="22"/>
      <c r="H45" s="17" t="s">
        <v>12</v>
      </c>
    </row>
    <row r="46" spans="1:10" x14ac:dyDescent="0.2">
      <c r="A46" s="24">
        <v>1</v>
      </c>
      <c r="B46" s="9" t="s">
        <v>171</v>
      </c>
      <c r="C46" s="9" t="s">
        <v>172</v>
      </c>
      <c r="D46" s="9" t="s">
        <v>108</v>
      </c>
      <c r="E46" s="25">
        <v>2200</v>
      </c>
      <c r="F46" s="26">
        <v>10573.552</v>
      </c>
      <c r="G46" s="27">
        <v>5.3636049999999998E-2</v>
      </c>
      <c r="H46" s="17">
        <v>5.96</v>
      </c>
    </row>
    <row r="47" spans="1:10" x14ac:dyDescent="0.2">
      <c r="A47" s="24">
        <v>2</v>
      </c>
      <c r="B47" s="9" t="s">
        <v>180</v>
      </c>
      <c r="C47" s="9" t="s">
        <v>181</v>
      </c>
      <c r="D47" s="9" t="s">
        <v>108</v>
      </c>
      <c r="E47" s="25">
        <v>2000</v>
      </c>
      <c r="F47" s="26">
        <v>9634.17</v>
      </c>
      <c r="G47" s="27">
        <v>4.8870879999999998E-2</v>
      </c>
      <c r="H47" s="17">
        <v>6</v>
      </c>
    </row>
    <row r="48" spans="1:10" x14ac:dyDescent="0.2">
      <c r="A48" s="24">
        <v>3</v>
      </c>
      <c r="B48" s="9" t="s">
        <v>182</v>
      </c>
      <c r="C48" s="9" t="s">
        <v>183</v>
      </c>
      <c r="D48" s="9" t="s">
        <v>108</v>
      </c>
      <c r="E48" s="25">
        <v>1500</v>
      </c>
      <c r="F48" s="26">
        <v>7209.4049999999997</v>
      </c>
      <c r="G48" s="27">
        <v>3.6570869999999998E-2</v>
      </c>
      <c r="H48" s="17">
        <v>6.0049999999999999</v>
      </c>
    </row>
    <row r="49" spans="1:8" x14ac:dyDescent="0.2">
      <c r="A49" s="24">
        <v>4</v>
      </c>
      <c r="B49" s="9" t="s">
        <v>184</v>
      </c>
      <c r="C49" s="9" t="s">
        <v>185</v>
      </c>
      <c r="D49" s="9" t="s">
        <v>108</v>
      </c>
      <c r="E49" s="25">
        <v>1500</v>
      </c>
      <c r="F49" s="26">
        <v>7201.62</v>
      </c>
      <c r="G49" s="27">
        <v>3.6531380000000002E-2</v>
      </c>
      <c r="H49" s="17">
        <v>6.0250000000000004</v>
      </c>
    </row>
    <row r="50" spans="1:8" x14ac:dyDescent="0.2">
      <c r="A50" s="24">
        <v>5</v>
      </c>
      <c r="B50" s="9" t="s">
        <v>186</v>
      </c>
      <c r="C50" s="9" t="s">
        <v>187</v>
      </c>
      <c r="D50" s="9" t="s">
        <v>108</v>
      </c>
      <c r="E50" s="25">
        <v>1000</v>
      </c>
      <c r="F50" s="26">
        <v>4888.55</v>
      </c>
      <c r="G50" s="27">
        <v>2.4797960000000001E-2</v>
      </c>
      <c r="H50" s="17">
        <v>5.8601000000000001</v>
      </c>
    </row>
    <row r="51" spans="1:8" x14ac:dyDescent="0.2">
      <c r="A51" s="24">
        <v>6</v>
      </c>
      <c r="B51" s="9" t="s">
        <v>188</v>
      </c>
      <c r="C51" s="9" t="s">
        <v>189</v>
      </c>
      <c r="D51" s="9" t="s">
        <v>108</v>
      </c>
      <c r="E51" s="25">
        <v>1000</v>
      </c>
      <c r="F51" s="26">
        <v>4815.41</v>
      </c>
      <c r="G51" s="27">
        <v>2.4426940000000001E-2</v>
      </c>
      <c r="H51" s="17">
        <v>6.0049999999999999</v>
      </c>
    </row>
    <row r="52" spans="1:8" ht="25.5" x14ac:dyDescent="0.2">
      <c r="A52" s="24">
        <v>7</v>
      </c>
      <c r="B52" s="9" t="s">
        <v>190</v>
      </c>
      <c r="C52" s="9" t="s">
        <v>191</v>
      </c>
      <c r="D52" s="9" t="s">
        <v>108</v>
      </c>
      <c r="E52" s="25">
        <v>1000</v>
      </c>
      <c r="F52" s="26">
        <v>4811.0050000000001</v>
      </c>
      <c r="G52" s="27">
        <v>2.4404599999999999E-2</v>
      </c>
      <c r="H52" s="17">
        <v>6.05</v>
      </c>
    </row>
    <row r="53" spans="1:8" x14ac:dyDescent="0.2">
      <c r="A53" s="24">
        <v>8</v>
      </c>
      <c r="B53" s="9" t="s">
        <v>192</v>
      </c>
      <c r="C53" s="9" t="s">
        <v>193</v>
      </c>
      <c r="D53" s="9" t="s">
        <v>108</v>
      </c>
      <c r="E53" s="25">
        <v>1000</v>
      </c>
      <c r="F53" s="26">
        <v>4810.835</v>
      </c>
      <c r="G53" s="27">
        <v>2.440374E-2</v>
      </c>
      <c r="H53" s="17">
        <v>6.0049999999999999</v>
      </c>
    </row>
    <row r="54" spans="1:8" x14ac:dyDescent="0.2">
      <c r="A54" s="24">
        <v>9</v>
      </c>
      <c r="B54" s="9" t="s">
        <v>194</v>
      </c>
      <c r="C54" s="9" t="s">
        <v>195</v>
      </c>
      <c r="D54" s="9" t="s">
        <v>108</v>
      </c>
      <c r="E54" s="25">
        <v>1000</v>
      </c>
      <c r="F54" s="26">
        <v>4806.7349999999997</v>
      </c>
      <c r="G54" s="27">
        <v>2.4382939999999999E-2</v>
      </c>
      <c r="H54" s="17">
        <v>5.99</v>
      </c>
    </row>
    <row r="55" spans="1:8" x14ac:dyDescent="0.2">
      <c r="A55" s="24">
        <v>10</v>
      </c>
      <c r="B55" s="9" t="s">
        <v>196</v>
      </c>
      <c r="C55" s="9" t="s">
        <v>197</v>
      </c>
      <c r="D55" s="9" t="s">
        <v>108</v>
      </c>
      <c r="E55" s="25">
        <v>1000</v>
      </c>
      <c r="F55" s="26">
        <v>4806.6000000000004</v>
      </c>
      <c r="G55" s="27">
        <v>2.4382250000000001E-2</v>
      </c>
      <c r="H55" s="17">
        <v>5.9701000000000004</v>
      </c>
    </row>
    <row r="56" spans="1:8" ht="25.5" x14ac:dyDescent="0.2">
      <c r="A56" s="24">
        <v>11</v>
      </c>
      <c r="B56" s="9" t="s">
        <v>198</v>
      </c>
      <c r="C56" s="9" t="s">
        <v>199</v>
      </c>
      <c r="D56" s="9" t="s">
        <v>108</v>
      </c>
      <c r="E56" s="25">
        <v>900</v>
      </c>
      <c r="F56" s="26">
        <v>4318.884</v>
      </c>
      <c r="G56" s="27">
        <v>2.1908239999999999E-2</v>
      </c>
      <c r="H56" s="17">
        <v>6.05</v>
      </c>
    </row>
    <row r="57" spans="1:8" ht="25.5" x14ac:dyDescent="0.2">
      <c r="A57" s="24">
        <v>12</v>
      </c>
      <c r="B57" s="9" t="s">
        <v>200</v>
      </c>
      <c r="C57" s="9" t="s">
        <v>201</v>
      </c>
      <c r="D57" s="9" t="s">
        <v>108</v>
      </c>
      <c r="E57" s="25">
        <v>800</v>
      </c>
      <c r="F57" s="26">
        <v>3855.5680000000002</v>
      </c>
      <c r="G57" s="27">
        <v>1.9557990000000001E-2</v>
      </c>
      <c r="H57" s="17">
        <v>6.05</v>
      </c>
    </row>
    <row r="58" spans="1:8" ht="25.5" x14ac:dyDescent="0.2">
      <c r="A58" s="24">
        <v>13</v>
      </c>
      <c r="B58" s="9" t="s">
        <v>202</v>
      </c>
      <c r="C58" s="9" t="s">
        <v>203</v>
      </c>
      <c r="D58" s="9" t="s">
        <v>108</v>
      </c>
      <c r="E58" s="25">
        <v>800</v>
      </c>
      <c r="F58" s="26">
        <v>3855.5680000000002</v>
      </c>
      <c r="G58" s="27">
        <v>1.9557990000000001E-2</v>
      </c>
      <c r="H58" s="17">
        <v>6.05</v>
      </c>
    </row>
    <row r="59" spans="1:8" x14ac:dyDescent="0.2">
      <c r="A59" s="24">
        <v>14</v>
      </c>
      <c r="B59" s="9" t="s">
        <v>204</v>
      </c>
      <c r="C59" s="9" t="s">
        <v>205</v>
      </c>
      <c r="D59" s="9" t="s">
        <v>108</v>
      </c>
      <c r="E59" s="25">
        <v>600</v>
      </c>
      <c r="F59" s="26">
        <v>2902.8449999999998</v>
      </c>
      <c r="G59" s="27">
        <v>1.4725149999999999E-2</v>
      </c>
      <c r="H59" s="17">
        <v>6.0179</v>
      </c>
    </row>
    <row r="60" spans="1:8" x14ac:dyDescent="0.2">
      <c r="A60" s="24">
        <v>15</v>
      </c>
      <c r="B60" s="9" t="s">
        <v>206</v>
      </c>
      <c r="C60" s="9" t="s">
        <v>207</v>
      </c>
      <c r="D60" s="9" t="s">
        <v>108</v>
      </c>
      <c r="E60" s="25">
        <v>500</v>
      </c>
      <c r="F60" s="26">
        <v>2456.9475000000002</v>
      </c>
      <c r="G60" s="27">
        <v>1.246326E-2</v>
      </c>
      <c r="H60" s="17">
        <v>6.1498999999999997</v>
      </c>
    </row>
    <row r="61" spans="1:8" x14ac:dyDescent="0.2">
      <c r="A61" s="24">
        <v>16</v>
      </c>
      <c r="B61" s="9" t="s">
        <v>208</v>
      </c>
      <c r="C61" s="9" t="s">
        <v>209</v>
      </c>
      <c r="D61" s="9" t="s">
        <v>108</v>
      </c>
      <c r="E61" s="25">
        <v>500</v>
      </c>
      <c r="F61" s="26">
        <v>2441.0524999999998</v>
      </c>
      <c r="G61" s="27">
        <v>1.238263E-2</v>
      </c>
      <c r="H61" s="17">
        <v>6.2072000000000003</v>
      </c>
    </row>
    <row r="62" spans="1:8" x14ac:dyDescent="0.2">
      <c r="A62" s="24">
        <v>17</v>
      </c>
      <c r="B62" s="9" t="s">
        <v>210</v>
      </c>
      <c r="C62" s="9" t="s">
        <v>211</v>
      </c>
      <c r="D62" s="9" t="s">
        <v>108</v>
      </c>
      <c r="E62" s="25">
        <v>500</v>
      </c>
      <c r="F62" s="26">
        <v>2439.5625</v>
      </c>
      <c r="G62" s="27">
        <v>1.237507E-2</v>
      </c>
      <c r="H62" s="17">
        <v>5.9100999999999999</v>
      </c>
    </row>
    <row r="63" spans="1:8" x14ac:dyDescent="0.2">
      <c r="A63" s="24">
        <v>18</v>
      </c>
      <c r="B63" s="9" t="s">
        <v>212</v>
      </c>
      <c r="C63" s="9" t="s">
        <v>213</v>
      </c>
      <c r="D63" s="9" t="s">
        <v>108</v>
      </c>
      <c r="E63" s="25">
        <v>500</v>
      </c>
      <c r="F63" s="26">
        <v>2419.2049999999999</v>
      </c>
      <c r="G63" s="27">
        <v>1.2271809999999999E-2</v>
      </c>
      <c r="H63" s="17">
        <v>6.0049999999999999</v>
      </c>
    </row>
    <row r="64" spans="1:8" ht="25.5" x14ac:dyDescent="0.2">
      <c r="A64" s="24">
        <v>19</v>
      </c>
      <c r="B64" s="9" t="s">
        <v>214</v>
      </c>
      <c r="C64" s="9" t="s">
        <v>215</v>
      </c>
      <c r="D64" s="9" t="s">
        <v>108</v>
      </c>
      <c r="E64" s="25">
        <v>500</v>
      </c>
      <c r="F64" s="26">
        <v>2418.23</v>
      </c>
      <c r="G64" s="27">
        <v>1.2266859999999999E-2</v>
      </c>
      <c r="H64" s="17">
        <v>6.05</v>
      </c>
    </row>
    <row r="65" spans="1:8" x14ac:dyDescent="0.2">
      <c r="A65" s="24">
        <v>20</v>
      </c>
      <c r="B65" s="9" t="s">
        <v>216</v>
      </c>
      <c r="C65" s="9" t="s">
        <v>217</v>
      </c>
      <c r="D65" s="9" t="s">
        <v>108</v>
      </c>
      <c r="E65" s="25">
        <v>500</v>
      </c>
      <c r="F65" s="26">
        <v>2417.7125000000001</v>
      </c>
      <c r="G65" s="27">
        <v>1.2264239999999999E-2</v>
      </c>
      <c r="H65" s="17">
        <v>6.06</v>
      </c>
    </row>
    <row r="66" spans="1:8" x14ac:dyDescent="0.2">
      <c r="A66" s="24">
        <v>21</v>
      </c>
      <c r="B66" s="9" t="s">
        <v>218</v>
      </c>
      <c r="C66" s="9" t="s">
        <v>219</v>
      </c>
      <c r="D66" s="9" t="s">
        <v>108</v>
      </c>
      <c r="E66" s="25">
        <v>500</v>
      </c>
      <c r="F66" s="26">
        <v>2414.31</v>
      </c>
      <c r="G66" s="27">
        <v>1.2246979999999999E-2</v>
      </c>
      <c r="H66" s="17">
        <v>5.9701000000000004</v>
      </c>
    </row>
    <row r="67" spans="1:8" ht="25.5" x14ac:dyDescent="0.2">
      <c r="A67" s="24">
        <v>22</v>
      </c>
      <c r="B67" s="9" t="s">
        <v>220</v>
      </c>
      <c r="C67" s="9" t="s">
        <v>221</v>
      </c>
      <c r="D67" s="9" t="s">
        <v>108</v>
      </c>
      <c r="E67" s="25">
        <v>500</v>
      </c>
      <c r="F67" s="26">
        <v>2413.5875000000001</v>
      </c>
      <c r="G67" s="27">
        <v>1.224331E-2</v>
      </c>
      <c r="H67" s="17">
        <v>6.05</v>
      </c>
    </row>
    <row r="68" spans="1:8" x14ac:dyDescent="0.2">
      <c r="A68" s="24">
        <v>23</v>
      </c>
      <c r="B68" s="9" t="s">
        <v>222</v>
      </c>
      <c r="C68" s="9" t="s">
        <v>223</v>
      </c>
      <c r="D68" s="9" t="s">
        <v>108</v>
      </c>
      <c r="E68" s="25">
        <v>500</v>
      </c>
      <c r="F68" s="26">
        <v>2410.8825000000002</v>
      </c>
      <c r="G68" s="27">
        <v>1.222959E-2</v>
      </c>
      <c r="H68" s="17">
        <v>5.9701000000000004</v>
      </c>
    </row>
    <row r="69" spans="1:8" x14ac:dyDescent="0.2">
      <c r="A69" s="24">
        <v>24</v>
      </c>
      <c r="B69" s="9" t="s">
        <v>224</v>
      </c>
      <c r="C69" s="9" t="s">
        <v>225</v>
      </c>
      <c r="D69" s="9" t="s">
        <v>108</v>
      </c>
      <c r="E69" s="25">
        <v>500</v>
      </c>
      <c r="F69" s="26">
        <v>2409.3649999999998</v>
      </c>
      <c r="G69" s="27">
        <v>1.2221889999999999E-2</v>
      </c>
      <c r="H69" s="17">
        <v>6.1849999999999996</v>
      </c>
    </row>
    <row r="70" spans="1:8" x14ac:dyDescent="0.2">
      <c r="A70" s="24">
        <v>25</v>
      </c>
      <c r="B70" s="9" t="s">
        <v>226</v>
      </c>
      <c r="C70" s="9" t="s">
        <v>227</v>
      </c>
      <c r="D70" s="9" t="s">
        <v>108</v>
      </c>
      <c r="E70" s="25">
        <v>500</v>
      </c>
      <c r="F70" s="26">
        <v>2405.5700000000002</v>
      </c>
      <c r="G70" s="27">
        <v>1.2202640000000001E-2</v>
      </c>
      <c r="H70" s="17">
        <v>5.9701000000000004</v>
      </c>
    </row>
    <row r="71" spans="1:8" x14ac:dyDescent="0.2">
      <c r="A71" s="24">
        <v>26</v>
      </c>
      <c r="B71" s="9" t="s">
        <v>228</v>
      </c>
      <c r="C71" s="9" t="s">
        <v>229</v>
      </c>
      <c r="D71" s="9" t="s">
        <v>108</v>
      </c>
      <c r="E71" s="25">
        <v>500</v>
      </c>
      <c r="F71" s="26">
        <v>2405.2649999999999</v>
      </c>
      <c r="G71" s="27">
        <v>1.220109E-2</v>
      </c>
      <c r="H71" s="17">
        <v>5.99</v>
      </c>
    </row>
    <row r="72" spans="1:8" x14ac:dyDescent="0.2">
      <c r="A72" s="24">
        <v>27</v>
      </c>
      <c r="B72" s="9" t="s">
        <v>230</v>
      </c>
      <c r="C72" s="9" t="s">
        <v>231</v>
      </c>
      <c r="D72" s="9" t="s">
        <v>108</v>
      </c>
      <c r="E72" s="25">
        <v>500</v>
      </c>
      <c r="F72" s="26">
        <v>2375.1424999999999</v>
      </c>
      <c r="G72" s="27">
        <v>1.204829E-2</v>
      </c>
      <c r="H72" s="17">
        <v>6.25</v>
      </c>
    </row>
    <row r="73" spans="1:8" x14ac:dyDescent="0.2">
      <c r="A73" s="24">
        <v>28</v>
      </c>
      <c r="B73" s="9" t="s">
        <v>232</v>
      </c>
      <c r="C73" s="9" t="s">
        <v>233</v>
      </c>
      <c r="D73" s="9" t="s">
        <v>108</v>
      </c>
      <c r="E73" s="25">
        <v>500</v>
      </c>
      <c r="F73" s="26">
        <v>2366.4650000000001</v>
      </c>
      <c r="G73" s="27">
        <v>1.2004280000000001E-2</v>
      </c>
      <c r="H73" s="17">
        <v>6.2412999999999998</v>
      </c>
    </row>
    <row r="74" spans="1:8" x14ac:dyDescent="0.2">
      <c r="A74" s="24">
        <v>29</v>
      </c>
      <c r="B74" s="9" t="s">
        <v>234</v>
      </c>
      <c r="C74" s="9" t="s">
        <v>235</v>
      </c>
      <c r="D74" s="9" t="s">
        <v>108</v>
      </c>
      <c r="E74" s="25">
        <v>500</v>
      </c>
      <c r="F74" s="26">
        <v>2361.3125</v>
      </c>
      <c r="G74" s="27">
        <v>1.197814E-2</v>
      </c>
      <c r="H74" s="17">
        <v>6.25</v>
      </c>
    </row>
    <row r="75" spans="1:8" x14ac:dyDescent="0.2">
      <c r="A75" s="24">
        <v>30</v>
      </c>
      <c r="B75" s="9" t="s">
        <v>169</v>
      </c>
      <c r="C75" s="9" t="s">
        <v>170</v>
      </c>
      <c r="D75" s="9" t="s">
        <v>108</v>
      </c>
      <c r="E75" s="25">
        <v>400</v>
      </c>
      <c r="F75" s="26">
        <v>1935.1559999999999</v>
      </c>
      <c r="G75" s="27">
        <v>9.8163899999999995E-3</v>
      </c>
      <c r="H75" s="17">
        <v>6.0250000000000004</v>
      </c>
    </row>
    <row r="76" spans="1:8" x14ac:dyDescent="0.2">
      <c r="A76" s="24">
        <v>31</v>
      </c>
      <c r="B76" s="9" t="s">
        <v>236</v>
      </c>
      <c r="C76" s="9" t="s">
        <v>237</v>
      </c>
      <c r="D76" s="9" t="s">
        <v>108</v>
      </c>
      <c r="E76" s="25">
        <v>300</v>
      </c>
      <c r="F76" s="26">
        <v>1463.5934999999999</v>
      </c>
      <c r="G76" s="27">
        <v>7.4243099999999999E-3</v>
      </c>
      <c r="H76" s="17">
        <v>5.8574999999999999</v>
      </c>
    </row>
    <row r="77" spans="1:8" x14ac:dyDescent="0.2">
      <c r="A77" s="24">
        <v>32</v>
      </c>
      <c r="B77" s="9" t="s">
        <v>238</v>
      </c>
      <c r="C77" s="9" t="s">
        <v>239</v>
      </c>
      <c r="D77" s="9" t="s">
        <v>108</v>
      </c>
      <c r="E77" s="25">
        <v>300</v>
      </c>
      <c r="F77" s="26">
        <v>1453.011</v>
      </c>
      <c r="G77" s="27">
        <v>7.3706300000000004E-3</v>
      </c>
      <c r="H77" s="17">
        <v>6.18</v>
      </c>
    </row>
    <row r="78" spans="1:8" x14ac:dyDescent="0.2">
      <c r="A78" s="24">
        <v>33</v>
      </c>
      <c r="B78" s="9" t="s">
        <v>240</v>
      </c>
      <c r="C78" s="9" t="s">
        <v>241</v>
      </c>
      <c r="D78" s="9" t="s">
        <v>108</v>
      </c>
      <c r="E78" s="25">
        <v>300</v>
      </c>
      <c r="F78" s="26">
        <v>1447.0440000000001</v>
      </c>
      <c r="G78" s="27">
        <v>7.3403599999999998E-3</v>
      </c>
      <c r="H78" s="17">
        <v>5.99</v>
      </c>
    </row>
    <row r="79" spans="1:8" x14ac:dyDescent="0.2">
      <c r="A79" s="24">
        <v>34</v>
      </c>
      <c r="B79" s="9" t="s">
        <v>167</v>
      </c>
      <c r="C79" s="9" t="s">
        <v>168</v>
      </c>
      <c r="D79" s="9" t="s">
        <v>108</v>
      </c>
      <c r="E79" s="25">
        <v>300</v>
      </c>
      <c r="F79" s="26">
        <v>1445.4780000000001</v>
      </c>
      <c r="G79" s="27">
        <v>7.3324200000000001E-3</v>
      </c>
      <c r="H79" s="17">
        <v>5.96</v>
      </c>
    </row>
    <row r="80" spans="1:8" ht="25.5" x14ac:dyDescent="0.2">
      <c r="A80" s="24">
        <v>35</v>
      </c>
      <c r="B80" s="9" t="s">
        <v>242</v>
      </c>
      <c r="C80" s="9" t="s">
        <v>243</v>
      </c>
      <c r="D80" s="9" t="s">
        <v>108</v>
      </c>
      <c r="E80" s="25">
        <v>200</v>
      </c>
      <c r="F80" s="26">
        <v>967.13699999999994</v>
      </c>
      <c r="G80" s="27">
        <v>4.90596E-3</v>
      </c>
      <c r="H80" s="17">
        <v>6.05</v>
      </c>
    </row>
    <row r="81" spans="1:8" x14ac:dyDescent="0.2">
      <c r="A81" s="24">
        <v>36</v>
      </c>
      <c r="B81" s="9" t="s">
        <v>165</v>
      </c>
      <c r="C81" s="9" t="s">
        <v>166</v>
      </c>
      <c r="D81" s="9" t="s">
        <v>108</v>
      </c>
      <c r="E81" s="25">
        <v>100</v>
      </c>
      <c r="F81" s="26">
        <v>480.096</v>
      </c>
      <c r="G81" s="27">
        <v>2.4353600000000001E-3</v>
      </c>
      <c r="H81" s="17">
        <v>6.0049999999999999</v>
      </c>
    </row>
    <row r="82" spans="1:8" x14ac:dyDescent="0.2">
      <c r="A82" s="11"/>
      <c r="B82" s="11"/>
      <c r="C82" s="18" t="s">
        <v>11</v>
      </c>
      <c r="D82" s="11"/>
      <c r="E82" s="11" t="s">
        <v>12</v>
      </c>
      <c r="F82" s="23">
        <v>123836.8725</v>
      </c>
      <c r="G82" s="20">
        <v>0.62818249000000004</v>
      </c>
      <c r="H82" s="17" t="s">
        <v>12</v>
      </c>
    </row>
    <row r="83" spans="1:8" x14ac:dyDescent="0.2">
      <c r="A83" s="11"/>
      <c r="B83" s="11"/>
      <c r="C83" s="21"/>
      <c r="D83" s="11"/>
      <c r="E83" s="11"/>
      <c r="F83" s="22"/>
      <c r="G83" s="22"/>
      <c r="H83" s="17" t="s">
        <v>12</v>
      </c>
    </row>
    <row r="84" spans="1:8" x14ac:dyDescent="0.2">
      <c r="A84" s="11"/>
      <c r="B84" s="11"/>
      <c r="C84" s="18" t="s">
        <v>109</v>
      </c>
      <c r="D84" s="11"/>
      <c r="E84" s="11"/>
      <c r="F84" s="22"/>
      <c r="G84" s="22"/>
      <c r="H84" s="17" t="s">
        <v>12</v>
      </c>
    </row>
    <row r="85" spans="1:8" x14ac:dyDescent="0.2">
      <c r="A85" s="24">
        <v>1</v>
      </c>
      <c r="B85" s="9" t="s">
        <v>244</v>
      </c>
      <c r="C85" s="9" t="s">
        <v>245</v>
      </c>
      <c r="D85" s="9" t="s">
        <v>108</v>
      </c>
      <c r="E85" s="25">
        <v>800</v>
      </c>
      <c r="F85" s="26">
        <v>3844.4720000000002</v>
      </c>
      <c r="G85" s="27">
        <v>1.95017E-2</v>
      </c>
      <c r="H85" s="17">
        <v>6.4200999999999997</v>
      </c>
    </row>
    <row r="86" spans="1:8" x14ac:dyDescent="0.2">
      <c r="A86" s="24">
        <v>2</v>
      </c>
      <c r="B86" s="9" t="s">
        <v>246</v>
      </c>
      <c r="C86" s="9" t="s">
        <v>247</v>
      </c>
      <c r="D86" s="9" t="s">
        <v>108</v>
      </c>
      <c r="E86" s="25">
        <v>700</v>
      </c>
      <c r="F86" s="26">
        <v>3403.4839999999999</v>
      </c>
      <c r="G86" s="27">
        <v>1.7264720000000001E-2</v>
      </c>
      <c r="H86" s="17">
        <v>6.51</v>
      </c>
    </row>
    <row r="87" spans="1:8" x14ac:dyDescent="0.2">
      <c r="A87" s="24">
        <v>3</v>
      </c>
      <c r="B87" s="9" t="s">
        <v>248</v>
      </c>
      <c r="C87" s="9" t="s">
        <v>249</v>
      </c>
      <c r="D87" s="9" t="s">
        <v>108</v>
      </c>
      <c r="E87" s="25">
        <v>700</v>
      </c>
      <c r="F87" s="26">
        <v>3359.587</v>
      </c>
      <c r="G87" s="27">
        <v>1.704205E-2</v>
      </c>
      <c r="H87" s="17">
        <v>6.75</v>
      </c>
    </row>
    <row r="88" spans="1:8" ht="25.5" x14ac:dyDescent="0.2">
      <c r="A88" s="24">
        <v>4</v>
      </c>
      <c r="B88" s="9" t="s">
        <v>250</v>
      </c>
      <c r="C88" s="9" t="s">
        <v>251</v>
      </c>
      <c r="D88" s="9" t="s">
        <v>108</v>
      </c>
      <c r="E88" s="25">
        <v>700</v>
      </c>
      <c r="F88" s="26">
        <v>3303.482</v>
      </c>
      <c r="G88" s="27">
        <v>1.675745E-2</v>
      </c>
      <c r="H88" s="17">
        <v>6.915</v>
      </c>
    </row>
    <row r="89" spans="1:8" x14ac:dyDescent="0.2">
      <c r="A89" s="24">
        <v>5</v>
      </c>
      <c r="B89" s="9" t="s">
        <v>252</v>
      </c>
      <c r="C89" s="9" t="s">
        <v>253</v>
      </c>
      <c r="D89" s="9" t="s">
        <v>108</v>
      </c>
      <c r="E89" s="25">
        <v>500</v>
      </c>
      <c r="F89" s="26">
        <v>2459.5425</v>
      </c>
      <c r="G89" s="27">
        <v>1.247643E-2</v>
      </c>
      <c r="H89" s="17">
        <v>6.4557000000000002</v>
      </c>
    </row>
    <row r="90" spans="1:8" x14ac:dyDescent="0.2">
      <c r="A90" s="24">
        <v>6</v>
      </c>
      <c r="B90" s="9" t="s">
        <v>254</v>
      </c>
      <c r="C90" s="9" t="s">
        <v>255</v>
      </c>
      <c r="D90" s="9" t="s">
        <v>108</v>
      </c>
      <c r="E90" s="25">
        <v>500</v>
      </c>
      <c r="F90" s="26">
        <v>2412.5075000000002</v>
      </c>
      <c r="G90" s="27">
        <v>1.223783E-2</v>
      </c>
      <c r="H90" s="17">
        <v>6.1</v>
      </c>
    </row>
    <row r="91" spans="1:8" x14ac:dyDescent="0.2">
      <c r="A91" s="24">
        <v>7</v>
      </c>
      <c r="B91" s="9" t="s">
        <v>256</v>
      </c>
      <c r="C91" s="9" t="s">
        <v>257</v>
      </c>
      <c r="D91" s="9" t="s">
        <v>108</v>
      </c>
      <c r="E91" s="25">
        <v>500</v>
      </c>
      <c r="F91" s="26">
        <v>2396.04</v>
      </c>
      <c r="G91" s="27">
        <v>1.21543E-2</v>
      </c>
      <c r="H91" s="17">
        <v>7.07</v>
      </c>
    </row>
    <row r="92" spans="1:8" x14ac:dyDescent="0.2">
      <c r="A92" s="24">
        <v>8</v>
      </c>
      <c r="B92" s="9" t="s">
        <v>258</v>
      </c>
      <c r="C92" s="9" t="s">
        <v>259</v>
      </c>
      <c r="D92" s="9" t="s">
        <v>108</v>
      </c>
      <c r="E92" s="25">
        <v>500</v>
      </c>
      <c r="F92" s="26">
        <v>2368.8375000000001</v>
      </c>
      <c r="G92" s="27">
        <v>1.2016310000000001E-2</v>
      </c>
      <c r="H92" s="17">
        <v>6.6700999999999997</v>
      </c>
    </row>
    <row r="93" spans="1:8" x14ac:dyDescent="0.2">
      <c r="A93" s="24">
        <v>9</v>
      </c>
      <c r="B93" s="9" t="s">
        <v>260</v>
      </c>
      <c r="C93" s="9" t="s">
        <v>261</v>
      </c>
      <c r="D93" s="9" t="s">
        <v>108</v>
      </c>
      <c r="E93" s="25">
        <v>500</v>
      </c>
      <c r="F93" s="26">
        <v>2362.0774999999999</v>
      </c>
      <c r="G93" s="27">
        <v>1.1982019999999999E-2</v>
      </c>
      <c r="H93" s="17">
        <v>6.875</v>
      </c>
    </row>
    <row r="94" spans="1:8" ht="25.5" x14ac:dyDescent="0.2">
      <c r="A94" s="24">
        <v>10</v>
      </c>
      <c r="B94" s="9" t="s">
        <v>262</v>
      </c>
      <c r="C94" s="9" t="s">
        <v>263</v>
      </c>
      <c r="D94" s="9" t="s">
        <v>108</v>
      </c>
      <c r="E94" s="25">
        <v>400</v>
      </c>
      <c r="F94" s="26">
        <v>1924.28</v>
      </c>
      <c r="G94" s="27">
        <v>9.7612199999999993E-3</v>
      </c>
      <c r="H94" s="17">
        <v>6.7750000000000004</v>
      </c>
    </row>
    <row r="95" spans="1:8" ht="25.5" x14ac:dyDescent="0.2">
      <c r="A95" s="24">
        <v>11</v>
      </c>
      <c r="B95" s="9" t="s">
        <v>264</v>
      </c>
      <c r="C95" s="9" t="s">
        <v>265</v>
      </c>
      <c r="D95" s="9" t="s">
        <v>108</v>
      </c>
      <c r="E95" s="25">
        <v>300</v>
      </c>
      <c r="F95" s="26">
        <v>1468.6455000000001</v>
      </c>
      <c r="G95" s="27">
        <v>7.4499400000000004E-3</v>
      </c>
      <c r="H95" s="17">
        <v>6.44</v>
      </c>
    </row>
    <row r="96" spans="1:8" x14ac:dyDescent="0.2">
      <c r="A96" s="24">
        <v>12</v>
      </c>
      <c r="B96" s="9" t="s">
        <v>266</v>
      </c>
      <c r="C96" s="9" t="s">
        <v>267</v>
      </c>
      <c r="D96" s="9" t="s">
        <v>108</v>
      </c>
      <c r="E96" s="25">
        <v>300</v>
      </c>
      <c r="F96" s="26">
        <v>1461.894</v>
      </c>
      <c r="G96" s="27">
        <v>7.41569E-3</v>
      </c>
      <c r="H96" s="17">
        <v>6.7</v>
      </c>
    </row>
    <row r="97" spans="1:8" x14ac:dyDescent="0.2">
      <c r="A97" s="24">
        <v>13</v>
      </c>
      <c r="B97" s="9" t="s">
        <v>268</v>
      </c>
      <c r="C97" s="9" t="s">
        <v>269</v>
      </c>
      <c r="D97" s="9" t="s">
        <v>108</v>
      </c>
      <c r="E97" s="25">
        <v>300</v>
      </c>
      <c r="F97" s="26">
        <v>1442.7135000000001</v>
      </c>
      <c r="G97" s="27">
        <v>7.3184000000000001E-3</v>
      </c>
      <c r="H97" s="17">
        <v>7.07</v>
      </c>
    </row>
    <row r="98" spans="1:8" x14ac:dyDescent="0.2">
      <c r="A98" s="24">
        <v>14</v>
      </c>
      <c r="B98" s="9" t="s">
        <v>270</v>
      </c>
      <c r="C98" s="9" t="s">
        <v>271</v>
      </c>
      <c r="D98" s="9" t="s">
        <v>108</v>
      </c>
      <c r="E98" s="25">
        <v>200</v>
      </c>
      <c r="F98" s="26">
        <v>990.63300000000004</v>
      </c>
      <c r="G98" s="27">
        <v>5.0251499999999999E-3</v>
      </c>
      <c r="H98" s="17">
        <v>6.2750000000000004</v>
      </c>
    </row>
    <row r="99" spans="1:8" ht="25.5" x14ac:dyDescent="0.2">
      <c r="A99" s="24">
        <v>15</v>
      </c>
      <c r="B99" s="9" t="s">
        <v>272</v>
      </c>
      <c r="C99" s="9" t="s">
        <v>273</v>
      </c>
      <c r="D99" s="9" t="s">
        <v>108</v>
      </c>
      <c r="E99" s="25">
        <v>100</v>
      </c>
      <c r="F99" s="26">
        <v>472.26400000000001</v>
      </c>
      <c r="G99" s="27">
        <v>2.3956400000000001E-3</v>
      </c>
      <c r="H99" s="17">
        <v>6.915</v>
      </c>
    </row>
    <row r="100" spans="1:8" x14ac:dyDescent="0.2">
      <c r="A100" s="11"/>
      <c r="B100" s="11"/>
      <c r="C100" s="18" t="s">
        <v>11</v>
      </c>
      <c r="D100" s="11"/>
      <c r="E100" s="11" t="s">
        <v>12</v>
      </c>
      <c r="F100" s="23">
        <v>33670.46</v>
      </c>
      <c r="G100" s="20">
        <v>0.17079885</v>
      </c>
      <c r="H100" s="17" t="s">
        <v>12</v>
      </c>
    </row>
    <row r="101" spans="1:8" x14ac:dyDescent="0.2">
      <c r="A101" s="11"/>
      <c r="B101" s="11"/>
      <c r="C101" s="21"/>
      <c r="D101" s="11"/>
      <c r="E101" s="11"/>
      <c r="F101" s="22"/>
      <c r="G101" s="22"/>
      <c r="H101" s="17" t="s">
        <v>12</v>
      </c>
    </row>
    <row r="102" spans="1:8" x14ac:dyDescent="0.2">
      <c r="A102" s="11"/>
      <c r="B102" s="11"/>
      <c r="C102" s="18" t="s">
        <v>110</v>
      </c>
      <c r="D102" s="11"/>
      <c r="E102" s="11"/>
      <c r="F102" s="22"/>
      <c r="G102" s="22"/>
      <c r="H102" s="17" t="s">
        <v>12</v>
      </c>
    </row>
    <row r="103" spans="1:8" x14ac:dyDescent="0.2">
      <c r="A103" s="24">
        <v>1</v>
      </c>
      <c r="B103" s="9" t="s">
        <v>274</v>
      </c>
      <c r="C103" s="9" t="s">
        <v>275</v>
      </c>
      <c r="D103" s="9" t="s">
        <v>81</v>
      </c>
      <c r="E103" s="25">
        <v>2500000</v>
      </c>
      <c r="F103" s="26">
        <v>2420.42</v>
      </c>
      <c r="G103" s="27">
        <v>1.2277969999999999E-2</v>
      </c>
      <c r="H103" s="17">
        <v>5.4798999999999998</v>
      </c>
    </row>
    <row r="104" spans="1:8" x14ac:dyDescent="0.2">
      <c r="A104" s="11"/>
      <c r="B104" s="11"/>
      <c r="C104" s="18" t="s">
        <v>11</v>
      </c>
      <c r="D104" s="11"/>
      <c r="E104" s="11" t="s">
        <v>12</v>
      </c>
      <c r="F104" s="23">
        <v>2420.42</v>
      </c>
      <c r="G104" s="20">
        <v>1.2277969999999999E-2</v>
      </c>
      <c r="H104" s="17" t="s">
        <v>12</v>
      </c>
    </row>
    <row r="105" spans="1:8" x14ac:dyDescent="0.2">
      <c r="A105" s="11"/>
      <c r="B105" s="11"/>
      <c r="C105" s="21"/>
      <c r="D105" s="11"/>
      <c r="E105" s="11"/>
      <c r="F105" s="22"/>
      <c r="G105" s="22"/>
      <c r="H105" s="17" t="s">
        <v>12</v>
      </c>
    </row>
    <row r="106" spans="1:8" x14ac:dyDescent="0.2">
      <c r="A106" s="11"/>
      <c r="B106" s="11"/>
      <c r="C106" s="18" t="s">
        <v>111</v>
      </c>
      <c r="D106" s="11"/>
      <c r="E106" s="11"/>
      <c r="F106" s="22"/>
      <c r="G106" s="22"/>
      <c r="H106" s="17" t="s">
        <v>12</v>
      </c>
    </row>
    <row r="107" spans="1:8" x14ac:dyDescent="0.2">
      <c r="A107" s="24">
        <v>1</v>
      </c>
      <c r="B107" s="9"/>
      <c r="C107" s="9" t="s">
        <v>112</v>
      </c>
      <c r="D107" s="9"/>
      <c r="E107" s="28"/>
      <c r="F107" s="26">
        <v>20658.335914047999</v>
      </c>
      <c r="G107" s="27">
        <v>0.10479274</v>
      </c>
      <c r="H107" s="17">
        <v>5.3</v>
      </c>
    </row>
    <row r="108" spans="1:8" x14ac:dyDescent="0.2">
      <c r="A108" s="11"/>
      <c r="B108" s="11"/>
      <c r="C108" s="18" t="s">
        <v>11</v>
      </c>
      <c r="D108" s="11"/>
      <c r="E108" s="11" t="s">
        <v>12</v>
      </c>
      <c r="F108" s="23">
        <v>20658.335914047999</v>
      </c>
      <c r="G108" s="20">
        <v>0.10479274</v>
      </c>
      <c r="H108" s="17" t="s">
        <v>12</v>
      </c>
    </row>
    <row r="109" spans="1:8" x14ac:dyDescent="0.2">
      <c r="A109" s="11"/>
      <c r="B109" s="11"/>
      <c r="C109" s="21"/>
      <c r="D109" s="11"/>
      <c r="E109" s="11"/>
      <c r="F109" s="22"/>
      <c r="G109" s="22"/>
      <c r="H109" s="17" t="s">
        <v>12</v>
      </c>
    </row>
    <row r="110" spans="1:8" x14ac:dyDescent="0.2">
      <c r="A110" s="11"/>
      <c r="B110" s="11"/>
      <c r="C110" s="18" t="s">
        <v>113</v>
      </c>
      <c r="D110" s="11"/>
      <c r="E110" s="11"/>
      <c r="F110" s="23">
        <v>180586.08841404799</v>
      </c>
      <c r="G110" s="20">
        <v>0.91605205000000001</v>
      </c>
      <c r="H110" s="17" t="s">
        <v>12</v>
      </c>
    </row>
    <row r="111" spans="1:8" x14ac:dyDescent="0.2">
      <c r="A111" s="11"/>
      <c r="B111" s="11"/>
      <c r="C111" s="22"/>
      <c r="D111" s="11"/>
      <c r="E111" s="11"/>
      <c r="F111" s="11"/>
      <c r="G111" s="11"/>
      <c r="H111" s="17" t="s">
        <v>12</v>
      </c>
    </row>
    <row r="112" spans="1:8" x14ac:dyDescent="0.2">
      <c r="A112" s="11"/>
      <c r="B112" s="11"/>
      <c r="C112" s="18" t="s">
        <v>114</v>
      </c>
      <c r="D112" s="11"/>
      <c r="E112" s="11"/>
      <c r="F112" s="11"/>
      <c r="G112" s="11"/>
      <c r="H112" s="17" t="s">
        <v>12</v>
      </c>
    </row>
    <row r="113" spans="1:17" x14ac:dyDescent="0.2">
      <c r="A113" s="11"/>
      <c r="B113" s="11"/>
      <c r="C113" s="18" t="s">
        <v>115</v>
      </c>
      <c r="D113" s="11"/>
      <c r="E113" s="11"/>
      <c r="F113" s="11"/>
      <c r="G113" s="11"/>
      <c r="H113" s="17" t="s">
        <v>12</v>
      </c>
    </row>
    <row r="114" spans="1:17" x14ac:dyDescent="0.2">
      <c r="A114" s="11"/>
      <c r="B114" s="11"/>
      <c r="C114" s="18" t="s">
        <v>11</v>
      </c>
      <c r="D114" s="11"/>
      <c r="E114" s="11" t="s">
        <v>12</v>
      </c>
      <c r="F114" s="19" t="s">
        <v>13</v>
      </c>
      <c r="G114" s="20">
        <v>0</v>
      </c>
      <c r="H114" s="17" t="s">
        <v>12</v>
      </c>
    </row>
    <row r="115" spans="1:17" x14ac:dyDescent="0.2">
      <c r="A115" s="16"/>
      <c r="B115" s="16"/>
      <c r="C115" s="65"/>
      <c r="D115" s="16"/>
      <c r="E115" s="16"/>
      <c r="F115" s="35"/>
      <c r="G115" s="35"/>
      <c r="H115" s="17" t="s">
        <v>12</v>
      </c>
    </row>
    <row r="116" spans="1:17" x14ac:dyDescent="0.2">
      <c r="A116" s="16"/>
      <c r="B116" s="16"/>
      <c r="C116" s="8" t="s">
        <v>618</v>
      </c>
      <c r="D116" s="16"/>
      <c r="E116" s="16"/>
      <c r="F116" s="35"/>
      <c r="G116" s="35"/>
      <c r="H116" s="17" t="s">
        <v>12</v>
      </c>
      <c r="K116" s="48"/>
      <c r="L116" s="48"/>
      <c r="M116" s="48"/>
      <c r="N116" s="48"/>
      <c r="O116" s="66"/>
      <c r="P116" s="66"/>
      <c r="Q116" s="66"/>
    </row>
    <row r="117" spans="1:17" x14ac:dyDescent="0.2">
      <c r="A117" s="59">
        <v>1</v>
      </c>
      <c r="B117" s="60" t="s">
        <v>116</v>
      </c>
      <c r="C117" s="60" t="s">
        <v>117</v>
      </c>
      <c r="D117" s="60"/>
      <c r="E117" s="67">
        <v>3208.866</v>
      </c>
      <c r="F117" s="62">
        <v>361.57641994599999</v>
      </c>
      <c r="G117" s="63">
        <v>1.83416E-3</v>
      </c>
      <c r="H117" s="17"/>
    </row>
    <row r="118" spans="1:17" x14ac:dyDescent="0.2">
      <c r="A118" s="16"/>
      <c r="B118" s="16"/>
      <c r="C118" s="8" t="s">
        <v>11</v>
      </c>
      <c r="D118" s="16"/>
      <c r="E118" s="16" t="s">
        <v>12</v>
      </c>
      <c r="F118" s="68">
        <f>SUM(F117)</f>
        <v>361.57641994599999</v>
      </c>
      <c r="G118" s="69">
        <f>SUM(G117)</f>
        <v>1.83416E-3</v>
      </c>
      <c r="H118" s="17" t="s">
        <v>12</v>
      </c>
    </row>
    <row r="119" spans="1:17" x14ac:dyDescent="0.2">
      <c r="A119" s="11"/>
      <c r="B119" s="11"/>
      <c r="C119" s="21"/>
      <c r="D119" s="11"/>
      <c r="E119" s="11"/>
      <c r="F119" s="22"/>
      <c r="G119" s="22"/>
      <c r="H119" s="17" t="s">
        <v>12</v>
      </c>
    </row>
    <row r="120" spans="1:17" x14ac:dyDescent="0.2">
      <c r="A120" s="11"/>
      <c r="B120" s="11"/>
      <c r="C120" s="18" t="s">
        <v>118</v>
      </c>
      <c r="D120" s="11"/>
      <c r="E120" s="11"/>
      <c r="F120" s="11"/>
      <c r="G120" s="11"/>
      <c r="H120" s="17" t="s">
        <v>12</v>
      </c>
    </row>
    <row r="121" spans="1:17" x14ac:dyDescent="0.2">
      <c r="A121" s="11"/>
      <c r="B121" s="11"/>
      <c r="C121" s="18" t="s">
        <v>119</v>
      </c>
      <c r="D121" s="11"/>
      <c r="E121" s="11"/>
      <c r="F121" s="26"/>
      <c r="G121" s="27"/>
      <c r="H121" s="17"/>
    </row>
    <row r="122" spans="1:17" x14ac:dyDescent="0.2">
      <c r="A122" s="216"/>
      <c r="B122" s="216"/>
      <c r="C122" s="217" t="s">
        <v>752</v>
      </c>
      <c r="D122" s="216"/>
      <c r="E122" s="216"/>
      <c r="F122" s="218">
        <v>9000</v>
      </c>
      <c r="G122" s="219">
        <f>F122/F129</f>
        <v>4.5653950130136796E-2</v>
      </c>
      <c r="H122" s="220">
        <v>4</v>
      </c>
    </row>
    <row r="123" spans="1:17" x14ac:dyDescent="0.2">
      <c r="A123" s="11"/>
      <c r="B123" s="11"/>
      <c r="C123" s="18" t="s">
        <v>11</v>
      </c>
      <c r="D123" s="11"/>
      <c r="E123" s="11" t="s">
        <v>12</v>
      </c>
      <c r="F123" s="23">
        <f>F122</f>
        <v>9000</v>
      </c>
      <c r="G123" s="20">
        <f>G122</f>
        <v>4.5653950130136796E-2</v>
      </c>
      <c r="H123" s="17" t="s">
        <v>12</v>
      </c>
    </row>
    <row r="124" spans="1:17" x14ac:dyDescent="0.2">
      <c r="A124" s="11"/>
      <c r="B124" s="11"/>
      <c r="C124" s="21"/>
      <c r="D124" s="11"/>
      <c r="E124" s="11"/>
      <c r="F124" s="22"/>
      <c r="G124" s="22"/>
      <c r="H124" s="17" t="s">
        <v>12</v>
      </c>
    </row>
    <row r="125" spans="1:17" x14ac:dyDescent="0.2">
      <c r="A125" s="11"/>
      <c r="B125" s="11"/>
      <c r="C125" s="18" t="s">
        <v>120</v>
      </c>
      <c r="D125" s="11"/>
      <c r="E125" s="11"/>
      <c r="F125" s="22"/>
      <c r="G125" s="22"/>
      <c r="H125" s="17" t="s">
        <v>12</v>
      </c>
    </row>
    <row r="126" spans="1:17" x14ac:dyDescent="0.2">
      <c r="A126" s="11"/>
      <c r="B126" s="11"/>
      <c r="C126" s="18" t="s">
        <v>11</v>
      </c>
      <c r="D126" s="11"/>
      <c r="E126" s="11" t="s">
        <v>12</v>
      </c>
      <c r="F126" s="19" t="s">
        <v>13</v>
      </c>
      <c r="G126" s="20">
        <v>0</v>
      </c>
      <c r="H126" s="17" t="s">
        <v>12</v>
      </c>
    </row>
    <row r="127" spans="1:17" x14ac:dyDescent="0.2">
      <c r="A127" s="11"/>
      <c r="B127" s="11"/>
      <c r="C127" s="21"/>
      <c r="D127" s="11"/>
      <c r="E127" s="11"/>
      <c r="F127" s="22"/>
      <c r="G127" s="22"/>
      <c r="H127" s="17" t="s">
        <v>12</v>
      </c>
    </row>
    <row r="128" spans="1:17" x14ac:dyDescent="0.2">
      <c r="A128" s="28"/>
      <c r="B128" s="9"/>
      <c r="C128" s="9" t="s">
        <v>121</v>
      </c>
      <c r="D128" s="9"/>
      <c r="E128" s="28"/>
      <c r="F128" s="26">
        <v>-4514.8667506100001</v>
      </c>
      <c r="G128" s="27">
        <f>F128/F129</f>
        <v>-2.2902389052951298E-2</v>
      </c>
      <c r="H128" s="17" t="s">
        <v>12</v>
      </c>
    </row>
    <row r="129" spans="1:12" x14ac:dyDescent="0.2">
      <c r="A129" s="21"/>
      <c r="B129" s="21"/>
      <c r="C129" s="18" t="s">
        <v>122</v>
      </c>
      <c r="D129" s="22"/>
      <c r="E129" s="22"/>
      <c r="F129" s="23">
        <f>F128+F118+F110+F42+F123</f>
        <v>197135.18708338399</v>
      </c>
      <c r="G129" s="29">
        <f>G128+G118+G110+G42+G123</f>
        <v>1.0000000310771855</v>
      </c>
      <c r="H129" s="17" t="s">
        <v>12</v>
      </c>
      <c r="L129" s="134"/>
    </row>
    <row r="130" spans="1:12" x14ac:dyDescent="0.2">
      <c r="A130" s="30"/>
      <c r="B130" s="30"/>
      <c r="C130" s="30"/>
      <c r="D130" s="10"/>
      <c r="E130" s="10"/>
      <c r="F130" s="10"/>
      <c r="G130" s="10"/>
    </row>
    <row r="131" spans="1:12" x14ac:dyDescent="0.2">
      <c r="A131" s="31"/>
      <c r="B131" s="148" t="s">
        <v>619</v>
      </c>
      <c r="C131" s="148"/>
      <c r="D131" s="148"/>
      <c r="E131" s="148"/>
      <c r="F131" s="148"/>
      <c r="G131" s="148"/>
      <c r="H131" s="148"/>
    </row>
    <row r="132" spans="1:12" x14ac:dyDescent="0.2">
      <c r="A132" s="31"/>
      <c r="B132" s="148" t="s">
        <v>620</v>
      </c>
      <c r="C132" s="148"/>
      <c r="D132" s="148"/>
      <c r="E132" s="148"/>
      <c r="F132" s="148"/>
      <c r="G132" s="148"/>
      <c r="H132" s="148"/>
    </row>
    <row r="133" spans="1:12" x14ac:dyDescent="0.2">
      <c r="A133" s="31"/>
      <c r="B133" s="148" t="s">
        <v>621</v>
      </c>
      <c r="C133" s="148"/>
      <c r="D133" s="148"/>
      <c r="E133" s="148"/>
      <c r="F133" s="148"/>
      <c r="G133" s="148"/>
      <c r="H133" s="148"/>
    </row>
    <row r="134" spans="1:12" x14ac:dyDescent="0.2">
      <c r="A134" s="135"/>
      <c r="B134" s="161" t="s">
        <v>751</v>
      </c>
      <c r="C134" s="162"/>
      <c r="D134" s="162"/>
      <c r="E134" s="162"/>
      <c r="F134" s="162"/>
      <c r="G134" s="162"/>
      <c r="H134" s="162"/>
    </row>
    <row r="135" spans="1:12" x14ac:dyDescent="0.2">
      <c r="A135" s="31"/>
      <c r="B135" s="31"/>
      <c r="C135" s="31"/>
      <c r="D135" s="33"/>
      <c r="E135" s="33"/>
      <c r="F135" s="33"/>
      <c r="G135" s="33"/>
    </row>
    <row r="136" spans="1:12" x14ac:dyDescent="0.2">
      <c r="A136" s="31"/>
      <c r="B136" s="149" t="s">
        <v>123</v>
      </c>
      <c r="C136" s="150"/>
      <c r="D136" s="151"/>
      <c r="E136" s="34"/>
      <c r="F136" s="33"/>
      <c r="G136" s="33"/>
    </row>
    <row r="137" spans="1:12" x14ac:dyDescent="0.2">
      <c r="A137" s="31"/>
      <c r="B137" s="152" t="s">
        <v>124</v>
      </c>
      <c r="C137" s="153"/>
      <c r="D137" s="8" t="s">
        <v>125</v>
      </c>
      <c r="E137" s="34"/>
      <c r="F137" s="33"/>
      <c r="G137" s="33"/>
    </row>
    <row r="138" spans="1:12" x14ac:dyDescent="0.2">
      <c r="A138" s="31"/>
      <c r="B138" s="152" t="s">
        <v>126</v>
      </c>
      <c r="C138" s="153"/>
      <c r="D138" s="8" t="s">
        <v>125</v>
      </c>
      <c r="E138" s="34"/>
      <c r="F138" s="33"/>
      <c r="G138" s="33"/>
    </row>
    <row r="139" spans="1:12" x14ac:dyDescent="0.2">
      <c r="A139" s="31"/>
      <c r="B139" s="152" t="s">
        <v>127</v>
      </c>
      <c r="C139" s="153"/>
      <c r="D139" s="35" t="s">
        <v>12</v>
      </c>
      <c r="E139" s="34"/>
      <c r="F139" s="33"/>
      <c r="G139" s="33"/>
    </row>
    <row r="140" spans="1:12" x14ac:dyDescent="0.2">
      <c r="A140" s="36"/>
      <c r="B140" s="37" t="s">
        <v>12</v>
      </c>
      <c r="C140" s="37" t="s">
        <v>622</v>
      </c>
      <c r="D140" s="37" t="s">
        <v>128</v>
      </c>
      <c r="E140" s="36"/>
      <c r="F140" s="36"/>
      <c r="G140" s="36"/>
    </row>
    <row r="141" spans="1:12" x14ac:dyDescent="0.2">
      <c r="A141" s="36"/>
      <c r="B141" s="38" t="s">
        <v>129</v>
      </c>
      <c r="C141" s="39">
        <v>45838</v>
      </c>
      <c r="D141" s="39">
        <v>45853</v>
      </c>
      <c r="E141" s="36"/>
      <c r="F141" s="36"/>
      <c r="G141" s="36"/>
    </row>
    <row r="142" spans="1:12" x14ac:dyDescent="0.2">
      <c r="A142" s="40"/>
      <c r="B142" s="9" t="s">
        <v>130</v>
      </c>
      <c r="C142" s="41">
        <v>15.1282</v>
      </c>
      <c r="D142" s="41">
        <v>15.180999999999999</v>
      </c>
      <c r="E142" s="40"/>
      <c r="F142" s="42"/>
      <c r="G142" s="43"/>
    </row>
    <row r="143" spans="1:12" ht="25.5" x14ac:dyDescent="0.2">
      <c r="A143" s="40"/>
      <c r="B143" s="9" t="s">
        <v>743</v>
      </c>
      <c r="C143" s="41">
        <v>11.296900000000001</v>
      </c>
      <c r="D143" s="41">
        <v>11.3363</v>
      </c>
      <c r="E143" s="40"/>
      <c r="F143" s="42"/>
      <c r="G143" s="43"/>
    </row>
    <row r="144" spans="1:12" x14ac:dyDescent="0.2">
      <c r="A144" s="40"/>
      <c r="B144" s="9" t="s">
        <v>131</v>
      </c>
      <c r="C144" s="41">
        <v>15.0274</v>
      </c>
      <c r="D144" s="41">
        <v>15.0792</v>
      </c>
      <c r="E144" s="40"/>
      <c r="F144" s="42"/>
      <c r="G144" s="43"/>
    </row>
    <row r="145" spans="1:14" ht="25.5" x14ac:dyDescent="0.2">
      <c r="A145" s="40"/>
      <c r="B145" s="9" t="s">
        <v>744</v>
      </c>
      <c r="C145" s="41">
        <v>11.2689</v>
      </c>
      <c r="D145" s="41">
        <v>11.307700000000001</v>
      </c>
      <c r="E145" s="40"/>
      <c r="F145" s="42"/>
      <c r="G145" s="43"/>
    </row>
    <row r="146" spans="1:14" x14ac:dyDescent="0.2">
      <c r="A146" s="40"/>
      <c r="B146" s="40"/>
      <c r="C146" s="40"/>
      <c r="D146" s="40"/>
      <c r="E146" s="40"/>
      <c r="F146" s="40"/>
      <c r="G146" s="40"/>
    </row>
    <row r="147" spans="1:14" x14ac:dyDescent="0.2">
      <c r="A147" s="40"/>
      <c r="B147" s="155" t="s">
        <v>742</v>
      </c>
      <c r="C147" s="156"/>
      <c r="D147" s="18" t="s">
        <v>125</v>
      </c>
      <c r="E147" s="40"/>
      <c r="F147" s="40"/>
      <c r="G147" s="40"/>
    </row>
    <row r="148" spans="1:14" x14ac:dyDescent="0.2">
      <c r="A148" s="40"/>
      <c r="B148" s="44"/>
      <c r="C148" s="44"/>
      <c r="D148" s="44"/>
      <c r="E148" s="40"/>
      <c r="F148" s="40"/>
      <c r="G148" s="40"/>
    </row>
    <row r="149" spans="1:14" x14ac:dyDescent="0.2">
      <c r="A149" s="36"/>
      <c r="B149" s="152" t="s">
        <v>132</v>
      </c>
      <c r="C149" s="153"/>
      <c r="D149" s="8" t="s">
        <v>125</v>
      </c>
      <c r="E149" s="47"/>
      <c r="F149" s="36"/>
      <c r="G149" s="36"/>
      <c r="I149" s="101"/>
    </row>
    <row r="150" spans="1:14" x14ac:dyDescent="0.2">
      <c r="A150" s="36"/>
      <c r="B150" s="152" t="s">
        <v>133</v>
      </c>
      <c r="C150" s="153"/>
      <c r="D150" s="8" t="s">
        <v>125</v>
      </c>
      <c r="E150" s="47"/>
      <c r="F150" s="36"/>
      <c r="G150" s="36"/>
      <c r="I150" s="101"/>
    </row>
    <row r="151" spans="1:14" x14ac:dyDescent="0.2">
      <c r="A151" s="36"/>
      <c r="B151" s="152" t="s">
        <v>623</v>
      </c>
      <c r="C151" s="153"/>
      <c r="D151" s="8" t="s">
        <v>125</v>
      </c>
      <c r="E151" s="47"/>
      <c r="F151" s="36"/>
      <c r="G151" s="36"/>
      <c r="I151" s="101"/>
    </row>
    <row r="152" spans="1:14" x14ac:dyDescent="0.2">
      <c r="A152" s="44"/>
      <c r="B152" s="44"/>
      <c r="C152" s="44"/>
      <c r="D152" s="44"/>
      <c r="E152" s="44"/>
      <c r="F152" s="44"/>
      <c r="G152" s="44"/>
      <c r="I152" s="101"/>
    </row>
    <row r="153" spans="1:14" s="49" customFormat="1" x14ac:dyDescent="0.2">
      <c r="B153" s="157" t="s">
        <v>624</v>
      </c>
      <c r="C153" s="158"/>
      <c r="D153" s="159"/>
      <c r="I153" s="101"/>
      <c r="J153" s="48"/>
      <c r="K153" s="48"/>
      <c r="L153" s="48"/>
      <c r="M153" s="48"/>
      <c r="N153" s="50"/>
    </row>
    <row r="154" spans="1:14" s="49" customFormat="1" ht="51" x14ac:dyDescent="0.2">
      <c r="B154" s="163" t="s">
        <v>625</v>
      </c>
      <c r="C154" s="164"/>
      <c r="D154" s="51" t="s">
        <v>173</v>
      </c>
      <c r="I154" s="101"/>
      <c r="J154" s="48"/>
      <c r="K154" s="48"/>
      <c r="L154" s="48"/>
      <c r="M154" s="48"/>
      <c r="N154" s="50"/>
    </row>
    <row r="155" spans="1:14" s="49" customFormat="1" x14ac:dyDescent="0.2">
      <c r="B155" s="144" t="s">
        <v>626</v>
      </c>
      <c r="C155" s="145"/>
      <c r="D155" s="52"/>
      <c r="I155" s="101"/>
      <c r="J155" s="48"/>
      <c r="K155" s="48"/>
      <c r="L155" s="48"/>
      <c r="M155" s="48"/>
      <c r="N155" s="50"/>
    </row>
    <row r="156" spans="1:14" s="49" customFormat="1" x14ac:dyDescent="0.2">
      <c r="B156" s="144"/>
      <c r="C156" s="145"/>
      <c r="D156" s="53"/>
      <c r="I156" s="101"/>
      <c r="J156" s="48"/>
      <c r="K156" s="48"/>
      <c r="L156" s="48"/>
      <c r="M156" s="48"/>
      <c r="N156" s="50"/>
    </row>
    <row r="157" spans="1:14" s="49" customFormat="1" x14ac:dyDescent="0.2">
      <c r="B157" s="144" t="s">
        <v>627</v>
      </c>
      <c r="C157" s="160"/>
      <c r="D157" s="54">
        <v>5.7772535202671733</v>
      </c>
      <c r="I157" s="101"/>
      <c r="J157" s="48"/>
      <c r="K157" s="48"/>
      <c r="L157" s="48"/>
      <c r="M157" s="48"/>
      <c r="N157" s="50"/>
    </row>
    <row r="158" spans="1:14" s="49" customFormat="1" x14ac:dyDescent="0.2">
      <c r="B158" s="144"/>
      <c r="C158" s="145"/>
      <c r="D158" s="53"/>
      <c r="I158" s="101"/>
      <c r="J158" s="48"/>
      <c r="K158" s="48"/>
      <c r="L158" s="48"/>
      <c r="M158" s="48"/>
      <c r="N158" s="50"/>
    </row>
    <row r="159" spans="1:14" s="49" customFormat="1" x14ac:dyDescent="0.2">
      <c r="B159" s="144" t="s">
        <v>628</v>
      </c>
      <c r="C159" s="160"/>
      <c r="D159" s="54">
        <v>0.54808816600524268</v>
      </c>
      <c r="I159" s="101"/>
      <c r="J159" s="48"/>
      <c r="K159" s="48"/>
      <c r="L159" s="48"/>
      <c r="M159" s="48"/>
      <c r="N159" s="50"/>
    </row>
    <row r="160" spans="1:14" s="49" customFormat="1" x14ac:dyDescent="0.2">
      <c r="B160" s="144" t="s">
        <v>629</v>
      </c>
      <c r="C160" s="160"/>
      <c r="D160" s="54">
        <v>0.55006854956366613</v>
      </c>
      <c r="I160" s="101"/>
      <c r="J160" s="48"/>
      <c r="K160" s="48"/>
      <c r="L160" s="48"/>
      <c r="M160" s="48"/>
      <c r="N160" s="50"/>
    </row>
    <row r="161" spans="2:16" s="49" customFormat="1" x14ac:dyDescent="0.2">
      <c r="B161" s="144"/>
      <c r="C161" s="145"/>
      <c r="D161" s="53"/>
      <c r="I161" s="101"/>
      <c r="J161" s="48"/>
      <c r="K161" s="48"/>
      <c r="L161" s="48"/>
      <c r="M161" s="48"/>
      <c r="N161" s="50"/>
    </row>
    <row r="162" spans="2:16" s="49" customFormat="1" x14ac:dyDescent="0.2">
      <c r="B162" s="143" t="s">
        <v>630</v>
      </c>
      <c r="C162" s="143"/>
      <c r="D162" s="7" t="s">
        <v>746</v>
      </c>
      <c r="I162" s="101"/>
      <c r="J162" s="48"/>
      <c r="K162" s="48"/>
      <c r="L162" s="48"/>
      <c r="M162" s="48"/>
      <c r="N162" s="50"/>
    </row>
    <row r="163" spans="2:16" s="49" customFormat="1" x14ac:dyDescent="0.2">
      <c r="B163" s="144" t="s">
        <v>631</v>
      </c>
      <c r="C163" s="146"/>
      <c r="D163" s="145"/>
      <c r="I163" s="101"/>
      <c r="J163" s="48"/>
      <c r="K163" s="48"/>
      <c r="L163" s="48"/>
      <c r="M163" s="48"/>
      <c r="N163" s="50"/>
      <c r="O163"/>
      <c r="P163"/>
    </row>
    <row r="164" spans="2:16" x14ac:dyDescent="0.2">
      <c r="I164" s="101"/>
    </row>
    <row r="165" spans="2:16" x14ac:dyDescent="0.2">
      <c r="B165" s="57" t="s">
        <v>632</v>
      </c>
      <c r="I165" s="101"/>
    </row>
    <row r="166" spans="2:16" x14ac:dyDescent="0.2">
      <c r="I166" s="101"/>
    </row>
    <row r="167" spans="2:16" ht="153.75" customHeight="1" x14ac:dyDescent="0.2">
      <c r="I167" s="101"/>
    </row>
    <row r="168" spans="2:16" x14ac:dyDescent="0.2">
      <c r="I168" s="101"/>
    </row>
    <row r="169" spans="2:16" x14ac:dyDescent="0.2">
      <c r="I169" s="101"/>
    </row>
    <row r="170" spans="2:16" x14ac:dyDescent="0.2">
      <c r="B170" s="57" t="s">
        <v>633</v>
      </c>
      <c r="C170" s="58"/>
      <c r="D170" s="57"/>
      <c r="I170" s="101"/>
    </row>
    <row r="171" spans="2:16" x14ac:dyDescent="0.2">
      <c r="B171" s="57" t="s">
        <v>636</v>
      </c>
      <c r="C171" s="58"/>
      <c r="D171" s="57"/>
      <c r="I171" s="101"/>
    </row>
    <row r="172" spans="2:16" x14ac:dyDescent="0.2">
      <c r="D172" s="57"/>
      <c r="I172" s="101"/>
    </row>
    <row r="173" spans="2:16" ht="165" customHeight="1" x14ac:dyDescent="0.2">
      <c r="I173" s="101"/>
    </row>
    <row r="174" spans="2:16" x14ac:dyDescent="0.2">
      <c r="I174" s="101"/>
    </row>
    <row r="175" spans="2:16" x14ac:dyDescent="0.2">
      <c r="I175" s="101"/>
    </row>
    <row r="176" spans="2:16" x14ac:dyDescent="0.2">
      <c r="I176" s="101"/>
    </row>
    <row r="177" spans="9:9" x14ac:dyDescent="0.2">
      <c r="I177" s="101"/>
    </row>
  </sheetData>
  <mergeCells count="26">
    <mergeCell ref="B154:C154"/>
    <mergeCell ref="B155:C155"/>
    <mergeCell ref="B149:C149"/>
    <mergeCell ref="B150:C150"/>
    <mergeCell ref="B147:C147"/>
    <mergeCell ref="B151:C151"/>
    <mergeCell ref="B153:D153"/>
    <mergeCell ref="B133:H133"/>
    <mergeCell ref="B136:D136"/>
    <mergeCell ref="B137:C137"/>
    <mergeCell ref="B138:C138"/>
    <mergeCell ref="B139:C139"/>
    <mergeCell ref="B134:H134"/>
    <mergeCell ref="A1:H1"/>
    <mergeCell ref="A2:H2"/>
    <mergeCell ref="A3:H3"/>
    <mergeCell ref="B131:H131"/>
    <mergeCell ref="B132:H132"/>
    <mergeCell ref="B161:C161"/>
    <mergeCell ref="B162:C162"/>
    <mergeCell ref="B163:D163"/>
    <mergeCell ref="B156:C156"/>
    <mergeCell ref="B157:C157"/>
    <mergeCell ref="B158:C158"/>
    <mergeCell ref="B159:C159"/>
    <mergeCell ref="B160:C160"/>
  </mergeCells>
  <hyperlinks>
    <hyperlink ref="I1" location="Index!B2" display="Index" xr:uid="{4D8BCBE8-02A3-4CCF-8584-7FB85E34CBD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7C6E9-2019-48C8-8B29-767FACF40B30}">
  <sheetPr>
    <outlinePr summaryBelow="0" summaryRight="0"/>
  </sheetPr>
  <dimension ref="A1:T177"/>
  <sheetViews>
    <sheetView showGridLines="0" topLeftCell="A111" workbookViewId="0">
      <selection activeCell="D112" sqref="D112"/>
    </sheetView>
  </sheetViews>
  <sheetFormatPr defaultRowHeight="12.75" x14ac:dyDescent="0.2"/>
  <cols>
    <col min="1" max="1" width="5.85546875" bestFit="1" customWidth="1"/>
    <col min="2" max="2" width="19.28515625" bestFit="1" customWidth="1"/>
    <col min="3" max="3" width="48.42578125" customWidth="1"/>
    <col min="4" max="4" width="13.85546875" customWidth="1"/>
    <col min="5" max="5" width="9.42578125" bestFit="1" customWidth="1"/>
    <col min="6" max="6" width="10.140625" bestFit="1" customWidth="1"/>
    <col min="7" max="7" width="14" bestFit="1" customWidth="1"/>
    <col min="8" max="8" width="9.140625" customWidth="1"/>
  </cols>
  <sheetData>
    <row r="1" spans="1:9" ht="15" x14ac:dyDescent="0.2">
      <c r="A1" s="147" t="s">
        <v>0</v>
      </c>
      <c r="B1" s="147"/>
      <c r="C1" s="147"/>
      <c r="D1" s="147"/>
      <c r="E1" s="147"/>
      <c r="F1" s="147"/>
      <c r="G1" s="147"/>
      <c r="H1" s="147"/>
      <c r="I1" s="1" t="s">
        <v>604</v>
      </c>
    </row>
    <row r="2" spans="1:9" ht="15" x14ac:dyDescent="0.2">
      <c r="A2" s="147" t="s">
        <v>276</v>
      </c>
      <c r="B2" s="147"/>
      <c r="C2" s="147"/>
      <c r="D2" s="147"/>
      <c r="E2" s="147"/>
      <c r="F2" s="147"/>
      <c r="G2" s="147"/>
      <c r="H2" s="147"/>
    </row>
    <row r="3" spans="1:9" ht="15" x14ac:dyDescent="0.2">
      <c r="A3" s="147" t="s">
        <v>603</v>
      </c>
      <c r="B3" s="147"/>
      <c r="C3" s="147"/>
      <c r="D3" s="147"/>
      <c r="E3" s="147"/>
      <c r="F3" s="147"/>
      <c r="G3" s="147"/>
      <c r="H3" s="147"/>
    </row>
    <row r="4" spans="1:9" s="15" customFormat="1" ht="30" x14ac:dyDescent="0.2">
      <c r="A4" s="13" t="s">
        <v>2</v>
      </c>
      <c r="B4" s="13" t="s">
        <v>3</v>
      </c>
      <c r="C4" s="13" t="s">
        <v>4</v>
      </c>
      <c r="D4" s="13" t="s">
        <v>5</v>
      </c>
      <c r="E4" s="13" t="s">
        <v>6</v>
      </c>
      <c r="F4" s="13" t="s">
        <v>7</v>
      </c>
      <c r="G4" s="13" t="s">
        <v>8</v>
      </c>
      <c r="H4" s="14" t="s">
        <v>602</v>
      </c>
    </row>
    <row r="5" spans="1:9" x14ac:dyDescent="0.2">
      <c r="A5" s="16"/>
      <c r="B5" s="16"/>
      <c r="C5" s="8" t="s">
        <v>9</v>
      </c>
      <c r="D5" s="16"/>
      <c r="E5" s="16"/>
      <c r="F5" s="16"/>
      <c r="G5" s="16"/>
      <c r="H5" s="17" t="s">
        <v>12</v>
      </c>
    </row>
    <row r="6" spans="1:9" x14ac:dyDescent="0.2">
      <c r="A6" s="11"/>
      <c r="B6" s="11"/>
      <c r="C6" s="18" t="s">
        <v>10</v>
      </c>
      <c r="D6" s="11"/>
      <c r="E6" s="11"/>
      <c r="F6" s="11"/>
      <c r="G6" s="11"/>
      <c r="H6" s="17" t="s">
        <v>12</v>
      </c>
    </row>
    <row r="7" spans="1:9" x14ac:dyDescent="0.2">
      <c r="A7" s="59">
        <v>1</v>
      </c>
      <c r="B7" s="60" t="s">
        <v>637</v>
      </c>
      <c r="C7" s="60" t="s">
        <v>638</v>
      </c>
      <c r="D7" s="60" t="s">
        <v>639</v>
      </c>
      <c r="E7" s="61">
        <v>8000</v>
      </c>
      <c r="F7" s="62">
        <v>0.01</v>
      </c>
      <c r="G7" s="99" t="s">
        <v>640</v>
      </c>
      <c r="H7" s="17" t="s">
        <v>12</v>
      </c>
      <c r="I7" s="101"/>
    </row>
    <row r="8" spans="1:9" x14ac:dyDescent="0.2">
      <c r="A8" s="16"/>
      <c r="B8" s="16"/>
      <c r="C8" s="8" t="s">
        <v>11</v>
      </c>
      <c r="D8" s="16"/>
      <c r="E8" s="16" t="s">
        <v>12</v>
      </c>
      <c r="F8" s="68">
        <f>SUM(F7)</f>
        <v>0.01</v>
      </c>
      <c r="G8" s="69">
        <v>0</v>
      </c>
      <c r="H8" s="17" t="s">
        <v>12</v>
      </c>
    </row>
    <row r="9" spans="1:9" x14ac:dyDescent="0.2">
      <c r="A9" s="11"/>
      <c r="B9" s="11"/>
      <c r="C9" s="21"/>
      <c r="D9" s="11"/>
      <c r="E9" s="11"/>
      <c r="F9" s="22"/>
      <c r="G9" s="22"/>
      <c r="H9" s="17" t="s">
        <v>12</v>
      </c>
    </row>
    <row r="10" spans="1:9" x14ac:dyDescent="0.2">
      <c r="A10" s="11"/>
      <c r="B10" s="11"/>
      <c r="C10" s="18" t="s">
        <v>14</v>
      </c>
      <c r="D10" s="11"/>
      <c r="E10" s="11"/>
      <c r="F10" s="11"/>
      <c r="G10" s="11"/>
      <c r="H10" s="17" t="s">
        <v>12</v>
      </c>
    </row>
    <row r="11" spans="1:9" x14ac:dyDescent="0.2">
      <c r="A11" s="11"/>
      <c r="B11" s="11"/>
      <c r="C11" s="18" t="s">
        <v>11</v>
      </c>
      <c r="D11" s="11"/>
      <c r="E11" s="11" t="s">
        <v>12</v>
      </c>
      <c r="F11" s="19" t="s">
        <v>13</v>
      </c>
      <c r="G11" s="20">
        <v>0</v>
      </c>
      <c r="H11" s="17" t="s">
        <v>12</v>
      </c>
    </row>
    <row r="12" spans="1:9" x14ac:dyDescent="0.2">
      <c r="A12" s="11"/>
      <c r="B12" s="11"/>
      <c r="C12" s="21"/>
      <c r="D12" s="11"/>
      <c r="E12" s="11"/>
      <c r="F12" s="22"/>
      <c r="G12" s="22"/>
      <c r="H12" s="17" t="s">
        <v>12</v>
      </c>
    </row>
    <row r="13" spans="1:9" x14ac:dyDescent="0.2">
      <c r="A13" s="11"/>
      <c r="B13" s="11"/>
      <c r="C13" s="18" t="s">
        <v>15</v>
      </c>
      <c r="D13" s="11"/>
      <c r="E13" s="11"/>
      <c r="F13" s="11"/>
      <c r="G13" s="11"/>
      <c r="H13" s="17" t="s">
        <v>12</v>
      </c>
    </row>
    <row r="14" spans="1:9" x14ac:dyDescent="0.2">
      <c r="A14" s="11"/>
      <c r="B14" s="11"/>
      <c r="C14" s="18" t="s">
        <v>11</v>
      </c>
      <c r="D14" s="11"/>
      <c r="E14" s="11" t="s">
        <v>12</v>
      </c>
      <c r="F14" s="19" t="s">
        <v>13</v>
      </c>
      <c r="G14" s="20">
        <v>0</v>
      </c>
      <c r="H14" s="17" t="s">
        <v>12</v>
      </c>
    </row>
    <row r="15" spans="1:9" x14ac:dyDescent="0.2">
      <c r="A15" s="11"/>
      <c r="B15" s="11"/>
      <c r="C15" s="21"/>
      <c r="D15" s="11"/>
      <c r="E15" s="11"/>
      <c r="F15" s="22"/>
      <c r="G15" s="22"/>
      <c r="H15" s="17" t="s">
        <v>12</v>
      </c>
    </row>
    <row r="16" spans="1:9" x14ac:dyDescent="0.2">
      <c r="A16" s="11"/>
      <c r="B16" s="11"/>
      <c r="C16" s="18" t="s">
        <v>16</v>
      </c>
      <c r="D16" s="11"/>
      <c r="E16" s="11"/>
      <c r="F16" s="11"/>
      <c r="G16" s="11"/>
      <c r="H16" s="17" t="s">
        <v>12</v>
      </c>
    </row>
    <row r="17" spans="1:8" x14ac:dyDescent="0.2">
      <c r="A17" s="11"/>
      <c r="B17" s="11"/>
      <c r="C17" s="18" t="s">
        <v>11</v>
      </c>
      <c r="D17" s="11"/>
      <c r="E17" s="11" t="s">
        <v>12</v>
      </c>
      <c r="F17" s="19" t="s">
        <v>13</v>
      </c>
      <c r="G17" s="20">
        <v>0</v>
      </c>
      <c r="H17" s="17" t="s">
        <v>12</v>
      </c>
    </row>
    <row r="18" spans="1:8" x14ac:dyDescent="0.2">
      <c r="A18" s="11"/>
      <c r="B18" s="11"/>
      <c r="C18" s="21"/>
      <c r="D18" s="11"/>
      <c r="E18" s="11"/>
      <c r="F18" s="22"/>
      <c r="G18" s="22"/>
      <c r="H18" s="17" t="s">
        <v>12</v>
      </c>
    </row>
    <row r="19" spans="1:8" x14ac:dyDescent="0.2">
      <c r="A19" s="11"/>
      <c r="B19" s="11"/>
      <c r="C19" s="18" t="s">
        <v>17</v>
      </c>
      <c r="D19" s="11"/>
      <c r="E19" s="11"/>
      <c r="F19" s="22"/>
      <c r="G19" s="22"/>
      <c r="H19" s="17" t="s">
        <v>12</v>
      </c>
    </row>
    <row r="20" spans="1:8" x14ac:dyDescent="0.2">
      <c r="A20" s="11"/>
      <c r="B20" s="11"/>
      <c r="C20" s="18" t="s">
        <v>11</v>
      </c>
      <c r="D20" s="11"/>
      <c r="E20" s="11" t="s">
        <v>12</v>
      </c>
      <c r="F20" s="19" t="s">
        <v>13</v>
      </c>
      <c r="G20" s="20">
        <v>0</v>
      </c>
      <c r="H20" s="17" t="s">
        <v>12</v>
      </c>
    </row>
    <row r="21" spans="1:8" x14ac:dyDescent="0.2">
      <c r="A21" s="11"/>
      <c r="B21" s="11"/>
      <c r="C21" s="21"/>
      <c r="D21" s="11"/>
      <c r="E21" s="11"/>
      <c r="F21" s="22"/>
      <c r="G21" s="22"/>
      <c r="H21" s="17" t="s">
        <v>12</v>
      </c>
    </row>
    <row r="22" spans="1:8" x14ac:dyDescent="0.2">
      <c r="A22" s="11"/>
      <c r="B22" s="11"/>
      <c r="C22" s="18" t="s">
        <v>18</v>
      </c>
      <c r="D22" s="11"/>
      <c r="E22" s="11"/>
      <c r="F22" s="22"/>
      <c r="G22" s="22"/>
      <c r="H22" s="17" t="s">
        <v>12</v>
      </c>
    </row>
    <row r="23" spans="1:8" x14ac:dyDescent="0.2">
      <c r="A23" s="11"/>
      <c r="B23" s="11"/>
      <c r="C23" s="18" t="s">
        <v>11</v>
      </c>
      <c r="D23" s="11"/>
      <c r="E23" s="11" t="s">
        <v>12</v>
      </c>
      <c r="F23" s="19" t="s">
        <v>13</v>
      </c>
      <c r="G23" s="20">
        <v>0</v>
      </c>
      <c r="H23" s="17" t="s">
        <v>12</v>
      </c>
    </row>
    <row r="24" spans="1:8" x14ac:dyDescent="0.2">
      <c r="A24" s="11"/>
      <c r="B24" s="11"/>
      <c r="C24" s="21"/>
      <c r="D24" s="11"/>
      <c r="E24" s="11"/>
      <c r="F24" s="22"/>
      <c r="G24" s="22"/>
      <c r="H24" s="17" t="s">
        <v>12</v>
      </c>
    </row>
    <row r="25" spans="1:8" x14ac:dyDescent="0.2">
      <c r="A25" s="16"/>
      <c r="B25" s="16"/>
      <c r="C25" s="8" t="s">
        <v>19</v>
      </c>
      <c r="D25" s="16"/>
      <c r="E25" s="16"/>
      <c r="F25" s="68">
        <f>F8</f>
        <v>0.01</v>
      </c>
      <c r="G25" s="69">
        <v>0</v>
      </c>
      <c r="H25" s="17" t="s">
        <v>12</v>
      </c>
    </row>
    <row r="26" spans="1:8" x14ac:dyDescent="0.2">
      <c r="A26" s="11"/>
      <c r="B26" s="11"/>
      <c r="C26" s="21"/>
      <c r="D26" s="11"/>
      <c r="E26" s="11"/>
      <c r="F26" s="22"/>
      <c r="G26" s="22"/>
      <c r="H26" s="17" t="s">
        <v>12</v>
      </c>
    </row>
    <row r="27" spans="1:8" x14ac:dyDescent="0.2">
      <c r="A27" s="11"/>
      <c r="B27" s="11"/>
      <c r="C27" s="18" t="s">
        <v>20</v>
      </c>
      <c r="D27" s="11"/>
      <c r="E27" s="11"/>
      <c r="F27" s="22"/>
      <c r="G27" s="22"/>
      <c r="H27" s="17" t="s">
        <v>12</v>
      </c>
    </row>
    <row r="28" spans="1:8" x14ac:dyDescent="0.2">
      <c r="A28" s="11"/>
      <c r="B28" s="11"/>
      <c r="C28" s="18" t="s">
        <v>10</v>
      </c>
      <c r="D28" s="11"/>
      <c r="E28" s="11"/>
      <c r="F28" s="22"/>
      <c r="G28" s="22"/>
      <c r="H28" s="17" t="s">
        <v>12</v>
      </c>
    </row>
    <row r="29" spans="1:8" x14ac:dyDescent="0.2">
      <c r="A29" s="24">
        <v>1</v>
      </c>
      <c r="B29" s="9" t="s">
        <v>277</v>
      </c>
      <c r="C29" s="9" t="s">
        <v>278</v>
      </c>
      <c r="D29" s="9" t="s">
        <v>279</v>
      </c>
      <c r="E29" s="25">
        <v>1500</v>
      </c>
      <c r="F29" s="26">
        <v>1520.4690000000001</v>
      </c>
      <c r="G29" s="27">
        <v>4.1465109999999999E-2</v>
      </c>
      <c r="H29" s="17">
        <v>7.39</v>
      </c>
    </row>
    <row r="30" spans="1:8" x14ac:dyDescent="0.2">
      <c r="A30" s="24">
        <v>2</v>
      </c>
      <c r="B30" s="9" t="s">
        <v>280</v>
      </c>
      <c r="C30" s="9" t="s">
        <v>281</v>
      </c>
      <c r="D30" s="9" t="s">
        <v>282</v>
      </c>
      <c r="E30" s="25">
        <v>1500</v>
      </c>
      <c r="F30" s="26">
        <v>1518.8415</v>
      </c>
      <c r="G30" s="27">
        <v>4.1420720000000001E-2</v>
      </c>
      <c r="H30" s="17">
        <v>6.88</v>
      </c>
    </row>
    <row r="31" spans="1:8" x14ac:dyDescent="0.2">
      <c r="A31" s="24">
        <v>3</v>
      </c>
      <c r="B31" s="9" t="s">
        <v>283</v>
      </c>
      <c r="C31" s="9" t="s">
        <v>284</v>
      </c>
      <c r="D31" s="9" t="s">
        <v>26</v>
      </c>
      <c r="E31" s="25">
        <v>1500</v>
      </c>
      <c r="F31" s="26">
        <v>1515.3915</v>
      </c>
      <c r="G31" s="27">
        <v>4.1326639999999998E-2</v>
      </c>
      <c r="H31" s="17">
        <v>6.4</v>
      </c>
    </row>
    <row r="32" spans="1:8" x14ac:dyDescent="0.2">
      <c r="A32" s="24">
        <v>4</v>
      </c>
      <c r="B32" s="9" t="s">
        <v>285</v>
      </c>
      <c r="C32" s="9" t="s">
        <v>286</v>
      </c>
      <c r="D32" s="9" t="s">
        <v>279</v>
      </c>
      <c r="E32" s="25">
        <v>1200</v>
      </c>
      <c r="F32" s="26">
        <v>1206.8496</v>
      </c>
      <c r="G32" s="27">
        <v>3.291231E-2</v>
      </c>
      <c r="H32" s="17">
        <v>7</v>
      </c>
    </row>
    <row r="33" spans="1:8" ht="25.5" x14ac:dyDescent="0.2">
      <c r="A33" s="24">
        <v>5</v>
      </c>
      <c r="B33" s="9" t="s">
        <v>75</v>
      </c>
      <c r="C33" s="9" t="s">
        <v>76</v>
      </c>
      <c r="D33" s="9" t="s">
        <v>23</v>
      </c>
      <c r="E33" s="25">
        <v>1000</v>
      </c>
      <c r="F33" s="26">
        <v>1021.583</v>
      </c>
      <c r="G33" s="27">
        <v>2.785986E-2</v>
      </c>
      <c r="H33" s="17">
        <v>6.53</v>
      </c>
    </row>
    <row r="34" spans="1:8" x14ac:dyDescent="0.2">
      <c r="A34" s="24">
        <v>6</v>
      </c>
      <c r="B34" s="9" t="s">
        <v>69</v>
      </c>
      <c r="C34" s="9" t="s">
        <v>70</v>
      </c>
      <c r="D34" s="9" t="s">
        <v>23</v>
      </c>
      <c r="E34" s="25">
        <v>1000</v>
      </c>
      <c r="F34" s="26">
        <v>1017.624</v>
      </c>
      <c r="G34" s="27">
        <v>2.7751890000000001E-2</v>
      </c>
      <c r="H34" s="17">
        <v>7.08</v>
      </c>
    </row>
    <row r="35" spans="1:8" x14ac:dyDescent="0.2">
      <c r="A35" s="24">
        <v>7</v>
      </c>
      <c r="B35" s="9" t="s">
        <v>287</v>
      </c>
      <c r="C35" s="9" t="s">
        <v>288</v>
      </c>
      <c r="D35" s="9" t="s">
        <v>289</v>
      </c>
      <c r="E35" s="25">
        <v>1000</v>
      </c>
      <c r="F35" s="26">
        <v>1015.474</v>
      </c>
      <c r="G35" s="27">
        <v>2.7693260000000001E-2</v>
      </c>
      <c r="H35" s="17">
        <v>7.3015999999999996</v>
      </c>
    </row>
    <row r="36" spans="1:8" x14ac:dyDescent="0.2">
      <c r="A36" s="24">
        <v>8</v>
      </c>
      <c r="B36" s="9" t="s">
        <v>290</v>
      </c>
      <c r="C36" s="9" t="s">
        <v>291</v>
      </c>
      <c r="D36" s="9" t="s">
        <v>292</v>
      </c>
      <c r="E36" s="25">
        <v>1000</v>
      </c>
      <c r="F36" s="26">
        <v>1012.079</v>
      </c>
      <c r="G36" s="27">
        <v>2.7600670000000001E-2</v>
      </c>
      <c r="H36" s="17">
        <v>7.9349999999999996</v>
      </c>
    </row>
    <row r="37" spans="1:8" x14ac:dyDescent="0.2">
      <c r="A37" s="24">
        <v>9</v>
      </c>
      <c r="B37" s="9" t="s">
        <v>293</v>
      </c>
      <c r="C37" s="9" t="s">
        <v>294</v>
      </c>
      <c r="D37" s="9" t="s">
        <v>26</v>
      </c>
      <c r="E37" s="25">
        <v>100</v>
      </c>
      <c r="F37" s="26">
        <v>1011.604</v>
      </c>
      <c r="G37" s="27">
        <v>2.758772E-2</v>
      </c>
      <c r="H37" s="17">
        <v>6.39</v>
      </c>
    </row>
    <row r="38" spans="1:8" ht="25.5" x14ac:dyDescent="0.2">
      <c r="A38" s="24">
        <v>10</v>
      </c>
      <c r="B38" s="9" t="s">
        <v>71</v>
      </c>
      <c r="C38" s="9" t="s">
        <v>72</v>
      </c>
      <c r="D38" s="9" t="s">
        <v>23</v>
      </c>
      <c r="E38" s="25">
        <v>1000</v>
      </c>
      <c r="F38" s="26">
        <v>1009.975</v>
      </c>
      <c r="G38" s="27">
        <v>2.7543290000000002E-2</v>
      </c>
      <c r="H38" s="17">
        <v>6.4588000000000001</v>
      </c>
    </row>
    <row r="39" spans="1:8" ht="25.5" x14ac:dyDescent="0.2">
      <c r="A39" s="24">
        <v>11</v>
      </c>
      <c r="B39" s="9" t="s">
        <v>39</v>
      </c>
      <c r="C39" s="9" t="s">
        <v>40</v>
      </c>
      <c r="D39" s="9" t="s">
        <v>26</v>
      </c>
      <c r="E39" s="25">
        <v>1000</v>
      </c>
      <c r="F39" s="26">
        <v>1009.5170000000001</v>
      </c>
      <c r="G39" s="27">
        <v>2.7530800000000001E-2</v>
      </c>
      <c r="H39" s="17">
        <v>6.4215999999999998</v>
      </c>
    </row>
    <row r="40" spans="1:8" x14ac:dyDescent="0.2">
      <c r="A40" s="24">
        <v>12</v>
      </c>
      <c r="B40" s="9" t="s">
        <v>295</v>
      </c>
      <c r="C40" s="9" t="s">
        <v>296</v>
      </c>
      <c r="D40" s="9" t="s">
        <v>297</v>
      </c>
      <c r="E40" s="25">
        <v>1000</v>
      </c>
      <c r="F40" s="26">
        <v>1008.274</v>
      </c>
      <c r="G40" s="27">
        <v>2.7496900000000001E-2</v>
      </c>
      <c r="H40" s="17">
        <v>8.3594000000000008</v>
      </c>
    </row>
    <row r="41" spans="1:8" x14ac:dyDescent="0.2">
      <c r="A41" s="24">
        <v>13</v>
      </c>
      <c r="B41" s="9" t="s">
        <v>298</v>
      </c>
      <c r="C41" s="9" t="s">
        <v>299</v>
      </c>
      <c r="D41" s="9" t="s">
        <v>292</v>
      </c>
      <c r="E41" s="25">
        <v>900</v>
      </c>
      <c r="F41" s="26">
        <v>912.18600000000004</v>
      </c>
      <c r="G41" s="27">
        <v>2.487646E-2</v>
      </c>
      <c r="H41" s="17">
        <v>7.03</v>
      </c>
    </row>
    <row r="42" spans="1:8" x14ac:dyDescent="0.2">
      <c r="A42" s="24">
        <v>14</v>
      </c>
      <c r="B42" s="9" t="s">
        <v>300</v>
      </c>
      <c r="C42" s="9" t="s">
        <v>301</v>
      </c>
      <c r="D42" s="9" t="s">
        <v>26</v>
      </c>
      <c r="E42" s="25">
        <v>900</v>
      </c>
      <c r="F42" s="26">
        <v>911.08889999999997</v>
      </c>
      <c r="G42" s="27">
        <v>2.484654E-2</v>
      </c>
      <c r="H42" s="17">
        <v>7.1574999999999998</v>
      </c>
    </row>
    <row r="43" spans="1:8" x14ac:dyDescent="0.2">
      <c r="A43" s="24">
        <v>15</v>
      </c>
      <c r="B43" s="9" t="s">
        <v>302</v>
      </c>
      <c r="C43" s="9" t="s">
        <v>303</v>
      </c>
      <c r="D43" s="9" t="s">
        <v>26</v>
      </c>
      <c r="E43" s="25">
        <v>500</v>
      </c>
      <c r="F43" s="26">
        <v>509.84050000000002</v>
      </c>
      <c r="G43" s="27">
        <v>1.390399E-2</v>
      </c>
      <c r="H43" s="17">
        <v>6.5250000000000004</v>
      </c>
    </row>
    <row r="44" spans="1:8" ht="25.5" x14ac:dyDescent="0.2">
      <c r="A44" s="24">
        <v>16</v>
      </c>
      <c r="B44" s="9" t="s">
        <v>157</v>
      </c>
      <c r="C44" s="9" t="s">
        <v>158</v>
      </c>
      <c r="D44" s="9" t="s">
        <v>26</v>
      </c>
      <c r="E44" s="25">
        <v>500</v>
      </c>
      <c r="F44" s="26">
        <v>509.31849999999997</v>
      </c>
      <c r="G44" s="27">
        <v>1.3889759999999999E-2</v>
      </c>
      <c r="H44" s="17">
        <v>6.5449999999999999</v>
      </c>
    </row>
    <row r="45" spans="1:8" x14ac:dyDescent="0.2">
      <c r="A45" s="24">
        <v>17</v>
      </c>
      <c r="B45" s="9" t="s">
        <v>53</v>
      </c>
      <c r="C45" s="9" t="s">
        <v>54</v>
      </c>
      <c r="D45" s="9" t="s">
        <v>26</v>
      </c>
      <c r="E45" s="25">
        <v>500</v>
      </c>
      <c r="F45" s="26">
        <v>507.38549999999998</v>
      </c>
      <c r="G45" s="27">
        <v>1.383704E-2</v>
      </c>
      <c r="H45" s="17">
        <v>6.4249999999999998</v>
      </c>
    </row>
    <row r="46" spans="1:8" ht="25.5" x14ac:dyDescent="0.2">
      <c r="A46" s="24">
        <v>18</v>
      </c>
      <c r="B46" s="9" t="s">
        <v>304</v>
      </c>
      <c r="C46" s="9" t="s">
        <v>305</v>
      </c>
      <c r="D46" s="9" t="s">
        <v>292</v>
      </c>
      <c r="E46" s="25">
        <v>50</v>
      </c>
      <c r="F46" s="26">
        <v>502.24099999999999</v>
      </c>
      <c r="G46" s="27">
        <v>1.3696750000000001E-2</v>
      </c>
      <c r="H46" s="17">
        <v>6.77</v>
      </c>
    </row>
    <row r="47" spans="1:8" x14ac:dyDescent="0.2">
      <c r="A47" s="24">
        <v>19</v>
      </c>
      <c r="B47" s="9" t="s">
        <v>306</v>
      </c>
      <c r="C47" s="9" t="s">
        <v>307</v>
      </c>
      <c r="D47" s="9" t="s">
        <v>292</v>
      </c>
      <c r="E47" s="25">
        <v>350</v>
      </c>
      <c r="F47" s="26">
        <v>355.32384999999999</v>
      </c>
      <c r="G47" s="27">
        <v>9.6901299999999999E-3</v>
      </c>
      <c r="H47" s="17">
        <v>7.93</v>
      </c>
    </row>
    <row r="48" spans="1:8" x14ac:dyDescent="0.2">
      <c r="A48" s="11"/>
      <c r="B48" s="11"/>
      <c r="C48" s="18" t="s">
        <v>11</v>
      </c>
      <c r="D48" s="11"/>
      <c r="E48" s="11" t="s">
        <v>12</v>
      </c>
      <c r="F48" s="23">
        <v>18075.065849999999</v>
      </c>
      <c r="G48" s="20">
        <v>0.49292984000000001</v>
      </c>
      <c r="H48" s="17" t="s">
        <v>12</v>
      </c>
    </row>
    <row r="49" spans="1:8" x14ac:dyDescent="0.2">
      <c r="A49" s="11"/>
      <c r="B49" s="11"/>
      <c r="C49" s="21"/>
      <c r="D49" s="11"/>
      <c r="E49" s="11"/>
      <c r="F49" s="22"/>
      <c r="G49" s="22"/>
      <c r="H49" s="17" t="s">
        <v>12</v>
      </c>
    </row>
    <row r="50" spans="1:8" x14ac:dyDescent="0.2">
      <c r="A50" s="11"/>
      <c r="B50" s="11"/>
      <c r="C50" s="18" t="s">
        <v>77</v>
      </c>
      <c r="D50" s="11"/>
      <c r="E50" s="11"/>
      <c r="F50" s="11"/>
      <c r="G50" s="11"/>
      <c r="H50" s="17" t="s">
        <v>12</v>
      </c>
    </row>
    <row r="51" spans="1:8" x14ac:dyDescent="0.2">
      <c r="A51" s="11"/>
      <c r="B51" s="11"/>
      <c r="C51" s="18" t="s">
        <v>11</v>
      </c>
      <c r="D51" s="11"/>
      <c r="E51" s="11" t="s">
        <v>12</v>
      </c>
      <c r="F51" s="19" t="s">
        <v>13</v>
      </c>
      <c r="G51" s="20">
        <v>0</v>
      </c>
      <c r="H51" s="17" t="s">
        <v>12</v>
      </c>
    </row>
    <row r="52" spans="1:8" x14ac:dyDescent="0.2">
      <c r="A52" s="11"/>
      <c r="B52" s="11"/>
      <c r="C52" s="21"/>
      <c r="D52" s="11"/>
      <c r="E52" s="11"/>
      <c r="F52" s="22"/>
      <c r="G52" s="22"/>
      <c r="H52" s="17" t="s">
        <v>12</v>
      </c>
    </row>
    <row r="53" spans="1:8" x14ac:dyDescent="0.2">
      <c r="A53" s="11"/>
      <c r="B53" s="11"/>
      <c r="C53" s="18" t="s">
        <v>78</v>
      </c>
      <c r="D53" s="11"/>
      <c r="E53" s="11"/>
      <c r="F53" s="11"/>
      <c r="G53" s="11"/>
      <c r="H53" s="17" t="s">
        <v>12</v>
      </c>
    </row>
    <row r="54" spans="1:8" x14ac:dyDescent="0.2">
      <c r="A54" s="24">
        <v>1</v>
      </c>
      <c r="B54" s="9" t="s">
        <v>163</v>
      </c>
      <c r="C54" s="9" t="s">
        <v>164</v>
      </c>
      <c r="D54" s="9" t="s">
        <v>81</v>
      </c>
      <c r="E54" s="25">
        <v>400000</v>
      </c>
      <c r="F54" s="26">
        <v>414.47</v>
      </c>
      <c r="G54" s="27">
        <v>1.130312E-2</v>
      </c>
      <c r="H54" s="17">
        <v>6.0682999999999998</v>
      </c>
    </row>
    <row r="55" spans="1:8" x14ac:dyDescent="0.2">
      <c r="A55" s="24">
        <v>2</v>
      </c>
      <c r="B55" s="9" t="s">
        <v>308</v>
      </c>
      <c r="C55" s="9" t="s">
        <v>309</v>
      </c>
      <c r="D55" s="9" t="s">
        <v>81</v>
      </c>
      <c r="E55" s="25">
        <v>300000</v>
      </c>
      <c r="F55" s="26">
        <v>309</v>
      </c>
      <c r="G55" s="27">
        <v>8.4268199999999998E-3</v>
      </c>
      <c r="H55" s="17">
        <v>5.7923999999999998</v>
      </c>
    </row>
    <row r="56" spans="1:8" x14ac:dyDescent="0.2">
      <c r="A56" s="11"/>
      <c r="B56" s="11"/>
      <c r="C56" s="18" t="s">
        <v>11</v>
      </c>
      <c r="D56" s="11"/>
      <c r="E56" s="11" t="s">
        <v>12</v>
      </c>
      <c r="F56" s="23">
        <v>723.47</v>
      </c>
      <c r="G56" s="20">
        <v>1.9729940000000001E-2</v>
      </c>
      <c r="H56" s="17" t="s">
        <v>12</v>
      </c>
    </row>
    <row r="57" spans="1:8" x14ac:dyDescent="0.2">
      <c r="A57" s="11"/>
      <c r="B57" s="11"/>
      <c r="C57" s="21"/>
      <c r="D57" s="11"/>
      <c r="E57" s="11"/>
      <c r="F57" s="22"/>
      <c r="G57" s="22"/>
      <c r="H57" s="17" t="s">
        <v>12</v>
      </c>
    </row>
    <row r="58" spans="1:8" x14ac:dyDescent="0.2">
      <c r="A58" s="11"/>
      <c r="B58" s="11"/>
      <c r="C58" s="18" t="s">
        <v>96</v>
      </c>
      <c r="D58" s="11"/>
      <c r="E58" s="11"/>
      <c r="F58" s="22"/>
      <c r="G58" s="22"/>
      <c r="H58" s="17" t="s">
        <v>12</v>
      </c>
    </row>
    <row r="59" spans="1:8" x14ac:dyDescent="0.2">
      <c r="A59" s="11"/>
      <c r="B59" s="11"/>
      <c r="C59" s="18" t="s">
        <v>11</v>
      </c>
      <c r="D59" s="11"/>
      <c r="E59" s="11" t="s">
        <v>12</v>
      </c>
      <c r="F59" s="19" t="s">
        <v>13</v>
      </c>
      <c r="G59" s="20">
        <v>0</v>
      </c>
      <c r="H59" s="17" t="s">
        <v>12</v>
      </c>
    </row>
    <row r="60" spans="1:8" x14ac:dyDescent="0.2">
      <c r="A60" s="11"/>
      <c r="B60" s="11"/>
      <c r="C60" s="21"/>
      <c r="D60" s="11"/>
      <c r="E60" s="11"/>
      <c r="F60" s="22"/>
      <c r="G60" s="22"/>
      <c r="H60" s="17" t="s">
        <v>12</v>
      </c>
    </row>
    <row r="61" spans="1:8" x14ac:dyDescent="0.2">
      <c r="A61" s="11"/>
      <c r="B61" s="11"/>
      <c r="C61" s="18" t="s">
        <v>97</v>
      </c>
      <c r="D61" s="11"/>
      <c r="E61" s="11"/>
      <c r="F61" s="23">
        <v>18798.53585</v>
      </c>
      <c r="G61" s="20">
        <v>0.51265978000000001</v>
      </c>
      <c r="H61" s="17" t="s">
        <v>12</v>
      </c>
    </row>
    <row r="62" spans="1:8" x14ac:dyDescent="0.2">
      <c r="A62" s="11"/>
      <c r="B62" s="11"/>
      <c r="C62" s="21"/>
      <c r="D62" s="11"/>
      <c r="E62" s="11"/>
      <c r="F62" s="22"/>
      <c r="G62" s="22"/>
      <c r="H62" s="17" t="s">
        <v>12</v>
      </c>
    </row>
    <row r="63" spans="1:8" x14ac:dyDescent="0.2">
      <c r="A63" s="11"/>
      <c r="B63" s="11"/>
      <c r="C63" s="18" t="s">
        <v>98</v>
      </c>
      <c r="D63" s="11"/>
      <c r="E63" s="11"/>
      <c r="F63" s="22"/>
      <c r="G63" s="22"/>
      <c r="H63" s="17" t="s">
        <v>12</v>
      </c>
    </row>
    <row r="64" spans="1:8" x14ac:dyDescent="0.2">
      <c r="A64" s="11"/>
      <c r="B64" s="11"/>
      <c r="C64" s="18" t="s">
        <v>99</v>
      </c>
      <c r="D64" s="11"/>
      <c r="E64" s="11"/>
      <c r="F64" s="22"/>
      <c r="G64" s="22"/>
      <c r="H64" s="17" t="s">
        <v>12</v>
      </c>
    </row>
    <row r="65" spans="1:8" x14ac:dyDescent="0.2">
      <c r="A65" s="24">
        <v>1</v>
      </c>
      <c r="B65" s="9" t="s">
        <v>182</v>
      </c>
      <c r="C65" s="9" t="s">
        <v>183</v>
      </c>
      <c r="D65" s="9" t="s">
        <v>108</v>
      </c>
      <c r="E65" s="25">
        <v>500</v>
      </c>
      <c r="F65" s="26">
        <v>2403.1350000000002</v>
      </c>
      <c r="G65" s="27">
        <v>6.5536520000000001E-2</v>
      </c>
      <c r="H65" s="17">
        <v>6.0049999999999999</v>
      </c>
    </row>
    <row r="66" spans="1:8" x14ac:dyDescent="0.2">
      <c r="A66" s="24">
        <v>2</v>
      </c>
      <c r="B66" s="9" t="s">
        <v>100</v>
      </c>
      <c r="C66" s="9" t="s">
        <v>101</v>
      </c>
      <c r="D66" s="9" t="s">
        <v>102</v>
      </c>
      <c r="E66" s="25">
        <v>400</v>
      </c>
      <c r="F66" s="26">
        <v>1953.316</v>
      </c>
      <c r="G66" s="27">
        <v>5.326939E-2</v>
      </c>
      <c r="H66" s="17">
        <v>5.8548</v>
      </c>
    </row>
    <row r="67" spans="1:8" x14ac:dyDescent="0.2">
      <c r="A67" s="24">
        <v>3</v>
      </c>
      <c r="B67" s="9" t="s">
        <v>310</v>
      </c>
      <c r="C67" s="9" t="s">
        <v>311</v>
      </c>
      <c r="D67" s="9" t="s">
        <v>108</v>
      </c>
      <c r="E67" s="25">
        <v>400</v>
      </c>
      <c r="F67" s="26">
        <v>1895.7919999999999</v>
      </c>
      <c r="G67" s="27">
        <v>5.1700639999999999E-2</v>
      </c>
      <c r="H67" s="17">
        <v>6.41</v>
      </c>
    </row>
    <row r="68" spans="1:8" x14ac:dyDescent="0.2">
      <c r="A68" s="24">
        <v>4</v>
      </c>
      <c r="B68" s="9" t="s">
        <v>106</v>
      </c>
      <c r="C68" s="9" t="s">
        <v>107</v>
      </c>
      <c r="D68" s="9" t="s">
        <v>108</v>
      </c>
      <c r="E68" s="25">
        <v>300</v>
      </c>
      <c r="F68" s="26">
        <v>1466.6865</v>
      </c>
      <c r="G68" s="27">
        <v>3.9998390000000002E-2</v>
      </c>
      <c r="H68" s="17">
        <v>5.8798000000000004</v>
      </c>
    </row>
    <row r="69" spans="1:8" x14ac:dyDescent="0.2">
      <c r="A69" s="24">
        <v>5</v>
      </c>
      <c r="B69" s="9" t="s">
        <v>312</v>
      </c>
      <c r="C69" s="9" t="s">
        <v>313</v>
      </c>
      <c r="D69" s="9" t="s">
        <v>108</v>
      </c>
      <c r="E69" s="25">
        <v>200</v>
      </c>
      <c r="F69" s="26">
        <v>967.26900000000001</v>
      </c>
      <c r="G69" s="27">
        <v>2.6378639999999998E-2</v>
      </c>
      <c r="H69" s="17">
        <v>6.0250000000000004</v>
      </c>
    </row>
    <row r="70" spans="1:8" ht="25.5" x14ac:dyDescent="0.2">
      <c r="A70" s="24">
        <v>6</v>
      </c>
      <c r="B70" s="9" t="s">
        <v>200</v>
      </c>
      <c r="C70" s="9" t="s">
        <v>201</v>
      </c>
      <c r="D70" s="9" t="s">
        <v>108</v>
      </c>
      <c r="E70" s="25">
        <v>200</v>
      </c>
      <c r="F70" s="26">
        <v>963.89200000000005</v>
      </c>
      <c r="G70" s="27">
        <v>2.6286549999999999E-2</v>
      </c>
      <c r="H70" s="17">
        <v>6.05</v>
      </c>
    </row>
    <row r="71" spans="1:8" ht="25.5" x14ac:dyDescent="0.2">
      <c r="A71" s="24">
        <v>7</v>
      </c>
      <c r="B71" s="9" t="s">
        <v>202</v>
      </c>
      <c r="C71" s="9" t="s">
        <v>203</v>
      </c>
      <c r="D71" s="9" t="s">
        <v>108</v>
      </c>
      <c r="E71" s="25">
        <v>200</v>
      </c>
      <c r="F71" s="26">
        <v>963.89200000000005</v>
      </c>
      <c r="G71" s="27">
        <v>2.6286549999999999E-2</v>
      </c>
      <c r="H71" s="17">
        <v>6.05</v>
      </c>
    </row>
    <row r="72" spans="1:8" ht="25.5" x14ac:dyDescent="0.2">
      <c r="A72" s="24">
        <v>8</v>
      </c>
      <c r="B72" s="9" t="s">
        <v>314</v>
      </c>
      <c r="C72" s="9" t="s">
        <v>315</v>
      </c>
      <c r="D72" s="9" t="s">
        <v>108</v>
      </c>
      <c r="E72" s="25">
        <v>200</v>
      </c>
      <c r="F72" s="26">
        <v>961.74099999999999</v>
      </c>
      <c r="G72" s="27">
        <v>2.622789E-2</v>
      </c>
      <c r="H72" s="17">
        <v>6.05</v>
      </c>
    </row>
    <row r="73" spans="1:8" x14ac:dyDescent="0.2">
      <c r="A73" s="24">
        <v>9</v>
      </c>
      <c r="B73" s="9" t="s">
        <v>171</v>
      </c>
      <c r="C73" s="9" t="s">
        <v>172</v>
      </c>
      <c r="D73" s="9" t="s">
        <v>108</v>
      </c>
      <c r="E73" s="25">
        <v>200</v>
      </c>
      <c r="F73" s="26">
        <v>961.23199999999997</v>
      </c>
      <c r="G73" s="27">
        <v>2.6214009999999999E-2</v>
      </c>
      <c r="H73" s="17">
        <v>5.96</v>
      </c>
    </row>
    <row r="74" spans="1:8" ht="25.5" x14ac:dyDescent="0.2">
      <c r="A74" s="24">
        <v>10</v>
      </c>
      <c r="B74" s="9" t="s">
        <v>316</v>
      </c>
      <c r="C74" s="9" t="s">
        <v>317</v>
      </c>
      <c r="D74" s="9" t="s">
        <v>108</v>
      </c>
      <c r="E74" s="25">
        <v>100</v>
      </c>
      <c r="F74" s="26">
        <v>479.95249999999999</v>
      </c>
      <c r="G74" s="27">
        <v>1.308891E-2</v>
      </c>
      <c r="H74" s="17">
        <v>6.05</v>
      </c>
    </row>
    <row r="75" spans="1:8" x14ac:dyDescent="0.2">
      <c r="A75" s="11"/>
      <c r="B75" s="11"/>
      <c r="C75" s="18" t="s">
        <v>11</v>
      </c>
      <c r="D75" s="11"/>
      <c r="E75" s="11" t="s">
        <v>12</v>
      </c>
      <c r="F75" s="23">
        <v>13016.907999999999</v>
      </c>
      <c r="G75" s="20">
        <v>0.35498749000000002</v>
      </c>
      <c r="H75" s="17" t="s">
        <v>12</v>
      </c>
    </row>
    <row r="76" spans="1:8" x14ac:dyDescent="0.2">
      <c r="A76" s="11"/>
      <c r="B76" s="11"/>
      <c r="C76" s="21"/>
      <c r="D76" s="11"/>
      <c r="E76" s="11"/>
      <c r="F76" s="22"/>
      <c r="G76" s="22"/>
      <c r="H76" s="17" t="s">
        <v>12</v>
      </c>
    </row>
    <row r="77" spans="1:8" x14ac:dyDescent="0.2">
      <c r="A77" s="11"/>
      <c r="B77" s="11"/>
      <c r="C77" s="18" t="s">
        <v>109</v>
      </c>
      <c r="D77" s="11"/>
      <c r="E77" s="11"/>
      <c r="F77" s="22"/>
      <c r="G77" s="22"/>
      <c r="H77" s="17" t="s">
        <v>12</v>
      </c>
    </row>
    <row r="78" spans="1:8" x14ac:dyDescent="0.2">
      <c r="A78" s="11"/>
      <c r="B78" s="11"/>
      <c r="C78" s="18" t="s">
        <v>11</v>
      </c>
      <c r="D78" s="11"/>
      <c r="E78" s="11" t="s">
        <v>12</v>
      </c>
      <c r="F78" s="19" t="s">
        <v>13</v>
      </c>
      <c r="G78" s="20">
        <v>0</v>
      </c>
      <c r="H78" s="17" t="s">
        <v>12</v>
      </c>
    </row>
    <row r="79" spans="1:8" x14ac:dyDescent="0.2">
      <c r="A79" s="11"/>
      <c r="B79" s="11"/>
      <c r="C79" s="21"/>
      <c r="D79" s="11"/>
      <c r="E79" s="11"/>
      <c r="F79" s="22"/>
      <c r="G79" s="22"/>
      <c r="H79" s="17" t="s">
        <v>12</v>
      </c>
    </row>
    <row r="80" spans="1:8" x14ac:dyDescent="0.2">
      <c r="A80" s="11"/>
      <c r="B80" s="11"/>
      <c r="C80" s="18" t="s">
        <v>110</v>
      </c>
      <c r="D80" s="11"/>
      <c r="E80" s="11"/>
      <c r="F80" s="22"/>
      <c r="G80" s="22"/>
      <c r="H80" s="17" t="s">
        <v>12</v>
      </c>
    </row>
    <row r="81" spans="1:17" x14ac:dyDescent="0.2">
      <c r="A81" s="11"/>
      <c r="B81" s="11"/>
      <c r="C81" s="18" t="s">
        <v>11</v>
      </c>
      <c r="D81" s="11"/>
      <c r="E81" s="11" t="s">
        <v>12</v>
      </c>
      <c r="F81" s="19" t="s">
        <v>13</v>
      </c>
      <c r="G81" s="20">
        <v>0</v>
      </c>
      <c r="H81" s="17" t="s">
        <v>12</v>
      </c>
    </row>
    <row r="82" spans="1:17" x14ac:dyDescent="0.2">
      <c r="A82" s="11"/>
      <c r="B82" s="11"/>
      <c r="C82" s="21"/>
      <c r="D82" s="11"/>
      <c r="E82" s="11"/>
      <c r="F82" s="22"/>
      <c r="G82" s="22"/>
      <c r="H82" s="17" t="s">
        <v>12</v>
      </c>
    </row>
    <row r="83" spans="1:17" x14ac:dyDescent="0.2">
      <c r="A83" s="11"/>
      <c r="B83" s="11"/>
      <c r="C83" s="18" t="s">
        <v>111</v>
      </c>
      <c r="D83" s="11"/>
      <c r="E83" s="11"/>
      <c r="F83" s="22"/>
      <c r="G83" s="22"/>
      <c r="H83" s="17" t="s">
        <v>12</v>
      </c>
    </row>
    <row r="84" spans="1:17" x14ac:dyDescent="0.2">
      <c r="A84" s="24">
        <v>1</v>
      </c>
      <c r="B84" s="9"/>
      <c r="C84" s="9" t="s">
        <v>112</v>
      </c>
      <c r="D84" s="9"/>
      <c r="E84" s="28"/>
      <c r="F84" s="26">
        <v>4150.2440459850004</v>
      </c>
      <c r="G84" s="27">
        <v>0.11318238</v>
      </c>
      <c r="H84" s="17">
        <v>5.3</v>
      </c>
    </row>
    <row r="85" spans="1:17" x14ac:dyDescent="0.2">
      <c r="A85" s="11"/>
      <c r="B85" s="11"/>
      <c r="C85" s="18" t="s">
        <v>11</v>
      </c>
      <c r="D85" s="11"/>
      <c r="E85" s="11" t="s">
        <v>12</v>
      </c>
      <c r="F85" s="23">
        <v>4150.2440459850004</v>
      </c>
      <c r="G85" s="20">
        <v>0.11318238</v>
      </c>
      <c r="H85" s="17" t="s">
        <v>12</v>
      </c>
    </row>
    <row r="86" spans="1:17" x14ac:dyDescent="0.2">
      <c r="A86" s="11"/>
      <c r="B86" s="11"/>
      <c r="C86" s="21"/>
      <c r="D86" s="11"/>
      <c r="E86" s="11"/>
      <c r="F86" s="22"/>
      <c r="G86" s="22"/>
      <c r="H86" s="17" t="s">
        <v>12</v>
      </c>
    </row>
    <row r="87" spans="1:17" x14ac:dyDescent="0.2">
      <c r="A87" s="11"/>
      <c r="B87" s="11"/>
      <c r="C87" s="18" t="s">
        <v>113</v>
      </c>
      <c r="D87" s="11"/>
      <c r="E87" s="11"/>
      <c r="F87" s="23">
        <v>17167.152045985</v>
      </c>
      <c r="G87" s="20">
        <v>0.46816986999999999</v>
      </c>
      <c r="H87" s="17" t="s">
        <v>12</v>
      </c>
    </row>
    <row r="88" spans="1:17" x14ac:dyDescent="0.2">
      <c r="A88" s="11"/>
      <c r="B88" s="11"/>
      <c r="C88" s="22"/>
      <c r="D88" s="11"/>
      <c r="E88" s="11"/>
      <c r="F88" s="11"/>
      <c r="G88" s="11"/>
      <c r="H88" s="17" t="s">
        <v>12</v>
      </c>
    </row>
    <row r="89" spans="1:17" x14ac:dyDescent="0.2">
      <c r="A89" s="11"/>
      <c r="B89" s="11"/>
      <c r="C89" s="18" t="s">
        <v>114</v>
      </c>
      <c r="D89" s="11"/>
      <c r="E89" s="11"/>
      <c r="F89" s="11"/>
      <c r="G89" s="11"/>
      <c r="H89" s="17" t="s">
        <v>12</v>
      </c>
    </row>
    <row r="90" spans="1:17" x14ac:dyDescent="0.2">
      <c r="A90" s="11"/>
      <c r="B90" s="11"/>
      <c r="C90" s="18" t="s">
        <v>115</v>
      </c>
      <c r="D90" s="11"/>
      <c r="E90" s="11"/>
      <c r="F90" s="11"/>
      <c r="G90" s="11"/>
      <c r="H90" s="17" t="s">
        <v>12</v>
      </c>
    </row>
    <row r="91" spans="1:17" x14ac:dyDescent="0.2">
      <c r="A91" s="11"/>
      <c r="B91" s="11"/>
      <c r="C91" s="18" t="s">
        <v>11</v>
      </c>
      <c r="D91" s="11"/>
      <c r="E91" s="11" t="s">
        <v>12</v>
      </c>
      <c r="F91" s="19" t="s">
        <v>13</v>
      </c>
      <c r="G91" s="20">
        <v>0</v>
      </c>
      <c r="H91" s="17" t="s">
        <v>12</v>
      </c>
    </row>
    <row r="92" spans="1:17" x14ac:dyDescent="0.2">
      <c r="A92" s="16"/>
      <c r="B92" s="16"/>
      <c r="C92" s="65"/>
      <c r="D92" s="16"/>
      <c r="E92" s="16"/>
      <c r="F92" s="35"/>
      <c r="G92" s="35"/>
      <c r="H92" s="17" t="s">
        <v>12</v>
      </c>
    </row>
    <row r="93" spans="1:17" x14ac:dyDescent="0.2">
      <c r="A93" s="16"/>
      <c r="B93" s="16"/>
      <c r="C93" s="8" t="s">
        <v>618</v>
      </c>
      <c r="D93" s="16"/>
      <c r="E93" s="16"/>
      <c r="F93" s="35"/>
      <c r="G93" s="35"/>
      <c r="H93" s="17" t="s">
        <v>12</v>
      </c>
      <c r="K93" s="48"/>
      <c r="L93" s="48"/>
      <c r="M93" s="48"/>
      <c r="N93" s="48"/>
      <c r="O93" s="66"/>
      <c r="P93" s="66"/>
      <c r="Q93" s="66"/>
    </row>
    <row r="94" spans="1:17" x14ac:dyDescent="0.2">
      <c r="A94" s="59">
        <v>1</v>
      </c>
      <c r="B94" s="60" t="s">
        <v>116</v>
      </c>
      <c r="C94" s="60" t="s">
        <v>117</v>
      </c>
      <c r="D94" s="60"/>
      <c r="E94" s="67">
        <v>1043.4449999999999</v>
      </c>
      <c r="F94" s="62">
        <v>117.575837542</v>
      </c>
      <c r="G94" s="63">
        <v>3.2064400000000001E-3</v>
      </c>
      <c r="H94" s="17"/>
    </row>
    <row r="95" spans="1:17" x14ac:dyDescent="0.2">
      <c r="A95" s="16"/>
      <c r="B95" s="16"/>
      <c r="C95" s="8" t="s">
        <v>11</v>
      </c>
      <c r="D95" s="16"/>
      <c r="E95" s="16" t="s">
        <v>12</v>
      </c>
      <c r="F95" s="68">
        <f>SUM(F94)</f>
        <v>117.575837542</v>
      </c>
      <c r="G95" s="69">
        <f>SUM(G94)</f>
        <v>3.2064400000000001E-3</v>
      </c>
      <c r="H95" s="17" t="s">
        <v>12</v>
      </c>
    </row>
    <row r="96" spans="1:17" x14ac:dyDescent="0.2">
      <c r="A96" s="16"/>
      <c r="B96" s="16"/>
      <c r="C96" s="65"/>
      <c r="D96" s="16"/>
      <c r="E96" s="16"/>
      <c r="F96" s="35"/>
      <c r="G96" s="35"/>
      <c r="H96" s="17" t="s">
        <v>12</v>
      </c>
    </row>
    <row r="97" spans="1:8" x14ac:dyDescent="0.2">
      <c r="A97" s="11"/>
      <c r="B97" s="11"/>
      <c r="C97" s="18" t="s">
        <v>118</v>
      </c>
      <c r="D97" s="11"/>
      <c r="E97" s="11"/>
      <c r="F97" s="11"/>
      <c r="G97" s="11"/>
      <c r="H97" s="17" t="s">
        <v>12</v>
      </c>
    </row>
    <row r="98" spans="1:8" x14ac:dyDescent="0.2">
      <c r="A98" s="11"/>
      <c r="B98" s="11"/>
      <c r="C98" s="18" t="s">
        <v>119</v>
      </c>
      <c r="D98" s="11"/>
      <c r="E98" s="11"/>
      <c r="F98" s="11"/>
      <c r="G98" s="11"/>
      <c r="H98" s="17" t="s">
        <v>12</v>
      </c>
    </row>
    <row r="99" spans="1:8" x14ac:dyDescent="0.2">
      <c r="A99" s="11"/>
      <c r="B99" s="11"/>
      <c r="C99" s="18" t="s">
        <v>11</v>
      </c>
      <c r="D99" s="11"/>
      <c r="E99" s="11" t="s">
        <v>12</v>
      </c>
      <c r="F99" s="19" t="s">
        <v>13</v>
      </c>
      <c r="G99" s="20">
        <v>0</v>
      </c>
      <c r="H99" s="17" t="s">
        <v>12</v>
      </c>
    </row>
    <row r="100" spans="1:8" x14ac:dyDescent="0.2">
      <c r="A100" s="11"/>
      <c r="B100" s="11"/>
      <c r="C100" s="21"/>
      <c r="D100" s="11"/>
      <c r="E100" s="11"/>
      <c r="F100" s="22"/>
      <c r="G100" s="22"/>
      <c r="H100" s="17" t="s">
        <v>12</v>
      </c>
    </row>
    <row r="101" spans="1:8" x14ac:dyDescent="0.2">
      <c r="A101" s="11"/>
      <c r="B101" s="11"/>
      <c r="C101" s="18" t="s">
        <v>120</v>
      </c>
      <c r="D101" s="11"/>
      <c r="E101" s="11"/>
      <c r="F101" s="22"/>
      <c r="G101" s="22"/>
      <c r="H101" s="17" t="s">
        <v>12</v>
      </c>
    </row>
    <row r="102" spans="1:8" x14ac:dyDescent="0.2">
      <c r="A102" s="11"/>
      <c r="B102" s="11"/>
      <c r="C102" s="18" t="s">
        <v>11</v>
      </c>
      <c r="D102" s="11"/>
      <c r="E102" s="11" t="s">
        <v>12</v>
      </c>
      <c r="F102" s="19" t="s">
        <v>13</v>
      </c>
      <c r="G102" s="20">
        <v>0</v>
      </c>
      <c r="H102" s="17" t="s">
        <v>12</v>
      </c>
    </row>
    <row r="103" spans="1:8" x14ac:dyDescent="0.2">
      <c r="A103" s="11"/>
      <c r="B103" s="9"/>
      <c r="C103" s="9"/>
      <c r="D103" s="18"/>
      <c r="E103" s="11"/>
      <c r="F103" s="9"/>
      <c r="G103" s="28"/>
      <c r="H103" s="17" t="s">
        <v>12</v>
      </c>
    </row>
    <row r="104" spans="1:8" x14ac:dyDescent="0.2">
      <c r="A104" s="28"/>
      <c r="B104" s="9"/>
      <c r="C104" s="9" t="s">
        <v>121</v>
      </c>
      <c r="D104" s="9"/>
      <c r="E104" s="28"/>
      <c r="F104" s="26">
        <f>585.37587597-F25-0.00434222700119019</f>
        <v>585.36153374299886</v>
      </c>
      <c r="G104" s="27">
        <v>1.5963939999999999E-2</v>
      </c>
      <c r="H104" s="17" t="s">
        <v>12</v>
      </c>
    </row>
    <row r="105" spans="1:8" x14ac:dyDescent="0.2">
      <c r="A105" s="21"/>
      <c r="B105" s="21"/>
      <c r="C105" s="18" t="s">
        <v>122</v>
      </c>
      <c r="D105" s="22"/>
      <c r="E105" s="22"/>
      <c r="F105" s="23">
        <f>36668.639609497-0.00434222700119019</f>
        <v>36668.635267269994</v>
      </c>
      <c r="G105" s="29">
        <v>1.00000003</v>
      </c>
      <c r="H105" s="17" t="s">
        <v>12</v>
      </c>
    </row>
    <row r="106" spans="1:8" x14ac:dyDescent="0.2">
      <c r="A106" s="30"/>
      <c r="B106" s="30"/>
      <c r="C106" s="30"/>
      <c r="D106" s="10"/>
      <c r="E106" s="10"/>
      <c r="F106" s="10"/>
      <c r="G106" s="10"/>
    </row>
    <row r="107" spans="1:8" x14ac:dyDescent="0.2">
      <c r="A107" s="31"/>
      <c r="B107" s="148" t="s">
        <v>619</v>
      </c>
      <c r="C107" s="148"/>
      <c r="D107" s="148"/>
      <c r="E107" s="148"/>
      <c r="F107" s="148"/>
      <c r="G107" s="148"/>
      <c r="H107" s="148"/>
    </row>
    <row r="108" spans="1:8" x14ac:dyDescent="0.2">
      <c r="A108" s="31"/>
      <c r="B108" s="148" t="s">
        <v>620</v>
      </c>
      <c r="C108" s="148"/>
      <c r="D108" s="148"/>
      <c r="E108" s="148"/>
      <c r="F108" s="148"/>
      <c r="G108" s="148"/>
      <c r="H108" s="148"/>
    </row>
    <row r="109" spans="1:8" x14ac:dyDescent="0.2">
      <c r="A109" s="31"/>
      <c r="B109" s="148" t="s">
        <v>621</v>
      </c>
      <c r="C109" s="148"/>
      <c r="D109" s="148"/>
      <c r="E109" s="148"/>
      <c r="F109" s="148"/>
      <c r="G109" s="148"/>
      <c r="H109" s="148"/>
    </row>
    <row r="110" spans="1:8" x14ac:dyDescent="0.2">
      <c r="A110" s="31"/>
      <c r="B110" s="31"/>
      <c r="C110" s="31"/>
      <c r="D110" s="33"/>
      <c r="E110" s="33"/>
      <c r="F110" s="33"/>
      <c r="G110" s="33"/>
    </row>
    <row r="111" spans="1:8" x14ac:dyDescent="0.2">
      <c r="A111" s="31"/>
      <c r="B111" s="149" t="s">
        <v>123</v>
      </c>
      <c r="C111" s="150"/>
      <c r="D111" s="151"/>
      <c r="E111" s="34"/>
      <c r="F111" s="33"/>
      <c r="G111" s="33"/>
    </row>
    <row r="112" spans="1:8" ht="25.5" x14ac:dyDescent="0.2">
      <c r="A112" s="31"/>
      <c r="B112" s="152" t="s">
        <v>124</v>
      </c>
      <c r="C112" s="153"/>
      <c r="D112" s="84" t="s">
        <v>704</v>
      </c>
      <c r="E112" s="34"/>
      <c r="F112" s="33"/>
      <c r="G112" s="33"/>
    </row>
    <row r="113" spans="1:15" x14ac:dyDescent="0.2">
      <c r="A113" s="31"/>
      <c r="B113" s="152" t="s">
        <v>126</v>
      </c>
      <c r="C113" s="153"/>
      <c r="D113" s="8" t="s">
        <v>125</v>
      </c>
      <c r="E113" s="34"/>
      <c r="F113" s="33"/>
      <c r="G113" s="33"/>
    </row>
    <row r="114" spans="1:15" x14ac:dyDescent="0.2">
      <c r="A114" s="31"/>
      <c r="B114" s="152" t="s">
        <v>127</v>
      </c>
      <c r="C114" s="153"/>
      <c r="D114" s="35" t="s">
        <v>12</v>
      </c>
      <c r="E114" s="34"/>
      <c r="F114" s="33"/>
      <c r="G114" s="33"/>
    </row>
    <row r="115" spans="1:15" x14ac:dyDescent="0.2">
      <c r="A115" s="36"/>
      <c r="B115" s="37" t="s">
        <v>12</v>
      </c>
      <c r="C115" s="37" t="s">
        <v>622</v>
      </c>
      <c r="D115" s="37" t="s">
        <v>128</v>
      </c>
      <c r="E115" s="36"/>
      <c r="F115" s="36"/>
      <c r="G115" s="36"/>
    </row>
    <row r="116" spans="1:15" x14ac:dyDescent="0.2">
      <c r="A116" s="36"/>
      <c r="B116" s="38" t="s">
        <v>129</v>
      </c>
      <c r="C116" s="39">
        <v>45838</v>
      </c>
      <c r="D116" s="39">
        <v>45853</v>
      </c>
      <c r="E116" s="36"/>
      <c r="F116" s="36"/>
      <c r="G116" s="36"/>
    </row>
    <row r="117" spans="1:15" x14ac:dyDescent="0.2">
      <c r="A117" s="40"/>
      <c r="B117" s="9" t="s">
        <v>130</v>
      </c>
      <c r="C117" s="41">
        <v>3716.6248000000001</v>
      </c>
      <c r="D117" s="41">
        <v>3729.855</v>
      </c>
      <c r="E117" s="40"/>
      <c r="F117" s="42"/>
      <c r="G117" s="43"/>
    </row>
    <row r="118" spans="1:15" ht="25.5" x14ac:dyDescent="0.2">
      <c r="A118" s="40"/>
      <c r="B118" s="9" t="s">
        <v>743</v>
      </c>
      <c r="C118" s="41">
        <v>1106.1357</v>
      </c>
      <c r="D118" s="41">
        <v>1110.0734</v>
      </c>
      <c r="E118" s="40"/>
      <c r="F118" s="42"/>
      <c r="G118" s="43"/>
    </row>
    <row r="119" spans="1:15" x14ac:dyDescent="0.2">
      <c r="A119" s="40"/>
      <c r="B119" s="9" t="s">
        <v>131</v>
      </c>
      <c r="C119" s="41">
        <v>3466.3467000000001</v>
      </c>
      <c r="D119" s="41">
        <v>3477.6140999999998</v>
      </c>
      <c r="E119" s="40"/>
      <c r="F119" s="42"/>
      <c r="G119" s="43"/>
    </row>
    <row r="120" spans="1:15" ht="25.5" x14ac:dyDescent="0.2">
      <c r="A120" s="40"/>
      <c r="B120" s="9" t="s">
        <v>744</v>
      </c>
      <c r="C120" s="41">
        <v>1093.2005999999999</v>
      </c>
      <c r="D120" s="41">
        <v>1096.7541000000001</v>
      </c>
      <c r="E120" s="40"/>
      <c r="F120" s="42"/>
      <c r="G120" s="43"/>
    </row>
    <row r="121" spans="1:15" x14ac:dyDescent="0.2">
      <c r="A121" s="40"/>
      <c r="B121" s="40"/>
      <c r="C121" s="40"/>
      <c r="D121" s="40"/>
      <c r="E121" s="40"/>
      <c r="F121" s="40"/>
      <c r="G121" s="40"/>
    </row>
    <row r="122" spans="1:15" x14ac:dyDescent="0.2">
      <c r="A122" s="40"/>
      <c r="B122" s="155" t="s">
        <v>742</v>
      </c>
      <c r="C122" s="156"/>
      <c r="D122" s="8" t="s">
        <v>125</v>
      </c>
      <c r="E122" s="40"/>
      <c r="F122" s="40"/>
      <c r="G122" s="40"/>
    </row>
    <row r="123" spans="1:15" x14ac:dyDescent="0.2">
      <c r="A123" s="40"/>
      <c r="B123" s="44"/>
      <c r="C123" s="44"/>
      <c r="D123" s="44"/>
      <c r="E123" s="40"/>
      <c r="F123" s="40"/>
      <c r="G123" s="40"/>
    </row>
    <row r="124" spans="1:15" x14ac:dyDescent="0.2">
      <c r="A124" s="36"/>
      <c r="B124" s="152" t="s">
        <v>132</v>
      </c>
      <c r="C124" s="153"/>
      <c r="D124" s="8" t="s">
        <v>125</v>
      </c>
      <c r="E124" s="47"/>
      <c r="F124" s="36"/>
      <c r="G124" s="36"/>
    </row>
    <row r="125" spans="1:15" x14ac:dyDescent="0.2">
      <c r="A125" s="36"/>
      <c r="B125" s="152" t="s">
        <v>133</v>
      </c>
      <c r="C125" s="153"/>
      <c r="D125" s="8" t="s">
        <v>125</v>
      </c>
      <c r="E125" s="47"/>
      <c r="F125" s="36"/>
      <c r="G125" s="36"/>
    </row>
    <row r="126" spans="1:15" x14ac:dyDescent="0.2">
      <c r="A126" s="36"/>
      <c r="B126" s="152" t="s">
        <v>623</v>
      </c>
      <c r="C126" s="153"/>
      <c r="D126" s="8" t="s">
        <v>125</v>
      </c>
      <c r="E126" s="47"/>
      <c r="F126" s="36"/>
      <c r="G126" s="36"/>
    </row>
    <row r="127" spans="1:15" x14ac:dyDescent="0.2">
      <c r="A127" s="36"/>
      <c r="B127" s="32"/>
      <c r="C127" s="32"/>
      <c r="D127" s="132"/>
      <c r="E127" s="36"/>
      <c r="F127" s="36"/>
      <c r="G127" s="36"/>
      <c r="J127" s="15"/>
    </row>
    <row r="128" spans="1:15" s="49" customFormat="1" x14ac:dyDescent="0.2">
      <c r="B128" s="157" t="s">
        <v>624</v>
      </c>
      <c r="C128" s="158"/>
      <c r="D128" s="159"/>
      <c r="I128"/>
      <c r="J128" s="15"/>
      <c r="K128" s="48"/>
      <c r="L128" s="48"/>
      <c r="M128" s="48"/>
      <c r="N128" s="48"/>
      <c r="O128" s="50"/>
    </row>
    <row r="129" spans="1:20" s="49" customFormat="1" ht="25.5" x14ac:dyDescent="0.2">
      <c r="B129" s="154" t="s">
        <v>625</v>
      </c>
      <c r="C129" s="154"/>
      <c r="D129" s="51" t="s">
        <v>276</v>
      </c>
      <c r="I129"/>
      <c r="J129" s="15"/>
      <c r="K129" s="48"/>
      <c r="L129" s="48"/>
      <c r="M129" s="48"/>
      <c r="N129" s="48"/>
      <c r="O129" s="50"/>
    </row>
    <row r="130" spans="1:20" s="49" customFormat="1" x14ac:dyDescent="0.2">
      <c r="B130" s="143" t="s">
        <v>626</v>
      </c>
      <c r="C130" s="143"/>
      <c r="D130" s="52"/>
      <c r="I130"/>
      <c r="J130" s="15"/>
      <c r="K130" s="48"/>
      <c r="L130" s="48"/>
      <c r="M130" s="48"/>
      <c r="N130" s="48"/>
      <c r="O130" s="50"/>
    </row>
    <row r="131" spans="1:20" s="49" customFormat="1" x14ac:dyDescent="0.2">
      <c r="B131" s="143"/>
      <c r="C131" s="143"/>
      <c r="D131" s="53"/>
      <c r="I131"/>
      <c r="J131" s="15"/>
      <c r="K131" s="48"/>
      <c r="L131" s="48"/>
      <c r="M131" s="48"/>
      <c r="N131" s="48"/>
      <c r="O131" s="50"/>
    </row>
    <row r="132" spans="1:20" s="49" customFormat="1" x14ac:dyDescent="0.2">
      <c r="B132" s="143" t="s">
        <v>627</v>
      </c>
      <c r="C132" s="143"/>
      <c r="D132" s="54">
        <v>6.4379821801584205</v>
      </c>
      <c r="I132"/>
      <c r="J132" s="15"/>
      <c r="K132" s="48"/>
      <c r="L132" s="48"/>
      <c r="M132" s="48"/>
      <c r="N132" s="48"/>
      <c r="O132" s="50"/>
    </row>
    <row r="133" spans="1:20" s="49" customFormat="1" x14ac:dyDescent="0.2">
      <c r="B133" s="143"/>
      <c r="C133" s="143"/>
      <c r="D133" s="53"/>
      <c r="I133"/>
      <c r="J133" s="15"/>
      <c r="K133" s="48"/>
      <c r="L133" s="48"/>
      <c r="M133" s="48"/>
      <c r="N133" s="48"/>
      <c r="O133" s="50"/>
      <c r="P133"/>
      <c r="Q133"/>
    </row>
    <row r="134" spans="1:20" s="49" customFormat="1" x14ac:dyDescent="0.2">
      <c r="B134" s="143" t="s">
        <v>628</v>
      </c>
      <c r="C134" s="143"/>
      <c r="D134" s="54">
        <v>0.91173054701320588</v>
      </c>
      <c r="I134"/>
      <c r="J134" s="15"/>
      <c r="K134" s="48"/>
      <c r="L134" s="48"/>
      <c r="M134" s="48"/>
      <c r="N134" s="48"/>
      <c r="O134" s="50"/>
      <c r="P134"/>
      <c r="Q134"/>
    </row>
    <row r="135" spans="1:20" s="49" customFormat="1" x14ac:dyDescent="0.2">
      <c r="B135" s="143" t="s">
        <v>642</v>
      </c>
      <c r="C135" s="143"/>
      <c r="D135" s="54">
        <v>0.9670516531787986</v>
      </c>
      <c r="I135"/>
      <c r="J135" s="15"/>
      <c r="K135" s="48"/>
      <c r="L135" s="48"/>
      <c r="M135" s="48"/>
      <c r="N135" s="48"/>
      <c r="O135"/>
      <c r="P135"/>
      <c r="Q135"/>
    </row>
    <row r="136" spans="1:20" s="49" customFormat="1" x14ac:dyDescent="0.2">
      <c r="B136" s="143"/>
      <c r="C136" s="143"/>
      <c r="D136" s="53"/>
      <c r="I136"/>
      <c r="J136" s="15"/>
      <c r="K136" s="48"/>
      <c r="L136" s="48"/>
      <c r="M136" s="48"/>
      <c r="N136" s="48"/>
      <c r="O136"/>
      <c r="P136"/>
      <c r="Q136"/>
    </row>
    <row r="137" spans="1:20" s="49" customFormat="1" x14ac:dyDescent="0.2">
      <c r="B137" s="143" t="s">
        <v>630</v>
      </c>
      <c r="C137" s="143"/>
      <c r="D137" s="7" t="s">
        <v>746</v>
      </c>
      <c r="I137"/>
      <c r="J137" s="15"/>
      <c r="K137" s="48"/>
      <c r="L137" s="48"/>
      <c r="M137" s="48"/>
      <c r="N137" s="48"/>
      <c r="O137" s="50"/>
    </row>
    <row r="138" spans="1:20" s="49" customFormat="1" x14ac:dyDescent="0.2">
      <c r="B138" s="144" t="s">
        <v>631</v>
      </c>
      <c r="C138" s="146"/>
      <c r="D138" s="145"/>
      <c r="I138"/>
      <c r="J138" s="15"/>
      <c r="K138" s="48"/>
      <c r="L138" s="48"/>
      <c r="M138" s="48"/>
      <c r="N138" s="48"/>
      <c r="O138"/>
      <c r="P138"/>
      <c r="Q138"/>
      <c r="R138"/>
      <c r="S138"/>
      <c r="T138"/>
    </row>
    <row r="139" spans="1:20" x14ac:dyDescent="0.2">
      <c r="A139" s="44"/>
      <c r="B139" s="44"/>
      <c r="C139" s="44"/>
      <c r="D139" s="44"/>
      <c r="E139" s="44"/>
      <c r="F139" s="44"/>
      <c r="G139" s="44"/>
      <c r="J139" s="15"/>
    </row>
    <row r="140" spans="1:20" s="49" customFormat="1" x14ac:dyDescent="0.2">
      <c r="B140" s="121" t="s">
        <v>750</v>
      </c>
      <c r="C140" s="121"/>
      <c r="D140" s="121"/>
      <c r="E140" s="121"/>
      <c r="F140" s="121"/>
      <c r="G140" s="121"/>
      <c r="H140" s="121"/>
      <c r="I140"/>
      <c r="J140" s="15"/>
      <c r="K140" s="48"/>
      <c r="L140" s="48"/>
      <c r="M140" s="48"/>
      <c r="N140" s="48"/>
      <c r="O140" s="50"/>
    </row>
    <row r="141" spans="1:20" s="49" customFormat="1" ht="6.75" customHeight="1" x14ac:dyDescent="0.2">
      <c r="B141" s="121"/>
      <c r="C141" s="121"/>
      <c r="D141" s="121"/>
      <c r="E141" s="121"/>
      <c r="F141" s="121"/>
      <c r="G141" s="121"/>
      <c r="H141" s="121"/>
      <c r="I141"/>
      <c r="J141" s="15"/>
      <c r="K141" s="48"/>
      <c r="L141" s="48"/>
      <c r="M141" s="48"/>
      <c r="N141" s="48"/>
      <c r="O141" s="50"/>
    </row>
    <row r="142" spans="1:20" ht="13.5" x14ac:dyDescent="0.25">
      <c r="B142" s="77" t="s">
        <v>643</v>
      </c>
      <c r="C142" s="77" t="s">
        <v>644</v>
      </c>
      <c r="D142" s="184" t="s">
        <v>645</v>
      </c>
      <c r="E142" s="184"/>
      <c r="F142" s="184"/>
      <c r="G142" s="183" t="s">
        <v>646</v>
      </c>
      <c r="H142" s="183"/>
      <c r="J142" s="15"/>
      <c r="K142" s="48"/>
      <c r="L142" s="48"/>
      <c r="M142" s="48"/>
      <c r="N142" s="48"/>
      <c r="P142" s="48"/>
    </row>
    <row r="143" spans="1:20" ht="13.5" x14ac:dyDescent="0.25">
      <c r="B143" s="76" t="s">
        <v>647</v>
      </c>
      <c r="C143" s="75" t="s">
        <v>648</v>
      </c>
      <c r="D143" s="181">
        <v>0</v>
      </c>
      <c r="E143" s="181"/>
      <c r="F143" s="181"/>
      <c r="G143" s="181">
        <v>0</v>
      </c>
      <c r="H143" s="181"/>
      <c r="J143" s="15"/>
      <c r="K143" s="48"/>
      <c r="L143" s="48"/>
      <c r="M143" s="48"/>
      <c r="N143" s="48"/>
      <c r="P143" s="48"/>
    </row>
    <row r="144" spans="1:20" ht="13.5" x14ac:dyDescent="0.25">
      <c r="B144" s="76" t="s">
        <v>649</v>
      </c>
      <c r="C144" s="75" t="s">
        <v>650</v>
      </c>
      <c r="D144" s="181">
        <v>0</v>
      </c>
      <c r="E144" s="181"/>
      <c r="F144" s="181"/>
      <c r="G144" s="181">
        <v>0</v>
      </c>
      <c r="H144" s="181"/>
      <c r="J144" s="15"/>
      <c r="K144" s="48"/>
      <c r="L144" s="48"/>
      <c r="M144" s="48"/>
      <c r="N144" s="48"/>
      <c r="P144" s="48"/>
    </row>
    <row r="145" spans="2:16" ht="27" x14ac:dyDescent="0.25">
      <c r="B145" s="76" t="s">
        <v>651</v>
      </c>
      <c r="C145" s="75" t="s">
        <v>652</v>
      </c>
      <c r="D145" s="181">
        <v>0</v>
      </c>
      <c r="E145" s="181"/>
      <c r="F145" s="181"/>
      <c r="G145" s="181">
        <v>0</v>
      </c>
      <c r="H145" s="181"/>
      <c r="J145" s="15"/>
      <c r="K145" s="48"/>
      <c r="L145" s="48"/>
      <c r="M145" s="48"/>
      <c r="N145" s="48"/>
      <c r="P145" s="48"/>
    </row>
    <row r="146" spans="2:16" ht="13.5" x14ac:dyDescent="0.25">
      <c r="B146" s="76"/>
      <c r="C146" s="76"/>
      <c r="D146" s="182"/>
      <c r="E146" s="182"/>
      <c r="F146" s="182"/>
      <c r="G146" s="182"/>
      <c r="H146" s="182"/>
      <c r="J146" s="15"/>
      <c r="K146" s="48"/>
      <c r="L146" s="48"/>
      <c r="M146" s="48"/>
      <c r="N146" s="48"/>
      <c r="P146" s="48"/>
    </row>
    <row r="147" spans="2:16" ht="13.5" x14ac:dyDescent="0.25">
      <c r="B147" s="183" t="s">
        <v>653</v>
      </c>
      <c r="C147" s="183"/>
      <c r="D147" s="183"/>
      <c r="E147" s="183"/>
      <c r="F147" s="183"/>
      <c r="G147" s="183"/>
      <c r="H147" s="183"/>
      <c r="J147" s="15"/>
      <c r="K147" s="48"/>
      <c r="L147" s="48"/>
      <c r="M147" s="48"/>
      <c r="N147" s="48"/>
      <c r="P147" s="48"/>
    </row>
    <row r="148" spans="2:16" ht="13.5" customHeight="1" x14ac:dyDescent="0.2">
      <c r="B148" s="179" t="s">
        <v>643</v>
      </c>
      <c r="C148" s="179" t="s">
        <v>644</v>
      </c>
      <c r="D148" s="179" t="s">
        <v>654</v>
      </c>
      <c r="E148" s="179"/>
      <c r="F148" s="179"/>
      <c r="G148" s="179"/>
      <c r="H148" s="180" t="s">
        <v>655</v>
      </c>
      <c r="I148" s="180" t="s">
        <v>656</v>
      </c>
      <c r="J148" s="166" t="s">
        <v>657</v>
      </c>
      <c r="K148" s="48"/>
      <c r="L148" s="48"/>
      <c r="M148" s="48"/>
      <c r="N148" s="48"/>
      <c r="O148" s="48"/>
      <c r="P148" s="48"/>
    </row>
    <row r="149" spans="2:16" ht="94.5" customHeight="1" x14ac:dyDescent="0.2">
      <c r="B149" s="179"/>
      <c r="C149" s="179"/>
      <c r="D149" s="72" t="s">
        <v>658</v>
      </c>
      <c r="E149" s="72" t="s">
        <v>659</v>
      </c>
      <c r="F149" s="72" t="s">
        <v>660</v>
      </c>
      <c r="G149" s="72" t="s">
        <v>661</v>
      </c>
      <c r="H149" s="180"/>
      <c r="I149" s="180"/>
      <c r="J149" s="167"/>
      <c r="K149" s="48"/>
      <c r="L149" s="48"/>
      <c r="M149" s="48"/>
      <c r="N149" s="48"/>
      <c r="O149" s="48"/>
      <c r="P149" s="48"/>
    </row>
    <row r="150" spans="2:16" ht="13.5" x14ac:dyDescent="0.25">
      <c r="B150" s="76" t="s">
        <v>647</v>
      </c>
      <c r="C150" s="75" t="s">
        <v>648</v>
      </c>
      <c r="D150" s="78">
        <v>1500</v>
      </c>
      <c r="E150" s="78">
        <v>99.850684900000005</v>
      </c>
      <c r="F150" s="130">
        <v>36.275342200000004</v>
      </c>
      <c r="G150" s="123">
        <v>1636.1260271000001</v>
      </c>
      <c r="H150" s="3">
        <v>726.67232000000001</v>
      </c>
      <c r="I150" s="3">
        <f>1250521/10^5</f>
        <v>12.50521</v>
      </c>
      <c r="J150" s="3">
        <f>H150+I150</f>
        <v>739.17753000000005</v>
      </c>
      <c r="K150" s="48"/>
      <c r="L150" s="48"/>
      <c r="M150" s="48"/>
      <c r="N150" s="48"/>
      <c r="O150" s="48"/>
      <c r="P150" s="48"/>
    </row>
    <row r="151" spans="2:16" ht="13.5" x14ac:dyDescent="0.25">
      <c r="B151" s="76" t="s">
        <v>649</v>
      </c>
      <c r="C151" s="75" t="s">
        <v>650</v>
      </c>
      <c r="D151" s="78">
        <v>2517.2199999999998</v>
      </c>
      <c r="E151" s="78">
        <v>183.25361600000002</v>
      </c>
      <c r="F151" s="130">
        <v>45.813405699999997</v>
      </c>
      <c r="G151" s="123">
        <v>2746.2870217</v>
      </c>
      <c r="H151" s="3">
        <v>1225.53333</v>
      </c>
      <c r="I151" s="3">
        <f>2109013/10^5</f>
        <v>21.090129999999998</v>
      </c>
      <c r="J151" s="3">
        <f>H151+I151</f>
        <v>1246.62346</v>
      </c>
      <c r="K151" s="48"/>
      <c r="L151" s="48"/>
      <c r="M151" s="48"/>
      <c r="N151" s="48"/>
      <c r="O151" s="48"/>
      <c r="P151" s="48"/>
    </row>
    <row r="152" spans="2:16" ht="27" x14ac:dyDescent="0.25">
      <c r="B152" s="76" t="s">
        <v>651</v>
      </c>
      <c r="C152" s="75" t="s">
        <v>652</v>
      </c>
      <c r="D152" s="78">
        <v>4882.25</v>
      </c>
      <c r="E152" s="78">
        <v>323.21163799999999</v>
      </c>
      <c r="F152" s="130">
        <v>117.42144879999999</v>
      </c>
      <c r="G152" s="123">
        <v>5322.8830868000005</v>
      </c>
      <c r="H152" s="3">
        <v>2364.0489899999998</v>
      </c>
      <c r="I152" s="3">
        <f>4068280/10^5</f>
        <v>40.6828</v>
      </c>
      <c r="J152" s="3">
        <f>H152+I152</f>
        <v>2404.7317899999998</v>
      </c>
      <c r="K152" s="48"/>
      <c r="L152" s="48"/>
      <c r="M152" s="48"/>
      <c r="N152" s="48"/>
      <c r="O152" s="48"/>
      <c r="P152" s="48"/>
    </row>
    <row r="153" spans="2:16" ht="13.5" x14ac:dyDescent="0.25">
      <c r="B153" s="124"/>
      <c r="C153" s="125"/>
      <c r="D153" s="131"/>
      <c r="E153" s="131"/>
      <c r="F153" s="6"/>
      <c r="G153" s="127"/>
      <c r="H153" s="4"/>
      <c r="I153" s="4"/>
      <c r="J153" s="4"/>
      <c r="K153" s="48"/>
      <c r="L153" s="48"/>
      <c r="M153" s="48"/>
      <c r="N153" s="48"/>
      <c r="O153" s="48"/>
      <c r="P153" s="48"/>
    </row>
    <row r="154" spans="2:16" ht="13.5" customHeight="1" x14ac:dyDescent="0.2">
      <c r="B154" s="168" t="s">
        <v>643</v>
      </c>
      <c r="C154" s="168" t="s">
        <v>644</v>
      </c>
      <c r="D154" s="171" t="s">
        <v>654</v>
      </c>
      <c r="E154" s="172"/>
      <c r="F154" s="173"/>
      <c r="G154" s="174" t="s">
        <v>662</v>
      </c>
      <c r="H154" s="175"/>
      <c r="I154" s="176"/>
      <c r="J154" s="48"/>
      <c r="K154" s="48"/>
      <c r="L154" s="48"/>
      <c r="M154" s="48"/>
      <c r="N154" s="48"/>
      <c r="O154" s="48"/>
    </row>
    <row r="155" spans="2:16" ht="46.5" customHeight="1" x14ac:dyDescent="0.2">
      <c r="B155" s="169"/>
      <c r="C155" s="169"/>
      <c r="D155" s="166" t="s">
        <v>663</v>
      </c>
      <c r="E155" s="166" t="s">
        <v>664</v>
      </c>
      <c r="F155" s="166" t="s">
        <v>665</v>
      </c>
      <c r="G155" s="177" t="s">
        <v>666</v>
      </c>
      <c r="H155" s="178"/>
      <c r="I155" s="166" t="s">
        <v>667</v>
      </c>
      <c r="J155" s="48"/>
      <c r="K155" s="48"/>
      <c r="L155" s="48"/>
      <c r="M155" s="48"/>
      <c r="N155" s="48"/>
      <c r="O155" s="48"/>
    </row>
    <row r="156" spans="2:16" ht="21" customHeight="1" x14ac:dyDescent="0.2">
      <c r="B156" s="170"/>
      <c r="C156" s="170"/>
      <c r="D156" s="167"/>
      <c r="E156" s="167"/>
      <c r="F156" s="167"/>
      <c r="G156" s="72" t="s">
        <v>668</v>
      </c>
      <c r="H156" s="72" t="s">
        <v>669</v>
      </c>
      <c r="I156" s="167"/>
      <c r="J156" s="48"/>
      <c r="K156" s="48"/>
      <c r="L156" s="48"/>
      <c r="M156" s="48"/>
      <c r="N156" s="48"/>
      <c r="O156" s="48"/>
    </row>
    <row r="157" spans="2:16" ht="13.5" x14ac:dyDescent="0.25">
      <c r="B157" s="76" t="s">
        <v>670</v>
      </c>
      <c r="C157" s="75" t="s">
        <v>671</v>
      </c>
      <c r="D157" s="122">
        <v>293.30880000000002</v>
      </c>
      <c r="E157" s="5">
        <v>6.6912000000000003</v>
      </c>
      <c r="F157" s="123">
        <f>D157+E157</f>
        <v>300</v>
      </c>
      <c r="G157" s="3">
        <v>12.699082800000001</v>
      </c>
      <c r="H157" s="3">
        <v>8</v>
      </c>
      <c r="I157" s="3">
        <f>G157+H157</f>
        <v>20.699082799999999</v>
      </c>
      <c r="J157" s="48"/>
      <c r="K157" s="48"/>
      <c r="L157" s="48"/>
      <c r="M157" s="48"/>
      <c r="N157" s="48"/>
      <c r="O157" s="48"/>
    </row>
    <row r="158" spans="2:16" ht="6.75" customHeight="1" x14ac:dyDescent="0.25">
      <c r="B158" s="124"/>
      <c r="C158" s="125"/>
      <c r="D158" s="126"/>
      <c r="E158" s="6"/>
      <c r="F158" s="127"/>
      <c r="G158" s="4"/>
      <c r="H158" s="4"/>
      <c r="I158" s="4"/>
      <c r="J158" s="48"/>
      <c r="K158" s="48"/>
      <c r="L158" s="48"/>
      <c r="M158" s="48"/>
      <c r="N158" s="48"/>
      <c r="O158" s="48"/>
    </row>
    <row r="159" spans="2:16" ht="45" customHeight="1" x14ac:dyDescent="0.2">
      <c r="B159" s="165" t="s">
        <v>672</v>
      </c>
      <c r="C159" s="165"/>
      <c r="D159" s="165"/>
      <c r="E159" s="165"/>
      <c r="F159" s="165"/>
      <c r="G159" s="165"/>
      <c r="H159" s="165"/>
      <c r="I159" s="165"/>
      <c r="J159" s="128"/>
      <c r="K159" s="48"/>
      <c r="L159" s="48"/>
      <c r="M159" s="48"/>
      <c r="N159" s="48"/>
      <c r="O159" s="48"/>
    </row>
    <row r="160" spans="2:16" ht="13.5" x14ac:dyDescent="0.25">
      <c r="B160" s="81" t="s">
        <v>673</v>
      </c>
      <c r="I160" s="48"/>
      <c r="J160" s="15"/>
      <c r="K160" s="48"/>
      <c r="L160" s="48"/>
      <c r="M160" s="48"/>
      <c r="N160" s="48"/>
      <c r="O160" s="48"/>
      <c r="P160" s="48"/>
    </row>
    <row r="161" spans="2:16" x14ac:dyDescent="0.2">
      <c r="B161" s="48"/>
      <c r="C161" s="48"/>
      <c r="D161" s="48"/>
      <c r="E161" s="48"/>
      <c r="F161" s="48"/>
      <c r="G161" s="48"/>
      <c r="H161" s="48"/>
      <c r="I161" s="48"/>
      <c r="J161" s="15"/>
      <c r="K161" s="48"/>
      <c r="L161" s="48"/>
      <c r="M161" s="48"/>
      <c r="N161" s="48"/>
      <c r="O161" s="48"/>
      <c r="P161" s="48"/>
    </row>
    <row r="162" spans="2:16" x14ac:dyDescent="0.2">
      <c r="B162" s="82" t="s">
        <v>674</v>
      </c>
      <c r="C162" s="48"/>
      <c r="D162" s="48"/>
      <c r="E162" s="48"/>
      <c r="F162" s="48"/>
      <c r="G162" s="48"/>
      <c r="H162" s="48"/>
      <c r="I162" s="48"/>
      <c r="J162" s="15"/>
      <c r="K162" s="48"/>
      <c r="L162" s="48"/>
      <c r="M162" s="48"/>
      <c r="N162" s="48"/>
      <c r="O162" s="48"/>
      <c r="P162" s="48"/>
    </row>
    <row r="163" spans="2:16" x14ac:dyDescent="0.2">
      <c r="B163" s="48"/>
      <c r="C163" s="48"/>
      <c r="D163" s="48"/>
      <c r="E163" s="48"/>
      <c r="F163" s="48"/>
      <c r="G163" s="48"/>
      <c r="H163" s="48"/>
      <c r="I163" s="48"/>
      <c r="J163" s="15"/>
      <c r="K163" s="48"/>
      <c r="L163" s="48"/>
      <c r="M163" s="48"/>
      <c r="N163" s="48"/>
      <c r="O163" s="48"/>
      <c r="P163" s="48"/>
    </row>
    <row r="164" spans="2:16" x14ac:dyDescent="0.2">
      <c r="B164" s="82" t="s">
        <v>675</v>
      </c>
      <c r="C164" s="48"/>
      <c r="D164" s="48"/>
      <c r="E164" s="48"/>
      <c r="F164" s="48"/>
      <c r="G164" s="48"/>
      <c r="H164" s="48"/>
      <c r="I164" s="48"/>
      <c r="J164" s="15"/>
      <c r="K164" s="48"/>
      <c r="L164" s="48"/>
      <c r="M164" s="48"/>
      <c r="N164" s="48"/>
      <c r="O164" s="48"/>
      <c r="P164" s="48"/>
    </row>
    <row r="165" spans="2:16" x14ac:dyDescent="0.2">
      <c r="J165" s="15"/>
    </row>
    <row r="166" spans="2:16" x14ac:dyDescent="0.2">
      <c r="B166" s="82" t="s">
        <v>676</v>
      </c>
      <c r="J166" s="15"/>
      <c r="K166" s="48"/>
      <c r="L166" s="48"/>
      <c r="M166" s="48"/>
      <c r="N166" s="48"/>
      <c r="O166" s="48"/>
    </row>
    <row r="167" spans="2:16" x14ac:dyDescent="0.2">
      <c r="B167" s="82"/>
      <c r="J167" s="15"/>
      <c r="K167" s="48"/>
      <c r="L167" s="48"/>
      <c r="M167" s="48"/>
      <c r="N167" s="48"/>
      <c r="O167" s="48"/>
    </row>
    <row r="168" spans="2:16" x14ac:dyDescent="0.2">
      <c r="B168" s="82" t="s">
        <v>677</v>
      </c>
      <c r="J168" s="15"/>
      <c r="K168" s="48"/>
      <c r="L168" s="48"/>
      <c r="M168" s="48"/>
      <c r="N168" s="48"/>
      <c r="O168" s="48"/>
    </row>
    <row r="169" spans="2:16" x14ac:dyDescent="0.2">
      <c r="J169" s="15"/>
    </row>
    <row r="170" spans="2:16" x14ac:dyDescent="0.2">
      <c r="B170" s="57" t="s">
        <v>632</v>
      </c>
    </row>
    <row r="172" spans="2:16" ht="153.75" customHeight="1" x14ac:dyDescent="0.2"/>
    <row r="175" spans="2:16" x14ac:dyDescent="0.2">
      <c r="B175" s="57" t="s">
        <v>633</v>
      </c>
      <c r="C175" s="58"/>
      <c r="D175" s="57"/>
    </row>
    <row r="176" spans="2:16" x14ac:dyDescent="0.2">
      <c r="B176" s="57" t="s">
        <v>678</v>
      </c>
      <c r="D176" s="57"/>
    </row>
    <row r="177" customFormat="1" ht="180" customHeight="1" x14ac:dyDescent="0.2"/>
  </sheetData>
  <mergeCells count="52">
    <mergeCell ref="B126:C126"/>
    <mergeCell ref="B129:C129"/>
    <mergeCell ref="B124:C124"/>
    <mergeCell ref="B122:C122"/>
    <mergeCell ref="B125:C125"/>
    <mergeCell ref="B128:D128"/>
    <mergeCell ref="B109:H109"/>
    <mergeCell ref="B111:D111"/>
    <mergeCell ref="B112:C112"/>
    <mergeCell ref="B113:C113"/>
    <mergeCell ref="B114:C114"/>
    <mergeCell ref="A1:H1"/>
    <mergeCell ref="A2:H2"/>
    <mergeCell ref="A3:H3"/>
    <mergeCell ref="B107:H107"/>
    <mergeCell ref="B108:H108"/>
    <mergeCell ref="B130:C130"/>
    <mergeCell ref="B131:C131"/>
    <mergeCell ref="B132:C132"/>
    <mergeCell ref="B133:C133"/>
    <mergeCell ref="B134:C134"/>
    <mergeCell ref="B135:C135"/>
    <mergeCell ref="B136:C136"/>
    <mergeCell ref="B137:C137"/>
    <mergeCell ref="B138:D138"/>
    <mergeCell ref="D142:F142"/>
    <mergeCell ref="G142:H142"/>
    <mergeCell ref="D143:F143"/>
    <mergeCell ref="G143:H143"/>
    <mergeCell ref="D144:F144"/>
    <mergeCell ref="G144:H144"/>
    <mergeCell ref="D145:F145"/>
    <mergeCell ref="G145:H145"/>
    <mergeCell ref="D146:F146"/>
    <mergeCell ref="G146:H146"/>
    <mergeCell ref="B147:H147"/>
    <mergeCell ref="B159:I159"/>
    <mergeCell ref="J148:J149"/>
    <mergeCell ref="B154:B156"/>
    <mergeCell ref="C154:C156"/>
    <mergeCell ref="D154:F154"/>
    <mergeCell ref="G154:I154"/>
    <mergeCell ref="D155:D156"/>
    <mergeCell ref="E155:E156"/>
    <mergeCell ref="F155:F156"/>
    <mergeCell ref="G155:H155"/>
    <mergeCell ref="I155:I156"/>
    <mergeCell ref="B148:B149"/>
    <mergeCell ref="C148:C149"/>
    <mergeCell ref="D148:G148"/>
    <mergeCell ref="H148:H149"/>
    <mergeCell ref="I148:I149"/>
  </mergeCells>
  <hyperlinks>
    <hyperlink ref="I1" location="Index!B2" display="Index" xr:uid="{661B5F72-82CD-4ADB-BFEF-8C17AE790064}"/>
    <hyperlink ref="B162" r:id="rId1" xr:uid="{28CB7B3E-63BC-4B8D-9ADD-B6E6757D9FE2}"/>
    <hyperlink ref="B164" r:id="rId2" xr:uid="{F1A24E96-989F-4211-B3B4-8B2FFE25C49F}"/>
    <hyperlink ref="B166" r:id="rId3" xr:uid="{71BE6E41-ABA8-4738-A3D0-2A9881ED62B9}"/>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3794F-2B32-4C9B-9D16-9197BA6EFE72}">
  <sheetPr>
    <outlinePr summaryBelow="0" summaryRight="0"/>
  </sheetPr>
  <dimension ref="A1:R207"/>
  <sheetViews>
    <sheetView showGridLines="0" topLeftCell="A152" workbookViewId="0">
      <selection activeCell="D160" sqref="D160"/>
    </sheetView>
  </sheetViews>
  <sheetFormatPr defaultRowHeight="12.75" x14ac:dyDescent="0.2"/>
  <cols>
    <col min="1" max="1" width="5.85546875" bestFit="1" customWidth="1"/>
    <col min="2" max="2" width="19.28515625" bestFit="1" customWidth="1"/>
    <col min="3" max="3" width="48.42578125" customWidth="1"/>
    <col min="4" max="4" width="13.5703125" customWidth="1"/>
    <col min="5" max="5" width="10.42578125" bestFit="1" customWidth="1"/>
    <col min="6" max="6" width="10.140625" bestFit="1" customWidth="1"/>
    <col min="7" max="7" width="14" bestFit="1" customWidth="1"/>
    <col min="8" max="8" width="9.140625" customWidth="1"/>
  </cols>
  <sheetData>
    <row r="1" spans="1:10" ht="15" x14ac:dyDescent="0.2">
      <c r="A1" s="147" t="s">
        <v>0</v>
      </c>
      <c r="B1" s="147"/>
      <c r="C1" s="147"/>
      <c r="D1" s="147"/>
      <c r="E1" s="147"/>
      <c r="F1" s="147"/>
      <c r="G1" s="147"/>
      <c r="H1" s="147"/>
      <c r="I1" s="1" t="s">
        <v>604</v>
      </c>
    </row>
    <row r="2" spans="1:10" ht="15" x14ac:dyDescent="0.2">
      <c r="A2" s="147" t="s">
        <v>318</v>
      </c>
      <c r="B2" s="147"/>
      <c r="C2" s="147"/>
      <c r="D2" s="147"/>
      <c r="E2" s="147"/>
      <c r="F2" s="147"/>
      <c r="G2" s="147"/>
      <c r="H2" s="147"/>
    </row>
    <row r="3" spans="1:10" ht="15" x14ac:dyDescent="0.2">
      <c r="A3" s="147" t="s">
        <v>603</v>
      </c>
      <c r="B3" s="147"/>
      <c r="C3" s="147"/>
      <c r="D3" s="147"/>
      <c r="E3" s="147"/>
      <c r="F3" s="147"/>
      <c r="G3" s="147"/>
      <c r="H3" s="147"/>
    </row>
    <row r="4" spans="1:10" s="15" customFormat="1" ht="30" x14ac:dyDescent="0.2">
      <c r="A4" s="13" t="s">
        <v>2</v>
      </c>
      <c r="B4" s="13" t="s">
        <v>3</v>
      </c>
      <c r="C4" s="13" t="s">
        <v>4</v>
      </c>
      <c r="D4" s="13" t="s">
        <v>5</v>
      </c>
      <c r="E4" s="13" t="s">
        <v>6</v>
      </c>
      <c r="F4" s="13" t="s">
        <v>7</v>
      </c>
      <c r="G4" s="13" t="s">
        <v>8</v>
      </c>
      <c r="H4" s="14" t="s">
        <v>602</v>
      </c>
    </row>
    <row r="5" spans="1:10" x14ac:dyDescent="0.2">
      <c r="A5" s="16"/>
      <c r="B5" s="16"/>
      <c r="C5" s="8" t="s">
        <v>9</v>
      </c>
      <c r="D5" s="16"/>
      <c r="E5" s="16"/>
      <c r="F5" s="16"/>
      <c r="G5" s="16"/>
      <c r="H5" s="17" t="s">
        <v>12</v>
      </c>
    </row>
    <row r="6" spans="1:10" x14ac:dyDescent="0.2">
      <c r="A6" s="11"/>
      <c r="B6" s="11"/>
      <c r="C6" s="18" t="s">
        <v>10</v>
      </c>
      <c r="D6" s="11"/>
      <c r="E6" s="11"/>
      <c r="F6" s="11"/>
      <c r="G6" s="11"/>
      <c r="H6" s="17" t="s">
        <v>12</v>
      </c>
    </row>
    <row r="7" spans="1:10" x14ac:dyDescent="0.2">
      <c r="A7" s="59">
        <v>1</v>
      </c>
      <c r="B7" s="60" t="s">
        <v>637</v>
      </c>
      <c r="C7" s="60" t="s">
        <v>638</v>
      </c>
      <c r="D7" s="60" t="s">
        <v>639</v>
      </c>
      <c r="E7" s="61">
        <v>150667</v>
      </c>
      <c r="F7" s="62">
        <v>0.15</v>
      </c>
      <c r="G7" s="99" t="s">
        <v>640</v>
      </c>
      <c r="H7" s="17" t="s">
        <v>12</v>
      </c>
      <c r="J7" s="101"/>
    </row>
    <row r="8" spans="1:10" x14ac:dyDescent="0.2">
      <c r="A8" s="16"/>
      <c r="B8" s="16"/>
      <c r="C8" s="8" t="s">
        <v>11</v>
      </c>
      <c r="D8" s="16"/>
      <c r="E8" s="16" t="s">
        <v>12</v>
      </c>
      <c r="F8" s="68">
        <f>SUM(F7)</f>
        <v>0.15</v>
      </c>
      <c r="G8" s="69">
        <v>0</v>
      </c>
      <c r="H8" s="17" t="s">
        <v>12</v>
      </c>
    </row>
    <row r="9" spans="1:10" x14ac:dyDescent="0.2">
      <c r="A9" s="11"/>
      <c r="B9" s="11"/>
      <c r="C9" s="21"/>
      <c r="D9" s="11"/>
      <c r="E9" s="11"/>
      <c r="F9" s="22"/>
      <c r="G9" s="22"/>
      <c r="H9" s="17" t="s">
        <v>12</v>
      </c>
    </row>
    <row r="10" spans="1:10" x14ac:dyDescent="0.2">
      <c r="A10" s="11"/>
      <c r="B10" s="11"/>
      <c r="C10" s="18" t="s">
        <v>14</v>
      </c>
      <c r="D10" s="11"/>
      <c r="E10" s="11"/>
      <c r="F10" s="11"/>
      <c r="G10" s="11"/>
      <c r="H10" s="17" t="s">
        <v>12</v>
      </c>
    </row>
    <row r="11" spans="1:10" x14ac:dyDescent="0.2">
      <c r="A11" s="11"/>
      <c r="B11" s="11"/>
      <c r="C11" s="18" t="s">
        <v>11</v>
      </c>
      <c r="D11" s="11"/>
      <c r="E11" s="11" t="s">
        <v>12</v>
      </c>
      <c r="F11" s="19" t="s">
        <v>13</v>
      </c>
      <c r="G11" s="20">
        <v>0</v>
      </c>
      <c r="H11" s="17" t="s">
        <v>12</v>
      </c>
    </row>
    <row r="12" spans="1:10" x14ac:dyDescent="0.2">
      <c r="A12" s="11"/>
      <c r="B12" s="11"/>
      <c r="C12" s="21"/>
      <c r="D12" s="11"/>
      <c r="E12" s="11"/>
      <c r="F12" s="22"/>
      <c r="G12" s="22"/>
      <c r="H12" s="17" t="s">
        <v>12</v>
      </c>
    </row>
    <row r="13" spans="1:10" x14ac:dyDescent="0.2">
      <c r="A13" s="11"/>
      <c r="B13" s="11"/>
      <c r="C13" s="18" t="s">
        <v>15</v>
      </c>
      <c r="D13" s="11"/>
      <c r="E13" s="11"/>
      <c r="F13" s="11"/>
      <c r="G13" s="11"/>
      <c r="H13" s="17" t="s">
        <v>12</v>
      </c>
    </row>
    <row r="14" spans="1:10" x14ac:dyDescent="0.2">
      <c r="A14" s="11"/>
      <c r="B14" s="11"/>
      <c r="C14" s="18" t="s">
        <v>11</v>
      </c>
      <c r="D14" s="11"/>
      <c r="E14" s="11" t="s">
        <v>12</v>
      </c>
      <c r="F14" s="19" t="s">
        <v>13</v>
      </c>
      <c r="G14" s="20">
        <v>0</v>
      </c>
      <c r="H14" s="17" t="s">
        <v>12</v>
      </c>
    </row>
    <row r="15" spans="1:10" x14ac:dyDescent="0.2">
      <c r="A15" s="11"/>
      <c r="B15" s="11"/>
      <c r="C15" s="21"/>
      <c r="D15" s="11"/>
      <c r="E15" s="11"/>
      <c r="F15" s="22"/>
      <c r="G15" s="22"/>
      <c r="H15" s="17" t="s">
        <v>12</v>
      </c>
    </row>
    <row r="16" spans="1:10" x14ac:dyDescent="0.2">
      <c r="A16" s="11"/>
      <c r="B16" s="11"/>
      <c r="C16" s="18" t="s">
        <v>16</v>
      </c>
      <c r="D16" s="11"/>
      <c r="E16" s="11"/>
      <c r="F16" s="11"/>
      <c r="G16" s="11"/>
      <c r="H16" s="17" t="s">
        <v>12</v>
      </c>
    </row>
    <row r="17" spans="1:8" x14ac:dyDescent="0.2">
      <c r="A17" s="11"/>
      <c r="B17" s="11"/>
      <c r="C17" s="18" t="s">
        <v>11</v>
      </c>
      <c r="D17" s="11"/>
      <c r="E17" s="11" t="s">
        <v>12</v>
      </c>
      <c r="F17" s="19" t="s">
        <v>13</v>
      </c>
      <c r="G17" s="20">
        <v>0</v>
      </c>
      <c r="H17" s="17" t="s">
        <v>12</v>
      </c>
    </row>
    <row r="18" spans="1:8" x14ac:dyDescent="0.2">
      <c r="A18" s="11"/>
      <c r="B18" s="11"/>
      <c r="C18" s="21"/>
      <c r="D18" s="11"/>
      <c r="E18" s="11"/>
      <c r="F18" s="22"/>
      <c r="G18" s="22"/>
      <c r="H18" s="17" t="s">
        <v>12</v>
      </c>
    </row>
    <row r="19" spans="1:8" x14ac:dyDescent="0.2">
      <c r="A19" s="11"/>
      <c r="B19" s="11"/>
      <c r="C19" s="18" t="s">
        <v>17</v>
      </c>
      <c r="D19" s="11"/>
      <c r="E19" s="11"/>
      <c r="F19" s="22"/>
      <c r="G19" s="22"/>
      <c r="H19" s="17" t="s">
        <v>12</v>
      </c>
    </row>
    <row r="20" spans="1:8" x14ac:dyDescent="0.2">
      <c r="A20" s="11"/>
      <c r="B20" s="11"/>
      <c r="C20" s="18" t="s">
        <v>11</v>
      </c>
      <c r="D20" s="11"/>
      <c r="E20" s="11" t="s">
        <v>12</v>
      </c>
      <c r="F20" s="19" t="s">
        <v>13</v>
      </c>
      <c r="G20" s="20">
        <v>0</v>
      </c>
      <c r="H20" s="17" t="s">
        <v>12</v>
      </c>
    </row>
    <row r="21" spans="1:8" x14ac:dyDescent="0.2">
      <c r="A21" s="11"/>
      <c r="B21" s="11"/>
      <c r="C21" s="21"/>
      <c r="D21" s="11"/>
      <c r="E21" s="11"/>
      <c r="F21" s="22"/>
      <c r="G21" s="22"/>
      <c r="H21" s="17" t="s">
        <v>12</v>
      </c>
    </row>
    <row r="22" spans="1:8" x14ac:dyDescent="0.2">
      <c r="A22" s="11"/>
      <c r="B22" s="11"/>
      <c r="C22" s="18" t="s">
        <v>18</v>
      </c>
      <c r="D22" s="11"/>
      <c r="E22" s="11"/>
      <c r="F22" s="22"/>
      <c r="G22" s="22"/>
      <c r="H22" s="17" t="s">
        <v>12</v>
      </c>
    </row>
    <row r="23" spans="1:8" x14ac:dyDescent="0.2">
      <c r="A23" s="11"/>
      <c r="B23" s="11"/>
      <c r="C23" s="18" t="s">
        <v>11</v>
      </c>
      <c r="D23" s="11"/>
      <c r="E23" s="11" t="s">
        <v>12</v>
      </c>
      <c r="F23" s="19" t="s">
        <v>13</v>
      </c>
      <c r="G23" s="20">
        <v>0</v>
      </c>
      <c r="H23" s="17" t="s">
        <v>12</v>
      </c>
    </row>
    <row r="24" spans="1:8" x14ac:dyDescent="0.2">
      <c r="A24" s="11"/>
      <c r="B24" s="11"/>
      <c r="C24" s="21"/>
      <c r="D24" s="11"/>
      <c r="E24" s="11"/>
      <c r="F24" s="22"/>
      <c r="G24" s="22"/>
      <c r="H24" s="17" t="s">
        <v>12</v>
      </c>
    </row>
    <row r="25" spans="1:8" x14ac:dyDescent="0.2">
      <c r="A25" s="16"/>
      <c r="B25" s="16"/>
      <c r="C25" s="8" t="s">
        <v>19</v>
      </c>
      <c r="D25" s="16"/>
      <c r="E25" s="16"/>
      <c r="F25" s="68">
        <f>F8</f>
        <v>0.15</v>
      </c>
      <c r="G25" s="69">
        <v>0</v>
      </c>
      <c r="H25" s="17" t="s">
        <v>12</v>
      </c>
    </row>
    <row r="26" spans="1:8" x14ac:dyDescent="0.2">
      <c r="A26" s="11"/>
      <c r="B26" s="11"/>
      <c r="C26" s="21"/>
      <c r="D26" s="11"/>
      <c r="E26" s="11"/>
      <c r="F26" s="22"/>
      <c r="G26" s="22"/>
      <c r="H26" s="17" t="s">
        <v>12</v>
      </c>
    </row>
    <row r="27" spans="1:8" x14ac:dyDescent="0.2">
      <c r="A27" s="11"/>
      <c r="B27" s="11"/>
      <c r="C27" s="18" t="s">
        <v>20</v>
      </c>
      <c r="D27" s="11"/>
      <c r="E27" s="11"/>
      <c r="F27" s="22"/>
      <c r="G27" s="22"/>
      <c r="H27" s="17" t="s">
        <v>12</v>
      </c>
    </row>
    <row r="28" spans="1:8" x14ac:dyDescent="0.2">
      <c r="A28" s="11"/>
      <c r="B28" s="11"/>
      <c r="C28" s="18" t="s">
        <v>10</v>
      </c>
      <c r="D28" s="11"/>
      <c r="E28" s="11"/>
      <c r="F28" s="22"/>
      <c r="G28" s="22"/>
      <c r="H28" s="17" t="s">
        <v>12</v>
      </c>
    </row>
    <row r="29" spans="1:8" x14ac:dyDescent="0.2">
      <c r="A29" s="24">
        <v>1</v>
      </c>
      <c r="B29" s="9" t="s">
        <v>319</v>
      </c>
      <c r="C29" s="9" t="s">
        <v>320</v>
      </c>
      <c r="D29" s="9" t="s">
        <v>23</v>
      </c>
      <c r="E29" s="25">
        <v>750</v>
      </c>
      <c r="F29" s="26">
        <v>7508.0325000000003</v>
      </c>
      <c r="G29" s="27">
        <v>1.1640849999999999E-2</v>
      </c>
      <c r="H29" s="17">
        <v>5.8</v>
      </c>
    </row>
    <row r="30" spans="1:8" x14ac:dyDescent="0.2">
      <c r="A30" s="24">
        <v>2</v>
      </c>
      <c r="B30" s="9" t="s">
        <v>321</v>
      </c>
      <c r="C30" s="9" t="s">
        <v>322</v>
      </c>
      <c r="D30" s="9" t="s">
        <v>292</v>
      </c>
      <c r="E30" s="25">
        <v>5000</v>
      </c>
      <c r="F30" s="26">
        <v>5008.57</v>
      </c>
      <c r="G30" s="27">
        <v>7.7655500000000004E-3</v>
      </c>
      <c r="H30" s="17">
        <v>6.5250000000000004</v>
      </c>
    </row>
    <row r="31" spans="1:8" x14ac:dyDescent="0.2">
      <c r="A31" s="24">
        <v>3</v>
      </c>
      <c r="B31" s="9" t="s">
        <v>323</v>
      </c>
      <c r="C31" s="9" t="s">
        <v>324</v>
      </c>
      <c r="D31" s="9" t="s">
        <v>26</v>
      </c>
      <c r="E31" s="25">
        <v>250</v>
      </c>
      <c r="F31" s="26">
        <v>2501.5749999999998</v>
      </c>
      <c r="G31" s="27">
        <v>3.87857E-3</v>
      </c>
      <c r="H31" s="17">
        <v>5.7450000000000001</v>
      </c>
    </row>
    <row r="32" spans="1:8" x14ac:dyDescent="0.2">
      <c r="A32" s="11"/>
      <c r="B32" s="11"/>
      <c r="C32" s="18" t="s">
        <v>11</v>
      </c>
      <c r="D32" s="11"/>
      <c r="E32" s="11" t="s">
        <v>12</v>
      </c>
      <c r="F32" s="23">
        <v>15018.1775</v>
      </c>
      <c r="G32" s="20">
        <v>2.3284969999999999E-2</v>
      </c>
      <c r="H32" s="17" t="s">
        <v>12</v>
      </c>
    </row>
    <row r="33" spans="1:8" x14ac:dyDescent="0.2">
      <c r="A33" s="11"/>
      <c r="B33" s="11"/>
      <c r="C33" s="21"/>
      <c r="D33" s="11"/>
      <c r="E33" s="11"/>
      <c r="F33" s="22"/>
      <c r="G33" s="22"/>
      <c r="H33" s="17" t="s">
        <v>12</v>
      </c>
    </row>
    <row r="34" spans="1:8" x14ac:dyDescent="0.2">
      <c r="A34" s="11"/>
      <c r="B34" s="11"/>
      <c r="C34" s="18" t="s">
        <v>77</v>
      </c>
      <c r="D34" s="11"/>
      <c r="E34" s="11"/>
      <c r="F34" s="11"/>
      <c r="G34" s="11"/>
      <c r="H34" s="17" t="s">
        <v>12</v>
      </c>
    </row>
    <row r="35" spans="1:8" x14ac:dyDescent="0.2">
      <c r="A35" s="11"/>
      <c r="B35" s="11"/>
      <c r="C35" s="18" t="s">
        <v>11</v>
      </c>
      <c r="D35" s="11"/>
      <c r="E35" s="11" t="s">
        <v>12</v>
      </c>
      <c r="F35" s="19" t="s">
        <v>13</v>
      </c>
      <c r="G35" s="20">
        <v>0</v>
      </c>
      <c r="H35" s="17" t="s">
        <v>12</v>
      </c>
    </row>
    <row r="36" spans="1:8" x14ac:dyDescent="0.2">
      <c r="A36" s="11"/>
      <c r="B36" s="11"/>
      <c r="C36" s="21"/>
      <c r="D36" s="11"/>
      <c r="E36" s="11"/>
      <c r="F36" s="22"/>
      <c r="G36" s="22"/>
      <c r="H36" s="17" t="s">
        <v>12</v>
      </c>
    </row>
    <row r="37" spans="1:8" x14ac:dyDescent="0.2">
      <c r="A37" s="11"/>
      <c r="B37" s="11"/>
      <c r="C37" s="18" t="s">
        <v>78</v>
      </c>
      <c r="D37" s="11"/>
      <c r="E37" s="11"/>
      <c r="F37" s="11"/>
      <c r="G37" s="11"/>
      <c r="H37" s="17" t="s">
        <v>12</v>
      </c>
    </row>
    <row r="38" spans="1:8" x14ac:dyDescent="0.2">
      <c r="A38" s="11"/>
      <c r="B38" s="11"/>
      <c r="C38" s="18" t="s">
        <v>11</v>
      </c>
      <c r="D38" s="11"/>
      <c r="E38" s="11" t="s">
        <v>12</v>
      </c>
      <c r="F38" s="19" t="s">
        <v>13</v>
      </c>
      <c r="G38" s="20">
        <v>0</v>
      </c>
      <c r="H38" s="17" t="s">
        <v>12</v>
      </c>
    </row>
    <row r="39" spans="1:8" x14ac:dyDescent="0.2">
      <c r="A39" s="11"/>
      <c r="B39" s="11"/>
      <c r="C39" s="21"/>
      <c r="D39" s="11"/>
      <c r="E39" s="11"/>
      <c r="F39" s="22"/>
      <c r="G39" s="22"/>
      <c r="H39" s="17" t="s">
        <v>12</v>
      </c>
    </row>
    <row r="40" spans="1:8" x14ac:dyDescent="0.2">
      <c r="A40" s="11"/>
      <c r="B40" s="11"/>
      <c r="C40" s="18" t="s">
        <v>96</v>
      </c>
      <c r="D40" s="11"/>
      <c r="E40" s="11"/>
      <c r="F40" s="22"/>
      <c r="G40" s="22"/>
      <c r="H40" s="17" t="s">
        <v>12</v>
      </c>
    </row>
    <row r="41" spans="1:8" x14ac:dyDescent="0.2">
      <c r="A41" s="11"/>
      <c r="B41" s="11"/>
      <c r="C41" s="18" t="s">
        <v>11</v>
      </c>
      <c r="D41" s="11"/>
      <c r="E41" s="11" t="s">
        <v>12</v>
      </c>
      <c r="F41" s="19" t="s">
        <v>13</v>
      </c>
      <c r="G41" s="20">
        <v>0</v>
      </c>
      <c r="H41" s="17" t="s">
        <v>12</v>
      </c>
    </row>
    <row r="42" spans="1:8" x14ac:dyDescent="0.2">
      <c r="A42" s="11"/>
      <c r="B42" s="11"/>
      <c r="C42" s="21"/>
      <c r="D42" s="11"/>
      <c r="E42" s="11"/>
      <c r="F42" s="22"/>
      <c r="G42" s="22"/>
      <c r="H42" s="17" t="s">
        <v>12</v>
      </c>
    </row>
    <row r="43" spans="1:8" x14ac:dyDescent="0.2">
      <c r="A43" s="11"/>
      <c r="B43" s="11"/>
      <c r="C43" s="18" t="s">
        <v>97</v>
      </c>
      <c r="D43" s="11"/>
      <c r="E43" s="11"/>
      <c r="F43" s="23">
        <v>15018.1775</v>
      </c>
      <c r="G43" s="20">
        <v>2.3284969999999999E-2</v>
      </c>
      <c r="H43" s="17" t="s">
        <v>12</v>
      </c>
    </row>
    <row r="44" spans="1:8" x14ac:dyDescent="0.2">
      <c r="A44" s="11"/>
      <c r="B44" s="11"/>
      <c r="C44" s="21"/>
      <c r="D44" s="11"/>
      <c r="E44" s="11"/>
      <c r="F44" s="22"/>
      <c r="G44" s="22"/>
      <c r="H44" s="17" t="s">
        <v>12</v>
      </c>
    </row>
    <row r="45" spans="1:8" x14ac:dyDescent="0.2">
      <c r="A45" s="11"/>
      <c r="B45" s="11"/>
      <c r="C45" s="18" t="s">
        <v>98</v>
      </c>
      <c r="D45" s="11"/>
      <c r="E45" s="11"/>
      <c r="F45" s="22"/>
      <c r="G45" s="22"/>
      <c r="H45" s="17" t="s">
        <v>12</v>
      </c>
    </row>
    <row r="46" spans="1:8" x14ac:dyDescent="0.2">
      <c r="A46" s="11"/>
      <c r="B46" s="11"/>
      <c r="C46" s="18" t="s">
        <v>99</v>
      </c>
      <c r="D46" s="11"/>
      <c r="E46" s="11"/>
      <c r="F46" s="22"/>
      <c r="G46" s="22"/>
      <c r="H46" s="17" t="s">
        <v>12</v>
      </c>
    </row>
    <row r="47" spans="1:8" x14ac:dyDescent="0.2">
      <c r="A47" s="24">
        <v>1</v>
      </c>
      <c r="B47" s="9" t="s">
        <v>325</v>
      </c>
      <c r="C47" s="9" t="s">
        <v>326</v>
      </c>
      <c r="D47" s="9" t="s">
        <v>108</v>
      </c>
      <c r="E47" s="25">
        <v>3000</v>
      </c>
      <c r="F47" s="26">
        <v>14954.16</v>
      </c>
      <c r="G47" s="27">
        <v>2.318572E-2</v>
      </c>
      <c r="H47" s="17">
        <v>5.5951000000000004</v>
      </c>
    </row>
    <row r="48" spans="1:8" x14ac:dyDescent="0.2">
      <c r="A48" s="24">
        <v>2</v>
      </c>
      <c r="B48" s="9" t="s">
        <v>327</v>
      </c>
      <c r="C48" s="9" t="s">
        <v>328</v>
      </c>
      <c r="D48" s="9" t="s">
        <v>108</v>
      </c>
      <c r="E48" s="25">
        <v>3000</v>
      </c>
      <c r="F48" s="26">
        <v>14839.545</v>
      </c>
      <c r="G48" s="27">
        <v>2.3008020000000001E-2</v>
      </c>
      <c r="H48" s="17">
        <v>5.7199</v>
      </c>
    </row>
    <row r="49" spans="1:8" x14ac:dyDescent="0.2">
      <c r="A49" s="24">
        <v>3</v>
      </c>
      <c r="B49" s="9" t="s">
        <v>329</v>
      </c>
      <c r="C49" s="9" t="s">
        <v>330</v>
      </c>
      <c r="D49" s="9" t="s">
        <v>102</v>
      </c>
      <c r="E49" s="25">
        <v>2500</v>
      </c>
      <c r="F49" s="26">
        <v>12459.5</v>
      </c>
      <c r="G49" s="27">
        <v>1.9317870000000001E-2</v>
      </c>
      <c r="H49" s="17">
        <v>5.6501000000000001</v>
      </c>
    </row>
    <row r="50" spans="1:8" x14ac:dyDescent="0.2">
      <c r="A50" s="24">
        <v>4</v>
      </c>
      <c r="B50" s="9" t="s">
        <v>331</v>
      </c>
      <c r="C50" s="9" t="s">
        <v>332</v>
      </c>
      <c r="D50" s="9" t="s">
        <v>108</v>
      </c>
      <c r="E50" s="25">
        <v>2500</v>
      </c>
      <c r="F50" s="26">
        <v>12445.125</v>
      </c>
      <c r="G50" s="27">
        <v>1.929558E-2</v>
      </c>
      <c r="H50" s="17">
        <v>5.5505000000000004</v>
      </c>
    </row>
    <row r="51" spans="1:8" x14ac:dyDescent="0.2">
      <c r="A51" s="24">
        <v>5</v>
      </c>
      <c r="B51" s="9" t="s">
        <v>333</v>
      </c>
      <c r="C51" s="9" t="s">
        <v>334</v>
      </c>
      <c r="D51" s="9" t="s">
        <v>108</v>
      </c>
      <c r="E51" s="25">
        <v>2000</v>
      </c>
      <c r="F51" s="26">
        <v>9998.52</v>
      </c>
      <c r="G51" s="27">
        <v>1.550224E-2</v>
      </c>
      <c r="H51" s="17">
        <v>5.4077999999999999</v>
      </c>
    </row>
    <row r="52" spans="1:8" x14ac:dyDescent="0.2">
      <c r="A52" s="24">
        <v>6</v>
      </c>
      <c r="B52" s="9" t="s">
        <v>335</v>
      </c>
      <c r="C52" s="9" t="s">
        <v>336</v>
      </c>
      <c r="D52" s="9" t="s">
        <v>337</v>
      </c>
      <c r="E52" s="25">
        <v>2000</v>
      </c>
      <c r="F52" s="26">
        <v>9943.51</v>
      </c>
      <c r="G52" s="27">
        <v>1.5416940000000001E-2</v>
      </c>
      <c r="H52" s="17">
        <v>5.6048999999999998</v>
      </c>
    </row>
    <row r="53" spans="1:8" x14ac:dyDescent="0.2">
      <c r="A53" s="24">
        <v>7</v>
      </c>
      <c r="B53" s="9" t="s">
        <v>338</v>
      </c>
      <c r="C53" s="9" t="s">
        <v>339</v>
      </c>
      <c r="D53" s="9" t="s">
        <v>108</v>
      </c>
      <c r="E53" s="25">
        <v>2000</v>
      </c>
      <c r="F53" s="26">
        <v>9937.82</v>
      </c>
      <c r="G53" s="27">
        <v>1.5408120000000001E-2</v>
      </c>
      <c r="H53" s="17">
        <v>5.57</v>
      </c>
    </row>
    <row r="54" spans="1:8" x14ac:dyDescent="0.2">
      <c r="A54" s="24">
        <v>8</v>
      </c>
      <c r="B54" s="9" t="s">
        <v>340</v>
      </c>
      <c r="C54" s="9" t="s">
        <v>341</v>
      </c>
      <c r="D54" s="9" t="s">
        <v>337</v>
      </c>
      <c r="E54" s="25">
        <v>2000</v>
      </c>
      <c r="F54" s="26">
        <v>9915.3700000000008</v>
      </c>
      <c r="G54" s="27">
        <v>1.5373319999999999E-2</v>
      </c>
      <c r="H54" s="17">
        <v>5.6646999999999998</v>
      </c>
    </row>
    <row r="55" spans="1:8" x14ac:dyDescent="0.2">
      <c r="A55" s="24">
        <v>9</v>
      </c>
      <c r="B55" s="9" t="s">
        <v>342</v>
      </c>
      <c r="C55" s="9" t="s">
        <v>343</v>
      </c>
      <c r="D55" s="9" t="s">
        <v>108</v>
      </c>
      <c r="E55" s="25">
        <v>2000</v>
      </c>
      <c r="F55" s="26">
        <v>9900.39</v>
      </c>
      <c r="G55" s="27">
        <v>1.535009E-2</v>
      </c>
      <c r="H55" s="17">
        <v>5.6498999999999997</v>
      </c>
    </row>
    <row r="56" spans="1:8" x14ac:dyDescent="0.2">
      <c r="A56" s="24">
        <v>10</v>
      </c>
      <c r="B56" s="9" t="s">
        <v>344</v>
      </c>
      <c r="C56" s="9" t="s">
        <v>345</v>
      </c>
      <c r="D56" s="9" t="s">
        <v>108</v>
      </c>
      <c r="E56" s="25">
        <v>1500</v>
      </c>
      <c r="F56" s="26">
        <v>7467.0749999999998</v>
      </c>
      <c r="G56" s="27">
        <v>1.157735E-2</v>
      </c>
      <c r="H56" s="17">
        <v>5.55</v>
      </c>
    </row>
    <row r="57" spans="1:8" x14ac:dyDescent="0.2">
      <c r="A57" s="24">
        <v>11</v>
      </c>
      <c r="B57" s="9" t="s">
        <v>346</v>
      </c>
      <c r="C57" s="9" t="s">
        <v>347</v>
      </c>
      <c r="D57" s="9" t="s">
        <v>102</v>
      </c>
      <c r="E57" s="25">
        <v>1500</v>
      </c>
      <c r="F57" s="26">
        <v>7442.6025</v>
      </c>
      <c r="G57" s="27">
        <v>1.153941E-2</v>
      </c>
      <c r="H57" s="17">
        <v>5.63</v>
      </c>
    </row>
    <row r="58" spans="1:8" x14ac:dyDescent="0.2">
      <c r="A58" s="24">
        <v>12</v>
      </c>
      <c r="B58" s="9" t="s">
        <v>348</v>
      </c>
      <c r="C58" s="9" t="s">
        <v>349</v>
      </c>
      <c r="D58" s="9" t="s">
        <v>108</v>
      </c>
      <c r="E58" s="25">
        <v>1500</v>
      </c>
      <c r="F58" s="26">
        <v>7442.6025</v>
      </c>
      <c r="G58" s="27">
        <v>1.153941E-2</v>
      </c>
      <c r="H58" s="17">
        <v>5.63</v>
      </c>
    </row>
    <row r="59" spans="1:8" x14ac:dyDescent="0.2">
      <c r="A59" s="24">
        <v>13</v>
      </c>
      <c r="B59" s="9" t="s">
        <v>350</v>
      </c>
      <c r="C59" s="9" t="s">
        <v>351</v>
      </c>
      <c r="D59" s="9" t="s">
        <v>108</v>
      </c>
      <c r="E59" s="25">
        <v>1500</v>
      </c>
      <c r="F59" s="26">
        <v>7436.9324999999999</v>
      </c>
      <c r="G59" s="27">
        <v>1.153061E-2</v>
      </c>
      <c r="H59" s="17">
        <v>5.6276000000000002</v>
      </c>
    </row>
    <row r="60" spans="1:8" x14ac:dyDescent="0.2">
      <c r="A60" s="24">
        <v>14</v>
      </c>
      <c r="B60" s="9" t="s">
        <v>352</v>
      </c>
      <c r="C60" s="9" t="s">
        <v>353</v>
      </c>
      <c r="D60" s="9" t="s">
        <v>108</v>
      </c>
      <c r="E60" s="25">
        <v>1500</v>
      </c>
      <c r="F60" s="26">
        <v>7426.8149999999996</v>
      </c>
      <c r="G60" s="27">
        <v>1.151493E-2</v>
      </c>
      <c r="H60" s="17">
        <v>5.6199000000000003</v>
      </c>
    </row>
    <row r="61" spans="1:8" x14ac:dyDescent="0.2">
      <c r="A61" s="24">
        <v>15</v>
      </c>
      <c r="B61" s="9" t="s">
        <v>354</v>
      </c>
      <c r="C61" s="9" t="s">
        <v>355</v>
      </c>
      <c r="D61" s="9" t="s">
        <v>102</v>
      </c>
      <c r="E61" s="25">
        <v>1500</v>
      </c>
      <c r="F61" s="26">
        <v>7426.6875</v>
      </c>
      <c r="G61" s="27">
        <v>1.1514730000000001E-2</v>
      </c>
      <c r="H61" s="17">
        <v>5.6300999999999997</v>
      </c>
    </row>
    <row r="62" spans="1:8" x14ac:dyDescent="0.2">
      <c r="A62" s="24">
        <v>16</v>
      </c>
      <c r="B62" s="9" t="s">
        <v>356</v>
      </c>
      <c r="C62" s="9" t="s">
        <v>357</v>
      </c>
      <c r="D62" s="9" t="s">
        <v>108</v>
      </c>
      <c r="E62" s="25">
        <v>1000</v>
      </c>
      <c r="F62" s="26">
        <v>4972.1000000000004</v>
      </c>
      <c r="G62" s="27">
        <v>7.7090099999999996E-3</v>
      </c>
      <c r="H62" s="17">
        <v>5.5350000000000001</v>
      </c>
    </row>
    <row r="63" spans="1:8" x14ac:dyDescent="0.2">
      <c r="A63" s="24">
        <v>17</v>
      </c>
      <c r="B63" s="9" t="s">
        <v>358</v>
      </c>
      <c r="C63" s="9" t="s">
        <v>359</v>
      </c>
      <c r="D63" s="9" t="s">
        <v>108</v>
      </c>
      <c r="E63" s="25">
        <v>1000</v>
      </c>
      <c r="F63" s="26">
        <v>4971.9250000000002</v>
      </c>
      <c r="G63" s="27">
        <v>7.7087400000000004E-3</v>
      </c>
      <c r="H63" s="17">
        <v>5.57</v>
      </c>
    </row>
    <row r="64" spans="1:8" x14ac:dyDescent="0.2">
      <c r="A64" s="24">
        <v>18</v>
      </c>
      <c r="B64" s="9" t="s">
        <v>360</v>
      </c>
      <c r="C64" s="9" t="s">
        <v>361</v>
      </c>
      <c r="D64" s="9" t="s">
        <v>108</v>
      </c>
      <c r="E64" s="25">
        <v>1000</v>
      </c>
      <c r="F64" s="26">
        <v>4971.875</v>
      </c>
      <c r="G64" s="27">
        <v>7.70866E-3</v>
      </c>
      <c r="H64" s="17">
        <v>5.5800999999999998</v>
      </c>
    </row>
    <row r="65" spans="1:8" x14ac:dyDescent="0.2">
      <c r="A65" s="24">
        <v>19</v>
      </c>
      <c r="B65" s="9" t="s">
        <v>362</v>
      </c>
      <c r="C65" s="9" t="s">
        <v>363</v>
      </c>
      <c r="D65" s="9" t="s">
        <v>108</v>
      </c>
      <c r="E65" s="25">
        <v>1000</v>
      </c>
      <c r="F65" s="26">
        <v>4961.7650000000003</v>
      </c>
      <c r="G65" s="27">
        <v>7.6929800000000003E-3</v>
      </c>
      <c r="H65" s="17">
        <v>5.6253000000000002</v>
      </c>
    </row>
    <row r="66" spans="1:8" x14ac:dyDescent="0.2">
      <c r="A66" s="24">
        <v>20</v>
      </c>
      <c r="B66" s="9" t="s">
        <v>364</v>
      </c>
      <c r="C66" s="9" t="s">
        <v>365</v>
      </c>
      <c r="D66" s="9" t="s">
        <v>108</v>
      </c>
      <c r="E66" s="25">
        <v>1000</v>
      </c>
      <c r="F66" s="26">
        <v>4956.8450000000003</v>
      </c>
      <c r="G66" s="27">
        <v>7.6853599999999996E-3</v>
      </c>
      <c r="H66" s="17">
        <v>5.6749000000000001</v>
      </c>
    </row>
    <row r="67" spans="1:8" x14ac:dyDescent="0.2">
      <c r="A67" s="24">
        <v>21</v>
      </c>
      <c r="B67" s="9" t="s">
        <v>366</v>
      </c>
      <c r="C67" s="9" t="s">
        <v>367</v>
      </c>
      <c r="D67" s="9" t="s">
        <v>108</v>
      </c>
      <c r="E67" s="25">
        <v>500</v>
      </c>
      <c r="F67" s="26">
        <v>2500</v>
      </c>
      <c r="G67" s="27">
        <v>3.8761300000000002E-3</v>
      </c>
      <c r="H67" s="17">
        <v>5.3662999999999998</v>
      </c>
    </row>
    <row r="68" spans="1:8" x14ac:dyDescent="0.2">
      <c r="A68" s="24">
        <v>22</v>
      </c>
      <c r="B68" s="9" t="s">
        <v>368</v>
      </c>
      <c r="C68" s="9" t="s">
        <v>369</v>
      </c>
      <c r="D68" s="9" t="s">
        <v>108</v>
      </c>
      <c r="E68" s="25">
        <v>500</v>
      </c>
      <c r="F68" s="26">
        <v>2486.7175000000002</v>
      </c>
      <c r="G68" s="27">
        <v>3.8555400000000002E-3</v>
      </c>
      <c r="H68" s="17">
        <v>5.57</v>
      </c>
    </row>
    <row r="69" spans="1:8" x14ac:dyDescent="0.2">
      <c r="A69" s="24">
        <v>23</v>
      </c>
      <c r="B69" s="9" t="s">
        <v>370</v>
      </c>
      <c r="C69" s="9" t="s">
        <v>371</v>
      </c>
      <c r="D69" s="9" t="s">
        <v>108</v>
      </c>
      <c r="E69" s="25">
        <v>500</v>
      </c>
      <c r="F69" s="26">
        <v>2466.3325</v>
      </c>
      <c r="G69" s="27">
        <v>3.8239300000000001E-3</v>
      </c>
      <c r="H69" s="17">
        <v>5.7934999999999999</v>
      </c>
    </row>
    <row r="70" spans="1:8" x14ac:dyDescent="0.2">
      <c r="A70" s="11"/>
      <c r="B70" s="11"/>
      <c r="C70" s="18" t="s">
        <v>11</v>
      </c>
      <c r="D70" s="11"/>
      <c r="E70" s="11" t="s">
        <v>12</v>
      </c>
      <c r="F70" s="23">
        <v>181324.215</v>
      </c>
      <c r="G70" s="20">
        <v>0.28113469000000002</v>
      </c>
      <c r="H70" s="17" t="s">
        <v>12</v>
      </c>
    </row>
    <row r="71" spans="1:8" x14ac:dyDescent="0.2">
      <c r="A71" s="11"/>
      <c r="B71" s="11"/>
      <c r="C71" s="21"/>
      <c r="D71" s="11"/>
      <c r="E71" s="11"/>
      <c r="F71" s="22"/>
      <c r="G71" s="22"/>
      <c r="H71" s="17" t="s">
        <v>12</v>
      </c>
    </row>
    <row r="72" spans="1:8" x14ac:dyDescent="0.2">
      <c r="A72" s="11"/>
      <c r="B72" s="11"/>
      <c r="C72" s="18" t="s">
        <v>109</v>
      </c>
      <c r="D72" s="11"/>
      <c r="E72" s="11"/>
      <c r="F72" s="22"/>
      <c r="G72" s="22"/>
      <c r="H72" s="17" t="s">
        <v>12</v>
      </c>
    </row>
    <row r="73" spans="1:8" x14ac:dyDescent="0.2">
      <c r="A73" s="24">
        <v>1</v>
      </c>
      <c r="B73" s="9" t="s">
        <v>372</v>
      </c>
      <c r="C73" s="9" t="s">
        <v>373</v>
      </c>
      <c r="D73" s="9" t="s">
        <v>108</v>
      </c>
      <c r="E73" s="25">
        <v>3000</v>
      </c>
      <c r="F73" s="26">
        <v>15000</v>
      </c>
      <c r="G73" s="27">
        <v>2.3256789999999999E-2</v>
      </c>
      <c r="H73" s="17">
        <v>5.3792</v>
      </c>
    </row>
    <row r="74" spans="1:8" x14ac:dyDescent="0.2">
      <c r="A74" s="24">
        <v>2</v>
      </c>
      <c r="B74" s="9" t="s">
        <v>374</v>
      </c>
      <c r="C74" s="9" t="s">
        <v>375</v>
      </c>
      <c r="D74" s="9" t="s">
        <v>108</v>
      </c>
      <c r="E74" s="25">
        <v>3000</v>
      </c>
      <c r="F74" s="26">
        <v>14858.445</v>
      </c>
      <c r="G74" s="27">
        <v>2.303732E-2</v>
      </c>
      <c r="H74" s="17">
        <v>5.7005999999999997</v>
      </c>
    </row>
    <row r="75" spans="1:8" x14ac:dyDescent="0.2">
      <c r="A75" s="24">
        <v>3</v>
      </c>
      <c r="B75" s="9" t="s">
        <v>376</v>
      </c>
      <c r="C75" s="9" t="s">
        <v>377</v>
      </c>
      <c r="D75" s="9" t="s">
        <v>108</v>
      </c>
      <c r="E75" s="25">
        <v>2500</v>
      </c>
      <c r="F75" s="26">
        <v>12444.137500000001</v>
      </c>
      <c r="G75" s="27">
        <v>1.929405E-2</v>
      </c>
      <c r="H75" s="17">
        <v>5.6498999999999997</v>
      </c>
    </row>
    <row r="76" spans="1:8" x14ac:dyDescent="0.2">
      <c r="A76" s="24">
        <v>4</v>
      </c>
      <c r="B76" s="9" t="s">
        <v>378</v>
      </c>
      <c r="C76" s="9" t="s">
        <v>379</v>
      </c>
      <c r="D76" s="9" t="s">
        <v>108</v>
      </c>
      <c r="E76" s="25">
        <v>2500</v>
      </c>
      <c r="F76" s="26">
        <v>12406.387500000001</v>
      </c>
      <c r="G76" s="27">
        <v>1.9235519999999999E-2</v>
      </c>
      <c r="H76" s="17">
        <v>5.86</v>
      </c>
    </row>
    <row r="77" spans="1:8" x14ac:dyDescent="0.2">
      <c r="A77" s="24">
        <v>5</v>
      </c>
      <c r="B77" s="9" t="s">
        <v>380</v>
      </c>
      <c r="C77" s="9" t="s">
        <v>381</v>
      </c>
      <c r="D77" s="9" t="s">
        <v>108</v>
      </c>
      <c r="E77" s="25">
        <v>2500</v>
      </c>
      <c r="F77" s="26">
        <v>12355.4625</v>
      </c>
      <c r="G77" s="27">
        <v>1.915656E-2</v>
      </c>
      <c r="H77" s="17">
        <v>6.1</v>
      </c>
    </row>
    <row r="78" spans="1:8" x14ac:dyDescent="0.2">
      <c r="A78" s="24">
        <v>6</v>
      </c>
      <c r="B78" s="9" t="s">
        <v>382</v>
      </c>
      <c r="C78" s="9" t="s">
        <v>383</v>
      </c>
      <c r="D78" s="9" t="s">
        <v>108</v>
      </c>
      <c r="E78" s="25">
        <v>2000</v>
      </c>
      <c r="F78" s="26">
        <v>9962.49</v>
      </c>
      <c r="G78" s="27">
        <v>1.5446369999999999E-2</v>
      </c>
      <c r="H78" s="17">
        <v>5.9749999999999996</v>
      </c>
    </row>
    <row r="79" spans="1:8" x14ac:dyDescent="0.2">
      <c r="A79" s="24">
        <v>7</v>
      </c>
      <c r="B79" s="9" t="s">
        <v>384</v>
      </c>
      <c r="C79" s="9" t="s">
        <v>385</v>
      </c>
      <c r="D79" s="9" t="s">
        <v>108</v>
      </c>
      <c r="E79" s="25">
        <v>2000</v>
      </c>
      <c r="F79" s="26">
        <v>9956.5499999999993</v>
      </c>
      <c r="G79" s="27">
        <v>1.543716E-2</v>
      </c>
      <c r="H79" s="17">
        <v>5.9001999999999999</v>
      </c>
    </row>
    <row r="80" spans="1:8" x14ac:dyDescent="0.2">
      <c r="A80" s="24">
        <v>8</v>
      </c>
      <c r="B80" s="9" t="s">
        <v>386</v>
      </c>
      <c r="C80" s="9" t="s">
        <v>387</v>
      </c>
      <c r="D80" s="9" t="s">
        <v>108</v>
      </c>
      <c r="E80" s="25">
        <v>2000</v>
      </c>
      <c r="F80" s="26">
        <v>9954.11</v>
      </c>
      <c r="G80" s="27">
        <v>1.543338E-2</v>
      </c>
      <c r="H80" s="17">
        <v>6.01</v>
      </c>
    </row>
    <row r="81" spans="1:8" x14ac:dyDescent="0.2">
      <c r="A81" s="24">
        <v>9</v>
      </c>
      <c r="B81" s="9" t="s">
        <v>388</v>
      </c>
      <c r="C81" s="9" t="s">
        <v>389</v>
      </c>
      <c r="D81" s="9" t="s">
        <v>108</v>
      </c>
      <c r="E81" s="25">
        <v>2000</v>
      </c>
      <c r="F81" s="26">
        <v>9934.27</v>
      </c>
      <c r="G81" s="27">
        <v>1.5402620000000001E-2</v>
      </c>
      <c r="H81" s="17">
        <v>5.89</v>
      </c>
    </row>
    <row r="82" spans="1:8" ht="25.5" x14ac:dyDescent="0.2">
      <c r="A82" s="24">
        <v>10</v>
      </c>
      <c r="B82" s="9" t="s">
        <v>390</v>
      </c>
      <c r="C82" s="9" t="s">
        <v>391</v>
      </c>
      <c r="D82" s="9" t="s">
        <v>108</v>
      </c>
      <c r="E82" s="25">
        <v>2000</v>
      </c>
      <c r="F82" s="26">
        <v>9931.73</v>
      </c>
      <c r="G82" s="27">
        <v>1.539868E-2</v>
      </c>
      <c r="H82" s="17">
        <v>6.12</v>
      </c>
    </row>
    <row r="83" spans="1:8" ht="25.5" x14ac:dyDescent="0.2">
      <c r="A83" s="24">
        <v>11</v>
      </c>
      <c r="B83" s="9" t="s">
        <v>392</v>
      </c>
      <c r="C83" s="9" t="s">
        <v>393</v>
      </c>
      <c r="D83" s="9" t="s">
        <v>108</v>
      </c>
      <c r="E83" s="25">
        <v>2000</v>
      </c>
      <c r="F83" s="26">
        <v>9917.18</v>
      </c>
      <c r="G83" s="27">
        <v>1.537612E-2</v>
      </c>
      <c r="H83" s="17">
        <v>5.6448999999999998</v>
      </c>
    </row>
    <row r="84" spans="1:8" x14ac:dyDescent="0.2">
      <c r="A84" s="24">
        <v>12</v>
      </c>
      <c r="B84" s="9" t="s">
        <v>394</v>
      </c>
      <c r="C84" s="9" t="s">
        <v>395</v>
      </c>
      <c r="D84" s="9" t="s">
        <v>108</v>
      </c>
      <c r="E84" s="25">
        <v>2000</v>
      </c>
      <c r="F84" s="26">
        <v>9910.23</v>
      </c>
      <c r="G84" s="27">
        <v>1.536535E-2</v>
      </c>
      <c r="H84" s="17">
        <v>5.7005999999999997</v>
      </c>
    </row>
    <row r="85" spans="1:8" ht="25.5" x14ac:dyDescent="0.2">
      <c r="A85" s="24">
        <v>13</v>
      </c>
      <c r="B85" s="9" t="s">
        <v>396</v>
      </c>
      <c r="C85" s="9" t="s">
        <v>397</v>
      </c>
      <c r="D85" s="9" t="s">
        <v>108</v>
      </c>
      <c r="E85" s="25">
        <v>2000</v>
      </c>
      <c r="F85" s="26">
        <v>9903.42</v>
      </c>
      <c r="G85" s="27">
        <v>1.535479E-2</v>
      </c>
      <c r="H85" s="17">
        <v>5.6501000000000001</v>
      </c>
    </row>
    <row r="86" spans="1:8" x14ac:dyDescent="0.2">
      <c r="A86" s="24">
        <v>14</v>
      </c>
      <c r="B86" s="9" t="s">
        <v>398</v>
      </c>
      <c r="C86" s="9" t="s">
        <v>399</v>
      </c>
      <c r="D86" s="9" t="s">
        <v>108</v>
      </c>
      <c r="E86" s="25">
        <v>2000</v>
      </c>
      <c r="F86" s="26">
        <v>9902.61</v>
      </c>
      <c r="G86" s="27">
        <v>1.5353530000000001E-2</v>
      </c>
      <c r="H86" s="17">
        <v>5.79</v>
      </c>
    </row>
    <row r="87" spans="1:8" x14ac:dyDescent="0.2">
      <c r="A87" s="24">
        <v>15</v>
      </c>
      <c r="B87" s="9" t="s">
        <v>400</v>
      </c>
      <c r="C87" s="9" t="s">
        <v>401</v>
      </c>
      <c r="D87" s="9" t="s">
        <v>108</v>
      </c>
      <c r="E87" s="25">
        <v>2000</v>
      </c>
      <c r="F87" s="26">
        <v>9900.42</v>
      </c>
      <c r="G87" s="27">
        <v>1.535014E-2</v>
      </c>
      <c r="H87" s="17">
        <v>5.6478000000000002</v>
      </c>
    </row>
    <row r="88" spans="1:8" x14ac:dyDescent="0.2">
      <c r="A88" s="24">
        <v>16</v>
      </c>
      <c r="B88" s="9" t="s">
        <v>402</v>
      </c>
      <c r="C88" s="9" t="s">
        <v>403</v>
      </c>
      <c r="D88" s="9" t="s">
        <v>108</v>
      </c>
      <c r="E88" s="25">
        <v>2000</v>
      </c>
      <c r="F88" s="26">
        <v>9886.27</v>
      </c>
      <c r="G88" s="27">
        <v>1.53282E-2</v>
      </c>
      <c r="H88" s="17">
        <v>6.1749999999999998</v>
      </c>
    </row>
    <row r="89" spans="1:8" x14ac:dyDescent="0.2">
      <c r="A89" s="24">
        <v>17</v>
      </c>
      <c r="B89" s="9" t="s">
        <v>404</v>
      </c>
      <c r="C89" s="9" t="s">
        <v>405</v>
      </c>
      <c r="D89" s="9" t="s">
        <v>105</v>
      </c>
      <c r="E89" s="25">
        <v>1500</v>
      </c>
      <c r="F89" s="26">
        <v>7500</v>
      </c>
      <c r="G89" s="27">
        <v>1.1628400000000001E-2</v>
      </c>
      <c r="H89" s="17">
        <v>5.3731999999999998</v>
      </c>
    </row>
    <row r="90" spans="1:8" x14ac:dyDescent="0.2">
      <c r="A90" s="24">
        <v>18</v>
      </c>
      <c r="B90" s="9" t="s">
        <v>406</v>
      </c>
      <c r="C90" s="9" t="s">
        <v>407</v>
      </c>
      <c r="D90" s="9" t="s">
        <v>105</v>
      </c>
      <c r="E90" s="25">
        <v>1500</v>
      </c>
      <c r="F90" s="26">
        <v>7466.22</v>
      </c>
      <c r="G90" s="27">
        <v>1.1576019999999999E-2</v>
      </c>
      <c r="H90" s="17">
        <v>5.6950000000000003</v>
      </c>
    </row>
    <row r="91" spans="1:8" x14ac:dyDescent="0.2">
      <c r="A91" s="24">
        <v>19</v>
      </c>
      <c r="B91" s="9" t="s">
        <v>408</v>
      </c>
      <c r="C91" s="9" t="s">
        <v>409</v>
      </c>
      <c r="D91" s="9" t="s">
        <v>108</v>
      </c>
      <c r="E91" s="25">
        <v>1500</v>
      </c>
      <c r="F91" s="26">
        <v>7455.4949999999999</v>
      </c>
      <c r="G91" s="27">
        <v>1.1559389999999999E-2</v>
      </c>
      <c r="H91" s="17">
        <v>6.2251000000000003</v>
      </c>
    </row>
    <row r="92" spans="1:8" x14ac:dyDescent="0.2">
      <c r="A92" s="24">
        <v>20</v>
      </c>
      <c r="B92" s="9" t="s">
        <v>410</v>
      </c>
      <c r="C92" s="9" t="s">
        <v>411</v>
      </c>
      <c r="D92" s="9" t="s">
        <v>105</v>
      </c>
      <c r="E92" s="25">
        <v>1500</v>
      </c>
      <c r="F92" s="26">
        <v>7449.8024999999998</v>
      </c>
      <c r="G92" s="27">
        <v>1.155057E-2</v>
      </c>
      <c r="H92" s="17">
        <v>5.72</v>
      </c>
    </row>
    <row r="93" spans="1:8" x14ac:dyDescent="0.2">
      <c r="A93" s="24">
        <v>21</v>
      </c>
      <c r="B93" s="9" t="s">
        <v>412</v>
      </c>
      <c r="C93" s="9" t="s">
        <v>413</v>
      </c>
      <c r="D93" s="9" t="s">
        <v>108</v>
      </c>
      <c r="E93" s="25">
        <v>1500</v>
      </c>
      <c r="F93" s="26">
        <v>7445.4</v>
      </c>
      <c r="G93" s="27">
        <v>1.154374E-2</v>
      </c>
      <c r="H93" s="17">
        <v>6.2251000000000003</v>
      </c>
    </row>
    <row r="94" spans="1:8" x14ac:dyDescent="0.2">
      <c r="A94" s="24">
        <v>22</v>
      </c>
      <c r="B94" s="9" t="s">
        <v>414</v>
      </c>
      <c r="C94" s="9" t="s">
        <v>415</v>
      </c>
      <c r="D94" s="9" t="s">
        <v>108</v>
      </c>
      <c r="E94" s="25">
        <v>1500</v>
      </c>
      <c r="F94" s="26">
        <v>7437.8474999999999</v>
      </c>
      <c r="G94" s="27">
        <v>1.153203E-2</v>
      </c>
      <c r="H94" s="17">
        <v>6.1</v>
      </c>
    </row>
    <row r="95" spans="1:8" x14ac:dyDescent="0.2">
      <c r="A95" s="24">
        <v>23</v>
      </c>
      <c r="B95" s="9" t="s">
        <v>416</v>
      </c>
      <c r="C95" s="9" t="s">
        <v>417</v>
      </c>
      <c r="D95" s="9" t="s">
        <v>108</v>
      </c>
      <c r="E95" s="25">
        <v>1500</v>
      </c>
      <c r="F95" s="26">
        <v>7425.96</v>
      </c>
      <c r="G95" s="27">
        <v>1.1513600000000001E-2</v>
      </c>
      <c r="H95" s="17">
        <v>5.87</v>
      </c>
    </row>
    <row r="96" spans="1:8" x14ac:dyDescent="0.2">
      <c r="A96" s="24">
        <v>24</v>
      </c>
      <c r="B96" s="9" t="s">
        <v>418</v>
      </c>
      <c r="C96" s="9" t="s">
        <v>419</v>
      </c>
      <c r="D96" s="9" t="s">
        <v>108</v>
      </c>
      <c r="E96" s="25">
        <v>1500</v>
      </c>
      <c r="F96" s="26">
        <v>7424.7524999999996</v>
      </c>
      <c r="G96" s="27">
        <v>1.151173E-2</v>
      </c>
      <c r="H96" s="17">
        <v>5.78</v>
      </c>
    </row>
    <row r="97" spans="1:8" ht="25.5" x14ac:dyDescent="0.2">
      <c r="A97" s="24">
        <v>25</v>
      </c>
      <c r="B97" s="9" t="s">
        <v>420</v>
      </c>
      <c r="C97" s="9" t="s">
        <v>421</v>
      </c>
      <c r="D97" s="9" t="s">
        <v>108</v>
      </c>
      <c r="E97" s="25">
        <v>1000</v>
      </c>
      <c r="F97" s="26">
        <v>4993.8</v>
      </c>
      <c r="G97" s="27">
        <v>7.7426500000000002E-3</v>
      </c>
      <c r="H97" s="17">
        <v>5.6653000000000002</v>
      </c>
    </row>
    <row r="98" spans="1:8" x14ac:dyDescent="0.2">
      <c r="A98" s="24">
        <v>26</v>
      </c>
      <c r="B98" s="9" t="s">
        <v>422</v>
      </c>
      <c r="C98" s="9" t="s">
        <v>423</v>
      </c>
      <c r="D98" s="9" t="s">
        <v>108</v>
      </c>
      <c r="E98" s="25">
        <v>1000</v>
      </c>
      <c r="F98" s="26">
        <v>4980.4799999999996</v>
      </c>
      <c r="G98" s="27">
        <v>7.7219999999999997E-3</v>
      </c>
      <c r="H98" s="17">
        <v>6.2201000000000004</v>
      </c>
    </row>
    <row r="99" spans="1:8" x14ac:dyDescent="0.2">
      <c r="A99" s="24">
        <v>27</v>
      </c>
      <c r="B99" s="9" t="s">
        <v>424</v>
      </c>
      <c r="C99" s="9" t="s">
        <v>425</v>
      </c>
      <c r="D99" s="9" t="s">
        <v>108</v>
      </c>
      <c r="E99" s="25">
        <v>1000</v>
      </c>
      <c r="F99" s="26">
        <v>4977.0150000000003</v>
      </c>
      <c r="G99" s="27">
        <v>7.7166300000000004E-3</v>
      </c>
      <c r="H99" s="17">
        <v>6.02</v>
      </c>
    </row>
    <row r="100" spans="1:8" x14ac:dyDescent="0.2">
      <c r="A100" s="24">
        <v>28</v>
      </c>
      <c r="B100" s="9" t="s">
        <v>426</v>
      </c>
      <c r="C100" s="9" t="s">
        <v>427</v>
      </c>
      <c r="D100" s="9" t="s">
        <v>108</v>
      </c>
      <c r="E100" s="25">
        <v>1000</v>
      </c>
      <c r="F100" s="26">
        <v>4974.3649999999998</v>
      </c>
      <c r="G100" s="27">
        <v>7.7125199999999996E-3</v>
      </c>
      <c r="H100" s="17">
        <v>5.7001999999999997</v>
      </c>
    </row>
    <row r="101" spans="1:8" ht="25.5" x14ac:dyDescent="0.2">
      <c r="A101" s="24">
        <v>29</v>
      </c>
      <c r="B101" s="9" t="s">
        <v>428</v>
      </c>
      <c r="C101" s="9" t="s">
        <v>429</v>
      </c>
      <c r="D101" s="9" t="s">
        <v>108</v>
      </c>
      <c r="E101" s="25">
        <v>1000</v>
      </c>
      <c r="F101" s="26">
        <v>4971.7749999999996</v>
      </c>
      <c r="G101" s="27">
        <v>7.7085000000000001E-3</v>
      </c>
      <c r="H101" s="17">
        <v>5.6001000000000003</v>
      </c>
    </row>
    <row r="102" spans="1:8" x14ac:dyDescent="0.2">
      <c r="A102" s="24">
        <v>30</v>
      </c>
      <c r="B102" s="9" t="s">
        <v>430</v>
      </c>
      <c r="C102" s="9" t="s">
        <v>431</v>
      </c>
      <c r="D102" s="9" t="s">
        <v>108</v>
      </c>
      <c r="E102" s="25">
        <v>1000</v>
      </c>
      <c r="F102" s="26">
        <v>4971.1750000000002</v>
      </c>
      <c r="G102" s="27">
        <v>7.7075700000000004E-3</v>
      </c>
      <c r="H102" s="17">
        <v>6.2249999999999996</v>
      </c>
    </row>
    <row r="103" spans="1:8" x14ac:dyDescent="0.2">
      <c r="A103" s="24">
        <v>31</v>
      </c>
      <c r="B103" s="9" t="s">
        <v>432</v>
      </c>
      <c r="C103" s="9" t="s">
        <v>433</v>
      </c>
      <c r="D103" s="9" t="s">
        <v>108</v>
      </c>
      <c r="E103" s="25">
        <v>1000</v>
      </c>
      <c r="F103" s="26">
        <v>4967.9449999999997</v>
      </c>
      <c r="G103" s="27">
        <v>7.7025699999999997E-3</v>
      </c>
      <c r="H103" s="17">
        <v>5.7450000000000001</v>
      </c>
    </row>
    <row r="104" spans="1:8" x14ac:dyDescent="0.2">
      <c r="A104" s="24">
        <v>32</v>
      </c>
      <c r="B104" s="9" t="s">
        <v>434</v>
      </c>
      <c r="C104" s="9" t="s">
        <v>435</v>
      </c>
      <c r="D104" s="9" t="s">
        <v>108</v>
      </c>
      <c r="E104" s="25">
        <v>1000</v>
      </c>
      <c r="F104" s="26">
        <v>4966.0150000000003</v>
      </c>
      <c r="G104" s="27">
        <v>7.6995700000000002E-3</v>
      </c>
      <c r="H104" s="17">
        <v>6.2450000000000001</v>
      </c>
    </row>
    <row r="105" spans="1:8" x14ac:dyDescent="0.2">
      <c r="A105" s="24">
        <v>33</v>
      </c>
      <c r="B105" s="9" t="s">
        <v>436</v>
      </c>
      <c r="C105" s="9" t="s">
        <v>437</v>
      </c>
      <c r="D105" s="9" t="s">
        <v>108</v>
      </c>
      <c r="E105" s="25">
        <v>1000</v>
      </c>
      <c r="F105" s="26">
        <v>4964.125</v>
      </c>
      <c r="G105" s="27">
        <v>7.6966400000000003E-3</v>
      </c>
      <c r="H105" s="17">
        <v>5.9950999999999999</v>
      </c>
    </row>
    <row r="106" spans="1:8" ht="25.5" x14ac:dyDescent="0.2">
      <c r="A106" s="24">
        <v>34</v>
      </c>
      <c r="B106" s="9" t="s">
        <v>438</v>
      </c>
      <c r="C106" s="9" t="s">
        <v>439</v>
      </c>
      <c r="D106" s="9" t="s">
        <v>108</v>
      </c>
      <c r="E106" s="25">
        <v>1000</v>
      </c>
      <c r="F106" s="26">
        <v>4962.2950000000001</v>
      </c>
      <c r="G106" s="27">
        <v>7.6938099999999997E-3</v>
      </c>
      <c r="H106" s="17">
        <v>5.6599000000000004</v>
      </c>
    </row>
    <row r="107" spans="1:8" x14ac:dyDescent="0.2">
      <c r="A107" s="24">
        <v>35</v>
      </c>
      <c r="B107" s="9" t="s">
        <v>440</v>
      </c>
      <c r="C107" s="9" t="s">
        <v>441</v>
      </c>
      <c r="D107" s="9" t="s">
        <v>108</v>
      </c>
      <c r="E107" s="25">
        <v>1000</v>
      </c>
      <c r="F107" s="26">
        <v>4961.6750000000002</v>
      </c>
      <c r="G107" s="27">
        <v>7.6928400000000003E-3</v>
      </c>
      <c r="H107" s="17">
        <v>5.6387999999999998</v>
      </c>
    </row>
    <row r="108" spans="1:8" x14ac:dyDescent="0.2">
      <c r="A108" s="24">
        <v>36</v>
      </c>
      <c r="B108" s="9" t="s">
        <v>442</v>
      </c>
      <c r="C108" s="9" t="s">
        <v>443</v>
      </c>
      <c r="D108" s="9" t="s">
        <v>108</v>
      </c>
      <c r="E108" s="25">
        <v>1000</v>
      </c>
      <c r="F108" s="26">
        <v>4961.03</v>
      </c>
      <c r="G108" s="27">
        <v>7.6918400000000001E-3</v>
      </c>
      <c r="H108" s="17">
        <v>5.7348999999999997</v>
      </c>
    </row>
    <row r="109" spans="1:8" x14ac:dyDescent="0.2">
      <c r="A109" s="24">
        <v>37</v>
      </c>
      <c r="B109" s="9" t="s">
        <v>444</v>
      </c>
      <c r="C109" s="9" t="s">
        <v>445</v>
      </c>
      <c r="D109" s="9" t="s">
        <v>105</v>
      </c>
      <c r="E109" s="25">
        <v>1000</v>
      </c>
      <c r="F109" s="26">
        <v>4960.6899999999996</v>
      </c>
      <c r="G109" s="27">
        <v>7.6913199999999998E-3</v>
      </c>
      <c r="H109" s="17">
        <v>5.7850000000000001</v>
      </c>
    </row>
    <row r="110" spans="1:8" x14ac:dyDescent="0.2">
      <c r="A110" s="24">
        <v>38</v>
      </c>
      <c r="B110" s="9" t="s">
        <v>446</v>
      </c>
      <c r="C110" s="9" t="s">
        <v>447</v>
      </c>
      <c r="D110" s="9" t="s">
        <v>108</v>
      </c>
      <c r="E110" s="25">
        <v>1000</v>
      </c>
      <c r="F110" s="26">
        <v>4955.21</v>
      </c>
      <c r="G110" s="27">
        <v>7.6828199999999999E-3</v>
      </c>
      <c r="H110" s="17">
        <v>6.11</v>
      </c>
    </row>
    <row r="111" spans="1:8" x14ac:dyDescent="0.2">
      <c r="A111" s="24">
        <v>39</v>
      </c>
      <c r="B111" s="9" t="s">
        <v>448</v>
      </c>
      <c r="C111" s="9" t="s">
        <v>449</v>
      </c>
      <c r="D111" s="9" t="s">
        <v>108</v>
      </c>
      <c r="E111" s="25">
        <v>1000</v>
      </c>
      <c r="F111" s="26">
        <v>4947</v>
      </c>
      <c r="G111" s="27">
        <v>7.6700900000000001E-3</v>
      </c>
      <c r="H111" s="17">
        <v>6.11</v>
      </c>
    </row>
    <row r="112" spans="1:8" x14ac:dyDescent="0.2">
      <c r="A112" s="24">
        <v>40</v>
      </c>
      <c r="B112" s="9" t="s">
        <v>450</v>
      </c>
      <c r="C112" s="9" t="s">
        <v>451</v>
      </c>
      <c r="D112" s="9" t="s">
        <v>108</v>
      </c>
      <c r="E112" s="25">
        <v>1000</v>
      </c>
      <c r="F112" s="26">
        <v>4946.84</v>
      </c>
      <c r="G112" s="27">
        <v>7.6698399999999998E-3</v>
      </c>
      <c r="H112" s="17">
        <v>5.6849999999999996</v>
      </c>
    </row>
    <row r="113" spans="1:8" x14ac:dyDescent="0.2">
      <c r="A113" s="24">
        <v>41</v>
      </c>
      <c r="B113" s="9" t="s">
        <v>452</v>
      </c>
      <c r="C113" s="9" t="s">
        <v>453</v>
      </c>
      <c r="D113" s="9" t="s">
        <v>108</v>
      </c>
      <c r="E113" s="25">
        <v>500</v>
      </c>
      <c r="F113" s="26">
        <v>2487.7049999999999</v>
      </c>
      <c r="G113" s="27">
        <v>3.8570700000000002E-3</v>
      </c>
      <c r="H113" s="17">
        <v>6.2201000000000004</v>
      </c>
    </row>
    <row r="114" spans="1:8" ht="25.5" x14ac:dyDescent="0.2">
      <c r="A114" s="24">
        <v>42</v>
      </c>
      <c r="B114" s="9" t="s">
        <v>454</v>
      </c>
      <c r="C114" s="9" t="s">
        <v>455</v>
      </c>
      <c r="D114" s="9" t="s">
        <v>108</v>
      </c>
      <c r="E114" s="25">
        <v>500</v>
      </c>
      <c r="F114" s="26">
        <v>2484.5349999999999</v>
      </c>
      <c r="G114" s="27">
        <v>3.8521599999999999E-3</v>
      </c>
      <c r="H114" s="17">
        <v>6.14</v>
      </c>
    </row>
    <row r="115" spans="1:8" x14ac:dyDescent="0.2">
      <c r="A115" s="24">
        <v>43</v>
      </c>
      <c r="B115" s="9" t="s">
        <v>456</v>
      </c>
      <c r="C115" s="9" t="s">
        <v>457</v>
      </c>
      <c r="D115" s="9" t="s">
        <v>108</v>
      </c>
      <c r="E115" s="25">
        <v>500</v>
      </c>
      <c r="F115" s="26">
        <v>2477.75</v>
      </c>
      <c r="G115" s="27">
        <v>3.8416399999999999E-3</v>
      </c>
      <c r="H115" s="17">
        <v>6.0701000000000001</v>
      </c>
    </row>
    <row r="116" spans="1:8" x14ac:dyDescent="0.2">
      <c r="A116" s="24">
        <v>44</v>
      </c>
      <c r="B116" s="9" t="s">
        <v>458</v>
      </c>
      <c r="C116" s="9" t="s">
        <v>459</v>
      </c>
      <c r="D116" s="9" t="s">
        <v>108</v>
      </c>
      <c r="E116" s="25">
        <v>500</v>
      </c>
      <c r="F116" s="26">
        <v>2470.77</v>
      </c>
      <c r="G116" s="27">
        <v>3.83081E-3</v>
      </c>
      <c r="H116" s="17">
        <v>6.3501000000000003</v>
      </c>
    </row>
    <row r="117" spans="1:8" x14ac:dyDescent="0.2">
      <c r="A117" s="11"/>
      <c r="B117" s="11"/>
      <c r="C117" s="18" t="s">
        <v>11</v>
      </c>
      <c r="D117" s="11"/>
      <c r="E117" s="11" t="s">
        <v>12</v>
      </c>
      <c r="F117" s="23">
        <v>325211.38500000001</v>
      </c>
      <c r="G117" s="20">
        <v>0.50422495000000001</v>
      </c>
      <c r="H117" s="17" t="s">
        <v>12</v>
      </c>
    </row>
    <row r="118" spans="1:8" x14ac:dyDescent="0.2">
      <c r="A118" s="11"/>
      <c r="B118" s="11"/>
      <c r="C118" s="21"/>
      <c r="D118" s="11"/>
      <c r="E118" s="11"/>
      <c r="F118" s="22"/>
      <c r="G118" s="22"/>
      <c r="H118" s="17" t="s">
        <v>12</v>
      </c>
    </row>
    <row r="119" spans="1:8" x14ac:dyDescent="0.2">
      <c r="A119" s="11"/>
      <c r="B119" s="11"/>
      <c r="C119" s="18" t="s">
        <v>110</v>
      </c>
      <c r="D119" s="11"/>
      <c r="E119" s="11"/>
      <c r="F119" s="22"/>
      <c r="G119" s="22"/>
      <c r="H119" s="17" t="s">
        <v>12</v>
      </c>
    </row>
    <row r="120" spans="1:8" x14ac:dyDescent="0.2">
      <c r="A120" s="24">
        <v>1</v>
      </c>
      <c r="B120" s="9" t="s">
        <v>460</v>
      </c>
      <c r="C120" s="9" t="s">
        <v>461</v>
      </c>
      <c r="D120" s="9" t="s">
        <v>81</v>
      </c>
      <c r="E120" s="25">
        <v>20000000</v>
      </c>
      <c r="F120" s="26">
        <v>19875.900000000001</v>
      </c>
      <c r="G120" s="27">
        <v>3.0816650000000001E-2</v>
      </c>
      <c r="H120" s="17">
        <v>5.3</v>
      </c>
    </row>
    <row r="121" spans="1:8" x14ac:dyDescent="0.2">
      <c r="A121" s="24">
        <v>2</v>
      </c>
      <c r="B121" s="9" t="s">
        <v>462</v>
      </c>
      <c r="C121" s="9" t="s">
        <v>463</v>
      </c>
      <c r="D121" s="9" t="s">
        <v>81</v>
      </c>
      <c r="E121" s="25">
        <v>19000000</v>
      </c>
      <c r="F121" s="26">
        <v>18824.724999999999</v>
      </c>
      <c r="G121" s="27">
        <v>2.918685E-2</v>
      </c>
      <c r="H121" s="17">
        <v>5.31</v>
      </c>
    </row>
    <row r="122" spans="1:8" x14ac:dyDescent="0.2">
      <c r="A122" s="24">
        <v>3</v>
      </c>
      <c r="B122" s="9" t="s">
        <v>464</v>
      </c>
      <c r="C122" s="9" t="s">
        <v>465</v>
      </c>
      <c r="D122" s="9" t="s">
        <v>81</v>
      </c>
      <c r="E122" s="25">
        <v>10000000</v>
      </c>
      <c r="F122" s="26">
        <v>9948</v>
      </c>
      <c r="G122" s="27">
        <v>1.5423910000000001E-2</v>
      </c>
      <c r="H122" s="17">
        <v>5.3</v>
      </c>
    </row>
    <row r="123" spans="1:8" x14ac:dyDescent="0.2">
      <c r="A123" s="24">
        <v>4</v>
      </c>
      <c r="B123" s="9" t="s">
        <v>466</v>
      </c>
      <c r="C123" s="9" t="s">
        <v>467</v>
      </c>
      <c r="D123" s="9" t="s">
        <v>81</v>
      </c>
      <c r="E123" s="25">
        <v>5000000</v>
      </c>
      <c r="F123" s="26">
        <v>4988.37</v>
      </c>
      <c r="G123" s="27">
        <v>7.7342299999999999E-3</v>
      </c>
      <c r="H123" s="17">
        <v>5.3174999999999999</v>
      </c>
    </row>
    <row r="124" spans="1:8" x14ac:dyDescent="0.2">
      <c r="A124" s="24">
        <v>5</v>
      </c>
      <c r="B124" s="9" t="s">
        <v>468</v>
      </c>
      <c r="C124" s="9" t="s">
        <v>469</v>
      </c>
      <c r="D124" s="9" t="s">
        <v>81</v>
      </c>
      <c r="E124" s="25">
        <v>5000000</v>
      </c>
      <c r="F124" s="26">
        <v>4948.8850000000002</v>
      </c>
      <c r="G124" s="27">
        <v>7.6730100000000001E-3</v>
      </c>
      <c r="H124" s="17">
        <v>5.31</v>
      </c>
    </row>
    <row r="125" spans="1:8" x14ac:dyDescent="0.2">
      <c r="A125" s="24">
        <v>6</v>
      </c>
      <c r="B125" s="9" t="s">
        <v>470</v>
      </c>
      <c r="C125" s="9" t="s">
        <v>471</v>
      </c>
      <c r="D125" s="9" t="s">
        <v>81</v>
      </c>
      <c r="E125" s="25">
        <v>5000000</v>
      </c>
      <c r="F125" s="26">
        <v>4938.43</v>
      </c>
      <c r="G125" s="27">
        <v>7.6568000000000001E-3</v>
      </c>
      <c r="H125" s="17">
        <v>5.3540000000000001</v>
      </c>
    </row>
    <row r="126" spans="1:8" x14ac:dyDescent="0.2">
      <c r="A126" s="11"/>
      <c r="B126" s="11"/>
      <c r="C126" s="18" t="s">
        <v>11</v>
      </c>
      <c r="D126" s="11"/>
      <c r="E126" s="11" t="s">
        <v>12</v>
      </c>
      <c r="F126" s="23">
        <v>63524.31</v>
      </c>
      <c r="G126" s="20">
        <v>9.8491449999999994E-2</v>
      </c>
      <c r="H126" s="17" t="s">
        <v>12</v>
      </c>
    </row>
    <row r="127" spans="1:8" x14ac:dyDescent="0.2">
      <c r="A127" s="11"/>
      <c r="B127" s="11"/>
      <c r="C127" s="21"/>
      <c r="D127" s="11"/>
      <c r="E127" s="11"/>
      <c r="F127" s="22"/>
      <c r="G127" s="22"/>
      <c r="H127" s="17" t="s">
        <v>12</v>
      </c>
    </row>
    <row r="128" spans="1:8" x14ac:dyDescent="0.2">
      <c r="A128" s="11"/>
      <c r="B128" s="11"/>
      <c r="C128" s="18" t="s">
        <v>111</v>
      </c>
      <c r="D128" s="11"/>
      <c r="E128" s="11"/>
      <c r="F128" s="22"/>
      <c r="G128" s="22"/>
      <c r="H128" s="17" t="s">
        <v>12</v>
      </c>
    </row>
    <row r="129" spans="1:17" x14ac:dyDescent="0.2">
      <c r="A129" s="24">
        <v>1</v>
      </c>
      <c r="B129" s="9"/>
      <c r="C129" s="9" t="s">
        <v>472</v>
      </c>
      <c r="D129" s="9"/>
      <c r="E129" s="28"/>
      <c r="F129" s="26">
        <v>51817.916666700003</v>
      </c>
      <c r="G129" s="27">
        <v>8.0341239999999994E-2</v>
      </c>
      <c r="H129" s="17">
        <v>5.37</v>
      </c>
    </row>
    <row r="130" spans="1:17" x14ac:dyDescent="0.2">
      <c r="A130" s="24">
        <v>2</v>
      </c>
      <c r="B130" s="9"/>
      <c r="C130" s="9" t="s">
        <v>112</v>
      </c>
      <c r="D130" s="9"/>
      <c r="E130" s="28"/>
      <c r="F130" s="26">
        <v>5219.9002339819999</v>
      </c>
      <c r="G130" s="27">
        <v>8.09321E-3</v>
      </c>
      <c r="H130" s="17">
        <v>5.3</v>
      </c>
    </row>
    <row r="131" spans="1:17" x14ac:dyDescent="0.2">
      <c r="A131" s="11"/>
      <c r="B131" s="11"/>
      <c r="C131" s="18" t="s">
        <v>11</v>
      </c>
      <c r="D131" s="11"/>
      <c r="E131" s="11" t="s">
        <v>12</v>
      </c>
      <c r="F131" s="23">
        <v>57037.816900682003</v>
      </c>
      <c r="G131" s="20">
        <v>8.8434449999999998E-2</v>
      </c>
      <c r="H131" s="17" t="s">
        <v>12</v>
      </c>
    </row>
    <row r="132" spans="1:17" x14ac:dyDescent="0.2">
      <c r="A132" s="11"/>
      <c r="B132" s="11"/>
      <c r="C132" s="21"/>
      <c r="D132" s="11"/>
      <c r="E132" s="11"/>
      <c r="F132" s="22"/>
      <c r="G132" s="22"/>
      <c r="H132" s="17" t="s">
        <v>12</v>
      </c>
    </row>
    <row r="133" spans="1:17" x14ac:dyDescent="0.2">
      <c r="A133" s="11"/>
      <c r="B133" s="11"/>
      <c r="C133" s="18" t="s">
        <v>113</v>
      </c>
      <c r="D133" s="11"/>
      <c r="E133" s="11"/>
      <c r="F133" s="23">
        <v>627097.72690068197</v>
      </c>
      <c r="G133" s="20">
        <v>0.97228554</v>
      </c>
      <c r="H133" s="17" t="s">
        <v>12</v>
      </c>
    </row>
    <row r="134" spans="1:17" x14ac:dyDescent="0.2">
      <c r="A134" s="11"/>
      <c r="B134" s="11"/>
      <c r="C134" s="22"/>
      <c r="D134" s="11"/>
      <c r="E134" s="11"/>
      <c r="F134" s="11"/>
      <c r="G134" s="11"/>
      <c r="H134" s="17" t="s">
        <v>12</v>
      </c>
    </row>
    <row r="135" spans="1:17" x14ac:dyDescent="0.2">
      <c r="A135" s="11"/>
      <c r="B135" s="11"/>
      <c r="C135" s="18" t="s">
        <v>114</v>
      </c>
      <c r="D135" s="11"/>
      <c r="E135" s="11"/>
      <c r="F135" s="11"/>
      <c r="G135" s="11"/>
      <c r="H135" s="17" t="s">
        <v>12</v>
      </c>
    </row>
    <row r="136" spans="1:17" x14ac:dyDescent="0.2">
      <c r="A136" s="11"/>
      <c r="B136" s="11"/>
      <c r="C136" s="18" t="s">
        <v>115</v>
      </c>
      <c r="D136" s="11"/>
      <c r="E136" s="11"/>
      <c r="F136" s="11"/>
      <c r="G136" s="11"/>
      <c r="H136" s="17" t="s">
        <v>12</v>
      </c>
    </row>
    <row r="137" spans="1:17" x14ac:dyDescent="0.2">
      <c r="A137" s="11"/>
      <c r="B137" s="11"/>
      <c r="C137" s="18" t="s">
        <v>11</v>
      </c>
      <c r="D137" s="11"/>
      <c r="E137" s="11" t="s">
        <v>12</v>
      </c>
      <c r="F137" s="19" t="s">
        <v>13</v>
      </c>
      <c r="G137" s="20">
        <v>0</v>
      </c>
      <c r="H137" s="17" t="s">
        <v>12</v>
      </c>
    </row>
    <row r="138" spans="1:17" x14ac:dyDescent="0.2">
      <c r="A138" s="16"/>
      <c r="B138" s="16"/>
      <c r="C138" s="65"/>
      <c r="D138" s="16"/>
      <c r="E138" s="16"/>
      <c r="F138" s="35"/>
      <c r="G138" s="35"/>
      <c r="H138" s="17" t="s">
        <v>12</v>
      </c>
    </row>
    <row r="139" spans="1:17" x14ac:dyDescent="0.2">
      <c r="A139" s="16"/>
      <c r="B139" s="16"/>
      <c r="C139" s="8" t="s">
        <v>618</v>
      </c>
      <c r="D139" s="16"/>
      <c r="E139" s="16"/>
      <c r="F139" s="35"/>
      <c r="G139" s="35"/>
      <c r="H139" s="17" t="s">
        <v>12</v>
      </c>
      <c r="K139" s="48"/>
      <c r="L139" s="48"/>
      <c r="M139" s="48"/>
      <c r="N139" s="48"/>
      <c r="O139" s="66"/>
      <c r="P139" s="66"/>
      <c r="Q139" s="66"/>
    </row>
    <row r="140" spans="1:17" x14ac:dyDescent="0.2">
      <c r="A140" s="59">
        <v>1</v>
      </c>
      <c r="B140" s="60" t="s">
        <v>116</v>
      </c>
      <c r="C140" s="60" t="s">
        <v>117</v>
      </c>
      <c r="D140" s="60"/>
      <c r="E140" s="67">
        <v>13881.0234</v>
      </c>
      <c r="F140" s="62">
        <v>1564.119768838</v>
      </c>
      <c r="G140" s="63">
        <v>2.42509E-3</v>
      </c>
      <c r="H140" s="17"/>
    </row>
    <row r="141" spans="1:17" x14ac:dyDescent="0.2">
      <c r="A141" s="16"/>
      <c r="B141" s="16"/>
      <c r="C141" s="8" t="s">
        <v>11</v>
      </c>
      <c r="D141" s="16"/>
      <c r="E141" s="16" t="s">
        <v>12</v>
      </c>
      <c r="F141" s="68">
        <f>SUM(F140)</f>
        <v>1564.119768838</v>
      </c>
      <c r="G141" s="69">
        <f>SUM(G140)</f>
        <v>2.42509E-3</v>
      </c>
      <c r="H141" s="17" t="s">
        <v>12</v>
      </c>
    </row>
    <row r="142" spans="1:17" x14ac:dyDescent="0.2">
      <c r="A142" s="16"/>
      <c r="B142" s="16"/>
      <c r="C142" s="65"/>
      <c r="D142" s="16"/>
      <c r="E142" s="16"/>
      <c r="F142" s="35"/>
      <c r="G142" s="35"/>
      <c r="H142" s="17" t="s">
        <v>12</v>
      </c>
    </row>
    <row r="143" spans="1:17" x14ac:dyDescent="0.2">
      <c r="A143" s="11"/>
      <c r="B143" s="11"/>
      <c r="C143" s="18" t="s">
        <v>118</v>
      </c>
      <c r="D143" s="11"/>
      <c r="E143" s="11"/>
      <c r="F143" s="11"/>
      <c r="G143" s="11"/>
      <c r="H143" s="17" t="s">
        <v>12</v>
      </c>
    </row>
    <row r="144" spans="1:17" x14ac:dyDescent="0.2">
      <c r="A144" s="11"/>
      <c r="B144" s="11"/>
      <c r="C144" s="18" t="s">
        <v>119</v>
      </c>
      <c r="D144" s="11"/>
      <c r="E144" s="11"/>
      <c r="F144" s="11"/>
      <c r="G144" s="11"/>
      <c r="H144" s="17" t="s">
        <v>12</v>
      </c>
    </row>
    <row r="145" spans="1:9" x14ac:dyDescent="0.2">
      <c r="A145" s="11"/>
      <c r="B145" s="11"/>
      <c r="C145" s="18" t="s">
        <v>11</v>
      </c>
      <c r="D145" s="11"/>
      <c r="E145" s="11" t="s">
        <v>12</v>
      </c>
      <c r="F145" s="19" t="s">
        <v>13</v>
      </c>
      <c r="G145" s="20">
        <v>0</v>
      </c>
      <c r="H145" s="17" t="s">
        <v>12</v>
      </c>
    </row>
    <row r="146" spans="1:9" x14ac:dyDescent="0.2">
      <c r="A146" s="11"/>
      <c r="B146" s="11"/>
      <c r="C146" s="21"/>
      <c r="D146" s="11"/>
      <c r="E146" s="11"/>
      <c r="F146" s="22"/>
      <c r="G146" s="22"/>
      <c r="H146" s="17" t="s">
        <v>12</v>
      </c>
    </row>
    <row r="147" spans="1:9" x14ac:dyDescent="0.2">
      <c r="A147" s="11"/>
      <c r="B147" s="11"/>
      <c r="C147" s="18" t="s">
        <v>120</v>
      </c>
      <c r="D147" s="11"/>
      <c r="E147" s="11"/>
      <c r="F147" s="22"/>
      <c r="G147" s="22"/>
      <c r="H147" s="17" t="s">
        <v>12</v>
      </c>
    </row>
    <row r="148" spans="1:9" x14ac:dyDescent="0.2">
      <c r="A148" s="11"/>
      <c r="B148" s="11"/>
      <c r="C148" s="18" t="s">
        <v>11</v>
      </c>
      <c r="D148" s="11"/>
      <c r="E148" s="11" t="s">
        <v>12</v>
      </c>
      <c r="F148" s="19" t="s">
        <v>13</v>
      </c>
      <c r="G148" s="20">
        <v>0</v>
      </c>
      <c r="H148" s="17" t="s">
        <v>12</v>
      </c>
    </row>
    <row r="149" spans="1:9" x14ac:dyDescent="0.2">
      <c r="A149" s="11"/>
      <c r="B149" s="9"/>
      <c r="C149" s="9"/>
      <c r="D149" s="18"/>
      <c r="E149" s="11"/>
      <c r="F149" s="9"/>
      <c r="G149" s="28"/>
      <c r="H149" s="17" t="s">
        <v>12</v>
      </c>
    </row>
    <row r="150" spans="1:9" x14ac:dyDescent="0.2">
      <c r="A150" s="28"/>
      <c r="B150" s="9"/>
      <c r="C150" s="9" t="s">
        <v>121</v>
      </c>
      <c r="D150" s="9"/>
      <c r="E150" s="28"/>
      <c r="F150" s="26">
        <f>1292.79542301-F25-0.00324777000427246</f>
        <v>1292.6421752399956</v>
      </c>
      <c r="G150" s="27">
        <f>F150/F151</f>
        <v>2.0041808623280553E-3</v>
      </c>
      <c r="H150" s="17" t="s">
        <v>12</v>
      </c>
    </row>
    <row r="151" spans="1:9" x14ac:dyDescent="0.2">
      <c r="A151" s="21"/>
      <c r="B151" s="21"/>
      <c r="C151" s="18" t="s">
        <v>122</v>
      </c>
      <c r="D151" s="22"/>
      <c r="E151" s="22"/>
      <c r="F151" s="23">
        <f>644972.81959253-0.00324777000427246</f>
        <v>644972.81634476001</v>
      </c>
      <c r="G151" s="29">
        <v>1.0000000200000001</v>
      </c>
      <c r="H151" s="17" t="s">
        <v>12</v>
      </c>
    </row>
    <row r="152" spans="1:9" x14ac:dyDescent="0.2">
      <c r="A152" s="30"/>
      <c r="B152" s="30"/>
      <c r="C152" s="30"/>
      <c r="D152" s="10"/>
      <c r="E152" s="10"/>
      <c r="F152" s="10"/>
      <c r="G152" s="10"/>
    </row>
    <row r="153" spans="1:9" x14ac:dyDescent="0.2">
      <c r="A153" s="31"/>
      <c r="B153" s="148" t="s">
        <v>619</v>
      </c>
      <c r="C153" s="148"/>
      <c r="D153" s="148"/>
      <c r="E153" s="148"/>
      <c r="F153" s="148"/>
      <c r="G153" s="148"/>
      <c r="H153" s="148"/>
    </row>
    <row r="154" spans="1:9" x14ac:dyDescent="0.2">
      <c r="A154" s="31"/>
      <c r="B154" s="148" t="s">
        <v>620</v>
      </c>
      <c r="C154" s="148"/>
      <c r="D154" s="148"/>
      <c r="E154" s="148"/>
      <c r="F154" s="148"/>
      <c r="G154" s="148"/>
      <c r="H154" s="148"/>
    </row>
    <row r="155" spans="1:9" x14ac:dyDescent="0.2">
      <c r="A155" s="31"/>
      <c r="B155" s="148" t="s">
        <v>621</v>
      </c>
      <c r="C155" s="148"/>
      <c r="D155" s="148"/>
      <c r="E155" s="148"/>
      <c r="F155" s="148"/>
      <c r="G155" s="148"/>
      <c r="H155" s="148"/>
    </row>
    <row r="156" spans="1:9" x14ac:dyDescent="0.2">
      <c r="A156" s="31"/>
      <c r="B156" s="185" t="s">
        <v>679</v>
      </c>
      <c r="C156" s="148"/>
      <c r="D156" s="148"/>
      <c r="E156" s="148"/>
      <c r="F156" s="148"/>
      <c r="G156" s="148"/>
      <c r="H156" s="148"/>
      <c r="I156" s="101"/>
    </row>
    <row r="157" spans="1:9" x14ac:dyDescent="0.2">
      <c r="A157" s="31"/>
      <c r="B157" s="31"/>
      <c r="C157" s="31"/>
      <c r="D157" s="33"/>
      <c r="E157" s="33"/>
      <c r="F157" s="33"/>
      <c r="G157" s="33"/>
    </row>
    <row r="158" spans="1:9" x14ac:dyDescent="0.2">
      <c r="A158" s="31"/>
      <c r="B158" s="149" t="s">
        <v>123</v>
      </c>
      <c r="C158" s="150"/>
      <c r="D158" s="151"/>
      <c r="E158" s="34"/>
      <c r="F158" s="33"/>
      <c r="G158" s="33"/>
    </row>
    <row r="159" spans="1:9" ht="25.5" x14ac:dyDescent="0.2">
      <c r="A159" s="31"/>
      <c r="B159" s="152" t="s">
        <v>124</v>
      </c>
      <c r="C159" s="153"/>
      <c r="D159" s="84" t="s">
        <v>704</v>
      </c>
      <c r="E159" s="34"/>
      <c r="F159" s="33"/>
      <c r="G159" s="33"/>
    </row>
    <row r="160" spans="1:9" x14ac:dyDescent="0.2">
      <c r="A160" s="31"/>
      <c r="B160" s="152" t="s">
        <v>126</v>
      </c>
      <c r="C160" s="153"/>
      <c r="D160" s="8" t="s">
        <v>125</v>
      </c>
      <c r="E160" s="34"/>
      <c r="F160" s="33"/>
      <c r="G160" s="33"/>
    </row>
    <row r="161" spans="1:15" x14ac:dyDescent="0.2">
      <c r="A161" s="31"/>
      <c r="B161" s="152" t="s">
        <v>127</v>
      </c>
      <c r="C161" s="153"/>
      <c r="D161" s="35" t="s">
        <v>12</v>
      </c>
      <c r="E161" s="34"/>
      <c r="F161" s="33"/>
      <c r="G161" s="33"/>
    </row>
    <row r="162" spans="1:15" x14ac:dyDescent="0.2">
      <c r="A162" s="36"/>
      <c r="B162" s="37" t="s">
        <v>12</v>
      </c>
      <c r="C162" s="37" t="s">
        <v>622</v>
      </c>
      <c r="D162" s="37" t="s">
        <v>128</v>
      </c>
      <c r="E162" s="36"/>
      <c r="F162" s="36"/>
      <c r="G162" s="36"/>
    </row>
    <row r="163" spans="1:15" x14ac:dyDescent="0.2">
      <c r="A163" s="36"/>
      <c r="B163" s="38" t="s">
        <v>129</v>
      </c>
      <c r="C163" s="39">
        <v>45838</v>
      </c>
      <c r="D163" s="39">
        <v>45853</v>
      </c>
      <c r="E163" s="36"/>
      <c r="F163" s="36"/>
      <c r="G163" s="36"/>
    </row>
    <row r="164" spans="1:15" x14ac:dyDescent="0.2">
      <c r="A164" s="40"/>
      <c r="B164" s="9" t="s">
        <v>130</v>
      </c>
      <c r="C164" s="41">
        <v>2330.1052</v>
      </c>
      <c r="D164" s="41">
        <v>2336.0605</v>
      </c>
      <c r="E164" s="40"/>
      <c r="F164" s="42"/>
      <c r="G164" s="43"/>
    </row>
    <row r="165" spans="1:15" ht="25.5" x14ac:dyDescent="0.2">
      <c r="A165" s="40"/>
      <c r="B165" s="9" t="s">
        <v>743</v>
      </c>
      <c r="C165" s="41">
        <v>1030.1125</v>
      </c>
      <c r="D165" s="41">
        <v>1032.7451000000001</v>
      </c>
      <c r="E165" s="40"/>
      <c r="F165" s="42"/>
      <c r="G165" s="43"/>
    </row>
    <row r="166" spans="1:15" x14ac:dyDescent="0.2">
      <c r="A166" s="40"/>
      <c r="B166" s="9" t="s">
        <v>131</v>
      </c>
      <c r="C166" s="41">
        <v>2303.1855</v>
      </c>
      <c r="D166" s="41">
        <v>2308.8914</v>
      </c>
      <c r="E166" s="40"/>
      <c r="F166" s="42"/>
      <c r="G166" s="43"/>
    </row>
    <row r="167" spans="1:15" ht="25.5" x14ac:dyDescent="0.2">
      <c r="A167" s="40"/>
      <c r="B167" s="9" t="s">
        <v>744</v>
      </c>
      <c r="C167" s="41">
        <v>1029.3322000000001</v>
      </c>
      <c r="D167" s="41">
        <v>1031.8824</v>
      </c>
      <c r="E167" s="40"/>
      <c r="F167" s="42"/>
      <c r="G167" s="43"/>
    </row>
    <row r="168" spans="1:15" x14ac:dyDescent="0.2">
      <c r="A168" s="40"/>
      <c r="B168" s="40"/>
      <c r="C168" s="40"/>
      <c r="D168" s="40"/>
      <c r="E168" s="40"/>
      <c r="F168" s="40"/>
      <c r="G168" s="40"/>
    </row>
    <row r="169" spans="1:15" x14ac:dyDescent="0.2">
      <c r="A169" s="40"/>
      <c r="B169" s="155" t="s">
        <v>742</v>
      </c>
      <c r="C169" s="156"/>
      <c r="D169" s="8" t="s">
        <v>125</v>
      </c>
      <c r="E169" s="40"/>
      <c r="F169" s="40"/>
      <c r="G169" s="40"/>
    </row>
    <row r="170" spans="1:15" x14ac:dyDescent="0.2">
      <c r="A170" s="40"/>
      <c r="B170" s="44"/>
      <c r="C170" s="44"/>
      <c r="D170" s="44"/>
      <c r="E170" s="40"/>
      <c r="F170" s="40"/>
      <c r="G170" s="40"/>
    </row>
    <row r="171" spans="1:15" x14ac:dyDescent="0.2">
      <c r="A171" s="36"/>
      <c r="B171" s="152" t="s">
        <v>132</v>
      </c>
      <c r="C171" s="153"/>
      <c r="D171" s="8" t="s">
        <v>125</v>
      </c>
      <c r="E171" s="47"/>
      <c r="F171" s="36"/>
      <c r="G171" s="36"/>
    </row>
    <row r="172" spans="1:15" x14ac:dyDescent="0.2">
      <c r="A172" s="36"/>
      <c r="B172" s="152" t="s">
        <v>133</v>
      </c>
      <c r="C172" s="153"/>
      <c r="D172" s="8" t="s">
        <v>125</v>
      </c>
      <c r="E172" s="47"/>
      <c r="F172" s="36"/>
      <c r="G172" s="36"/>
    </row>
    <row r="173" spans="1:15" x14ac:dyDescent="0.2">
      <c r="A173" s="36"/>
      <c r="B173" s="152" t="s">
        <v>623</v>
      </c>
      <c r="C173" s="153"/>
      <c r="D173" s="8" t="s">
        <v>125</v>
      </c>
      <c r="E173" s="47"/>
      <c r="F173" s="36"/>
      <c r="G173" s="36"/>
    </row>
    <row r="174" spans="1:15" x14ac:dyDescent="0.2">
      <c r="A174" s="44"/>
      <c r="B174" s="44"/>
      <c r="C174" s="44"/>
      <c r="D174" s="44"/>
      <c r="E174" s="44"/>
      <c r="F174" s="44"/>
      <c r="G174" s="44"/>
      <c r="I174" s="101"/>
      <c r="J174" s="15"/>
    </row>
    <row r="175" spans="1:15" s="49" customFormat="1" x14ac:dyDescent="0.2">
      <c r="B175" s="121" t="s">
        <v>750</v>
      </c>
      <c r="C175" s="121"/>
      <c r="D175" s="121"/>
      <c r="E175" s="121"/>
      <c r="F175" s="121"/>
      <c r="G175" s="121"/>
      <c r="I175" s="101"/>
      <c r="J175" s="15"/>
      <c r="K175" s="48"/>
      <c r="L175" s="48"/>
      <c r="M175" s="48"/>
      <c r="N175" s="48"/>
      <c r="O175"/>
    </row>
    <row r="176" spans="1:15" ht="13.5" customHeight="1" x14ac:dyDescent="0.2">
      <c r="B176" s="168" t="s">
        <v>643</v>
      </c>
      <c r="C176" s="168" t="s">
        <v>644</v>
      </c>
      <c r="D176" s="171" t="s">
        <v>654</v>
      </c>
      <c r="E176" s="172"/>
      <c r="F176" s="173"/>
      <c r="G176" s="174" t="s">
        <v>662</v>
      </c>
      <c r="H176" s="175"/>
      <c r="I176" s="176"/>
      <c r="J176" s="48"/>
      <c r="K176" s="48"/>
      <c r="L176" s="48"/>
      <c r="M176" s="48"/>
      <c r="N176" s="48"/>
      <c r="O176" s="48"/>
    </row>
    <row r="177" spans="2:18" ht="46.5" customHeight="1" x14ac:dyDescent="0.2">
      <c r="B177" s="169"/>
      <c r="C177" s="169"/>
      <c r="D177" s="166" t="s">
        <v>663</v>
      </c>
      <c r="E177" s="166" t="s">
        <v>664</v>
      </c>
      <c r="F177" s="166" t="s">
        <v>665</v>
      </c>
      <c r="G177" s="177" t="s">
        <v>680</v>
      </c>
      <c r="H177" s="178"/>
      <c r="I177" s="166" t="s">
        <v>667</v>
      </c>
      <c r="J177" s="48"/>
      <c r="K177" s="48"/>
      <c r="L177" s="48"/>
      <c r="M177" s="48"/>
      <c r="N177" s="48"/>
      <c r="O177" s="48"/>
    </row>
    <row r="178" spans="2:18" ht="21" customHeight="1" x14ac:dyDescent="0.2">
      <c r="B178" s="170"/>
      <c r="C178" s="170"/>
      <c r="D178" s="167"/>
      <c r="E178" s="167"/>
      <c r="F178" s="167"/>
      <c r="G178" s="72" t="s">
        <v>668</v>
      </c>
      <c r="H178" s="72" t="s">
        <v>669</v>
      </c>
      <c r="I178" s="167"/>
      <c r="J178" s="48"/>
      <c r="K178" s="48"/>
      <c r="L178" s="48"/>
      <c r="M178" s="48"/>
      <c r="N178" s="48"/>
      <c r="O178" s="48"/>
    </row>
    <row r="179" spans="2:18" ht="13.5" x14ac:dyDescent="0.25">
      <c r="B179" s="76" t="s">
        <v>670</v>
      </c>
      <c r="C179" s="75" t="s">
        <v>671</v>
      </c>
      <c r="D179" s="122">
        <v>5523.9823999999999</v>
      </c>
      <c r="E179" s="5">
        <v>126.0176</v>
      </c>
      <c r="F179" s="123">
        <f>D179+E179</f>
        <v>5650</v>
      </c>
      <c r="G179" s="3">
        <v>239.15547683099999</v>
      </c>
      <c r="H179" s="3">
        <v>150.66</v>
      </c>
      <c r="I179" s="3">
        <f>G179+H179</f>
        <v>389.81547683099996</v>
      </c>
      <c r="J179" s="48"/>
      <c r="K179" s="48"/>
      <c r="L179" s="48"/>
      <c r="M179" s="48"/>
      <c r="N179" s="48"/>
      <c r="O179" s="48"/>
    </row>
    <row r="180" spans="2:18" ht="6.75" customHeight="1" x14ac:dyDescent="0.25">
      <c r="B180" s="124"/>
      <c r="C180" s="125"/>
      <c r="D180" s="126"/>
      <c r="E180" s="6"/>
      <c r="F180" s="127"/>
      <c r="G180" s="4"/>
      <c r="H180" s="4"/>
      <c r="I180" s="4"/>
      <c r="J180" s="48"/>
      <c r="K180" s="48"/>
      <c r="L180" s="48"/>
      <c r="M180" s="48"/>
      <c r="N180" s="48"/>
      <c r="O180" s="48"/>
    </row>
    <row r="181" spans="2:18" ht="51" customHeight="1" x14ac:dyDescent="0.2">
      <c r="B181" s="165" t="s">
        <v>672</v>
      </c>
      <c r="C181" s="165"/>
      <c r="D181" s="165"/>
      <c r="E181" s="165"/>
      <c r="F181" s="165"/>
      <c r="G181" s="165"/>
      <c r="H181" s="165"/>
      <c r="I181" s="165"/>
      <c r="J181" s="128"/>
      <c r="K181" s="48"/>
      <c r="L181" s="48"/>
      <c r="M181" s="48"/>
      <c r="N181" s="48"/>
      <c r="O181" s="48"/>
    </row>
    <row r="182" spans="2:18" ht="13.5" x14ac:dyDescent="0.25">
      <c r="B182" s="81" t="s">
        <v>673</v>
      </c>
      <c r="I182" s="48"/>
      <c r="J182" s="15"/>
      <c r="K182" s="48"/>
      <c r="L182" s="48"/>
      <c r="M182" s="48"/>
      <c r="N182" s="48"/>
      <c r="O182" s="48"/>
      <c r="P182" s="48"/>
    </row>
    <row r="183" spans="2:18" x14ac:dyDescent="0.2">
      <c r="B183" s="82"/>
      <c r="J183" s="15"/>
      <c r="K183" s="48"/>
      <c r="L183" s="48"/>
      <c r="M183" s="48"/>
      <c r="N183" s="48"/>
      <c r="O183" s="48"/>
    </row>
    <row r="184" spans="2:18" x14ac:dyDescent="0.2">
      <c r="B184" s="82" t="s">
        <v>677</v>
      </c>
      <c r="J184" s="15"/>
      <c r="K184" s="48"/>
      <c r="L184" s="48"/>
      <c r="M184" s="48"/>
      <c r="N184" s="48"/>
      <c r="O184" s="48"/>
    </row>
    <row r="185" spans="2:18" s="49" customFormat="1" x14ac:dyDescent="0.2">
      <c r="I185" s="101"/>
      <c r="J185" s="15"/>
      <c r="K185" s="48"/>
      <c r="L185" s="48"/>
      <c r="M185" s="48"/>
      <c r="N185" s="48"/>
      <c r="O185"/>
      <c r="R185"/>
    </row>
    <row r="186" spans="2:18" s="49" customFormat="1" x14ac:dyDescent="0.2">
      <c r="B186" s="157" t="s">
        <v>624</v>
      </c>
      <c r="C186" s="158"/>
      <c r="D186" s="159"/>
      <c r="I186" s="101"/>
      <c r="J186" s="15"/>
      <c r="K186" s="48"/>
      <c r="L186" s="48"/>
      <c r="M186" s="48"/>
      <c r="N186" s="48"/>
      <c r="O186"/>
      <c r="R186"/>
    </row>
    <row r="187" spans="2:18" s="49" customFormat="1" ht="25.5" x14ac:dyDescent="0.2">
      <c r="B187" s="154" t="s">
        <v>625</v>
      </c>
      <c r="C187" s="154"/>
      <c r="D187" s="51" t="s">
        <v>318</v>
      </c>
      <c r="I187" s="101"/>
      <c r="J187" s="15"/>
      <c r="K187" s="48"/>
      <c r="L187" s="48"/>
      <c r="M187" s="48"/>
      <c r="N187" s="48"/>
      <c r="O187"/>
      <c r="R187"/>
    </row>
    <row r="188" spans="2:18" s="49" customFormat="1" x14ac:dyDescent="0.2">
      <c r="B188" s="143" t="s">
        <v>626</v>
      </c>
      <c r="C188" s="143"/>
      <c r="D188" s="52"/>
      <c r="I188" s="101"/>
      <c r="J188" s="15"/>
      <c r="K188" s="48"/>
      <c r="L188" s="48"/>
      <c r="M188" s="48"/>
      <c r="N188" s="48"/>
      <c r="O188"/>
      <c r="R188"/>
    </row>
    <row r="189" spans="2:18" s="49" customFormat="1" x14ac:dyDescent="0.2">
      <c r="B189" s="143"/>
      <c r="C189" s="143"/>
      <c r="D189" s="53"/>
      <c r="I189" s="101"/>
      <c r="J189" s="15"/>
      <c r="K189" s="48"/>
      <c r="L189" s="48"/>
      <c r="M189" s="48"/>
      <c r="N189" s="48"/>
      <c r="O189"/>
      <c r="R189"/>
    </row>
    <row r="190" spans="2:18" s="49" customFormat="1" x14ac:dyDescent="0.2">
      <c r="B190" s="143" t="s">
        <v>627</v>
      </c>
      <c r="C190" s="143"/>
      <c r="D190" s="54">
        <v>5.6859836177867811</v>
      </c>
      <c r="I190" s="101"/>
      <c r="J190" s="15"/>
      <c r="K190" s="48"/>
      <c r="L190" s="48"/>
      <c r="M190" s="48"/>
      <c r="N190" s="48"/>
      <c r="O190"/>
      <c r="R190"/>
    </row>
    <row r="191" spans="2:18" s="49" customFormat="1" x14ac:dyDescent="0.2">
      <c r="B191" s="143"/>
      <c r="C191" s="143"/>
      <c r="D191" s="53"/>
      <c r="I191" s="101"/>
      <c r="J191" s="15"/>
      <c r="K191" s="48"/>
      <c r="L191" s="48"/>
      <c r="M191" s="48"/>
      <c r="N191" s="48"/>
      <c r="O191"/>
      <c r="R191"/>
    </row>
    <row r="192" spans="2:18" s="49" customFormat="1" x14ac:dyDescent="0.2">
      <c r="B192" s="143" t="s">
        <v>628</v>
      </c>
      <c r="C192" s="143"/>
      <c r="D192" s="54">
        <v>0.11155437966563463</v>
      </c>
      <c r="I192" s="101"/>
      <c r="J192" s="15"/>
      <c r="K192" s="48"/>
      <c r="L192" s="48"/>
      <c r="M192" s="48"/>
      <c r="N192" s="48"/>
      <c r="O192"/>
      <c r="R192"/>
    </row>
    <row r="193" spans="2:18" s="49" customFormat="1" x14ac:dyDescent="0.2">
      <c r="B193" s="143" t="s">
        <v>629</v>
      </c>
      <c r="C193" s="143"/>
      <c r="D193" s="54">
        <v>0.11158340214027068</v>
      </c>
      <c r="I193" s="101"/>
      <c r="J193" s="15"/>
      <c r="K193" s="48"/>
      <c r="L193" s="48"/>
      <c r="M193" s="48"/>
      <c r="N193" s="48"/>
      <c r="O193"/>
      <c r="R193"/>
    </row>
    <row r="194" spans="2:18" s="49" customFormat="1" x14ac:dyDescent="0.2">
      <c r="B194" s="143"/>
      <c r="C194" s="143"/>
      <c r="D194" s="53"/>
      <c r="I194" s="101"/>
      <c r="J194" s="15"/>
      <c r="K194" s="48"/>
      <c r="L194" s="48"/>
      <c r="M194" s="48"/>
      <c r="N194" s="48"/>
      <c r="O194"/>
      <c r="P194"/>
      <c r="Q194"/>
      <c r="R194"/>
    </row>
    <row r="195" spans="2:18" s="49" customFormat="1" x14ac:dyDescent="0.2">
      <c r="B195" s="143" t="s">
        <v>630</v>
      </c>
      <c r="C195" s="143"/>
      <c r="D195" s="7" t="s">
        <v>746</v>
      </c>
      <c r="I195" s="101"/>
      <c r="J195" s="15"/>
      <c r="K195" s="48"/>
      <c r="L195" s="48"/>
      <c r="M195" s="48"/>
      <c r="N195" s="48"/>
      <c r="O195" s="50"/>
    </row>
    <row r="196" spans="2:18" s="49" customFormat="1" x14ac:dyDescent="0.2">
      <c r="B196" s="144" t="s">
        <v>631</v>
      </c>
      <c r="C196" s="146"/>
      <c r="D196" s="145"/>
      <c r="I196" s="101"/>
      <c r="J196" s="15"/>
      <c r="K196" s="48"/>
      <c r="L196" s="48"/>
      <c r="M196" s="48"/>
      <c r="N196" s="48"/>
      <c r="O196"/>
      <c r="P196"/>
      <c r="Q196"/>
      <c r="R196"/>
    </row>
    <row r="197" spans="2:18" x14ac:dyDescent="0.2">
      <c r="I197" s="101"/>
      <c r="J197" s="15"/>
    </row>
    <row r="198" spans="2:18" x14ac:dyDescent="0.2">
      <c r="B198" s="57" t="s">
        <v>632</v>
      </c>
      <c r="I198" s="101"/>
    </row>
    <row r="199" spans="2:18" x14ac:dyDescent="0.2">
      <c r="I199" s="101"/>
    </row>
    <row r="200" spans="2:18" ht="153.75" customHeight="1" x14ac:dyDescent="0.2">
      <c r="I200" s="101"/>
    </row>
    <row r="201" spans="2:18" x14ac:dyDescent="0.2">
      <c r="I201" s="101"/>
    </row>
    <row r="202" spans="2:18" x14ac:dyDescent="0.2">
      <c r="I202" s="101"/>
    </row>
    <row r="203" spans="2:18" x14ac:dyDescent="0.2">
      <c r="B203" s="57" t="s">
        <v>633</v>
      </c>
      <c r="C203" s="58"/>
      <c r="D203" s="57"/>
      <c r="I203" s="101"/>
    </row>
    <row r="204" spans="2:18" x14ac:dyDescent="0.2">
      <c r="B204" s="57" t="s">
        <v>681</v>
      </c>
      <c r="D204" s="57"/>
      <c r="I204" s="101"/>
    </row>
    <row r="205" spans="2:18" ht="165" customHeight="1" x14ac:dyDescent="0.2">
      <c r="I205" s="101"/>
    </row>
    <row r="206" spans="2:18" x14ac:dyDescent="0.2">
      <c r="I206" s="101"/>
    </row>
    <row r="207" spans="2:18" x14ac:dyDescent="0.2">
      <c r="I207" s="101"/>
      <c r="J207" s="15"/>
    </row>
  </sheetData>
  <mergeCells count="36">
    <mergeCell ref="B176:B178"/>
    <mergeCell ref="C176:C178"/>
    <mergeCell ref="B173:C173"/>
    <mergeCell ref="B171:C171"/>
    <mergeCell ref="B169:C169"/>
    <mergeCell ref="B172:C172"/>
    <mergeCell ref="B155:H155"/>
    <mergeCell ref="B158:D158"/>
    <mergeCell ref="B159:C159"/>
    <mergeCell ref="B160:C160"/>
    <mergeCell ref="B161:C161"/>
    <mergeCell ref="B156:H156"/>
    <mergeCell ref="A1:H1"/>
    <mergeCell ref="A2:H2"/>
    <mergeCell ref="A3:H3"/>
    <mergeCell ref="B153:H153"/>
    <mergeCell ref="B154:H154"/>
    <mergeCell ref="D176:F176"/>
    <mergeCell ref="G176:I176"/>
    <mergeCell ref="D177:D178"/>
    <mergeCell ref="E177:E178"/>
    <mergeCell ref="F177:F178"/>
    <mergeCell ref="G177:H177"/>
    <mergeCell ref="I177:I178"/>
    <mergeCell ref="B181:I181"/>
    <mergeCell ref="B186:D186"/>
    <mergeCell ref="B187:C187"/>
    <mergeCell ref="B188:C188"/>
    <mergeCell ref="B189:C189"/>
    <mergeCell ref="B195:C195"/>
    <mergeCell ref="B196:D196"/>
    <mergeCell ref="B190:C190"/>
    <mergeCell ref="B191:C191"/>
    <mergeCell ref="B192:C192"/>
    <mergeCell ref="B193:C193"/>
    <mergeCell ref="B194:C194"/>
  </mergeCells>
  <hyperlinks>
    <hyperlink ref="I1" location="Index!B2" display="Index" xr:uid="{AF758D8A-CA15-47E5-A70C-12C52A6B5A6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EE230-F84F-4EEA-ABE0-42EC1C36B7D9}">
  <sheetPr>
    <outlinePr summaryBelow="0" summaryRight="0"/>
  </sheetPr>
  <dimension ref="A1:S170"/>
  <sheetViews>
    <sheetView showGridLines="0" topLeftCell="A163" workbookViewId="0">
      <selection activeCell="D108" sqref="D108"/>
    </sheetView>
  </sheetViews>
  <sheetFormatPr defaultRowHeight="12.75" x14ac:dyDescent="0.2"/>
  <cols>
    <col min="1" max="1" width="5.85546875" bestFit="1" customWidth="1"/>
    <col min="2" max="2" width="19.28515625" bestFit="1" customWidth="1"/>
    <col min="3" max="3" width="48.42578125" customWidth="1"/>
    <col min="4" max="4" width="13.85546875" customWidth="1"/>
    <col min="5" max="5" width="8.7109375" bestFit="1" customWidth="1"/>
    <col min="6" max="6" width="10.140625" bestFit="1" customWidth="1"/>
    <col min="7" max="7" width="14" bestFit="1" customWidth="1"/>
    <col min="8" max="8" width="9.140625" customWidth="1"/>
  </cols>
  <sheetData>
    <row r="1" spans="1:9" ht="15" x14ac:dyDescent="0.2">
      <c r="A1" s="147" t="s">
        <v>0</v>
      </c>
      <c r="B1" s="147"/>
      <c r="C1" s="147"/>
      <c r="D1" s="147"/>
      <c r="E1" s="147"/>
      <c r="F1" s="147"/>
      <c r="G1" s="147"/>
      <c r="H1" s="147"/>
      <c r="I1" s="1" t="s">
        <v>604</v>
      </c>
    </row>
    <row r="2" spans="1:9" ht="15" x14ac:dyDescent="0.2">
      <c r="A2" s="147" t="s">
        <v>473</v>
      </c>
      <c r="B2" s="147"/>
      <c r="C2" s="147"/>
      <c r="D2" s="147"/>
      <c r="E2" s="147"/>
      <c r="F2" s="147"/>
      <c r="G2" s="147"/>
      <c r="H2" s="147"/>
    </row>
    <row r="3" spans="1:9" ht="15" x14ac:dyDescent="0.2">
      <c r="A3" s="147" t="s">
        <v>603</v>
      </c>
      <c r="B3" s="147"/>
      <c r="C3" s="147"/>
      <c r="D3" s="147"/>
      <c r="E3" s="147"/>
      <c r="F3" s="147"/>
      <c r="G3" s="147"/>
      <c r="H3" s="147"/>
    </row>
    <row r="4" spans="1:9" s="15" customFormat="1" ht="30" x14ac:dyDescent="0.2">
      <c r="A4" s="13" t="s">
        <v>2</v>
      </c>
      <c r="B4" s="13" t="s">
        <v>3</v>
      </c>
      <c r="C4" s="13" t="s">
        <v>4</v>
      </c>
      <c r="D4" s="13" t="s">
        <v>5</v>
      </c>
      <c r="E4" s="13" t="s">
        <v>6</v>
      </c>
      <c r="F4" s="13" t="s">
        <v>7</v>
      </c>
      <c r="G4" s="13" t="s">
        <v>8</v>
      </c>
      <c r="H4" s="14" t="s">
        <v>602</v>
      </c>
    </row>
    <row r="5" spans="1:9" x14ac:dyDescent="0.2">
      <c r="A5" s="16"/>
      <c r="B5" s="16"/>
      <c r="C5" s="8" t="s">
        <v>9</v>
      </c>
      <c r="D5" s="16"/>
      <c r="E5" s="16"/>
      <c r="F5" s="16"/>
      <c r="G5" s="16"/>
      <c r="H5" s="17" t="s">
        <v>12</v>
      </c>
    </row>
    <row r="6" spans="1:9" x14ac:dyDescent="0.2">
      <c r="A6" s="11"/>
      <c r="B6" s="11"/>
      <c r="C6" s="18" t="s">
        <v>10</v>
      </c>
      <c r="D6" s="11"/>
      <c r="E6" s="11"/>
      <c r="F6" s="11"/>
      <c r="G6" s="11"/>
      <c r="H6" s="17" t="s">
        <v>12</v>
      </c>
    </row>
    <row r="7" spans="1:9" x14ac:dyDescent="0.2">
      <c r="A7" s="11"/>
      <c r="B7" s="11"/>
      <c r="C7" s="18" t="s">
        <v>11</v>
      </c>
      <c r="D7" s="11"/>
      <c r="E7" s="11" t="s">
        <v>12</v>
      </c>
      <c r="F7" s="19" t="s">
        <v>13</v>
      </c>
      <c r="G7" s="20">
        <v>0</v>
      </c>
      <c r="H7" s="17" t="s">
        <v>12</v>
      </c>
    </row>
    <row r="8" spans="1:9" x14ac:dyDescent="0.2">
      <c r="A8" s="11"/>
      <c r="B8" s="11"/>
      <c r="C8" s="21"/>
      <c r="D8" s="11"/>
      <c r="E8" s="11"/>
      <c r="F8" s="22"/>
      <c r="G8" s="22"/>
      <c r="H8" s="17" t="s">
        <v>12</v>
      </c>
    </row>
    <row r="9" spans="1:9" x14ac:dyDescent="0.2">
      <c r="A9" s="11"/>
      <c r="B9" s="11"/>
      <c r="C9" s="18" t="s">
        <v>14</v>
      </c>
      <c r="D9" s="11"/>
      <c r="E9" s="11"/>
      <c r="F9" s="11"/>
      <c r="G9" s="11"/>
      <c r="H9" s="17" t="s">
        <v>12</v>
      </c>
    </row>
    <row r="10" spans="1:9" x14ac:dyDescent="0.2">
      <c r="A10" s="11"/>
      <c r="B10" s="11"/>
      <c r="C10" s="18" t="s">
        <v>11</v>
      </c>
      <c r="D10" s="11"/>
      <c r="E10" s="11" t="s">
        <v>12</v>
      </c>
      <c r="F10" s="19" t="s">
        <v>13</v>
      </c>
      <c r="G10" s="20">
        <v>0</v>
      </c>
      <c r="H10" s="17" t="s">
        <v>12</v>
      </c>
    </row>
    <row r="11" spans="1:9" x14ac:dyDescent="0.2">
      <c r="A11" s="11"/>
      <c r="B11" s="11"/>
      <c r="C11" s="21"/>
      <c r="D11" s="11"/>
      <c r="E11" s="11"/>
      <c r="F11" s="22"/>
      <c r="G11" s="22"/>
      <c r="H11" s="17" t="s">
        <v>12</v>
      </c>
    </row>
    <row r="12" spans="1:9" x14ac:dyDescent="0.2">
      <c r="A12" s="11"/>
      <c r="B12" s="11"/>
      <c r="C12" s="18" t="s">
        <v>15</v>
      </c>
      <c r="D12" s="11"/>
      <c r="E12" s="11"/>
      <c r="F12" s="11"/>
      <c r="G12" s="11"/>
      <c r="H12" s="17" t="s">
        <v>12</v>
      </c>
    </row>
    <row r="13" spans="1:9" x14ac:dyDescent="0.2">
      <c r="A13" s="11"/>
      <c r="B13" s="11"/>
      <c r="C13" s="18" t="s">
        <v>11</v>
      </c>
      <c r="D13" s="11"/>
      <c r="E13" s="11" t="s">
        <v>12</v>
      </c>
      <c r="F13" s="19" t="s">
        <v>13</v>
      </c>
      <c r="G13" s="20">
        <v>0</v>
      </c>
      <c r="H13" s="17" t="s">
        <v>12</v>
      </c>
    </row>
    <row r="14" spans="1:9" x14ac:dyDescent="0.2">
      <c r="A14" s="11"/>
      <c r="B14" s="11"/>
      <c r="C14" s="21"/>
      <c r="D14" s="11"/>
      <c r="E14" s="11"/>
      <c r="F14" s="22"/>
      <c r="G14" s="22"/>
      <c r="H14" s="17" t="s">
        <v>12</v>
      </c>
    </row>
    <row r="15" spans="1:9" x14ac:dyDescent="0.2">
      <c r="A15" s="11"/>
      <c r="B15" s="11"/>
      <c r="C15" s="18" t="s">
        <v>16</v>
      </c>
      <c r="D15" s="11"/>
      <c r="E15" s="11"/>
      <c r="F15" s="11"/>
      <c r="G15" s="11"/>
      <c r="H15" s="17" t="s">
        <v>12</v>
      </c>
    </row>
    <row r="16" spans="1:9" x14ac:dyDescent="0.2">
      <c r="A16" s="11"/>
      <c r="B16" s="11"/>
      <c r="C16" s="18" t="s">
        <v>11</v>
      </c>
      <c r="D16" s="11"/>
      <c r="E16" s="11" t="s">
        <v>12</v>
      </c>
      <c r="F16" s="19" t="s">
        <v>13</v>
      </c>
      <c r="G16" s="20">
        <v>0</v>
      </c>
      <c r="H16" s="17" t="s">
        <v>12</v>
      </c>
    </row>
    <row r="17" spans="1:8" x14ac:dyDescent="0.2">
      <c r="A17" s="11"/>
      <c r="B17" s="11"/>
      <c r="C17" s="21"/>
      <c r="D17" s="11"/>
      <c r="E17" s="11"/>
      <c r="F17" s="22"/>
      <c r="G17" s="22"/>
      <c r="H17" s="17" t="s">
        <v>12</v>
      </c>
    </row>
    <row r="18" spans="1:8" x14ac:dyDescent="0.2">
      <c r="A18" s="11"/>
      <c r="B18" s="11"/>
      <c r="C18" s="18" t="s">
        <v>17</v>
      </c>
      <c r="D18" s="11"/>
      <c r="E18" s="11"/>
      <c r="F18" s="22"/>
      <c r="G18" s="22"/>
      <c r="H18" s="17" t="s">
        <v>12</v>
      </c>
    </row>
    <row r="19" spans="1:8" x14ac:dyDescent="0.2">
      <c r="A19" s="11"/>
      <c r="B19" s="11"/>
      <c r="C19" s="18" t="s">
        <v>11</v>
      </c>
      <c r="D19" s="11"/>
      <c r="E19" s="11" t="s">
        <v>12</v>
      </c>
      <c r="F19" s="19" t="s">
        <v>13</v>
      </c>
      <c r="G19" s="20">
        <v>0</v>
      </c>
      <c r="H19" s="17" t="s">
        <v>12</v>
      </c>
    </row>
    <row r="20" spans="1:8" x14ac:dyDescent="0.2">
      <c r="A20" s="11"/>
      <c r="B20" s="11"/>
      <c r="C20" s="21"/>
      <c r="D20" s="11"/>
      <c r="E20" s="11"/>
      <c r="F20" s="22"/>
      <c r="G20" s="22"/>
      <c r="H20" s="17" t="s">
        <v>12</v>
      </c>
    </row>
    <row r="21" spans="1:8" x14ac:dyDescent="0.2">
      <c r="A21" s="11"/>
      <c r="B21" s="11"/>
      <c r="C21" s="18" t="s">
        <v>18</v>
      </c>
      <c r="D21" s="11"/>
      <c r="E21" s="11"/>
      <c r="F21" s="22"/>
      <c r="G21" s="22"/>
      <c r="H21" s="17" t="s">
        <v>12</v>
      </c>
    </row>
    <row r="22" spans="1:8" x14ac:dyDescent="0.2">
      <c r="A22" s="11"/>
      <c r="B22" s="11"/>
      <c r="C22" s="18" t="s">
        <v>11</v>
      </c>
      <c r="D22" s="11"/>
      <c r="E22" s="11" t="s">
        <v>12</v>
      </c>
      <c r="F22" s="19" t="s">
        <v>13</v>
      </c>
      <c r="G22" s="20">
        <v>0</v>
      </c>
      <c r="H22" s="17" t="s">
        <v>12</v>
      </c>
    </row>
    <row r="23" spans="1:8" x14ac:dyDescent="0.2">
      <c r="A23" s="11"/>
      <c r="B23" s="11"/>
      <c r="C23" s="21"/>
      <c r="D23" s="11"/>
      <c r="E23" s="11"/>
      <c r="F23" s="22"/>
      <c r="G23" s="22"/>
      <c r="H23" s="17" t="s">
        <v>12</v>
      </c>
    </row>
    <row r="24" spans="1:8" x14ac:dyDescent="0.2">
      <c r="A24" s="11"/>
      <c r="B24" s="11"/>
      <c r="C24" s="18" t="s">
        <v>19</v>
      </c>
      <c r="D24" s="11"/>
      <c r="E24" s="11"/>
      <c r="F24" s="23">
        <v>0</v>
      </c>
      <c r="G24" s="20">
        <v>0</v>
      </c>
      <c r="H24" s="17" t="s">
        <v>12</v>
      </c>
    </row>
    <row r="25" spans="1:8" x14ac:dyDescent="0.2">
      <c r="A25" s="11"/>
      <c r="B25" s="11"/>
      <c r="C25" s="21"/>
      <c r="D25" s="11"/>
      <c r="E25" s="11"/>
      <c r="F25" s="22"/>
      <c r="G25" s="22"/>
      <c r="H25" s="17" t="s">
        <v>12</v>
      </c>
    </row>
    <row r="26" spans="1:8" x14ac:dyDescent="0.2">
      <c r="A26" s="11"/>
      <c r="B26" s="11"/>
      <c r="C26" s="18" t="s">
        <v>20</v>
      </c>
      <c r="D26" s="11"/>
      <c r="E26" s="11"/>
      <c r="F26" s="22"/>
      <c r="G26" s="22"/>
      <c r="H26" s="17" t="s">
        <v>12</v>
      </c>
    </row>
    <row r="27" spans="1:8" x14ac:dyDescent="0.2">
      <c r="A27" s="11"/>
      <c r="B27" s="11"/>
      <c r="C27" s="18" t="s">
        <v>10</v>
      </c>
      <c r="D27" s="11"/>
      <c r="E27" s="11"/>
      <c r="F27" s="22"/>
      <c r="G27" s="22"/>
      <c r="H27" s="17" t="s">
        <v>12</v>
      </c>
    </row>
    <row r="28" spans="1:8" x14ac:dyDescent="0.2">
      <c r="A28" s="24">
        <v>1</v>
      </c>
      <c r="B28" s="9" t="s">
        <v>285</v>
      </c>
      <c r="C28" s="9" t="s">
        <v>286</v>
      </c>
      <c r="D28" s="9" t="s">
        <v>279</v>
      </c>
      <c r="E28" s="25">
        <v>1100</v>
      </c>
      <c r="F28" s="26">
        <v>1106.2788</v>
      </c>
      <c r="G28" s="27">
        <v>5.0683350000000002E-2</v>
      </c>
      <c r="H28" s="17">
        <v>7</v>
      </c>
    </row>
    <row r="29" spans="1:8" ht="25.5" x14ac:dyDescent="0.2">
      <c r="A29" s="24">
        <v>2</v>
      </c>
      <c r="B29" s="9" t="s">
        <v>35</v>
      </c>
      <c r="C29" s="9" t="s">
        <v>36</v>
      </c>
      <c r="D29" s="9" t="s">
        <v>23</v>
      </c>
      <c r="E29" s="25">
        <v>1000</v>
      </c>
      <c r="F29" s="26">
        <v>1027.402</v>
      </c>
      <c r="G29" s="27">
        <v>4.7069670000000001E-2</v>
      </c>
      <c r="H29" s="17">
        <v>6.77</v>
      </c>
    </row>
    <row r="30" spans="1:8" x14ac:dyDescent="0.2">
      <c r="A30" s="24">
        <v>3</v>
      </c>
      <c r="B30" s="9" t="s">
        <v>474</v>
      </c>
      <c r="C30" s="9" t="s">
        <v>475</v>
      </c>
      <c r="D30" s="9" t="s">
        <v>26</v>
      </c>
      <c r="E30" s="25">
        <v>1000</v>
      </c>
      <c r="F30" s="26">
        <v>1026.3779999999999</v>
      </c>
      <c r="G30" s="27">
        <v>4.7022750000000002E-2</v>
      </c>
      <c r="H30" s="17">
        <v>6.67</v>
      </c>
    </row>
    <row r="31" spans="1:8" x14ac:dyDescent="0.2">
      <c r="A31" s="24">
        <v>4</v>
      </c>
      <c r="B31" s="9" t="s">
        <v>147</v>
      </c>
      <c r="C31" s="9" t="s">
        <v>148</v>
      </c>
      <c r="D31" s="9" t="s">
        <v>26</v>
      </c>
      <c r="E31" s="25">
        <v>1000</v>
      </c>
      <c r="F31" s="26">
        <v>1022.765</v>
      </c>
      <c r="G31" s="27">
        <v>4.6857219999999998E-2</v>
      </c>
      <c r="H31" s="17">
        <v>6.4950000000000001</v>
      </c>
    </row>
    <row r="32" spans="1:8" x14ac:dyDescent="0.2">
      <c r="A32" s="24">
        <v>5</v>
      </c>
      <c r="B32" s="9" t="s">
        <v>287</v>
      </c>
      <c r="C32" s="9" t="s">
        <v>288</v>
      </c>
      <c r="D32" s="9" t="s">
        <v>289</v>
      </c>
      <c r="E32" s="25">
        <v>1000</v>
      </c>
      <c r="F32" s="26">
        <v>1015.474</v>
      </c>
      <c r="G32" s="27">
        <v>4.6523189999999999E-2</v>
      </c>
      <c r="H32" s="17">
        <v>7.3015999999999996</v>
      </c>
    </row>
    <row r="33" spans="1:8" ht="25.5" x14ac:dyDescent="0.2">
      <c r="A33" s="24">
        <v>6</v>
      </c>
      <c r="B33" s="9" t="s">
        <v>476</v>
      </c>
      <c r="C33" s="9" t="s">
        <v>477</v>
      </c>
      <c r="D33" s="9" t="s">
        <v>292</v>
      </c>
      <c r="E33" s="25">
        <v>500</v>
      </c>
      <c r="F33" s="26">
        <v>513.51350000000002</v>
      </c>
      <c r="G33" s="27">
        <v>2.352624E-2</v>
      </c>
      <c r="H33" s="17">
        <v>7.6624999999999996</v>
      </c>
    </row>
    <row r="34" spans="1:8" x14ac:dyDescent="0.2">
      <c r="A34" s="24">
        <v>7</v>
      </c>
      <c r="B34" s="9" t="s">
        <v>67</v>
      </c>
      <c r="C34" s="9" t="s">
        <v>68</v>
      </c>
      <c r="D34" s="9" t="s">
        <v>23</v>
      </c>
      <c r="E34" s="25">
        <v>50</v>
      </c>
      <c r="F34" s="26">
        <v>512.10850000000005</v>
      </c>
      <c r="G34" s="27">
        <v>2.3461869999999999E-2</v>
      </c>
      <c r="H34" s="17">
        <v>6.85</v>
      </c>
    </row>
    <row r="35" spans="1:8" x14ac:dyDescent="0.2">
      <c r="A35" s="24">
        <v>8</v>
      </c>
      <c r="B35" s="9" t="s">
        <v>141</v>
      </c>
      <c r="C35" s="9" t="s">
        <v>142</v>
      </c>
      <c r="D35" s="9" t="s">
        <v>23</v>
      </c>
      <c r="E35" s="25">
        <v>500</v>
      </c>
      <c r="F35" s="26">
        <v>510.52300000000002</v>
      </c>
      <c r="G35" s="27">
        <v>2.3389239999999999E-2</v>
      </c>
      <c r="H35" s="17">
        <v>6.43</v>
      </c>
    </row>
    <row r="36" spans="1:8" ht="25.5" x14ac:dyDescent="0.2">
      <c r="A36" s="24">
        <v>9</v>
      </c>
      <c r="B36" s="9" t="s">
        <v>157</v>
      </c>
      <c r="C36" s="9" t="s">
        <v>158</v>
      </c>
      <c r="D36" s="9" t="s">
        <v>26</v>
      </c>
      <c r="E36" s="25">
        <v>500</v>
      </c>
      <c r="F36" s="26">
        <v>509.31849999999997</v>
      </c>
      <c r="G36" s="27">
        <v>2.3334049999999999E-2</v>
      </c>
      <c r="H36" s="17">
        <v>6.5449999999999999</v>
      </c>
    </row>
    <row r="37" spans="1:8" x14ac:dyDescent="0.2">
      <c r="A37" s="24">
        <v>10</v>
      </c>
      <c r="B37" s="9" t="s">
        <v>306</v>
      </c>
      <c r="C37" s="9" t="s">
        <v>307</v>
      </c>
      <c r="D37" s="9" t="s">
        <v>292</v>
      </c>
      <c r="E37" s="25">
        <v>500</v>
      </c>
      <c r="F37" s="26">
        <v>507.60550000000001</v>
      </c>
      <c r="G37" s="27">
        <v>2.325557E-2</v>
      </c>
      <c r="H37" s="17">
        <v>7.93</v>
      </c>
    </row>
    <row r="38" spans="1:8" x14ac:dyDescent="0.2">
      <c r="A38" s="24">
        <v>11</v>
      </c>
      <c r="B38" s="9" t="s">
        <v>277</v>
      </c>
      <c r="C38" s="9" t="s">
        <v>278</v>
      </c>
      <c r="D38" s="9" t="s">
        <v>279</v>
      </c>
      <c r="E38" s="25">
        <v>500</v>
      </c>
      <c r="F38" s="26">
        <v>506.82299999999998</v>
      </c>
      <c r="G38" s="27">
        <v>2.3219719999999999E-2</v>
      </c>
      <c r="H38" s="17">
        <v>7.39</v>
      </c>
    </row>
    <row r="39" spans="1:8" x14ac:dyDescent="0.2">
      <c r="A39" s="24">
        <v>12</v>
      </c>
      <c r="B39" s="9" t="s">
        <v>300</v>
      </c>
      <c r="C39" s="9" t="s">
        <v>301</v>
      </c>
      <c r="D39" s="9" t="s">
        <v>26</v>
      </c>
      <c r="E39" s="25">
        <v>500</v>
      </c>
      <c r="F39" s="26">
        <v>506.16050000000001</v>
      </c>
      <c r="G39" s="27">
        <v>2.3189370000000001E-2</v>
      </c>
      <c r="H39" s="17">
        <v>7.1574999999999998</v>
      </c>
    </row>
    <row r="40" spans="1:8" x14ac:dyDescent="0.2">
      <c r="A40" s="24">
        <v>13</v>
      </c>
      <c r="B40" s="9" t="s">
        <v>293</v>
      </c>
      <c r="C40" s="9" t="s">
        <v>294</v>
      </c>
      <c r="D40" s="9" t="s">
        <v>26</v>
      </c>
      <c r="E40" s="25">
        <v>50</v>
      </c>
      <c r="F40" s="26">
        <v>505.80200000000002</v>
      </c>
      <c r="G40" s="27">
        <v>2.3172950000000001E-2</v>
      </c>
      <c r="H40" s="17">
        <v>6.39</v>
      </c>
    </row>
    <row r="41" spans="1:8" x14ac:dyDescent="0.2">
      <c r="A41" s="24">
        <v>14</v>
      </c>
      <c r="B41" s="9" t="s">
        <v>478</v>
      </c>
      <c r="C41" s="9" t="s">
        <v>479</v>
      </c>
      <c r="D41" s="9" t="s">
        <v>26</v>
      </c>
      <c r="E41" s="25">
        <v>500</v>
      </c>
      <c r="F41" s="26">
        <v>505.25400000000002</v>
      </c>
      <c r="G41" s="27">
        <v>2.3147839999999999E-2</v>
      </c>
      <c r="H41" s="17">
        <v>6.4249999999999998</v>
      </c>
    </row>
    <row r="42" spans="1:8" x14ac:dyDescent="0.2">
      <c r="A42" s="24">
        <v>15</v>
      </c>
      <c r="B42" s="9" t="s">
        <v>283</v>
      </c>
      <c r="C42" s="9" t="s">
        <v>284</v>
      </c>
      <c r="D42" s="9" t="s">
        <v>26</v>
      </c>
      <c r="E42" s="25">
        <v>500</v>
      </c>
      <c r="F42" s="26">
        <v>505.13049999999998</v>
      </c>
      <c r="G42" s="27">
        <v>2.3142179999999998E-2</v>
      </c>
      <c r="H42" s="17">
        <v>6.4</v>
      </c>
    </row>
    <row r="43" spans="1:8" ht="25.5" x14ac:dyDescent="0.2">
      <c r="A43" s="24">
        <v>16</v>
      </c>
      <c r="B43" s="9" t="s">
        <v>71</v>
      </c>
      <c r="C43" s="9" t="s">
        <v>72</v>
      </c>
      <c r="D43" s="9" t="s">
        <v>23</v>
      </c>
      <c r="E43" s="25">
        <v>500</v>
      </c>
      <c r="F43" s="26">
        <v>504.98750000000001</v>
      </c>
      <c r="G43" s="27">
        <v>2.3135630000000001E-2</v>
      </c>
      <c r="H43" s="17">
        <v>6.4588000000000001</v>
      </c>
    </row>
    <row r="44" spans="1:8" x14ac:dyDescent="0.2">
      <c r="A44" s="24">
        <v>17</v>
      </c>
      <c r="B44" s="9" t="s">
        <v>480</v>
      </c>
      <c r="C44" s="9" t="s">
        <v>481</v>
      </c>
      <c r="D44" s="9" t="s">
        <v>279</v>
      </c>
      <c r="E44" s="25">
        <v>500</v>
      </c>
      <c r="F44" s="26">
        <v>504.48899999999998</v>
      </c>
      <c r="G44" s="27">
        <v>2.3112790000000001E-2</v>
      </c>
      <c r="H44" s="17">
        <v>7.8174999999999999</v>
      </c>
    </row>
    <row r="45" spans="1:8" x14ac:dyDescent="0.2">
      <c r="A45" s="24">
        <v>18</v>
      </c>
      <c r="B45" s="9" t="s">
        <v>482</v>
      </c>
      <c r="C45" s="9" t="s">
        <v>483</v>
      </c>
      <c r="D45" s="9" t="s">
        <v>26</v>
      </c>
      <c r="E45" s="25">
        <v>50</v>
      </c>
      <c r="F45" s="26">
        <v>503.42149999999998</v>
      </c>
      <c r="G45" s="27">
        <v>2.306389E-2</v>
      </c>
      <c r="H45" s="17">
        <v>6.3990999999999998</v>
      </c>
    </row>
    <row r="46" spans="1:8" x14ac:dyDescent="0.2">
      <c r="A46" s="24">
        <v>19</v>
      </c>
      <c r="B46" s="9" t="s">
        <v>484</v>
      </c>
      <c r="C46" s="9" t="s">
        <v>485</v>
      </c>
      <c r="D46" s="9" t="s">
        <v>23</v>
      </c>
      <c r="E46" s="25">
        <v>50</v>
      </c>
      <c r="F46" s="26">
        <v>497.73899999999998</v>
      </c>
      <c r="G46" s="27">
        <v>2.2803549999999999E-2</v>
      </c>
      <c r="H46" s="17">
        <v>6.5750000000000002</v>
      </c>
    </row>
    <row r="47" spans="1:8" x14ac:dyDescent="0.2">
      <c r="A47" s="24">
        <v>20</v>
      </c>
      <c r="B47" s="9" t="s">
        <v>280</v>
      </c>
      <c r="C47" s="9" t="s">
        <v>281</v>
      </c>
      <c r="D47" s="9" t="s">
        <v>282</v>
      </c>
      <c r="E47" s="25">
        <v>300</v>
      </c>
      <c r="F47" s="26">
        <v>303.76830000000001</v>
      </c>
      <c r="G47" s="27">
        <v>1.3916919999999999E-2</v>
      </c>
      <c r="H47" s="17">
        <v>6.88</v>
      </c>
    </row>
    <row r="48" spans="1:8" x14ac:dyDescent="0.2">
      <c r="A48" s="11"/>
      <c r="B48" s="11"/>
      <c r="C48" s="18" t="s">
        <v>11</v>
      </c>
      <c r="D48" s="11"/>
      <c r="E48" s="11" t="s">
        <v>12</v>
      </c>
      <c r="F48" s="23">
        <v>12594.9421</v>
      </c>
      <c r="G48" s="20">
        <v>0.57702799000000005</v>
      </c>
      <c r="H48" s="17" t="s">
        <v>12</v>
      </c>
    </row>
    <row r="49" spans="1:8" x14ac:dyDescent="0.2">
      <c r="A49" s="11"/>
      <c r="B49" s="11"/>
      <c r="C49" s="21"/>
      <c r="D49" s="11"/>
      <c r="E49" s="11"/>
      <c r="F49" s="22"/>
      <c r="G49" s="22"/>
      <c r="H49" s="17" t="s">
        <v>12</v>
      </c>
    </row>
    <row r="50" spans="1:8" x14ac:dyDescent="0.2">
      <c r="A50" s="11"/>
      <c r="B50" s="11"/>
      <c r="C50" s="18" t="s">
        <v>77</v>
      </c>
      <c r="D50" s="11"/>
      <c r="E50" s="11"/>
      <c r="F50" s="11"/>
      <c r="G50" s="11"/>
      <c r="H50" s="17" t="s">
        <v>12</v>
      </c>
    </row>
    <row r="51" spans="1:8" x14ac:dyDescent="0.2">
      <c r="A51" s="11"/>
      <c r="B51" s="11"/>
      <c r="C51" s="18" t="s">
        <v>11</v>
      </c>
      <c r="D51" s="11"/>
      <c r="E51" s="11" t="s">
        <v>12</v>
      </c>
      <c r="F51" s="19" t="s">
        <v>13</v>
      </c>
      <c r="G51" s="20">
        <v>0</v>
      </c>
      <c r="H51" s="17" t="s">
        <v>12</v>
      </c>
    </row>
    <row r="52" spans="1:8" x14ac:dyDescent="0.2">
      <c r="A52" s="11"/>
      <c r="B52" s="11"/>
      <c r="C52" s="21"/>
      <c r="D52" s="11"/>
      <c r="E52" s="11"/>
      <c r="F52" s="22"/>
      <c r="G52" s="22"/>
      <c r="H52" s="17" t="s">
        <v>12</v>
      </c>
    </row>
    <row r="53" spans="1:8" x14ac:dyDescent="0.2">
      <c r="A53" s="11"/>
      <c r="B53" s="11"/>
      <c r="C53" s="18" t="s">
        <v>78</v>
      </c>
      <c r="D53" s="11"/>
      <c r="E53" s="11"/>
      <c r="F53" s="11"/>
      <c r="G53" s="11"/>
      <c r="H53" s="17" t="s">
        <v>12</v>
      </c>
    </row>
    <row r="54" spans="1:8" x14ac:dyDescent="0.2">
      <c r="A54" s="24">
        <v>1</v>
      </c>
      <c r="B54" s="9" t="s">
        <v>486</v>
      </c>
      <c r="C54" s="9" t="s">
        <v>487</v>
      </c>
      <c r="D54" s="9" t="s">
        <v>81</v>
      </c>
      <c r="E54" s="25">
        <v>2500000</v>
      </c>
      <c r="F54" s="26">
        <v>2614.0475000000001</v>
      </c>
      <c r="G54" s="27">
        <v>0.11976066</v>
      </c>
      <c r="H54" s="17">
        <v>6.51</v>
      </c>
    </row>
    <row r="55" spans="1:8" x14ac:dyDescent="0.2">
      <c r="A55" s="24">
        <v>2</v>
      </c>
      <c r="B55" s="9" t="s">
        <v>90</v>
      </c>
      <c r="C55" s="9" t="s">
        <v>91</v>
      </c>
      <c r="D55" s="9" t="s">
        <v>81</v>
      </c>
      <c r="E55" s="25">
        <v>1500000</v>
      </c>
      <c r="F55" s="26">
        <v>1566.8385000000001</v>
      </c>
      <c r="G55" s="27">
        <v>7.1783550000000002E-2</v>
      </c>
      <c r="H55" s="17">
        <v>5.9339000000000004</v>
      </c>
    </row>
    <row r="56" spans="1:8" x14ac:dyDescent="0.2">
      <c r="A56" s="24">
        <v>3</v>
      </c>
      <c r="B56" s="9" t="s">
        <v>308</v>
      </c>
      <c r="C56" s="9" t="s">
        <v>309</v>
      </c>
      <c r="D56" s="9" t="s">
        <v>81</v>
      </c>
      <c r="E56" s="25">
        <v>700000</v>
      </c>
      <c r="F56" s="26">
        <v>721</v>
      </c>
      <c r="G56" s="27">
        <v>3.3032079999999998E-2</v>
      </c>
      <c r="H56" s="17">
        <v>5.7923999999999998</v>
      </c>
    </row>
    <row r="57" spans="1:8" x14ac:dyDescent="0.2">
      <c r="A57" s="24">
        <v>4</v>
      </c>
      <c r="B57" s="9" t="s">
        <v>82</v>
      </c>
      <c r="C57" s="9" t="s">
        <v>83</v>
      </c>
      <c r="D57" s="9" t="s">
        <v>81</v>
      </c>
      <c r="E57" s="25">
        <v>500000</v>
      </c>
      <c r="F57" s="26">
        <v>527.50149999999996</v>
      </c>
      <c r="G57" s="27">
        <v>2.4167089999999999E-2</v>
      </c>
      <c r="H57" s="17">
        <v>6.1849999999999996</v>
      </c>
    </row>
    <row r="58" spans="1:8" x14ac:dyDescent="0.2">
      <c r="A58" s="24">
        <v>5</v>
      </c>
      <c r="B58" s="9" t="s">
        <v>88</v>
      </c>
      <c r="C58" s="9" t="s">
        <v>89</v>
      </c>
      <c r="D58" s="9" t="s">
        <v>81</v>
      </c>
      <c r="E58" s="25">
        <v>500000</v>
      </c>
      <c r="F58" s="26">
        <v>523.50199999999995</v>
      </c>
      <c r="G58" s="27">
        <v>2.3983859999999999E-2</v>
      </c>
      <c r="H58" s="17">
        <v>6.7161</v>
      </c>
    </row>
    <row r="59" spans="1:8" ht="25.5" x14ac:dyDescent="0.2">
      <c r="A59" s="24">
        <v>6</v>
      </c>
      <c r="B59" s="9" t="s">
        <v>488</v>
      </c>
      <c r="C59" s="9" t="s">
        <v>489</v>
      </c>
      <c r="D59" s="9" t="s">
        <v>81</v>
      </c>
      <c r="E59" s="25">
        <v>500000</v>
      </c>
      <c r="F59" s="26">
        <v>520.83299999999997</v>
      </c>
      <c r="G59" s="27">
        <v>2.386158E-2</v>
      </c>
      <c r="H59" s="17">
        <v>6.9097999999999997</v>
      </c>
    </row>
    <row r="60" spans="1:8" x14ac:dyDescent="0.2">
      <c r="A60" s="24">
        <v>7</v>
      </c>
      <c r="B60" s="9" t="s">
        <v>163</v>
      </c>
      <c r="C60" s="9" t="s">
        <v>164</v>
      </c>
      <c r="D60" s="9" t="s">
        <v>81</v>
      </c>
      <c r="E60" s="25">
        <v>500000</v>
      </c>
      <c r="F60" s="26">
        <v>518.08749999999998</v>
      </c>
      <c r="G60" s="27">
        <v>2.3735800000000001E-2</v>
      </c>
      <c r="H60" s="17">
        <v>6.0682999999999998</v>
      </c>
    </row>
    <row r="61" spans="1:8" x14ac:dyDescent="0.2">
      <c r="A61" s="11"/>
      <c r="B61" s="11"/>
      <c r="C61" s="18" t="s">
        <v>11</v>
      </c>
      <c r="D61" s="11"/>
      <c r="E61" s="11" t="s">
        <v>12</v>
      </c>
      <c r="F61" s="23">
        <v>6991.81</v>
      </c>
      <c r="G61" s="20">
        <v>0.32032462</v>
      </c>
      <c r="H61" s="17" t="s">
        <v>12</v>
      </c>
    </row>
    <row r="62" spans="1:8" x14ac:dyDescent="0.2">
      <c r="A62" s="11"/>
      <c r="B62" s="11"/>
      <c r="C62" s="21"/>
      <c r="D62" s="11"/>
      <c r="E62" s="11"/>
      <c r="F62" s="22"/>
      <c r="G62" s="22"/>
      <c r="H62" s="17" t="s">
        <v>12</v>
      </c>
    </row>
    <row r="63" spans="1:8" x14ac:dyDescent="0.2">
      <c r="A63" s="11"/>
      <c r="B63" s="11"/>
      <c r="C63" s="18" t="s">
        <v>96</v>
      </c>
      <c r="D63" s="11"/>
      <c r="E63" s="11"/>
      <c r="F63" s="22"/>
      <c r="G63" s="22"/>
      <c r="H63" s="17" t="s">
        <v>12</v>
      </c>
    </row>
    <row r="64" spans="1:8" x14ac:dyDescent="0.2">
      <c r="A64" s="11"/>
      <c r="B64" s="11"/>
      <c r="C64" s="18" t="s">
        <v>11</v>
      </c>
      <c r="D64" s="11"/>
      <c r="E64" s="11" t="s">
        <v>12</v>
      </c>
      <c r="F64" s="19" t="s">
        <v>13</v>
      </c>
      <c r="G64" s="20">
        <v>0</v>
      </c>
      <c r="H64" s="17" t="s">
        <v>12</v>
      </c>
    </row>
    <row r="65" spans="1:8" x14ac:dyDescent="0.2">
      <c r="A65" s="11"/>
      <c r="B65" s="11"/>
      <c r="C65" s="21"/>
      <c r="D65" s="11"/>
      <c r="E65" s="11"/>
      <c r="F65" s="22"/>
      <c r="G65" s="22"/>
      <c r="H65" s="17" t="s">
        <v>12</v>
      </c>
    </row>
    <row r="66" spans="1:8" x14ac:dyDescent="0.2">
      <c r="A66" s="11"/>
      <c r="B66" s="11"/>
      <c r="C66" s="18" t="s">
        <v>97</v>
      </c>
      <c r="D66" s="11"/>
      <c r="E66" s="11"/>
      <c r="F66" s="23">
        <v>19586.752100000002</v>
      </c>
      <c r="G66" s="20">
        <v>0.89735260999999999</v>
      </c>
      <c r="H66" s="17" t="s">
        <v>12</v>
      </c>
    </row>
    <row r="67" spans="1:8" x14ac:dyDescent="0.2">
      <c r="A67" s="11"/>
      <c r="B67" s="11"/>
      <c r="C67" s="21"/>
      <c r="D67" s="11"/>
      <c r="E67" s="11"/>
      <c r="F67" s="22"/>
      <c r="G67" s="22"/>
      <c r="H67" s="17" t="s">
        <v>12</v>
      </c>
    </row>
    <row r="68" spans="1:8" x14ac:dyDescent="0.2">
      <c r="A68" s="11"/>
      <c r="B68" s="11"/>
      <c r="C68" s="18" t="s">
        <v>98</v>
      </c>
      <c r="D68" s="11"/>
      <c r="E68" s="11"/>
      <c r="F68" s="22"/>
      <c r="G68" s="22"/>
      <c r="H68" s="17" t="s">
        <v>12</v>
      </c>
    </row>
    <row r="69" spans="1:8" x14ac:dyDescent="0.2">
      <c r="A69" s="11"/>
      <c r="B69" s="11"/>
      <c r="C69" s="18" t="s">
        <v>99</v>
      </c>
      <c r="D69" s="11"/>
      <c r="E69" s="11"/>
      <c r="F69" s="22"/>
      <c r="G69" s="22"/>
      <c r="H69" s="17" t="s">
        <v>12</v>
      </c>
    </row>
    <row r="70" spans="1:8" x14ac:dyDescent="0.2">
      <c r="A70" s="11"/>
      <c r="B70" s="11"/>
      <c r="C70" s="18" t="s">
        <v>11</v>
      </c>
      <c r="D70" s="11"/>
      <c r="E70" s="11" t="s">
        <v>12</v>
      </c>
      <c r="F70" s="19" t="s">
        <v>13</v>
      </c>
      <c r="G70" s="20">
        <v>0</v>
      </c>
      <c r="H70" s="17" t="s">
        <v>12</v>
      </c>
    </row>
    <row r="71" spans="1:8" x14ac:dyDescent="0.2">
      <c r="A71" s="11"/>
      <c r="B71" s="11"/>
      <c r="C71" s="21"/>
      <c r="D71" s="11"/>
      <c r="E71" s="11"/>
      <c r="F71" s="22"/>
      <c r="G71" s="22"/>
      <c r="H71" s="17" t="s">
        <v>12</v>
      </c>
    </row>
    <row r="72" spans="1:8" x14ac:dyDescent="0.2">
      <c r="A72" s="11"/>
      <c r="B72" s="11"/>
      <c r="C72" s="18" t="s">
        <v>109</v>
      </c>
      <c r="D72" s="11"/>
      <c r="E72" s="11"/>
      <c r="F72" s="22"/>
      <c r="G72" s="22"/>
      <c r="H72" s="17" t="s">
        <v>12</v>
      </c>
    </row>
    <row r="73" spans="1:8" x14ac:dyDescent="0.2">
      <c r="A73" s="11"/>
      <c r="B73" s="11"/>
      <c r="C73" s="18" t="s">
        <v>11</v>
      </c>
      <c r="D73" s="11"/>
      <c r="E73" s="11" t="s">
        <v>12</v>
      </c>
      <c r="F73" s="19" t="s">
        <v>13</v>
      </c>
      <c r="G73" s="20">
        <v>0</v>
      </c>
      <c r="H73" s="17" t="s">
        <v>12</v>
      </c>
    </row>
    <row r="74" spans="1:8" x14ac:dyDescent="0.2">
      <c r="A74" s="11"/>
      <c r="B74" s="11"/>
      <c r="C74" s="21"/>
      <c r="D74" s="11"/>
      <c r="E74" s="11"/>
      <c r="F74" s="22"/>
      <c r="G74" s="22"/>
      <c r="H74" s="17" t="s">
        <v>12</v>
      </c>
    </row>
    <row r="75" spans="1:8" x14ac:dyDescent="0.2">
      <c r="A75" s="11"/>
      <c r="B75" s="11"/>
      <c r="C75" s="18" t="s">
        <v>110</v>
      </c>
      <c r="D75" s="11"/>
      <c r="E75" s="11"/>
      <c r="F75" s="22"/>
      <c r="G75" s="22"/>
      <c r="H75" s="17" t="s">
        <v>12</v>
      </c>
    </row>
    <row r="76" spans="1:8" x14ac:dyDescent="0.2">
      <c r="A76" s="11"/>
      <c r="B76" s="11"/>
      <c r="C76" s="18" t="s">
        <v>11</v>
      </c>
      <c r="D76" s="11"/>
      <c r="E76" s="11" t="s">
        <v>12</v>
      </c>
      <c r="F76" s="19" t="s">
        <v>13</v>
      </c>
      <c r="G76" s="20">
        <v>0</v>
      </c>
      <c r="H76" s="17" t="s">
        <v>12</v>
      </c>
    </row>
    <row r="77" spans="1:8" x14ac:dyDescent="0.2">
      <c r="A77" s="11"/>
      <c r="B77" s="11"/>
      <c r="C77" s="21"/>
      <c r="D77" s="11"/>
      <c r="E77" s="11"/>
      <c r="F77" s="22"/>
      <c r="G77" s="22"/>
      <c r="H77" s="17" t="s">
        <v>12</v>
      </c>
    </row>
    <row r="78" spans="1:8" x14ac:dyDescent="0.2">
      <c r="A78" s="11"/>
      <c r="B78" s="11"/>
      <c r="C78" s="18" t="s">
        <v>111</v>
      </c>
      <c r="D78" s="11"/>
      <c r="E78" s="11"/>
      <c r="F78" s="22"/>
      <c r="G78" s="22"/>
      <c r="H78" s="17" t="s">
        <v>12</v>
      </c>
    </row>
    <row r="79" spans="1:8" x14ac:dyDescent="0.2">
      <c r="A79" s="24">
        <v>1</v>
      </c>
      <c r="B79" s="9"/>
      <c r="C79" s="9" t="s">
        <v>112</v>
      </c>
      <c r="D79" s="9"/>
      <c r="E79" s="28"/>
      <c r="F79" s="26">
        <v>1636.558471998</v>
      </c>
      <c r="G79" s="27">
        <v>7.4977719999999998E-2</v>
      </c>
      <c r="H79" s="17">
        <v>5.3</v>
      </c>
    </row>
    <row r="80" spans="1:8" x14ac:dyDescent="0.2">
      <c r="A80" s="11"/>
      <c r="B80" s="11"/>
      <c r="C80" s="18" t="s">
        <v>11</v>
      </c>
      <c r="D80" s="11"/>
      <c r="E80" s="11" t="s">
        <v>12</v>
      </c>
      <c r="F80" s="23">
        <v>1636.558471998</v>
      </c>
      <c r="G80" s="20">
        <v>7.4977719999999998E-2</v>
      </c>
      <c r="H80" s="17" t="s">
        <v>12</v>
      </c>
    </row>
    <row r="81" spans="1:17" x14ac:dyDescent="0.2">
      <c r="A81" s="11"/>
      <c r="B81" s="11"/>
      <c r="C81" s="21"/>
      <c r="D81" s="11"/>
      <c r="E81" s="11"/>
      <c r="F81" s="22"/>
      <c r="G81" s="22"/>
      <c r="H81" s="17" t="s">
        <v>12</v>
      </c>
    </row>
    <row r="82" spans="1:17" x14ac:dyDescent="0.2">
      <c r="A82" s="11"/>
      <c r="B82" s="11"/>
      <c r="C82" s="18" t="s">
        <v>113</v>
      </c>
      <c r="D82" s="11"/>
      <c r="E82" s="11"/>
      <c r="F82" s="23">
        <v>1636.558471998</v>
      </c>
      <c r="G82" s="20">
        <v>7.4977719999999998E-2</v>
      </c>
      <c r="H82" s="17" t="s">
        <v>12</v>
      </c>
    </row>
    <row r="83" spans="1:17" x14ac:dyDescent="0.2">
      <c r="A83" s="11"/>
      <c r="B83" s="11"/>
      <c r="C83" s="22"/>
      <c r="D83" s="11"/>
      <c r="E83" s="11"/>
      <c r="F83" s="11"/>
      <c r="G83" s="11"/>
      <c r="H83" s="17" t="s">
        <v>12</v>
      </c>
    </row>
    <row r="84" spans="1:17" x14ac:dyDescent="0.2">
      <c r="A84" s="11"/>
      <c r="B84" s="11"/>
      <c r="C84" s="18" t="s">
        <v>114</v>
      </c>
      <c r="D84" s="11"/>
      <c r="E84" s="11"/>
      <c r="F84" s="11"/>
      <c r="G84" s="11"/>
      <c r="H84" s="17" t="s">
        <v>12</v>
      </c>
    </row>
    <row r="85" spans="1:17" x14ac:dyDescent="0.2">
      <c r="A85" s="11"/>
      <c r="B85" s="11"/>
      <c r="C85" s="18" t="s">
        <v>115</v>
      </c>
      <c r="D85" s="11"/>
      <c r="E85" s="11"/>
      <c r="F85" s="11"/>
      <c r="G85" s="11"/>
      <c r="H85" s="17" t="s">
        <v>12</v>
      </c>
    </row>
    <row r="86" spans="1:17" x14ac:dyDescent="0.2">
      <c r="A86" s="11"/>
      <c r="B86" s="11"/>
      <c r="C86" s="18" t="s">
        <v>11</v>
      </c>
      <c r="D86" s="11"/>
      <c r="E86" s="11" t="s">
        <v>12</v>
      </c>
      <c r="F86" s="19" t="s">
        <v>13</v>
      </c>
      <c r="G86" s="20">
        <v>0</v>
      </c>
      <c r="H86" s="17" t="s">
        <v>12</v>
      </c>
    </row>
    <row r="87" spans="1:17" x14ac:dyDescent="0.2">
      <c r="A87" s="16"/>
      <c r="B87" s="16"/>
      <c r="C87" s="65"/>
      <c r="D87" s="16"/>
      <c r="E87" s="16"/>
      <c r="F87" s="35"/>
      <c r="G87" s="35"/>
      <c r="H87" s="17" t="s">
        <v>12</v>
      </c>
    </row>
    <row r="88" spans="1:17" x14ac:dyDescent="0.2">
      <c r="A88" s="16"/>
      <c r="B88" s="16"/>
      <c r="C88" s="8" t="s">
        <v>618</v>
      </c>
      <c r="D88" s="16"/>
      <c r="E88" s="16"/>
      <c r="F88" s="35"/>
      <c r="G88" s="35"/>
      <c r="H88" s="17" t="s">
        <v>12</v>
      </c>
      <c r="K88" s="48"/>
      <c r="L88" s="48"/>
      <c r="M88" s="48"/>
      <c r="N88" s="48"/>
      <c r="O88" s="66"/>
      <c r="P88" s="66"/>
      <c r="Q88" s="66"/>
    </row>
    <row r="89" spans="1:17" x14ac:dyDescent="0.2">
      <c r="A89" s="59">
        <v>1</v>
      </c>
      <c r="B89" s="60" t="s">
        <v>116</v>
      </c>
      <c r="C89" s="60" t="s">
        <v>117</v>
      </c>
      <c r="D89" s="60"/>
      <c r="E89" s="67">
        <v>543.85400000000004</v>
      </c>
      <c r="F89" s="62">
        <v>61.281705840000001</v>
      </c>
      <c r="G89" s="63">
        <v>2.8075800000000001E-3</v>
      </c>
      <c r="H89" s="17"/>
    </row>
    <row r="90" spans="1:17" x14ac:dyDescent="0.2">
      <c r="A90" s="16"/>
      <c r="B90" s="16"/>
      <c r="C90" s="8" t="s">
        <v>11</v>
      </c>
      <c r="D90" s="16"/>
      <c r="E90" s="16" t="s">
        <v>12</v>
      </c>
      <c r="F90" s="68">
        <f>SUM(F89)</f>
        <v>61.281705840000001</v>
      </c>
      <c r="G90" s="69">
        <f>SUM(G89)</f>
        <v>2.8075800000000001E-3</v>
      </c>
      <c r="H90" s="17" t="s">
        <v>12</v>
      </c>
    </row>
    <row r="91" spans="1:17" x14ac:dyDescent="0.2">
      <c r="A91" s="11"/>
      <c r="B91" s="11"/>
      <c r="C91" s="21"/>
      <c r="D91" s="11"/>
      <c r="E91" s="11"/>
      <c r="F91" s="22"/>
      <c r="G91" s="22"/>
      <c r="H91" s="17" t="s">
        <v>12</v>
      </c>
    </row>
    <row r="92" spans="1:17" x14ac:dyDescent="0.2">
      <c r="A92" s="11"/>
      <c r="B92" s="11"/>
      <c r="C92" s="18" t="s">
        <v>118</v>
      </c>
      <c r="D92" s="11"/>
      <c r="E92" s="11"/>
      <c r="F92" s="11"/>
      <c r="G92" s="11"/>
      <c r="H92" s="17" t="s">
        <v>12</v>
      </c>
    </row>
    <row r="93" spans="1:17" x14ac:dyDescent="0.2">
      <c r="A93" s="11"/>
      <c r="B93" s="11"/>
      <c r="C93" s="18" t="s">
        <v>119</v>
      </c>
      <c r="D93" s="11"/>
      <c r="E93" s="11"/>
      <c r="F93" s="11"/>
      <c r="G93" s="11"/>
      <c r="H93" s="17" t="s">
        <v>12</v>
      </c>
    </row>
    <row r="94" spans="1:17" x14ac:dyDescent="0.2">
      <c r="A94" s="11"/>
      <c r="B94" s="11"/>
      <c r="C94" s="18" t="s">
        <v>11</v>
      </c>
      <c r="D94" s="11"/>
      <c r="E94" s="11" t="s">
        <v>12</v>
      </c>
      <c r="F94" s="19" t="s">
        <v>13</v>
      </c>
      <c r="G94" s="20">
        <v>0</v>
      </c>
      <c r="H94" s="17" t="s">
        <v>12</v>
      </c>
    </row>
    <row r="95" spans="1:17" x14ac:dyDescent="0.2">
      <c r="A95" s="11"/>
      <c r="B95" s="11"/>
      <c r="C95" s="21"/>
      <c r="D95" s="11"/>
      <c r="E95" s="11"/>
      <c r="F95" s="22"/>
      <c r="G95" s="22"/>
      <c r="H95" s="17" t="s">
        <v>12</v>
      </c>
    </row>
    <row r="96" spans="1:17" x14ac:dyDescent="0.2">
      <c r="A96" s="11"/>
      <c r="B96" s="11"/>
      <c r="C96" s="18" t="s">
        <v>120</v>
      </c>
      <c r="D96" s="11"/>
      <c r="E96" s="11"/>
      <c r="F96" s="22"/>
      <c r="G96" s="22"/>
      <c r="H96" s="17" t="s">
        <v>12</v>
      </c>
    </row>
    <row r="97" spans="1:8" x14ac:dyDescent="0.2">
      <c r="A97" s="11"/>
      <c r="B97" s="11"/>
      <c r="C97" s="18" t="s">
        <v>11</v>
      </c>
      <c r="D97" s="11"/>
      <c r="E97" s="11" t="s">
        <v>12</v>
      </c>
      <c r="F97" s="19" t="s">
        <v>13</v>
      </c>
      <c r="G97" s="20">
        <v>0</v>
      </c>
      <c r="H97" s="17" t="s">
        <v>12</v>
      </c>
    </row>
    <row r="98" spans="1:8" x14ac:dyDescent="0.2">
      <c r="A98" s="11"/>
      <c r="B98" s="11"/>
      <c r="C98" s="21"/>
      <c r="D98" s="11"/>
      <c r="E98" s="11"/>
      <c r="F98" s="22"/>
      <c r="G98" s="22"/>
      <c r="H98" s="17" t="s">
        <v>12</v>
      </c>
    </row>
    <row r="99" spans="1:8" x14ac:dyDescent="0.2">
      <c r="A99" s="28"/>
      <c r="B99" s="9"/>
      <c r="C99" s="9" t="s">
        <v>121</v>
      </c>
      <c r="D99" s="9"/>
      <c r="E99" s="28"/>
      <c r="F99" s="26">
        <f>542.6715457-0.00230130799770355</f>
        <v>542.66924439200227</v>
      </c>
      <c r="G99" s="27">
        <v>2.4862100000000002E-2</v>
      </c>
      <c r="H99" s="17" t="s">
        <v>12</v>
      </c>
    </row>
    <row r="100" spans="1:8" x14ac:dyDescent="0.2">
      <c r="A100" s="21"/>
      <c r="B100" s="21"/>
      <c r="C100" s="18" t="s">
        <v>122</v>
      </c>
      <c r="D100" s="22"/>
      <c r="E100" s="22"/>
      <c r="F100" s="23">
        <f>21827.263823538-0.00230130799770355</f>
        <v>21827.261522230001</v>
      </c>
      <c r="G100" s="29">
        <v>1.0000000099999999</v>
      </c>
      <c r="H100" s="17" t="s">
        <v>12</v>
      </c>
    </row>
    <row r="101" spans="1:8" x14ac:dyDescent="0.2">
      <c r="A101" s="30"/>
      <c r="B101" s="30"/>
      <c r="C101" s="30"/>
      <c r="D101" s="10"/>
      <c r="E101" s="10"/>
      <c r="F101" s="10"/>
      <c r="G101" s="10"/>
    </row>
    <row r="102" spans="1:8" x14ac:dyDescent="0.2">
      <c r="A102" s="31"/>
      <c r="B102" s="148" t="s">
        <v>619</v>
      </c>
      <c r="C102" s="148"/>
      <c r="D102" s="148"/>
      <c r="E102" s="148"/>
      <c r="F102" s="148"/>
      <c r="G102" s="148"/>
      <c r="H102" s="148"/>
    </row>
    <row r="103" spans="1:8" x14ac:dyDescent="0.2">
      <c r="A103" s="31"/>
      <c r="B103" s="148" t="s">
        <v>620</v>
      </c>
      <c r="C103" s="148"/>
      <c r="D103" s="148"/>
      <c r="E103" s="148"/>
      <c r="F103" s="148"/>
      <c r="G103" s="148"/>
      <c r="H103" s="148"/>
    </row>
    <row r="104" spans="1:8" x14ac:dyDescent="0.2">
      <c r="A104" s="31"/>
      <c r="B104" s="148" t="s">
        <v>621</v>
      </c>
      <c r="C104" s="148"/>
      <c r="D104" s="148"/>
      <c r="E104" s="148"/>
      <c r="F104" s="148"/>
      <c r="G104" s="148"/>
      <c r="H104" s="148"/>
    </row>
    <row r="105" spans="1:8" x14ac:dyDescent="0.2">
      <c r="A105" s="31"/>
      <c r="B105" s="31"/>
      <c r="C105" s="31"/>
      <c r="D105" s="33"/>
      <c r="E105" s="33"/>
      <c r="F105" s="33"/>
      <c r="G105" s="33"/>
    </row>
    <row r="106" spans="1:8" x14ac:dyDescent="0.2">
      <c r="A106" s="31"/>
      <c r="B106" s="149" t="s">
        <v>123</v>
      </c>
      <c r="C106" s="150"/>
      <c r="D106" s="151"/>
      <c r="E106" s="34"/>
      <c r="F106" s="33"/>
      <c r="G106" s="33"/>
    </row>
    <row r="107" spans="1:8" ht="25.5" x14ac:dyDescent="0.2">
      <c r="A107" s="31"/>
      <c r="B107" s="152" t="s">
        <v>124</v>
      </c>
      <c r="C107" s="153"/>
      <c r="D107" s="84" t="s">
        <v>704</v>
      </c>
      <c r="E107" s="34"/>
      <c r="F107" s="33"/>
      <c r="G107" s="33"/>
    </row>
    <row r="108" spans="1:8" x14ac:dyDescent="0.2">
      <c r="A108" s="31"/>
      <c r="B108" s="152" t="s">
        <v>126</v>
      </c>
      <c r="C108" s="153"/>
      <c r="D108" s="8" t="s">
        <v>125</v>
      </c>
      <c r="E108" s="34"/>
      <c r="F108" s="33"/>
      <c r="G108" s="33"/>
    </row>
    <row r="109" spans="1:8" x14ac:dyDescent="0.2">
      <c r="A109" s="31"/>
      <c r="B109" s="152" t="s">
        <v>127</v>
      </c>
      <c r="C109" s="153"/>
      <c r="D109" s="35" t="s">
        <v>12</v>
      </c>
      <c r="E109" s="34"/>
      <c r="F109" s="33"/>
      <c r="G109" s="33"/>
    </row>
    <row r="110" spans="1:8" x14ac:dyDescent="0.2">
      <c r="A110" s="36"/>
      <c r="B110" s="37" t="s">
        <v>12</v>
      </c>
      <c r="C110" s="37" t="s">
        <v>622</v>
      </c>
      <c r="D110" s="37" t="s">
        <v>128</v>
      </c>
      <c r="E110" s="36"/>
      <c r="F110" s="36"/>
      <c r="G110" s="36"/>
    </row>
    <row r="111" spans="1:8" x14ac:dyDescent="0.2">
      <c r="A111" s="36"/>
      <c r="B111" s="38" t="s">
        <v>129</v>
      </c>
      <c r="C111" s="39">
        <v>45838</v>
      </c>
      <c r="D111" s="39">
        <v>45853</v>
      </c>
      <c r="E111" s="36"/>
      <c r="F111" s="36"/>
      <c r="G111" s="36"/>
    </row>
    <row r="112" spans="1:8" x14ac:dyDescent="0.2">
      <c r="A112" s="40"/>
      <c r="B112" s="9" t="s">
        <v>130</v>
      </c>
      <c r="C112" s="41">
        <v>48.070799999999998</v>
      </c>
      <c r="D112" s="41">
        <v>48.246899999999997</v>
      </c>
      <c r="E112" s="40"/>
      <c r="F112" s="42"/>
      <c r="G112" s="43"/>
    </row>
    <row r="113" spans="1:19" ht="25.5" x14ac:dyDescent="0.2">
      <c r="A113" s="40"/>
      <c r="B113" s="9" t="s">
        <v>743</v>
      </c>
      <c r="C113" s="41">
        <v>13.0945</v>
      </c>
      <c r="D113" s="41">
        <v>13.1425</v>
      </c>
      <c r="E113" s="40"/>
      <c r="F113" s="42"/>
      <c r="G113" s="43"/>
    </row>
    <row r="114" spans="1:19" x14ac:dyDescent="0.2">
      <c r="A114" s="40"/>
      <c r="B114" s="9" t="s">
        <v>131</v>
      </c>
      <c r="C114" s="41">
        <v>44.4193</v>
      </c>
      <c r="D114" s="41">
        <v>44.571199999999997</v>
      </c>
      <c r="E114" s="40"/>
      <c r="F114" s="42"/>
      <c r="G114" s="43"/>
    </row>
    <row r="115" spans="1:19" ht="25.5" x14ac:dyDescent="0.2">
      <c r="A115" s="40"/>
      <c r="B115" s="9" t="s">
        <v>744</v>
      </c>
      <c r="C115" s="41">
        <v>13.026899999999999</v>
      </c>
      <c r="D115" s="41">
        <v>13.0715</v>
      </c>
      <c r="E115" s="40"/>
      <c r="F115" s="42"/>
      <c r="G115" s="43"/>
    </row>
    <row r="116" spans="1:19" x14ac:dyDescent="0.2">
      <c r="A116" s="40"/>
      <c r="B116" s="40"/>
      <c r="C116" s="40"/>
      <c r="D116" s="40"/>
      <c r="E116" s="40"/>
      <c r="F116" s="40"/>
      <c r="G116" s="40"/>
    </row>
    <row r="117" spans="1:19" x14ac:dyDescent="0.2">
      <c r="A117" s="40"/>
      <c r="B117" s="155" t="s">
        <v>742</v>
      </c>
      <c r="C117" s="156"/>
      <c r="D117" s="18" t="s">
        <v>125</v>
      </c>
      <c r="E117" s="40"/>
      <c r="F117" s="40"/>
      <c r="G117" s="40"/>
    </row>
    <row r="118" spans="1:19" x14ac:dyDescent="0.2">
      <c r="A118" s="40"/>
      <c r="B118" s="44"/>
      <c r="C118" s="44"/>
      <c r="D118" s="44"/>
      <c r="E118" s="40"/>
      <c r="F118" s="40"/>
      <c r="G118" s="40"/>
    </row>
    <row r="119" spans="1:19" x14ac:dyDescent="0.2">
      <c r="A119" s="36"/>
      <c r="B119" s="152" t="s">
        <v>132</v>
      </c>
      <c r="C119" s="153"/>
      <c r="D119" s="8" t="s">
        <v>125</v>
      </c>
      <c r="E119" s="47"/>
      <c r="F119" s="36"/>
      <c r="G119" s="36"/>
    </row>
    <row r="120" spans="1:19" x14ac:dyDescent="0.2">
      <c r="A120" s="36"/>
      <c r="B120" s="152" t="s">
        <v>133</v>
      </c>
      <c r="C120" s="153"/>
      <c r="D120" s="8" t="s">
        <v>125</v>
      </c>
      <c r="E120" s="47"/>
      <c r="F120" s="36"/>
      <c r="G120" s="36"/>
    </row>
    <row r="121" spans="1:19" x14ac:dyDescent="0.2">
      <c r="A121" s="36"/>
      <c r="B121" s="152" t="s">
        <v>623</v>
      </c>
      <c r="C121" s="153"/>
      <c r="D121" s="8" t="s">
        <v>125</v>
      </c>
      <c r="E121" s="47"/>
      <c r="F121" s="36"/>
      <c r="G121" s="36"/>
    </row>
    <row r="122" spans="1:19" x14ac:dyDescent="0.2">
      <c r="A122" s="44"/>
      <c r="B122" s="44"/>
      <c r="C122" s="44"/>
      <c r="D122" s="44"/>
      <c r="E122" s="44"/>
      <c r="F122" s="44"/>
      <c r="G122" s="44"/>
      <c r="J122" s="15"/>
    </row>
    <row r="123" spans="1:19" s="49" customFormat="1" x14ac:dyDescent="0.2">
      <c r="B123" s="157" t="s">
        <v>624</v>
      </c>
      <c r="C123" s="158"/>
      <c r="D123" s="159"/>
      <c r="I123"/>
      <c r="J123" s="15"/>
      <c r="K123"/>
      <c r="L123" s="48"/>
      <c r="M123" s="48"/>
      <c r="N123" s="48"/>
      <c r="O123" s="50"/>
      <c r="R123"/>
      <c r="S123"/>
    </row>
    <row r="124" spans="1:19" s="49" customFormat="1" ht="25.5" x14ac:dyDescent="0.2">
      <c r="B124" s="154" t="s">
        <v>625</v>
      </c>
      <c r="C124" s="154"/>
      <c r="D124" s="51" t="s">
        <v>473</v>
      </c>
      <c r="I124"/>
      <c r="J124" s="15"/>
      <c r="K124"/>
      <c r="L124" s="48"/>
      <c r="M124" s="48"/>
      <c r="N124" s="48"/>
      <c r="O124" s="50"/>
      <c r="R124"/>
      <c r="S124"/>
    </row>
    <row r="125" spans="1:19" s="49" customFormat="1" x14ac:dyDescent="0.2">
      <c r="B125" s="143" t="s">
        <v>626</v>
      </c>
      <c r="C125" s="143"/>
      <c r="D125" s="52"/>
      <c r="I125"/>
      <c r="J125" s="15"/>
      <c r="K125"/>
      <c r="L125" s="48"/>
      <c r="M125" s="48"/>
      <c r="N125" s="48"/>
      <c r="O125" s="50"/>
      <c r="R125"/>
      <c r="S125"/>
    </row>
    <row r="126" spans="1:19" s="49" customFormat="1" x14ac:dyDescent="0.2">
      <c r="B126" s="143"/>
      <c r="C126" s="143"/>
      <c r="D126" s="53"/>
      <c r="I126"/>
      <c r="J126" s="15"/>
      <c r="K126"/>
      <c r="L126" s="48"/>
      <c r="M126" s="48"/>
      <c r="N126" s="48"/>
      <c r="O126" s="50"/>
      <c r="R126"/>
      <c r="S126"/>
    </row>
    <row r="127" spans="1:19" s="49" customFormat="1" x14ac:dyDescent="0.2">
      <c r="B127" s="143" t="s">
        <v>627</v>
      </c>
      <c r="C127" s="143"/>
      <c r="D127" s="54">
        <v>6.5681702694446065</v>
      </c>
      <c r="I127"/>
      <c r="J127" s="15"/>
      <c r="K127"/>
      <c r="L127" s="48"/>
      <c r="M127" s="48"/>
      <c r="N127" s="48"/>
      <c r="O127" s="50"/>
    </row>
    <row r="128" spans="1:19" s="49" customFormat="1" x14ac:dyDescent="0.2">
      <c r="B128" s="143"/>
      <c r="C128" s="143"/>
      <c r="D128" s="53"/>
      <c r="I128"/>
      <c r="J128" s="15"/>
      <c r="K128"/>
      <c r="L128" s="48"/>
      <c r="M128" s="48"/>
      <c r="N128" s="48"/>
      <c r="O128" s="50"/>
    </row>
    <row r="129" spans="2:15" s="49" customFormat="1" x14ac:dyDescent="0.2">
      <c r="B129" s="143" t="s">
        <v>628</v>
      </c>
      <c r="C129" s="143"/>
      <c r="D129" s="54">
        <v>2.6847814887685661</v>
      </c>
      <c r="I129"/>
      <c r="J129" s="15"/>
      <c r="K129"/>
      <c r="L129" s="48"/>
      <c r="M129" s="48"/>
      <c r="N129" s="48"/>
      <c r="O129" s="50"/>
    </row>
    <row r="130" spans="2:15" s="49" customFormat="1" x14ac:dyDescent="0.2">
      <c r="B130" s="143" t="s">
        <v>642</v>
      </c>
      <c r="C130" s="143"/>
      <c r="D130" s="54">
        <v>3.2524172437511654</v>
      </c>
      <c r="I130"/>
      <c r="J130" s="15"/>
      <c r="K130"/>
      <c r="L130" s="48"/>
      <c r="M130" s="48"/>
      <c r="N130" s="48"/>
      <c r="O130" s="50"/>
    </row>
    <row r="131" spans="2:15" s="49" customFormat="1" x14ac:dyDescent="0.2">
      <c r="B131" s="143"/>
      <c r="C131" s="143"/>
      <c r="D131" s="53"/>
      <c r="I131"/>
      <c r="J131" s="15"/>
      <c r="K131"/>
      <c r="L131" s="48"/>
      <c r="M131" s="48"/>
      <c r="N131" s="48"/>
      <c r="O131" s="50"/>
    </row>
    <row r="132" spans="2:15" s="49" customFormat="1" x14ac:dyDescent="0.2">
      <c r="B132" s="143" t="s">
        <v>630</v>
      </c>
      <c r="C132" s="143"/>
      <c r="D132" s="7" t="s">
        <v>746</v>
      </c>
      <c r="I132"/>
      <c r="J132" s="15"/>
      <c r="K132" s="48"/>
      <c r="L132" s="48"/>
      <c r="M132" s="48"/>
      <c r="N132" s="48"/>
      <c r="O132" s="50"/>
    </row>
    <row r="133" spans="2:15" s="49" customFormat="1" x14ac:dyDescent="0.2">
      <c r="B133" s="144" t="s">
        <v>631</v>
      </c>
      <c r="C133" s="146"/>
      <c r="D133" s="145"/>
      <c r="I133"/>
      <c r="J133" s="15"/>
      <c r="K133"/>
      <c r="L133" s="48"/>
      <c r="M133" s="48"/>
      <c r="N133" s="48"/>
      <c r="O133" s="50"/>
    </row>
    <row r="134" spans="2:15" x14ac:dyDescent="0.2">
      <c r="J134" s="15"/>
    </row>
    <row r="135" spans="2:15" ht="13.5" x14ac:dyDescent="0.2">
      <c r="B135" s="197" t="s">
        <v>750</v>
      </c>
      <c r="C135" s="197"/>
      <c r="D135" s="197"/>
      <c r="E135" s="197"/>
      <c r="F135" s="197"/>
      <c r="G135" s="197"/>
      <c r="H135" s="197"/>
    </row>
    <row r="136" spans="2:15" ht="13.5" x14ac:dyDescent="0.2">
      <c r="B136" s="129"/>
      <c r="C136" s="129"/>
      <c r="D136" s="129"/>
      <c r="E136" s="129"/>
      <c r="F136" s="129"/>
      <c r="G136" s="129"/>
      <c r="H136" s="129"/>
      <c r="J136" s="48"/>
      <c r="K136" s="48"/>
      <c r="L136" s="48"/>
      <c r="M136" s="48"/>
      <c r="N136" s="48"/>
      <c r="O136" s="48"/>
    </row>
    <row r="137" spans="2:15" ht="13.5" x14ac:dyDescent="0.25">
      <c r="B137" s="77" t="s">
        <v>643</v>
      </c>
      <c r="C137" s="77" t="s">
        <v>644</v>
      </c>
      <c r="D137" s="192" t="s">
        <v>645</v>
      </c>
      <c r="E137" s="193"/>
      <c r="F137" s="194"/>
      <c r="G137" s="195" t="s">
        <v>646</v>
      </c>
      <c r="H137" s="196"/>
      <c r="J137" s="48"/>
      <c r="K137" s="48"/>
      <c r="L137" s="48"/>
      <c r="M137" s="48"/>
      <c r="N137" s="48"/>
      <c r="O137" s="48"/>
    </row>
    <row r="138" spans="2:15" ht="27" x14ac:dyDescent="0.25">
      <c r="B138" s="76" t="s">
        <v>651</v>
      </c>
      <c r="C138" s="75" t="s">
        <v>682</v>
      </c>
      <c r="D138" s="188">
        <v>0</v>
      </c>
      <c r="E138" s="189"/>
      <c r="F138" s="190"/>
      <c r="G138" s="188">
        <v>0</v>
      </c>
      <c r="H138" s="190"/>
      <c r="J138" s="48"/>
      <c r="K138" s="48"/>
      <c r="L138" s="48"/>
      <c r="M138" s="48"/>
      <c r="N138" s="48"/>
      <c r="O138" s="48"/>
    </row>
    <row r="139" spans="2:15" ht="13.5" x14ac:dyDescent="0.25">
      <c r="B139" s="76" t="s">
        <v>647</v>
      </c>
      <c r="C139" s="75" t="s">
        <v>683</v>
      </c>
      <c r="D139" s="188">
        <v>0</v>
      </c>
      <c r="E139" s="189"/>
      <c r="F139" s="190"/>
      <c r="G139" s="188">
        <v>0</v>
      </c>
      <c r="H139" s="190"/>
      <c r="J139" s="48"/>
      <c r="K139" s="48"/>
      <c r="L139" s="48"/>
      <c r="M139" s="48"/>
      <c r="N139" s="48"/>
      <c r="O139" s="48"/>
    </row>
    <row r="140" spans="2:15" ht="27" x14ac:dyDescent="0.25">
      <c r="B140" s="76" t="s">
        <v>684</v>
      </c>
      <c r="C140" s="75" t="s">
        <v>685</v>
      </c>
      <c r="D140" s="188">
        <v>0</v>
      </c>
      <c r="E140" s="189"/>
      <c r="F140" s="190"/>
      <c r="G140" s="188">
        <v>0</v>
      </c>
      <c r="H140" s="190"/>
      <c r="J140" s="48"/>
      <c r="K140" s="48"/>
      <c r="L140" s="48"/>
      <c r="M140" s="48"/>
      <c r="N140" s="48"/>
      <c r="O140" s="48"/>
    </row>
    <row r="141" spans="2:15" ht="27" x14ac:dyDescent="0.25">
      <c r="B141" s="76" t="s">
        <v>649</v>
      </c>
      <c r="C141" s="75" t="s">
        <v>686</v>
      </c>
      <c r="D141" s="181">
        <v>0</v>
      </c>
      <c r="E141" s="181"/>
      <c r="F141" s="181"/>
      <c r="G141" s="181">
        <v>0</v>
      </c>
      <c r="H141" s="181"/>
      <c r="J141" s="48"/>
      <c r="K141" s="48"/>
      <c r="L141" s="48"/>
      <c r="M141" s="48"/>
      <c r="N141" s="48"/>
      <c r="O141" s="48"/>
    </row>
    <row r="142" spans="2:15" ht="13.5" x14ac:dyDescent="0.25">
      <c r="B142" s="124"/>
      <c r="C142" s="124"/>
      <c r="D142" s="191"/>
      <c r="E142" s="191"/>
      <c r="F142" s="191"/>
      <c r="G142" s="191"/>
      <c r="H142" s="191"/>
      <c r="J142" s="48"/>
      <c r="K142" s="48"/>
      <c r="L142" s="48"/>
      <c r="M142" s="48"/>
      <c r="N142" s="48"/>
      <c r="O142" s="48"/>
    </row>
    <row r="143" spans="2:15" ht="13.5" x14ac:dyDescent="0.25">
      <c r="B143" s="187" t="s">
        <v>653</v>
      </c>
      <c r="C143" s="187"/>
      <c r="D143" s="187"/>
      <c r="E143" s="187"/>
      <c r="F143" s="187"/>
      <c r="G143" s="187"/>
      <c r="H143" s="187"/>
      <c r="J143" s="48"/>
      <c r="K143" s="48"/>
      <c r="L143" s="48"/>
      <c r="M143" s="48"/>
      <c r="N143" s="48"/>
      <c r="O143" s="48"/>
    </row>
    <row r="144" spans="2:15" ht="13.5" x14ac:dyDescent="0.2">
      <c r="B144" s="179" t="s">
        <v>643</v>
      </c>
      <c r="C144" s="179" t="s">
        <v>644</v>
      </c>
      <c r="D144" s="179" t="s">
        <v>687</v>
      </c>
      <c r="E144" s="179"/>
      <c r="F144" s="179"/>
      <c r="G144" s="179"/>
      <c r="H144" s="180" t="s">
        <v>688</v>
      </c>
      <c r="I144" s="180" t="s">
        <v>689</v>
      </c>
      <c r="J144" s="180" t="s">
        <v>690</v>
      </c>
      <c r="K144" s="48"/>
      <c r="L144" s="48"/>
      <c r="M144" s="48"/>
      <c r="N144" s="48"/>
      <c r="O144" s="48"/>
    </row>
    <row r="145" spans="2:15" ht="121.5" x14ac:dyDescent="0.2">
      <c r="B145" s="179"/>
      <c r="C145" s="179"/>
      <c r="D145" s="72" t="s">
        <v>691</v>
      </c>
      <c r="E145" s="72" t="s">
        <v>692</v>
      </c>
      <c r="F145" s="72" t="s">
        <v>693</v>
      </c>
      <c r="G145" s="72" t="s">
        <v>694</v>
      </c>
      <c r="H145" s="180"/>
      <c r="I145" s="180"/>
      <c r="J145" s="180"/>
      <c r="K145" s="48"/>
      <c r="L145" s="48"/>
      <c r="M145" s="48"/>
      <c r="N145" s="48"/>
      <c r="O145" s="48"/>
    </row>
    <row r="146" spans="2:15" ht="27" x14ac:dyDescent="0.25">
      <c r="B146" s="76" t="s">
        <v>651</v>
      </c>
      <c r="C146" s="75" t="s">
        <v>682</v>
      </c>
      <c r="D146" s="78">
        <v>3000</v>
      </c>
      <c r="E146" s="78">
        <v>198.60410960000002</v>
      </c>
      <c r="F146" s="130">
        <v>72.152053199999997</v>
      </c>
      <c r="G146" s="123">
        <v>3270.7561627999999</v>
      </c>
      <c r="H146" s="3">
        <v>1452.6372699999999</v>
      </c>
      <c r="I146" s="3">
        <f>2499839/10^5</f>
        <v>24.998390000000001</v>
      </c>
      <c r="J146" s="3">
        <f>H146+I146</f>
        <v>1477.6356599999999</v>
      </c>
      <c r="K146" s="48"/>
      <c r="L146" s="48"/>
      <c r="M146" s="48"/>
      <c r="N146" s="48"/>
      <c r="O146" s="48"/>
    </row>
    <row r="147" spans="2:15" ht="13.5" x14ac:dyDescent="0.25">
      <c r="B147" s="76" t="s">
        <v>647</v>
      </c>
      <c r="C147" s="75" t="s">
        <v>683</v>
      </c>
      <c r="D147" s="78">
        <v>500</v>
      </c>
      <c r="E147" s="78">
        <v>33.283561599999999</v>
      </c>
      <c r="F147" s="130">
        <v>12.091777499999999</v>
      </c>
      <c r="G147" s="123">
        <f>D147+E147+F147</f>
        <v>545.37533910000002</v>
      </c>
      <c r="H147" s="3">
        <v>242.22076999999999</v>
      </c>
      <c r="I147" s="3">
        <f>416840/10^5</f>
        <v>4.1684000000000001</v>
      </c>
      <c r="J147" s="3">
        <f>H147+I147</f>
        <v>246.38916999999998</v>
      </c>
      <c r="K147" s="48"/>
      <c r="L147" s="48"/>
      <c r="M147" s="48"/>
      <c r="N147" s="48"/>
      <c r="O147" s="48"/>
    </row>
    <row r="148" spans="2:15" ht="27" x14ac:dyDescent="0.25">
      <c r="B148" s="76" t="s">
        <v>684</v>
      </c>
      <c r="C148" s="75" t="s">
        <v>695</v>
      </c>
      <c r="D148" s="78">
        <v>2000</v>
      </c>
      <c r="E148" s="78">
        <v>39.762295099999996</v>
      </c>
      <c r="F148" s="130">
        <v>64.029485721917808</v>
      </c>
      <c r="G148" s="123">
        <v>2103.7917808219199</v>
      </c>
      <c r="H148" s="3">
        <v>933.64715000000001</v>
      </c>
      <c r="I148" s="3">
        <f>1606686/10^5</f>
        <v>16.066859999999998</v>
      </c>
      <c r="J148" s="3">
        <f>H148+I148</f>
        <v>949.71401000000003</v>
      </c>
      <c r="K148" s="48"/>
      <c r="L148" s="48"/>
      <c r="M148" s="48"/>
      <c r="N148" s="48"/>
      <c r="O148" s="48"/>
    </row>
    <row r="149" spans="2:15" ht="27" x14ac:dyDescent="0.25">
      <c r="B149" s="76" t="s">
        <v>649</v>
      </c>
      <c r="C149" s="75" t="s">
        <v>686</v>
      </c>
      <c r="D149" s="78">
        <v>1882.78</v>
      </c>
      <c r="E149" s="78">
        <v>137.066384</v>
      </c>
      <c r="F149" s="130">
        <v>34.266601500000007</v>
      </c>
      <c r="G149" s="123">
        <v>2054.1129854999999</v>
      </c>
      <c r="H149" s="3">
        <v>916.65184999999997</v>
      </c>
      <c r="I149" s="3">
        <f>1577458/10^5</f>
        <v>15.77458</v>
      </c>
      <c r="J149" s="3">
        <f>H149+I149</f>
        <v>932.42642999999998</v>
      </c>
      <c r="K149" s="48"/>
      <c r="L149" s="48"/>
      <c r="M149" s="48"/>
      <c r="N149" s="48"/>
      <c r="O149" s="48"/>
    </row>
    <row r="150" spans="2:15" ht="13.5" x14ac:dyDescent="0.25">
      <c r="B150" s="124"/>
      <c r="C150" s="125"/>
      <c r="D150" s="131"/>
      <c r="E150" s="131"/>
      <c r="F150" s="6"/>
      <c r="G150" s="127"/>
      <c r="H150" s="4"/>
      <c r="J150" s="15"/>
      <c r="K150" s="48"/>
      <c r="L150" s="48"/>
      <c r="M150" s="48"/>
      <c r="N150" s="48"/>
      <c r="O150" s="48"/>
    </row>
    <row r="151" spans="2:15" ht="39" customHeight="1" x14ac:dyDescent="0.2">
      <c r="B151" s="186" t="s">
        <v>696</v>
      </c>
      <c r="C151" s="186"/>
      <c r="D151" s="186"/>
      <c r="E151" s="186"/>
      <c r="F151" s="186"/>
      <c r="G151" s="186"/>
      <c r="H151" s="186"/>
      <c r="I151" s="186"/>
      <c r="J151" s="15"/>
      <c r="K151" s="48"/>
      <c r="L151" s="48"/>
      <c r="M151" s="48"/>
      <c r="N151" s="48"/>
      <c r="O151" s="48"/>
    </row>
    <row r="152" spans="2:15" x14ac:dyDescent="0.2">
      <c r="B152" s="48"/>
      <c r="C152" s="48"/>
      <c r="D152" s="48"/>
      <c r="E152" s="48"/>
      <c r="F152" s="48"/>
      <c r="G152" s="48"/>
      <c r="H152" s="48"/>
      <c r="J152" s="15"/>
      <c r="K152" s="48"/>
      <c r="L152" s="48"/>
      <c r="M152" s="48"/>
      <c r="N152" s="48"/>
      <c r="O152" s="48"/>
    </row>
    <row r="153" spans="2:15" ht="13.5" x14ac:dyDescent="0.25">
      <c r="B153" s="81" t="s">
        <v>673</v>
      </c>
      <c r="C153" s="48"/>
      <c r="D153" s="48"/>
      <c r="E153" s="48"/>
      <c r="F153" s="48"/>
      <c r="G153" s="48"/>
      <c r="H153" s="48"/>
      <c r="J153" s="15"/>
      <c r="K153" s="48"/>
      <c r="L153" s="48"/>
      <c r="M153" s="48"/>
      <c r="N153" s="48"/>
      <c r="O153" s="48"/>
    </row>
    <row r="154" spans="2:15" x14ac:dyDescent="0.2">
      <c r="B154" s="48"/>
      <c r="C154" s="48"/>
      <c r="D154" s="48"/>
      <c r="E154" s="48"/>
      <c r="F154" s="48"/>
      <c r="G154" s="48"/>
      <c r="H154" s="48"/>
      <c r="I154" s="48"/>
      <c r="J154" s="15"/>
      <c r="K154" s="48"/>
      <c r="L154" s="48"/>
      <c r="M154" s="48"/>
      <c r="N154" s="48"/>
      <c r="O154" s="48"/>
    </row>
    <row r="155" spans="2:15" x14ac:dyDescent="0.2">
      <c r="B155" s="82" t="s">
        <v>674</v>
      </c>
      <c r="C155" s="48"/>
      <c r="D155" s="48"/>
      <c r="E155" s="48"/>
      <c r="F155" s="48"/>
      <c r="G155" s="48"/>
      <c r="H155" s="48"/>
      <c r="I155" s="48"/>
      <c r="J155" s="15"/>
      <c r="K155" s="48"/>
      <c r="L155" s="48"/>
      <c r="M155" s="48"/>
      <c r="N155" s="48"/>
      <c r="O155" s="48"/>
    </row>
    <row r="156" spans="2:15" x14ac:dyDescent="0.2">
      <c r="B156" s="48"/>
      <c r="C156" s="48"/>
      <c r="D156" s="48"/>
      <c r="E156" s="48"/>
      <c r="F156" s="48"/>
      <c r="G156" s="48"/>
      <c r="H156" s="48"/>
      <c r="I156" s="48"/>
      <c r="J156" s="15"/>
      <c r="K156" s="48"/>
      <c r="L156" s="48"/>
      <c r="M156" s="48"/>
      <c r="N156" s="48"/>
      <c r="O156" s="48"/>
    </row>
    <row r="157" spans="2:15" x14ac:dyDescent="0.2">
      <c r="B157" s="82" t="s">
        <v>675</v>
      </c>
      <c r="C157" s="48"/>
      <c r="D157" s="48"/>
      <c r="E157" s="48"/>
      <c r="F157" s="48"/>
      <c r="G157" s="48"/>
      <c r="H157" s="48"/>
      <c r="I157" s="48"/>
      <c r="J157" s="15"/>
      <c r="K157" s="48"/>
      <c r="L157" s="48"/>
      <c r="M157" s="48"/>
      <c r="N157" s="48"/>
      <c r="O157" s="48"/>
    </row>
    <row r="158" spans="2:15" x14ac:dyDescent="0.2">
      <c r="I158" s="48"/>
      <c r="J158" s="15"/>
      <c r="K158" s="48"/>
      <c r="L158" s="48"/>
      <c r="M158" s="48"/>
      <c r="N158" s="48"/>
      <c r="O158" s="48"/>
    </row>
    <row r="159" spans="2:15" x14ac:dyDescent="0.2">
      <c r="B159" s="82" t="s">
        <v>676</v>
      </c>
      <c r="J159" s="15"/>
      <c r="K159" s="48"/>
      <c r="L159" s="48"/>
      <c r="M159" s="48"/>
      <c r="N159" s="48"/>
      <c r="O159" s="48"/>
    </row>
    <row r="160" spans="2:15" x14ac:dyDescent="0.2">
      <c r="I160" s="48"/>
      <c r="J160" s="15"/>
      <c r="K160" s="48"/>
      <c r="L160" s="48"/>
      <c r="M160" s="48"/>
      <c r="N160" s="48"/>
      <c r="O160" s="48"/>
    </row>
    <row r="161" spans="2:10" x14ac:dyDescent="0.2">
      <c r="B161" s="57" t="s">
        <v>632</v>
      </c>
    </row>
    <row r="163" spans="2:10" ht="153.75" customHeight="1" x14ac:dyDescent="0.2"/>
    <row r="166" spans="2:10" x14ac:dyDescent="0.2">
      <c r="B166" s="57" t="s">
        <v>633</v>
      </c>
      <c r="C166" s="58"/>
      <c r="D166" s="57"/>
    </row>
    <row r="167" spans="2:10" x14ac:dyDescent="0.2">
      <c r="B167" s="57" t="s">
        <v>697</v>
      </c>
      <c r="D167" s="57"/>
    </row>
    <row r="168" spans="2:10" ht="165" customHeight="1" x14ac:dyDescent="0.2"/>
    <row r="170" spans="2:10" x14ac:dyDescent="0.2">
      <c r="J170" s="15"/>
    </row>
  </sheetData>
  <mergeCells count="46">
    <mergeCell ref="B121:C121"/>
    <mergeCell ref="B124:C124"/>
    <mergeCell ref="B119:C119"/>
    <mergeCell ref="B117:C117"/>
    <mergeCell ref="B120:C120"/>
    <mergeCell ref="B123:D123"/>
    <mergeCell ref="B104:H104"/>
    <mergeCell ref="B106:D106"/>
    <mergeCell ref="B107:C107"/>
    <mergeCell ref="B108:C108"/>
    <mergeCell ref="B109:C109"/>
    <mergeCell ref="A1:H1"/>
    <mergeCell ref="A2:H2"/>
    <mergeCell ref="A3:H3"/>
    <mergeCell ref="B102:H102"/>
    <mergeCell ref="B103:H103"/>
    <mergeCell ref="B125:C125"/>
    <mergeCell ref="B126:C126"/>
    <mergeCell ref="B127:C127"/>
    <mergeCell ref="B128:C128"/>
    <mergeCell ref="B129:C129"/>
    <mergeCell ref="B130:C130"/>
    <mergeCell ref="B131:C131"/>
    <mergeCell ref="B132:C132"/>
    <mergeCell ref="B133:D133"/>
    <mergeCell ref="B135:H135"/>
    <mergeCell ref="D137:F137"/>
    <mergeCell ref="G137:H137"/>
    <mergeCell ref="D138:F138"/>
    <mergeCell ref="G138:H138"/>
    <mergeCell ref="D139:F139"/>
    <mergeCell ref="G139:H139"/>
    <mergeCell ref="D140:F140"/>
    <mergeCell ref="G140:H140"/>
    <mergeCell ref="D141:F141"/>
    <mergeCell ref="G141:H141"/>
    <mergeCell ref="D142:F142"/>
    <mergeCell ref="G142:H142"/>
    <mergeCell ref="I144:I145"/>
    <mergeCell ref="J144:J145"/>
    <mergeCell ref="B151:I151"/>
    <mergeCell ref="B143:H143"/>
    <mergeCell ref="B144:B145"/>
    <mergeCell ref="C144:C145"/>
    <mergeCell ref="D144:G144"/>
    <mergeCell ref="H144:H145"/>
  </mergeCells>
  <hyperlinks>
    <hyperlink ref="I1" location="Index!B2" display="Index" xr:uid="{C31C77E6-056F-46A4-8685-58B879D01937}"/>
    <hyperlink ref="B155" r:id="rId1" xr:uid="{CCD1818D-18EE-4044-8CCC-44701DD54046}"/>
    <hyperlink ref="B157" r:id="rId2" xr:uid="{D867400D-E818-4B13-A5CE-7BB02F440B31}"/>
    <hyperlink ref="B159" r:id="rId3" xr:uid="{55CA38A1-4F0E-4592-A841-5394C2A942CB}"/>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D6E8B-F780-4F3A-89D1-B4DB54ACF9CF}">
  <sheetPr>
    <outlinePr summaryBelow="0" summaryRight="0"/>
  </sheetPr>
  <dimension ref="A1:Q211"/>
  <sheetViews>
    <sheetView showGridLines="0" topLeftCell="A179" workbookViewId="0">
      <selection activeCell="C166" sqref="C166"/>
    </sheetView>
  </sheetViews>
  <sheetFormatPr defaultRowHeight="12.75" x14ac:dyDescent="0.2"/>
  <cols>
    <col min="1" max="1" width="5.85546875" bestFit="1" customWidth="1"/>
    <col min="2" max="2" width="19.28515625" bestFit="1" customWidth="1"/>
    <col min="3" max="3" width="48.42578125" customWidth="1"/>
    <col min="4" max="4" width="14" customWidth="1"/>
    <col min="5" max="5" width="9.42578125" bestFit="1" customWidth="1"/>
    <col min="6" max="6" width="10.140625" bestFit="1" customWidth="1"/>
    <col min="7" max="7" width="20" bestFit="1" customWidth="1"/>
    <col min="8" max="8" width="9.140625" customWidth="1"/>
  </cols>
  <sheetData>
    <row r="1" spans="1:9" ht="15" x14ac:dyDescent="0.2">
      <c r="A1" s="147" t="s">
        <v>0</v>
      </c>
      <c r="B1" s="147"/>
      <c r="C1" s="147"/>
      <c r="D1" s="147"/>
      <c r="E1" s="147"/>
      <c r="F1" s="147"/>
      <c r="G1" s="147"/>
      <c r="H1" s="147"/>
      <c r="I1" s="1" t="s">
        <v>604</v>
      </c>
    </row>
    <row r="2" spans="1:9" ht="15" x14ac:dyDescent="0.2">
      <c r="A2" s="147" t="s">
        <v>490</v>
      </c>
      <c r="B2" s="147"/>
      <c r="C2" s="147"/>
      <c r="D2" s="147"/>
      <c r="E2" s="147"/>
      <c r="F2" s="147"/>
      <c r="G2" s="147"/>
      <c r="H2" s="147"/>
    </row>
    <row r="3" spans="1:9" ht="15" x14ac:dyDescent="0.2">
      <c r="A3" s="147" t="s">
        <v>603</v>
      </c>
      <c r="B3" s="147"/>
      <c r="C3" s="147"/>
      <c r="D3" s="147"/>
      <c r="E3" s="147"/>
      <c r="F3" s="147"/>
      <c r="G3" s="147"/>
      <c r="H3" s="147"/>
    </row>
    <row r="4" spans="1:9" s="15" customFormat="1" ht="30" x14ac:dyDescent="0.2">
      <c r="A4" s="13" t="s">
        <v>2</v>
      </c>
      <c r="B4" s="13" t="s">
        <v>3</v>
      </c>
      <c r="C4" s="13" t="s">
        <v>4</v>
      </c>
      <c r="D4" s="13" t="s">
        <v>5</v>
      </c>
      <c r="E4" s="13" t="s">
        <v>6</v>
      </c>
      <c r="F4" s="13" t="s">
        <v>7</v>
      </c>
      <c r="G4" s="13" t="s">
        <v>8</v>
      </c>
      <c r="H4" s="14" t="s">
        <v>739</v>
      </c>
    </row>
    <row r="5" spans="1:9" x14ac:dyDescent="0.2">
      <c r="A5" s="16"/>
      <c r="B5" s="16"/>
      <c r="C5" s="8" t="s">
        <v>9</v>
      </c>
      <c r="D5" s="16"/>
      <c r="E5" s="16"/>
      <c r="F5" s="16"/>
      <c r="G5" s="16"/>
      <c r="H5" s="17" t="s">
        <v>12</v>
      </c>
    </row>
    <row r="6" spans="1:9" x14ac:dyDescent="0.2">
      <c r="A6" s="11"/>
      <c r="B6" s="11"/>
      <c r="C6" s="18" t="s">
        <v>10</v>
      </c>
      <c r="D6" s="11"/>
      <c r="E6" s="11"/>
      <c r="F6" s="11"/>
      <c r="G6" s="11"/>
      <c r="H6" s="17" t="s">
        <v>12</v>
      </c>
    </row>
    <row r="7" spans="1:9" x14ac:dyDescent="0.2">
      <c r="A7" s="59">
        <v>1</v>
      </c>
      <c r="B7" s="60" t="s">
        <v>637</v>
      </c>
      <c r="C7" s="60" t="s">
        <v>638</v>
      </c>
      <c r="D7" s="60" t="s">
        <v>639</v>
      </c>
      <c r="E7" s="61">
        <v>13333</v>
      </c>
      <c r="F7" s="62">
        <v>0.01</v>
      </c>
      <c r="G7" s="99" t="s">
        <v>640</v>
      </c>
      <c r="H7" s="17" t="s">
        <v>12</v>
      </c>
    </row>
    <row r="8" spans="1:9" x14ac:dyDescent="0.2">
      <c r="A8" s="16"/>
      <c r="B8" s="16"/>
      <c r="C8" s="8" t="s">
        <v>11</v>
      </c>
      <c r="D8" s="16"/>
      <c r="E8" s="16" t="s">
        <v>12</v>
      </c>
      <c r="F8" s="68">
        <f>SUM(F7)</f>
        <v>0.01</v>
      </c>
      <c r="G8" s="69">
        <v>0</v>
      </c>
      <c r="H8" s="17" t="s">
        <v>12</v>
      </c>
    </row>
    <row r="9" spans="1:9" x14ac:dyDescent="0.2">
      <c r="A9" s="11"/>
      <c r="B9" s="11"/>
      <c r="C9" s="21"/>
      <c r="D9" s="11"/>
      <c r="E9" s="11"/>
      <c r="F9" s="22"/>
      <c r="G9" s="22"/>
      <c r="H9" s="17" t="s">
        <v>12</v>
      </c>
    </row>
    <row r="10" spans="1:9" x14ac:dyDescent="0.2">
      <c r="A10" s="11"/>
      <c r="B10" s="11"/>
      <c r="C10" s="18" t="s">
        <v>14</v>
      </c>
      <c r="D10" s="11"/>
      <c r="E10" s="11"/>
      <c r="F10" s="11"/>
      <c r="G10" s="11"/>
      <c r="H10" s="17" t="s">
        <v>12</v>
      </c>
    </row>
    <row r="11" spans="1:9" x14ac:dyDescent="0.2">
      <c r="A11" s="11"/>
      <c r="B11" s="11"/>
      <c r="C11" s="18" t="s">
        <v>11</v>
      </c>
      <c r="D11" s="11"/>
      <c r="E11" s="11" t="s">
        <v>12</v>
      </c>
      <c r="F11" s="19" t="s">
        <v>13</v>
      </c>
      <c r="G11" s="20">
        <v>0</v>
      </c>
      <c r="H11" s="17" t="s">
        <v>12</v>
      </c>
    </row>
    <row r="12" spans="1:9" x14ac:dyDescent="0.2">
      <c r="A12" s="11"/>
      <c r="B12" s="11"/>
      <c r="C12" s="21"/>
      <c r="D12" s="11"/>
      <c r="E12" s="11"/>
      <c r="F12" s="22"/>
      <c r="G12" s="22"/>
      <c r="H12" s="17" t="s">
        <v>12</v>
      </c>
    </row>
    <row r="13" spans="1:9" x14ac:dyDescent="0.2">
      <c r="A13" s="11"/>
      <c r="B13" s="11"/>
      <c r="C13" s="18" t="s">
        <v>15</v>
      </c>
      <c r="D13" s="11"/>
      <c r="E13" s="11"/>
      <c r="F13" s="11"/>
      <c r="G13" s="11"/>
      <c r="H13" s="17" t="s">
        <v>12</v>
      </c>
    </row>
    <row r="14" spans="1:9" x14ac:dyDescent="0.2">
      <c r="A14" s="11"/>
      <c r="B14" s="11"/>
      <c r="C14" s="18" t="s">
        <v>11</v>
      </c>
      <c r="D14" s="11"/>
      <c r="E14" s="11" t="s">
        <v>12</v>
      </c>
      <c r="F14" s="19" t="s">
        <v>13</v>
      </c>
      <c r="G14" s="20">
        <v>0</v>
      </c>
      <c r="H14" s="17" t="s">
        <v>12</v>
      </c>
    </row>
    <row r="15" spans="1:9" x14ac:dyDescent="0.2">
      <c r="A15" s="11"/>
      <c r="B15" s="11"/>
      <c r="C15" s="21"/>
      <c r="D15" s="11"/>
      <c r="E15" s="11"/>
      <c r="F15" s="22"/>
      <c r="G15" s="22"/>
      <c r="H15" s="17" t="s">
        <v>12</v>
      </c>
    </row>
    <row r="16" spans="1:9" x14ac:dyDescent="0.2">
      <c r="A16" s="11"/>
      <c r="B16" s="11"/>
      <c r="C16" s="18" t="s">
        <v>16</v>
      </c>
      <c r="D16" s="11"/>
      <c r="E16" s="11"/>
      <c r="F16" s="11"/>
      <c r="G16" s="11"/>
      <c r="H16" s="17" t="s">
        <v>12</v>
      </c>
    </row>
    <row r="17" spans="1:8" x14ac:dyDescent="0.2">
      <c r="A17" s="11"/>
      <c r="B17" s="11"/>
      <c r="C17" s="18" t="s">
        <v>11</v>
      </c>
      <c r="D17" s="11"/>
      <c r="E17" s="11" t="s">
        <v>12</v>
      </c>
      <c r="F17" s="19" t="s">
        <v>13</v>
      </c>
      <c r="G17" s="20">
        <v>0</v>
      </c>
      <c r="H17" s="17" t="s">
        <v>12</v>
      </c>
    </row>
    <row r="18" spans="1:8" x14ac:dyDescent="0.2">
      <c r="A18" s="11"/>
      <c r="B18" s="11"/>
      <c r="C18" s="21"/>
      <c r="D18" s="11"/>
      <c r="E18" s="11"/>
      <c r="F18" s="22"/>
      <c r="G18" s="22"/>
      <c r="H18" s="17" t="s">
        <v>12</v>
      </c>
    </row>
    <row r="19" spans="1:8" x14ac:dyDescent="0.2">
      <c r="A19" s="11"/>
      <c r="B19" s="11"/>
      <c r="C19" s="18" t="s">
        <v>17</v>
      </c>
      <c r="D19" s="11"/>
      <c r="E19" s="11"/>
      <c r="F19" s="22"/>
      <c r="G19" s="22"/>
      <c r="H19" s="17" t="s">
        <v>12</v>
      </c>
    </row>
    <row r="20" spans="1:8" x14ac:dyDescent="0.2">
      <c r="A20" s="11"/>
      <c r="B20" s="11"/>
      <c r="C20" s="18" t="s">
        <v>11</v>
      </c>
      <c r="D20" s="11"/>
      <c r="E20" s="11" t="s">
        <v>12</v>
      </c>
      <c r="F20" s="19" t="s">
        <v>13</v>
      </c>
      <c r="G20" s="20">
        <v>0</v>
      </c>
      <c r="H20" s="17" t="s">
        <v>12</v>
      </c>
    </row>
    <row r="21" spans="1:8" x14ac:dyDescent="0.2">
      <c r="A21" s="11"/>
      <c r="B21" s="11"/>
      <c r="C21" s="21"/>
      <c r="D21" s="11"/>
      <c r="E21" s="11"/>
      <c r="F21" s="22"/>
      <c r="G21" s="22"/>
      <c r="H21" s="17" t="s">
        <v>12</v>
      </c>
    </row>
    <row r="22" spans="1:8" x14ac:dyDescent="0.2">
      <c r="A22" s="11"/>
      <c r="B22" s="11"/>
      <c r="C22" s="18" t="s">
        <v>18</v>
      </c>
      <c r="D22" s="11"/>
      <c r="E22" s="11"/>
      <c r="F22" s="22"/>
      <c r="G22" s="22"/>
      <c r="H22" s="17" t="s">
        <v>12</v>
      </c>
    </row>
    <row r="23" spans="1:8" x14ac:dyDescent="0.2">
      <c r="A23" s="11"/>
      <c r="B23" s="11"/>
      <c r="C23" s="18" t="s">
        <v>11</v>
      </c>
      <c r="D23" s="11"/>
      <c r="E23" s="11" t="s">
        <v>12</v>
      </c>
      <c r="F23" s="19" t="s">
        <v>13</v>
      </c>
      <c r="G23" s="20">
        <v>0</v>
      </c>
      <c r="H23" s="17" t="s">
        <v>12</v>
      </c>
    </row>
    <row r="24" spans="1:8" x14ac:dyDescent="0.2">
      <c r="A24" s="11"/>
      <c r="B24" s="11"/>
      <c r="C24" s="21"/>
      <c r="D24" s="11"/>
      <c r="E24" s="11"/>
      <c r="F24" s="22"/>
      <c r="G24" s="22"/>
      <c r="H24" s="17" t="s">
        <v>12</v>
      </c>
    </row>
    <row r="25" spans="1:8" x14ac:dyDescent="0.2">
      <c r="A25" s="16"/>
      <c r="B25" s="16"/>
      <c r="C25" s="8" t="s">
        <v>19</v>
      </c>
      <c r="D25" s="16"/>
      <c r="E25" s="16"/>
      <c r="F25" s="68">
        <f>F8</f>
        <v>0.01</v>
      </c>
      <c r="G25" s="69">
        <v>0</v>
      </c>
      <c r="H25" s="17" t="s">
        <v>12</v>
      </c>
    </row>
    <row r="26" spans="1:8" x14ac:dyDescent="0.2">
      <c r="A26" s="11"/>
      <c r="B26" s="11"/>
      <c r="C26" s="21"/>
      <c r="D26" s="11"/>
      <c r="E26" s="11"/>
      <c r="F26" s="22"/>
      <c r="G26" s="22"/>
      <c r="H26" s="17" t="s">
        <v>12</v>
      </c>
    </row>
    <row r="27" spans="1:8" x14ac:dyDescent="0.2">
      <c r="A27" s="11"/>
      <c r="B27" s="11"/>
      <c r="C27" s="18" t="s">
        <v>20</v>
      </c>
      <c r="D27" s="11"/>
      <c r="E27" s="11"/>
      <c r="F27" s="22"/>
      <c r="G27" s="22"/>
      <c r="H27" s="17" t="s">
        <v>12</v>
      </c>
    </row>
    <row r="28" spans="1:8" x14ac:dyDescent="0.2">
      <c r="A28" s="11"/>
      <c r="B28" s="11"/>
      <c r="C28" s="18" t="s">
        <v>10</v>
      </c>
      <c r="D28" s="11"/>
      <c r="E28" s="11"/>
      <c r="F28" s="22"/>
      <c r="G28" s="22"/>
      <c r="H28" s="17" t="s">
        <v>12</v>
      </c>
    </row>
    <row r="29" spans="1:8" x14ac:dyDescent="0.2">
      <c r="A29" s="24">
        <v>1</v>
      </c>
      <c r="B29" s="9" t="s">
        <v>283</v>
      </c>
      <c r="C29" s="9" t="s">
        <v>284</v>
      </c>
      <c r="D29" s="9" t="s">
        <v>26</v>
      </c>
      <c r="E29" s="25">
        <v>8000</v>
      </c>
      <c r="F29" s="26">
        <v>8082.0879999999997</v>
      </c>
      <c r="G29" s="27">
        <v>3.1711240000000002E-2</v>
      </c>
      <c r="H29" s="17">
        <v>6.4</v>
      </c>
    </row>
    <row r="30" spans="1:8" x14ac:dyDescent="0.2">
      <c r="A30" s="24">
        <v>2</v>
      </c>
      <c r="B30" s="9" t="s">
        <v>285</v>
      </c>
      <c r="C30" s="9" t="s">
        <v>286</v>
      </c>
      <c r="D30" s="9" t="s">
        <v>279</v>
      </c>
      <c r="E30" s="25">
        <v>7000</v>
      </c>
      <c r="F30" s="26">
        <v>7039.9560000000001</v>
      </c>
      <c r="G30" s="27">
        <v>2.7622279999999999E-2</v>
      </c>
      <c r="H30" s="17">
        <v>7</v>
      </c>
    </row>
    <row r="31" spans="1:8" x14ac:dyDescent="0.2">
      <c r="A31" s="24">
        <v>3</v>
      </c>
      <c r="B31" s="9" t="s">
        <v>491</v>
      </c>
      <c r="C31" s="9" t="s">
        <v>492</v>
      </c>
      <c r="D31" s="9" t="s">
        <v>26</v>
      </c>
      <c r="E31" s="25">
        <v>5000</v>
      </c>
      <c r="F31" s="26">
        <v>5049.46</v>
      </c>
      <c r="G31" s="27">
        <v>1.9812280000000002E-2</v>
      </c>
      <c r="H31" s="17">
        <v>6.4050000000000002</v>
      </c>
    </row>
    <row r="32" spans="1:8" x14ac:dyDescent="0.2">
      <c r="A32" s="24">
        <v>4</v>
      </c>
      <c r="B32" s="9" t="s">
        <v>277</v>
      </c>
      <c r="C32" s="9" t="s">
        <v>278</v>
      </c>
      <c r="D32" s="9" t="s">
        <v>279</v>
      </c>
      <c r="E32" s="25">
        <v>3000</v>
      </c>
      <c r="F32" s="26">
        <v>3040.9380000000001</v>
      </c>
      <c r="G32" s="27">
        <v>1.1931560000000001E-2</v>
      </c>
      <c r="H32" s="17">
        <v>7.39</v>
      </c>
    </row>
    <row r="33" spans="1:8" ht="25.5" x14ac:dyDescent="0.2">
      <c r="A33" s="24">
        <v>5</v>
      </c>
      <c r="B33" s="9" t="s">
        <v>55</v>
      </c>
      <c r="C33" s="9" t="s">
        <v>56</v>
      </c>
      <c r="D33" s="9" t="s">
        <v>23</v>
      </c>
      <c r="E33" s="25">
        <v>2500</v>
      </c>
      <c r="F33" s="26">
        <v>2526.6174999999998</v>
      </c>
      <c r="G33" s="27">
        <v>9.9135500000000001E-3</v>
      </c>
      <c r="H33" s="17">
        <v>6.48</v>
      </c>
    </row>
    <row r="34" spans="1:8" x14ac:dyDescent="0.2">
      <c r="A34" s="24">
        <v>6</v>
      </c>
      <c r="B34" s="9" t="s">
        <v>493</v>
      </c>
      <c r="C34" s="9" t="s">
        <v>494</v>
      </c>
      <c r="D34" s="9" t="s">
        <v>23</v>
      </c>
      <c r="E34" s="25">
        <v>250</v>
      </c>
      <c r="F34" s="26">
        <v>2524.4425000000001</v>
      </c>
      <c r="G34" s="27">
        <v>9.9050100000000006E-3</v>
      </c>
      <c r="H34" s="17">
        <v>7.1265999999999998</v>
      </c>
    </row>
    <row r="35" spans="1:8" x14ac:dyDescent="0.2">
      <c r="A35" s="24">
        <v>7</v>
      </c>
      <c r="B35" s="9" t="s">
        <v>495</v>
      </c>
      <c r="C35" s="9" t="s">
        <v>496</v>
      </c>
      <c r="D35" s="9" t="s">
        <v>23</v>
      </c>
      <c r="E35" s="25">
        <v>250</v>
      </c>
      <c r="F35" s="26">
        <v>2503.5675000000001</v>
      </c>
      <c r="G35" s="27">
        <v>9.8231099999999995E-3</v>
      </c>
      <c r="H35" s="17">
        <v>6.35</v>
      </c>
    </row>
    <row r="36" spans="1:8" ht="25.5" x14ac:dyDescent="0.2">
      <c r="A36" s="24">
        <v>8</v>
      </c>
      <c r="B36" s="9" t="s">
        <v>304</v>
      </c>
      <c r="C36" s="9" t="s">
        <v>305</v>
      </c>
      <c r="D36" s="9" t="s">
        <v>292</v>
      </c>
      <c r="E36" s="25">
        <v>200</v>
      </c>
      <c r="F36" s="26">
        <v>2008.9639999999999</v>
      </c>
      <c r="G36" s="27">
        <v>7.8824600000000009E-3</v>
      </c>
      <c r="H36" s="17">
        <v>6.77</v>
      </c>
    </row>
    <row r="37" spans="1:8" x14ac:dyDescent="0.2">
      <c r="A37" s="24">
        <v>9</v>
      </c>
      <c r="B37" s="9" t="s">
        <v>280</v>
      </c>
      <c r="C37" s="9" t="s">
        <v>281</v>
      </c>
      <c r="D37" s="9" t="s">
        <v>282</v>
      </c>
      <c r="E37" s="25">
        <v>1600</v>
      </c>
      <c r="F37" s="26">
        <v>1620.0976000000001</v>
      </c>
      <c r="G37" s="27">
        <v>6.3566899999999999E-3</v>
      </c>
      <c r="H37" s="17">
        <v>6.88</v>
      </c>
    </row>
    <row r="38" spans="1:8" x14ac:dyDescent="0.2">
      <c r="A38" s="24">
        <v>10</v>
      </c>
      <c r="B38" s="9" t="s">
        <v>306</v>
      </c>
      <c r="C38" s="9" t="s">
        <v>307</v>
      </c>
      <c r="D38" s="9" t="s">
        <v>292</v>
      </c>
      <c r="E38" s="25">
        <v>1500</v>
      </c>
      <c r="F38" s="26">
        <v>1522.8164999999999</v>
      </c>
      <c r="G38" s="27">
        <v>5.9749900000000003E-3</v>
      </c>
      <c r="H38" s="17">
        <v>7.93</v>
      </c>
    </row>
    <row r="39" spans="1:8" x14ac:dyDescent="0.2">
      <c r="A39" s="24">
        <v>11</v>
      </c>
      <c r="B39" s="9" t="s">
        <v>497</v>
      </c>
      <c r="C39" s="9" t="s">
        <v>498</v>
      </c>
      <c r="D39" s="9" t="s">
        <v>23</v>
      </c>
      <c r="E39" s="25">
        <v>150</v>
      </c>
      <c r="F39" s="26">
        <v>1513.644</v>
      </c>
      <c r="G39" s="27">
        <v>5.9389999999999998E-3</v>
      </c>
      <c r="H39" s="17">
        <v>6.86</v>
      </c>
    </row>
    <row r="40" spans="1:8" ht="25.5" x14ac:dyDescent="0.2">
      <c r="A40" s="24">
        <v>12</v>
      </c>
      <c r="B40" s="9" t="s">
        <v>499</v>
      </c>
      <c r="C40" s="9" t="s">
        <v>500</v>
      </c>
      <c r="D40" s="9" t="s">
        <v>292</v>
      </c>
      <c r="E40" s="25">
        <v>1300</v>
      </c>
      <c r="F40" s="26">
        <v>1302.7976000000001</v>
      </c>
      <c r="G40" s="27">
        <v>5.1117100000000002E-3</v>
      </c>
      <c r="H40" s="17">
        <v>7.2350000000000003</v>
      </c>
    </row>
    <row r="41" spans="1:8" ht="25.5" x14ac:dyDescent="0.2">
      <c r="A41" s="24">
        <v>13</v>
      </c>
      <c r="B41" s="9" t="s">
        <v>71</v>
      </c>
      <c r="C41" s="9" t="s">
        <v>72</v>
      </c>
      <c r="D41" s="9" t="s">
        <v>23</v>
      </c>
      <c r="E41" s="25">
        <v>1000</v>
      </c>
      <c r="F41" s="26">
        <v>1009.975</v>
      </c>
      <c r="G41" s="27">
        <v>3.9627799999999999E-3</v>
      </c>
      <c r="H41" s="17">
        <v>6.4588000000000001</v>
      </c>
    </row>
    <row r="42" spans="1:8" x14ac:dyDescent="0.2">
      <c r="A42" s="11"/>
      <c r="B42" s="11"/>
      <c r="C42" s="18" t="s">
        <v>11</v>
      </c>
      <c r="D42" s="11"/>
      <c r="E42" s="11" t="s">
        <v>12</v>
      </c>
      <c r="F42" s="23">
        <v>39745.364200000004</v>
      </c>
      <c r="G42" s="20">
        <v>0.15594665999999999</v>
      </c>
      <c r="H42" s="17" t="s">
        <v>12</v>
      </c>
    </row>
    <row r="43" spans="1:8" x14ac:dyDescent="0.2">
      <c r="A43" s="11"/>
      <c r="B43" s="11"/>
      <c r="C43" s="21"/>
      <c r="D43" s="11"/>
      <c r="E43" s="11"/>
      <c r="F43" s="22"/>
      <c r="G43" s="22"/>
      <c r="H43" s="17" t="s">
        <v>12</v>
      </c>
    </row>
    <row r="44" spans="1:8" x14ac:dyDescent="0.2">
      <c r="A44" s="11"/>
      <c r="B44" s="11"/>
      <c r="C44" s="18" t="s">
        <v>77</v>
      </c>
      <c r="D44" s="11"/>
      <c r="E44" s="11"/>
      <c r="F44" s="11"/>
      <c r="G44" s="11"/>
      <c r="H44" s="17" t="s">
        <v>12</v>
      </c>
    </row>
    <row r="45" spans="1:8" x14ac:dyDescent="0.2">
      <c r="A45" s="11"/>
      <c r="B45" s="11"/>
      <c r="C45" s="18" t="s">
        <v>11</v>
      </c>
      <c r="D45" s="11"/>
      <c r="E45" s="11" t="s">
        <v>12</v>
      </c>
      <c r="F45" s="19" t="s">
        <v>13</v>
      </c>
      <c r="G45" s="20">
        <v>0</v>
      </c>
      <c r="H45" s="17" t="s">
        <v>12</v>
      </c>
    </row>
    <row r="46" spans="1:8" x14ac:dyDescent="0.2">
      <c r="A46" s="11"/>
      <c r="B46" s="11"/>
      <c r="C46" s="21"/>
      <c r="D46" s="11"/>
      <c r="E46" s="11"/>
      <c r="F46" s="22"/>
      <c r="G46" s="22"/>
      <c r="H46" s="17" t="s">
        <v>12</v>
      </c>
    </row>
    <row r="47" spans="1:8" x14ac:dyDescent="0.2">
      <c r="A47" s="11"/>
      <c r="B47" s="11"/>
      <c r="C47" s="18" t="s">
        <v>78</v>
      </c>
      <c r="D47" s="11"/>
      <c r="E47" s="11"/>
      <c r="F47" s="11"/>
      <c r="G47" s="11"/>
      <c r="H47" s="17" t="s">
        <v>12</v>
      </c>
    </row>
    <row r="48" spans="1:8" x14ac:dyDescent="0.2">
      <c r="A48" s="11"/>
      <c r="B48" s="11"/>
      <c r="C48" s="18" t="s">
        <v>11</v>
      </c>
      <c r="D48" s="11"/>
      <c r="E48" s="11" t="s">
        <v>12</v>
      </c>
      <c r="F48" s="19" t="s">
        <v>13</v>
      </c>
      <c r="G48" s="20">
        <v>0</v>
      </c>
      <c r="H48" s="17" t="s">
        <v>12</v>
      </c>
    </row>
    <row r="49" spans="1:8" x14ac:dyDescent="0.2">
      <c r="A49" s="11"/>
      <c r="B49" s="11"/>
      <c r="C49" s="21"/>
      <c r="D49" s="11"/>
      <c r="E49" s="11"/>
      <c r="F49" s="22"/>
      <c r="G49" s="22"/>
      <c r="H49" s="17" t="s">
        <v>12</v>
      </c>
    </row>
    <row r="50" spans="1:8" x14ac:dyDescent="0.2">
      <c r="A50" s="11"/>
      <c r="B50" s="11"/>
      <c r="C50" s="18" t="s">
        <v>96</v>
      </c>
      <c r="D50" s="11"/>
      <c r="E50" s="11"/>
      <c r="F50" s="22"/>
      <c r="G50" s="22"/>
      <c r="H50" s="17" t="s">
        <v>12</v>
      </c>
    </row>
    <row r="51" spans="1:8" x14ac:dyDescent="0.2">
      <c r="A51" s="11"/>
      <c r="B51" s="11"/>
      <c r="C51" s="18" t="s">
        <v>11</v>
      </c>
      <c r="D51" s="11"/>
      <c r="E51" s="11" t="s">
        <v>12</v>
      </c>
      <c r="F51" s="19" t="s">
        <v>13</v>
      </c>
      <c r="G51" s="20">
        <v>0</v>
      </c>
      <c r="H51" s="17" t="s">
        <v>12</v>
      </c>
    </row>
    <row r="52" spans="1:8" x14ac:dyDescent="0.2">
      <c r="A52" s="11"/>
      <c r="B52" s="11"/>
      <c r="C52" s="21"/>
      <c r="D52" s="11"/>
      <c r="E52" s="11"/>
      <c r="F52" s="22"/>
      <c r="G52" s="22"/>
      <c r="H52" s="17" t="s">
        <v>12</v>
      </c>
    </row>
    <row r="53" spans="1:8" x14ac:dyDescent="0.2">
      <c r="A53" s="11"/>
      <c r="B53" s="11"/>
      <c r="C53" s="18" t="s">
        <v>97</v>
      </c>
      <c r="D53" s="11"/>
      <c r="E53" s="11"/>
      <c r="F53" s="23">
        <v>39745.364200000004</v>
      </c>
      <c r="G53" s="20">
        <v>0.15594665999999999</v>
      </c>
      <c r="H53" s="17" t="s">
        <v>12</v>
      </c>
    </row>
    <row r="54" spans="1:8" x14ac:dyDescent="0.2">
      <c r="A54" s="11"/>
      <c r="B54" s="11"/>
      <c r="C54" s="21"/>
      <c r="D54" s="11"/>
      <c r="E54" s="11"/>
      <c r="F54" s="22"/>
      <c r="G54" s="22"/>
      <c r="H54" s="17" t="s">
        <v>12</v>
      </c>
    </row>
    <row r="55" spans="1:8" x14ac:dyDescent="0.2">
      <c r="A55" s="11"/>
      <c r="B55" s="11"/>
      <c r="C55" s="18" t="s">
        <v>98</v>
      </c>
      <c r="D55" s="11"/>
      <c r="E55" s="11"/>
      <c r="F55" s="22"/>
      <c r="G55" s="22"/>
      <c r="H55" s="17" t="s">
        <v>12</v>
      </c>
    </row>
    <row r="56" spans="1:8" x14ac:dyDescent="0.2">
      <c r="A56" s="11"/>
      <c r="B56" s="11"/>
      <c r="C56" s="18" t="s">
        <v>99</v>
      </c>
      <c r="D56" s="11"/>
      <c r="E56" s="11"/>
      <c r="F56" s="22"/>
      <c r="G56" s="22"/>
      <c r="H56" s="17" t="s">
        <v>12</v>
      </c>
    </row>
    <row r="57" spans="1:8" x14ac:dyDescent="0.2">
      <c r="A57" s="24">
        <v>1</v>
      </c>
      <c r="B57" s="9" t="s">
        <v>100</v>
      </c>
      <c r="C57" s="9" t="s">
        <v>101</v>
      </c>
      <c r="D57" s="9" t="s">
        <v>102</v>
      </c>
      <c r="E57" s="25">
        <v>3000</v>
      </c>
      <c r="F57" s="26">
        <v>14649.87</v>
      </c>
      <c r="G57" s="27">
        <v>5.7480879999999998E-2</v>
      </c>
      <c r="H57" s="17">
        <v>5.8548</v>
      </c>
    </row>
    <row r="58" spans="1:8" x14ac:dyDescent="0.2">
      <c r="A58" s="24">
        <v>2</v>
      </c>
      <c r="B58" s="9" t="s">
        <v>501</v>
      </c>
      <c r="C58" s="9" t="s">
        <v>502</v>
      </c>
      <c r="D58" s="9" t="s">
        <v>108</v>
      </c>
      <c r="E58" s="25">
        <v>2000</v>
      </c>
      <c r="F58" s="26">
        <v>9775.99</v>
      </c>
      <c r="G58" s="27">
        <v>3.8357509999999997E-2</v>
      </c>
      <c r="H58" s="17">
        <v>5.8898999999999999</v>
      </c>
    </row>
    <row r="59" spans="1:8" x14ac:dyDescent="0.2">
      <c r="A59" s="24">
        <v>3</v>
      </c>
      <c r="B59" s="9" t="s">
        <v>342</v>
      </c>
      <c r="C59" s="9" t="s">
        <v>343</v>
      </c>
      <c r="D59" s="9" t="s">
        <v>108</v>
      </c>
      <c r="E59" s="25">
        <v>1500</v>
      </c>
      <c r="F59" s="26">
        <v>7425.2924999999996</v>
      </c>
      <c r="G59" s="27">
        <v>2.9134210000000001E-2</v>
      </c>
      <c r="H59" s="17">
        <v>5.6498999999999997</v>
      </c>
    </row>
    <row r="60" spans="1:8" x14ac:dyDescent="0.2">
      <c r="A60" s="24">
        <v>4</v>
      </c>
      <c r="B60" s="9" t="s">
        <v>503</v>
      </c>
      <c r="C60" s="9" t="s">
        <v>504</v>
      </c>
      <c r="D60" s="9" t="s">
        <v>108</v>
      </c>
      <c r="E60" s="25">
        <v>1500</v>
      </c>
      <c r="F60" s="26">
        <v>7340.625</v>
      </c>
      <c r="G60" s="27">
        <v>2.8802000000000001E-2</v>
      </c>
      <c r="H60" s="17">
        <v>5.8700999999999999</v>
      </c>
    </row>
    <row r="61" spans="1:8" x14ac:dyDescent="0.2">
      <c r="A61" s="24">
        <v>5</v>
      </c>
      <c r="B61" s="9" t="s">
        <v>236</v>
      </c>
      <c r="C61" s="9" t="s">
        <v>237</v>
      </c>
      <c r="D61" s="9" t="s">
        <v>108</v>
      </c>
      <c r="E61" s="25">
        <v>1200</v>
      </c>
      <c r="F61" s="26">
        <v>5854.3739999999998</v>
      </c>
      <c r="G61" s="27">
        <v>2.2970480000000001E-2</v>
      </c>
      <c r="H61" s="17">
        <v>5.8574999999999999</v>
      </c>
    </row>
    <row r="62" spans="1:8" x14ac:dyDescent="0.2">
      <c r="A62" s="24">
        <v>6</v>
      </c>
      <c r="B62" s="9" t="s">
        <v>505</v>
      </c>
      <c r="C62" s="9" t="s">
        <v>506</v>
      </c>
      <c r="D62" s="9" t="s">
        <v>108</v>
      </c>
      <c r="E62" s="25">
        <v>1000</v>
      </c>
      <c r="F62" s="26">
        <v>4906.16</v>
      </c>
      <c r="G62" s="27">
        <v>1.9250030000000001E-2</v>
      </c>
      <c r="H62" s="17">
        <v>5.8667999999999996</v>
      </c>
    </row>
    <row r="63" spans="1:8" x14ac:dyDescent="0.2">
      <c r="A63" s="24">
        <v>7</v>
      </c>
      <c r="B63" s="9" t="s">
        <v>507</v>
      </c>
      <c r="C63" s="9" t="s">
        <v>508</v>
      </c>
      <c r="D63" s="9" t="s">
        <v>108</v>
      </c>
      <c r="E63" s="25">
        <v>1000</v>
      </c>
      <c r="F63" s="26">
        <v>4905.3850000000002</v>
      </c>
      <c r="G63" s="27">
        <v>1.9246989999999999E-2</v>
      </c>
      <c r="H63" s="17">
        <v>5.8667999999999996</v>
      </c>
    </row>
    <row r="64" spans="1:8" x14ac:dyDescent="0.2">
      <c r="A64" s="24">
        <v>8</v>
      </c>
      <c r="B64" s="9" t="s">
        <v>509</v>
      </c>
      <c r="C64" s="9" t="s">
        <v>510</v>
      </c>
      <c r="D64" s="9" t="s">
        <v>105</v>
      </c>
      <c r="E64" s="25">
        <v>1000</v>
      </c>
      <c r="F64" s="26">
        <v>4889.5050000000001</v>
      </c>
      <c r="G64" s="27">
        <v>1.9184679999999999E-2</v>
      </c>
      <c r="H64" s="17">
        <v>5.85</v>
      </c>
    </row>
    <row r="65" spans="1:8" x14ac:dyDescent="0.2">
      <c r="A65" s="24">
        <v>9</v>
      </c>
      <c r="B65" s="9" t="s">
        <v>511</v>
      </c>
      <c r="C65" s="9" t="s">
        <v>512</v>
      </c>
      <c r="D65" s="9" t="s">
        <v>108</v>
      </c>
      <c r="E65" s="25">
        <v>1000</v>
      </c>
      <c r="F65" s="26">
        <v>4883.0649999999996</v>
      </c>
      <c r="G65" s="27">
        <v>1.9159410000000002E-2</v>
      </c>
      <c r="H65" s="17">
        <v>5.8661000000000003</v>
      </c>
    </row>
    <row r="66" spans="1:8" x14ac:dyDescent="0.2">
      <c r="A66" s="24">
        <v>10</v>
      </c>
      <c r="B66" s="9" t="s">
        <v>208</v>
      </c>
      <c r="C66" s="9" t="s">
        <v>209</v>
      </c>
      <c r="D66" s="9" t="s">
        <v>108</v>
      </c>
      <c r="E66" s="25">
        <v>1000</v>
      </c>
      <c r="F66" s="26">
        <v>4882.1049999999996</v>
      </c>
      <c r="G66" s="27">
        <v>1.9155640000000002E-2</v>
      </c>
      <c r="H66" s="17">
        <v>6.2072000000000003</v>
      </c>
    </row>
    <row r="67" spans="1:8" x14ac:dyDescent="0.2">
      <c r="A67" s="24">
        <v>11</v>
      </c>
      <c r="B67" s="9" t="s">
        <v>210</v>
      </c>
      <c r="C67" s="9" t="s">
        <v>211</v>
      </c>
      <c r="D67" s="9" t="s">
        <v>108</v>
      </c>
      <c r="E67" s="25">
        <v>1000</v>
      </c>
      <c r="F67" s="26">
        <v>4879.125</v>
      </c>
      <c r="G67" s="27">
        <v>1.914395E-2</v>
      </c>
      <c r="H67" s="17">
        <v>5.9100999999999999</v>
      </c>
    </row>
    <row r="68" spans="1:8" x14ac:dyDescent="0.2">
      <c r="A68" s="24">
        <v>12</v>
      </c>
      <c r="B68" s="9" t="s">
        <v>513</v>
      </c>
      <c r="C68" s="9" t="s">
        <v>514</v>
      </c>
      <c r="D68" s="9" t="s">
        <v>108</v>
      </c>
      <c r="E68" s="25">
        <v>1000</v>
      </c>
      <c r="F68" s="26">
        <v>4839.57</v>
      </c>
      <c r="G68" s="27">
        <v>1.8988749999999999E-2</v>
      </c>
      <c r="H68" s="17">
        <v>5.99</v>
      </c>
    </row>
    <row r="69" spans="1:8" x14ac:dyDescent="0.2">
      <c r="A69" s="24">
        <v>13</v>
      </c>
      <c r="B69" s="9" t="s">
        <v>212</v>
      </c>
      <c r="C69" s="9" t="s">
        <v>213</v>
      </c>
      <c r="D69" s="9" t="s">
        <v>108</v>
      </c>
      <c r="E69" s="25">
        <v>1000</v>
      </c>
      <c r="F69" s="26">
        <v>4838.41</v>
      </c>
      <c r="G69" s="27">
        <v>1.89842E-2</v>
      </c>
      <c r="H69" s="17">
        <v>6.0049999999999999</v>
      </c>
    </row>
    <row r="70" spans="1:8" x14ac:dyDescent="0.2">
      <c r="A70" s="24">
        <v>14</v>
      </c>
      <c r="B70" s="9" t="s">
        <v>515</v>
      </c>
      <c r="C70" s="9" t="s">
        <v>516</v>
      </c>
      <c r="D70" s="9" t="s">
        <v>108</v>
      </c>
      <c r="E70" s="25">
        <v>1000</v>
      </c>
      <c r="F70" s="26">
        <v>4830.6750000000002</v>
      </c>
      <c r="G70" s="27">
        <v>1.8953850000000001E-2</v>
      </c>
      <c r="H70" s="17">
        <v>6.3025000000000002</v>
      </c>
    </row>
    <row r="71" spans="1:8" x14ac:dyDescent="0.2">
      <c r="A71" s="24">
        <v>15</v>
      </c>
      <c r="B71" s="9" t="s">
        <v>218</v>
      </c>
      <c r="C71" s="9" t="s">
        <v>219</v>
      </c>
      <c r="D71" s="9" t="s">
        <v>108</v>
      </c>
      <c r="E71" s="25">
        <v>1000</v>
      </c>
      <c r="F71" s="26">
        <v>4828.62</v>
      </c>
      <c r="G71" s="27">
        <v>1.8945790000000001E-2</v>
      </c>
      <c r="H71" s="17">
        <v>5.9701000000000004</v>
      </c>
    </row>
    <row r="72" spans="1:8" x14ac:dyDescent="0.2">
      <c r="A72" s="24">
        <v>16</v>
      </c>
      <c r="B72" s="9" t="s">
        <v>182</v>
      </c>
      <c r="C72" s="9" t="s">
        <v>183</v>
      </c>
      <c r="D72" s="9" t="s">
        <v>108</v>
      </c>
      <c r="E72" s="25">
        <v>1000</v>
      </c>
      <c r="F72" s="26">
        <v>4806.2700000000004</v>
      </c>
      <c r="G72" s="27">
        <v>1.8858090000000001E-2</v>
      </c>
      <c r="H72" s="17">
        <v>6.0049999999999999</v>
      </c>
    </row>
    <row r="73" spans="1:8" ht="25.5" x14ac:dyDescent="0.2">
      <c r="A73" s="24">
        <v>17</v>
      </c>
      <c r="B73" s="9" t="s">
        <v>242</v>
      </c>
      <c r="C73" s="9" t="s">
        <v>243</v>
      </c>
      <c r="D73" s="9" t="s">
        <v>108</v>
      </c>
      <c r="E73" s="25">
        <v>800</v>
      </c>
      <c r="F73" s="26">
        <v>3868.5479999999998</v>
      </c>
      <c r="G73" s="27">
        <v>1.5178809999999999E-2</v>
      </c>
      <c r="H73" s="17">
        <v>6.05</v>
      </c>
    </row>
    <row r="74" spans="1:8" ht="25.5" x14ac:dyDescent="0.2">
      <c r="A74" s="24">
        <v>18</v>
      </c>
      <c r="B74" s="9" t="s">
        <v>314</v>
      </c>
      <c r="C74" s="9" t="s">
        <v>315</v>
      </c>
      <c r="D74" s="9" t="s">
        <v>108</v>
      </c>
      <c r="E74" s="25">
        <v>800</v>
      </c>
      <c r="F74" s="26">
        <v>3846.9639999999999</v>
      </c>
      <c r="G74" s="27">
        <v>1.5094120000000001E-2</v>
      </c>
      <c r="H74" s="17">
        <v>6.05</v>
      </c>
    </row>
    <row r="75" spans="1:8" x14ac:dyDescent="0.2">
      <c r="A75" s="24">
        <v>19</v>
      </c>
      <c r="B75" s="9" t="s">
        <v>238</v>
      </c>
      <c r="C75" s="9" t="s">
        <v>239</v>
      </c>
      <c r="D75" s="9" t="s">
        <v>108</v>
      </c>
      <c r="E75" s="25">
        <v>700</v>
      </c>
      <c r="F75" s="26">
        <v>3390.3589999999999</v>
      </c>
      <c r="G75" s="27">
        <v>1.330256E-2</v>
      </c>
      <c r="H75" s="17">
        <v>6.18</v>
      </c>
    </row>
    <row r="76" spans="1:8" x14ac:dyDescent="0.2">
      <c r="A76" s="24">
        <v>20</v>
      </c>
      <c r="B76" s="9" t="s">
        <v>240</v>
      </c>
      <c r="C76" s="9" t="s">
        <v>241</v>
      </c>
      <c r="D76" s="9" t="s">
        <v>108</v>
      </c>
      <c r="E76" s="25">
        <v>700</v>
      </c>
      <c r="F76" s="26">
        <v>3376.4360000000001</v>
      </c>
      <c r="G76" s="27">
        <v>1.324793E-2</v>
      </c>
      <c r="H76" s="17">
        <v>5.99</v>
      </c>
    </row>
    <row r="77" spans="1:8" x14ac:dyDescent="0.2">
      <c r="A77" s="24">
        <v>21</v>
      </c>
      <c r="B77" s="9" t="s">
        <v>310</v>
      </c>
      <c r="C77" s="9" t="s">
        <v>311</v>
      </c>
      <c r="D77" s="9" t="s">
        <v>108</v>
      </c>
      <c r="E77" s="25">
        <v>600</v>
      </c>
      <c r="F77" s="26">
        <v>2843.6880000000001</v>
      </c>
      <c r="G77" s="27">
        <v>1.115762E-2</v>
      </c>
      <c r="H77" s="17">
        <v>6.41</v>
      </c>
    </row>
    <row r="78" spans="1:8" x14ac:dyDescent="0.2">
      <c r="A78" s="24">
        <v>22</v>
      </c>
      <c r="B78" s="9" t="s">
        <v>517</v>
      </c>
      <c r="C78" s="9" t="s">
        <v>518</v>
      </c>
      <c r="D78" s="9" t="s">
        <v>108</v>
      </c>
      <c r="E78" s="25">
        <v>500</v>
      </c>
      <c r="F78" s="26">
        <v>2448.0324999999998</v>
      </c>
      <c r="G78" s="27">
        <v>9.6052099999999994E-3</v>
      </c>
      <c r="H78" s="17">
        <v>5.8700999999999999</v>
      </c>
    </row>
    <row r="79" spans="1:8" x14ac:dyDescent="0.2">
      <c r="A79" s="24">
        <v>23</v>
      </c>
      <c r="B79" s="9" t="s">
        <v>519</v>
      </c>
      <c r="C79" s="9" t="s">
        <v>520</v>
      </c>
      <c r="D79" s="9" t="s">
        <v>108</v>
      </c>
      <c r="E79" s="25">
        <v>500</v>
      </c>
      <c r="F79" s="26">
        <v>2444.29</v>
      </c>
      <c r="G79" s="27">
        <v>9.5905199999999999E-3</v>
      </c>
      <c r="H79" s="17">
        <v>5.8998999999999997</v>
      </c>
    </row>
    <row r="80" spans="1:8" x14ac:dyDescent="0.2">
      <c r="A80" s="24">
        <v>24</v>
      </c>
      <c r="B80" s="9" t="s">
        <v>186</v>
      </c>
      <c r="C80" s="9" t="s">
        <v>187</v>
      </c>
      <c r="D80" s="9" t="s">
        <v>108</v>
      </c>
      <c r="E80" s="25">
        <v>500</v>
      </c>
      <c r="F80" s="26">
        <v>2444.2750000000001</v>
      </c>
      <c r="G80" s="27">
        <v>9.5904700000000002E-3</v>
      </c>
      <c r="H80" s="17">
        <v>5.8601000000000001</v>
      </c>
    </row>
    <row r="81" spans="1:8" x14ac:dyDescent="0.2">
      <c r="A81" s="24">
        <v>25</v>
      </c>
      <c r="B81" s="9" t="s">
        <v>103</v>
      </c>
      <c r="C81" s="9" t="s">
        <v>104</v>
      </c>
      <c r="D81" s="9" t="s">
        <v>105</v>
      </c>
      <c r="E81" s="25">
        <v>500</v>
      </c>
      <c r="F81" s="26">
        <v>2439.4</v>
      </c>
      <c r="G81" s="27">
        <v>9.5713399999999994E-3</v>
      </c>
      <c r="H81" s="17">
        <v>5.85</v>
      </c>
    </row>
    <row r="82" spans="1:8" ht="25.5" x14ac:dyDescent="0.2">
      <c r="A82" s="24">
        <v>26</v>
      </c>
      <c r="B82" s="9" t="s">
        <v>521</v>
      </c>
      <c r="C82" s="9" t="s">
        <v>522</v>
      </c>
      <c r="D82" s="9" t="s">
        <v>108</v>
      </c>
      <c r="E82" s="25">
        <v>500</v>
      </c>
      <c r="F82" s="26">
        <v>2427.1799999999998</v>
      </c>
      <c r="G82" s="27">
        <v>9.5233899999999996E-3</v>
      </c>
      <c r="H82" s="17">
        <v>6.05</v>
      </c>
    </row>
    <row r="83" spans="1:8" ht="25.5" x14ac:dyDescent="0.2">
      <c r="A83" s="24">
        <v>27</v>
      </c>
      <c r="B83" s="9" t="s">
        <v>214</v>
      </c>
      <c r="C83" s="9" t="s">
        <v>215</v>
      </c>
      <c r="D83" s="9" t="s">
        <v>108</v>
      </c>
      <c r="E83" s="25">
        <v>500</v>
      </c>
      <c r="F83" s="26">
        <v>2418.23</v>
      </c>
      <c r="G83" s="27">
        <v>9.48827E-3</v>
      </c>
      <c r="H83" s="17">
        <v>6.05</v>
      </c>
    </row>
    <row r="84" spans="1:8" x14ac:dyDescent="0.2">
      <c r="A84" s="24">
        <v>28</v>
      </c>
      <c r="B84" s="9" t="s">
        <v>224</v>
      </c>
      <c r="C84" s="9" t="s">
        <v>225</v>
      </c>
      <c r="D84" s="9" t="s">
        <v>108</v>
      </c>
      <c r="E84" s="25">
        <v>500</v>
      </c>
      <c r="F84" s="26">
        <v>2409.3649999999998</v>
      </c>
      <c r="G84" s="27">
        <v>9.4534900000000002E-3</v>
      </c>
      <c r="H84" s="17">
        <v>6.1849999999999996</v>
      </c>
    </row>
    <row r="85" spans="1:8" x14ac:dyDescent="0.2">
      <c r="A85" s="24">
        <v>29</v>
      </c>
      <c r="B85" s="9" t="s">
        <v>226</v>
      </c>
      <c r="C85" s="9" t="s">
        <v>227</v>
      </c>
      <c r="D85" s="9" t="s">
        <v>108</v>
      </c>
      <c r="E85" s="25">
        <v>500</v>
      </c>
      <c r="F85" s="26">
        <v>2405.5700000000002</v>
      </c>
      <c r="G85" s="27">
        <v>9.4386000000000001E-3</v>
      </c>
      <c r="H85" s="17">
        <v>5.9701000000000004</v>
      </c>
    </row>
    <row r="86" spans="1:8" ht="25.5" x14ac:dyDescent="0.2">
      <c r="A86" s="24">
        <v>30</v>
      </c>
      <c r="B86" s="9" t="s">
        <v>190</v>
      </c>
      <c r="C86" s="9" t="s">
        <v>191</v>
      </c>
      <c r="D86" s="9" t="s">
        <v>108</v>
      </c>
      <c r="E86" s="25">
        <v>500</v>
      </c>
      <c r="F86" s="26">
        <v>2405.5025000000001</v>
      </c>
      <c r="G86" s="27">
        <v>9.4383399999999999E-3</v>
      </c>
      <c r="H86" s="17">
        <v>6.05</v>
      </c>
    </row>
    <row r="87" spans="1:8" x14ac:dyDescent="0.2">
      <c r="A87" s="24">
        <v>31</v>
      </c>
      <c r="B87" s="9" t="s">
        <v>228</v>
      </c>
      <c r="C87" s="9" t="s">
        <v>229</v>
      </c>
      <c r="D87" s="9" t="s">
        <v>108</v>
      </c>
      <c r="E87" s="25">
        <v>500</v>
      </c>
      <c r="F87" s="26">
        <v>2405.2649999999999</v>
      </c>
      <c r="G87" s="27">
        <v>9.4374000000000003E-3</v>
      </c>
      <c r="H87" s="17">
        <v>5.99</v>
      </c>
    </row>
    <row r="88" spans="1:8" ht="25.5" x14ac:dyDescent="0.2">
      <c r="A88" s="24">
        <v>32</v>
      </c>
      <c r="B88" s="9" t="s">
        <v>523</v>
      </c>
      <c r="C88" s="9" t="s">
        <v>524</v>
      </c>
      <c r="D88" s="9" t="s">
        <v>108</v>
      </c>
      <c r="E88" s="25">
        <v>500</v>
      </c>
      <c r="F88" s="26">
        <v>2405.12</v>
      </c>
      <c r="G88" s="27">
        <v>9.4368400000000002E-3</v>
      </c>
      <c r="H88" s="17">
        <v>6.05</v>
      </c>
    </row>
    <row r="89" spans="1:8" x14ac:dyDescent="0.2">
      <c r="A89" s="24">
        <v>33</v>
      </c>
      <c r="B89" s="9" t="s">
        <v>230</v>
      </c>
      <c r="C89" s="9" t="s">
        <v>231</v>
      </c>
      <c r="D89" s="9" t="s">
        <v>108</v>
      </c>
      <c r="E89" s="25">
        <v>500</v>
      </c>
      <c r="F89" s="26">
        <v>2375.1424999999999</v>
      </c>
      <c r="G89" s="27">
        <v>9.3192099999999996E-3</v>
      </c>
      <c r="H89" s="17">
        <v>6.25</v>
      </c>
    </row>
    <row r="90" spans="1:8" ht="25.5" x14ac:dyDescent="0.2">
      <c r="A90" s="24">
        <v>34</v>
      </c>
      <c r="B90" s="9" t="s">
        <v>316</v>
      </c>
      <c r="C90" s="9" t="s">
        <v>317</v>
      </c>
      <c r="D90" s="9" t="s">
        <v>108</v>
      </c>
      <c r="E90" s="25">
        <v>400</v>
      </c>
      <c r="F90" s="26">
        <v>1919.81</v>
      </c>
      <c r="G90" s="27">
        <v>7.5326500000000001E-3</v>
      </c>
      <c r="H90" s="17">
        <v>6.05</v>
      </c>
    </row>
    <row r="91" spans="1:8" x14ac:dyDescent="0.2">
      <c r="A91" s="24">
        <v>35</v>
      </c>
      <c r="B91" s="9" t="s">
        <v>312</v>
      </c>
      <c r="C91" s="9" t="s">
        <v>313</v>
      </c>
      <c r="D91" s="9" t="s">
        <v>108</v>
      </c>
      <c r="E91" s="25">
        <v>300</v>
      </c>
      <c r="F91" s="26">
        <v>1450.9034999999999</v>
      </c>
      <c r="G91" s="27">
        <v>5.6928300000000003E-3</v>
      </c>
      <c r="H91" s="17">
        <v>6.0250000000000004</v>
      </c>
    </row>
    <row r="92" spans="1:8" ht="25.5" x14ac:dyDescent="0.2">
      <c r="A92" s="24">
        <v>36</v>
      </c>
      <c r="B92" s="9" t="s">
        <v>198</v>
      </c>
      <c r="C92" s="9" t="s">
        <v>199</v>
      </c>
      <c r="D92" s="9" t="s">
        <v>108</v>
      </c>
      <c r="E92" s="25">
        <v>100</v>
      </c>
      <c r="F92" s="26">
        <v>479.87599999999998</v>
      </c>
      <c r="G92" s="27">
        <v>1.8828600000000001E-3</v>
      </c>
      <c r="H92" s="17">
        <v>6.05</v>
      </c>
    </row>
    <row r="93" spans="1:8" x14ac:dyDescent="0.2">
      <c r="A93" s="11"/>
      <c r="B93" s="11"/>
      <c r="C93" s="18" t="s">
        <v>11</v>
      </c>
      <c r="D93" s="11"/>
      <c r="E93" s="11" t="s">
        <v>12</v>
      </c>
      <c r="F93" s="23">
        <v>148738.99849999999</v>
      </c>
      <c r="G93" s="20">
        <v>0.58359892000000002</v>
      </c>
      <c r="H93" s="17" t="s">
        <v>12</v>
      </c>
    </row>
    <row r="94" spans="1:8" x14ac:dyDescent="0.2">
      <c r="A94" s="11"/>
      <c r="B94" s="11"/>
      <c r="C94" s="21"/>
      <c r="D94" s="11"/>
      <c r="E94" s="11"/>
      <c r="F94" s="22"/>
      <c r="G94" s="22"/>
      <c r="H94" s="17" t="s">
        <v>12</v>
      </c>
    </row>
    <row r="95" spans="1:8" x14ac:dyDescent="0.2">
      <c r="A95" s="11"/>
      <c r="B95" s="11"/>
      <c r="C95" s="18" t="s">
        <v>109</v>
      </c>
      <c r="D95" s="11"/>
      <c r="E95" s="11"/>
      <c r="F95" s="22"/>
      <c r="G95" s="22"/>
      <c r="H95" s="17" t="s">
        <v>12</v>
      </c>
    </row>
    <row r="96" spans="1:8" ht="25.5" x14ac:dyDescent="0.2">
      <c r="A96" s="24">
        <v>1</v>
      </c>
      <c r="B96" s="9" t="s">
        <v>262</v>
      </c>
      <c r="C96" s="9" t="s">
        <v>263</v>
      </c>
      <c r="D96" s="9" t="s">
        <v>108</v>
      </c>
      <c r="E96" s="25">
        <v>1100</v>
      </c>
      <c r="F96" s="26">
        <v>5291.77</v>
      </c>
      <c r="G96" s="27">
        <v>2.076302E-2</v>
      </c>
      <c r="H96" s="17">
        <v>6.7750000000000004</v>
      </c>
    </row>
    <row r="97" spans="1:8" x14ac:dyDescent="0.2">
      <c r="A97" s="24">
        <v>2</v>
      </c>
      <c r="B97" s="9" t="s">
        <v>525</v>
      </c>
      <c r="C97" s="9" t="s">
        <v>526</v>
      </c>
      <c r="D97" s="9" t="s">
        <v>108</v>
      </c>
      <c r="E97" s="25">
        <v>1000</v>
      </c>
      <c r="F97" s="26">
        <v>4720.0550000000003</v>
      </c>
      <c r="G97" s="27">
        <v>1.8519819999999999E-2</v>
      </c>
      <c r="H97" s="17">
        <v>6.6</v>
      </c>
    </row>
    <row r="98" spans="1:8" x14ac:dyDescent="0.2">
      <c r="A98" s="24">
        <v>3</v>
      </c>
      <c r="B98" s="9" t="s">
        <v>270</v>
      </c>
      <c r="C98" s="9" t="s">
        <v>271</v>
      </c>
      <c r="D98" s="9" t="s">
        <v>108</v>
      </c>
      <c r="E98" s="25">
        <v>800</v>
      </c>
      <c r="F98" s="26">
        <v>3962.5320000000002</v>
      </c>
      <c r="G98" s="27">
        <v>1.554757E-2</v>
      </c>
      <c r="H98" s="17">
        <v>6.2750000000000004</v>
      </c>
    </row>
    <row r="99" spans="1:8" ht="25.5" x14ac:dyDescent="0.2">
      <c r="A99" s="24">
        <v>4</v>
      </c>
      <c r="B99" s="9" t="s">
        <v>264</v>
      </c>
      <c r="C99" s="9" t="s">
        <v>265</v>
      </c>
      <c r="D99" s="9" t="s">
        <v>108</v>
      </c>
      <c r="E99" s="25">
        <v>700</v>
      </c>
      <c r="F99" s="26">
        <v>3426.8395</v>
      </c>
      <c r="G99" s="27">
        <v>1.34457E-2</v>
      </c>
      <c r="H99" s="17">
        <v>6.44</v>
      </c>
    </row>
    <row r="100" spans="1:8" x14ac:dyDescent="0.2">
      <c r="A100" s="24">
        <v>5</v>
      </c>
      <c r="B100" s="9" t="s">
        <v>266</v>
      </c>
      <c r="C100" s="9" t="s">
        <v>267</v>
      </c>
      <c r="D100" s="9" t="s">
        <v>108</v>
      </c>
      <c r="E100" s="25">
        <v>700</v>
      </c>
      <c r="F100" s="26">
        <v>3411.0859999999998</v>
      </c>
      <c r="G100" s="27">
        <v>1.3383890000000001E-2</v>
      </c>
      <c r="H100" s="17">
        <v>6.7</v>
      </c>
    </row>
    <row r="101" spans="1:8" x14ac:dyDescent="0.2">
      <c r="A101" s="24">
        <v>6</v>
      </c>
      <c r="B101" s="9" t="s">
        <v>268</v>
      </c>
      <c r="C101" s="9" t="s">
        <v>269</v>
      </c>
      <c r="D101" s="9" t="s">
        <v>108</v>
      </c>
      <c r="E101" s="25">
        <v>700</v>
      </c>
      <c r="F101" s="26">
        <v>3366.3314999999998</v>
      </c>
      <c r="G101" s="27">
        <v>1.3208289999999999E-2</v>
      </c>
      <c r="H101" s="17">
        <v>7.07</v>
      </c>
    </row>
    <row r="102" spans="1:8" ht="25.5" x14ac:dyDescent="0.2">
      <c r="A102" s="24">
        <v>7</v>
      </c>
      <c r="B102" s="9" t="s">
        <v>272</v>
      </c>
      <c r="C102" s="9" t="s">
        <v>273</v>
      </c>
      <c r="D102" s="9" t="s">
        <v>108</v>
      </c>
      <c r="E102" s="25">
        <v>600</v>
      </c>
      <c r="F102" s="26">
        <v>2833.5839999999998</v>
      </c>
      <c r="G102" s="27">
        <v>1.111798E-2</v>
      </c>
      <c r="H102" s="17">
        <v>6.915</v>
      </c>
    </row>
    <row r="103" spans="1:8" x14ac:dyDescent="0.2">
      <c r="A103" s="24">
        <v>8</v>
      </c>
      <c r="B103" s="9" t="s">
        <v>254</v>
      </c>
      <c r="C103" s="9" t="s">
        <v>255</v>
      </c>
      <c r="D103" s="9" t="s">
        <v>108</v>
      </c>
      <c r="E103" s="25">
        <v>500</v>
      </c>
      <c r="F103" s="26">
        <v>2412.5075000000002</v>
      </c>
      <c r="G103" s="27">
        <v>9.4658199999999998E-3</v>
      </c>
      <c r="H103" s="17">
        <v>6.1</v>
      </c>
    </row>
    <row r="104" spans="1:8" x14ac:dyDescent="0.2">
      <c r="A104" s="24">
        <v>9</v>
      </c>
      <c r="B104" s="9" t="s">
        <v>256</v>
      </c>
      <c r="C104" s="9" t="s">
        <v>257</v>
      </c>
      <c r="D104" s="9" t="s">
        <v>108</v>
      </c>
      <c r="E104" s="25">
        <v>500</v>
      </c>
      <c r="F104" s="26">
        <v>2396.04</v>
      </c>
      <c r="G104" s="27">
        <v>9.4012100000000001E-3</v>
      </c>
      <c r="H104" s="17">
        <v>7.07</v>
      </c>
    </row>
    <row r="105" spans="1:8" ht="25.5" x14ac:dyDescent="0.2">
      <c r="A105" s="24">
        <v>10</v>
      </c>
      <c r="B105" s="9" t="s">
        <v>527</v>
      </c>
      <c r="C105" s="9" t="s">
        <v>528</v>
      </c>
      <c r="D105" s="9" t="s">
        <v>108</v>
      </c>
      <c r="E105" s="25">
        <v>500</v>
      </c>
      <c r="F105" s="26">
        <v>2358.7874999999999</v>
      </c>
      <c r="G105" s="27">
        <v>9.2550400000000008E-3</v>
      </c>
      <c r="H105" s="17">
        <v>6.915</v>
      </c>
    </row>
    <row r="106" spans="1:8" x14ac:dyDescent="0.2">
      <c r="A106" s="24">
        <v>11</v>
      </c>
      <c r="B106" s="9" t="s">
        <v>246</v>
      </c>
      <c r="C106" s="9" t="s">
        <v>247</v>
      </c>
      <c r="D106" s="9" t="s">
        <v>108</v>
      </c>
      <c r="E106" s="25">
        <v>300</v>
      </c>
      <c r="F106" s="26">
        <v>1458.636</v>
      </c>
      <c r="G106" s="27">
        <v>5.7231699999999996E-3</v>
      </c>
      <c r="H106" s="17">
        <v>6.51</v>
      </c>
    </row>
    <row r="107" spans="1:8" x14ac:dyDescent="0.2">
      <c r="A107" s="24">
        <v>12</v>
      </c>
      <c r="B107" s="9" t="s">
        <v>244</v>
      </c>
      <c r="C107" s="9" t="s">
        <v>245</v>
      </c>
      <c r="D107" s="9" t="s">
        <v>108</v>
      </c>
      <c r="E107" s="25">
        <v>200</v>
      </c>
      <c r="F107" s="26">
        <v>961.11800000000005</v>
      </c>
      <c r="G107" s="27">
        <v>3.7710899999999999E-3</v>
      </c>
      <c r="H107" s="17">
        <v>6.4200999999999997</v>
      </c>
    </row>
    <row r="108" spans="1:8" x14ac:dyDescent="0.2">
      <c r="A108" s="11"/>
      <c r="B108" s="11"/>
      <c r="C108" s="18" t="s">
        <v>11</v>
      </c>
      <c r="D108" s="11"/>
      <c r="E108" s="11" t="s">
        <v>12</v>
      </c>
      <c r="F108" s="23">
        <v>36599.286999999997</v>
      </c>
      <c r="G108" s="20">
        <v>0.1436026</v>
      </c>
      <c r="H108" s="17" t="s">
        <v>12</v>
      </c>
    </row>
    <row r="109" spans="1:8" x14ac:dyDescent="0.2">
      <c r="A109" s="11"/>
      <c r="B109" s="11"/>
      <c r="C109" s="21"/>
      <c r="D109" s="11"/>
      <c r="E109" s="11"/>
      <c r="F109" s="22"/>
      <c r="G109" s="22"/>
      <c r="H109" s="17" t="s">
        <v>12</v>
      </c>
    </row>
    <row r="110" spans="1:8" x14ac:dyDescent="0.2">
      <c r="A110" s="11"/>
      <c r="B110" s="11"/>
      <c r="C110" s="18" t="s">
        <v>110</v>
      </c>
      <c r="D110" s="11"/>
      <c r="E110" s="11"/>
      <c r="F110" s="22"/>
      <c r="G110" s="22"/>
      <c r="H110" s="17" t="s">
        <v>12</v>
      </c>
    </row>
    <row r="111" spans="1:8" x14ac:dyDescent="0.2">
      <c r="A111" s="24">
        <v>1</v>
      </c>
      <c r="B111" s="9" t="s">
        <v>466</v>
      </c>
      <c r="C111" s="9" t="s">
        <v>467</v>
      </c>
      <c r="D111" s="9" t="s">
        <v>81</v>
      </c>
      <c r="E111" s="25">
        <v>5000000</v>
      </c>
      <c r="F111" s="26">
        <v>4988.37</v>
      </c>
      <c r="G111" s="27">
        <v>1.9572590000000001E-2</v>
      </c>
      <c r="H111" s="17">
        <v>5.3174999999999999</v>
      </c>
    </row>
    <row r="112" spans="1:8" x14ac:dyDescent="0.2">
      <c r="A112" s="11"/>
      <c r="B112" s="11"/>
      <c r="C112" s="18" t="s">
        <v>11</v>
      </c>
      <c r="D112" s="11"/>
      <c r="E112" s="11" t="s">
        <v>12</v>
      </c>
      <c r="F112" s="23">
        <v>4988.37</v>
      </c>
      <c r="G112" s="20">
        <v>1.9572590000000001E-2</v>
      </c>
      <c r="H112" s="17" t="s">
        <v>12</v>
      </c>
    </row>
    <row r="113" spans="1:17" x14ac:dyDescent="0.2">
      <c r="A113" s="11"/>
      <c r="B113" s="11"/>
      <c r="C113" s="21"/>
      <c r="D113" s="11"/>
      <c r="E113" s="11"/>
      <c r="F113" s="22"/>
      <c r="G113" s="22"/>
      <c r="H113" s="17" t="s">
        <v>12</v>
      </c>
    </row>
    <row r="114" spans="1:17" x14ac:dyDescent="0.2">
      <c r="A114" s="11"/>
      <c r="B114" s="11"/>
      <c r="C114" s="18" t="s">
        <v>111</v>
      </c>
      <c r="D114" s="11"/>
      <c r="E114" s="11"/>
      <c r="F114" s="22"/>
      <c r="G114" s="22"/>
      <c r="H114" s="17" t="s">
        <v>12</v>
      </c>
    </row>
    <row r="115" spans="1:17" x14ac:dyDescent="0.2">
      <c r="A115" s="24">
        <v>1</v>
      </c>
      <c r="B115" s="9"/>
      <c r="C115" s="9" t="s">
        <v>112</v>
      </c>
      <c r="D115" s="9"/>
      <c r="E115" s="28"/>
      <c r="F115" s="26">
        <v>23481.759658907002</v>
      </c>
      <c r="G115" s="27">
        <v>9.2134069999999998E-2</v>
      </c>
      <c r="H115" s="17">
        <v>5.3</v>
      </c>
    </row>
    <row r="116" spans="1:17" x14ac:dyDescent="0.2">
      <c r="A116" s="11"/>
      <c r="B116" s="11"/>
      <c r="C116" s="18" t="s">
        <v>11</v>
      </c>
      <c r="D116" s="11"/>
      <c r="E116" s="11" t="s">
        <v>12</v>
      </c>
      <c r="F116" s="23">
        <v>23481.759658907002</v>
      </c>
      <c r="G116" s="20">
        <v>9.2134069999999998E-2</v>
      </c>
      <c r="H116" s="17" t="s">
        <v>12</v>
      </c>
    </row>
    <row r="117" spans="1:17" x14ac:dyDescent="0.2">
      <c r="A117" s="11"/>
      <c r="B117" s="11"/>
      <c r="C117" s="21"/>
      <c r="D117" s="11"/>
      <c r="E117" s="11"/>
      <c r="F117" s="22"/>
      <c r="G117" s="22"/>
      <c r="H117" s="17" t="s">
        <v>12</v>
      </c>
    </row>
    <row r="118" spans="1:17" x14ac:dyDescent="0.2">
      <c r="A118" s="11"/>
      <c r="B118" s="11"/>
      <c r="C118" s="18" t="s">
        <v>113</v>
      </c>
      <c r="D118" s="11"/>
      <c r="E118" s="11"/>
      <c r="F118" s="23">
        <v>213808.41515890701</v>
      </c>
      <c r="G118" s="20">
        <v>0.83890818</v>
      </c>
      <c r="H118" s="17" t="s">
        <v>12</v>
      </c>
    </row>
    <row r="119" spans="1:17" x14ac:dyDescent="0.2">
      <c r="A119" s="11"/>
      <c r="B119" s="11"/>
      <c r="C119" s="22"/>
      <c r="D119" s="11"/>
      <c r="E119" s="11"/>
      <c r="F119" s="11"/>
      <c r="G119" s="11"/>
      <c r="H119" s="17" t="s">
        <v>12</v>
      </c>
    </row>
    <row r="120" spans="1:17" x14ac:dyDescent="0.2">
      <c r="A120" s="11"/>
      <c r="B120" s="11"/>
      <c r="C120" s="18" t="s">
        <v>114</v>
      </c>
      <c r="D120" s="11"/>
      <c r="E120" s="11"/>
      <c r="F120" s="11"/>
      <c r="G120" s="11"/>
      <c r="H120" s="17" t="s">
        <v>12</v>
      </c>
    </row>
    <row r="121" spans="1:17" x14ac:dyDescent="0.2">
      <c r="A121" s="11"/>
      <c r="B121" s="11"/>
      <c r="C121" s="18" t="s">
        <v>115</v>
      </c>
      <c r="D121" s="11"/>
      <c r="E121" s="11"/>
      <c r="F121" s="11"/>
      <c r="G121" s="11"/>
      <c r="H121" s="17" t="s">
        <v>12</v>
      </c>
    </row>
    <row r="122" spans="1:17" x14ac:dyDescent="0.2">
      <c r="A122" s="11"/>
      <c r="B122" s="11"/>
      <c r="C122" s="18" t="s">
        <v>11</v>
      </c>
      <c r="D122" s="11"/>
      <c r="E122" s="11" t="s">
        <v>12</v>
      </c>
      <c r="F122" s="19" t="s">
        <v>13</v>
      </c>
      <c r="G122" s="20">
        <v>0</v>
      </c>
      <c r="H122" s="17" t="s">
        <v>12</v>
      </c>
    </row>
    <row r="123" spans="1:17" x14ac:dyDescent="0.2">
      <c r="A123" s="16"/>
      <c r="B123" s="16"/>
      <c r="C123" s="65"/>
      <c r="D123" s="16"/>
      <c r="E123" s="16"/>
      <c r="F123" s="35"/>
      <c r="G123" s="35"/>
      <c r="H123" s="17" t="s">
        <v>12</v>
      </c>
    </row>
    <row r="124" spans="1:17" x14ac:dyDescent="0.2">
      <c r="A124" s="16"/>
      <c r="B124" s="16"/>
      <c r="C124" s="8" t="s">
        <v>618</v>
      </c>
      <c r="D124" s="16"/>
      <c r="E124" s="16"/>
      <c r="F124" s="35"/>
      <c r="G124" s="35"/>
      <c r="H124" s="17" t="s">
        <v>12</v>
      </c>
      <c r="K124" s="48"/>
      <c r="L124" s="48"/>
      <c r="M124" s="48"/>
      <c r="N124" s="48"/>
      <c r="O124" s="66"/>
      <c r="P124" s="66"/>
      <c r="Q124" s="66"/>
    </row>
    <row r="125" spans="1:17" x14ac:dyDescent="0.2">
      <c r="A125" s="59">
        <v>1</v>
      </c>
      <c r="B125" s="60" t="s">
        <v>116</v>
      </c>
      <c r="C125" s="60" t="s">
        <v>117</v>
      </c>
      <c r="D125" s="60"/>
      <c r="E125" s="67">
        <v>5925.4179999999997</v>
      </c>
      <c r="F125" s="62">
        <v>667.67868372199996</v>
      </c>
      <c r="G125" s="63">
        <v>2.6197299999999998E-3</v>
      </c>
      <c r="H125" s="17"/>
    </row>
    <row r="126" spans="1:17" x14ac:dyDescent="0.2">
      <c r="A126" s="16"/>
      <c r="B126" s="16"/>
      <c r="C126" s="8" t="s">
        <v>11</v>
      </c>
      <c r="D126" s="16"/>
      <c r="E126" s="16" t="s">
        <v>12</v>
      </c>
      <c r="F126" s="68">
        <f>SUM(F125)</f>
        <v>667.67868372199996</v>
      </c>
      <c r="G126" s="69">
        <f>SUM(G125)</f>
        <v>2.6197299999999998E-3</v>
      </c>
      <c r="H126" s="17" t="s">
        <v>12</v>
      </c>
    </row>
    <row r="127" spans="1:17" x14ac:dyDescent="0.2">
      <c r="A127" s="11"/>
      <c r="B127" s="11"/>
      <c r="C127" s="21"/>
      <c r="D127" s="11"/>
      <c r="E127" s="11"/>
      <c r="F127" s="22"/>
      <c r="G127" s="22"/>
      <c r="H127" s="17" t="s">
        <v>12</v>
      </c>
    </row>
    <row r="128" spans="1:17" x14ac:dyDescent="0.2">
      <c r="A128" s="11"/>
      <c r="B128" s="11"/>
      <c r="C128" s="18" t="s">
        <v>118</v>
      </c>
      <c r="D128" s="11"/>
      <c r="E128" s="11"/>
      <c r="F128" s="11"/>
      <c r="G128" s="11"/>
      <c r="H128" s="17" t="s">
        <v>12</v>
      </c>
    </row>
    <row r="129" spans="1:9" x14ac:dyDescent="0.2">
      <c r="A129" s="11"/>
      <c r="B129" s="11"/>
      <c r="C129" s="18" t="s">
        <v>119</v>
      </c>
      <c r="D129" s="11"/>
      <c r="E129" s="11"/>
      <c r="F129" s="11"/>
      <c r="G129" s="11"/>
      <c r="H129" s="17" t="s">
        <v>12</v>
      </c>
    </row>
    <row r="130" spans="1:9" x14ac:dyDescent="0.2">
      <c r="A130" s="11"/>
      <c r="B130" s="11"/>
      <c r="C130" s="18" t="s">
        <v>11</v>
      </c>
      <c r="D130" s="11"/>
      <c r="E130" s="11" t="s">
        <v>12</v>
      </c>
      <c r="F130" s="19" t="s">
        <v>13</v>
      </c>
      <c r="G130" s="20">
        <v>0</v>
      </c>
      <c r="H130" s="17" t="s">
        <v>12</v>
      </c>
    </row>
    <row r="131" spans="1:9" x14ac:dyDescent="0.2">
      <c r="A131" s="11"/>
      <c r="B131" s="11"/>
      <c r="C131" s="21"/>
      <c r="D131" s="11"/>
      <c r="E131" s="11"/>
      <c r="F131" s="22"/>
      <c r="G131" s="22"/>
      <c r="H131" s="17" t="s">
        <v>12</v>
      </c>
    </row>
    <row r="132" spans="1:9" x14ac:dyDescent="0.2">
      <c r="A132" s="11"/>
      <c r="B132" s="11"/>
      <c r="C132" s="18" t="s">
        <v>120</v>
      </c>
      <c r="D132" s="11"/>
      <c r="E132" s="11"/>
      <c r="F132" s="22"/>
      <c r="G132" s="22"/>
      <c r="H132" s="17" t="s">
        <v>12</v>
      </c>
    </row>
    <row r="133" spans="1:9" x14ac:dyDescent="0.2">
      <c r="A133" s="11"/>
      <c r="B133" s="11"/>
      <c r="C133" s="18" t="s">
        <v>11</v>
      </c>
      <c r="D133" s="11"/>
      <c r="E133" s="11" t="s">
        <v>12</v>
      </c>
      <c r="F133" s="19" t="s">
        <v>13</v>
      </c>
      <c r="G133" s="20">
        <v>0</v>
      </c>
      <c r="H133" s="17" t="s">
        <v>12</v>
      </c>
    </row>
    <row r="134" spans="1:9" x14ac:dyDescent="0.2">
      <c r="A134" s="16"/>
      <c r="B134" s="16"/>
      <c r="C134" s="65"/>
      <c r="D134" s="16"/>
      <c r="E134" s="16"/>
      <c r="F134" s="35"/>
      <c r="G134" s="35"/>
      <c r="H134" s="100" t="s">
        <v>12</v>
      </c>
      <c r="I134" s="101"/>
    </row>
    <row r="135" spans="1:9" x14ac:dyDescent="0.2">
      <c r="A135" s="102"/>
      <c r="B135" s="102"/>
      <c r="C135" s="103" t="s">
        <v>698</v>
      </c>
      <c r="D135" s="104"/>
      <c r="E135" s="105"/>
      <c r="F135" s="105"/>
      <c r="G135" s="104"/>
      <c r="H135" s="105"/>
      <c r="I135" s="101"/>
    </row>
    <row r="136" spans="1:9" ht="25.5" x14ac:dyDescent="0.2">
      <c r="A136" s="59"/>
      <c r="B136" s="60"/>
      <c r="C136" s="60" t="s">
        <v>699</v>
      </c>
      <c r="D136" s="60"/>
      <c r="E136" s="61">
        <v>2500000</v>
      </c>
      <c r="F136" s="62">
        <f>-675750.00000003/10^5</f>
        <v>-6.7575000000003005</v>
      </c>
      <c r="G136" s="63" t="s">
        <v>640</v>
      </c>
      <c r="H136" s="17"/>
    </row>
    <row r="137" spans="1:9" ht="25.5" x14ac:dyDescent="0.2">
      <c r="A137" s="59"/>
      <c r="B137" s="60"/>
      <c r="C137" s="60" t="s">
        <v>700</v>
      </c>
      <c r="D137" s="60"/>
      <c r="E137" s="61">
        <v>2500000</v>
      </c>
      <c r="F137" s="62">
        <f>-917500/10^5</f>
        <v>-9.1750000000000007</v>
      </c>
      <c r="G137" s="63" t="s">
        <v>640</v>
      </c>
      <c r="H137" s="17"/>
    </row>
    <row r="138" spans="1:9" ht="25.5" x14ac:dyDescent="0.2">
      <c r="A138" s="59"/>
      <c r="B138" s="60"/>
      <c r="C138" s="60" t="s">
        <v>701</v>
      </c>
      <c r="D138" s="60"/>
      <c r="E138" s="61">
        <v>2500000</v>
      </c>
      <c r="F138" s="62">
        <f>-809000/10^5</f>
        <v>-8.09</v>
      </c>
      <c r="G138" s="63" t="s">
        <v>640</v>
      </c>
      <c r="H138" s="17"/>
    </row>
    <row r="139" spans="1:9" ht="25.5" x14ac:dyDescent="0.2">
      <c r="A139" s="59"/>
      <c r="B139" s="60"/>
      <c r="C139" s="60" t="s">
        <v>702</v>
      </c>
      <c r="D139" s="60"/>
      <c r="E139" s="61">
        <v>2500000</v>
      </c>
      <c r="F139" s="62">
        <f>18500/10^5</f>
        <v>0.185</v>
      </c>
      <c r="G139" s="63" t="s">
        <v>640</v>
      </c>
      <c r="H139" s="17"/>
    </row>
    <row r="140" spans="1:9" x14ac:dyDescent="0.2">
      <c r="A140" s="16"/>
      <c r="B140" s="60"/>
      <c r="C140" s="60"/>
      <c r="D140" s="8"/>
      <c r="E140" s="16"/>
      <c r="F140" s="60"/>
      <c r="G140" s="106"/>
      <c r="H140" s="17" t="s">
        <v>12</v>
      </c>
    </row>
    <row r="141" spans="1:9" x14ac:dyDescent="0.2">
      <c r="A141" s="28"/>
      <c r="B141" s="9"/>
      <c r="C141" s="9" t="s">
        <v>121</v>
      </c>
      <c r="D141" s="9"/>
      <c r="E141" s="28"/>
      <c r="F141" s="26">
        <f>-9332.50763069+2500+2500+2500+2500-F25</f>
        <v>667.48236931000088</v>
      </c>
      <c r="G141" s="27">
        <f>F141/F142</f>
        <v>2.6189632691730126E-3</v>
      </c>
      <c r="H141" s="17" t="s">
        <v>12</v>
      </c>
    </row>
    <row r="142" spans="1:9" x14ac:dyDescent="0.2">
      <c r="A142" s="21"/>
      <c r="B142" s="21"/>
      <c r="C142" s="18" t="s">
        <v>122</v>
      </c>
      <c r="D142" s="22"/>
      <c r="E142" s="22"/>
      <c r="F142" s="23">
        <f>F141+F139+F138+F137+F136+F126+F118+F53+F25</f>
        <v>254865.11291193904</v>
      </c>
      <c r="G142" s="20">
        <f>G141+G126+G118+G53+G25-0.0001</f>
        <v>0.99999353326917295</v>
      </c>
      <c r="H142" s="17" t="s">
        <v>12</v>
      </c>
    </row>
    <row r="143" spans="1:9" x14ac:dyDescent="0.2">
      <c r="A143" s="30"/>
      <c r="B143" s="30"/>
      <c r="C143" s="30"/>
      <c r="D143" s="10"/>
      <c r="E143" s="10"/>
      <c r="F143" s="10"/>
      <c r="G143" s="10"/>
    </row>
    <row r="144" spans="1:9" x14ac:dyDescent="0.2">
      <c r="A144" s="31"/>
      <c r="B144" s="148" t="s">
        <v>619</v>
      </c>
      <c r="C144" s="148"/>
      <c r="D144" s="148"/>
      <c r="E144" s="148"/>
      <c r="F144" s="148"/>
      <c r="G144" s="148"/>
      <c r="H144" s="148"/>
    </row>
    <row r="145" spans="1:9" x14ac:dyDescent="0.2">
      <c r="A145" s="31"/>
      <c r="B145" s="148" t="s">
        <v>620</v>
      </c>
      <c r="C145" s="148"/>
      <c r="D145" s="148"/>
      <c r="E145" s="148"/>
      <c r="F145" s="148"/>
      <c r="G145" s="148"/>
      <c r="H145" s="148"/>
    </row>
    <row r="146" spans="1:9" x14ac:dyDescent="0.2">
      <c r="A146" s="31"/>
      <c r="B146" s="148" t="s">
        <v>621</v>
      </c>
      <c r="C146" s="148"/>
      <c r="D146" s="148"/>
      <c r="E146" s="148"/>
      <c r="F146" s="148"/>
      <c r="G146" s="148"/>
      <c r="H146" s="148"/>
    </row>
    <row r="147" spans="1:9" ht="52.5" customHeight="1" x14ac:dyDescent="0.2">
      <c r="A147" s="31"/>
      <c r="B147" s="198" t="s">
        <v>703</v>
      </c>
      <c r="C147" s="198"/>
      <c r="D147" s="198"/>
      <c r="E147" s="198"/>
      <c r="F147" s="198"/>
      <c r="G147" s="198"/>
      <c r="H147" s="198"/>
      <c r="I147" s="101"/>
    </row>
    <row r="148" spans="1:9" x14ac:dyDescent="0.2">
      <c r="A148" s="31"/>
      <c r="B148" s="31"/>
      <c r="C148" s="31"/>
      <c r="D148" s="33"/>
      <c r="E148" s="33"/>
      <c r="F148" s="33"/>
      <c r="G148" s="33"/>
    </row>
    <row r="149" spans="1:9" x14ac:dyDescent="0.2">
      <c r="A149" s="31"/>
      <c r="B149" s="149" t="s">
        <v>123</v>
      </c>
      <c r="C149" s="150"/>
      <c r="D149" s="151"/>
      <c r="E149" s="34"/>
      <c r="F149" s="33"/>
      <c r="G149" s="33"/>
    </row>
    <row r="150" spans="1:9" ht="25.5" x14ac:dyDescent="0.2">
      <c r="A150" s="31"/>
      <c r="B150" s="152" t="s">
        <v>124</v>
      </c>
      <c r="C150" s="153"/>
      <c r="D150" s="84" t="s">
        <v>641</v>
      </c>
      <c r="E150" s="34"/>
      <c r="F150" s="33"/>
      <c r="G150" s="33"/>
    </row>
    <row r="151" spans="1:9" x14ac:dyDescent="0.2">
      <c r="A151" s="31"/>
      <c r="B151" s="152" t="s">
        <v>126</v>
      </c>
      <c r="C151" s="153"/>
      <c r="D151" s="8" t="s">
        <v>125</v>
      </c>
      <c r="E151" s="34"/>
      <c r="F151" s="33"/>
      <c r="G151" s="33"/>
    </row>
    <row r="152" spans="1:9" x14ac:dyDescent="0.2">
      <c r="A152" s="31"/>
      <c r="B152" s="152" t="s">
        <v>127</v>
      </c>
      <c r="C152" s="153"/>
      <c r="D152" s="35" t="s">
        <v>12</v>
      </c>
      <c r="E152" s="34"/>
      <c r="F152" s="33"/>
      <c r="G152" s="33"/>
    </row>
    <row r="153" spans="1:9" x14ac:dyDescent="0.2">
      <c r="A153" s="36"/>
      <c r="B153" s="37" t="s">
        <v>12</v>
      </c>
      <c r="C153" s="37" t="s">
        <v>622</v>
      </c>
      <c r="D153" s="37" t="s">
        <v>128</v>
      </c>
      <c r="E153" s="36"/>
      <c r="F153" s="36"/>
      <c r="G153" s="36"/>
    </row>
    <row r="154" spans="1:9" x14ac:dyDescent="0.2">
      <c r="A154" s="36"/>
      <c r="B154" s="38" t="s">
        <v>129</v>
      </c>
      <c r="C154" s="39">
        <v>45838</v>
      </c>
      <c r="D154" s="39">
        <v>45853</v>
      </c>
      <c r="E154" s="36"/>
      <c r="F154" s="36"/>
      <c r="G154" s="36"/>
    </row>
    <row r="155" spans="1:9" x14ac:dyDescent="0.2">
      <c r="A155" s="40"/>
      <c r="B155" s="9" t="s">
        <v>130</v>
      </c>
      <c r="C155" s="41">
        <v>2931.5954999999999</v>
      </c>
      <c r="D155" s="41">
        <v>2941.6532000000002</v>
      </c>
      <c r="E155" s="40"/>
      <c r="F155" s="42"/>
      <c r="G155" s="43"/>
    </row>
    <row r="156" spans="1:9" ht="25.5" x14ac:dyDescent="0.2">
      <c r="A156" s="40"/>
      <c r="B156" s="9" t="s">
        <v>743</v>
      </c>
      <c r="C156" s="41">
        <v>1071.3610000000001</v>
      </c>
      <c r="D156" s="41">
        <v>1075.0369000000001</v>
      </c>
      <c r="E156" s="40"/>
      <c r="F156" s="42"/>
      <c r="G156" s="43"/>
    </row>
    <row r="157" spans="1:9" x14ac:dyDescent="0.2">
      <c r="A157" s="40"/>
      <c r="B157" s="9" t="s">
        <v>131</v>
      </c>
      <c r="C157" s="41">
        <v>2687.8328000000001</v>
      </c>
      <c r="D157" s="41">
        <v>2695.6689999999999</v>
      </c>
      <c r="E157" s="40"/>
      <c r="F157" s="42"/>
      <c r="G157" s="43"/>
    </row>
    <row r="158" spans="1:9" ht="25.5" x14ac:dyDescent="0.2">
      <c r="A158" s="40"/>
      <c r="B158" s="9" t="s">
        <v>744</v>
      </c>
      <c r="C158" s="41">
        <v>1066.0245</v>
      </c>
      <c r="D158" s="41">
        <v>1069.1324</v>
      </c>
      <c r="E158" s="40"/>
      <c r="F158" s="42"/>
      <c r="G158" s="43"/>
    </row>
    <row r="159" spans="1:9" x14ac:dyDescent="0.2">
      <c r="A159" s="40"/>
      <c r="B159" s="40"/>
      <c r="C159" s="40"/>
      <c r="D159" s="40"/>
      <c r="E159" s="40"/>
      <c r="F159" s="40"/>
      <c r="G159" s="40"/>
    </row>
    <row r="160" spans="1:9" x14ac:dyDescent="0.2">
      <c r="A160" s="40"/>
      <c r="B160" s="155" t="s">
        <v>742</v>
      </c>
      <c r="C160" s="156"/>
      <c r="D160" s="8" t="s">
        <v>125</v>
      </c>
      <c r="E160" s="40"/>
      <c r="F160" s="40"/>
      <c r="G160" s="40"/>
    </row>
    <row r="161" spans="1:15" x14ac:dyDescent="0.2">
      <c r="A161" s="40"/>
      <c r="B161" s="44"/>
      <c r="C161" s="44"/>
      <c r="D161" s="44"/>
      <c r="E161" s="40"/>
      <c r="F161" s="40"/>
      <c r="G161" s="40"/>
    </row>
    <row r="162" spans="1:15" ht="25.5" x14ac:dyDescent="0.2">
      <c r="A162" s="36"/>
      <c r="B162" s="152" t="s">
        <v>132</v>
      </c>
      <c r="C162" s="153"/>
      <c r="D162" s="84" t="s">
        <v>704</v>
      </c>
      <c r="E162" s="47"/>
      <c r="F162" s="36"/>
      <c r="G162" s="36"/>
      <c r="I162" s="101"/>
    </row>
    <row r="163" spans="1:15" x14ac:dyDescent="0.2">
      <c r="A163" s="36"/>
      <c r="B163" s="152" t="s">
        <v>133</v>
      </c>
      <c r="C163" s="153"/>
      <c r="D163" s="8" t="s">
        <v>125</v>
      </c>
      <c r="E163" s="47"/>
      <c r="F163" s="36"/>
      <c r="G163" s="36"/>
      <c r="I163" s="101"/>
    </row>
    <row r="164" spans="1:15" x14ac:dyDescent="0.2">
      <c r="A164" s="36"/>
      <c r="B164" s="152" t="s">
        <v>623</v>
      </c>
      <c r="C164" s="153"/>
      <c r="D164" s="8" t="s">
        <v>125</v>
      </c>
      <c r="E164" s="47"/>
      <c r="F164" s="36"/>
      <c r="G164" s="36"/>
      <c r="I164" s="101"/>
      <c r="J164" s="15"/>
    </row>
    <row r="165" spans="1:15" ht="12.75" customHeight="1" x14ac:dyDescent="0.2">
      <c r="A165" s="44"/>
      <c r="B165" s="44"/>
      <c r="C165" s="44"/>
      <c r="D165" s="44"/>
      <c r="E165" s="44"/>
      <c r="F165" s="44"/>
      <c r="G165" s="44"/>
      <c r="I165" s="101"/>
      <c r="J165" s="15"/>
    </row>
    <row r="166" spans="1:15" ht="13.5" x14ac:dyDescent="0.25">
      <c r="A166" s="44"/>
      <c r="B166" s="107" t="s">
        <v>748</v>
      </c>
      <c r="C166" s="44"/>
      <c r="D166" s="44"/>
      <c r="E166" s="44"/>
      <c r="F166" s="44"/>
      <c r="G166" s="44"/>
      <c r="H166" s="44"/>
      <c r="I166" s="101"/>
      <c r="J166" s="15"/>
    </row>
    <row r="167" spans="1:15" s="15" customFormat="1" ht="51" x14ac:dyDescent="0.2">
      <c r="A167" s="108"/>
      <c r="B167" s="109" t="s">
        <v>705</v>
      </c>
      <c r="C167" s="109" t="s">
        <v>706</v>
      </c>
      <c r="D167" s="110" t="s">
        <v>707</v>
      </c>
      <c r="E167" s="110" t="s">
        <v>708</v>
      </c>
      <c r="F167" s="109" t="s">
        <v>709</v>
      </c>
      <c r="G167" s="109" t="s">
        <v>710</v>
      </c>
      <c r="H167" s="109" t="s">
        <v>8</v>
      </c>
      <c r="I167" s="111"/>
    </row>
    <row r="168" spans="1:15" s="50" customFormat="1" ht="25.5" x14ac:dyDescent="0.2">
      <c r="A168" s="112"/>
      <c r="B168" s="113" t="s">
        <v>711</v>
      </c>
      <c r="C168" s="113" t="s">
        <v>712</v>
      </c>
      <c r="D168" s="114" t="s">
        <v>713</v>
      </c>
      <c r="E168" s="115" t="s">
        <v>714</v>
      </c>
      <c r="F168" s="116">
        <v>2500</v>
      </c>
      <c r="G168" s="117">
        <v>46002</v>
      </c>
      <c r="H168" s="99">
        <f>F168/$F$142</f>
        <v>9.8091102836181422E-3</v>
      </c>
      <c r="I168" s="118"/>
      <c r="J168" s="15"/>
    </row>
    <row r="169" spans="1:15" s="50" customFormat="1" ht="25.5" x14ac:dyDescent="0.2">
      <c r="A169" s="112"/>
      <c r="B169" s="113" t="s">
        <v>711</v>
      </c>
      <c r="C169" s="113" t="s">
        <v>715</v>
      </c>
      <c r="D169" s="114" t="s">
        <v>713</v>
      </c>
      <c r="E169" s="115" t="s">
        <v>714</v>
      </c>
      <c r="F169" s="116">
        <v>2500</v>
      </c>
      <c r="G169" s="117">
        <v>46087</v>
      </c>
      <c r="H169" s="99">
        <f>F169/$F$142</f>
        <v>9.8091102836181422E-3</v>
      </c>
      <c r="I169" s="118"/>
      <c r="J169" s="15"/>
    </row>
    <row r="170" spans="1:15" s="50" customFormat="1" ht="25.5" x14ac:dyDescent="0.2">
      <c r="A170" s="112"/>
      <c r="B170" s="113" t="s">
        <v>711</v>
      </c>
      <c r="C170" s="113" t="s">
        <v>716</v>
      </c>
      <c r="D170" s="114" t="s">
        <v>713</v>
      </c>
      <c r="E170" s="115" t="s">
        <v>714</v>
      </c>
      <c r="F170" s="116">
        <v>2500</v>
      </c>
      <c r="G170" s="117">
        <v>46101</v>
      </c>
      <c r="H170" s="99">
        <f>F170/$F$142</f>
        <v>9.8091102836181422E-3</v>
      </c>
      <c r="I170" s="118"/>
      <c r="J170" s="15"/>
    </row>
    <row r="171" spans="1:15" s="50" customFormat="1" ht="25.5" x14ac:dyDescent="0.2">
      <c r="A171" s="112"/>
      <c r="B171" s="113" t="s">
        <v>711</v>
      </c>
      <c r="C171" s="113" t="s">
        <v>716</v>
      </c>
      <c r="D171" s="114" t="s">
        <v>713</v>
      </c>
      <c r="E171" s="115" t="s">
        <v>714</v>
      </c>
      <c r="F171" s="116">
        <v>2500</v>
      </c>
      <c r="G171" s="117">
        <v>46168</v>
      </c>
      <c r="H171" s="99">
        <f>F171/$F$142</f>
        <v>9.8091102836181422E-3</v>
      </c>
      <c r="I171" s="118"/>
      <c r="J171" s="15"/>
    </row>
    <row r="172" spans="1:15" s="58" customFormat="1" x14ac:dyDescent="0.2">
      <c r="A172" s="44"/>
      <c r="B172" s="44"/>
      <c r="C172" s="44"/>
      <c r="D172" s="44"/>
      <c r="E172" s="44"/>
      <c r="F172" s="44"/>
      <c r="G172" s="44"/>
      <c r="H172"/>
      <c r="I172" s="119"/>
      <c r="J172" s="120"/>
      <c r="K172" s="120"/>
      <c r="L172" s="120"/>
      <c r="M172" s="120"/>
      <c r="N172" s="120"/>
      <c r="O172" s="120"/>
    </row>
    <row r="173" spans="1:15" x14ac:dyDescent="0.2">
      <c r="A173" s="49"/>
      <c r="B173" s="121" t="s">
        <v>747</v>
      </c>
      <c r="C173" s="121"/>
      <c r="D173" s="121"/>
      <c r="E173" s="121"/>
      <c r="F173" s="121"/>
      <c r="G173" s="121"/>
      <c r="H173" s="49"/>
      <c r="I173" s="101"/>
      <c r="J173" s="15"/>
    </row>
    <row r="174" spans="1:15" ht="13.5" customHeight="1" x14ac:dyDescent="0.2">
      <c r="B174" s="168" t="s">
        <v>643</v>
      </c>
      <c r="C174" s="168" t="s">
        <v>644</v>
      </c>
      <c r="D174" s="171" t="s">
        <v>654</v>
      </c>
      <c r="E174" s="172"/>
      <c r="F174" s="173"/>
      <c r="G174" s="174" t="s">
        <v>662</v>
      </c>
      <c r="H174" s="175"/>
      <c r="I174" s="176"/>
      <c r="J174" s="48"/>
      <c r="K174" s="48"/>
      <c r="L174" s="48"/>
      <c r="M174" s="48"/>
      <c r="N174" s="48"/>
      <c r="O174" s="48"/>
    </row>
    <row r="175" spans="1:15" ht="46.5" customHeight="1" x14ac:dyDescent="0.2">
      <c r="B175" s="169"/>
      <c r="C175" s="169"/>
      <c r="D175" s="166" t="s">
        <v>663</v>
      </c>
      <c r="E175" s="166" t="s">
        <v>664</v>
      </c>
      <c r="F175" s="166" t="s">
        <v>665</v>
      </c>
      <c r="G175" s="177" t="s">
        <v>680</v>
      </c>
      <c r="H175" s="178"/>
      <c r="I175" s="166" t="s">
        <v>667</v>
      </c>
      <c r="J175" s="48"/>
      <c r="K175" s="48"/>
      <c r="L175" s="48"/>
      <c r="M175" s="48"/>
      <c r="N175" s="48"/>
      <c r="O175" s="48"/>
    </row>
    <row r="176" spans="1:15" ht="21" customHeight="1" x14ac:dyDescent="0.2">
      <c r="B176" s="170"/>
      <c r="C176" s="170"/>
      <c r="D176" s="167"/>
      <c r="E176" s="167"/>
      <c r="F176" s="167"/>
      <c r="G176" s="72" t="s">
        <v>668</v>
      </c>
      <c r="H176" s="72" t="s">
        <v>669</v>
      </c>
      <c r="I176" s="167"/>
      <c r="J176" s="48"/>
      <c r="K176" s="48"/>
      <c r="L176" s="48"/>
      <c r="M176" s="48"/>
      <c r="N176" s="48"/>
      <c r="O176" s="48"/>
    </row>
    <row r="177" spans="2:16" ht="13.5" x14ac:dyDescent="0.25">
      <c r="B177" s="76" t="s">
        <v>670</v>
      </c>
      <c r="C177" s="75" t="s">
        <v>671</v>
      </c>
      <c r="D177" s="122">
        <v>488.84800000000001</v>
      </c>
      <c r="E177" s="5">
        <v>11.151999999999999</v>
      </c>
      <c r="F177" s="123">
        <f>D177+E177</f>
        <v>500</v>
      </c>
      <c r="G177" s="3">
        <v>21.175720568999996</v>
      </c>
      <c r="H177" s="3">
        <v>13.34</v>
      </c>
      <c r="I177" s="3">
        <f>G177+H177</f>
        <v>34.515720568999996</v>
      </c>
      <c r="J177" s="48"/>
      <c r="K177" s="48"/>
      <c r="L177" s="48"/>
      <c r="M177" s="48"/>
      <c r="N177" s="48"/>
      <c r="O177" s="48"/>
    </row>
    <row r="178" spans="2:16" ht="6.75" customHeight="1" x14ac:dyDescent="0.25">
      <c r="B178" s="124"/>
      <c r="C178" s="125"/>
      <c r="D178" s="126"/>
      <c r="E178" s="6"/>
      <c r="F178" s="127"/>
      <c r="G178" s="4"/>
      <c r="H178" s="4"/>
      <c r="I178" s="4"/>
      <c r="J178" s="48"/>
      <c r="K178" s="48"/>
      <c r="L178" s="48"/>
      <c r="M178" s="48"/>
      <c r="N178" s="48"/>
      <c r="O178" s="48"/>
    </row>
    <row r="179" spans="2:16" ht="51" customHeight="1" x14ac:dyDescent="0.2">
      <c r="B179" s="165" t="s">
        <v>672</v>
      </c>
      <c r="C179" s="165"/>
      <c r="D179" s="165"/>
      <c r="E179" s="165"/>
      <c r="F179" s="165"/>
      <c r="G179" s="165"/>
      <c r="H179" s="165"/>
      <c r="I179" s="165"/>
      <c r="J179" s="128"/>
      <c r="K179" s="48"/>
      <c r="L179" s="48"/>
      <c r="M179" s="48"/>
      <c r="N179" s="48"/>
      <c r="O179" s="48"/>
    </row>
    <row r="180" spans="2:16" ht="13.5" x14ac:dyDescent="0.25">
      <c r="B180" s="81" t="s">
        <v>673</v>
      </c>
      <c r="I180" s="48"/>
      <c r="J180" s="15"/>
      <c r="K180" s="48"/>
      <c r="L180" s="48"/>
      <c r="M180" s="48"/>
      <c r="N180" s="48"/>
      <c r="O180" s="48"/>
      <c r="P180" s="48"/>
    </row>
    <row r="181" spans="2:16" ht="7.5" customHeight="1" x14ac:dyDescent="0.2">
      <c r="B181" s="82"/>
      <c r="J181" s="15"/>
      <c r="K181" s="48"/>
      <c r="L181" s="48"/>
      <c r="M181" s="48"/>
      <c r="N181" s="48"/>
      <c r="O181" s="48"/>
    </row>
    <row r="182" spans="2:16" x14ac:dyDescent="0.2">
      <c r="B182" s="82" t="s">
        <v>677</v>
      </c>
      <c r="J182" s="15"/>
      <c r="K182" s="48"/>
      <c r="L182" s="48"/>
      <c r="M182" s="48"/>
      <c r="N182" s="48"/>
      <c r="O182" s="48"/>
    </row>
    <row r="183" spans="2:16" s="49" customFormat="1" x14ac:dyDescent="0.2">
      <c r="I183" s="101"/>
      <c r="J183" s="15"/>
      <c r="K183" s="48"/>
      <c r="L183" s="48"/>
      <c r="M183" s="48"/>
      <c r="N183" s="48"/>
      <c r="O183" s="50"/>
    </row>
    <row r="184" spans="2:16" s="49" customFormat="1" x14ac:dyDescent="0.2">
      <c r="B184" s="157" t="s">
        <v>624</v>
      </c>
      <c r="C184" s="158"/>
      <c r="D184" s="159"/>
      <c r="I184" s="101"/>
      <c r="J184" s="15"/>
      <c r="K184" s="48"/>
      <c r="L184" s="48"/>
      <c r="M184" s="48"/>
      <c r="N184" s="48"/>
      <c r="O184" s="50"/>
    </row>
    <row r="185" spans="2:16" s="49" customFormat="1" ht="38.25" x14ac:dyDescent="0.2">
      <c r="B185" s="154" t="s">
        <v>625</v>
      </c>
      <c r="C185" s="154"/>
      <c r="D185" s="51" t="s">
        <v>490</v>
      </c>
      <c r="I185" s="101"/>
      <c r="J185" s="15"/>
      <c r="K185" s="48"/>
      <c r="L185" s="48"/>
      <c r="M185" s="48"/>
      <c r="N185" s="48"/>
      <c r="O185" s="50"/>
    </row>
    <row r="186" spans="2:16" s="49" customFormat="1" x14ac:dyDescent="0.2">
      <c r="B186" s="143" t="s">
        <v>626</v>
      </c>
      <c r="C186" s="143"/>
      <c r="D186" s="52"/>
      <c r="I186" s="101"/>
      <c r="J186" s="15"/>
      <c r="K186" s="48"/>
      <c r="L186" s="48"/>
      <c r="M186" s="48"/>
      <c r="N186" s="48"/>
      <c r="O186" s="50"/>
    </row>
    <row r="187" spans="2:16" s="49" customFormat="1" x14ac:dyDescent="0.2">
      <c r="B187" s="143"/>
      <c r="C187" s="143"/>
      <c r="D187" s="53"/>
      <c r="I187" s="101"/>
      <c r="J187" s="15"/>
      <c r="K187" s="48"/>
      <c r="L187" s="48"/>
      <c r="M187" s="48"/>
      <c r="N187" s="48"/>
      <c r="O187" s="50"/>
    </row>
    <row r="188" spans="2:16" s="49" customFormat="1" x14ac:dyDescent="0.2">
      <c r="B188" s="143" t="s">
        <v>627</v>
      </c>
      <c r="C188" s="143"/>
      <c r="D188" s="54">
        <v>6.1235452927156553</v>
      </c>
      <c r="I188" s="101"/>
      <c r="J188" s="15"/>
      <c r="K188" s="48"/>
      <c r="L188" s="48"/>
      <c r="M188" s="48"/>
      <c r="N188" s="48"/>
      <c r="O188" s="50"/>
    </row>
    <row r="189" spans="2:16" s="49" customFormat="1" x14ac:dyDescent="0.2">
      <c r="B189" s="143"/>
      <c r="C189" s="143"/>
      <c r="D189" s="53"/>
      <c r="I189" s="101"/>
      <c r="J189" s="15"/>
      <c r="K189" s="48"/>
      <c r="L189" s="48"/>
      <c r="M189" s="48"/>
      <c r="N189" s="48"/>
      <c r="O189" s="50"/>
    </row>
    <row r="190" spans="2:16" s="49" customFormat="1" x14ac:dyDescent="0.2">
      <c r="B190" s="143" t="s">
        <v>628</v>
      </c>
      <c r="C190" s="143"/>
      <c r="D190" s="54">
        <v>0.50565356940340112</v>
      </c>
      <c r="I190" s="101"/>
      <c r="J190" s="15"/>
      <c r="K190" s="48"/>
      <c r="L190" s="48"/>
      <c r="M190" s="48"/>
      <c r="N190" s="48"/>
      <c r="O190" s="50"/>
    </row>
    <row r="191" spans="2:16" s="49" customFormat="1" x14ac:dyDescent="0.2">
      <c r="B191" s="143" t="s">
        <v>629</v>
      </c>
      <c r="C191" s="143"/>
      <c r="D191" s="54">
        <v>0.51118257905432252</v>
      </c>
      <c r="I191" s="101"/>
      <c r="J191" s="15"/>
      <c r="K191" s="48"/>
      <c r="L191" s="48"/>
      <c r="M191" s="48"/>
      <c r="N191" s="48"/>
      <c r="O191" s="50"/>
    </row>
    <row r="192" spans="2:16" s="49" customFormat="1" x14ac:dyDescent="0.2">
      <c r="B192" s="143"/>
      <c r="C192" s="143"/>
      <c r="D192" s="53"/>
      <c r="I192" s="101"/>
      <c r="J192" s="15"/>
      <c r="K192" s="48"/>
      <c r="L192" s="48"/>
      <c r="M192" s="48"/>
      <c r="N192" s="48"/>
      <c r="O192" s="50"/>
    </row>
    <row r="193" spans="1:17" s="49" customFormat="1" x14ac:dyDescent="0.2">
      <c r="B193" s="143" t="s">
        <v>630</v>
      </c>
      <c r="C193" s="143"/>
      <c r="D193" s="7" t="s">
        <v>746</v>
      </c>
      <c r="I193" s="101"/>
      <c r="J193" s="15"/>
      <c r="K193" s="48"/>
      <c r="L193" s="48"/>
      <c r="M193" s="48"/>
      <c r="N193" s="48"/>
      <c r="O193" s="50"/>
    </row>
    <row r="194" spans="1:17" s="49" customFormat="1" x14ac:dyDescent="0.2">
      <c r="B194" s="144" t="s">
        <v>631</v>
      </c>
      <c r="C194" s="146"/>
      <c r="D194" s="145"/>
      <c r="I194" s="101"/>
      <c r="J194" s="15"/>
      <c r="K194" s="48"/>
      <c r="L194" s="48"/>
      <c r="M194" s="48"/>
      <c r="N194" s="48"/>
      <c r="O194" s="50"/>
    </row>
    <row r="195" spans="1:17" s="49" customFormat="1" x14ac:dyDescent="0.2">
      <c r="B195" s="32"/>
      <c r="C195" s="32"/>
      <c r="D195" s="32"/>
      <c r="I195" s="101"/>
      <c r="J195" s="15"/>
      <c r="K195" s="48"/>
      <c r="L195" s="48"/>
      <c r="M195" s="48"/>
      <c r="N195" s="48"/>
      <c r="O195" s="50"/>
    </row>
    <row r="196" spans="1:17" s="49" customFormat="1" x14ac:dyDescent="0.2">
      <c r="A196"/>
      <c r="B196" s="57" t="s">
        <v>632</v>
      </c>
      <c r="C196"/>
      <c r="D196"/>
      <c r="E196"/>
      <c r="F196"/>
      <c r="G196"/>
      <c r="H196"/>
      <c r="I196" s="101"/>
      <c r="J196" s="15"/>
      <c r="K196" s="48"/>
      <c r="L196" s="48"/>
      <c r="M196" s="48"/>
      <c r="N196" s="48"/>
      <c r="O196" s="50"/>
      <c r="P196"/>
      <c r="Q196"/>
    </row>
    <row r="197" spans="1:17" x14ac:dyDescent="0.2">
      <c r="I197" s="101"/>
    </row>
    <row r="198" spans="1:17" ht="153.75" customHeight="1" x14ac:dyDescent="0.2">
      <c r="I198" s="101"/>
    </row>
    <row r="199" spans="1:17" ht="25.5" customHeight="1" x14ac:dyDescent="0.2">
      <c r="I199" s="101"/>
    </row>
    <row r="200" spans="1:17" x14ac:dyDescent="0.2">
      <c r="B200" s="57" t="s">
        <v>633</v>
      </c>
      <c r="C200" s="58"/>
      <c r="D200" s="57"/>
      <c r="I200" s="101"/>
    </row>
    <row r="201" spans="1:17" x14ac:dyDescent="0.2">
      <c r="B201" s="57" t="s">
        <v>717</v>
      </c>
      <c r="D201" s="57"/>
      <c r="I201" s="101"/>
    </row>
    <row r="202" spans="1:17" x14ac:dyDescent="0.2">
      <c r="I202" s="101"/>
    </row>
    <row r="203" spans="1:17" x14ac:dyDescent="0.2">
      <c r="I203" s="101"/>
    </row>
    <row r="204" spans="1:17" ht="165" customHeight="1" x14ac:dyDescent="0.2">
      <c r="I204" s="101"/>
    </row>
    <row r="205" spans="1:17" x14ac:dyDescent="0.2">
      <c r="I205" s="101"/>
    </row>
    <row r="206" spans="1:17" x14ac:dyDescent="0.2">
      <c r="I206" s="101"/>
      <c r="J206" s="15"/>
    </row>
    <row r="207" spans="1:17" x14ac:dyDescent="0.2">
      <c r="I207" s="101"/>
    </row>
    <row r="208" spans="1:17" x14ac:dyDescent="0.2">
      <c r="I208" s="101"/>
    </row>
    <row r="209" spans="9:9" x14ac:dyDescent="0.2">
      <c r="I209" s="101"/>
    </row>
    <row r="210" spans="9:9" x14ac:dyDescent="0.2">
      <c r="I210" s="101"/>
    </row>
    <row r="211" spans="9:9" x14ac:dyDescent="0.2">
      <c r="I211" s="101"/>
    </row>
  </sheetData>
  <mergeCells count="36">
    <mergeCell ref="B162:C162"/>
    <mergeCell ref="B163:C163"/>
    <mergeCell ref="B160:C160"/>
    <mergeCell ref="B164:C164"/>
    <mergeCell ref="B146:H146"/>
    <mergeCell ref="B149:D149"/>
    <mergeCell ref="B150:C150"/>
    <mergeCell ref="B151:C151"/>
    <mergeCell ref="B152:C152"/>
    <mergeCell ref="B147:H147"/>
    <mergeCell ref="A1:H1"/>
    <mergeCell ref="A2:H2"/>
    <mergeCell ref="A3:H3"/>
    <mergeCell ref="B144:H144"/>
    <mergeCell ref="B145:H145"/>
    <mergeCell ref="B174:B176"/>
    <mergeCell ref="C174:C176"/>
    <mergeCell ref="D174:F174"/>
    <mergeCell ref="G174:I174"/>
    <mergeCell ref="D175:D176"/>
    <mergeCell ref="E175:E176"/>
    <mergeCell ref="F175:F176"/>
    <mergeCell ref="G175:H175"/>
    <mergeCell ref="I175:I176"/>
    <mergeCell ref="B179:I179"/>
    <mergeCell ref="B184:D184"/>
    <mergeCell ref="B185:C185"/>
    <mergeCell ref="B186:C186"/>
    <mergeCell ref="B187:C187"/>
    <mergeCell ref="B193:C193"/>
    <mergeCell ref="B194:D194"/>
    <mergeCell ref="B188:C188"/>
    <mergeCell ref="B189:C189"/>
    <mergeCell ref="B190:C190"/>
    <mergeCell ref="B191:C191"/>
    <mergeCell ref="B192:C192"/>
  </mergeCells>
  <hyperlinks>
    <hyperlink ref="I1" location="Index!B2" display="Index" xr:uid="{F37FD6EC-B6B7-4565-BDC9-73387FB45A3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ABD2F-10AB-459E-9853-898053EA2640}">
  <sheetPr>
    <outlinePr summaryBelow="0" summaryRight="0"/>
  </sheetPr>
  <dimension ref="A1:Q136"/>
  <sheetViews>
    <sheetView showGridLines="0" topLeftCell="A114" workbookViewId="0">
      <selection activeCell="D94" sqref="D94"/>
    </sheetView>
  </sheetViews>
  <sheetFormatPr defaultRowHeight="12.75" x14ac:dyDescent="0.2"/>
  <cols>
    <col min="1" max="1" width="5.85546875" bestFit="1" customWidth="1"/>
    <col min="2" max="2" width="19.7109375" bestFit="1" customWidth="1"/>
    <col min="3" max="3" width="48.42578125" customWidth="1"/>
    <col min="4" max="4" width="12.42578125" customWidth="1"/>
    <col min="5" max="5" width="8.7109375" bestFit="1" customWidth="1"/>
    <col min="6" max="6" width="10.140625" bestFit="1" customWidth="1"/>
    <col min="7" max="7" width="14" bestFit="1" customWidth="1"/>
    <col min="8" max="8" width="9.140625" customWidth="1"/>
  </cols>
  <sheetData>
    <row r="1" spans="1:9" ht="15" x14ac:dyDescent="0.2">
      <c r="A1" s="147" t="s">
        <v>0</v>
      </c>
      <c r="B1" s="147"/>
      <c r="C1" s="147"/>
      <c r="D1" s="147"/>
      <c r="E1" s="147"/>
      <c r="F1" s="147"/>
      <c r="G1" s="147"/>
      <c r="H1" s="147"/>
      <c r="I1" s="1" t="s">
        <v>604</v>
      </c>
    </row>
    <row r="2" spans="1:9" ht="15" x14ac:dyDescent="0.2">
      <c r="A2" s="147" t="s">
        <v>529</v>
      </c>
      <c r="B2" s="147"/>
      <c r="C2" s="147"/>
      <c r="D2" s="147"/>
      <c r="E2" s="147"/>
      <c r="F2" s="147"/>
      <c r="G2" s="147"/>
      <c r="H2" s="147"/>
    </row>
    <row r="3" spans="1:9" ht="15" x14ac:dyDescent="0.2">
      <c r="A3" s="147" t="s">
        <v>603</v>
      </c>
      <c r="B3" s="147"/>
      <c r="C3" s="147"/>
      <c r="D3" s="147"/>
      <c r="E3" s="147"/>
      <c r="F3" s="147"/>
      <c r="G3" s="147"/>
      <c r="H3" s="147"/>
    </row>
    <row r="4" spans="1:9" s="15" customFormat="1" ht="30" x14ac:dyDescent="0.2">
      <c r="A4" s="13" t="s">
        <v>2</v>
      </c>
      <c r="B4" s="13" t="s">
        <v>3</v>
      </c>
      <c r="C4" s="13" t="s">
        <v>4</v>
      </c>
      <c r="D4" s="13" t="s">
        <v>5</v>
      </c>
      <c r="E4" s="13" t="s">
        <v>6</v>
      </c>
      <c r="F4" s="13" t="s">
        <v>7</v>
      </c>
      <c r="G4" s="13" t="s">
        <v>8</v>
      </c>
      <c r="H4" s="14" t="s">
        <v>602</v>
      </c>
    </row>
    <row r="5" spans="1:9" x14ac:dyDescent="0.2">
      <c r="A5" s="16"/>
      <c r="B5" s="16"/>
      <c r="C5" s="8" t="s">
        <v>9</v>
      </c>
      <c r="D5" s="16"/>
      <c r="E5" s="16"/>
      <c r="F5" s="16"/>
      <c r="G5" s="16"/>
      <c r="H5" s="17" t="s">
        <v>12</v>
      </c>
    </row>
    <row r="6" spans="1:9" x14ac:dyDescent="0.2">
      <c r="A6" s="11"/>
      <c r="B6" s="11"/>
      <c r="C6" s="18" t="s">
        <v>10</v>
      </c>
      <c r="D6" s="11"/>
      <c r="E6" s="11"/>
      <c r="F6" s="11"/>
      <c r="G6" s="11"/>
      <c r="H6" s="17" t="s">
        <v>12</v>
      </c>
    </row>
    <row r="7" spans="1:9" x14ac:dyDescent="0.2">
      <c r="A7" s="11"/>
      <c r="B7" s="11"/>
      <c r="C7" s="18" t="s">
        <v>11</v>
      </c>
      <c r="D7" s="11"/>
      <c r="E7" s="11" t="s">
        <v>12</v>
      </c>
      <c r="F7" s="19" t="s">
        <v>13</v>
      </c>
      <c r="G7" s="20">
        <v>0</v>
      </c>
      <c r="H7" s="17" t="s">
        <v>12</v>
      </c>
    </row>
    <row r="8" spans="1:9" x14ac:dyDescent="0.2">
      <c r="A8" s="11"/>
      <c r="B8" s="11"/>
      <c r="C8" s="21"/>
      <c r="D8" s="11"/>
      <c r="E8" s="11"/>
      <c r="F8" s="22"/>
      <c r="G8" s="22"/>
      <c r="H8" s="17" t="s">
        <v>12</v>
      </c>
    </row>
    <row r="9" spans="1:9" x14ac:dyDescent="0.2">
      <c r="A9" s="11"/>
      <c r="B9" s="11"/>
      <c r="C9" s="18" t="s">
        <v>14</v>
      </c>
      <c r="D9" s="11"/>
      <c r="E9" s="11"/>
      <c r="F9" s="11"/>
      <c r="G9" s="11"/>
      <c r="H9" s="17" t="s">
        <v>12</v>
      </c>
    </row>
    <row r="10" spans="1:9" x14ac:dyDescent="0.2">
      <c r="A10" s="11"/>
      <c r="B10" s="11"/>
      <c r="C10" s="18" t="s">
        <v>11</v>
      </c>
      <c r="D10" s="11"/>
      <c r="E10" s="11" t="s">
        <v>12</v>
      </c>
      <c r="F10" s="19" t="s">
        <v>13</v>
      </c>
      <c r="G10" s="20">
        <v>0</v>
      </c>
      <c r="H10" s="17" t="s">
        <v>12</v>
      </c>
    </row>
    <row r="11" spans="1:9" x14ac:dyDescent="0.2">
      <c r="A11" s="11"/>
      <c r="B11" s="11"/>
      <c r="C11" s="21"/>
      <c r="D11" s="11"/>
      <c r="E11" s="11"/>
      <c r="F11" s="22"/>
      <c r="G11" s="22"/>
      <c r="H11" s="17" t="s">
        <v>12</v>
      </c>
    </row>
    <row r="12" spans="1:9" x14ac:dyDescent="0.2">
      <c r="A12" s="11"/>
      <c r="B12" s="11"/>
      <c r="C12" s="18" t="s">
        <v>15</v>
      </c>
      <c r="D12" s="11"/>
      <c r="E12" s="11"/>
      <c r="F12" s="11"/>
      <c r="G12" s="11"/>
      <c r="H12" s="17" t="s">
        <v>12</v>
      </c>
    </row>
    <row r="13" spans="1:9" x14ac:dyDescent="0.2">
      <c r="A13" s="11"/>
      <c r="B13" s="11"/>
      <c r="C13" s="18" t="s">
        <v>11</v>
      </c>
      <c r="D13" s="11"/>
      <c r="E13" s="11" t="s">
        <v>12</v>
      </c>
      <c r="F13" s="19" t="s">
        <v>13</v>
      </c>
      <c r="G13" s="20">
        <v>0</v>
      </c>
      <c r="H13" s="17" t="s">
        <v>12</v>
      </c>
    </row>
    <row r="14" spans="1:9" x14ac:dyDescent="0.2">
      <c r="A14" s="11"/>
      <c r="B14" s="11"/>
      <c r="C14" s="21"/>
      <c r="D14" s="11"/>
      <c r="E14" s="11"/>
      <c r="F14" s="22"/>
      <c r="G14" s="22"/>
      <c r="H14" s="17" t="s">
        <v>12</v>
      </c>
    </row>
    <row r="15" spans="1:9" x14ac:dyDescent="0.2">
      <c r="A15" s="11"/>
      <c r="B15" s="11"/>
      <c r="C15" s="18" t="s">
        <v>16</v>
      </c>
      <c r="D15" s="11"/>
      <c r="E15" s="11"/>
      <c r="F15" s="11"/>
      <c r="G15" s="11"/>
      <c r="H15" s="17" t="s">
        <v>12</v>
      </c>
    </row>
    <row r="16" spans="1:9" x14ac:dyDescent="0.2">
      <c r="A16" s="11"/>
      <c r="B16" s="11"/>
      <c r="C16" s="18" t="s">
        <v>11</v>
      </c>
      <c r="D16" s="11"/>
      <c r="E16" s="11" t="s">
        <v>12</v>
      </c>
      <c r="F16" s="19" t="s">
        <v>13</v>
      </c>
      <c r="G16" s="20">
        <v>0</v>
      </c>
      <c r="H16" s="17" t="s">
        <v>12</v>
      </c>
    </row>
    <row r="17" spans="1:8" x14ac:dyDescent="0.2">
      <c r="A17" s="11"/>
      <c r="B17" s="11"/>
      <c r="C17" s="21"/>
      <c r="D17" s="11"/>
      <c r="E17" s="11"/>
      <c r="F17" s="22"/>
      <c r="G17" s="22"/>
      <c r="H17" s="17" t="s">
        <v>12</v>
      </c>
    </row>
    <row r="18" spans="1:8" x14ac:dyDescent="0.2">
      <c r="A18" s="11"/>
      <c r="B18" s="11"/>
      <c r="C18" s="18" t="s">
        <v>17</v>
      </c>
      <c r="D18" s="11"/>
      <c r="E18" s="11"/>
      <c r="F18" s="22"/>
      <c r="G18" s="22"/>
      <c r="H18" s="17" t="s">
        <v>12</v>
      </c>
    </row>
    <row r="19" spans="1:8" x14ac:dyDescent="0.2">
      <c r="A19" s="11"/>
      <c r="B19" s="11"/>
      <c r="C19" s="18" t="s">
        <v>11</v>
      </c>
      <c r="D19" s="11"/>
      <c r="E19" s="11" t="s">
        <v>12</v>
      </c>
      <c r="F19" s="19" t="s">
        <v>13</v>
      </c>
      <c r="G19" s="20">
        <v>0</v>
      </c>
      <c r="H19" s="17" t="s">
        <v>12</v>
      </c>
    </row>
    <row r="20" spans="1:8" x14ac:dyDescent="0.2">
      <c r="A20" s="11"/>
      <c r="B20" s="11"/>
      <c r="C20" s="21"/>
      <c r="D20" s="11"/>
      <c r="E20" s="11"/>
      <c r="F20" s="22"/>
      <c r="G20" s="22"/>
      <c r="H20" s="17" t="s">
        <v>12</v>
      </c>
    </row>
    <row r="21" spans="1:8" x14ac:dyDescent="0.2">
      <c r="A21" s="11"/>
      <c r="B21" s="11"/>
      <c r="C21" s="18" t="s">
        <v>18</v>
      </c>
      <c r="D21" s="11"/>
      <c r="E21" s="11"/>
      <c r="F21" s="22"/>
      <c r="G21" s="22"/>
      <c r="H21" s="17" t="s">
        <v>12</v>
      </c>
    </row>
    <row r="22" spans="1:8" x14ac:dyDescent="0.2">
      <c r="A22" s="11"/>
      <c r="B22" s="11"/>
      <c r="C22" s="18" t="s">
        <v>11</v>
      </c>
      <c r="D22" s="11"/>
      <c r="E22" s="11" t="s">
        <v>12</v>
      </c>
      <c r="F22" s="19" t="s">
        <v>13</v>
      </c>
      <c r="G22" s="20">
        <v>0</v>
      </c>
      <c r="H22" s="17" t="s">
        <v>12</v>
      </c>
    </row>
    <row r="23" spans="1:8" x14ac:dyDescent="0.2">
      <c r="A23" s="11"/>
      <c r="B23" s="11"/>
      <c r="C23" s="21"/>
      <c r="D23" s="11"/>
      <c r="E23" s="11"/>
      <c r="F23" s="22"/>
      <c r="G23" s="22"/>
      <c r="H23" s="17" t="s">
        <v>12</v>
      </c>
    </row>
    <row r="24" spans="1:8" x14ac:dyDescent="0.2">
      <c r="A24" s="11"/>
      <c r="B24" s="11"/>
      <c r="C24" s="18" t="s">
        <v>19</v>
      </c>
      <c r="D24" s="11"/>
      <c r="E24" s="11"/>
      <c r="F24" s="23">
        <v>0</v>
      </c>
      <c r="G24" s="20">
        <v>0</v>
      </c>
      <c r="H24" s="17" t="s">
        <v>12</v>
      </c>
    </row>
    <row r="25" spans="1:8" x14ac:dyDescent="0.2">
      <c r="A25" s="11"/>
      <c r="B25" s="11"/>
      <c r="C25" s="21"/>
      <c r="D25" s="11"/>
      <c r="E25" s="11"/>
      <c r="F25" s="22"/>
      <c r="G25" s="22"/>
      <c r="H25" s="17" t="s">
        <v>12</v>
      </c>
    </row>
    <row r="26" spans="1:8" x14ac:dyDescent="0.2">
      <c r="A26" s="11"/>
      <c r="B26" s="11"/>
      <c r="C26" s="18" t="s">
        <v>20</v>
      </c>
      <c r="D26" s="11"/>
      <c r="E26" s="11"/>
      <c r="F26" s="22"/>
      <c r="G26" s="22"/>
      <c r="H26" s="17" t="s">
        <v>12</v>
      </c>
    </row>
    <row r="27" spans="1:8" x14ac:dyDescent="0.2">
      <c r="A27" s="11"/>
      <c r="B27" s="11"/>
      <c r="C27" s="18" t="s">
        <v>10</v>
      </c>
      <c r="D27" s="11"/>
      <c r="E27" s="11"/>
      <c r="F27" s="22"/>
      <c r="G27" s="22"/>
      <c r="H27" s="17" t="s">
        <v>12</v>
      </c>
    </row>
    <row r="28" spans="1:8" x14ac:dyDescent="0.2">
      <c r="A28" s="24">
        <v>1</v>
      </c>
      <c r="B28" s="9" t="s">
        <v>285</v>
      </c>
      <c r="C28" s="9" t="s">
        <v>286</v>
      </c>
      <c r="D28" s="9" t="s">
        <v>279</v>
      </c>
      <c r="E28" s="25">
        <v>200</v>
      </c>
      <c r="F28" s="26">
        <v>201.14160000000001</v>
      </c>
      <c r="G28" s="27">
        <v>4.6840590000000001E-2</v>
      </c>
      <c r="H28" s="17">
        <v>7</v>
      </c>
    </row>
    <row r="29" spans="1:8" ht="25.5" x14ac:dyDescent="0.2">
      <c r="A29" s="24">
        <v>2</v>
      </c>
      <c r="B29" s="9" t="s">
        <v>499</v>
      </c>
      <c r="C29" s="9" t="s">
        <v>500</v>
      </c>
      <c r="D29" s="9" t="s">
        <v>292</v>
      </c>
      <c r="E29" s="25">
        <v>200</v>
      </c>
      <c r="F29" s="26">
        <v>200.43039999999999</v>
      </c>
      <c r="G29" s="27">
        <v>4.6674970000000003E-2</v>
      </c>
      <c r="H29" s="17">
        <v>7.2350000000000003</v>
      </c>
    </row>
    <row r="30" spans="1:8" x14ac:dyDescent="0.2">
      <c r="A30" s="24">
        <v>3</v>
      </c>
      <c r="B30" s="9" t="s">
        <v>65</v>
      </c>
      <c r="C30" s="9" t="s">
        <v>66</v>
      </c>
      <c r="D30" s="9" t="s">
        <v>26</v>
      </c>
      <c r="E30" s="25">
        <v>200</v>
      </c>
      <c r="F30" s="26">
        <v>199.51519999999999</v>
      </c>
      <c r="G30" s="27">
        <v>4.6461839999999997E-2</v>
      </c>
      <c r="H30" s="17">
        <v>6.7</v>
      </c>
    </row>
    <row r="31" spans="1:8" x14ac:dyDescent="0.2">
      <c r="A31" s="24">
        <v>4</v>
      </c>
      <c r="B31" s="9" t="s">
        <v>306</v>
      </c>
      <c r="C31" s="9" t="s">
        <v>307</v>
      </c>
      <c r="D31" s="9" t="s">
        <v>292</v>
      </c>
      <c r="E31" s="25">
        <v>150</v>
      </c>
      <c r="F31" s="26">
        <v>152.28165000000001</v>
      </c>
      <c r="G31" s="27">
        <v>3.5462390000000003E-2</v>
      </c>
      <c r="H31" s="17">
        <v>7.93</v>
      </c>
    </row>
    <row r="32" spans="1:8" x14ac:dyDescent="0.2">
      <c r="A32" s="24">
        <v>5</v>
      </c>
      <c r="B32" s="9" t="s">
        <v>298</v>
      </c>
      <c r="C32" s="9" t="s">
        <v>299</v>
      </c>
      <c r="D32" s="9" t="s">
        <v>292</v>
      </c>
      <c r="E32" s="25">
        <v>100</v>
      </c>
      <c r="F32" s="26">
        <v>101.354</v>
      </c>
      <c r="G32" s="27">
        <v>2.3602680000000001E-2</v>
      </c>
      <c r="H32" s="17">
        <v>7.03</v>
      </c>
    </row>
    <row r="33" spans="1:8" x14ac:dyDescent="0.2">
      <c r="A33" s="24">
        <v>6</v>
      </c>
      <c r="B33" s="9" t="s">
        <v>280</v>
      </c>
      <c r="C33" s="9" t="s">
        <v>281</v>
      </c>
      <c r="D33" s="9" t="s">
        <v>282</v>
      </c>
      <c r="E33" s="25">
        <v>100</v>
      </c>
      <c r="F33" s="26">
        <v>101.2561</v>
      </c>
      <c r="G33" s="27">
        <v>2.3579880000000001E-2</v>
      </c>
      <c r="H33" s="17">
        <v>6.88</v>
      </c>
    </row>
    <row r="34" spans="1:8" x14ac:dyDescent="0.2">
      <c r="A34" s="24">
        <v>7</v>
      </c>
      <c r="B34" s="9" t="s">
        <v>300</v>
      </c>
      <c r="C34" s="9" t="s">
        <v>301</v>
      </c>
      <c r="D34" s="9" t="s">
        <v>26</v>
      </c>
      <c r="E34" s="25">
        <v>100</v>
      </c>
      <c r="F34" s="26">
        <v>101.2321</v>
      </c>
      <c r="G34" s="27">
        <v>2.3574290000000001E-2</v>
      </c>
      <c r="H34" s="17">
        <v>7.1574999999999998</v>
      </c>
    </row>
    <row r="35" spans="1:8" x14ac:dyDescent="0.2">
      <c r="A35" s="24">
        <v>8</v>
      </c>
      <c r="B35" s="9" t="s">
        <v>63</v>
      </c>
      <c r="C35" s="9" t="s">
        <v>64</v>
      </c>
      <c r="D35" s="9" t="s">
        <v>23</v>
      </c>
      <c r="E35" s="25">
        <v>100</v>
      </c>
      <c r="F35" s="26">
        <v>100.56740000000001</v>
      </c>
      <c r="G35" s="27">
        <v>2.3419499999999999E-2</v>
      </c>
      <c r="H35" s="17">
        <v>7.1698000000000004</v>
      </c>
    </row>
    <row r="36" spans="1:8" x14ac:dyDescent="0.2">
      <c r="A36" s="11"/>
      <c r="B36" s="11"/>
      <c r="C36" s="18" t="s">
        <v>11</v>
      </c>
      <c r="D36" s="11"/>
      <c r="E36" s="11" t="s">
        <v>12</v>
      </c>
      <c r="F36" s="23">
        <v>1157.77845</v>
      </c>
      <c r="G36" s="20">
        <v>0.26961614</v>
      </c>
      <c r="H36" s="17" t="s">
        <v>12</v>
      </c>
    </row>
    <row r="37" spans="1:8" x14ac:dyDescent="0.2">
      <c r="A37" s="11"/>
      <c r="B37" s="11"/>
      <c r="C37" s="21"/>
      <c r="D37" s="11"/>
      <c r="E37" s="11"/>
      <c r="F37" s="22"/>
      <c r="G37" s="22"/>
      <c r="H37" s="17" t="s">
        <v>12</v>
      </c>
    </row>
    <row r="38" spans="1:8" x14ac:dyDescent="0.2">
      <c r="A38" s="11"/>
      <c r="B38" s="11"/>
      <c r="C38" s="18" t="s">
        <v>77</v>
      </c>
      <c r="D38" s="11"/>
      <c r="E38" s="11"/>
      <c r="F38" s="11"/>
      <c r="G38" s="11"/>
      <c r="H38" s="17" t="s">
        <v>12</v>
      </c>
    </row>
    <row r="39" spans="1:8" x14ac:dyDescent="0.2">
      <c r="A39" s="11"/>
      <c r="B39" s="11"/>
      <c r="C39" s="18" t="s">
        <v>11</v>
      </c>
      <c r="D39" s="11"/>
      <c r="E39" s="11" t="s">
        <v>12</v>
      </c>
      <c r="F39" s="19" t="s">
        <v>13</v>
      </c>
      <c r="G39" s="20">
        <v>0</v>
      </c>
      <c r="H39" s="17" t="s">
        <v>12</v>
      </c>
    </row>
    <row r="40" spans="1:8" x14ac:dyDescent="0.2">
      <c r="A40" s="11"/>
      <c r="B40" s="11"/>
      <c r="C40" s="21"/>
      <c r="D40" s="11"/>
      <c r="E40" s="11"/>
      <c r="F40" s="22"/>
      <c r="G40" s="22"/>
      <c r="H40" s="17" t="s">
        <v>12</v>
      </c>
    </row>
    <row r="41" spans="1:8" x14ac:dyDescent="0.2">
      <c r="A41" s="11"/>
      <c r="B41" s="11"/>
      <c r="C41" s="18" t="s">
        <v>78</v>
      </c>
      <c r="D41" s="11"/>
      <c r="E41" s="11"/>
      <c r="F41" s="11"/>
      <c r="G41" s="11"/>
      <c r="H41" s="17" t="s">
        <v>12</v>
      </c>
    </row>
    <row r="42" spans="1:8" x14ac:dyDescent="0.2">
      <c r="A42" s="24">
        <v>1</v>
      </c>
      <c r="B42" s="9" t="s">
        <v>486</v>
      </c>
      <c r="C42" s="9" t="s">
        <v>487</v>
      </c>
      <c r="D42" s="9" t="s">
        <v>81</v>
      </c>
      <c r="E42" s="25">
        <v>1400000</v>
      </c>
      <c r="F42" s="26">
        <v>1463.8666000000001</v>
      </c>
      <c r="G42" s="27">
        <v>0.34089604000000001</v>
      </c>
      <c r="H42" s="17">
        <v>6.51</v>
      </c>
    </row>
    <row r="43" spans="1:8" x14ac:dyDescent="0.2">
      <c r="A43" s="24">
        <v>2</v>
      </c>
      <c r="B43" s="9" t="s">
        <v>90</v>
      </c>
      <c r="C43" s="9" t="s">
        <v>91</v>
      </c>
      <c r="D43" s="9" t="s">
        <v>81</v>
      </c>
      <c r="E43" s="25">
        <v>500000</v>
      </c>
      <c r="F43" s="26">
        <v>522.27949999999998</v>
      </c>
      <c r="G43" s="27">
        <v>0.12162516</v>
      </c>
      <c r="H43" s="17">
        <v>5.9339000000000004</v>
      </c>
    </row>
    <row r="44" spans="1:8" x14ac:dyDescent="0.2">
      <c r="A44" s="24">
        <v>3</v>
      </c>
      <c r="B44" s="9" t="s">
        <v>530</v>
      </c>
      <c r="C44" s="9" t="s">
        <v>531</v>
      </c>
      <c r="D44" s="9" t="s">
        <v>81</v>
      </c>
      <c r="E44" s="25">
        <v>500000</v>
      </c>
      <c r="F44" s="26">
        <v>500.41199999999998</v>
      </c>
      <c r="G44" s="27">
        <v>0.11653280000000001</v>
      </c>
      <c r="H44" s="17">
        <v>5.7480000000000002</v>
      </c>
    </row>
    <row r="45" spans="1:8" ht="25.5" x14ac:dyDescent="0.2">
      <c r="A45" s="24">
        <v>4</v>
      </c>
      <c r="B45" s="9" t="s">
        <v>488</v>
      </c>
      <c r="C45" s="9" t="s">
        <v>489</v>
      </c>
      <c r="D45" s="9" t="s">
        <v>81</v>
      </c>
      <c r="E45" s="25">
        <v>230000</v>
      </c>
      <c r="F45" s="26">
        <v>239.58318</v>
      </c>
      <c r="G45" s="27">
        <v>5.5792620000000001E-2</v>
      </c>
      <c r="H45" s="17">
        <v>6.9097999999999997</v>
      </c>
    </row>
    <row r="46" spans="1:8" x14ac:dyDescent="0.2">
      <c r="A46" s="24">
        <v>5</v>
      </c>
      <c r="B46" s="9" t="s">
        <v>163</v>
      </c>
      <c r="C46" s="9" t="s">
        <v>164</v>
      </c>
      <c r="D46" s="9" t="s">
        <v>81</v>
      </c>
      <c r="E46" s="25">
        <v>100000</v>
      </c>
      <c r="F46" s="26">
        <v>103.61750000000001</v>
      </c>
      <c r="G46" s="27">
        <v>2.4129790000000002E-2</v>
      </c>
      <c r="H46" s="17">
        <v>6.0682999999999998</v>
      </c>
    </row>
    <row r="47" spans="1:8" x14ac:dyDescent="0.2">
      <c r="A47" s="11"/>
      <c r="B47" s="11"/>
      <c r="C47" s="18" t="s">
        <v>11</v>
      </c>
      <c r="D47" s="11"/>
      <c r="E47" s="11" t="s">
        <v>12</v>
      </c>
      <c r="F47" s="23">
        <v>2829.7587800000001</v>
      </c>
      <c r="G47" s="20">
        <v>0.65897640999999996</v>
      </c>
      <c r="H47" s="17" t="s">
        <v>12</v>
      </c>
    </row>
    <row r="48" spans="1:8" x14ac:dyDescent="0.2">
      <c r="A48" s="11"/>
      <c r="B48" s="11"/>
      <c r="C48" s="21"/>
      <c r="D48" s="11"/>
      <c r="E48" s="11"/>
      <c r="F48" s="22"/>
      <c r="G48" s="22"/>
      <c r="H48" s="17" t="s">
        <v>12</v>
      </c>
    </row>
    <row r="49" spans="1:8" x14ac:dyDescent="0.2">
      <c r="A49" s="11"/>
      <c r="B49" s="11"/>
      <c r="C49" s="18" t="s">
        <v>96</v>
      </c>
      <c r="D49" s="11"/>
      <c r="E49" s="11"/>
      <c r="F49" s="22"/>
      <c r="G49" s="22"/>
      <c r="H49" s="17" t="s">
        <v>12</v>
      </c>
    </row>
    <row r="50" spans="1:8" x14ac:dyDescent="0.2">
      <c r="A50" s="11"/>
      <c r="B50" s="11"/>
      <c r="C50" s="18" t="s">
        <v>11</v>
      </c>
      <c r="D50" s="11"/>
      <c r="E50" s="11" t="s">
        <v>12</v>
      </c>
      <c r="F50" s="19" t="s">
        <v>13</v>
      </c>
      <c r="G50" s="20">
        <v>0</v>
      </c>
      <c r="H50" s="17" t="s">
        <v>12</v>
      </c>
    </row>
    <row r="51" spans="1:8" x14ac:dyDescent="0.2">
      <c r="A51" s="11"/>
      <c r="B51" s="11"/>
      <c r="C51" s="21"/>
      <c r="D51" s="11"/>
      <c r="E51" s="11"/>
      <c r="F51" s="22"/>
      <c r="G51" s="22"/>
      <c r="H51" s="17" t="s">
        <v>12</v>
      </c>
    </row>
    <row r="52" spans="1:8" x14ac:dyDescent="0.2">
      <c r="A52" s="11"/>
      <c r="B52" s="11"/>
      <c r="C52" s="18" t="s">
        <v>97</v>
      </c>
      <c r="D52" s="11"/>
      <c r="E52" s="11"/>
      <c r="F52" s="23">
        <v>3987.5372299999999</v>
      </c>
      <c r="G52" s="20">
        <v>0.92859254999999996</v>
      </c>
      <c r="H52" s="17" t="s">
        <v>12</v>
      </c>
    </row>
    <row r="53" spans="1:8" x14ac:dyDescent="0.2">
      <c r="A53" s="11"/>
      <c r="B53" s="11"/>
      <c r="C53" s="21"/>
      <c r="D53" s="11"/>
      <c r="E53" s="11"/>
      <c r="F53" s="22"/>
      <c r="G53" s="22"/>
      <c r="H53" s="17" t="s">
        <v>12</v>
      </c>
    </row>
    <row r="54" spans="1:8" x14ac:dyDescent="0.2">
      <c r="A54" s="11"/>
      <c r="B54" s="11"/>
      <c r="C54" s="18" t="s">
        <v>98</v>
      </c>
      <c r="D54" s="11"/>
      <c r="E54" s="11"/>
      <c r="F54" s="22"/>
      <c r="G54" s="22"/>
      <c r="H54" s="17" t="s">
        <v>12</v>
      </c>
    </row>
    <row r="55" spans="1:8" x14ac:dyDescent="0.2">
      <c r="A55" s="11"/>
      <c r="B55" s="11"/>
      <c r="C55" s="18" t="s">
        <v>99</v>
      </c>
      <c r="D55" s="11"/>
      <c r="E55" s="11"/>
      <c r="F55" s="22"/>
      <c r="G55" s="22"/>
      <c r="H55" s="17" t="s">
        <v>12</v>
      </c>
    </row>
    <row r="56" spans="1:8" x14ac:dyDescent="0.2">
      <c r="A56" s="11"/>
      <c r="B56" s="11"/>
      <c r="C56" s="18" t="s">
        <v>11</v>
      </c>
      <c r="D56" s="11"/>
      <c r="E56" s="11" t="s">
        <v>12</v>
      </c>
      <c r="F56" s="19" t="s">
        <v>13</v>
      </c>
      <c r="G56" s="20">
        <v>0</v>
      </c>
      <c r="H56" s="17" t="s">
        <v>12</v>
      </c>
    </row>
    <row r="57" spans="1:8" x14ac:dyDescent="0.2">
      <c r="A57" s="11"/>
      <c r="B57" s="11"/>
      <c r="C57" s="21"/>
      <c r="D57" s="11"/>
      <c r="E57" s="11"/>
      <c r="F57" s="22"/>
      <c r="G57" s="22"/>
      <c r="H57" s="17" t="s">
        <v>12</v>
      </c>
    </row>
    <row r="58" spans="1:8" x14ac:dyDescent="0.2">
      <c r="A58" s="11"/>
      <c r="B58" s="11"/>
      <c r="C58" s="18" t="s">
        <v>109</v>
      </c>
      <c r="D58" s="11"/>
      <c r="E58" s="11"/>
      <c r="F58" s="22"/>
      <c r="G58" s="22"/>
      <c r="H58" s="17" t="s">
        <v>12</v>
      </c>
    </row>
    <row r="59" spans="1:8" x14ac:dyDescent="0.2">
      <c r="A59" s="11"/>
      <c r="B59" s="11"/>
      <c r="C59" s="18" t="s">
        <v>11</v>
      </c>
      <c r="D59" s="11"/>
      <c r="E59" s="11" t="s">
        <v>12</v>
      </c>
      <c r="F59" s="19" t="s">
        <v>13</v>
      </c>
      <c r="G59" s="20">
        <v>0</v>
      </c>
      <c r="H59" s="17" t="s">
        <v>12</v>
      </c>
    </row>
    <row r="60" spans="1:8" x14ac:dyDescent="0.2">
      <c r="A60" s="11"/>
      <c r="B60" s="11"/>
      <c r="C60" s="21"/>
      <c r="D60" s="11"/>
      <c r="E60" s="11"/>
      <c r="F60" s="22"/>
      <c r="G60" s="22"/>
      <c r="H60" s="17" t="s">
        <v>12</v>
      </c>
    </row>
    <row r="61" spans="1:8" x14ac:dyDescent="0.2">
      <c r="A61" s="11"/>
      <c r="B61" s="11"/>
      <c r="C61" s="18" t="s">
        <v>110</v>
      </c>
      <c r="D61" s="11"/>
      <c r="E61" s="11"/>
      <c r="F61" s="22"/>
      <c r="G61" s="22"/>
      <c r="H61" s="17" t="s">
        <v>12</v>
      </c>
    </row>
    <row r="62" spans="1:8" x14ac:dyDescent="0.2">
      <c r="A62" s="11"/>
      <c r="B62" s="11"/>
      <c r="C62" s="18" t="s">
        <v>11</v>
      </c>
      <c r="D62" s="11"/>
      <c r="E62" s="11" t="s">
        <v>12</v>
      </c>
      <c r="F62" s="19" t="s">
        <v>13</v>
      </c>
      <c r="G62" s="20">
        <v>0</v>
      </c>
      <c r="H62" s="17" t="s">
        <v>12</v>
      </c>
    </row>
    <row r="63" spans="1:8" x14ac:dyDescent="0.2">
      <c r="A63" s="11"/>
      <c r="B63" s="11"/>
      <c r="C63" s="21"/>
      <c r="D63" s="11"/>
      <c r="E63" s="11"/>
      <c r="F63" s="22"/>
      <c r="G63" s="22"/>
      <c r="H63" s="17" t="s">
        <v>12</v>
      </c>
    </row>
    <row r="64" spans="1:8" x14ac:dyDescent="0.2">
      <c r="A64" s="11"/>
      <c r="B64" s="11"/>
      <c r="C64" s="18" t="s">
        <v>111</v>
      </c>
      <c r="D64" s="11"/>
      <c r="E64" s="11"/>
      <c r="F64" s="22"/>
      <c r="G64" s="22"/>
      <c r="H64" s="17" t="s">
        <v>12</v>
      </c>
    </row>
    <row r="65" spans="1:17" x14ac:dyDescent="0.2">
      <c r="A65" s="24">
        <v>1</v>
      </c>
      <c r="B65" s="9"/>
      <c r="C65" s="9" t="s">
        <v>112</v>
      </c>
      <c r="D65" s="9"/>
      <c r="E65" s="28"/>
      <c r="F65" s="26">
        <v>209.089648001</v>
      </c>
      <c r="G65" s="27">
        <v>4.8691480000000002E-2</v>
      </c>
      <c r="H65" s="17">
        <v>5.3</v>
      </c>
    </row>
    <row r="66" spans="1:17" x14ac:dyDescent="0.2">
      <c r="A66" s="11"/>
      <c r="B66" s="11"/>
      <c r="C66" s="18" t="s">
        <v>11</v>
      </c>
      <c r="D66" s="11"/>
      <c r="E66" s="11" t="s">
        <v>12</v>
      </c>
      <c r="F66" s="23">
        <v>209.089648001</v>
      </c>
      <c r="G66" s="20">
        <v>4.8691480000000002E-2</v>
      </c>
      <c r="H66" s="17" t="s">
        <v>12</v>
      </c>
    </row>
    <row r="67" spans="1:17" x14ac:dyDescent="0.2">
      <c r="A67" s="11"/>
      <c r="B67" s="11"/>
      <c r="C67" s="21"/>
      <c r="D67" s="11"/>
      <c r="E67" s="11"/>
      <c r="F67" s="22"/>
      <c r="G67" s="22"/>
      <c r="H67" s="17" t="s">
        <v>12</v>
      </c>
    </row>
    <row r="68" spans="1:17" x14ac:dyDescent="0.2">
      <c r="A68" s="11"/>
      <c r="B68" s="11"/>
      <c r="C68" s="18" t="s">
        <v>113</v>
      </c>
      <c r="D68" s="11"/>
      <c r="E68" s="11"/>
      <c r="F68" s="23">
        <v>209.089648001</v>
      </c>
      <c r="G68" s="20">
        <v>4.8691480000000002E-2</v>
      </c>
      <c r="H68" s="17" t="s">
        <v>12</v>
      </c>
    </row>
    <row r="69" spans="1:17" x14ac:dyDescent="0.2">
      <c r="A69" s="11"/>
      <c r="B69" s="11"/>
      <c r="C69" s="22"/>
      <c r="D69" s="11"/>
      <c r="E69" s="11"/>
      <c r="F69" s="11"/>
      <c r="G69" s="11"/>
      <c r="H69" s="17" t="s">
        <v>12</v>
      </c>
    </row>
    <row r="70" spans="1:17" x14ac:dyDescent="0.2">
      <c r="A70" s="11"/>
      <c r="B70" s="11"/>
      <c r="C70" s="18" t="s">
        <v>114</v>
      </c>
      <c r="D70" s="11"/>
      <c r="E70" s="11"/>
      <c r="F70" s="11"/>
      <c r="G70" s="11"/>
      <c r="H70" s="17" t="s">
        <v>12</v>
      </c>
    </row>
    <row r="71" spans="1:17" x14ac:dyDescent="0.2">
      <c r="A71" s="11"/>
      <c r="B71" s="11"/>
      <c r="C71" s="18" t="s">
        <v>115</v>
      </c>
      <c r="D71" s="11"/>
      <c r="E71" s="11"/>
      <c r="F71" s="11"/>
      <c r="G71" s="11"/>
      <c r="H71" s="17" t="s">
        <v>12</v>
      </c>
    </row>
    <row r="72" spans="1:17" x14ac:dyDescent="0.2">
      <c r="A72" s="11"/>
      <c r="B72" s="11"/>
      <c r="C72" s="18" t="s">
        <v>11</v>
      </c>
      <c r="D72" s="11"/>
      <c r="E72" s="11" t="s">
        <v>12</v>
      </c>
      <c r="F72" s="19" t="s">
        <v>13</v>
      </c>
      <c r="G72" s="20">
        <v>0</v>
      </c>
      <c r="H72" s="17" t="s">
        <v>12</v>
      </c>
    </row>
    <row r="73" spans="1:17" x14ac:dyDescent="0.2">
      <c r="A73" s="16"/>
      <c r="B73" s="16"/>
      <c r="C73" s="65"/>
      <c r="D73" s="16"/>
      <c r="E73" s="16"/>
      <c r="F73" s="35"/>
      <c r="G73" s="35"/>
      <c r="H73" s="17" t="s">
        <v>12</v>
      </c>
    </row>
    <row r="74" spans="1:17" x14ac:dyDescent="0.2">
      <c r="A74" s="16"/>
      <c r="B74" s="16"/>
      <c r="C74" s="8" t="s">
        <v>618</v>
      </c>
      <c r="D74" s="16"/>
      <c r="E74" s="16"/>
      <c r="F74" s="35"/>
      <c r="G74" s="35"/>
      <c r="H74" s="17" t="s">
        <v>12</v>
      </c>
      <c r="K74" s="48"/>
      <c r="L74" s="48"/>
      <c r="M74" s="48"/>
      <c r="N74" s="48"/>
      <c r="O74" s="66"/>
      <c r="P74" s="66"/>
      <c r="Q74" s="66"/>
    </row>
    <row r="75" spans="1:17" x14ac:dyDescent="0.2">
      <c r="A75" s="59">
        <v>1</v>
      </c>
      <c r="B75" s="60" t="s">
        <v>116</v>
      </c>
      <c r="C75" s="60" t="s">
        <v>117</v>
      </c>
      <c r="D75" s="60"/>
      <c r="E75" s="67">
        <v>112.994</v>
      </c>
      <c r="F75" s="62">
        <v>12.732213185000001</v>
      </c>
      <c r="G75" s="63">
        <v>2.9650000000000002E-3</v>
      </c>
      <c r="H75" s="17"/>
    </row>
    <row r="76" spans="1:17" x14ac:dyDescent="0.2">
      <c r="A76" s="16"/>
      <c r="B76" s="16"/>
      <c r="C76" s="8" t="s">
        <v>11</v>
      </c>
      <c r="D76" s="16"/>
      <c r="E76" s="16" t="s">
        <v>12</v>
      </c>
      <c r="F76" s="68">
        <f>SUM(F75)</f>
        <v>12.732213185000001</v>
      </c>
      <c r="G76" s="69">
        <f>SUM(G75)</f>
        <v>2.9650000000000002E-3</v>
      </c>
      <c r="H76" s="17" t="s">
        <v>12</v>
      </c>
    </row>
    <row r="77" spans="1:17" x14ac:dyDescent="0.2">
      <c r="A77" s="11"/>
      <c r="B77" s="11"/>
      <c r="C77" s="21"/>
      <c r="D77" s="11"/>
      <c r="E77" s="11"/>
      <c r="F77" s="22"/>
      <c r="G77" s="22"/>
      <c r="H77" s="17" t="s">
        <v>12</v>
      </c>
    </row>
    <row r="78" spans="1:17" x14ac:dyDescent="0.2">
      <c r="A78" s="11"/>
      <c r="B78" s="11"/>
      <c r="C78" s="18" t="s">
        <v>118</v>
      </c>
      <c r="D78" s="11"/>
      <c r="E78" s="11"/>
      <c r="F78" s="11"/>
      <c r="G78" s="11"/>
      <c r="H78" s="17" t="s">
        <v>12</v>
      </c>
    </row>
    <row r="79" spans="1:17" x14ac:dyDescent="0.2">
      <c r="A79" s="11"/>
      <c r="B79" s="11"/>
      <c r="C79" s="18" t="s">
        <v>119</v>
      </c>
      <c r="D79" s="11"/>
      <c r="E79" s="11"/>
      <c r="F79" s="11"/>
      <c r="G79" s="11"/>
      <c r="H79" s="17" t="s">
        <v>12</v>
      </c>
    </row>
    <row r="80" spans="1:17" x14ac:dyDescent="0.2">
      <c r="A80" s="11"/>
      <c r="B80" s="11"/>
      <c r="C80" s="18" t="s">
        <v>11</v>
      </c>
      <c r="D80" s="11"/>
      <c r="E80" s="11" t="s">
        <v>12</v>
      </c>
      <c r="F80" s="19" t="s">
        <v>13</v>
      </c>
      <c r="G80" s="20">
        <v>0</v>
      </c>
      <c r="H80" s="17" t="s">
        <v>12</v>
      </c>
    </row>
    <row r="81" spans="1:8" x14ac:dyDescent="0.2">
      <c r="A81" s="11"/>
      <c r="B81" s="11"/>
      <c r="C81" s="21"/>
      <c r="D81" s="11"/>
      <c r="E81" s="11"/>
      <c r="F81" s="22"/>
      <c r="G81" s="22"/>
      <c r="H81" s="17" t="s">
        <v>12</v>
      </c>
    </row>
    <row r="82" spans="1:8" x14ac:dyDescent="0.2">
      <c r="A82" s="11"/>
      <c r="B82" s="11"/>
      <c r="C82" s="18" t="s">
        <v>120</v>
      </c>
      <c r="D82" s="11"/>
      <c r="E82" s="11"/>
      <c r="F82" s="22"/>
      <c r="G82" s="22"/>
      <c r="H82" s="17" t="s">
        <v>12</v>
      </c>
    </row>
    <row r="83" spans="1:8" x14ac:dyDescent="0.2">
      <c r="A83" s="11"/>
      <c r="B83" s="11"/>
      <c r="C83" s="18" t="s">
        <v>11</v>
      </c>
      <c r="D83" s="11"/>
      <c r="E83" s="11" t="s">
        <v>12</v>
      </c>
      <c r="F83" s="19" t="s">
        <v>13</v>
      </c>
      <c r="G83" s="20">
        <v>0</v>
      </c>
      <c r="H83" s="17" t="s">
        <v>12</v>
      </c>
    </row>
    <row r="84" spans="1:8" x14ac:dyDescent="0.2">
      <c r="A84" s="11"/>
      <c r="B84" s="11"/>
      <c r="C84" s="21"/>
      <c r="D84" s="11"/>
      <c r="E84" s="11"/>
      <c r="F84" s="22"/>
      <c r="G84" s="22"/>
      <c r="H84" s="17" t="s">
        <v>12</v>
      </c>
    </row>
    <row r="85" spans="1:8" x14ac:dyDescent="0.2">
      <c r="A85" s="28"/>
      <c r="B85" s="9"/>
      <c r="C85" s="9" t="s">
        <v>121</v>
      </c>
      <c r="D85" s="9"/>
      <c r="E85" s="28"/>
      <c r="F85" s="26">
        <v>84.81396694</v>
      </c>
      <c r="G85" s="27">
        <v>1.9750940000000002E-2</v>
      </c>
      <c r="H85" s="17" t="s">
        <v>12</v>
      </c>
    </row>
    <row r="86" spans="1:8" x14ac:dyDescent="0.2">
      <c r="A86" s="21"/>
      <c r="B86" s="21"/>
      <c r="C86" s="18" t="s">
        <v>122</v>
      </c>
      <c r="D86" s="22"/>
      <c r="E86" s="22"/>
      <c r="F86" s="23">
        <v>4294.1730581259999</v>
      </c>
      <c r="G86" s="29">
        <v>0.99999996999999996</v>
      </c>
      <c r="H86" s="17" t="s">
        <v>12</v>
      </c>
    </row>
    <row r="87" spans="1:8" x14ac:dyDescent="0.2">
      <c r="A87" s="30"/>
      <c r="B87" s="30"/>
      <c r="C87" s="30"/>
      <c r="D87" s="10"/>
      <c r="E87" s="10"/>
      <c r="F87" s="10"/>
      <c r="G87" s="10"/>
    </row>
    <row r="88" spans="1:8" x14ac:dyDescent="0.2">
      <c r="A88" s="31"/>
      <c r="B88" s="148" t="s">
        <v>619</v>
      </c>
      <c r="C88" s="148"/>
      <c r="D88" s="148"/>
      <c r="E88" s="148"/>
      <c r="F88" s="148"/>
      <c r="G88" s="148"/>
      <c r="H88" s="148"/>
    </row>
    <row r="89" spans="1:8" x14ac:dyDescent="0.2">
      <c r="A89" s="31"/>
      <c r="B89" s="148" t="s">
        <v>620</v>
      </c>
      <c r="C89" s="148"/>
      <c r="D89" s="148"/>
      <c r="E89" s="148"/>
      <c r="F89" s="148"/>
      <c r="G89" s="148"/>
      <c r="H89" s="148"/>
    </row>
    <row r="90" spans="1:8" x14ac:dyDescent="0.2">
      <c r="A90" s="31"/>
      <c r="B90" s="148" t="s">
        <v>621</v>
      </c>
      <c r="C90" s="148"/>
      <c r="D90" s="148"/>
      <c r="E90" s="148"/>
      <c r="F90" s="148"/>
      <c r="G90" s="148"/>
      <c r="H90" s="148"/>
    </row>
    <row r="91" spans="1:8" x14ac:dyDescent="0.2">
      <c r="A91" s="31"/>
      <c r="B91" s="31"/>
      <c r="C91" s="31"/>
      <c r="D91" s="33"/>
      <c r="E91" s="33"/>
      <c r="F91" s="33"/>
      <c r="G91" s="33"/>
    </row>
    <row r="92" spans="1:8" x14ac:dyDescent="0.2">
      <c r="A92" s="31"/>
      <c r="B92" s="149" t="s">
        <v>123</v>
      </c>
      <c r="C92" s="150"/>
      <c r="D92" s="151"/>
      <c r="E92" s="34"/>
      <c r="F92" s="33"/>
      <c r="G92" s="33"/>
    </row>
    <row r="93" spans="1:8" ht="25.5" x14ac:dyDescent="0.2">
      <c r="A93" s="31"/>
      <c r="B93" s="152" t="s">
        <v>124</v>
      </c>
      <c r="C93" s="153"/>
      <c r="D93" s="84" t="s">
        <v>704</v>
      </c>
      <c r="E93" s="34"/>
      <c r="F93" s="33"/>
      <c r="G93" s="33"/>
    </row>
    <row r="94" spans="1:8" x14ac:dyDescent="0.2">
      <c r="A94" s="31"/>
      <c r="B94" s="152" t="s">
        <v>126</v>
      </c>
      <c r="C94" s="153"/>
      <c r="D94" s="8" t="s">
        <v>125</v>
      </c>
      <c r="E94" s="34"/>
      <c r="F94" s="33"/>
      <c r="G94" s="33"/>
    </row>
    <row r="95" spans="1:8" x14ac:dyDescent="0.2">
      <c r="A95" s="31"/>
      <c r="B95" s="152" t="s">
        <v>127</v>
      </c>
      <c r="C95" s="153"/>
      <c r="D95" s="35" t="s">
        <v>12</v>
      </c>
      <c r="E95" s="34"/>
      <c r="F95" s="33"/>
      <c r="G95" s="33"/>
    </row>
    <row r="96" spans="1:8" x14ac:dyDescent="0.2">
      <c r="A96" s="36"/>
      <c r="B96" s="37" t="s">
        <v>12</v>
      </c>
      <c r="C96" s="37" t="s">
        <v>622</v>
      </c>
      <c r="D96" s="37" t="s">
        <v>128</v>
      </c>
      <c r="E96" s="36"/>
      <c r="F96" s="36"/>
      <c r="G96" s="36"/>
    </row>
    <row r="97" spans="1:14" x14ac:dyDescent="0.2">
      <c r="A97" s="36"/>
      <c r="B97" s="38" t="s">
        <v>129</v>
      </c>
      <c r="C97" s="39">
        <v>45838</v>
      </c>
      <c r="D97" s="39">
        <v>45853</v>
      </c>
      <c r="E97" s="36"/>
      <c r="F97" s="36"/>
      <c r="G97" s="36"/>
    </row>
    <row r="98" spans="1:14" x14ac:dyDescent="0.2">
      <c r="A98" s="40"/>
      <c r="B98" s="9" t="s">
        <v>130</v>
      </c>
      <c r="C98" s="41">
        <v>77.3001</v>
      </c>
      <c r="D98" s="41">
        <v>77.515600000000006</v>
      </c>
      <c r="E98" s="40"/>
      <c r="F98" s="42"/>
      <c r="G98" s="43"/>
    </row>
    <row r="99" spans="1:14" ht="25.5" x14ac:dyDescent="0.2">
      <c r="A99" s="40"/>
      <c r="B99" s="9" t="s">
        <v>740</v>
      </c>
      <c r="C99" s="41">
        <v>27.188700000000001</v>
      </c>
      <c r="D99" s="41">
        <v>27.264500000000002</v>
      </c>
      <c r="E99" s="40"/>
      <c r="F99" s="42"/>
      <c r="G99" s="43"/>
    </row>
    <row r="100" spans="1:14" x14ac:dyDescent="0.2">
      <c r="A100" s="40"/>
      <c r="B100" s="9" t="s">
        <v>131</v>
      </c>
      <c r="C100" s="41">
        <v>69.227599999999995</v>
      </c>
      <c r="D100" s="41">
        <v>69.399500000000003</v>
      </c>
      <c r="E100" s="40"/>
      <c r="F100" s="42"/>
      <c r="G100" s="43"/>
    </row>
    <row r="101" spans="1:14" x14ac:dyDescent="0.2">
      <c r="A101" s="40"/>
      <c r="B101" s="9" t="s">
        <v>745</v>
      </c>
      <c r="C101" s="41">
        <v>13.366199999999999</v>
      </c>
      <c r="D101" s="41">
        <v>13.3994</v>
      </c>
      <c r="E101" s="40"/>
      <c r="F101" s="42"/>
      <c r="G101" s="43"/>
    </row>
    <row r="102" spans="1:14" x14ac:dyDescent="0.2">
      <c r="A102" s="40"/>
      <c r="B102" s="40"/>
      <c r="C102" s="40"/>
      <c r="D102" s="40"/>
      <c r="E102" s="40"/>
      <c r="F102" s="40"/>
      <c r="G102" s="40"/>
    </row>
    <row r="103" spans="1:14" x14ac:dyDescent="0.2">
      <c r="A103" s="40"/>
      <c r="B103" s="155" t="s">
        <v>742</v>
      </c>
      <c r="C103" s="156"/>
      <c r="D103" s="18" t="s">
        <v>125</v>
      </c>
      <c r="E103" s="40"/>
      <c r="F103" s="40"/>
      <c r="G103" s="40"/>
    </row>
    <row r="104" spans="1:14" x14ac:dyDescent="0.2">
      <c r="A104" s="40"/>
      <c r="B104" s="44"/>
      <c r="C104" s="44"/>
      <c r="D104" s="44"/>
      <c r="E104" s="40"/>
      <c r="F104" s="40"/>
      <c r="G104" s="40"/>
    </row>
    <row r="105" spans="1:14" x14ac:dyDescent="0.2">
      <c r="A105" s="36"/>
      <c r="B105" s="152" t="s">
        <v>132</v>
      </c>
      <c r="C105" s="153"/>
      <c r="D105" s="8" t="s">
        <v>125</v>
      </c>
      <c r="E105" s="47"/>
      <c r="F105" s="36"/>
      <c r="G105" s="36"/>
    </row>
    <row r="106" spans="1:14" x14ac:dyDescent="0.2">
      <c r="A106" s="36"/>
      <c r="B106" s="152" t="s">
        <v>133</v>
      </c>
      <c r="C106" s="153"/>
      <c r="D106" s="8" t="s">
        <v>125</v>
      </c>
      <c r="E106" s="47"/>
      <c r="F106" s="36"/>
      <c r="G106" s="36"/>
    </row>
    <row r="107" spans="1:14" x14ac:dyDescent="0.2">
      <c r="A107" s="36"/>
      <c r="B107" s="152" t="s">
        <v>623</v>
      </c>
      <c r="C107" s="153"/>
      <c r="D107" s="8" t="s">
        <v>125</v>
      </c>
      <c r="E107" s="47"/>
      <c r="F107" s="36"/>
      <c r="G107" s="36"/>
    </row>
    <row r="108" spans="1:14" x14ac:dyDescent="0.2">
      <c r="A108" s="44"/>
      <c r="B108" s="44"/>
      <c r="C108" s="44"/>
      <c r="D108" s="44"/>
      <c r="E108" s="44"/>
      <c r="F108" s="44"/>
      <c r="G108" s="44"/>
    </row>
    <row r="109" spans="1:14" s="49" customFormat="1" ht="15" x14ac:dyDescent="0.25">
      <c r="B109" s="206" t="s">
        <v>750</v>
      </c>
      <c r="C109" s="207"/>
      <c r="D109" s="207"/>
      <c r="E109" s="207"/>
      <c r="F109" s="207"/>
      <c r="G109" s="208"/>
      <c r="I109"/>
      <c r="J109" s="85"/>
      <c r="K109" s="85"/>
      <c r="L109" s="85"/>
      <c r="M109" s="85"/>
      <c r="N109"/>
    </row>
    <row r="110" spans="1:14" s="49" customFormat="1" ht="45" customHeight="1" x14ac:dyDescent="0.25">
      <c r="B110" s="86" t="s">
        <v>643</v>
      </c>
      <c r="C110" s="86" t="s">
        <v>644</v>
      </c>
      <c r="D110" s="209" t="s">
        <v>645</v>
      </c>
      <c r="E110" s="210"/>
      <c r="F110" s="205" t="s">
        <v>646</v>
      </c>
      <c r="G110" s="205"/>
      <c r="H110" s="87"/>
      <c r="I110"/>
      <c r="J110" s="85"/>
      <c r="K110" s="85"/>
      <c r="L110" s="85"/>
      <c r="M110" s="85"/>
      <c r="N110"/>
    </row>
    <row r="111" spans="1:14" s="49" customFormat="1" ht="25.5" x14ac:dyDescent="0.25">
      <c r="B111" s="88" t="s">
        <v>718</v>
      </c>
      <c r="C111" s="89" t="s">
        <v>719</v>
      </c>
      <c r="D111" s="211">
        <v>0</v>
      </c>
      <c r="E111" s="212"/>
      <c r="F111" s="211">
        <v>0</v>
      </c>
      <c r="G111" s="212"/>
      <c r="H111" s="90"/>
      <c r="I111"/>
      <c r="J111" s="85"/>
      <c r="K111" s="85"/>
      <c r="L111" s="85"/>
      <c r="M111" s="85"/>
      <c r="N111"/>
    </row>
    <row r="112" spans="1:14" s="49" customFormat="1" ht="15" x14ac:dyDescent="0.25">
      <c r="B112" s="202" t="s">
        <v>720</v>
      </c>
      <c r="C112" s="203"/>
      <c r="D112" s="203"/>
      <c r="E112" s="203"/>
      <c r="F112" s="203"/>
      <c r="G112" s="204"/>
      <c r="H112" s="90"/>
      <c r="I112"/>
      <c r="J112" s="91"/>
      <c r="K112" s="91"/>
      <c r="L112" s="91"/>
      <c r="M112" s="85"/>
      <c r="N112"/>
    </row>
    <row r="113" spans="2:16" s="49" customFormat="1" ht="15" x14ac:dyDescent="0.25">
      <c r="B113" s="205" t="s">
        <v>643</v>
      </c>
      <c r="C113" s="205" t="s">
        <v>644</v>
      </c>
      <c r="D113" s="202" t="s">
        <v>687</v>
      </c>
      <c r="E113" s="203"/>
      <c r="F113" s="204"/>
      <c r="G113" s="88"/>
      <c r="H113" s="90"/>
      <c r="I113"/>
      <c r="J113" s="91"/>
      <c r="K113" s="91"/>
      <c r="L113" s="91"/>
      <c r="M113" s="85"/>
      <c r="N113"/>
    </row>
    <row r="114" spans="2:16" s="49" customFormat="1" ht="76.5" x14ac:dyDescent="0.25">
      <c r="B114" s="205"/>
      <c r="C114" s="205"/>
      <c r="D114" s="92" t="s">
        <v>691</v>
      </c>
      <c r="E114" s="92" t="s">
        <v>721</v>
      </c>
      <c r="F114" s="92" t="s">
        <v>722</v>
      </c>
      <c r="G114" s="92" t="s">
        <v>749</v>
      </c>
      <c r="H114" s="93"/>
      <c r="I114"/>
      <c r="J114" s="91"/>
      <c r="K114" s="91"/>
      <c r="L114" s="91"/>
      <c r="M114" s="85"/>
      <c r="N114"/>
    </row>
    <row r="115" spans="2:16" s="49" customFormat="1" ht="25.5" x14ac:dyDescent="0.2">
      <c r="B115" s="94" t="s">
        <v>718</v>
      </c>
      <c r="C115" s="89" t="s">
        <v>719</v>
      </c>
      <c r="D115" s="95">
        <v>200</v>
      </c>
      <c r="E115" s="95">
        <v>6.8852450999999997</v>
      </c>
      <c r="F115" s="95">
        <v>206.88524509999999</v>
      </c>
      <c r="G115" s="96">
        <f>F115/F86</f>
        <v>4.8178134020123962E-2</v>
      </c>
      <c r="H115" s="97"/>
      <c r="I115"/>
      <c r="J115"/>
      <c r="K115"/>
      <c r="L115"/>
      <c r="M115"/>
      <c r="N115"/>
    </row>
    <row r="116" spans="2:16" s="49" customFormat="1" ht="33" customHeight="1" x14ac:dyDescent="0.2">
      <c r="B116" s="199" t="s">
        <v>723</v>
      </c>
      <c r="C116" s="200"/>
      <c r="D116" s="200"/>
      <c r="E116" s="200"/>
      <c r="F116" s="200"/>
      <c r="G116" s="201"/>
      <c r="H116" s="98"/>
      <c r="I116"/>
      <c r="J116"/>
      <c r="K116"/>
      <c r="L116"/>
      <c r="M116"/>
      <c r="N116"/>
    </row>
    <row r="117" spans="2:16" s="49" customFormat="1" x14ac:dyDescent="0.2">
      <c r="H117" s="98"/>
      <c r="I117"/>
      <c r="J117"/>
      <c r="K117"/>
      <c r="L117"/>
      <c r="M117"/>
      <c r="N117"/>
    </row>
    <row r="118" spans="2:16" s="49" customFormat="1" x14ac:dyDescent="0.2">
      <c r="B118" s="157" t="s">
        <v>624</v>
      </c>
      <c r="C118" s="158"/>
      <c r="D118" s="159"/>
      <c r="I118"/>
      <c r="J118"/>
      <c r="K118"/>
      <c r="L118"/>
      <c r="M118"/>
      <c r="N118"/>
    </row>
    <row r="119" spans="2:16" s="49" customFormat="1" ht="38.25" x14ac:dyDescent="0.2">
      <c r="B119" s="154" t="s">
        <v>625</v>
      </c>
      <c r="C119" s="154"/>
      <c r="D119" s="51" t="s">
        <v>529</v>
      </c>
      <c r="I119"/>
      <c r="J119"/>
      <c r="K119"/>
      <c r="L119"/>
      <c r="M119"/>
      <c r="N119"/>
    </row>
    <row r="120" spans="2:16" s="49" customFormat="1" x14ac:dyDescent="0.2">
      <c r="B120" s="143" t="s">
        <v>626</v>
      </c>
      <c r="C120" s="143"/>
      <c r="D120" s="52"/>
      <c r="I120"/>
      <c r="J120"/>
      <c r="K120"/>
      <c r="L120"/>
      <c r="M120"/>
      <c r="N120"/>
    </row>
    <row r="121" spans="2:16" s="49" customFormat="1" x14ac:dyDescent="0.2">
      <c r="B121" s="143"/>
      <c r="C121" s="143"/>
      <c r="D121" s="53"/>
      <c r="I121"/>
      <c r="J121"/>
      <c r="K121"/>
      <c r="L121"/>
      <c r="M121"/>
      <c r="N121"/>
    </row>
    <row r="122" spans="2:16" s="49" customFormat="1" x14ac:dyDescent="0.2">
      <c r="B122" s="143" t="s">
        <v>627</v>
      </c>
      <c r="C122" s="143"/>
      <c r="D122" s="54">
        <v>6.4755397827242547</v>
      </c>
      <c r="I122"/>
      <c r="J122"/>
      <c r="K122"/>
      <c r="L122"/>
      <c r="M122"/>
      <c r="N122"/>
    </row>
    <row r="123" spans="2:16" s="49" customFormat="1" x14ac:dyDescent="0.2">
      <c r="B123" s="143"/>
      <c r="C123" s="143"/>
      <c r="D123" s="53"/>
      <c r="I123"/>
      <c r="J123"/>
      <c r="K123"/>
      <c r="L123"/>
      <c r="M123"/>
      <c r="N123"/>
    </row>
    <row r="124" spans="2:16" s="49" customFormat="1" x14ac:dyDescent="0.2">
      <c r="B124" s="143" t="s">
        <v>628</v>
      </c>
      <c r="C124" s="143"/>
      <c r="D124" s="54">
        <v>3.7275201383503531</v>
      </c>
      <c r="I124"/>
      <c r="J124"/>
      <c r="K124"/>
      <c r="L124"/>
      <c r="M124"/>
      <c r="N124"/>
    </row>
    <row r="125" spans="2:16" s="49" customFormat="1" x14ac:dyDescent="0.2">
      <c r="B125" s="143" t="s">
        <v>629</v>
      </c>
      <c r="C125" s="143"/>
      <c r="D125" s="54">
        <v>4.6972602047364562</v>
      </c>
      <c r="I125"/>
      <c r="J125"/>
      <c r="K125"/>
      <c r="L125"/>
      <c r="M125"/>
      <c r="N125"/>
    </row>
    <row r="126" spans="2:16" s="49" customFormat="1" x14ac:dyDescent="0.2">
      <c r="B126" s="143"/>
      <c r="C126" s="143"/>
      <c r="D126" s="53"/>
      <c r="I126"/>
      <c r="J126"/>
      <c r="K126"/>
      <c r="L126"/>
      <c r="M126"/>
      <c r="N126"/>
    </row>
    <row r="127" spans="2:16" s="49" customFormat="1" x14ac:dyDescent="0.2">
      <c r="B127" s="143" t="s">
        <v>630</v>
      </c>
      <c r="C127" s="143"/>
      <c r="D127" s="7" t="s">
        <v>746</v>
      </c>
      <c r="I127"/>
      <c r="J127" s="48"/>
      <c r="K127" s="48"/>
      <c r="L127" s="48"/>
      <c r="M127" s="48"/>
      <c r="N127" s="50"/>
    </row>
    <row r="128" spans="2:16" s="49" customFormat="1" x14ac:dyDescent="0.2">
      <c r="B128" s="144" t="s">
        <v>631</v>
      </c>
      <c r="C128" s="146"/>
      <c r="D128" s="145"/>
      <c r="I128"/>
      <c r="J128"/>
      <c r="K128"/>
      <c r="L128"/>
      <c r="M128"/>
      <c r="N128"/>
      <c r="O128"/>
      <c r="P128"/>
    </row>
    <row r="130" spans="2:4" x14ac:dyDescent="0.2">
      <c r="B130" s="57" t="s">
        <v>632</v>
      </c>
    </row>
    <row r="131" spans="2:4" ht="153.75" customHeight="1" x14ac:dyDescent="0.2"/>
    <row r="134" spans="2:4" x14ac:dyDescent="0.2">
      <c r="B134" s="57" t="s">
        <v>633</v>
      </c>
      <c r="C134" s="58"/>
      <c r="D134" s="57"/>
    </row>
    <row r="135" spans="2:4" x14ac:dyDescent="0.2">
      <c r="B135" s="57" t="s">
        <v>724</v>
      </c>
      <c r="D135" s="57"/>
    </row>
    <row r="136" spans="2:4" ht="165" customHeight="1" x14ac:dyDescent="0.2"/>
  </sheetData>
  <mergeCells count="35">
    <mergeCell ref="B90:H90"/>
    <mergeCell ref="B92:D92"/>
    <mergeCell ref="B93:C93"/>
    <mergeCell ref="B94:C94"/>
    <mergeCell ref="B103:C103"/>
    <mergeCell ref="B95:C95"/>
    <mergeCell ref="A1:H1"/>
    <mergeCell ref="A2:H2"/>
    <mergeCell ref="A3:H3"/>
    <mergeCell ref="B88:H88"/>
    <mergeCell ref="B89:H89"/>
    <mergeCell ref="B106:C106"/>
    <mergeCell ref="B105:C105"/>
    <mergeCell ref="B116:G116"/>
    <mergeCell ref="B118:D118"/>
    <mergeCell ref="B119:C119"/>
    <mergeCell ref="B112:G112"/>
    <mergeCell ref="B113:B114"/>
    <mergeCell ref="C113:C114"/>
    <mergeCell ref="D113:F113"/>
    <mergeCell ref="B107:C107"/>
    <mergeCell ref="B109:G109"/>
    <mergeCell ref="D110:E110"/>
    <mergeCell ref="F110:G110"/>
    <mergeCell ref="D111:E111"/>
    <mergeCell ref="F111:G111"/>
    <mergeCell ref="B120:C120"/>
    <mergeCell ref="B121:C121"/>
    <mergeCell ref="B127:C127"/>
    <mergeCell ref="B128:D128"/>
    <mergeCell ref="B122:C122"/>
    <mergeCell ref="B123:C123"/>
    <mergeCell ref="B124:C124"/>
    <mergeCell ref="B125:C125"/>
    <mergeCell ref="B126:C126"/>
  </mergeCells>
  <hyperlinks>
    <hyperlink ref="I1" location="Index!B2" display="Index" xr:uid="{1B5E42B5-1E3D-4E26-9616-30F3C7C7DD3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DBAA4-C381-48B0-B679-32F495A4E581}">
  <sheetPr>
    <outlinePr summaryBelow="0" summaryRight="0"/>
  </sheetPr>
  <dimension ref="A1:R164"/>
  <sheetViews>
    <sheetView showGridLines="0" topLeftCell="A100" workbookViewId="0">
      <selection activeCell="B133" sqref="B133:H133"/>
    </sheetView>
  </sheetViews>
  <sheetFormatPr defaultRowHeight="12.75" x14ac:dyDescent="0.2"/>
  <cols>
    <col min="1" max="1" width="5.85546875" bestFit="1" customWidth="1"/>
    <col min="2" max="2" width="20.28515625" bestFit="1" customWidth="1"/>
    <col min="3" max="3" width="48.42578125" customWidth="1"/>
    <col min="4" max="4" width="20.85546875" customWidth="1"/>
    <col min="5" max="5" width="8.7109375" bestFit="1" customWidth="1"/>
    <col min="6" max="6" width="10.140625" bestFit="1" customWidth="1"/>
    <col min="7" max="7" width="14" bestFit="1" customWidth="1"/>
    <col min="8" max="8" width="9.140625" customWidth="1"/>
  </cols>
  <sheetData>
    <row r="1" spans="1:10" ht="15" x14ac:dyDescent="0.2">
      <c r="A1" s="147" t="s">
        <v>0</v>
      </c>
      <c r="B1" s="147"/>
      <c r="C1" s="147"/>
      <c r="D1" s="147"/>
      <c r="E1" s="147"/>
      <c r="F1" s="147"/>
      <c r="G1" s="147"/>
      <c r="H1" s="147"/>
      <c r="I1" s="1" t="s">
        <v>604</v>
      </c>
    </row>
    <row r="2" spans="1:10" ht="15" x14ac:dyDescent="0.2">
      <c r="A2" s="147" t="s">
        <v>532</v>
      </c>
      <c r="B2" s="147"/>
      <c r="C2" s="147"/>
      <c r="D2" s="147"/>
      <c r="E2" s="147"/>
      <c r="F2" s="147"/>
      <c r="G2" s="147"/>
      <c r="H2" s="147"/>
    </row>
    <row r="3" spans="1:10" ht="15" x14ac:dyDescent="0.2">
      <c r="A3" s="147" t="s">
        <v>603</v>
      </c>
      <c r="B3" s="147"/>
      <c r="C3" s="147"/>
      <c r="D3" s="147"/>
      <c r="E3" s="147"/>
      <c r="F3" s="147"/>
      <c r="G3" s="147"/>
      <c r="H3" s="147"/>
    </row>
    <row r="4" spans="1:10" s="15" customFormat="1" ht="30" x14ac:dyDescent="0.2">
      <c r="A4" s="13" t="s">
        <v>2</v>
      </c>
      <c r="B4" s="13" t="s">
        <v>3</v>
      </c>
      <c r="C4" s="13" t="s">
        <v>4</v>
      </c>
      <c r="D4" s="13" t="s">
        <v>5</v>
      </c>
      <c r="E4" s="13" t="s">
        <v>6</v>
      </c>
      <c r="F4" s="13" t="s">
        <v>7</v>
      </c>
      <c r="G4" s="13" t="s">
        <v>8</v>
      </c>
      <c r="H4" s="14" t="s">
        <v>602</v>
      </c>
    </row>
    <row r="5" spans="1:10" x14ac:dyDescent="0.2">
      <c r="A5" s="16"/>
      <c r="B5" s="16"/>
      <c r="C5" s="8" t="s">
        <v>9</v>
      </c>
      <c r="D5" s="16"/>
      <c r="E5" s="16"/>
      <c r="F5" s="16"/>
      <c r="G5" s="16"/>
      <c r="H5" s="17" t="s">
        <v>12</v>
      </c>
    </row>
    <row r="6" spans="1:10" x14ac:dyDescent="0.2">
      <c r="A6" s="11"/>
      <c r="B6" s="11"/>
      <c r="C6" s="18" t="s">
        <v>10</v>
      </c>
      <c r="D6" s="11"/>
      <c r="E6" s="11"/>
      <c r="F6" s="11"/>
      <c r="G6" s="11"/>
      <c r="H6" s="17" t="s">
        <v>12</v>
      </c>
    </row>
    <row r="7" spans="1:10" x14ac:dyDescent="0.2">
      <c r="A7" s="24">
        <v>1</v>
      </c>
      <c r="B7" s="9" t="s">
        <v>533</v>
      </c>
      <c r="C7" s="9" t="s">
        <v>534</v>
      </c>
      <c r="D7" s="9" t="s">
        <v>535</v>
      </c>
      <c r="E7" s="25">
        <v>4250</v>
      </c>
      <c r="F7" s="26">
        <v>84.808750000000003</v>
      </c>
      <c r="G7" s="27">
        <v>3.9253400000000001E-2</v>
      </c>
      <c r="H7" s="17" t="s">
        <v>12</v>
      </c>
    </row>
    <row r="8" spans="1:10" x14ac:dyDescent="0.2">
      <c r="A8" s="24">
        <v>2</v>
      </c>
      <c r="B8" s="9" t="s">
        <v>536</v>
      </c>
      <c r="C8" s="9" t="s">
        <v>537</v>
      </c>
      <c r="D8" s="9" t="s">
        <v>535</v>
      </c>
      <c r="E8" s="25">
        <v>4200</v>
      </c>
      <c r="F8" s="26">
        <v>60.093600000000002</v>
      </c>
      <c r="G8" s="27">
        <v>2.781409E-2</v>
      </c>
      <c r="H8" s="17" t="s">
        <v>12</v>
      </c>
    </row>
    <row r="9" spans="1:10" x14ac:dyDescent="0.2">
      <c r="A9" s="24">
        <v>3</v>
      </c>
      <c r="B9" s="9" t="s">
        <v>538</v>
      </c>
      <c r="C9" s="9" t="s">
        <v>539</v>
      </c>
      <c r="D9" s="9" t="s">
        <v>540</v>
      </c>
      <c r="E9" s="25">
        <v>3400</v>
      </c>
      <c r="F9" s="26">
        <v>50.503599999999999</v>
      </c>
      <c r="G9" s="27">
        <v>2.3375389999999999E-2</v>
      </c>
      <c r="H9" s="17" t="s">
        <v>12</v>
      </c>
    </row>
    <row r="10" spans="1:10" x14ac:dyDescent="0.2">
      <c r="A10" s="24">
        <v>4</v>
      </c>
      <c r="B10" s="9" t="s">
        <v>541</v>
      </c>
      <c r="C10" s="9" t="s">
        <v>542</v>
      </c>
      <c r="D10" s="9" t="s">
        <v>543</v>
      </c>
      <c r="E10" s="25">
        <v>2500</v>
      </c>
      <c r="F10" s="26">
        <v>48.354999999999997</v>
      </c>
      <c r="G10" s="27">
        <v>2.2380919999999999E-2</v>
      </c>
      <c r="H10" s="17" t="s">
        <v>12</v>
      </c>
    </row>
    <row r="11" spans="1:10" x14ac:dyDescent="0.2">
      <c r="A11" s="24">
        <v>5</v>
      </c>
      <c r="B11" s="9" t="s">
        <v>544</v>
      </c>
      <c r="C11" s="9" t="s">
        <v>545</v>
      </c>
      <c r="D11" s="9" t="s">
        <v>546</v>
      </c>
      <c r="E11" s="25">
        <v>1848</v>
      </c>
      <c r="F11" s="26">
        <v>28.947071999999999</v>
      </c>
      <c r="G11" s="27">
        <v>1.339804E-2</v>
      </c>
      <c r="H11" s="17" t="s">
        <v>12</v>
      </c>
    </row>
    <row r="12" spans="1:10" x14ac:dyDescent="0.2">
      <c r="A12" s="24">
        <v>6</v>
      </c>
      <c r="B12" s="9" t="s">
        <v>547</v>
      </c>
      <c r="C12" s="9" t="s">
        <v>548</v>
      </c>
      <c r="D12" s="9" t="s">
        <v>546</v>
      </c>
      <c r="E12" s="25">
        <v>1750</v>
      </c>
      <c r="F12" s="26">
        <v>27.748000000000001</v>
      </c>
      <c r="G12" s="27">
        <v>1.284305E-2</v>
      </c>
      <c r="H12" s="17" t="s">
        <v>12</v>
      </c>
    </row>
    <row r="13" spans="1:10" x14ac:dyDescent="0.2">
      <c r="A13" s="59">
        <v>7</v>
      </c>
      <c r="B13" s="60" t="s">
        <v>725</v>
      </c>
      <c r="C13" s="60" t="s">
        <v>726</v>
      </c>
      <c r="D13" s="60" t="s">
        <v>727</v>
      </c>
      <c r="E13" s="61">
        <v>30000</v>
      </c>
      <c r="F13" s="62">
        <f>2748000/10^5</f>
        <v>27.48</v>
      </c>
      <c r="G13" s="63">
        <f>F13/F98</f>
        <v>1.2719009528712388E-2</v>
      </c>
      <c r="H13" s="17" t="s">
        <v>12</v>
      </c>
      <c r="J13" s="64"/>
    </row>
    <row r="14" spans="1:10" x14ac:dyDescent="0.2">
      <c r="A14" s="24">
        <v>7</v>
      </c>
      <c r="B14" s="9" t="s">
        <v>549</v>
      </c>
      <c r="C14" s="9" t="s">
        <v>550</v>
      </c>
      <c r="D14" s="9" t="s">
        <v>535</v>
      </c>
      <c r="E14" s="25">
        <v>2000</v>
      </c>
      <c r="F14" s="26">
        <v>23.318000000000001</v>
      </c>
      <c r="G14" s="27">
        <v>1.0792639999999999E-2</v>
      </c>
      <c r="H14" s="17" t="s">
        <v>12</v>
      </c>
    </row>
    <row r="15" spans="1:10" x14ac:dyDescent="0.2">
      <c r="A15" s="24">
        <v>8</v>
      </c>
      <c r="B15" s="9" t="s">
        <v>551</v>
      </c>
      <c r="C15" s="9" t="s">
        <v>552</v>
      </c>
      <c r="D15" s="9" t="s">
        <v>535</v>
      </c>
      <c r="E15" s="25">
        <v>2600</v>
      </c>
      <c r="F15" s="26">
        <v>21.227699999999999</v>
      </c>
      <c r="G15" s="27">
        <v>9.8251599999999994E-3</v>
      </c>
      <c r="H15" s="17" t="s">
        <v>12</v>
      </c>
    </row>
    <row r="16" spans="1:10" x14ac:dyDescent="0.2">
      <c r="A16" s="24">
        <v>9</v>
      </c>
      <c r="B16" s="9" t="s">
        <v>553</v>
      </c>
      <c r="C16" s="9" t="s">
        <v>554</v>
      </c>
      <c r="D16" s="9" t="s">
        <v>540</v>
      </c>
      <c r="E16" s="25">
        <v>5000</v>
      </c>
      <c r="F16" s="26">
        <v>17.4025</v>
      </c>
      <c r="G16" s="27">
        <v>8.0546799999999998E-3</v>
      </c>
      <c r="H16" s="17" t="s">
        <v>12</v>
      </c>
    </row>
    <row r="17" spans="1:8" x14ac:dyDescent="0.2">
      <c r="A17" s="24">
        <v>10</v>
      </c>
      <c r="B17" s="9" t="s">
        <v>555</v>
      </c>
      <c r="C17" s="9" t="s">
        <v>556</v>
      </c>
      <c r="D17" s="9" t="s">
        <v>557</v>
      </c>
      <c r="E17" s="25">
        <v>4000</v>
      </c>
      <c r="F17" s="26">
        <v>16.884</v>
      </c>
      <c r="G17" s="27">
        <v>7.8146899999999991E-3</v>
      </c>
      <c r="H17" s="17" t="s">
        <v>12</v>
      </c>
    </row>
    <row r="18" spans="1:8" ht="25.5" x14ac:dyDescent="0.2">
      <c r="A18" s="24">
        <v>11</v>
      </c>
      <c r="B18" s="9" t="s">
        <v>558</v>
      </c>
      <c r="C18" s="9" t="s">
        <v>559</v>
      </c>
      <c r="D18" s="9" t="s">
        <v>560</v>
      </c>
      <c r="E18" s="25">
        <v>125</v>
      </c>
      <c r="F18" s="26">
        <v>15.6275</v>
      </c>
      <c r="G18" s="27">
        <v>7.2331299999999999E-3</v>
      </c>
      <c r="H18" s="17" t="s">
        <v>12</v>
      </c>
    </row>
    <row r="19" spans="1:8" ht="25.5" x14ac:dyDescent="0.2">
      <c r="A19" s="24">
        <v>12</v>
      </c>
      <c r="B19" s="9" t="s">
        <v>561</v>
      </c>
      <c r="C19" s="9" t="s">
        <v>562</v>
      </c>
      <c r="D19" s="9" t="s">
        <v>563</v>
      </c>
      <c r="E19" s="25">
        <v>2000</v>
      </c>
      <c r="F19" s="26">
        <v>14.804</v>
      </c>
      <c r="G19" s="27">
        <v>6.8519699999999998E-3</v>
      </c>
      <c r="H19" s="17" t="s">
        <v>12</v>
      </c>
    </row>
    <row r="20" spans="1:8" x14ac:dyDescent="0.2">
      <c r="A20" s="24">
        <v>13</v>
      </c>
      <c r="B20" s="9" t="s">
        <v>564</v>
      </c>
      <c r="C20" s="9" t="s">
        <v>565</v>
      </c>
      <c r="D20" s="9" t="s">
        <v>535</v>
      </c>
      <c r="E20" s="25">
        <v>675</v>
      </c>
      <c r="F20" s="26">
        <v>14.769674999999999</v>
      </c>
      <c r="G20" s="27">
        <v>6.8360900000000004E-3</v>
      </c>
      <c r="H20" s="17" t="s">
        <v>12</v>
      </c>
    </row>
    <row r="21" spans="1:8" x14ac:dyDescent="0.2">
      <c r="A21" s="24">
        <v>14</v>
      </c>
      <c r="B21" s="9" t="s">
        <v>566</v>
      </c>
      <c r="C21" s="9" t="s">
        <v>567</v>
      </c>
      <c r="D21" s="9" t="s">
        <v>568</v>
      </c>
      <c r="E21" s="25">
        <v>400</v>
      </c>
      <c r="F21" s="26">
        <v>13.976000000000001</v>
      </c>
      <c r="G21" s="27">
        <v>6.4687399999999997E-3</v>
      </c>
      <c r="H21" s="17" t="s">
        <v>12</v>
      </c>
    </row>
    <row r="22" spans="1:8" x14ac:dyDescent="0.2">
      <c r="A22" s="24">
        <v>15</v>
      </c>
      <c r="B22" s="9" t="s">
        <v>569</v>
      </c>
      <c r="C22" s="9" t="s">
        <v>570</v>
      </c>
      <c r="D22" s="9" t="s">
        <v>571</v>
      </c>
      <c r="E22" s="25">
        <v>2000</v>
      </c>
      <c r="F22" s="26">
        <v>13.824999999999999</v>
      </c>
      <c r="G22" s="27">
        <v>6.3988500000000002E-3</v>
      </c>
      <c r="H22" s="17" t="s">
        <v>12</v>
      </c>
    </row>
    <row r="23" spans="1:8" x14ac:dyDescent="0.2">
      <c r="A23" s="24">
        <v>16</v>
      </c>
      <c r="B23" s="9" t="s">
        <v>572</v>
      </c>
      <c r="C23" s="9" t="s">
        <v>573</v>
      </c>
      <c r="D23" s="9" t="s">
        <v>574</v>
      </c>
      <c r="E23" s="25">
        <v>2000</v>
      </c>
      <c r="F23" s="26">
        <v>13.391999999999999</v>
      </c>
      <c r="G23" s="27">
        <v>6.1984300000000004E-3</v>
      </c>
      <c r="H23" s="17" t="s">
        <v>12</v>
      </c>
    </row>
    <row r="24" spans="1:8" ht="25.5" x14ac:dyDescent="0.2">
      <c r="A24" s="24">
        <v>17</v>
      </c>
      <c r="B24" s="9" t="s">
        <v>575</v>
      </c>
      <c r="C24" s="9" t="s">
        <v>576</v>
      </c>
      <c r="D24" s="9" t="s">
        <v>577</v>
      </c>
      <c r="E24" s="25">
        <v>320</v>
      </c>
      <c r="F24" s="26">
        <v>13.3504</v>
      </c>
      <c r="G24" s="27">
        <v>6.1791800000000003E-3</v>
      </c>
      <c r="H24" s="17" t="s">
        <v>12</v>
      </c>
    </row>
    <row r="25" spans="1:8" x14ac:dyDescent="0.2">
      <c r="A25" s="24">
        <v>18</v>
      </c>
      <c r="B25" s="9" t="s">
        <v>578</v>
      </c>
      <c r="C25" s="9" t="s">
        <v>579</v>
      </c>
      <c r="D25" s="9" t="s">
        <v>580</v>
      </c>
      <c r="E25" s="25">
        <v>160</v>
      </c>
      <c r="F25" s="26">
        <v>13.297599999999999</v>
      </c>
      <c r="G25" s="27">
        <v>6.1547399999999997E-3</v>
      </c>
      <c r="H25" s="17" t="s">
        <v>12</v>
      </c>
    </row>
    <row r="26" spans="1:8" x14ac:dyDescent="0.2">
      <c r="A26" s="24">
        <v>19</v>
      </c>
      <c r="B26" s="9" t="s">
        <v>581</v>
      </c>
      <c r="C26" s="9" t="s">
        <v>582</v>
      </c>
      <c r="D26" s="9" t="s">
        <v>580</v>
      </c>
      <c r="E26" s="25">
        <v>100</v>
      </c>
      <c r="F26" s="26">
        <v>12.536</v>
      </c>
      <c r="G26" s="27">
        <v>5.8022400000000002E-3</v>
      </c>
      <c r="H26" s="17" t="s">
        <v>12</v>
      </c>
    </row>
    <row r="27" spans="1:8" ht="25.5" x14ac:dyDescent="0.2">
      <c r="A27" s="24">
        <v>20</v>
      </c>
      <c r="B27" s="9" t="s">
        <v>583</v>
      </c>
      <c r="C27" s="9" t="s">
        <v>584</v>
      </c>
      <c r="D27" s="9" t="s">
        <v>560</v>
      </c>
      <c r="E27" s="25">
        <v>450</v>
      </c>
      <c r="F27" s="26">
        <v>12.5037</v>
      </c>
      <c r="G27" s="27">
        <v>5.7872899999999996E-3</v>
      </c>
      <c r="H27" s="17" t="s">
        <v>12</v>
      </c>
    </row>
    <row r="28" spans="1:8" ht="25.5" x14ac:dyDescent="0.2">
      <c r="A28" s="24">
        <v>21</v>
      </c>
      <c r="B28" s="9" t="s">
        <v>585</v>
      </c>
      <c r="C28" s="9" t="s">
        <v>586</v>
      </c>
      <c r="D28" s="9" t="s">
        <v>587</v>
      </c>
      <c r="E28" s="25">
        <v>250</v>
      </c>
      <c r="F28" s="26">
        <v>12.333</v>
      </c>
      <c r="G28" s="27">
        <v>5.7082799999999996E-3</v>
      </c>
      <c r="H28" s="17" t="s">
        <v>12</v>
      </c>
    </row>
    <row r="29" spans="1:8" x14ac:dyDescent="0.2">
      <c r="A29" s="24">
        <v>22</v>
      </c>
      <c r="B29" s="9" t="s">
        <v>588</v>
      </c>
      <c r="C29" s="9" t="s">
        <v>589</v>
      </c>
      <c r="D29" s="9" t="s">
        <v>590</v>
      </c>
      <c r="E29" s="25">
        <v>900</v>
      </c>
      <c r="F29" s="26">
        <v>12.331799999999999</v>
      </c>
      <c r="G29" s="27">
        <v>5.7077300000000003E-3</v>
      </c>
      <c r="H29" s="17" t="s">
        <v>12</v>
      </c>
    </row>
    <row r="30" spans="1:8" x14ac:dyDescent="0.2">
      <c r="A30" s="11"/>
      <c r="B30" s="11"/>
      <c r="C30" s="18" t="s">
        <v>11</v>
      </c>
      <c r="D30" s="11"/>
      <c r="E30" s="11" t="s">
        <v>12</v>
      </c>
      <c r="F30" s="23">
        <f>SUM(F7:F29)</f>
        <v>569.51489699999991</v>
      </c>
      <c r="G30" s="20">
        <f>SUM(G7:G29)</f>
        <v>0.2635977395287124</v>
      </c>
      <c r="H30" s="17" t="s">
        <v>12</v>
      </c>
    </row>
    <row r="31" spans="1:8" x14ac:dyDescent="0.2">
      <c r="A31" s="11"/>
      <c r="B31" s="11"/>
      <c r="C31" s="21"/>
      <c r="D31" s="11"/>
      <c r="E31" s="11"/>
      <c r="F31" s="22"/>
      <c r="G31" s="22"/>
      <c r="H31" s="17" t="s">
        <v>12</v>
      </c>
    </row>
    <row r="32" spans="1:8" x14ac:dyDescent="0.2">
      <c r="A32" s="11"/>
      <c r="B32" s="11"/>
      <c r="C32" s="18" t="s">
        <v>14</v>
      </c>
      <c r="D32" s="11"/>
      <c r="E32" s="11"/>
      <c r="F32" s="11"/>
      <c r="G32" s="11"/>
      <c r="H32" s="17" t="s">
        <v>12</v>
      </c>
    </row>
    <row r="33" spans="1:8" x14ac:dyDescent="0.2">
      <c r="A33" s="11"/>
      <c r="B33" s="11"/>
      <c r="C33" s="18" t="s">
        <v>11</v>
      </c>
      <c r="D33" s="11"/>
      <c r="E33" s="11" t="s">
        <v>12</v>
      </c>
      <c r="F33" s="19" t="s">
        <v>13</v>
      </c>
      <c r="G33" s="20">
        <v>0</v>
      </c>
      <c r="H33" s="17" t="s">
        <v>12</v>
      </c>
    </row>
    <row r="34" spans="1:8" x14ac:dyDescent="0.2">
      <c r="A34" s="11"/>
      <c r="B34" s="11"/>
      <c r="C34" s="21"/>
      <c r="D34" s="11"/>
      <c r="E34" s="11"/>
      <c r="F34" s="22"/>
      <c r="G34" s="22"/>
      <c r="H34" s="17" t="s">
        <v>12</v>
      </c>
    </row>
    <row r="35" spans="1:8" x14ac:dyDescent="0.2">
      <c r="A35" s="11"/>
      <c r="B35" s="11"/>
      <c r="C35" s="18" t="s">
        <v>15</v>
      </c>
      <c r="D35" s="11"/>
      <c r="E35" s="11"/>
      <c r="F35" s="11"/>
      <c r="G35" s="11"/>
      <c r="H35" s="17" t="s">
        <v>12</v>
      </c>
    </row>
    <row r="36" spans="1:8" x14ac:dyDescent="0.2">
      <c r="A36" s="11"/>
      <c r="B36" s="11"/>
      <c r="C36" s="18" t="s">
        <v>11</v>
      </c>
      <c r="D36" s="11"/>
      <c r="E36" s="11" t="s">
        <v>12</v>
      </c>
      <c r="F36" s="19" t="s">
        <v>13</v>
      </c>
      <c r="G36" s="20">
        <v>0</v>
      </c>
      <c r="H36" s="17" t="s">
        <v>12</v>
      </c>
    </row>
    <row r="37" spans="1:8" x14ac:dyDescent="0.2">
      <c r="A37" s="11"/>
      <c r="B37" s="11"/>
      <c r="C37" s="21"/>
      <c r="D37" s="11"/>
      <c r="E37" s="11"/>
      <c r="F37" s="22"/>
      <c r="G37" s="22"/>
      <c r="H37" s="17" t="s">
        <v>12</v>
      </c>
    </row>
    <row r="38" spans="1:8" x14ac:dyDescent="0.2">
      <c r="A38" s="11"/>
      <c r="B38" s="11"/>
      <c r="C38" s="18" t="s">
        <v>16</v>
      </c>
      <c r="D38" s="11"/>
      <c r="E38" s="11"/>
      <c r="F38" s="11"/>
      <c r="G38" s="11"/>
      <c r="H38" s="17" t="s">
        <v>12</v>
      </c>
    </row>
    <row r="39" spans="1:8" x14ac:dyDescent="0.2">
      <c r="A39" s="11"/>
      <c r="B39" s="11"/>
      <c r="C39" s="18" t="s">
        <v>11</v>
      </c>
      <c r="D39" s="11"/>
      <c r="E39" s="11" t="s">
        <v>12</v>
      </c>
      <c r="F39" s="19" t="s">
        <v>13</v>
      </c>
      <c r="G39" s="20">
        <v>0</v>
      </c>
      <c r="H39" s="17" t="s">
        <v>12</v>
      </c>
    </row>
    <row r="40" spans="1:8" x14ac:dyDescent="0.2">
      <c r="A40" s="11"/>
      <c r="B40" s="11"/>
      <c r="C40" s="21"/>
      <c r="D40" s="11"/>
      <c r="E40" s="11"/>
      <c r="F40" s="22"/>
      <c r="G40" s="22"/>
      <c r="H40" s="17" t="s">
        <v>12</v>
      </c>
    </row>
    <row r="41" spans="1:8" x14ac:dyDescent="0.2">
      <c r="A41" s="11"/>
      <c r="B41" s="11"/>
      <c r="C41" s="18" t="s">
        <v>17</v>
      </c>
      <c r="D41" s="11"/>
      <c r="E41" s="11"/>
      <c r="F41" s="22"/>
      <c r="G41" s="22"/>
      <c r="H41" s="17" t="s">
        <v>12</v>
      </c>
    </row>
    <row r="42" spans="1:8" x14ac:dyDescent="0.2">
      <c r="A42" s="11"/>
      <c r="B42" s="11"/>
      <c r="C42" s="18" t="s">
        <v>11</v>
      </c>
      <c r="D42" s="11"/>
      <c r="E42" s="11" t="s">
        <v>12</v>
      </c>
      <c r="F42" s="19" t="s">
        <v>13</v>
      </c>
      <c r="G42" s="20">
        <v>0</v>
      </c>
      <c r="H42" s="17" t="s">
        <v>12</v>
      </c>
    </row>
    <row r="43" spans="1:8" x14ac:dyDescent="0.2">
      <c r="A43" s="11"/>
      <c r="B43" s="11"/>
      <c r="C43" s="21"/>
      <c r="D43" s="11"/>
      <c r="E43" s="11"/>
      <c r="F43" s="22"/>
      <c r="G43" s="22"/>
      <c r="H43" s="17" t="s">
        <v>12</v>
      </c>
    </row>
    <row r="44" spans="1:8" x14ac:dyDescent="0.2">
      <c r="A44" s="11"/>
      <c r="B44" s="11"/>
      <c r="C44" s="18" t="s">
        <v>18</v>
      </c>
      <c r="D44" s="11"/>
      <c r="E44" s="11"/>
      <c r="F44" s="22"/>
      <c r="G44" s="22"/>
      <c r="H44" s="17" t="s">
        <v>12</v>
      </c>
    </row>
    <row r="45" spans="1:8" x14ac:dyDescent="0.2">
      <c r="A45" s="11"/>
      <c r="B45" s="11"/>
      <c r="C45" s="18" t="s">
        <v>11</v>
      </c>
      <c r="D45" s="11"/>
      <c r="E45" s="11" t="s">
        <v>12</v>
      </c>
      <c r="F45" s="19" t="s">
        <v>13</v>
      </c>
      <c r="G45" s="20">
        <v>0</v>
      </c>
      <c r="H45" s="17" t="s">
        <v>12</v>
      </c>
    </row>
    <row r="46" spans="1:8" x14ac:dyDescent="0.2">
      <c r="A46" s="11"/>
      <c r="B46" s="11"/>
      <c r="C46" s="21"/>
      <c r="D46" s="11"/>
      <c r="E46" s="11"/>
      <c r="F46" s="22"/>
      <c r="G46" s="22"/>
      <c r="H46" s="17" t="s">
        <v>12</v>
      </c>
    </row>
    <row r="47" spans="1:8" x14ac:dyDescent="0.2">
      <c r="A47" s="11"/>
      <c r="B47" s="11"/>
      <c r="C47" s="18" t="s">
        <v>19</v>
      </c>
      <c r="D47" s="11"/>
      <c r="E47" s="11"/>
      <c r="F47" s="23">
        <f>F30</f>
        <v>569.51489699999991</v>
      </c>
      <c r="G47" s="20">
        <f>G30</f>
        <v>0.2635977395287124</v>
      </c>
      <c r="H47" s="17" t="s">
        <v>12</v>
      </c>
    </row>
    <row r="48" spans="1:8" x14ac:dyDescent="0.2">
      <c r="A48" s="11"/>
      <c r="B48" s="11"/>
      <c r="C48" s="21"/>
      <c r="D48" s="11"/>
      <c r="E48" s="11"/>
      <c r="F48" s="22"/>
      <c r="G48" s="22"/>
      <c r="H48" s="17" t="s">
        <v>12</v>
      </c>
    </row>
    <row r="49" spans="1:8" x14ac:dyDescent="0.2">
      <c r="A49" s="11"/>
      <c r="B49" s="11"/>
      <c r="C49" s="18" t="s">
        <v>20</v>
      </c>
      <c r="D49" s="11"/>
      <c r="E49" s="11"/>
      <c r="F49" s="22"/>
      <c r="G49" s="22"/>
      <c r="H49" s="17" t="s">
        <v>12</v>
      </c>
    </row>
    <row r="50" spans="1:8" x14ac:dyDescent="0.2">
      <c r="A50" s="11"/>
      <c r="B50" s="11"/>
      <c r="C50" s="18" t="s">
        <v>10</v>
      </c>
      <c r="D50" s="11"/>
      <c r="E50" s="11"/>
      <c r="F50" s="22"/>
      <c r="G50" s="22"/>
      <c r="H50" s="17" t="s">
        <v>12</v>
      </c>
    </row>
    <row r="51" spans="1:8" x14ac:dyDescent="0.2">
      <c r="A51" s="11"/>
      <c r="B51" s="11"/>
      <c r="C51" s="18" t="s">
        <v>11</v>
      </c>
      <c r="D51" s="11"/>
      <c r="E51" s="11" t="s">
        <v>12</v>
      </c>
      <c r="F51" s="19" t="s">
        <v>13</v>
      </c>
      <c r="G51" s="20">
        <v>0</v>
      </c>
      <c r="H51" s="17" t="s">
        <v>12</v>
      </c>
    </row>
    <row r="52" spans="1:8" x14ac:dyDescent="0.2">
      <c r="A52" s="11"/>
      <c r="B52" s="11"/>
      <c r="C52" s="21"/>
      <c r="D52" s="11"/>
      <c r="E52" s="11"/>
      <c r="F52" s="22"/>
      <c r="G52" s="22"/>
      <c r="H52" s="17" t="s">
        <v>12</v>
      </c>
    </row>
    <row r="53" spans="1:8" x14ac:dyDescent="0.2">
      <c r="A53" s="11"/>
      <c r="B53" s="11"/>
      <c r="C53" s="18" t="s">
        <v>77</v>
      </c>
      <c r="D53" s="11"/>
      <c r="E53" s="11"/>
      <c r="F53" s="11"/>
      <c r="G53" s="11"/>
      <c r="H53" s="17" t="s">
        <v>12</v>
      </c>
    </row>
    <row r="54" spans="1:8" x14ac:dyDescent="0.2">
      <c r="A54" s="11"/>
      <c r="B54" s="11"/>
      <c r="C54" s="18" t="s">
        <v>11</v>
      </c>
      <c r="D54" s="11"/>
      <c r="E54" s="11" t="s">
        <v>12</v>
      </c>
      <c r="F54" s="19" t="s">
        <v>13</v>
      </c>
      <c r="G54" s="20">
        <v>0</v>
      </c>
      <c r="H54" s="17" t="s">
        <v>12</v>
      </c>
    </row>
    <row r="55" spans="1:8" x14ac:dyDescent="0.2">
      <c r="A55" s="11"/>
      <c r="B55" s="11"/>
      <c r="C55" s="21"/>
      <c r="D55" s="11"/>
      <c r="E55" s="11"/>
      <c r="F55" s="22"/>
      <c r="G55" s="22"/>
      <c r="H55" s="17" t="s">
        <v>12</v>
      </c>
    </row>
    <row r="56" spans="1:8" x14ac:dyDescent="0.2">
      <c r="A56" s="11"/>
      <c r="B56" s="11"/>
      <c r="C56" s="18" t="s">
        <v>78</v>
      </c>
      <c r="D56" s="11"/>
      <c r="E56" s="11"/>
      <c r="F56" s="11"/>
      <c r="G56" s="11"/>
      <c r="H56" s="17" t="s">
        <v>12</v>
      </c>
    </row>
    <row r="57" spans="1:8" x14ac:dyDescent="0.2">
      <c r="A57" s="24">
        <v>1</v>
      </c>
      <c r="B57" s="9" t="s">
        <v>591</v>
      </c>
      <c r="C57" s="9" t="s">
        <v>592</v>
      </c>
      <c r="D57" s="9" t="s">
        <v>81</v>
      </c>
      <c r="E57" s="25">
        <v>500000</v>
      </c>
      <c r="F57" s="26">
        <v>506.50850000000003</v>
      </c>
      <c r="G57" s="27">
        <v>0.23443546000000001</v>
      </c>
      <c r="H57" s="17">
        <v>7.11</v>
      </c>
    </row>
    <row r="58" spans="1:8" x14ac:dyDescent="0.2">
      <c r="A58" s="24">
        <v>2</v>
      </c>
      <c r="B58" s="9" t="s">
        <v>486</v>
      </c>
      <c r="C58" s="9" t="s">
        <v>487</v>
      </c>
      <c r="D58" s="9" t="s">
        <v>81</v>
      </c>
      <c r="E58" s="25">
        <v>100000</v>
      </c>
      <c r="F58" s="26">
        <v>104.56189999999999</v>
      </c>
      <c r="G58" s="27">
        <v>4.8396059999999998E-2</v>
      </c>
      <c r="H58" s="17">
        <v>6.51</v>
      </c>
    </row>
    <row r="59" spans="1:8" x14ac:dyDescent="0.2">
      <c r="A59" s="11"/>
      <c r="B59" s="11"/>
      <c r="C59" s="18" t="s">
        <v>11</v>
      </c>
      <c r="D59" s="11"/>
      <c r="E59" s="11" t="s">
        <v>12</v>
      </c>
      <c r="F59" s="23">
        <v>611.07039999999995</v>
      </c>
      <c r="G59" s="20">
        <v>0.28283152</v>
      </c>
      <c r="H59" s="17" t="s">
        <v>12</v>
      </c>
    </row>
    <row r="60" spans="1:8" x14ac:dyDescent="0.2">
      <c r="A60" s="11"/>
      <c r="B60" s="11"/>
      <c r="C60" s="21"/>
      <c r="D60" s="11"/>
      <c r="E60" s="11"/>
      <c r="F60" s="22"/>
      <c r="G60" s="22"/>
      <c r="H60" s="17" t="s">
        <v>12</v>
      </c>
    </row>
    <row r="61" spans="1:8" x14ac:dyDescent="0.2">
      <c r="A61" s="11"/>
      <c r="B61" s="11"/>
      <c r="C61" s="18" t="s">
        <v>96</v>
      </c>
      <c r="D61" s="11"/>
      <c r="E61" s="11"/>
      <c r="F61" s="22"/>
      <c r="G61" s="22"/>
      <c r="H61" s="17" t="s">
        <v>12</v>
      </c>
    </row>
    <row r="62" spans="1:8" x14ac:dyDescent="0.2">
      <c r="A62" s="11"/>
      <c r="B62" s="11"/>
      <c r="C62" s="18" t="s">
        <v>11</v>
      </c>
      <c r="D62" s="11"/>
      <c r="E62" s="11" t="s">
        <v>12</v>
      </c>
      <c r="F62" s="19" t="s">
        <v>13</v>
      </c>
      <c r="G62" s="20">
        <v>0</v>
      </c>
      <c r="H62" s="17" t="s">
        <v>12</v>
      </c>
    </row>
    <row r="63" spans="1:8" x14ac:dyDescent="0.2">
      <c r="A63" s="11"/>
      <c r="B63" s="11"/>
      <c r="C63" s="21"/>
      <c r="D63" s="11"/>
      <c r="E63" s="11"/>
      <c r="F63" s="22"/>
      <c r="G63" s="22"/>
      <c r="H63" s="17" t="s">
        <v>12</v>
      </c>
    </row>
    <row r="64" spans="1:8" x14ac:dyDescent="0.2">
      <c r="A64" s="11"/>
      <c r="B64" s="11"/>
      <c r="C64" s="18" t="s">
        <v>97</v>
      </c>
      <c r="D64" s="11"/>
      <c r="E64" s="11"/>
      <c r="F64" s="23">
        <v>611.07039999999995</v>
      </c>
      <c r="G64" s="20">
        <v>0.28283152</v>
      </c>
      <c r="H64" s="17" t="s">
        <v>12</v>
      </c>
    </row>
    <row r="65" spans="1:8" x14ac:dyDescent="0.2">
      <c r="A65" s="11"/>
      <c r="B65" s="11"/>
      <c r="C65" s="21"/>
      <c r="D65" s="11"/>
      <c r="E65" s="11"/>
      <c r="F65" s="22"/>
      <c r="G65" s="22"/>
      <c r="H65" s="17" t="s">
        <v>12</v>
      </c>
    </row>
    <row r="66" spans="1:8" x14ac:dyDescent="0.2">
      <c r="A66" s="11"/>
      <c r="B66" s="11"/>
      <c r="C66" s="18" t="s">
        <v>98</v>
      </c>
      <c r="D66" s="11"/>
      <c r="E66" s="11"/>
      <c r="F66" s="22"/>
      <c r="G66" s="22"/>
      <c r="H66" s="17" t="s">
        <v>12</v>
      </c>
    </row>
    <row r="67" spans="1:8" x14ac:dyDescent="0.2">
      <c r="A67" s="11"/>
      <c r="B67" s="11"/>
      <c r="C67" s="18" t="s">
        <v>99</v>
      </c>
      <c r="D67" s="11"/>
      <c r="E67" s="11"/>
      <c r="F67" s="22"/>
      <c r="G67" s="22"/>
      <c r="H67" s="17" t="s">
        <v>12</v>
      </c>
    </row>
    <row r="68" spans="1:8" x14ac:dyDescent="0.2">
      <c r="A68" s="11"/>
      <c r="B68" s="11"/>
      <c r="C68" s="18" t="s">
        <v>11</v>
      </c>
      <c r="D68" s="11"/>
      <c r="E68" s="11" t="s">
        <v>12</v>
      </c>
      <c r="F68" s="19" t="s">
        <v>13</v>
      </c>
      <c r="G68" s="20">
        <v>0</v>
      </c>
      <c r="H68" s="17" t="s">
        <v>12</v>
      </c>
    </row>
    <row r="69" spans="1:8" x14ac:dyDescent="0.2">
      <c r="A69" s="11"/>
      <c r="B69" s="11"/>
      <c r="C69" s="21"/>
      <c r="D69" s="11"/>
      <c r="E69" s="11"/>
      <c r="F69" s="22"/>
      <c r="G69" s="22"/>
      <c r="H69" s="17" t="s">
        <v>12</v>
      </c>
    </row>
    <row r="70" spans="1:8" x14ac:dyDescent="0.2">
      <c r="A70" s="11"/>
      <c r="B70" s="11"/>
      <c r="C70" s="18" t="s">
        <v>109</v>
      </c>
      <c r="D70" s="11"/>
      <c r="E70" s="11"/>
      <c r="F70" s="22"/>
      <c r="G70" s="22"/>
      <c r="H70" s="17" t="s">
        <v>12</v>
      </c>
    </row>
    <row r="71" spans="1:8" x14ac:dyDescent="0.2">
      <c r="A71" s="11"/>
      <c r="B71" s="11"/>
      <c r="C71" s="18" t="s">
        <v>11</v>
      </c>
      <c r="D71" s="11"/>
      <c r="E71" s="11" t="s">
        <v>12</v>
      </c>
      <c r="F71" s="19" t="s">
        <v>13</v>
      </c>
      <c r="G71" s="20">
        <v>0</v>
      </c>
      <c r="H71" s="17" t="s">
        <v>12</v>
      </c>
    </row>
    <row r="72" spans="1:8" x14ac:dyDescent="0.2">
      <c r="A72" s="11"/>
      <c r="B72" s="11"/>
      <c r="C72" s="21"/>
      <c r="D72" s="11"/>
      <c r="E72" s="11"/>
      <c r="F72" s="22"/>
      <c r="G72" s="22"/>
      <c r="H72" s="17" t="s">
        <v>12</v>
      </c>
    </row>
    <row r="73" spans="1:8" x14ac:dyDescent="0.2">
      <c r="A73" s="11"/>
      <c r="B73" s="11"/>
      <c r="C73" s="18" t="s">
        <v>110</v>
      </c>
      <c r="D73" s="11"/>
      <c r="E73" s="11"/>
      <c r="F73" s="22"/>
      <c r="G73" s="22"/>
      <c r="H73" s="17" t="s">
        <v>12</v>
      </c>
    </row>
    <row r="74" spans="1:8" x14ac:dyDescent="0.2">
      <c r="A74" s="11"/>
      <c r="B74" s="11"/>
      <c r="C74" s="18" t="s">
        <v>11</v>
      </c>
      <c r="D74" s="11"/>
      <c r="E74" s="11" t="s">
        <v>12</v>
      </c>
      <c r="F74" s="19" t="s">
        <v>13</v>
      </c>
      <c r="G74" s="20">
        <v>0</v>
      </c>
      <c r="H74" s="17" t="s">
        <v>12</v>
      </c>
    </row>
    <row r="75" spans="1:8" x14ac:dyDescent="0.2">
      <c r="A75" s="11"/>
      <c r="B75" s="11"/>
      <c r="C75" s="21"/>
      <c r="D75" s="11"/>
      <c r="E75" s="11"/>
      <c r="F75" s="22"/>
      <c r="G75" s="22"/>
      <c r="H75" s="17" t="s">
        <v>12</v>
      </c>
    </row>
    <row r="76" spans="1:8" x14ac:dyDescent="0.2">
      <c r="A76" s="11"/>
      <c r="B76" s="11"/>
      <c r="C76" s="18" t="s">
        <v>111</v>
      </c>
      <c r="D76" s="11"/>
      <c r="E76" s="11"/>
      <c r="F76" s="22"/>
      <c r="G76" s="22"/>
      <c r="H76" s="17" t="s">
        <v>12</v>
      </c>
    </row>
    <row r="77" spans="1:8" x14ac:dyDescent="0.2">
      <c r="A77" s="24">
        <v>1</v>
      </c>
      <c r="B77" s="9"/>
      <c r="C77" s="9" t="s">
        <v>112</v>
      </c>
      <c r="D77" s="9"/>
      <c r="E77" s="28"/>
      <c r="F77" s="26">
        <v>412.34544899899998</v>
      </c>
      <c r="G77" s="27">
        <v>0.19085246</v>
      </c>
      <c r="H77" s="17">
        <v>5.3</v>
      </c>
    </row>
    <row r="78" spans="1:8" x14ac:dyDescent="0.2">
      <c r="A78" s="11"/>
      <c r="B78" s="11"/>
      <c r="C78" s="18" t="s">
        <v>11</v>
      </c>
      <c r="D78" s="11"/>
      <c r="E78" s="11" t="s">
        <v>12</v>
      </c>
      <c r="F78" s="23">
        <v>412.34544899899998</v>
      </c>
      <c r="G78" s="20">
        <v>0.19085246</v>
      </c>
      <c r="H78" s="17" t="s">
        <v>12</v>
      </c>
    </row>
    <row r="79" spans="1:8" x14ac:dyDescent="0.2">
      <c r="A79" s="11"/>
      <c r="B79" s="11"/>
      <c r="C79" s="21"/>
      <c r="D79" s="11"/>
      <c r="E79" s="11"/>
      <c r="F79" s="22"/>
      <c r="G79" s="22"/>
      <c r="H79" s="17" t="s">
        <v>12</v>
      </c>
    </row>
    <row r="80" spans="1:8" x14ac:dyDescent="0.2">
      <c r="A80" s="11"/>
      <c r="B80" s="11"/>
      <c r="C80" s="18" t="s">
        <v>113</v>
      </c>
      <c r="D80" s="11"/>
      <c r="E80" s="11"/>
      <c r="F80" s="23">
        <v>412.34544899899998</v>
      </c>
      <c r="G80" s="20">
        <v>0.19085246</v>
      </c>
      <c r="H80" s="17" t="s">
        <v>12</v>
      </c>
    </row>
    <row r="81" spans="1:17" x14ac:dyDescent="0.2">
      <c r="A81" s="11"/>
      <c r="B81" s="11"/>
      <c r="C81" s="22"/>
      <c r="D81" s="11"/>
      <c r="E81" s="11"/>
      <c r="F81" s="11"/>
      <c r="G81" s="11"/>
      <c r="H81" s="17" t="s">
        <v>12</v>
      </c>
    </row>
    <row r="82" spans="1:17" x14ac:dyDescent="0.2">
      <c r="A82" s="11"/>
      <c r="B82" s="11"/>
      <c r="C82" s="18" t="s">
        <v>114</v>
      </c>
      <c r="D82" s="11"/>
      <c r="E82" s="11"/>
      <c r="F82" s="11"/>
      <c r="G82" s="11"/>
      <c r="H82" s="17" t="s">
        <v>12</v>
      </c>
    </row>
    <row r="83" spans="1:17" x14ac:dyDescent="0.2">
      <c r="A83" s="11"/>
      <c r="B83" s="11"/>
      <c r="C83" s="18" t="s">
        <v>115</v>
      </c>
      <c r="D83" s="11"/>
      <c r="E83" s="11"/>
      <c r="F83" s="11"/>
      <c r="G83" s="11"/>
      <c r="H83" s="17" t="s">
        <v>12</v>
      </c>
    </row>
    <row r="84" spans="1:17" x14ac:dyDescent="0.2">
      <c r="A84" s="11"/>
      <c r="B84" s="11"/>
      <c r="C84" s="18" t="s">
        <v>11</v>
      </c>
      <c r="D84" s="11"/>
      <c r="E84" s="11" t="s">
        <v>12</v>
      </c>
      <c r="F84" s="19" t="s">
        <v>13</v>
      </c>
      <c r="G84" s="20">
        <v>0</v>
      </c>
      <c r="H84" s="17" t="s">
        <v>12</v>
      </c>
    </row>
    <row r="85" spans="1:17" x14ac:dyDescent="0.2">
      <c r="A85" s="16"/>
      <c r="B85" s="16"/>
      <c r="C85" s="65"/>
      <c r="D85" s="16"/>
      <c r="E85" s="16"/>
      <c r="F85" s="35"/>
      <c r="G85" s="35"/>
      <c r="H85" s="17" t="s">
        <v>12</v>
      </c>
    </row>
    <row r="86" spans="1:17" x14ac:dyDescent="0.2">
      <c r="A86" s="16"/>
      <c r="B86" s="16"/>
      <c r="C86" s="8" t="s">
        <v>618</v>
      </c>
      <c r="D86" s="16"/>
      <c r="E86" s="16"/>
      <c r="F86" s="35"/>
      <c r="G86" s="35"/>
      <c r="H86" s="17" t="s">
        <v>12</v>
      </c>
      <c r="K86" s="48"/>
      <c r="L86" s="48"/>
      <c r="M86" s="48"/>
      <c r="N86" s="48"/>
      <c r="O86" s="66"/>
      <c r="P86" s="66"/>
      <c r="Q86" s="66"/>
    </row>
    <row r="87" spans="1:17" x14ac:dyDescent="0.2">
      <c r="A87" s="59">
        <v>1</v>
      </c>
      <c r="B87" s="60" t="s">
        <v>116</v>
      </c>
      <c r="C87" s="60" t="s">
        <v>117</v>
      </c>
      <c r="D87" s="60"/>
      <c r="E87" s="67">
        <v>76.796000000000006</v>
      </c>
      <c r="F87" s="62">
        <v>8.6534067629999996</v>
      </c>
      <c r="G87" s="63">
        <v>4.0052000000000004E-3</v>
      </c>
      <c r="H87" s="17" t="s">
        <v>12</v>
      </c>
    </row>
    <row r="88" spans="1:17" x14ac:dyDescent="0.2">
      <c r="A88" s="16"/>
      <c r="B88" s="16"/>
      <c r="C88" s="8" t="s">
        <v>11</v>
      </c>
      <c r="D88" s="16"/>
      <c r="E88" s="16" t="s">
        <v>12</v>
      </c>
      <c r="F88" s="68">
        <f>SUM(F87)</f>
        <v>8.6534067629999996</v>
      </c>
      <c r="G88" s="69">
        <f>SUM(G87)</f>
        <v>4.0052000000000004E-3</v>
      </c>
      <c r="H88" s="17" t="s">
        <v>12</v>
      </c>
    </row>
    <row r="89" spans="1:17" x14ac:dyDescent="0.2">
      <c r="A89" s="16"/>
      <c r="B89" s="16"/>
      <c r="C89" s="65"/>
      <c r="D89" s="16"/>
      <c r="E89" s="16"/>
      <c r="F89" s="35"/>
      <c r="G89" s="35"/>
      <c r="H89" s="17" t="s">
        <v>12</v>
      </c>
    </row>
    <row r="90" spans="1:17" x14ac:dyDescent="0.2">
      <c r="A90" s="11"/>
      <c r="B90" s="11"/>
      <c r="C90" s="18" t="s">
        <v>118</v>
      </c>
      <c r="D90" s="11"/>
      <c r="E90" s="11"/>
      <c r="F90" s="11"/>
      <c r="G90" s="11"/>
      <c r="H90" s="17" t="s">
        <v>12</v>
      </c>
    </row>
    <row r="91" spans="1:17" x14ac:dyDescent="0.2">
      <c r="A91" s="11"/>
      <c r="B91" s="11"/>
      <c r="C91" s="18" t="s">
        <v>119</v>
      </c>
      <c r="D91" s="11"/>
      <c r="E91" s="11"/>
      <c r="F91" s="11"/>
      <c r="G91" s="11"/>
      <c r="H91" s="17" t="s">
        <v>12</v>
      </c>
    </row>
    <row r="92" spans="1:17" x14ac:dyDescent="0.2">
      <c r="A92" s="11"/>
      <c r="B92" s="11"/>
      <c r="C92" s="18" t="s">
        <v>11</v>
      </c>
      <c r="D92" s="11"/>
      <c r="E92" s="11" t="s">
        <v>12</v>
      </c>
      <c r="F92" s="19" t="s">
        <v>13</v>
      </c>
      <c r="G92" s="20">
        <v>0</v>
      </c>
      <c r="H92" s="17" t="s">
        <v>12</v>
      </c>
    </row>
    <row r="93" spans="1:17" x14ac:dyDescent="0.2">
      <c r="A93" s="11"/>
      <c r="B93" s="11"/>
      <c r="C93" s="21"/>
      <c r="D93" s="11"/>
      <c r="E93" s="11"/>
      <c r="F93" s="22"/>
      <c r="G93" s="22"/>
      <c r="H93" s="17" t="s">
        <v>12</v>
      </c>
    </row>
    <row r="94" spans="1:17" x14ac:dyDescent="0.2">
      <c r="A94" s="11"/>
      <c r="B94" s="11"/>
      <c r="C94" s="18" t="s">
        <v>120</v>
      </c>
      <c r="D94" s="11"/>
      <c r="E94" s="11"/>
      <c r="F94" s="22"/>
      <c r="G94" s="22"/>
      <c r="H94" s="17" t="s">
        <v>12</v>
      </c>
    </row>
    <row r="95" spans="1:17" x14ac:dyDescent="0.2">
      <c r="A95" s="11"/>
      <c r="B95" s="11"/>
      <c r="C95" s="18" t="s">
        <v>11</v>
      </c>
      <c r="D95" s="11"/>
      <c r="E95" s="11" t="s">
        <v>12</v>
      </c>
      <c r="F95" s="19" t="s">
        <v>13</v>
      </c>
      <c r="G95" s="20">
        <v>0</v>
      </c>
      <c r="H95" s="17" t="s">
        <v>12</v>
      </c>
    </row>
    <row r="96" spans="1:17" x14ac:dyDescent="0.2">
      <c r="A96" s="11"/>
      <c r="B96" s="9"/>
      <c r="C96" s="9"/>
      <c r="D96" s="18"/>
      <c r="E96" s="11"/>
      <c r="F96" s="9"/>
      <c r="G96" s="28"/>
      <c r="H96" s="17" t="s">
        <v>12</v>
      </c>
    </row>
    <row r="97" spans="1:8" x14ac:dyDescent="0.2">
      <c r="A97" s="28"/>
      <c r="B97" s="9"/>
      <c r="C97" s="9" t="s">
        <v>121</v>
      </c>
      <c r="D97" s="9"/>
      <c r="E97" s="28"/>
      <c r="F97" s="26">
        <v>558.96144145000005</v>
      </c>
      <c r="G97" s="27">
        <v>0.25871309999999997</v>
      </c>
      <c r="H97" s="17" t="s">
        <v>12</v>
      </c>
    </row>
    <row r="98" spans="1:8" x14ac:dyDescent="0.2">
      <c r="A98" s="21"/>
      <c r="B98" s="21"/>
      <c r="C98" s="18" t="s">
        <v>122</v>
      </c>
      <c r="D98" s="22"/>
      <c r="E98" s="22"/>
      <c r="F98" s="23">
        <f>F97+F88+F80+F64+F47</f>
        <v>2160.5455942120002</v>
      </c>
      <c r="G98" s="29">
        <f>G97+G88+G80+G64+G47</f>
        <v>1.0000000195287124</v>
      </c>
      <c r="H98" s="17" t="s">
        <v>12</v>
      </c>
    </row>
    <row r="99" spans="1:8" x14ac:dyDescent="0.2">
      <c r="A99" s="30"/>
      <c r="B99" s="30"/>
      <c r="C99" s="30"/>
      <c r="D99" s="10"/>
      <c r="E99" s="10"/>
      <c r="F99" s="10"/>
      <c r="G99" s="10"/>
    </row>
    <row r="100" spans="1:8" x14ac:dyDescent="0.2">
      <c r="A100" s="31"/>
      <c r="B100" s="148" t="s">
        <v>619</v>
      </c>
      <c r="C100" s="148"/>
      <c r="D100" s="148"/>
      <c r="E100" s="148"/>
      <c r="F100" s="148"/>
      <c r="G100" s="148"/>
      <c r="H100" s="148"/>
    </row>
    <row r="101" spans="1:8" x14ac:dyDescent="0.2">
      <c r="A101" s="31"/>
      <c r="B101" s="148" t="s">
        <v>620</v>
      </c>
      <c r="C101" s="148"/>
      <c r="D101" s="148"/>
      <c r="E101" s="148"/>
      <c r="F101" s="148"/>
      <c r="G101" s="148"/>
      <c r="H101" s="148"/>
    </row>
    <row r="102" spans="1:8" x14ac:dyDescent="0.2">
      <c r="A102" s="31"/>
      <c r="B102" s="148" t="s">
        <v>621</v>
      </c>
      <c r="C102" s="148"/>
      <c r="D102" s="148"/>
      <c r="E102" s="148"/>
      <c r="F102" s="148"/>
      <c r="G102" s="148"/>
      <c r="H102" s="148"/>
    </row>
    <row r="103" spans="1:8" x14ac:dyDescent="0.2">
      <c r="A103" s="31"/>
      <c r="B103" s="31"/>
      <c r="C103" s="31"/>
      <c r="D103" s="33"/>
      <c r="E103" s="33"/>
      <c r="F103" s="33"/>
      <c r="G103" s="33"/>
    </row>
    <row r="104" spans="1:8" x14ac:dyDescent="0.2">
      <c r="A104" s="31"/>
      <c r="B104" s="149" t="s">
        <v>123</v>
      </c>
      <c r="C104" s="150"/>
      <c r="D104" s="151"/>
      <c r="E104" s="34"/>
      <c r="F104" s="33"/>
      <c r="G104" s="33"/>
    </row>
    <row r="105" spans="1:8" x14ac:dyDescent="0.2">
      <c r="A105" s="31"/>
      <c r="B105" s="152" t="s">
        <v>124</v>
      </c>
      <c r="C105" s="153"/>
      <c r="D105" s="8" t="s">
        <v>704</v>
      </c>
      <c r="E105" s="34"/>
      <c r="F105" s="33"/>
      <c r="G105" s="33"/>
    </row>
    <row r="106" spans="1:8" x14ac:dyDescent="0.2">
      <c r="A106" s="31"/>
      <c r="B106" s="152" t="s">
        <v>126</v>
      </c>
      <c r="C106" s="153"/>
      <c r="D106" s="8" t="s">
        <v>125</v>
      </c>
      <c r="E106" s="34"/>
      <c r="F106" s="33"/>
      <c r="G106" s="33"/>
    </row>
    <row r="107" spans="1:8" x14ac:dyDescent="0.2">
      <c r="A107" s="31"/>
      <c r="B107" s="152" t="s">
        <v>127</v>
      </c>
      <c r="C107" s="153"/>
      <c r="D107" s="35" t="s">
        <v>12</v>
      </c>
      <c r="E107" s="34"/>
      <c r="F107" s="33"/>
      <c r="G107" s="33"/>
    </row>
    <row r="108" spans="1:8" x14ac:dyDescent="0.2">
      <c r="A108" s="36"/>
      <c r="B108" s="37" t="s">
        <v>12</v>
      </c>
      <c r="C108" s="37" t="s">
        <v>622</v>
      </c>
      <c r="D108" s="37" t="s">
        <v>128</v>
      </c>
      <c r="E108" s="36"/>
      <c r="F108" s="36"/>
      <c r="G108" s="36"/>
    </row>
    <row r="109" spans="1:8" x14ac:dyDescent="0.2">
      <c r="A109" s="36"/>
      <c r="B109" s="38" t="s">
        <v>129</v>
      </c>
      <c r="C109" s="39">
        <v>45838</v>
      </c>
      <c r="D109" s="39">
        <v>45853</v>
      </c>
      <c r="E109" s="36"/>
      <c r="F109" s="36"/>
      <c r="G109" s="36"/>
    </row>
    <row r="110" spans="1:8" x14ac:dyDescent="0.2">
      <c r="A110" s="40"/>
      <c r="B110" s="9" t="s">
        <v>130</v>
      </c>
      <c r="C110" s="41">
        <v>32.731000000000002</v>
      </c>
      <c r="D110" s="41">
        <v>32.8202</v>
      </c>
      <c r="E110" s="40"/>
      <c r="F110" s="42"/>
      <c r="G110" s="43"/>
    </row>
    <row r="111" spans="1:8" ht="25.5" x14ac:dyDescent="0.2">
      <c r="A111" s="40"/>
      <c r="B111" s="9" t="s">
        <v>740</v>
      </c>
      <c r="C111" s="41">
        <v>21.183399999999999</v>
      </c>
      <c r="D111" s="41">
        <v>21.241199999999999</v>
      </c>
      <c r="E111" s="40"/>
      <c r="F111" s="42"/>
      <c r="G111" s="43"/>
    </row>
    <row r="112" spans="1:8" x14ac:dyDescent="0.2">
      <c r="A112" s="40"/>
      <c r="B112" s="9" t="s">
        <v>131</v>
      </c>
      <c r="C112" s="41">
        <v>29.696899999999999</v>
      </c>
      <c r="D112" s="41">
        <v>29.765799999999999</v>
      </c>
      <c r="E112" s="40"/>
      <c r="F112" s="42"/>
      <c r="G112" s="43"/>
    </row>
    <row r="113" spans="1:18" ht="25.5" x14ac:dyDescent="0.2">
      <c r="A113" s="40"/>
      <c r="B113" s="9" t="s">
        <v>741</v>
      </c>
      <c r="C113" s="41">
        <v>19.107099999999999</v>
      </c>
      <c r="D113" s="41">
        <v>19.151399999999999</v>
      </c>
      <c r="E113" s="40"/>
      <c r="F113" s="42"/>
      <c r="G113" s="43"/>
    </row>
    <row r="114" spans="1:18" x14ac:dyDescent="0.2">
      <c r="A114" s="40"/>
      <c r="B114" s="40"/>
      <c r="C114" s="40"/>
      <c r="D114" s="40"/>
      <c r="E114" s="40"/>
      <c r="F114" s="40"/>
      <c r="G114" s="40"/>
    </row>
    <row r="115" spans="1:18" x14ac:dyDescent="0.2">
      <c r="A115" s="40"/>
      <c r="B115" s="155" t="s">
        <v>742</v>
      </c>
      <c r="C115" s="156"/>
      <c r="D115" s="18" t="s">
        <v>125</v>
      </c>
      <c r="E115" s="40"/>
      <c r="F115" s="40"/>
      <c r="G115" s="40"/>
    </row>
    <row r="116" spans="1:18" x14ac:dyDescent="0.2">
      <c r="A116" s="40"/>
      <c r="B116" s="44"/>
      <c r="C116" s="44"/>
      <c r="D116" s="44"/>
      <c r="E116" s="40"/>
      <c r="F116" s="40"/>
      <c r="G116" s="40"/>
    </row>
    <row r="117" spans="1:18" x14ac:dyDescent="0.2">
      <c r="A117" s="36"/>
      <c r="B117" s="152" t="s">
        <v>132</v>
      </c>
      <c r="C117" s="153"/>
      <c r="D117" s="8" t="s">
        <v>125</v>
      </c>
      <c r="E117" s="47"/>
      <c r="F117" s="36"/>
      <c r="G117" s="36"/>
      <c r="J117" s="15"/>
    </row>
    <row r="118" spans="1:18" x14ac:dyDescent="0.2">
      <c r="A118" s="36"/>
      <c r="B118" s="152" t="s">
        <v>133</v>
      </c>
      <c r="C118" s="153"/>
      <c r="D118" s="8" t="s">
        <v>125</v>
      </c>
      <c r="E118" s="47"/>
      <c r="F118" s="36"/>
      <c r="G118" s="36"/>
      <c r="J118" s="15"/>
    </row>
    <row r="119" spans="1:18" x14ac:dyDescent="0.2">
      <c r="A119" s="36"/>
      <c r="B119" s="152" t="s">
        <v>623</v>
      </c>
      <c r="C119" s="153"/>
      <c r="D119" s="8" t="s">
        <v>125</v>
      </c>
      <c r="E119" s="47"/>
      <c r="F119" s="36"/>
      <c r="G119" s="36"/>
      <c r="J119" s="15"/>
    </row>
    <row r="120" spans="1:18" x14ac:dyDescent="0.2">
      <c r="A120" s="44"/>
      <c r="B120" s="44"/>
      <c r="C120" s="44"/>
      <c r="D120" s="44"/>
      <c r="E120" s="44"/>
      <c r="F120" s="44"/>
      <c r="G120" s="44"/>
      <c r="J120" s="15"/>
    </row>
    <row r="121" spans="1:18" s="49" customFormat="1" x14ac:dyDescent="0.2">
      <c r="B121" s="157" t="s">
        <v>624</v>
      </c>
      <c r="C121" s="158"/>
      <c r="D121" s="159"/>
      <c r="I121"/>
      <c r="J121" s="15"/>
      <c r="K121" s="48"/>
      <c r="L121" s="48"/>
      <c r="M121" s="48"/>
      <c r="N121" s="48"/>
      <c r="O121"/>
      <c r="R121"/>
    </row>
    <row r="122" spans="1:18" s="49" customFormat="1" ht="25.5" x14ac:dyDescent="0.2">
      <c r="B122" s="154" t="s">
        <v>625</v>
      </c>
      <c r="C122" s="154"/>
      <c r="D122" s="51" t="s">
        <v>532</v>
      </c>
      <c r="I122"/>
      <c r="J122" s="15"/>
      <c r="K122" s="48"/>
      <c r="L122" s="48"/>
      <c r="M122" s="48"/>
      <c r="N122" s="48"/>
      <c r="O122"/>
      <c r="R122"/>
    </row>
    <row r="123" spans="1:18" s="49" customFormat="1" x14ac:dyDescent="0.2">
      <c r="B123" s="143" t="s">
        <v>626</v>
      </c>
      <c r="C123" s="143"/>
      <c r="D123" s="52"/>
      <c r="I123"/>
      <c r="J123" s="15"/>
      <c r="K123" s="48"/>
      <c r="L123" s="48"/>
      <c r="M123" s="48"/>
      <c r="N123" s="48"/>
      <c r="O123"/>
      <c r="R123"/>
    </row>
    <row r="124" spans="1:18" s="49" customFormat="1" x14ac:dyDescent="0.2">
      <c r="B124" s="143"/>
      <c r="C124" s="143"/>
      <c r="D124" s="53"/>
      <c r="I124"/>
      <c r="J124" s="15"/>
      <c r="K124" s="48"/>
      <c r="L124" s="48"/>
      <c r="M124" s="48"/>
      <c r="N124" s="48"/>
      <c r="O124"/>
    </row>
    <row r="125" spans="1:18" s="49" customFormat="1" x14ac:dyDescent="0.2">
      <c r="B125" s="143" t="s">
        <v>627</v>
      </c>
      <c r="C125" s="143"/>
      <c r="D125" s="54">
        <v>6.5619099749667447</v>
      </c>
      <c r="I125"/>
      <c r="J125" s="15"/>
      <c r="K125" s="48"/>
      <c r="L125" s="48"/>
      <c r="M125" s="48"/>
      <c r="N125" s="48"/>
      <c r="O125"/>
    </row>
    <row r="126" spans="1:18" s="49" customFormat="1" x14ac:dyDescent="0.2">
      <c r="B126" s="143"/>
      <c r="C126" s="143"/>
      <c r="D126" s="53"/>
      <c r="I126"/>
      <c r="J126" s="15"/>
      <c r="K126" s="48"/>
      <c r="L126" s="48"/>
      <c r="M126" s="48"/>
      <c r="N126" s="48"/>
      <c r="O126"/>
    </row>
    <row r="127" spans="1:18" s="49" customFormat="1" x14ac:dyDescent="0.2">
      <c r="B127" s="143" t="s">
        <v>728</v>
      </c>
      <c r="C127" s="143"/>
      <c r="D127" s="54">
        <v>8.4979358892097281</v>
      </c>
      <c r="I127"/>
      <c r="J127" s="15"/>
      <c r="K127" s="48"/>
      <c r="L127" s="48"/>
      <c r="M127" s="48"/>
      <c r="N127" s="48"/>
      <c r="O127"/>
    </row>
    <row r="128" spans="1:18" s="49" customFormat="1" x14ac:dyDescent="0.2">
      <c r="B128" s="143" t="s">
        <v>729</v>
      </c>
      <c r="C128" s="143"/>
      <c r="D128" s="54">
        <v>19.505225446355709</v>
      </c>
      <c r="I128"/>
      <c r="J128" s="15"/>
      <c r="K128" s="48"/>
      <c r="L128" s="48"/>
      <c r="M128" s="48"/>
      <c r="N128" s="48"/>
      <c r="O128"/>
    </row>
    <row r="129" spans="2:16" s="49" customFormat="1" x14ac:dyDescent="0.2">
      <c r="B129" s="143"/>
      <c r="C129" s="143"/>
      <c r="D129" s="53"/>
      <c r="I129"/>
      <c r="J129" s="15"/>
      <c r="K129" s="48"/>
      <c r="L129" s="48"/>
      <c r="M129" s="48"/>
      <c r="N129" s="48"/>
      <c r="O129"/>
    </row>
    <row r="130" spans="2:16" s="49" customFormat="1" x14ac:dyDescent="0.2">
      <c r="B130" s="143" t="s">
        <v>630</v>
      </c>
      <c r="C130" s="143"/>
      <c r="D130" s="70" t="s">
        <v>746</v>
      </c>
      <c r="I130"/>
      <c r="J130" s="15"/>
      <c r="K130" s="48"/>
      <c r="L130" s="48"/>
      <c r="M130" s="48"/>
      <c r="N130" s="48"/>
      <c r="O130"/>
    </row>
    <row r="131" spans="2:16" s="49" customFormat="1" x14ac:dyDescent="0.2">
      <c r="B131" s="144" t="s">
        <v>631</v>
      </c>
      <c r="C131" s="146"/>
      <c r="D131" s="145"/>
      <c r="I131"/>
      <c r="J131" s="15"/>
      <c r="K131" s="48"/>
      <c r="L131" s="48"/>
      <c r="M131" s="48"/>
      <c r="N131" s="48"/>
      <c r="O131"/>
    </row>
    <row r="132" spans="2:16" x14ac:dyDescent="0.2">
      <c r="J132" s="15"/>
    </row>
    <row r="133" spans="2:16" ht="13.5" x14ac:dyDescent="0.2">
      <c r="B133" s="213" t="s">
        <v>750</v>
      </c>
      <c r="C133" s="213"/>
      <c r="D133" s="213"/>
      <c r="E133" s="213"/>
      <c r="F133" s="213"/>
      <c r="G133" s="213"/>
      <c r="H133" s="213"/>
      <c r="I133" s="48"/>
      <c r="J133" s="15"/>
      <c r="K133" s="48"/>
      <c r="L133" s="48"/>
      <c r="M133" s="48"/>
      <c r="N133" s="48"/>
      <c r="O133" s="48"/>
      <c r="P133" s="48"/>
    </row>
    <row r="134" spans="2:16" s="50" customFormat="1" ht="26.25" customHeight="1" x14ac:dyDescent="0.2">
      <c r="B134" s="71" t="s">
        <v>643</v>
      </c>
      <c r="C134" s="71" t="s">
        <v>644</v>
      </c>
      <c r="D134" s="180" t="s">
        <v>730</v>
      </c>
      <c r="E134" s="180"/>
      <c r="F134" s="180"/>
      <c r="G134" s="179" t="s">
        <v>646</v>
      </c>
      <c r="H134" s="179"/>
      <c r="J134" s="15"/>
      <c r="K134" s="73"/>
      <c r="L134" s="73"/>
      <c r="M134" s="73"/>
      <c r="N134" s="73"/>
      <c r="O134" s="73"/>
      <c r="P134" s="73"/>
    </row>
    <row r="135" spans="2:16" ht="27" x14ac:dyDescent="0.25">
      <c r="B135" s="74" t="s">
        <v>684</v>
      </c>
      <c r="C135" s="75" t="s">
        <v>731</v>
      </c>
      <c r="D135" s="181">
        <v>0</v>
      </c>
      <c r="E135" s="181"/>
      <c r="F135" s="181"/>
      <c r="G135" s="181">
        <v>0</v>
      </c>
      <c r="H135" s="181"/>
      <c r="J135" s="15"/>
      <c r="K135" s="48"/>
      <c r="L135" s="48"/>
      <c r="M135" s="48"/>
      <c r="N135" s="48"/>
      <c r="O135" s="48"/>
      <c r="P135" s="48"/>
    </row>
    <row r="136" spans="2:16" ht="13.5" x14ac:dyDescent="0.25">
      <c r="B136" s="76"/>
      <c r="C136" s="76"/>
      <c r="D136" s="182"/>
      <c r="E136" s="182"/>
      <c r="F136" s="182"/>
      <c r="G136" s="182"/>
      <c r="H136" s="182"/>
      <c r="J136" s="15"/>
      <c r="K136" s="48"/>
      <c r="L136" s="48"/>
      <c r="M136" s="48"/>
      <c r="N136" s="48"/>
      <c r="O136" s="48"/>
      <c r="P136" s="48"/>
    </row>
    <row r="137" spans="2:16" ht="13.5" x14ac:dyDescent="0.25">
      <c r="B137" s="183" t="s">
        <v>653</v>
      </c>
      <c r="C137" s="183"/>
      <c r="D137" s="183"/>
      <c r="E137" s="183"/>
      <c r="F137" s="183"/>
      <c r="G137" s="183"/>
      <c r="H137" s="183"/>
      <c r="J137" s="15"/>
      <c r="K137" s="48"/>
      <c r="L137" s="48"/>
      <c r="M137" s="48"/>
      <c r="N137" s="48"/>
      <c r="O137" s="48"/>
      <c r="P137" s="48"/>
    </row>
    <row r="138" spans="2:16" ht="13.5" customHeight="1" x14ac:dyDescent="0.2">
      <c r="B138" s="179" t="s">
        <v>643</v>
      </c>
      <c r="C138" s="179" t="s">
        <v>644</v>
      </c>
      <c r="D138" s="179" t="s">
        <v>687</v>
      </c>
      <c r="E138" s="179"/>
      <c r="F138" s="179"/>
      <c r="G138" s="179"/>
      <c r="H138" s="180" t="s">
        <v>732</v>
      </c>
      <c r="I138" s="180" t="s">
        <v>733</v>
      </c>
      <c r="J138" s="180" t="s">
        <v>690</v>
      </c>
      <c r="K138" s="48"/>
      <c r="L138" s="48"/>
      <c r="M138" s="48"/>
      <c r="N138" s="48"/>
      <c r="O138" s="48"/>
      <c r="P138" s="48"/>
    </row>
    <row r="139" spans="2:16" ht="121.5" x14ac:dyDescent="0.2">
      <c r="B139" s="179"/>
      <c r="C139" s="179"/>
      <c r="D139" s="72" t="s">
        <v>691</v>
      </c>
      <c r="E139" s="72" t="s">
        <v>692</v>
      </c>
      <c r="F139" s="72" t="s">
        <v>693</v>
      </c>
      <c r="G139" s="72" t="s">
        <v>722</v>
      </c>
      <c r="H139" s="180"/>
      <c r="I139" s="180"/>
      <c r="J139" s="180"/>
      <c r="K139" s="48"/>
      <c r="L139" s="48"/>
      <c r="M139" s="48"/>
      <c r="N139" s="48"/>
      <c r="O139" s="48"/>
    </row>
    <row r="140" spans="2:16" ht="27" x14ac:dyDescent="0.25">
      <c r="B140" s="76" t="s">
        <v>684</v>
      </c>
      <c r="C140" s="75" t="s">
        <v>734</v>
      </c>
      <c r="D140" s="78">
        <v>500</v>
      </c>
      <c r="E140" s="78">
        <v>9.9405737999999992</v>
      </c>
      <c r="F140" s="79">
        <v>16.00737140547945</v>
      </c>
      <c r="G140" s="78">
        <v>525.94794520547941</v>
      </c>
      <c r="H140" s="3">
        <v>233.40679</v>
      </c>
      <c r="I140" s="3">
        <v>4.01</v>
      </c>
      <c r="J140" s="80">
        <f>H140+I140</f>
        <v>237.41678999999999</v>
      </c>
      <c r="K140" s="48"/>
      <c r="L140" s="48"/>
      <c r="M140" s="48"/>
      <c r="N140" s="48"/>
      <c r="O140" s="48"/>
      <c r="P140" s="48"/>
    </row>
    <row r="141" spans="2:16" x14ac:dyDescent="0.2">
      <c r="J141" s="15"/>
      <c r="P141" s="48"/>
    </row>
    <row r="142" spans="2:16" x14ac:dyDescent="0.2">
      <c r="J142" s="15"/>
      <c r="K142" s="48"/>
      <c r="L142" s="48"/>
      <c r="M142" s="48"/>
      <c r="N142" s="48"/>
      <c r="O142" s="48"/>
      <c r="P142" s="48"/>
    </row>
    <row r="143" spans="2:16" ht="13.5" x14ac:dyDescent="0.25">
      <c r="B143" s="81" t="s">
        <v>673</v>
      </c>
      <c r="J143" s="15"/>
      <c r="K143" s="48"/>
      <c r="L143" s="48"/>
      <c r="M143" s="48"/>
      <c r="N143" s="48"/>
      <c r="O143" s="48"/>
      <c r="P143" s="48"/>
    </row>
    <row r="144" spans="2:16" x14ac:dyDescent="0.2">
      <c r="B144" s="48"/>
      <c r="C144" s="48"/>
      <c r="D144" s="48"/>
      <c r="E144" s="48"/>
      <c r="F144" s="48"/>
      <c r="G144" s="48"/>
      <c r="H144" s="48"/>
      <c r="J144" s="15"/>
      <c r="K144" s="48"/>
      <c r="L144" s="48"/>
      <c r="M144" s="48"/>
      <c r="N144" s="48"/>
      <c r="O144" s="48"/>
      <c r="P144" s="48"/>
    </row>
    <row r="145" spans="2:16" x14ac:dyDescent="0.2">
      <c r="B145" s="82" t="s">
        <v>674</v>
      </c>
      <c r="C145" s="48"/>
      <c r="D145" s="48"/>
      <c r="E145" s="48"/>
      <c r="F145" s="48"/>
      <c r="G145" s="48"/>
      <c r="H145" s="48"/>
      <c r="J145" s="15"/>
      <c r="K145" s="48"/>
      <c r="L145" s="48"/>
      <c r="M145" s="48"/>
      <c r="N145" s="48"/>
      <c r="O145" s="48"/>
      <c r="P145" s="48"/>
    </row>
    <row r="146" spans="2:16" x14ac:dyDescent="0.2">
      <c r="B146" s="48"/>
      <c r="C146" s="48"/>
      <c r="D146" s="48"/>
      <c r="E146" s="48"/>
      <c r="F146" s="48"/>
      <c r="G146" s="48"/>
      <c r="H146" s="48"/>
      <c r="J146" s="15"/>
      <c r="K146" s="48"/>
      <c r="L146" s="48"/>
      <c r="M146" s="48"/>
      <c r="N146" s="48"/>
      <c r="O146" s="48"/>
      <c r="P146" s="48"/>
    </row>
    <row r="147" spans="2:16" x14ac:dyDescent="0.2">
      <c r="B147" s="82" t="s">
        <v>675</v>
      </c>
      <c r="C147" s="48"/>
      <c r="D147" s="48"/>
      <c r="E147" s="48"/>
      <c r="F147" s="48"/>
      <c r="G147" s="48"/>
      <c r="H147" s="48"/>
      <c r="J147" s="15"/>
      <c r="K147" s="48"/>
      <c r="L147" s="48"/>
      <c r="M147" s="48"/>
      <c r="N147" s="48"/>
      <c r="O147" s="48"/>
      <c r="P147" s="48"/>
    </row>
    <row r="148" spans="2:16" x14ac:dyDescent="0.2">
      <c r="J148" s="15"/>
      <c r="K148" s="48"/>
      <c r="L148" s="48"/>
      <c r="M148" s="48"/>
      <c r="N148" s="48"/>
      <c r="O148" s="48"/>
    </row>
    <row r="149" spans="2:16" x14ac:dyDescent="0.2">
      <c r="B149" s="82" t="s">
        <v>676</v>
      </c>
      <c r="J149" s="15"/>
      <c r="K149" s="48"/>
      <c r="L149" s="48"/>
      <c r="M149" s="48"/>
      <c r="N149" s="48"/>
      <c r="O149" s="48"/>
    </row>
    <row r="150" spans="2:16" x14ac:dyDescent="0.2">
      <c r="J150" s="15"/>
    </row>
    <row r="151" spans="2:16" ht="25.5" x14ac:dyDescent="0.2">
      <c r="B151" s="83" t="s">
        <v>632</v>
      </c>
    </row>
    <row r="153" spans="2:16" ht="153.75" customHeight="1" x14ac:dyDescent="0.2"/>
    <row r="156" spans="2:16" x14ac:dyDescent="0.2">
      <c r="B156" s="57" t="s">
        <v>633</v>
      </c>
      <c r="C156" s="58"/>
      <c r="D156" s="57"/>
    </row>
    <row r="157" spans="2:16" x14ac:dyDescent="0.2">
      <c r="B157" s="57" t="s">
        <v>735</v>
      </c>
      <c r="D157" s="57"/>
    </row>
    <row r="158" spans="2:16" ht="165" customHeight="1" x14ac:dyDescent="0.2"/>
    <row r="160" spans="2:16" x14ac:dyDescent="0.2">
      <c r="J160" s="15"/>
    </row>
    <row r="161" spans="10:10" x14ac:dyDescent="0.2">
      <c r="J161" s="15"/>
    </row>
    <row r="162" spans="10:10" x14ac:dyDescent="0.2">
      <c r="J162" s="15"/>
    </row>
    <row r="163" spans="10:10" x14ac:dyDescent="0.2">
      <c r="J163" s="15"/>
    </row>
    <row r="164" spans="10:10" x14ac:dyDescent="0.2">
      <c r="J164" s="15"/>
    </row>
  </sheetData>
  <mergeCells count="39">
    <mergeCell ref="B122:C122"/>
    <mergeCell ref="B123:C123"/>
    <mergeCell ref="B117:C117"/>
    <mergeCell ref="B118:C118"/>
    <mergeCell ref="B115:C115"/>
    <mergeCell ref="B119:C119"/>
    <mergeCell ref="B121:D121"/>
    <mergeCell ref="B102:H102"/>
    <mergeCell ref="B104:D104"/>
    <mergeCell ref="B105:C105"/>
    <mergeCell ref="B106:C106"/>
    <mergeCell ref="B107:C107"/>
    <mergeCell ref="A1:H1"/>
    <mergeCell ref="A2:H2"/>
    <mergeCell ref="A3:H3"/>
    <mergeCell ref="B100:H100"/>
    <mergeCell ref="B101:H101"/>
    <mergeCell ref="B124:C124"/>
    <mergeCell ref="B125:C125"/>
    <mergeCell ref="B126:C126"/>
    <mergeCell ref="B127:C127"/>
    <mergeCell ref="B128:C128"/>
    <mergeCell ref="B129:C129"/>
    <mergeCell ref="B130:C130"/>
    <mergeCell ref="B131:D131"/>
    <mergeCell ref="B133:H133"/>
    <mergeCell ref="D134:F134"/>
    <mergeCell ref="G134:H134"/>
    <mergeCell ref="D135:F135"/>
    <mergeCell ref="G135:H135"/>
    <mergeCell ref="D136:F136"/>
    <mergeCell ref="G136:H136"/>
    <mergeCell ref="B137:H137"/>
    <mergeCell ref="J138:J139"/>
    <mergeCell ref="B138:B139"/>
    <mergeCell ref="C138:C139"/>
    <mergeCell ref="D138:G138"/>
    <mergeCell ref="H138:H139"/>
    <mergeCell ref="I138:I139"/>
  </mergeCells>
  <hyperlinks>
    <hyperlink ref="I1" location="Index!B2" display="Index" xr:uid="{F225FC09-3780-4265-B530-FE2603F2EFBA}"/>
    <hyperlink ref="B145" r:id="rId1" xr:uid="{6CB58B75-6438-41D2-AA3F-3C8E5ED0ACB9}"/>
    <hyperlink ref="B147" r:id="rId2" xr:uid="{1C565E0E-9EAE-4352-A0E1-AB7A5CD60E49}"/>
    <hyperlink ref="B149" r:id="rId3" xr:uid="{1A14C8C8-6736-4ACA-ABF6-0C55329A68C2}"/>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2F1BB-B8D0-4C05-AE77-A0CA329AE592}">
  <sheetPr>
    <outlinePr summaryBelow="0" summaryRight="0"/>
  </sheetPr>
  <dimension ref="A1:U131"/>
  <sheetViews>
    <sheetView showGridLines="0" topLeftCell="A79" workbookViewId="0">
      <selection activeCell="C20" sqref="C20"/>
    </sheetView>
  </sheetViews>
  <sheetFormatPr defaultRowHeight="12.75" x14ac:dyDescent="0.2"/>
  <cols>
    <col min="1" max="1" width="5.85546875" bestFit="1" customWidth="1"/>
    <col min="2" max="2" width="19.28515625" bestFit="1" customWidth="1"/>
    <col min="3" max="3" width="48.42578125" customWidth="1"/>
    <col min="4" max="4" width="10.7109375" bestFit="1" customWidth="1"/>
    <col min="5" max="5" width="8.7109375" bestFit="1" customWidth="1"/>
    <col min="6" max="6" width="10.140625" bestFit="1" customWidth="1"/>
    <col min="7" max="7" width="14" bestFit="1" customWidth="1"/>
    <col min="8" max="8" width="9.140625" customWidth="1"/>
  </cols>
  <sheetData>
    <row r="1" spans="1:9" ht="15" x14ac:dyDescent="0.2">
      <c r="A1" s="147" t="s">
        <v>0</v>
      </c>
      <c r="B1" s="147"/>
      <c r="C1" s="147"/>
      <c r="D1" s="147"/>
      <c r="E1" s="147"/>
      <c r="F1" s="147"/>
      <c r="G1" s="147"/>
      <c r="H1" s="147"/>
      <c r="I1" s="1" t="s">
        <v>604</v>
      </c>
    </row>
    <row r="2" spans="1:9" ht="15" x14ac:dyDescent="0.2">
      <c r="A2" s="147" t="s">
        <v>593</v>
      </c>
      <c r="B2" s="147"/>
      <c r="C2" s="147"/>
      <c r="D2" s="147"/>
      <c r="E2" s="147"/>
      <c r="F2" s="147"/>
      <c r="G2" s="147"/>
      <c r="H2" s="147"/>
    </row>
    <row r="3" spans="1:9" ht="15" x14ac:dyDescent="0.2">
      <c r="A3" s="147" t="s">
        <v>603</v>
      </c>
      <c r="B3" s="147"/>
      <c r="C3" s="147"/>
      <c r="D3" s="147"/>
      <c r="E3" s="147"/>
      <c r="F3" s="147"/>
      <c r="G3" s="147"/>
      <c r="H3" s="147"/>
    </row>
    <row r="4" spans="1:9" s="15" customFormat="1" ht="30" x14ac:dyDescent="0.2">
      <c r="A4" s="13" t="s">
        <v>2</v>
      </c>
      <c r="B4" s="13" t="s">
        <v>3</v>
      </c>
      <c r="C4" s="13" t="s">
        <v>4</v>
      </c>
      <c r="D4" s="13" t="s">
        <v>5</v>
      </c>
      <c r="E4" s="13" t="s">
        <v>6</v>
      </c>
      <c r="F4" s="13" t="s">
        <v>7</v>
      </c>
      <c r="G4" s="13" t="s">
        <v>8</v>
      </c>
      <c r="H4" s="14" t="s">
        <v>739</v>
      </c>
    </row>
    <row r="5" spans="1:9" x14ac:dyDescent="0.2">
      <c r="A5" s="16"/>
      <c r="B5" s="16"/>
      <c r="C5" s="8" t="s">
        <v>9</v>
      </c>
      <c r="D5" s="16"/>
      <c r="E5" s="16"/>
      <c r="F5" s="16"/>
      <c r="G5" s="16"/>
      <c r="H5" s="17" t="s">
        <v>12</v>
      </c>
    </row>
    <row r="6" spans="1:9" x14ac:dyDescent="0.2">
      <c r="A6" s="11"/>
      <c r="B6" s="11"/>
      <c r="C6" s="18" t="s">
        <v>10</v>
      </c>
      <c r="D6" s="11"/>
      <c r="E6" s="11"/>
      <c r="F6" s="11"/>
      <c r="G6" s="11"/>
      <c r="H6" s="17" t="s">
        <v>12</v>
      </c>
    </row>
    <row r="7" spans="1:9" x14ac:dyDescent="0.2">
      <c r="A7" s="11"/>
      <c r="B7" s="11"/>
      <c r="C7" s="18" t="s">
        <v>11</v>
      </c>
      <c r="D7" s="11"/>
      <c r="E7" s="11" t="s">
        <v>12</v>
      </c>
      <c r="F7" s="19" t="s">
        <v>13</v>
      </c>
      <c r="G7" s="20">
        <v>0</v>
      </c>
      <c r="H7" s="17" t="s">
        <v>12</v>
      </c>
    </row>
    <row r="8" spans="1:9" x14ac:dyDescent="0.2">
      <c r="A8" s="11"/>
      <c r="B8" s="11"/>
      <c r="C8" s="21"/>
      <c r="D8" s="11"/>
      <c r="E8" s="11"/>
      <c r="F8" s="22"/>
      <c r="G8" s="22"/>
      <c r="H8" s="17" t="s">
        <v>12</v>
      </c>
    </row>
    <row r="9" spans="1:9" x14ac:dyDescent="0.2">
      <c r="A9" s="11"/>
      <c r="B9" s="11"/>
      <c r="C9" s="18" t="s">
        <v>14</v>
      </c>
      <c r="D9" s="11"/>
      <c r="E9" s="11"/>
      <c r="F9" s="11"/>
      <c r="G9" s="11"/>
      <c r="H9" s="17" t="s">
        <v>12</v>
      </c>
    </row>
    <row r="10" spans="1:9" x14ac:dyDescent="0.2">
      <c r="A10" s="11"/>
      <c r="B10" s="11"/>
      <c r="C10" s="18" t="s">
        <v>11</v>
      </c>
      <c r="D10" s="11"/>
      <c r="E10" s="11" t="s">
        <v>12</v>
      </c>
      <c r="F10" s="19" t="s">
        <v>13</v>
      </c>
      <c r="G10" s="20">
        <v>0</v>
      </c>
      <c r="H10" s="17" t="s">
        <v>12</v>
      </c>
    </row>
    <row r="11" spans="1:9" x14ac:dyDescent="0.2">
      <c r="A11" s="11"/>
      <c r="B11" s="11"/>
      <c r="C11" s="21"/>
      <c r="D11" s="11"/>
      <c r="E11" s="11"/>
      <c r="F11" s="22"/>
      <c r="G11" s="22"/>
      <c r="H11" s="17" t="s">
        <v>12</v>
      </c>
    </row>
    <row r="12" spans="1:9" x14ac:dyDescent="0.2">
      <c r="A12" s="11"/>
      <c r="B12" s="11"/>
      <c r="C12" s="18" t="s">
        <v>15</v>
      </c>
      <c r="D12" s="11"/>
      <c r="E12" s="11"/>
      <c r="F12" s="11"/>
      <c r="G12" s="11"/>
      <c r="H12" s="17" t="s">
        <v>12</v>
      </c>
    </row>
    <row r="13" spans="1:9" x14ac:dyDescent="0.2">
      <c r="A13" s="11"/>
      <c r="B13" s="11"/>
      <c r="C13" s="18" t="s">
        <v>11</v>
      </c>
      <c r="D13" s="11"/>
      <c r="E13" s="11" t="s">
        <v>12</v>
      </c>
      <c r="F13" s="19" t="s">
        <v>13</v>
      </c>
      <c r="G13" s="20">
        <v>0</v>
      </c>
      <c r="H13" s="17" t="s">
        <v>12</v>
      </c>
    </row>
    <row r="14" spans="1:9" x14ac:dyDescent="0.2">
      <c r="A14" s="11"/>
      <c r="B14" s="11"/>
      <c r="C14" s="21"/>
      <c r="D14" s="11"/>
      <c r="E14" s="11"/>
      <c r="F14" s="22"/>
      <c r="G14" s="22"/>
      <c r="H14" s="17" t="s">
        <v>12</v>
      </c>
    </row>
    <row r="15" spans="1:9" x14ac:dyDescent="0.2">
      <c r="A15" s="11"/>
      <c r="B15" s="11"/>
      <c r="C15" s="18" t="s">
        <v>16</v>
      </c>
      <c r="D15" s="11"/>
      <c r="E15" s="11"/>
      <c r="F15" s="11"/>
      <c r="G15" s="11"/>
      <c r="H15" s="17" t="s">
        <v>12</v>
      </c>
    </row>
    <row r="16" spans="1:9" x14ac:dyDescent="0.2">
      <c r="A16" s="11"/>
      <c r="B16" s="11"/>
      <c r="C16" s="18" t="s">
        <v>11</v>
      </c>
      <c r="D16" s="11"/>
      <c r="E16" s="11" t="s">
        <v>12</v>
      </c>
      <c r="F16" s="19" t="s">
        <v>13</v>
      </c>
      <c r="G16" s="20">
        <v>0</v>
      </c>
      <c r="H16" s="17" t="s">
        <v>12</v>
      </c>
    </row>
    <row r="17" spans="1:8" x14ac:dyDescent="0.2">
      <c r="A17" s="11"/>
      <c r="B17" s="11"/>
      <c r="C17" s="21"/>
      <c r="D17" s="11"/>
      <c r="E17" s="11"/>
      <c r="F17" s="22"/>
      <c r="G17" s="22"/>
      <c r="H17" s="17" t="s">
        <v>12</v>
      </c>
    </row>
    <row r="18" spans="1:8" x14ac:dyDescent="0.2">
      <c r="A18" s="11"/>
      <c r="B18" s="11"/>
      <c r="C18" s="18" t="s">
        <v>17</v>
      </c>
      <c r="D18" s="11"/>
      <c r="E18" s="11"/>
      <c r="F18" s="22"/>
      <c r="G18" s="22"/>
      <c r="H18" s="17" t="s">
        <v>12</v>
      </c>
    </row>
    <row r="19" spans="1:8" x14ac:dyDescent="0.2">
      <c r="A19" s="11"/>
      <c r="B19" s="11"/>
      <c r="C19" s="18" t="s">
        <v>11</v>
      </c>
      <c r="D19" s="11"/>
      <c r="E19" s="11" t="s">
        <v>12</v>
      </c>
      <c r="F19" s="19" t="s">
        <v>13</v>
      </c>
      <c r="G19" s="20">
        <v>0</v>
      </c>
      <c r="H19" s="17" t="s">
        <v>12</v>
      </c>
    </row>
    <row r="20" spans="1:8" x14ac:dyDescent="0.2">
      <c r="A20" s="11"/>
      <c r="B20" s="11"/>
      <c r="C20" s="21"/>
      <c r="D20" s="11"/>
      <c r="E20" s="11"/>
      <c r="F20" s="22"/>
      <c r="G20" s="22"/>
      <c r="H20" s="17" t="s">
        <v>12</v>
      </c>
    </row>
    <row r="21" spans="1:8" x14ac:dyDescent="0.2">
      <c r="A21" s="11"/>
      <c r="B21" s="11"/>
      <c r="C21" s="18" t="s">
        <v>18</v>
      </c>
      <c r="D21" s="11"/>
      <c r="E21" s="11"/>
      <c r="F21" s="22"/>
      <c r="G21" s="22"/>
      <c r="H21" s="17" t="s">
        <v>12</v>
      </c>
    </row>
    <row r="22" spans="1:8" x14ac:dyDescent="0.2">
      <c r="A22" s="11"/>
      <c r="B22" s="11"/>
      <c r="C22" s="18" t="s">
        <v>11</v>
      </c>
      <c r="D22" s="11"/>
      <c r="E22" s="11" t="s">
        <v>12</v>
      </c>
      <c r="F22" s="19" t="s">
        <v>13</v>
      </c>
      <c r="G22" s="20">
        <v>0</v>
      </c>
      <c r="H22" s="17" t="s">
        <v>12</v>
      </c>
    </row>
    <row r="23" spans="1:8" x14ac:dyDescent="0.2">
      <c r="A23" s="11"/>
      <c r="B23" s="11"/>
      <c r="C23" s="21"/>
      <c r="D23" s="11"/>
      <c r="E23" s="11"/>
      <c r="F23" s="22"/>
      <c r="G23" s="22"/>
      <c r="H23" s="17" t="s">
        <v>12</v>
      </c>
    </row>
    <row r="24" spans="1:8" x14ac:dyDescent="0.2">
      <c r="A24" s="11"/>
      <c r="B24" s="11"/>
      <c r="C24" s="18" t="s">
        <v>19</v>
      </c>
      <c r="D24" s="11"/>
      <c r="E24" s="11"/>
      <c r="F24" s="23">
        <v>0</v>
      </c>
      <c r="G24" s="20">
        <v>0</v>
      </c>
      <c r="H24" s="17" t="s">
        <v>12</v>
      </c>
    </row>
    <row r="25" spans="1:8" x14ac:dyDescent="0.2">
      <c r="A25" s="11"/>
      <c r="B25" s="11"/>
      <c r="C25" s="21"/>
      <c r="D25" s="11"/>
      <c r="E25" s="11"/>
      <c r="F25" s="22"/>
      <c r="G25" s="22"/>
      <c r="H25" s="17" t="s">
        <v>12</v>
      </c>
    </row>
    <row r="26" spans="1:8" x14ac:dyDescent="0.2">
      <c r="A26" s="11"/>
      <c r="B26" s="11"/>
      <c r="C26" s="18" t="s">
        <v>20</v>
      </c>
      <c r="D26" s="11"/>
      <c r="E26" s="11"/>
      <c r="F26" s="22"/>
      <c r="G26" s="22"/>
      <c r="H26" s="17" t="s">
        <v>12</v>
      </c>
    </row>
    <row r="27" spans="1:8" x14ac:dyDescent="0.2">
      <c r="A27" s="11"/>
      <c r="B27" s="11"/>
      <c r="C27" s="18" t="s">
        <v>10</v>
      </c>
      <c r="D27" s="11"/>
      <c r="E27" s="11"/>
      <c r="F27" s="22"/>
      <c r="G27" s="22"/>
      <c r="H27" s="17" t="s">
        <v>12</v>
      </c>
    </row>
    <row r="28" spans="1:8" x14ac:dyDescent="0.2">
      <c r="A28" s="11"/>
      <c r="B28" s="11"/>
      <c r="C28" s="18" t="s">
        <v>11</v>
      </c>
      <c r="D28" s="11"/>
      <c r="E28" s="11" t="s">
        <v>12</v>
      </c>
      <c r="F28" s="19" t="s">
        <v>13</v>
      </c>
      <c r="G28" s="20">
        <v>0</v>
      </c>
      <c r="H28" s="17" t="s">
        <v>12</v>
      </c>
    </row>
    <row r="29" spans="1:8" x14ac:dyDescent="0.2">
      <c r="A29" s="11"/>
      <c r="B29" s="11"/>
      <c r="C29" s="21"/>
      <c r="D29" s="11"/>
      <c r="E29" s="11"/>
      <c r="F29" s="22"/>
      <c r="G29" s="22"/>
      <c r="H29" s="17" t="s">
        <v>12</v>
      </c>
    </row>
    <row r="30" spans="1:8" x14ac:dyDescent="0.2">
      <c r="A30" s="11"/>
      <c r="B30" s="11"/>
      <c r="C30" s="18" t="s">
        <v>77</v>
      </c>
      <c r="D30" s="11"/>
      <c r="E30" s="11"/>
      <c r="F30" s="11"/>
      <c r="G30" s="11"/>
      <c r="H30" s="17" t="s">
        <v>12</v>
      </c>
    </row>
    <row r="31" spans="1:8" x14ac:dyDescent="0.2">
      <c r="A31" s="11"/>
      <c r="B31" s="11"/>
      <c r="C31" s="18" t="s">
        <v>11</v>
      </c>
      <c r="D31" s="11"/>
      <c r="E31" s="11" t="s">
        <v>12</v>
      </c>
      <c r="F31" s="19" t="s">
        <v>13</v>
      </c>
      <c r="G31" s="20">
        <v>0</v>
      </c>
      <c r="H31" s="17" t="s">
        <v>12</v>
      </c>
    </row>
    <row r="32" spans="1:8" x14ac:dyDescent="0.2">
      <c r="A32" s="11"/>
      <c r="B32" s="11"/>
      <c r="C32" s="21"/>
      <c r="D32" s="11"/>
      <c r="E32" s="11"/>
      <c r="F32" s="22"/>
      <c r="G32" s="22"/>
      <c r="H32" s="17" t="s">
        <v>12</v>
      </c>
    </row>
    <row r="33" spans="1:8" x14ac:dyDescent="0.2">
      <c r="A33" s="11"/>
      <c r="B33" s="11"/>
      <c r="C33" s="18" t="s">
        <v>78</v>
      </c>
      <c r="D33" s="11"/>
      <c r="E33" s="11"/>
      <c r="F33" s="11"/>
      <c r="G33" s="11"/>
      <c r="H33" s="17" t="s">
        <v>12</v>
      </c>
    </row>
    <row r="34" spans="1:8" x14ac:dyDescent="0.2">
      <c r="A34" s="11"/>
      <c r="B34" s="11"/>
      <c r="C34" s="18" t="s">
        <v>11</v>
      </c>
      <c r="D34" s="11"/>
      <c r="E34" s="11" t="s">
        <v>12</v>
      </c>
      <c r="F34" s="19" t="s">
        <v>13</v>
      </c>
      <c r="G34" s="20">
        <v>0</v>
      </c>
      <c r="H34" s="17" t="s">
        <v>12</v>
      </c>
    </row>
    <row r="35" spans="1:8" x14ac:dyDescent="0.2">
      <c r="A35" s="11"/>
      <c r="B35" s="11"/>
      <c r="C35" s="21"/>
      <c r="D35" s="11"/>
      <c r="E35" s="11"/>
      <c r="F35" s="22"/>
      <c r="G35" s="22"/>
      <c r="H35" s="17" t="s">
        <v>12</v>
      </c>
    </row>
    <row r="36" spans="1:8" x14ac:dyDescent="0.2">
      <c r="A36" s="11"/>
      <c r="B36" s="11"/>
      <c r="C36" s="18" t="s">
        <v>96</v>
      </c>
      <c r="D36" s="11"/>
      <c r="E36" s="11"/>
      <c r="F36" s="22"/>
      <c r="G36" s="22"/>
      <c r="H36" s="17" t="s">
        <v>12</v>
      </c>
    </row>
    <row r="37" spans="1:8" x14ac:dyDescent="0.2">
      <c r="A37" s="11"/>
      <c r="B37" s="11"/>
      <c r="C37" s="18" t="s">
        <v>11</v>
      </c>
      <c r="D37" s="11"/>
      <c r="E37" s="11" t="s">
        <v>12</v>
      </c>
      <c r="F37" s="19" t="s">
        <v>13</v>
      </c>
      <c r="G37" s="20">
        <v>0</v>
      </c>
      <c r="H37" s="17" t="s">
        <v>12</v>
      </c>
    </row>
    <row r="38" spans="1:8" x14ac:dyDescent="0.2">
      <c r="A38" s="11"/>
      <c r="B38" s="11"/>
      <c r="C38" s="21"/>
      <c r="D38" s="11"/>
      <c r="E38" s="11"/>
      <c r="F38" s="22"/>
      <c r="G38" s="22"/>
      <c r="H38" s="17" t="s">
        <v>12</v>
      </c>
    </row>
    <row r="39" spans="1:8" x14ac:dyDescent="0.2">
      <c r="A39" s="11"/>
      <c r="B39" s="11"/>
      <c r="C39" s="18" t="s">
        <v>97</v>
      </c>
      <c r="D39" s="11"/>
      <c r="E39" s="11"/>
      <c r="F39" s="23">
        <v>0</v>
      </c>
      <c r="G39" s="20">
        <v>0</v>
      </c>
      <c r="H39" s="17" t="s">
        <v>12</v>
      </c>
    </row>
    <row r="40" spans="1:8" x14ac:dyDescent="0.2">
      <c r="A40" s="11"/>
      <c r="B40" s="11"/>
      <c r="C40" s="21"/>
      <c r="D40" s="11"/>
      <c r="E40" s="11"/>
      <c r="F40" s="22"/>
      <c r="G40" s="22"/>
      <c r="H40" s="17" t="s">
        <v>12</v>
      </c>
    </row>
    <row r="41" spans="1:8" x14ac:dyDescent="0.2">
      <c r="A41" s="11"/>
      <c r="B41" s="11"/>
      <c r="C41" s="18" t="s">
        <v>98</v>
      </c>
      <c r="D41" s="11"/>
      <c r="E41" s="11"/>
      <c r="F41" s="22"/>
      <c r="G41" s="22"/>
      <c r="H41" s="17" t="s">
        <v>12</v>
      </c>
    </row>
    <row r="42" spans="1:8" x14ac:dyDescent="0.2">
      <c r="A42" s="11"/>
      <c r="B42" s="11"/>
      <c r="C42" s="18" t="s">
        <v>99</v>
      </c>
      <c r="D42" s="11"/>
      <c r="E42" s="11"/>
      <c r="F42" s="22"/>
      <c r="G42" s="22"/>
      <c r="H42" s="17" t="s">
        <v>12</v>
      </c>
    </row>
    <row r="43" spans="1:8" x14ac:dyDescent="0.2">
      <c r="A43" s="11"/>
      <c r="B43" s="11"/>
      <c r="C43" s="18" t="s">
        <v>11</v>
      </c>
      <c r="D43" s="11"/>
      <c r="E43" s="11" t="s">
        <v>12</v>
      </c>
      <c r="F43" s="19" t="s">
        <v>13</v>
      </c>
      <c r="G43" s="20">
        <v>0</v>
      </c>
      <c r="H43" s="17" t="s">
        <v>12</v>
      </c>
    </row>
    <row r="44" spans="1:8" x14ac:dyDescent="0.2">
      <c r="A44" s="11"/>
      <c r="B44" s="11"/>
      <c r="C44" s="21"/>
      <c r="D44" s="11"/>
      <c r="E44" s="11"/>
      <c r="F44" s="22"/>
      <c r="G44" s="22"/>
      <c r="H44" s="17" t="s">
        <v>12</v>
      </c>
    </row>
    <row r="45" spans="1:8" x14ac:dyDescent="0.2">
      <c r="A45" s="11"/>
      <c r="B45" s="11"/>
      <c r="C45" s="18" t="s">
        <v>109</v>
      </c>
      <c r="D45" s="11"/>
      <c r="E45" s="11"/>
      <c r="F45" s="22"/>
      <c r="G45" s="22"/>
      <c r="H45" s="17" t="s">
        <v>12</v>
      </c>
    </row>
    <row r="46" spans="1:8" x14ac:dyDescent="0.2">
      <c r="A46" s="11"/>
      <c r="B46" s="11"/>
      <c r="C46" s="18" t="s">
        <v>11</v>
      </c>
      <c r="D46" s="11"/>
      <c r="E46" s="11" t="s">
        <v>12</v>
      </c>
      <c r="F46" s="19" t="s">
        <v>13</v>
      </c>
      <c r="G46" s="20">
        <v>0</v>
      </c>
      <c r="H46" s="17" t="s">
        <v>12</v>
      </c>
    </row>
    <row r="47" spans="1:8" x14ac:dyDescent="0.2">
      <c r="A47" s="11"/>
      <c r="B47" s="11"/>
      <c r="C47" s="21"/>
      <c r="D47" s="11"/>
      <c r="E47" s="11"/>
      <c r="F47" s="22"/>
      <c r="G47" s="22"/>
      <c r="H47" s="17" t="s">
        <v>12</v>
      </c>
    </row>
    <row r="48" spans="1:8" x14ac:dyDescent="0.2">
      <c r="A48" s="11"/>
      <c r="B48" s="11"/>
      <c r="C48" s="18" t="s">
        <v>110</v>
      </c>
      <c r="D48" s="11"/>
      <c r="E48" s="11"/>
      <c r="F48" s="22"/>
      <c r="G48" s="22"/>
      <c r="H48" s="17" t="s">
        <v>12</v>
      </c>
    </row>
    <row r="49" spans="1:8" x14ac:dyDescent="0.2">
      <c r="A49" s="24">
        <v>1</v>
      </c>
      <c r="B49" s="9" t="s">
        <v>594</v>
      </c>
      <c r="C49" s="9" t="s">
        <v>595</v>
      </c>
      <c r="D49" s="9" t="s">
        <v>81</v>
      </c>
      <c r="E49" s="25">
        <v>1000000</v>
      </c>
      <c r="F49" s="26">
        <v>999.85599999999999</v>
      </c>
      <c r="G49" s="27">
        <v>9.0795000000000008E-3</v>
      </c>
      <c r="H49" s="17">
        <v>5.2884000000000002</v>
      </c>
    </row>
    <row r="50" spans="1:8" x14ac:dyDescent="0.2">
      <c r="A50" s="24">
        <v>2</v>
      </c>
      <c r="B50" s="9" t="s">
        <v>596</v>
      </c>
      <c r="C50" s="9" t="s">
        <v>597</v>
      </c>
      <c r="D50" s="9" t="s">
        <v>81</v>
      </c>
      <c r="E50" s="25">
        <v>1000000</v>
      </c>
      <c r="F50" s="26">
        <v>998.84</v>
      </c>
      <c r="G50" s="27">
        <v>9.07028E-3</v>
      </c>
      <c r="H50" s="17">
        <v>5.3</v>
      </c>
    </row>
    <row r="51" spans="1:8" x14ac:dyDescent="0.2">
      <c r="A51" s="24">
        <v>3</v>
      </c>
      <c r="B51" s="9" t="s">
        <v>598</v>
      </c>
      <c r="C51" s="9" t="s">
        <v>599</v>
      </c>
      <c r="D51" s="9" t="s">
        <v>81</v>
      </c>
      <c r="E51" s="25">
        <v>500000</v>
      </c>
      <c r="F51" s="26">
        <v>498.40800000000002</v>
      </c>
      <c r="G51" s="27">
        <v>4.5259499999999999E-3</v>
      </c>
      <c r="H51" s="17">
        <v>5.3</v>
      </c>
    </row>
    <row r="52" spans="1:8" x14ac:dyDescent="0.2">
      <c r="A52" s="24">
        <v>4</v>
      </c>
      <c r="B52" s="9" t="s">
        <v>600</v>
      </c>
      <c r="C52" s="9" t="s">
        <v>601</v>
      </c>
      <c r="D52" s="9" t="s">
        <v>81</v>
      </c>
      <c r="E52" s="25">
        <v>239200</v>
      </c>
      <c r="F52" s="26">
        <v>238.922528</v>
      </c>
      <c r="G52" s="27">
        <v>2.1696100000000002E-3</v>
      </c>
      <c r="H52" s="17">
        <v>5.3</v>
      </c>
    </row>
    <row r="53" spans="1:8" x14ac:dyDescent="0.2">
      <c r="A53" s="11"/>
      <c r="B53" s="11"/>
      <c r="C53" s="18" t="s">
        <v>11</v>
      </c>
      <c r="D53" s="11"/>
      <c r="E53" s="11" t="s">
        <v>12</v>
      </c>
      <c r="F53" s="23">
        <v>2736.0265279999999</v>
      </c>
      <c r="G53" s="20">
        <v>2.484534E-2</v>
      </c>
      <c r="H53" s="17" t="s">
        <v>12</v>
      </c>
    </row>
    <row r="54" spans="1:8" x14ac:dyDescent="0.2">
      <c r="A54" s="11"/>
      <c r="B54" s="11"/>
      <c r="C54" s="21"/>
      <c r="D54" s="11"/>
      <c r="E54" s="11"/>
      <c r="F54" s="22"/>
      <c r="G54" s="22"/>
      <c r="H54" s="17" t="s">
        <v>12</v>
      </c>
    </row>
    <row r="55" spans="1:8" x14ac:dyDescent="0.2">
      <c r="A55" s="11"/>
      <c r="B55" s="11"/>
      <c r="C55" s="18" t="s">
        <v>111</v>
      </c>
      <c r="D55" s="11"/>
      <c r="E55" s="11"/>
      <c r="F55" s="22"/>
      <c r="G55" s="22"/>
      <c r="H55" s="17" t="s">
        <v>12</v>
      </c>
    </row>
    <row r="56" spans="1:8" x14ac:dyDescent="0.2">
      <c r="A56" s="24">
        <v>1</v>
      </c>
      <c r="B56" s="9"/>
      <c r="C56" s="9" t="s">
        <v>112</v>
      </c>
      <c r="D56" s="9"/>
      <c r="E56" s="28"/>
      <c r="F56" s="26">
        <v>55327.809650205003</v>
      </c>
      <c r="G56" s="27">
        <v>0.50242144</v>
      </c>
      <c r="H56" s="17">
        <v>5.3</v>
      </c>
    </row>
    <row r="57" spans="1:8" x14ac:dyDescent="0.2">
      <c r="A57" s="24">
        <v>2</v>
      </c>
      <c r="B57" s="9"/>
      <c r="C57" s="9" t="s">
        <v>472</v>
      </c>
      <c r="D57" s="9"/>
      <c r="E57" s="28"/>
      <c r="F57" s="26">
        <v>51817.916666700003</v>
      </c>
      <c r="G57" s="27">
        <v>0.47054877000000001</v>
      </c>
      <c r="H57" s="17">
        <v>5.37</v>
      </c>
    </row>
    <row r="58" spans="1:8" x14ac:dyDescent="0.2">
      <c r="A58" s="11"/>
      <c r="B58" s="11"/>
      <c r="C58" s="18" t="s">
        <v>11</v>
      </c>
      <c r="D58" s="11"/>
      <c r="E58" s="11" t="s">
        <v>12</v>
      </c>
      <c r="F58" s="23">
        <v>107145.726316905</v>
      </c>
      <c r="G58" s="20">
        <v>0.97297020999999995</v>
      </c>
      <c r="H58" s="17" t="s">
        <v>12</v>
      </c>
    </row>
    <row r="59" spans="1:8" x14ac:dyDescent="0.2">
      <c r="A59" s="11"/>
      <c r="B59" s="11"/>
      <c r="C59" s="21"/>
      <c r="D59" s="11"/>
      <c r="E59" s="11"/>
      <c r="F59" s="22"/>
      <c r="G59" s="22"/>
      <c r="H59" s="17" t="s">
        <v>12</v>
      </c>
    </row>
    <row r="60" spans="1:8" x14ac:dyDescent="0.2">
      <c r="A60" s="11"/>
      <c r="B60" s="11"/>
      <c r="C60" s="18" t="s">
        <v>113</v>
      </c>
      <c r="D60" s="11"/>
      <c r="E60" s="11"/>
      <c r="F60" s="23">
        <v>109881.752844905</v>
      </c>
      <c r="G60" s="20">
        <v>0.99781555</v>
      </c>
      <c r="H60" s="17" t="s">
        <v>12</v>
      </c>
    </row>
    <row r="61" spans="1:8" x14ac:dyDescent="0.2">
      <c r="A61" s="11"/>
      <c r="B61" s="11"/>
      <c r="C61" s="22"/>
      <c r="D61" s="11"/>
      <c r="E61" s="11"/>
      <c r="F61" s="11"/>
      <c r="G61" s="11"/>
      <c r="H61" s="17" t="s">
        <v>12</v>
      </c>
    </row>
    <row r="62" spans="1:8" x14ac:dyDescent="0.2">
      <c r="A62" s="11"/>
      <c r="B62" s="11"/>
      <c r="C62" s="18" t="s">
        <v>114</v>
      </c>
      <c r="D62" s="11"/>
      <c r="E62" s="11"/>
      <c r="F62" s="11"/>
      <c r="G62" s="11"/>
      <c r="H62" s="17" t="s">
        <v>12</v>
      </c>
    </row>
    <row r="63" spans="1:8" x14ac:dyDescent="0.2">
      <c r="A63" s="11"/>
      <c r="B63" s="11"/>
      <c r="C63" s="18" t="s">
        <v>115</v>
      </c>
      <c r="D63" s="11"/>
      <c r="E63" s="11"/>
      <c r="F63" s="11"/>
      <c r="G63" s="11"/>
      <c r="H63" s="17" t="s">
        <v>12</v>
      </c>
    </row>
    <row r="64" spans="1:8" x14ac:dyDescent="0.2">
      <c r="A64" s="11"/>
      <c r="B64" s="11"/>
      <c r="C64" s="18" t="s">
        <v>11</v>
      </c>
      <c r="D64" s="11"/>
      <c r="E64" s="11" t="s">
        <v>12</v>
      </c>
      <c r="F64" s="19" t="s">
        <v>13</v>
      </c>
      <c r="G64" s="20">
        <v>0</v>
      </c>
      <c r="H64" s="17" t="s">
        <v>12</v>
      </c>
    </row>
    <row r="65" spans="1:8" x14ac:dyDescent="0.2">
      <c r="A65" s="11"/>
      <c r="B65" s="11"/>
      <c r="C65" s="21"/>
      <c r="D65" s="11"/>
      <c r="E65" s="11"/>
      <c r="F65" s="22"/>
      <c r="G65" s="22"/>
      <c r="H65" s="17" t="s">
        <v>12</v>
      </c>
    </row>
    <row r="66" spans="1:8" x14ac:dyDescent="0.2">
      <c r="A66" s="11"/>
      <c r="B66" s="11"/>
      <c r="C66" s="18" t="s">
        <v>118</v>
      </c>
      <c r="D66" s="11"/>
      <c r="E66" s="11"/>
      <c r="F66" s="11"/>
      <c r="G66" s="11"/>
      <c r="H66" s="17" t="s">
        <v>12</v>
      </c>
    </row>
    <row r="67" spans="1:8" x14ac:dyDescent="0.2">
      <c r="A67" s="11"/>
      <c r="B67" s="11"/>
      <c r="C67" s="18" t="s">
        <v>119</v>
      </c>
      <c r="D67" s="11"/>
      <c r="E67" s="11"/>
      <c r="F67" s="11"/>
      <c r="G67" s="11"/>
      <c r="H67" s="17" t="s">
        <v>12</v>
      </c>
    </row>
    <row r="68" spans="1:8" x14ac:dyDescent="0.2">
      <c r="A68" s="11"/>
      <c r="B68" s="11"/>
      <c r="C68" s="18" t="s">
        <v>11</v>
      </c>
      <c r="D68" s="11"/>
      <c r="E68" s="11" t="s">
        <v>12</v>
      </c>
      <c r="F68" s="19" t="s">
        <v>13</v>
      </c>
      <c r="G68" s="20">
        <v>0</v>
      </c>
      <c r="H68" s="17" t="s">
        <v>12</v>
      </c>
    </row>
    <row r="69" spans="1:8" x14ac:dyDescent="0.2">
      <c r="A69" s="11"/>
      <c r="B69" s="11"/>
      <c r="C69" s="21"/>
      <c r="D69" s="11"/>
      <c r="E69" s="11"/>
      <c r="F69" s="22"/>
      <c r="G69" s="22"/>
      <c r="H69" s="17" t="s">
        <v>12</v>
      </c>
    </row>
    <row r="70" spans="1:8" x14ac:dyDescent="0.2">
      <c r="A70" s="11"/>
      <c r="B70" s="11"/>
      <c r="C70" s="18" t="s">
        <v>120</v>
      </c>
      <c r="D70" s="11"/>
      <c r="E70" s="11"/>
      <c r="F70" s="22"/>
      <c r="G70" s="22"/>
      <c r="H70" s="17" t="s">
        <v>12</v>
      </c>
    </row>
    <row r="71" spans="1:8" x14ac:dyDescent="0.2">
      <c r="A71" s="11"/>
      <c r="B71" s="11"/>
      <c r="C71" s="18" t="s">
        <v>11</v>
      </c>
      <c r="D71" s="11"/>
      <c r="E71" s="11" t="s">
        <v>12</v>
      </c>
      <c r="F71" s="19" t="s">
        <v>13</v>
      </c>
      <c r="G71" s="20">
        <v>0</v>
      </c>
      <c r="H71" s="17" t="s">
        <v>12</v>
      </c>
    </row>
    <row r="72" spans="1:8" x14ac:dyDescent="0.2">
      <c r="A72" s="11"/>
      <c r="B72" s="11"/>
      <c r="C72" s="21"/>
      <c r="D72" s="11"/>
      <c r="E72" s="11"/>
      <c r="F72" s="22"/>
      <c r="G72" s="22"/>
      <c r="H72" s="17" t="s">
        <v>12</v>
      </c>
    </row>
    <row r="73" spans="1:8" x14ac:dyDescent="0.2">
      <c r="A73" s="28"/>
      <c r="B73" s="9"/>
      <c r="C73" s="9" t="s">
        <v>121</v>
      </c>
      <c r="D73" s="9"/>
      <c r="E73" s="28"/>
      <c r="F73" s="26">
        <v>240.55662114</v>
      </c>
      <c r="G73" s="27">
        <v>2.1844500000000001E-3</v>
      </c>
      <c r="H73" s="17" t="s">
        <v>12</v>
      </c>
    </row>
    <row r="74" spans="1:8" x14ac:dyDescent="0.2">
      <c r="A74" s="21"/>
      <c r="B74" s="21"/>
      <c r="C74" s="18" t="s">
        <v>122</v>
      </c>
      <c r="D74" s="22"/>
      <c r="E74" s="22"/>
      <c r="F74" s="23">
        <v>110122.309466045</v>
      </c>
      <c r="G74" s="29">
        <v>1</v>
      </c>
      <c r="H74" s="17" t="s">
        <v>12</v>
      </c>
    </row>
    <row r="75" spans="1:8" x14ac:dyDescent="0.2">
      <c r="A75" s="30"/>
      <c r="B75" s="30"/>
      <c r="C75" s="30"/>
      <c r="D75" s="10"/>
      <c r="E75" s="10"/>
      <c r="F75" s="10"/>
      <c r="G75" s="10"/>
    </row>
    <row r="76" spans="1:8" x14ac:dyDescent="0.2">
      <c r="A76" s="31"/>
      <c r="B76" s="148" t="s">
        <v>619</v>
      </c>
      <c r="C76" s="148"/>
      <c r="D76" s="148"/>
      <c r="E76" s="148"/>
      <c r="F76" s="148"/>
      <c r="G76" s="148"/>
      <c r="H76" s="148"/>
    </row>
    <row r="77" spans="1:8" x14ac:dyDescent="0.2">
      <c r="A77" s="31"/>
      <c r="B77" s="148" t="s">
        <v>620</v>
      </c>
      <c r="C77" s="148"/>
      <c r="D77" s="148"/>
      <c r="E77" s="148"/>
      <c r="F77" s="148"/>
      <c r="G77" s="148"/>
      <c r="H77" s="148"/>
    </row>
    <row r="78" spans="1:8" x14ac:dyDescent="0.2">
      <c r="A78" s="31"/>
      <c r="B78" s="148" t="s">
        <v>621</v>
      </c>
      <c r="C78" s="148"/>
      <c r="D78" s="148"/>
      <c r="E78" s="148"/>
      <c r="F78" s="148"/>
      <c r="G78" s="148"/>
      <c r="H78" s="148"/>
    </row>
    <row r="79" spans="1:8" x14ac:dyDescent="0.2">
      <c r="A79" s="31"/>
      <c r="B79" s="31"/>
      <c r="C79" s="31"/>
      <c r="D79" s="33"/>
      <c r="E79" s="33"/>
      <c r="F79" s="33"/>
      <c r="G79" s="33"/>
    </row>
    <row r="80" spans="1:8" x14ac:dyDescent="0.2">
      <c r="A80" s="31"/>
      <c r="B80" s="149" t="s">
        <v>123</v>
      </c>
      <c r="C80" s="150"/>
      <c r="D80" s="151"/>
      <c r="E80" s="34"/>
      <c r="F80" s="33"/>
      <c r="G80" s="33"/>
    </row>
    <row r="81" spans="1:9" x14ac:dyDescent="0.2">
      <c r="A81" s="31"/>
      <c r="B81" s="152" t="s">
        <v>124</v>
      </c>
      <c r="C81" s="153"/>
      <c r="D81" s="8" t="s">
        <v>125</v>
      </c>
      <c r="E81" s="34"/>
      <c r="F81" s="33"/>
      <c r="G81" s="33"/>
    </row>
    <row r="82" spans="1:9" x14ac:dyDescent="0.2">
      <c r="A82" s="31"/>
      <c r="B82" s="152" t="s">
        <v>126</v>
      </c>
      <c r="C82" s="153"/>
      <c r="D82" s="8" t="s">
        <v>125</v>
      </c>
      <c r="E82" s="34"/>
      <c r="F82" s="33"/>
      <c r="G82" s="33"/>
    </row>
    <row r="83" spans="1:9" x14ac:dyDescent="0.2">
      <c r="A83" s="31"/>
      <c r="B83" s="152" t="s">
        <v>127</v>
      </c>
      <c r="C83" s="153"/>
      <c r="D83" s="35" t="s">
        <v>12</v>
      </c>
      <c r="E83" s="34"/>
      <c r="F83" s="33"/>
      <c r="G83" s="33"/>
    </row>
    <row r="84" spans="1:9" x14ac:dyDescent="0.2">
      <c r="A84" s="36"/>
      <c r="B84" s="37" t="s">
        <v>12</v>
      </c>
      <c r="C84" s="37" t="s">
        <v>622</v>
      </c>
      <c r="D84" s="37" t="s">
        <v>128</v>
      </c>
      <c r="E84" s="36"/>
      <c r="F84" s="36"/>
      <c r="G84" s="36"/>
    </row>
    <row r="85" spans="1:9" x14ac:dyDescent="0.2">
      <c r="A85" s="36"/>
      <c r="B85" s="38" t="s">
        <v>129</v>
      </c>
      <c r="C85" s="39">
        <v>45838</v>
      </c>
      <c r="D85" s="39">
        <v>45853</v>
      </c>
      <c r="E85" s="36"/>
      <c r="F85" s="36"/>
      <c r="G85" s="36"/>
    </row>
    <row r="86" spans="1:9" x14ac:dyDescent="0.2">
      <c r="A86" s="40"/>
      <c r="B86" s="9" t="s">
        <v>130</v>
      </c>
      <c r="C86" s="41">
        <v>1375.8294000000001</v>
      </c>
      <c r="D86" s="41">
        <v>1378.7777000000001</v>
      </c>
      <c r="E86" s="40"/>
      <c r="F86" s="42"/>
      <c r="G86" s="43"/>
    </row>
    <row r="87" spans="1:9" ht="25.5" x14ac:dyDescent="0.2">
      <c r="A87" s="40"/>
      <c r="B87" s="9" t="s">
        <v>743</v>
      </c>
      <c r="C87" s="41">
        <v>1043.6790000000001</v>
      </c>
      <c r="D87" s="41">
        <v>1045.9148</v>
      </c>
      <c r="E87" s="40"/>
      <c r="F87" s="42"/>
      <c r="G87" s="43"/>
    </row>
    <row r="88" spans="1:9" x14ac:dyDescent="0.2">
      <c r="A88" s="40"/>
      <c r="B88" s="9" t="s">
        <v>131</v>
      </c>
      <c r="C88" s="41">
        <v>1367.3851</v>
      </c>
      <c r="D88" s="41">
        <v>1370.2585999999999</v>
      </c>
      <c r="E88" s="40"/>
      <c r="F88" s="42"/>
      <c r="G88" s="43"/>
    </row>
    <row r="89" spans="1:9" ht="25.5" x14ac:dyDescent="0.2">
      <c r="A89" s="40"/>
      <c r="B89" s="9" t="s">
        <v>744</v>
      </c>
      <c r="C89" s="41">
        <v>1039.7447999999999</v>
      </c>
      <c r="D89" s="41">
        <v>1041.9291000000001</v>
      </c>
      <c r="E89" s="40"/>
      <c r="F89" s="42"/>
      <c r="G89" s="43"/>
    </row>
    <row r="90" spans="1:9" x14ac:dyDescent="0.2">
      <c r="A90" s="40"/>
      <c r="B90" s="40"/>
      <c r="C90" s="40"/>
      <c r="D90" s="40"/>
      <c r="E90" s="40"/>
      <c r="F90" s="40"/>
      <c r="G90" s="40"/>
    </row>
    <row r="91" spans="1:9" x14ac:dyDescent="0.2">
      <c r="A91" s="40"/>
      <c r="B91" s="155" t="s">
        <v>742</v>
      </c>
      <c r="C91" s="156"/>
      <c r="D91" s="18" t="s">
        <v>125</v>
      </c>
      <c r="E91" s="40"/>
      <c r="F91" s="40"/>
      <c r="G91" s="40"/>
    </row>
    <row r="92" spans="1:9" x14ac:dyDescent="0.2">
      <c r="A92" s="40"/>
      <c r="B92" s="44"/>
      <c r="C92" s="44"/>
      <c r="D92" s="44"/>
      <c r="E92" s="40"/>
      <c r="F92" s="40"/>
      <c r="G92" s="40"/>
    </row>
    <row r="93" spans="1:9" x14ac:dyDescent="0.2">
      <c r="A93" s="36"/>
      <c r="B93" s="143" t="s">
        <v>132</v>
      </c>
      <c r="C93" s="143"/>
      <c r="D93" s="45" t="s">
        <v>125</v>
      </c>
      <c r="E93" s="36"/>
      <c r="F93" s="36"/>
      <c r="G93" s="36"/>
    </row>
    <row r="94" spans="1:9" x14ac:dyDescent="0.2">
      <c r="A94" s="36"/>
      <c r="B94" s="214" t="s">
        <v>133</v>
      </c>
      <c r="C94" s="215"/>
      <c r="D94" s="46" t="s">
        <v>125</v>
      </c>
      <c r="E94" s="47"/>
      <c r="F94" s="36"/>
      <c r="G94" s="36"/>
    </row>
    <row r="95" spans="1:9" x14ac:dyDescent="0.2">
      <c r="A95" s="36"/>
      <c r="B95" s="152" t="s">
        <v>623</v>
      </c>
      <c r="C95" s="153"/>
      <c r="D95" s="8" t="s">
        <v>125</v>
      </c>
      <c r="E95" s="47"/>
      <c r="F95" s="36"/>
      <c r="G95" s="36"/>
      <c r="I95" s="48"/>
    </row>
    <row r="96" spans="1:9" x14ac:dyDescent="0.2">
      <c r="A96" s="44"/>
      <c r="B96" s="44"/>
      <c r="C96" s="44"/>
      <c r="D96" s="44"/>
      <c r="E96" s="44"/>
      <c r="F96" s="44"/>
      <c r="G96" s="44"/>
      <c r="I96" s="48"/>
    </row>
    <row r="97" spans="2:21" s="49" customFormat="1" x14ac:dyDescent="0.2">
      <c r="B97" s="157" t="s">
        <v>624</v>
      </c>
      <c r="C97" s="158"/>
      <c r="D97" s="159"/>
      <c r="I97" s="48"/>
      <c r="J97"/>
      <c r="K97" s="48"/>
      <c r="L97" s="48"/>
      <c r="M97" s="48"/>
      <c r="N97" s="50"/>
      <c r="Q97"/>
      <c r="R97"/>
      <c r="S97"/>
      <c r="T97"/>
      <c r="U97"/>
    </row>
    <row r="98" spans="2:21" s="49" customFormat="1" ht="38.25" x14ac:dyDescent="0.2">
      <c r="B98" s="154" t="s">
        <v>625</v>
      </c>
      <c r="C98" s="154"/>
      <c r="D98" s="51" t="s">
        <v>593</v>
      </c>
      <c r="I98" s="48"/>
      <c r="J98"/>
      <c r="K98" s="48"/>
      <c r="L98" s="48"/>
      <c r="M98" s="48"/>
      <c r="N98" s="50"/>
      <c r="Q98"/>
      <c r="R98"/>
      <c r="S98"/>
      <c r="T98"/>
      <c r="U98"/>
    </row>
    <row r="99" spans="2:21" s="49" customFormat="1" x14ac:dyDescent="0.2">
      <c r="B99" s="143" t="s">
        <v>626</v>
      </c>
      <c r="C99" s="143"/>
      <c r="D99" s="52"/>
      <c r="I99" s="48"/>
      <c r="J99"/>
      <c r="K99" s="48"/>
      <c r="L99" s="48"/>
      <c r="M99" s="48"/>
      <c r="N99" s="50"/>
    </row>
    <row r="100" spans="2:21" s="49" customFormat="1" x14ac:dyDescent="0.2">
      <c r="B100" s="143"/>
      <c r="C100" s="143"/>
      <c r="D100" s="53"/>
      <c r="I100"/>
      <c r="J100"/>
      <c r="K100" s="48"/>
      <c r="L100" s="48"/>
      <c r="M100" s="48"/>
      <c r="N100" s="50"/>
    </row>
    <row r="101" spans="2:21" s="49" customFormat="1" x14ac:dyDescent="0.2">
      <c r="B101" s="143" t="s">
        <v>627</v>
      </c>
      <c r="C101" s="143"/>
      <c r="D101" s="54">
        <v>5.3193941390905843</v>
      </c>
      <c r="I101"/>
      <c r="J101"/>
      <c r="K101" s="48"/>
      <c r="L101" s="48"/>
      <c r="M101" s="48"/>
      <c r="N101" s="50"/>
    </row>
    <row r="102" spans="2:21" s="49" customFormat="1" x14ac:dyDescent="0.2">
      <c r="B102" s="143"/>
      <c r="C102" s="143"/>
      <c r="D102" s="53"/>
      <c r="I102"/>
      <c r="J102"/>
      <c r="K102" s="48"/>
      <c r="L102" s="48"/>
      <c r="M102" s="48"/>
      <c r="N102" s="50"/>
    </row>
    <row r="103" spans="2:21" s="49" customFormat="1" x14ac:dyDescent="0.2">
      <c r="B103" s="143" t="s">
        <v>736</v>
      </c>
      <c r="C103" s="143"/>
      <c r="D103" s="55">
        <v>1</v>
      </c>
      <c r="I103"/>
      <c r="J103"/>
      <c r="K103" s="48"/>
      <c r="L103" s="48"/>
      <c r="M103" s="48"/>
      <c r="N103" s="50"/>
    </row>
    <row r="104" spans="2:21" s="49" customFormat="1" x14ac:dyDescent="0.2">
      <c r="B104" s="143" t="s">
        <v>737</v>
      </c>
      <c r="C104" s="143"/>
      <c r="D104" s="55">
        <v>1</v>
      </c>
      <c r="I104"/>
      <c r="J104"/>
      <c r="K104" s="48"/>
      <c r="L104" s="48"/>
      <c r="M104" s="48"/>
      <c r="N104" s="50"/>
    </row>
    <row r="105" spans="2:21" s="49" customFormat="1" x14ac:dyDescent="0.2">
      <c r="B105" s="143"/>
      <c r="C105" s="143"/>
      <c r="D105" s="53"/>
      <c r="I105"/>
      <c r="J105"/>
      <c r="K105" s="48"/>
      <c r="L105" s="48"/>
      <c r="M105" s="48"/>
      <c r="N105" s="50"/>
    </row>
    <row r="106" spans="2:21" s="49" customFormat="1" x14ac:dyDescent="0.2">
      <c r="B106" s="143" t="s">
        <v>630</v>
      </c>
      <c r="C106" s="143"/>
      <c r="D106" s="7" t="s">
        <v>746</v>
      </c>
      <c r="I106"/>
      <c r="J106"/>
      <c r="K106" s="48"/>
      <c r="L106" s="48"/>
      <c r="M106" s="48"/>
      <c r="N106" s="50"/>
    </row>
    <row r="107" spans="2:21" s="49" customFormat="1" x14ac:dyDescent="0.2">
      <c r="B107" s="144" t="s">
        <v>631</v>
      </c>
      <c r="C107" s="146"/>
      <c r="D107" s="145"/>
      <c r="I107"/>
      <c r="J107"/>
      <c r="K107" s="48"/>
      <c r="L107" s="48"/>
      <c r="M107" s="48"/>
      <c r="N107" s="50"/>
    </row>
    <row r="108" spans="2:21" x14ac:dyDescent="0.2">
      <c r="H108" s="56"/>
    </row>
    <row r="109" spans="2:21" x14ac:dyDescent="0.2">
      <c r="B109" s="57" t="s">
        <v>632</v>
      </c>
    </row>
    <row r="111" spans="2:21" ht="153.75" customHeight="1" x14ac:dyDescent="0.2"/>
    <row r="114" spans="2:10" x14ac:dyDescent="0.2">
      <c r="B114" s="57" t="s">
        <v>633</v>
      </c>
      <c r="C114" s="58"/>
      <c r="D114" s="57"/>
    </row>
    <row r="115" spans="2:10" x14ac:dyDescent="0.2">
      <c r="B115" s="57" t="s">
        <v>738</v>
      </c>
      <c r="D115" s="57"/>
    </row>
    <row r="118" spans="2:10" x14ac:dyDescent="0.2">
      <c r="J118" s="15"/>
    </row>
    <row r="129" customFormat="1" x14ac:dyDescent="0.2"/>
    <row r="130" customFormat="1" x14ac:dyDescent="0.2"/>
    <row r="131" customFormat="1" x14ac:dyDescent="0.2"/>
  </sheetData>
  <mergeCells count="25">
    <mergeCell ref="B98:C98"/>
    <mergeCell ref="B99:C99"/>
    <mergeCell ref="B91:C91"/>
    <mergeCell ref="B95:C95"/>
    <mergeCell ref="B94:C94"/>
    <mergeCell ref="B93:C93"/>
    <mergeCell ref="B97:D97"/>
    <mergeCell ref="A1:H1"/>
    <mergeCell ref="A2:H2"/>
    <mergeCell ref="A3:H3"/>
    <mergeCell ref="B76:H76"/>
    <mergeCell ref="B77:H77"/>
    <mergeCell ref="B78:H78"/>
    <mergeCell ref="B80:D80"/>
    <mergeCell ref="B81:C81"/>
    <mergeCell ref="B82:C82"/>
    <mergeCell ref="B83:C83"/>
    <mergeCell ref="B105:C105"/>
    <mergeCell ref="B106:C106"/>
    <mergeCell ref="B107:D107"/>
    <mergeCell ref="B100:C100"/>
    <mergeCell ref="B101:C101"/>
    <mergeCell ref="B102:C102"/>
    <mergeCell ref="B103:C103"/>
    <mergeCell ref="B104:C104"/>
  </mergeCells>
  <hyperlinks>
    <hyperlink ref="I1" location="Index!B2" display="Index" xr:uid="{EB751D9D-B30C-447E-B50C-3B1A92CA13BC}"/>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Bala Subramani P - Sundaram Mutual</cp:lastModifiedBy>
  <dcterms:created xsi:type="dcterms:W3CDTF">2025-07-16T13:41:46Z</dcterms:created>
  <dcterms:modified xsi:type="dcterms:W3CDTF">2025-07-22T14:19:29Z</dcterms:modified>
</cp:coreProperties>
</file>