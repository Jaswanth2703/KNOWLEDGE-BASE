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X:\DEBT_BACKOFFICE\Debt_Factsheets\2025 - Fortnightly Portfolio\4. 15. April 2025\"/>
    </mc:Choice>
  </mc:AlternateContent>
  <xr:revisionPtr revIDLastSave="0" documentId="13_ncr:1_{A31570C9-33F0-4B11-831B-D5BC2ED284E2}" xr6:coauthVersionLast="47" xr6:coauthVersionMax="47" xr10:uidLastSave="{00000000-0000-0000-0000-000000000000}"/>
  <bookViews>
    <workbookView xWindow="-120" yWindow="-120" windowWidth="24240" windowHeight="13020" tabRatio="819" xr2:uid="{36B57A0F-E323-40EF-BC79-C9A4D6A9F024}"/>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0" l="1"/>
  <c r="F74" i="10"/>
  <c r="F73" i="10"/>
  <c r="G82" i="8"/>
  <c r="F83" i="8"/>
  <c r="F82" i="8"/>
  <c r="F141" i="7"/>
  <c r="F99" i="6"/>
  <c r="F98" i="6"/>
  <c r="F148" i="5"/>
  <c r="F149" i="5"/>
  <c r="G107" i="4"/>
  <c r="F108" i="4"/>
  <c r="F107" i="4"/>
  <c r="F103" i="2"/>
  <c r="F102" i="2"/>
  <c r="F139" i="7" l="1"/>
  <c r="F138" i="7"/>
  <c r="F137" i="7"/>
  <c r="F13" i="9"/>
  <c r="F30" i="9" s="1"/>
  <c r="F48" i="9" s="1"/>
  <c r="F100" i="9" s="1"/>
  <c r="G13" i="9" s="1"/>
  <c r="G30" i="9" s="1"/>
  <c r="G48" i="9" s="1"/>
  <c r="J146" i="9"/>
  <c r="G86" i="9"/>
  <c r="F86" i="9"/>
  <c r="G90" i="9"/>
  <c r="G100" i="9" s="1"/>
  <c r="F90" i="9"/>
  <c r="G117" i="8"/>
  <c r="G69" i="8"/>
  <c r="F69" i="8"/>
  <c r="G73" i="8"/>
  <c r="F73" i="8"/>
  <c r="I178" i="7"/>
  <c r="F178" i="7"/>
  <c r="G123" i="7"/>
  <c r="F123" i="7"/>
  <c r="G127" i="7"/>
  <c r="F127" i="7"/>
  <c r="I156" i="6"/>
  <c r="J156" i="6" s="1"/>
  <c r="I155" i="6"/>
  <c r="J155" i="6" s="1"/>
  <c r="I154" i="6"/>
  <c r="J154" i="6" s="1"/>
  <c r="G154" i="6"/>
  <c r="I153" i="6"/>
  <c r="J153" i="6" s="1"/>
  <c r="G85" i="6"/>
  <c r="F85" i="6"/>
  <c r="G89" i="6"/>
  <c r="F89" i="6"/>
  <c r="I182" i="5"/>
  <c r="F182" i="5"/>
  <c r="G135" i="5"/>
  <c r="F135" i="5"/>
  <c r="G139" i="5"/>
  <c r="F139" i="5"/>
  <c r="I164" i="4"/>
  <c r="F164" i="4"/>
  <c r="I159" i="4"/>
  <c r="J159" i="4" s="1"/>
  <c r="I158" i="4"/>
  <c r="J158" i="4" s="1"/>
  <c r="I157" i="4"/>
  <c r="J157" i="4" s="1"/>
  <c r="G94" i="4"/>
  <c r="F94" i="4"/>
  <c r="G98" i="4"/>
  <c r="F98" i="4"/>
  <c r="G96" i="3"/>
  <c r="F96" i="3"/>
  <c r="G100" i="3"/>
  <c r="F100" i="3"/>
  <c r="G89" i="2"/>
  <c r="F89" i="2"/>
  <c r="G93" i="2"/>
  <c r="F93" i="2"/>
  <c r="G92" i="1"/>
  <c r="F92" i="1"/>
  <c r="G96" i="1"/>
  <c r="F96" i="1"/>
  <c r="F142" i="7" l="1"/>
  <c r="G141" i="7" l="1"/>
</calcChain>
</file>

<file path=xl/sharedStrings.xml><?xml version="1.0" encoding="utf-8"?>
<sst xmlns="http://schemas.openxmlformats.org/spreadsheetml/2006/main" count="3263" uniqueCount="708">
  <si>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</si>
  <si>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</si>
  <si>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</si>
  <si>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</si>
  <si>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</si>
  <si>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</si>
  <si>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</si>
  <si>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</si>
  <si>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</si>
  <si>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</si>
  <si>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</si>
  <si>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</si>
  <si>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</si>
  <si>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</si>
  <si>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</si>
  <si>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</si>
  <si>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</si>
  <si>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</si>
  <si>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</si>
  <si>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</si>
  <si>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</si>
  <si>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</si>
  <si>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</si>
  <si>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</si>
  <si>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</si>
  <si>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</si>
  <si>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</si>
  <si>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</si>
  <si>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</si>
  <si>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</si>
  <si>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</si>
  <si>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</si>
  <si>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</si>
  <si>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</si>
  <si>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</si>
  <si>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</si>
  <si>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</si>
  <si>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</si>
  <si>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</si>
  <si>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</si>
  <si>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</si>
  <si>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INE053F08304</t>
  </si>
  <si>
    <t>Indian Railway Finance Corporation Ltd - 7.23% - 15/10/2026**</t>
  </si>
  <si>
    <t>INE020B08EL2</t>
  </si>
  <si>
    <t>REC LTD - 7.44% - 30/04/2026**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</si>
  <si>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</si>
  <si>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</si>
  <si>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</si>
  <si>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</si>
  <si>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</si>
  <si>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</si>
  <si>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</si>
  <si>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</si>
  <si>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</si>
  <si>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</si>
  <si>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</si>
  <si>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</si>
  <si>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</si>
  <si>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</si>
  <si>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INE0KUG08084</t>
  </si>
  <si>
    <t>INE752E08783</t>
  </si>
  <si>
    <t>Power Grid Corporation of India Ltd - 6.94% - 15/04/2035**</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</si>
  <si>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</si>
  <si>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</si>
  <si>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</si>
  <si>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</si>
  <si>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</si>
  <si>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</si>
  <si>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</si>
  <si>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</si>
  <si>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</si>
  <si>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</si>
  <si>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</si>
  <si>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</si>
  <si>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</si>
  <si>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</si>
  <si>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</si>
  <si>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</si>
  <si>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</si>
  <si>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</si>
  <si>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</si>
  <si>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</si>
  <si>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</si>
  <si>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</si>
  <si>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</si>
  <si>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</si>
  <si>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</si>
  <si>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IN0020230077</t>
  </si>
  <si>
    <t>7.18%  Government Securities - 24/07/2037</t>
  </si>
  <si>
    <t>IN0020230101</t>
  </si>
  <si>
    <t>7.37% Government Securities-23/10/2028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</si>
  <si>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</si>
  <si>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</si>
  <si>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</si>
  <si>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</si>
  <si>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</si>
  <si>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</si>
  <si>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</si>
  <si>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</si>
  <si>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</si>
  <si>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</si>
  <si>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</si>
  <si>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</si>
  <si>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</si>
  <si>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</si>
  <si>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</si>
  <si>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</si>
  <si>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</si>
  <si>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</si>
  <si>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</si>
  <si>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</si>
  <si>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</si>
  <si>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</si>
  <si>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</si>
  <si>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</si>
  <si>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</si>
  <si>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</si>
  <si>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</si>
  <si>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</si>
  <si>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</si>
  <si>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</si>
  <si>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</si>
  <si>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</si>
  <si>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</si>
  <si>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</si>
  <si>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</si>
  <si>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</si>
  <si>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</si>
  <si>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</si>
  <si>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</si>
  <si>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</si>
  <si>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</si>
  <si>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</si>
  <si>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</si>
  <si>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</si>
  <si>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</si>
  <si>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</si>
  <si>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</si>
  <si>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</si>
  <si>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</si>
  <si>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</si>
  <si>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</si>
  <si>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</si>
  <si>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IN0020240126</t>
  </si>
  <si>
    <t>6.79% Central Government Securities 07/10/2034</t>
  </si>
  <si>
    <t>IN0020240027</t>
  </si>
  <si>
    <t>7.23% Central Government Securities 15/04/2039</t>
  </si>
  <si>
    <t>INE562A16NR6</t>
  </si>
  <si>
    <t>Indian Bank - 09/06/2025**</t>
  </si>
  <si>
    <t>CRISIL A1+</t>
  </si>
  <si>
    <t>INE040A16GE5</t>
  </si>
  <si>
    <t>HDFC Bank Ltd - 04/02/2026**</t>
  </si>
  <si>
    <t>INE514E16CK7</t>
  </si>
  <si>
    <t>Export Import Bank of India - 20/03/2026**</t>
  </si>
  <si>
    <t>Direct Plan - Bonus</t>
  </si>
  <si>
    <t>Regular Plan - Bonus</t>
  </si>
  <si>
    <t>Sundaram Money Market Fund</t>
  </si>
  <si>
    <t>IN3120150203</t>
  </si>
  <si>
    <t>8.69% Tamil Nadu State Development Loan - 24/02/2026</t>
  </si>
  <si>
    <t>INE160A16RK5</t>
  </si>
  <si>
    <t>Punjab National Bank - 18/03/2026**</t>
  </si>
  <si>
    <t>INE562A16OG7</t>
  </si>
  <si>
    <t>Indian Bank - 06/03/2026**</t>
  </si>
  <si>
    <t>INE237A168Z9</t>
  </si>
  <si>
    <t>Kotak Mahindra Bank Ltd - 19/03/2026**</t>
  </si>
  <si>
    <t>INE476A16B64</t>
  </si>
  <si>
    <t>Canara Bank - 18/03/2026**</t>
  </si>
  <si>
    <t>INE556F16BG5</t>
  </si>
  <si>
    <t>Small Industries Development Bank of India - 26/03/2026**</t>
  </si>
  <si>
    <t>INE556F16BB6</t>
  </si>
  <si>
    <t>Small Industries Development Bank of India - 27/02/2026**</t>
  </si>
  <si>
    <t>INE261F16967</t>
  </si>
  <si>
    <t>National Bank for Agriculture &amp; Rural Development - 27/02/2026**</t>
  </si>
  <si>
    <t>INE949L16CY1</t>
  </si>
  <si>
    <t>AU Small Finance Bank Ltd - 28/10/2025**</t>
  </si>
  <si>
    <t>INE171A16MK3</t>
  </si>
  <si>
    <t>The Federal Bank Ltd - 25/11/2025**</t>
  </si>
  <si>
    <t>INE084A16CS2</t>
  </si>
  <si>
    <t>Bank of India - 28/11/2025**</t>
  </si>
  <si>
    <t>INE095A16X85</t>
  </si>
  <si>
    <t>IndusInd Bank Ltd - 05/12/2025**</t>
  </si>
  <si>
    <t>INE476A16A24</t>
  </si>
  <si>
    <t>Canara Bank - 03/02/2026**</t>
  </si>
  <si>
    <t>INE562A16OA0</t>
  </si>
  <si>
    <t>Indian Bank - 04/02/2026**</t>
  </si>
  <si>
    <t>INE237A165Z5</t>
  </si>
  <si>
    <t>Kotak Mahindra Bank Ltd - 18/02/2026**</t>
  </si>
  <si>
    <t>INE261F16959</t>
  </si>
  <si>
    <t>National Bank for Agriculture &amp; Rural Development - 17/02/2026**</t>
  </si>
  <si>
    <t>INE237A166Z3</t>
  </si>
  <si>
    <t>Kotak Mahindra Bank Ltd - 27/02/2026**</t>
  </si>
  <si>
    <t>INE040A16GJ4</t>
  </si>
  <si>
    <t>HDFC Bank Ltd - 25/02/2026**</t>
  </si>
  <si>
    <t>INE008A16X99</t>
  </si>
  <si>
    <t>IDBI Bank Ltd - 23/02/2026**</t>
  </si>
  <si>
    <t>INE476A16B31</t>
  </si>
  <si>
    <t>Canara Bank - 13/03/2026**</t>
  </si>
  <si>
    <t>INE238AD6AM2</t>
  </si>
  <si>
    <t>Axis Bank Ltd - 04/02/2026**</t>
  </si>
  <si>
    <t>INE092T16XX1</t>
  </si>
  <si>
    <t>IDFC First Bank Ltd - 23/01/2026**</t>
  </si>
  <si>
    <t>INE476A16A65</t>
  </si>
  <si>
    <t>Canara Bank - 24/02/2026**</t>
  </si>
  <si>
    <t>INE261F16AA7</t>
  </si>
  <si>
    <t>National Bank for Agriculture &amp; Rural Development - 25/03/2026**</t>
  </si>
  <si>
    <t>INE095A16X69</t>
  </si>
  <si>
    <t>IndusInd Bank Ltd - 21/11/2025**</t>
  </si>
  <si>
    <t>INE090AD6170</t>
  </si>
  <si>
    <t>ICICI Bank Ltd - 25/07/2025**</t>
  </si>
  <si>
    <t>ICRA A1+</t>
  </si>
  <si>
    <t>INE763G14XJ8</t>
  </si>
  <si>
    <t>ICICI Securities Ltd - 03/03/2026**</t>
  </si>
  <si>
    <t>INE790I14FX5</t>
  </si>
  <si>
    <t>HSBC InvestDirect Financial Services India Limited - 25/06/2025**</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</si>
  <si>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</si>
  <si>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</si>
  <si>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</si>
  <si>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</si>
  <si>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</si>
  <si>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</si>
  <si>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</si>
  <si>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</si>
  <si>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</si>
  <si>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</si>
  <si>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INE144H14HM6</t>
  </si>
  <si>
    <t>Deutsche Investments India Private Ltd - 09/09/2025**</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</si>
  <si>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</si>
  <si>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</si>
  <si>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</si>
  <si>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</si>
  <si>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</si>
  <si>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</si>
  <si>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</si>
  <si>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</si>
  <si>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</si>
  <si>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</si>
  <si>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</si>
  <si>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</si>
  <si>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</si>
  <si>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</si>
  <si>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</si>
  <si>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INE020B08EM0</t>
  </si>
  <si>
    <t>REC LTD - 7.64% - 30/06/2026**</t>
  </si>
  <si>
    <t>INE523H07CB9</t>
  </si>
  <si>
    <t>JM Financial Products Ltd - 8.92% - 16/11/2026**</t>
  </si>
  <si>
    <t>CRISIL AA</t>
  </si>
  <si>
    <t>INE414G07HI7</t>
  </si>
  <si>
    <t>Muthoot Finance Ltd - 8.3% - 06/01/2026**</t>
  </si>
  <si>
    <t>INE233A08121</t>
  </si>
  <si>
    <t>Godrej Industries Ltd - 8.36% - 28/08/2026**</t>
  </si>
  <si>
    <t>INE477A07415</t>
  </si>
  <si>
    <t>Can Fin Homes Ltd - 8.09% - 04/01/2027**</t>
  </si>
  <si>
    <t>INE020B08FF1</t>
  </si>
  <si>
    <t>REC LTD - 7.56% - 31/08/2027**</t>
  </si>
  <si>
    <t>INE721A07RU2</t>
  </si>
  <si>
    <t>Shriram Finance Ltd - 9.25% - 19/12/2025**</t>
  </si>
  <si>
    <t>INE121A07QT9</t>
  </si>
  <si>
    <t>Cholamandalam Investment and Finance Co Ltd - 8.45% - 21/11/2025**</t>
  </si>
  <si>
    <t>ICRA AA+</t>
  </si>
  <si>
    <t>INE414G07JL7</t>
  </si>
  <si>
    <t>Muthoot Finance Ltd - 8.65% - 31/01/2028**</t>
  </si>
  <si>
    <t>IN0020240183</t>
  </si>
  <si>
    <t>6.75% Central Government Securities 23/12/2029</t>
  </si>
  <si>
    <t>IN0020240050</t>
  </si>
  <si>
    <t>7.04% Central Government Securities 03/06/2029</t>
  </si>
  <si>
    <t>IN0020220037</t>
  </si>
  <si>
    <t>7.38% Central Government Securities 20/06/2027</t>
  </si>
  <si>
    <t>INE008A16Y07</t>
  </si>
  <si>
    <t>IDBI Bank Ltd - 27/05/2025**</t>
  </si>
  <si>
    <t>INE949L16CX3</t>
  </si>
  <si>
    <t>AU Small Finance Bank Ltd - 01/10/2025**</t>
  </si>
  <si>
    <t>INE040A16GK2</t>
  </si>
  <si>
    <t>HDFC Bank Ltd - 27/05/2025**</t>
  </si>
  <si>
    <t>INE040A16GF2</t>
  </si>
  <si>
    <t>HDFC Bank Ltd - 06/02/2026**</t>
  </si>
  <si>
    <t>INE514E14ST9</t>
  </si>
  <si>
    <t>Export Import Bank of India - 24/10/2025**</t>
  </si>
  <si>
    <t>Sundaram Liquid Fund</t>
  </si>
  <si>
    <t>IN0020150036</t>
  </si>
  <si>
    <t>7.72% Central Government Securities 25/05/2025</t>
  </si>
  <si>
    <t>INE040A16GO4</t>
  </si>
  <si>
    <t>HDFC Bank Ltd - 11/06/2025**</t>
  </si>
  <si>
    <t>INE238AD6975</t>
  </si>
  <si>
    <t>Axis Bank Ltd - 16/05/2025**</t>
  </si>
  <si>
    <t>INE556F16AS2</t>
  </si>
  <si>
    <t>Small Industries Development Bank of India - 10/06/2025**</t>
  </si>
  <si>
    <t>INE562A16OK9</t>
  </si>
  <si>
    <t>Indian Bank - 16/06/2025**</t>
  </si>
  <si>
    <t>INE008A16X81</t>
  </si>
  <si>
    <t>IDBI Bank Ltd - 08/05/2025**</t>
  </si>
  <si>
    <t>INE562A16OD4</t>
  </si>
  <si>
    <t>Indian Bank - 19/05/2025**</t>
  </si>
  <si>
    <t>INE171A16ME6</t>
  </si>
  <si>
    <t>The Federal Bank Ltd - 23/05/2025**</t>
  </si>
  <si>
    <t>INE160A16RD0</t>
  </si>
  <si>
    <t>Punjab National Bank - 02/06/2025**</t>
  </si>
  <si>
    <t>INE562A16OF9</t>
  </si>
  <si>
    <t>Indian Bank - 05/06/2025**</t>
  </si>
  <si>
    <t>INE028A16GV4</t>
  </si>
  <si>
    <t>Bank of Baroda - 06/06/2025**</t>
  </si>
  <si>
    <t>IND A1+</t>
  </si>
  <si>
    <t>INE028A16HA6</t>
  </si>
  <si>
    <t>Bank of Baroda - 09/06/2025**</t>
  </si>
  <si>
    <t>INE028A16HX8</t>
  </si>
  <si>
    <t>Bank of Baroda - 10/06/2025**</t>
  </si>
  <si>
    <t>INE692A16JD9</t>
  </si>
  <si>
    <t>Union Bank of India - 12/06/2025**</t>
  </si>
  <si>
    <t>INE084A16DD2</t>
  </si>
  <si>
    <t>Bank of India - 12/06/2025**</t>
  </si>
  <si>
    <t>INE476A16B56</t>
  </si>
  <si>
    <t>Canara Bank - 17/06/2025**</t>
  </si>
  <si>
    <t>INE160A16RL3</t>
  </si>
  <si>
    <t>Punjab National Bank - 18/06/2025**</t>
  </si>
  <si>
    <t>INE160A16RJ7</t>
  </si>
  <si>
    <t>Punjab National Bank - 16/06/2025**</t>
  </si>
  <si>
    <t>INE562A16NZ9</t>
  </si>
  <si>
    <t>Indian Bank - 06/05/2025</t>
  </si>
  <si>
    <t>INE692A16IT7</t>
  </si>
  <si>
    <t>Union Bank of India - 23/05/2025**</t>
  </si>
  <si>
    <t>INE692A16IZ4</t>
  </si>
  <si>
    <t>Union Bank of India - 04/06/2025**</t>
  </si>
  <si>
    <t>INE476A16B15</t>
  </si>
  <si>
    <t>Canara Bank - 09/06/2025**</t>
  </si>
  <si>
    <t>INE040A16GG0</t>
  </si>
  <si>
    <t>HDFC Bank Ltd - 09/05/2025**</t>
  </si>
  <si>
    <t>INE238AD6843</t>
  </si>
  <si>
    <t>Axis Bank Ltd - 05/06/2025**</t>
  </si>
  <si>
    <t>INE976I14PP5</t>
  </si>
  <si>
    <t>Tata Capital Ltd - 08/05/2025**</t>
  </si>
  <si>
    <t>INE261F14MZ4</t>
  </si>
  <si>
    <t>National Bank for Agriculture &amp; Rural Development - 07/05/2025**</t>
  </si>
  <si>
    <t>INE514E14SQ5</t>
  </si>
  <si>
    <t>Export Import Bank of India - 27/05/2025**</t>
  </si>
  <si>
    <t>INE261F14NL2</t>
  </si>
  <si>
    <t>National Bank for Agriculture &amp; Rural Development - 20/06/2025**</t>
  </si>
  <si>
    <t>INE002A14LD2</t>
  </si>
  <si>
    <t>Reliance Industries Ltd - 23/06/2025**</t>
  </si>
  <si>
    <t>INE556F14LC8</t>
  </si>
  <si>
    <t>Small Industries Development Bank of India - 09/07/2025**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</si>
  <si>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</si>
  <si>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</si>
  <si>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</si>
  <si>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</si>
  <si>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</si>
  <si>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</si>
  <si>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</si>
  <si>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</si>
  <si>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</si>
  <si>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</si>
  <si>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INE296A14ZX8</t>
  </si>
  <si>
    <t>Bajaj Finance Ltd - 12/06/2025**</t>
  </si>
  <si>
    <t>INE242A14XP3</t>
  </si>
  <si>
    <t>Indian Oil Corporation Ltd - 16/06/2025**</t>
  </si>
  <si>
    <t>INE261F14NK4</t>
  </si>
  <si>
    <t>National Bank for Agriculture &amp; Rural Development - 16/06/2025**</t>
  </si>
  <si>
    <t>INE110L14TK8</t>
  </si>
  <si>
    <t>Reliance Jio Infocomm Ltd - 23/06/2025**</t>
  </si>
  <si>
    <t>INE763G14XW1</t>
  </si>
  <si>
    <t>ICICI Securities Ltd - 19/06/2025**</t>
  </si>
  <si>
    <t>INE572E14JT6</t>
  </si>
  <si>
    <t>PNB Housing Finance Ltd - 15/07/2025**</t>
  </si>
  <si>
    <t>INE338I14JA3</t>
  </si>
  <si>
    <t>Motilal Oswal Financial Services Ltd - 22/04/2025**</t>
  </si>
  <si>
    <t>INE261F14MY7</t>
  </si>
  <si>
    <t>National Bank for Agriculture &amp; Rural Development - 06/05/2025</t>
  </si>
  <si>
    <t>INE233A14Z62</t>
  </si>
  <si>
    <t>Godrej Industries Ltd - 09/05/2025**</t>
  </si>
  <si>
    <t>INE556F14KZ1</t>
  </si>
  <si>
    <t>INE261F14NH0</t>
  </si>
  <si>
    <t>National Bank for Agriculture &amp; Rural Development - 12/06/2025**</t>
  </si>
  <si>
    <t>INE929O14DG7</t>
  </si>
  <si>
    <t>Reliance Retail Ventures Ltd - 12/06/2025**</t>
  </si>
  <si>
    <t>INE414G14TR9</t>
  </si>
  <si>
    <t>Muthoot Finance Ltd - 10/06/2025**</t>
  </si>
  <si>
    <t>INE071G14GR4</t>
  </si>
  <si>
    <t>INE700G14NW4</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</si>
  <si>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</si>
  <si>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</si>
  <si>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</si>
  <si>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</si>
  <si>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</si>
  <si>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</si>
  <si>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</si>
  <si>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</si>
  <si>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</si>
  <si>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</si>
  <si>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</si>
  <si>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</si>
  <si>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</si>
  <si>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</si>
  <si>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</si>
  <si>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</si>
  <si>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</si>
  <si>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</si>
  <si>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</si>
  <si>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</si>
  <si>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</si>
  <si>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</si>
  <si>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INE763G14XQ3</t>
  </si>
  <si>
    <t>ICICI Securities Ltd - 09/06/2025**</t>
  </si>
  <si>
    <t>INE763G14XT7</t>
  </si>
  <si>
    <t>ICICI Securities Ltd - 12/06/2025**</t>
  </si>
  <si>
    <t>INE212K14AU3</t>
  </si>
  <si>
    <t>SBI Cap securities Ltd - 18/06/2025**</t>
  </si>
  <si>
    <t>IN002024X516</t>
  </si>
  <si>
    <t>91 Days - T Bill - 26/06/2025</t>
  </si>
  <si>
    <t>IN002024X508</t>
  </si>
  <si>
    <t>91 Days - T Bill - 19/06/2025</t>
  </si>
  <si>
    <t>IN002024X490</t>
  </si>
  <si>
    <t>91 Days - T Bill - 12/06/2025</t>
  </si>
  <si>
    <t>IN002024X425</t>
  </si>
  <si>
    <t>91 Days - T Bill - 24/04/2025</t>
  </si>
  <si>
    <t>IN002024Y290</t>
  </si>
  <si>
    <t>182 Days - T Bill - 01/05/2025</t>
  </si>
  <si>
    <t>IN002024X441</t>
  </si>
  <si>
    <t>91 Days - T Bill - 08/05/2025</t>
  </si>
  <si>
    <t>IN002024X458</t>
  </si>
  <si>
    <t>91 Days - T Bill - 15/05/2025</t>
  </si>
  <si>
    <t>IN002024X482</t>
  </si>
  <si>
    <t>91 Days - T Bill - 05/06/2025</t>
  </si>
  <si>
    <t>IN002024X474</t>
  </si>
  <si>
    <t>91 Days - T Bill - 30/05/2025</t>
  </si>
  <si>
    <t>Sundaram Short Duration Fund</t>
  </si>
  <si>
    <t>INE134E08MJ2</t>
  </si>
  <si>
    <t>Power Finance Corporation Ltd - 7.77% - 15/04/2028**</t>
  </si>
  <si>
    <t>INE121A07RZ4</t>
  </si>
  <si>
    <t>Cholamandalam Investment and Finance Co Ltd - 8.54% - 12/04/2029**</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</si>
  <si>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</si>
  <si>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</si>
  <si>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</si>
  <si>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</si>
  <si>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</si>
  <si>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</si>
  <si>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</si>
  <si>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</si>
  <si>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</si>
  <si>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</si>
  <si>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</si>
  <si>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</si>
  <si>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</si>
  <si>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INE756I07EN4</t>
  </si>
  <si>
    <t>HDB Financial Services Ltd - 7.84% - 14/07/2026**</t>
  </si>
  <si>
    <t>INE028A16HY6</t>
  </si>
  <si>
    <t>Bank of Baroda - 12/12/2025**</t>
  </si>
  <si>
    <t>INE171A16MA4</t>
  </si>
  <si>
    <t>The Federal Bank Ltd - 04/08/2025**</t>
  </si>
  <si>
    <t>INE040A16FN8</t>
  </si>
  <si>
    <t>HDFC Bank Ltd - 15/09/2025**</t>
  </si>
  <si>
    <t>INE040A16FM0</t>
  </si>
  <si>
    <t>HDFC Bank Ltd - 19/09/2025**</t>
  </si>
  <si>
    <t>INE692A16IC3</t>
  </si>
  <si>
    <t>Union Bank of India - 04/12/2025**</t>
  </si>
  <si>
    <t>INE095A16Y50</t>
  </si>
  <si>
    <t>IndusInd Bank Ltd - 04/02/2026**</t>
  </si>
  <si>
    <t>INE238AD6884</t>
  </si>
  <si>
    <t>Axis Bank Ltd - 22/08/2025**</t>
  </si>
  <si>
    <t>INE095A16X10</t>
  </si>
  <si>
    <t>IndusInd Bank Ltd - 19/08/2025**</t>
  </si>
  <si>
    <t>INE238AD6900</t>
  </si>
  <si>
    <t>Axis Bank Ltd - 04/09/2025**</t>
  </si>
  <si>
    <t>INE040A16FY5</t>
  </si>
  <si>
    <t>HDFC Bank Ltd - 04/12/2025</t>
  </si>
  <si>
    <t>INE556F16AX2</t>
  </si>
  <si>
    <t>Small Industries Development Bank of India - 05/12/2025**</t>
  </si>
  <si>
    <t>INE556F16AY0</t>
  </si>
  <si>
    <t>Small Industries Development Bank of India - 13/01/2026**</t>
  </si>
  <si>
    <t>INE556F16BD2</t>
  </si>
  <si>
    <t>Small Industries Development Bank of India - 11/03/2026**</t>
  </si>
  <si>
    <t>INE261F16975</t>
  </si>
  <si>
    <t>National Bank for Agriculture &amp; Rural Development - 10/03/2026</t>
  </si>
  <si>
    <t>INE514E14SL6</t>
  </si>
  <si>
    <t>Export Import Bank of India - 03/06/2025**</t>
  </si>
  <si>
    <t>INE790I14FT3</t>
  </si>
  <si>
    <t>HSBC InvestDirect Financial Services India Limited - 03/06/2025**</t>
  </si>
  <si>
    <t>INE242A14XQ1</t>
  </si>
  <si>
    <t>Indian Oil Corporation Ltd - 27/06/2025**</t>
  </si>
  <si>
    <t>INE115A14FF9</t>
  </si>
  <si>
    <t>LIC Housing Finance Ltd - 11/09/2025**</t>
  </si>
  <si>
    <t>IN002024Y324</t>
  </si>
  <si>
    <t>182 Days - T Bill - 23/05/2025</t>
  </si>
  <si>
    <t>Reverse Repo</t>
  </si>
  <si>
    <t>Sundaram Medium Duration Fund</t>
  </si>
  <si>
    <t>IN0020210186</t>
  </si>
  <si>
    <t>5.74% Central Government Securities 15/11/2026</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</si>
  <si>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</si>
  <si>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</si>
  <si>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</si>
  <si>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</si>
  <si>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</si>
  <si>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</si>
  <si>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</si>
  <si>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</si>
  <si>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</si>
  <si>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</si>
  <si>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</si>
  <si>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</si>
  <si>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</si>
  <si>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</si>
  <si>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</si>
  <si>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</si>
  <si>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</si>
  <si>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</si>
  <si>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</si>
  <si>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</si>
  <si>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</si>
  <si>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</si>
  <si>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</si>
  <si>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</si>
  <si>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</si>
  <si>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</si>
  <si>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INE481G01011</t>
  </si>
  <si>
    <t>Ultratech Cement Ltd</t>
  </si>
  <si>
    <t>Cement &amp; Cement Products</t>
  </si>
  <si>
    <t>INE237A01028</t>
  </si>
  <si>
    <t>Kotak Mahindra Bank Ltd</t>
  </si>
  <si>
    <t>INE196A01026</t>
  </si>
  <si>
    <t>Marico Ltd</t>
  </si>
  <si>
    <t>Agricultural Food &amp; Other Products</t>
  </si>
  <si>
    <t>INE797F01020</t>
  </si>
  <si>
    <t>Jubilant Foodworks Ltd</t>
  </si>
  <si>
    <t>Leisure Services</t>
  </si>
  <si>
    <t>INE854D01024</t>
  </si>
  <si>
    <t>United Spirits Ltd</t>
  </si>
  <si>
    <t>Beverages</t>
  </si>
  <si>
    <t>INE018A01030</t>
  </si>
  <si>
    <t>Larsen &amp; Toubro Ltd</t>
  </si>
  <si>
    <t>Construction</t>
  </si>
  <si>
    <t>INE917I01010</t>
  </si>
  <si>
    <t>Bajaj Auto Ltd</t>
  </si>
  <si>
    <t>Automobiles</t>
  </si>
  <si>
    <t>INE540L01014</t>
  </si>
  <si>
    <t>Alkem Laboratories Ltd</t>
  </si>
  <si>
    <t>Pharmaceuticals &amp; Biotechnology</t>
  </si>
  <si>
    <t>INE047A01021</t>
  </si>
  <si>
    <t>Grasim Industries Ltd</t>
  </si>
  <si>
    <t>INE585B01010</t>
  </si>
  <si>
    <t>Maruti Suzuki India Ltd</t>
  </si>
  <si>
    <t>INE603J01030</t>
  </si>
  <si>
    <t>PI Industries Ltd</t>
  </si>
  <si>
    <t>Fertilizers &amp; Agrochemicals</t>
  </si>
  <si>
    <t>INE726G01019</t>
  </si>
  <si>
    <t>ICICI Prudential Life Insurance Company Ltd</t>
  </si>
  <si>
    <t>Insurance</t>
  </si>
  <si>
    <t>IN9397D01014</t>
  </si>
  <si>
    <t>IN0020240118</t>
  </si>
  <si>
    <t>7.09% Central Government Securities 05/08/2054</t>
  </si>
  <si>
    <t>Sundaram Overnight Fund</t>
  </si>
  <si>
    <t>IN002024Y274</t>
  </si>
  <si>
    <t>182 Days - T Bill - 17/04/2025</t>
  </si>
  <si>
    <t>IN002024Z065</t>
  </si>
  <si>
    <t>364 Days - T Bill - 08/05/2025</t>
  </si>
  <si>
    <t>S. No.</t>
  </si>
  <si>
    <t>ACRONYM</t>
  </si>
  <si>
    <t>SCHEME NAME</t>
  </si>
  <si>
    <t>SFRLTP</t>
  </si>
  <si>
    <t>SFRSTP</t>
  </si>
  <si>
    <t>SMMF</t>
  </si>
  <si>
    <t>SPLDF</t>
  </si>
  <si>
    <t>SPMON</t>
  </si>
  <si>
    <t>SPSDF</t>
  </si>
  <si>
    <t>SPUSDF</t>
  </si>
  <si>
    <t>SUNBDS</t>
  </si>
  <si>
    <t>SUNMIA</t>
  </si>
  <si>
    <t>SUNONF</t>
  </si>
  <si>
    <t>YTM (%)*</t>
  </si>
  <si>
    <t>Index</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</si>
  <si>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</si>
  <si>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</si>
  <si>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</si>
  <si>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</si>
  <si>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</si>
  <si>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</si>
  <si>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</si>
  <si>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</si>
  <si>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</si>
  <si>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</si>
  <si>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</si>
  <si>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</si>
  <si>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</si>
  <si>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</si>
  <si>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</si>
  <si>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</si>
  <si>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</si>
  <si>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</si>
  <si>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</si>
  <si>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</si>
  <si>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</si>
  <si>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</si>
  <si>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Money Market Index A-I</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</si>
  <si>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</si>
  <si>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</si>
  <si>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</si>
  <si>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</si>
  <si>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</si>
  <si>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</si>
  <si>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</si>
  <si>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</si>
  <si>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</si>
  <si>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</si>
  <si>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</si>
  <si>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</si>
  <si>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</si>
  <si>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</si>
  <si>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</si>
  <si>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</si>
  <si>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</si>
  <si>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</si>
  <si>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</si>
  <si>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</si>
  <si>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</si>
  <si>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</si>
  <si>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</si>
  <si>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</si>
  <si>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</si>
  <si>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</si>
  <si>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</si>
  <si>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</si>
  <si>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</si>
  <si>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</si>
  <si>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</si>
  <si>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are going  to receive the Total INVITs units amounting to Rs. 2 Crs having face value is Rs. 25,00,000 per unit shortly .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</si>
  <si>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</si>
  <si>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</si>
  <si>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</si>
  <si>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</si>
  <si>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</si>
  <si>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</si>
  <si>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</si>
  <si>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</si>
  <si>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</si>
  <si>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</si>
  <si>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</si>
  <si>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</si>
  <si>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</si>
  <si>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</si>
  <si>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</si>
  <si>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</si>
  <si>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</si>
  <si>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</si>
  <si>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</si>
  <si>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</si>
  <si>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</si>
  <si>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</si>
  <si>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</si>
  <si>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</si>
  <si>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</si>
  <si>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</si>
  <si>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t>
  </si>
  <si>
    <t>Interest Rate Swaps Pay Fix Receive Floating (06/03/2026) (FV 2500 Lacs)~</t>
  </si>
  <si>
    <t>Interest Rate Swaps Pay Fix Receive Floating (20/03/2026)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</si>
  <si>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</si>
  <si>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</si>
  <si>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</si>
  <si>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</si>
  <si>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</si>
  <si>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</si>
  <si>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</si>
  <si>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</si>
  <si>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</si>
  <si>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</si>
  <si>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</si>
  <si>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</si>
  <si>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</si>
  <si>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</si>
  <si>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</si>
  <si>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</si>
  <si>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</si>
  <si>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</si>
  <si>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</si>
  <si>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</si>
  <si>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</si>
  <si>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</si>
  <si>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</si>
  <si>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</si>
  <si>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</si>
  <si>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</si>
  <si>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</si>
  <si>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</si>
  <si>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</si>
  <si>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</si>
  <si>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</si>
  <si>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</si>
  <si>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</si>
  <si>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</si>
  <si>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</si>
  <si>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</si>
  <si>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</si>
  <si>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</si>
  <si>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 Aggregate Investments by Other schemes of Sundaram Mutual Fund - Rs. 7,842.20 Lakhs</t>
  </si>
  <si>
    <t>++ Aggregate Investments by Other schemes of Sundaram Mutual Fund - Rs.12,953.32 Lakhs</t>
  </si>
  <si>
    <t>15-Apr-2025</t>
  </si>
  <si>
    <t>i) Exposure to securities classified as below investment grade or default as on 15-Apr-2025:-</t>
  </si>
  <si>
    <t>h)  Hedging Positions through Swaps as on 15-Apr-2025:-</t>
  </si>
  <si>
    <t>% to AUM as on  15-Apr-2025</t>
  </si>
  <si>
    <t>h) Exposure to securities classified as below investment grade or default as on 15-Apr-2025:-</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</si>
  <si>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</si>
  <si>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</si>
  <si>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</si>
  <si>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</si>
  <si>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</si>
  <si>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</si>
  <si>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</si>
  <si>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</si>
  <si>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Fortnightly Portfolio Statement as on 15 April 2025</t>
  </si>
  <si>
    <t>YTM (%)</t>
  </si>
  <si>
    <t>National Bank for Financing Infrastructure and Development - 7.04% - 07/04/2035**</t>
  </si>
  <si>
    <t>ICICI Home Finance Company Ltd - 16/07/2025**</t>
  </si>
  <si>
    <t>HDFC Securities Ltd - 15/07/2025**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</si>
</sst>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
    <numFmt numFmtId="172" formatCode="dd\-mmm\-yyyy"/>
    <numFmt numFmtId="173" formatCode="[$-1014009]#,##0;\(#,##0\)"/>
    <numFmt numFmtId="174" formatCode="_(* #,##0.00_);_(* \(#,##0.00\);_(* &quot;-&quot;??_);_(@_)"/>
    <numFmt numFmtId="175" formatCode="dd/mmm/yyyy"/>
  </numFmts>
  <fonts count="34"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b/>
      <sz val="11"/>
      <color theme="0"/>
      <name val="Aptos Narrow"/>
      <family val="2"/>
      <scheme val="minor"/>
    </font>
    <font>
      <sz val="11"/>
      <color theme="0"/>
      <name val="Aptos Narrow"/>
      <family val="2"/>
      <scheme val="minor"/>
    </font>
    <font>
      <u/>
      <sz val="10"/>
      <color theme="10"/>
      <name val="Arial"/>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u/>
      <sz val="11"/>
      <color rgb="FF002060"/>
      <name val="Aptos Narrow"/>
      <family val="2"/>
      <scheme val="minor"/>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alignment wrapText="1"/>
    </xf>
    <xf numFmtId="9" fontId="6" fillId="0" borderId="0" applyFont="0" applyFill="0" applyBorder="0" applyAlignment="0" applyProtection="0"/>
    <xf numFmtId="0" fontId="1" fillId="0" borderId="0"/>
    <xf numFmtId="0" fontId="1" fillId="0" borderId="0"/>
    <xf numFmtId="0" fontId="9" fillId="0" borderId="0" applyNumberFormat="0" applyFill="0" applyBorder="0" applyAlignment="0" applyProtection="0">
      <alignment wrapText="1"/>
    </xf>
    <xf numFmtId="43" fontId="6" fillId="0" borderId="0" applyFont="0" applyFill="0" applyBorder="0" applyAlignment="0" applyProtection="0"/>
    <xf numFmtId="0" fontId="6" fillId="0" borderId="0">
      <alignment wrapText="1"/>
    </xf>
    <xf numFmtId="43" fontId="6" fillId="0" borderId="0" applyFont="0" applyFill="0" applyBorder="0" applyAlignment="0" applyProtection="0"/>
    <xf numFmtId="9" fontId="21" fillId="0" borderId="0" applyFont="0" applyFill="0" applyBorder="0" applyAlignment="0" applyProtection="0"/>
    <xf numFmtId="43" fontId="6" fillId="0" borderId="0" applyFont="0" applyFill="0" applyBorder="0" applyAlignment="0" applyProtection="0"/>
    <xf numFmtId="0" fontId="1" fillId="0" borderId="0"/>
    <xf numFmtId="0" fontId="1" fillId="0" borderId="0"/>
  </cellStyleXfs>
  <cellXfs count="218">
    <xf numFmtId="0" fontId="0" fillId="0" borderId="0" xfId="0">
      <alignment wrapText="1"/>
    </xf>
    <xf numFmtId="0" fontId="10" fillId="0" borderId="7" xfId="2" applyFont="1" applyBorder="1" applyAlignment="1">
      <alignment horizontal="center"/>
    </xf>
    <xf numFmtId="0" fontId="11" fillId="0" borderId="7" xfId="2" applyFont="1" applyBorder="1" applyAlignment="1">
      <alignment horizontal="center" vertical="center"/>
    </xf>
    <xf numFmtId="0" fontId="12" fillId="0" borderId="0" xfId="3" applyFont="1"/>
    <xf numFmtId="0" fontId="12" fillId="0" borderId="7" xfId="2" applyFont="1" applyBorder="1" applyAlignment="1">
      <alignment horizontal="center"/>
    </xf>
    <xf numFmtId="0" fontId="13" fillId="0" borderId="7" xfId="4" applyFont="1" applyFill="1" applyBorder="1" applyAlignment="1">
      <alignment vertical="center"/>
    </xf>
    <xf numFmtId="0" fontId="14" fillId="0" borderId="7" xfId="2" applyFont="1" applyBorder="1" applyAlignment="1">
      <alignment vertical="top"/>
    </xf>
    <xf numFmtId="0" fontId="15" fillId="0" borderId="0" xfId="4" applyFont="1" applyFill="1" applyBorder="1" applyAlignment="1">
      <alignment horizontal="center" vertical="center" wrapText="1"/>
    </xf>
    <xf numFmtId="4" fontId="20" fillId="0" borderId="9" xfId="8" applyNumberFormat="1" applyFont="1" applyFill="1" applyBorder="1"/>
    <xf numFmtId="4" fontId="20" fillId="0" borderId="0" xfId="8" applyNumberFormat="1" applyFont="1" applyFill="1" applyBorder="1"/>
    <xf numFmtId="43" fontId="20" fillId="0" borderId="9" xfId="9" applyFont="1" applyFill="1" applyBorder="1"/>
    <xf numFmtId="43" fontId="20" fillId="0" borderId="0" xfId="7" applyFont="1" applyFill="1" applyBorder="1"/>
    <xf numFmtId="43" fontId="20" fillId="0" borderId="7" xfId="9" applyFont="1" applyFill="1" applyBorder="1"/>
    <xf numFmtId="4" fontId="20" fillId="0" borderId="7" xfId="8" applyNumberFormat="1" applyFont="1" applyFill="1" applyBorder="1"/>
    <xf numFmtId="43" fontId="32" fillId="0" borderId="10" xfId="7" applyFont="1" applyFill="1" applyBorder="1" applyAlignment="1">
      <alignment horizontal="center" vertical="center"/>
    </xf>
    <xf numFmtId="43" fontId="32" fillId="0" borderId="12" xfId="7" applyFont="1" applyFill="1" applyBorder="1" applyAlignment="1">
      <alignment horizontal="center" vertical="center"/>
    </xf>
    <xf numFmtId="0" fontId="2" fillId="0" borderId="7" xfId="0" applyFont="1" applyFill="1" applyBorder="1" applyAlignment="1">
      <alignment horizontal="center" vertical="center" wrapText="1" readingOrder="1"/>
    </xf>
    <xf numFmtId="0" fontId="0" fillId="0" borderId="0" xfId="0" applyFill="1">
      <alignment wrapText="1"/>
    </xf>
    <xf numFmtId="0" fontId="2" fillId="0" borderId="7" xfId="0" applyFont="1" applyFill="1" applyBorder="1" applyAlignment="1">
      <alignment horizontal="center" vertical="center" wrapText="1" readingOrder="1"/>
    </xf>
    <xf numFmtId="43" fontId="2" fillId="0" borderId="7" xfId="5" applyFont="1" applyFill="1" applyBorder="1" applyAlignment="1">
      <alignment horizontal="center" vertical="center" wrapText="1" readingOrder="1"/>
    </xf>
    <xf numFmtId="0" fontId="0" fillId="0" borderId="0" xfId="0" applyFill="1" applyAlignment="1">
      <alignment horizontal="center" vertical="center" wrapText="1"/>
    </xf>
    <xf numFmtId="0" fontId="3" fillId="0" borderId="4" xfId="0" applyFont="1" applyFill="1" applyBorder="1" applyAlignment="1">
      <alignment horizontal="right" vertical="top" wrapText="1" readingOrder="1"/>
    </xf>
    <xf numFmtId="0" fontId="4" fillId="0" borderId="4" xfId="0" applyFont="1" applyFill="1" applyBorder="1" applyAlignment="1">
      <alignment horizontal="left" vertical="center" wrapText="1" readingOrder="1"/>
    </xf>
    <xf numFmtId="165" fontId="3" fillId="0" borderId="8" xfId="0" applyNumberFormat="1" applyFont="1" applyFill="1" applyBorder="1" applyAlignment="1">
      <alignment horizontal="right" vertical="center" wrapText="1" readingOrder="1"/>
    </xf>
    <xf numFmtId="0" fontId="4" fillId="0" borderId="4" xfId="0" applyFont="1" applyFill="1" applyBorder="1" applyAlignment="1">
      <alignment horizontal="right" vertical="center" wrapText="1" readingOrder="1"/>
    </xf>
    <xf numFmtId="164" fontId="4" fillId="0" borderId="4" xfId="0" applyNumberFormat="1" applyFont="1" applyFill="1" applyBorder="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65" fontId="4"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7" fontId="3" fillId="0" borderId="4" xfId="0" applyNumberFormat="1"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169" fontId="4" fillId="0" borderId="4" xfId="0" applyNumberFormat="1" applyFont="1" applyFill="1" applyBorder="1" applyAlignment="1">
      <alignment horizontal="right" vertical="center" wrapText="1" readingOrder="1"/>
    </xf>
    <xf numFmtId="0" fontId="5" fillId="0" borderId="5" xfId="0" applyFont="1" applyFill="1" applyBorder="1" applyAlignment="1">
      <alignment horizontal="left" vertical="center" wrapText="1" readingOrder="1"/>
    </xf>
    <xf numFmtId="0" fontId="5" fillId="0" borderId="5" xfId="0" applyFont="1" applyFill="1" applyBorder="1" applyAlignment="1">
      <alignment horizontal="right" vertical="center" wrapText="1" readingOrder="1"/>
    </xf>
    <xf numFmtId="0" fontId="5" fillId="0" borderId="0" xfId="0" applyFont="1" applyFill="1" applyAlignment="1">
      <alignment horizontal="left" vertical="center" wrapText="1" readingOrder="1"/>
    </xf>
    <xf numFmtId="0" fontId="3" fillId="0" borderId="0" xfId="0" applyFont="1" applyFill="1" applyAlignment="1">
      <alignment horizontal="left" vertical="center" wrapText="1" readingOrder="1"/>
    </xf>
    <xf numFmtId="0" fontId="5" fillId="0" borderId="0" xfId="0" applyFont="1" applyFill="1" applyAlignment="1">
      <alignment horizontal="right" vertical="center" wrapText="1" readingOrder="1"/>
    </xf>
    <xf numFmtId="0" fontId="4" fillId="0" borderId="1" xfId="0" applyFont="1" applyFill="1" applyBorder="1" applyAlignment="1">
      <alignment horizontal="left" vertical="center" wrapText="1" readingOrder="1"/>
    </xf>
    <xf numFmtId="0" fontId="4" fillId="0" borderId="2" xfId="0" applyFont="1" applyFill="1" applyBorder="1" applyAlignment="1">
      <alignment horizontal="left" vertical="center" wrapText="1" readingOrder="1"/>
    </xf>
    <xf numFmtId="0" fontId="4" fillId="0" borderId="3" xfId="0" applyFont="1" applyFill="1" applyBorder="1" applyAlignment="1">
      <alignment horizontal="left" vertical="center" wrapText="1" readingOrder="1"/>
    </xf>
    <xf numFmtId="0" fontId="5" fillId="0" borderId="6" xfId="0" applyFont="1" applyFill="1" applyBorder="1" applyAlignment="1">
      <alignment horizontal="right" vertical="center" wrapText="1" readingOrder="1"/>
    </xf>
    <xf numFmtId="0" fontId="3" fillId="0" borderId="1"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3" fillId="0" borderId="0" xfId="0" applyFont="1" applyFill="1" applyAlignment="1">
      <alignment horizontal="right" vertical="top" wrapText="1" readingOrder="1"/>
    </xf>
    <xf numFmtId="0" fontId="4" fillId="0" borderId="4" xfId="0" applyFont="1" applyFill="1" applyBorder="1" applyAlignment="1">
      <alignment horizontal="right" vertical="top" wrapText="1" readingOrder="1"/>
    </xf>
    <xf numFmtId="0" fontId="4" fillId="0" borderId="4" xfId="0" applyFont="1" applyFill="1" applyBorder="1" applyAlignment="1">
      <alignment horizontal="left" vertical="top" wrapText="1" readingOrder="1"/>
    </xf>
    <xf numFmtId="172" fontId="4" fillId="0" borderId="4" xfId="0" applyNumberFormat="1" applyFont="1" applyFill="1" applyBorder="1" applyAlignment="1">
      <alignment horizontal="right" vertical="top" wrapText="1" readingOrder="1"/>
    </xf>
    <xf numFmtId="170" fontId="3"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3" fillId="0" borderId="0" xfId="0" applyFont="1" applyFill="1" applyAlignment="1">
      <alignment horizontal="right" vertical="center" wrapText="1" readingOrder="1"/>
    </xf>
    <xf numFmtId="0" fontId="0" fillId="0" borderId="0" xfId="0" applyFill="1" applyAlignment="1">
      <alignment horizontal="center" vertical="top" readingOrder="1"/>
    </xf>
    <xf numFmtId="0" fontId="3" fillId="0" borderId="6" xfId="0" applyFont="1" applyFill="1" applyBorder="1" applyAlignment="1">
      <alignment horizontal="right" vertical="top" wrapText="1" readingOrder="1"/>
    </xf>
    <xf numFmtId="0" fontId="6" fillId="0" borderId="0" xfId="6" applyFill="1">
      <alignment wrapText="1"/>
    </xf>
    <xf numFmtId="0" fontId="17" fillId="0" borderId="10"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6" fillId="0" borderId="0" xfId="0" applyFont="1" applyFill="1" applyAlignment="1">
      <alignment vertical="center" wrapText="1"/>
    </xf>
    <xf numFmtId="0" fontId="0" fillId="0" borderId="0" xfId="0" applyFill="1" applyAlignment="1">
      <alignment vertical="center" wrapText="1"/>
    </xf>
    <xf numFmtId="0" fontId="4" fillId="0" borderId="9" xfId="0" applyFont="1" applyFill="1" applyBorder="1" applyAlignment="1">
      <alignment horizontal="center" vertical="center" wrapText="1" readingOrder="1"/>
    </xf>
    <xf numFmtId="0" fontId="17" fillId="0" borderId="9" xfId="0" applyFont="1" applyFill="1" applyBorder="1" applyAlignment="1">
      <alignment horizontal="center" vertical="center" wrapText="1"/>
    </xf>
    <xf numFmtId="0" fontId="3" fillId="0" borderId="9" xfId="0" applyFont="1" applyFill="1" applyBorder="1" applyAlignment="1">
      <alignment horizontal="left" vertical="center" wrapText="1" readingOrder="1"/>
    </xf>
    <xf numFmtId="0" fontId="16" fillId="0" borderId="9" xfId="0" applyFont="1" applyFill="1" applyBorder="1" applyAlignment="1">
      <alignment vertical="center" wrapText="1"/>
    </xf>
    <xf numFmtId="0" fontId="16" fillId="0" borderId="9" xfId="0" applyFont="1" applyFill="1" applyBorder="1" applyAlignment="1">
      <alignment horizontal="justify" vertical="center" wrapText="1"/>
    </xf>
    <xf numFmtId="171" fontId="4" fillId="0" borderId="4" xfId="0" applyNumberFormat="1" applyFont="1" applyFill="1" applyBorder="1" applyAlignment="1">
      <alignment horizontal="left" vertical="center" wrapText="1" readingOrder="1"/>
    </xf>
    <xf numFmtId="173" fontId="4" fillId="0" borderId="4" xfId="0" applyNumberFormat="1" applyFont="1" applyFill="1" applyBorder="1" applyAlignment="1">
      <alignment horizontal="left" vertical="center" wrapText="1" readingOrder="1"/>
    </xf>
    <xf numFmtId="173" fontId="4" fillId="0" borderId="4" xfId="0" quotePrefix="1" applyNumberFormat="1" applyFont="1" applyFill="1" applyBorder="1" applyAlignment="1">
      <alignment horizontal="left" vertical="center" wrapText="1" readingOrder="1"/>
    </xf>
    <xf numFmtId="0" fontId="3" fillId="0" borderId="10" xfId="0" applyFont="1" applyFill="1" applyBorder="1" applyAlignment="1">
      <alignment horizontal="left" vertical="center" wrapText="1" readingOrder="1"/>
    </xf>
    <xf numFmtId="0" fontId="3" fillId="0" borderId="11" xfId="0" applyFont="1" applyFill="1" applyBorder="1" applyAlignment="1">
      <alignment horizontal="left" vertical="center" wrapText="1" readingOrder="1"/>
    </xf>
    <xf numFmtId="0" fontId="3" fillId="0" borderId="12" xfId="0" applyFont="1" applyFill="1" applyBorder="1" applyAlignment="1">
      <alignment horizontal="left" vertical="center" wrapText="1" readingOrder="1"/>
    </xf>
    <xf numFmtId="43" fontId="0" fillId="0" borderId="0" xfId="7" applyFont="1" applyFill="1" applyAlignment="1">
      <alignment wrapText="1"/>
    </xf>
    <xf numFmtId="0" fontId="18" fillId="0" borderId="0" xfId="0" applyFont="1" applyFill="1">
      <alignment wrapText="1"/>
    </xf>
    <xf numFmtId="0" fontId="18" fillId="0" borderId="0" xfId="0" applyFont="1" applyFill="1" applyAlignment="1"/>
    <xf numFmtId="0" fontId="0" fillId="0" borderId="0" xfId="0" applyFill="1" applyAlignment="1"/>
    <xf numFmtId="165" fontId="3" fillId="0" borderId="9" xfId="0" applyNumberFormat="1" applyFont="1" applyFill="1" applyBorder="1" applyAlignment="1">
      <alignment horizontal="right" vertical="center" wrapText="1" readingOrder="1"/>
    </xf>
    <xf numFmtId="0" fontId="18" fillId="0" borderId="0" xfId="0" applyFont="1" applyFill="1" applyAlignment="1">
      <alignment horizontal="center" vertical="center" wrapText="1"/>
    </xf>
    <xf numFmtId="0" fontId="16" fillId="0" borderId="0" xfId="0" applyFont="1" applyFill="1">
      <alignment wrapText="1"/>
    </xf>
    <xf numFmtId="168" fontId="3" fillId="0" borderId="4" xfId="0" applyNumberFormat="1" applyFont="1" applyFill="1" applyBorder="1" applyAlignment="1">
      <alignment horizontal="right" vertical="center" wrapText="1" readingOrder="1"/>
    </xf>
    <xf numFmtId="14" fontId="16" fillId="0" borderId="9" xfId="0" quotePrefix="1" applyNumberFormat="1" applyFont="1" applyFill="1" applyBorder="1" applyAlignment="1">
      <alignment horizontal="justify" vertical="center" wrapText="1"/>
    </xf>
    <xf numFmtId="0" fontId="22" fillId="0" borderId="9" xfId="0" applyFont="1" applyFill="1" applyBorder="1" applyAlignment="1">
      <alignment horizontal="left" vertical="top" readingOrder="1"/>
    </xf>
    <xf numFmtId="0" fontId="19" fillId="0" borderId="9" xfId="2" applyFont="1" applyFill="1" applyBorder="1" applyAlignment="1">
      <alignment horizontal="center" vertical="center"/>
    </xf>
    <xf numFmtId="0" fontId="19" fillId="0" borderId="9" xfId="2" applyFont="1" applyFill="1" applyBorder="1" applyAlignment="1">
      <alignment horizontal="center" vertical="center" wrapText="1"/>
    </xf>
    <xf numFmtId="0" fontId="19" fillId="0" borderId="9" xfId="2" applyFont="1" applyFill="1" applyBorder="1" applyAlignment="1">
      <alignment horizontal="center" vertical="center"/>
    </xf>
    <xf numFmtId="0" fontId="6" fillId="0" borderId="0" xfId="6" applyFill="1" applyAlignment="1">
      <alignment vertical="center" wrapText="1"/>
    </xf>
    <xf numFmtId="0" fontId="20" fillId="0" borderId="9" xfId="2" applyFont="1" applyFill="1" applyBorder="1" applyAlignment="1">
      <alignment vertical="center"/>
    </xf>
    <xf numFmtId="0" fontId="20" fillId="0" borderId="9" xfId="2" applyFont="1" applyFill="1" applyBorder="1" applyAlignment="1">
      <alignment wrapText="1"/>
    </xf>
    <xf numFmtId="43" fontId="20" fillId="0" borderId="9" xfId="7" applyFont="1" applyFill="1" applyBorder="1" applyAlignment="1">
      <alignment horizontal="center"/>
    </xf>
    <xf numFmtId="0" fontId="20" fillId="0" borderId="9" xfId="2" applyFont="1" applyFill="1" applyBorder="1"/>
    <xf numFmtId="0" fontId="20" fillId="0" borderId="9" xfId="2" applyFont="1" applyFill="1" applyBorder="1" applyAlignment="1">
      <alignment horizontal="center"/>
    </xf>
    <xf numFmtId="0" fontId="19" fillId="0" borderId="9" xfId="2" applyFont="1" applyFill="1" applyBorder="1" applyAlignment="1">
      <alignment horizontal="center"/>
    </xf>
    <xf numFmtId="0" fontId="19" fillId="0" borderId="9" xfId="2" applyFont="1" applyFill="1" applyBorder="1" applyAlignment="1">
      <alignment horizontal="center" vertical="center" wrapText="1"/>
    </xf>
    <xf numFmtId="4" fontId="20" fillId="0" borderId="9" xfId="2" applyNumberFormat="1" applyFont="1" applyFill="1" applyBorder="1"/>
    <xf numFmtId="2" fontId="20" fillId="0" borderId="9" xfId="2" applyNumberFormat="1" applyFont="1" applyFill="1" applyBorder="1"/>
    <xf numFmtId="4" fontId="6" fillId="0" borderId="9" xfId="6" applyNumberFormat="1" applyFill="1" applyBorder="1">
      <alignment wrapText="1"/>
    </xf>
    <xf numFmtId="0" fontId="22" fillId="0" borderId="0" xfId="0" applyFont="1" applyFill="1" applyAlignment="1"/>
    <xf numFmtId="0" fontId="9" fillId="0" borderId="0" xfId="4" applyFill="1" applyAlignment="1"/>
    <xf numFmtId="0" fontId="7" fillId="0" borderId="0" xfId="11" applyFont="1" applyFill="1" applyAlignment="1">
      <alignment horizontal="center" vertical="center"/>
    </xf>
    <xf numFmtId="0" fontId="1" fillId="0" borderId="0" xfId="11" applyFill="1" applyAlignment="1">
      <alignment wrapText="1"/>
    </xf>
    <xf numFmtId="4" fontId="8" fillId="0" borderId="0" xfId="11" applyNumberFormat="1" applyFont="1" applyFill="1"/>
    <xf numFmtId="0" fontId="30" fillId="0" borderId="0" xfId="11" applyFont="1" applyFill="1" applyAlignment="1">
      <alignment wrapText="1"/>
    </xf>
    <xf numFmtId="0" fontId="17" fillId="0" borderId="10" xfId="0" applyFont="1" applyFill="1" applyBorder="1" applyAlignment="1">
      <alignment horizontal="left" vertical="center" readingOrder="1"/>
    </xf>
    <xf numFmtId="0" fontId="17" fillId="0" borderId="11" xfId="0" applyFont="1" applyFill="1" applyBorder="1" applyAlignment="1">
      <alignment horizontal="left" vertical="center" readingOrder="1"/>
    </xf>
    <xf numFmtId="0" fontId="17" fillId="0" borderId="12" xfId="0" applyFont="1" applyFill="1" applyBorder="1" applyAlignment="1">
      <alignment horizontal="left" vertical="center" readingOrder="1"/>
    </xf>
    <xf numFmtId="0" fontId="31" fillId="0" borderId="9" xfId="11" applyFont="1" applyFill="1" applyBorder="1" applyAlignment="1">
      <alignment horizontal="center" vertical="center"/>
    </xf>
    <xf numFmtId="0" fontId="31" fillId="0" borderId="10" xfId="11" applyFont="1" applyFill="1" applyBorder="1" applyAlignment="1">
      <alignment horizontal="center" vertical="center" wrapText="1"/>
    </xf>
    <xf numFmtId="0" fontId="31" fillId="0" borderId="12" xfId="11" applyFont="1" applyFill="1" applyBorder="1" applyAlignment="1">
      <alignment horizontal="center" vertical="center" wrapText="1"/>
    </xf>
    <xf numFmtId="0" fontId="31" fillId="0" borderId="9" xfId="11" applyFont="1" applyFill="1" applyBorder="1" applyAlignment="1">
      <alignment horizontal="center" vertical="center"/>
    </xf>
    <xf numFmtId="0" fontId="31" fillId="0" borderId="0" xfId="11" applyFont="1" applyFill="1" applyAlignment="1">
      <alignment horizontal="center" vertical="center"/>
    </xf>
    <xf numFmtId="0" fontId="32" fillId="0" borderId="9" xfId="11" applyFont="1" applyFill="1" applyBorder="1" applyAlignment="1">
      <alignment vertical="center"/>
    </xf>
    <xf numFmtId="0" fontId="32" fillId="0" borderId="9" xfId="11" applyFont="1" applyFill="1" applyBorder="1" applyAlignment="1">
      <alignment vertical="center" wrapText="1"/>
    </xf>
    <xf numFmtId="0" fontId="32" fillId="0" borderId="0" xfId="11" applyFont="1" applyFill="1" applyAlignment="1">
      <alignment horizontal="center" vertical="center"/>
    </xf>
    <xf numFmtId="0" fontId="31" fillId="0" borderId="10" xfId="11" applyFont="1" applyFill="1" applyBorder="1" applyAlignment="1">
      <alignment horizontal="center" vertical="center"/>
    </xf>
    <xf numFmtId="0" fontId="31" fillId="0" borderId="11" xfId="11" applyFont="1" applyFill="1" applyBorder="1" applyAlignment="1">
      <alignment horizontal="center" vertical="center"/>
    </xf>
    <xf numFmtId="0" fontId="31" fillId="0" borderId="12" xfId="11" applyFont="1" applyFill="1" applyBorder="1" applyAlignment="1">
      <alignment horizontal="center" vertical="center"/>
    </xf>
    <xf numFmtId="0" fontId="31" fillId="0" borderId="9" xfId="11" applyFont="1" applyFill="1" applyBorder="1" applyAlignment="1">
      <alignment horizontal="center" vertical="center" wrapText="1"/>
    </xf>
    <xf numFmtId="0" fontId="33" fillId="0" borderId="0" xfId="11" applyFont="1" applyFill="1" applyAlignment="1">
      <alignment horizontal="center" vertical="center"/>
    </xf>
    <xf numFmtId="0" fontId="32" fillId="0" borderId="9" xfId="11" applyFont="1" applyFill="1" applyBorder="1" applyAlignment="1">
      <alignment horizontal="left" vertical="center"/>
    </xf>
    <xf numFmtId="4" fontId="32" fillId="0" borderId="9" xfId="11" applyNumberFormat="1" applyFont="1" applyFill="1" applyBorder="1" applyAlignment="1">
      <alignment horizontal="right" vertical="center"/>
    </xf>
    <xf numFmtId="10" fontId="32" fillId="0" borderId="9" xfId="8" applyNumberFormat="1" applyFont="1" applyFill="1" applyBorder="1" applyAlignment="1">
      <alignment vertical="center"/>
    </xf>
    <xf numFmtId="43" fontId="30" fillId="0" borderId="0" xfId="7" applyFont="1" applyFill="1" applyAlignment="1">
      <alignment vertical="center"/>
    </xf>
    <xf numFmtId="0" fontId="32" fillId="0" borderId="10" xfId="11" applyFont="1" applyFill="1" applyBorder="1" applyAlignment="1">
      <alignment horizontal="left" vertical="center" wrapText="1"/>
    </xf>
    <xf numFmtId="0" fontId="32" fillId="0" borderId="11" xfId="11" applyFont="1" applyFill="1" applyBorder="1" applyAlignment="1">
      <alignment horizontal="left" vertical="center" wrapText="1"/>
    </xf>
    <xf numFmtId="0" fontId="32" fillId="0" borderId="12" xfId="11" applyFont="1" applyFill="1" applyBorder="1" applyAlignment="1">
      <alignment horizontal="left" vertical="center" wrapText="1"/>
    </xf>
    <xf numFmtId="43" fontId="32" fillId="0" borderId="0" xfId="7" applyFont="1" applyFill="1" applyAlignment="1">
      <alignment horizontal="center" vertical="center"/>
    </xf>
    <xf numFmtId="10" fontId="0" fillId="0" borderId="0" xfId="1" applyNumberFormat="1" applyFont="1" applyFill="1" applyAlignment="1">
      <alignment wrapText="1"/>
    </xf>
    <xf numFmtId="0" fontId="5" fillId="0" borderId="9" xfId="0" applyFont="1" applyFill="1" applyBorder="1" applyAlignment="1">
      <alignment horizontal="left" vertical="center" wrapText="1" readingOrder="1"/>
    </xf>
    <xf numFmtId="0" fontId="23" fillId="0" borderId="9" xfId="0" applyFont="1" applyFill="1" applyBorder="1">
      <alignment wrapText="1"/>
    </xf>
    <xf numFmtId="0" fontId="5" fillId="0" borderId="9" xfId="0" applyFont="1" applyFill="1" applyBorder="1" applyAlignment="1">
      <alignment horizontal="right" vertical="center" wrapText="1" readingOrder="1"/>
    </xf>
    <xf numFmtId="0" fontId="0" fillId="0" borderId="9" xfId="0" applyFill="1" applyBorder="1">
      <alignment wrapText="1"/>
    </xf>
    <xf numFmtId="0" fontId="24" fillId="0" borderId="9" xfId="0" applyFont="1" applyFill="1" applyBorder="1">
      <alignment wrapText="1"/>
    </xf>
    <xf numFmtId="167" fontId="3" fillId="0" borderId="9" xfId="0" applyNumberFormat="1" applyFont="1" applyFill="1" applyBorder="1" applyAlignment="1">
      <alignment horizontal="right" vertical="center" wrapText="1" readingOrder="1"/>
    </xf>
    <xf numFmtId="164" fontId="3" fillId="0" borderId="9" xfId="0" applyNumberFormat="1" applyFont="1" applyFill="1" applyBorder="1" applyAlignment="1">
      <alignment horizontal="right" vertical="center" wrapText="1" readingOrder="1"/>
    </xf>
    <xf numFmtId="0" fontId="3" fillId="0" borderId="0" xfId="0" applyFont="1" applyFill="1" applyAlignment="1">
      <alignment horizontal="justify" vertical="top" wrapText="1" readingOrder="1"/>
    </xf>
    <xf numFmtId="0" fontId="22" fillId="0" borderId="0" xfId="10" applyFont="1" applyFill="1"/>
    <xf numFmtId="0" fontId="0" fillId="0" borderId="0" xfId="0" applyFill="1" applyAlignment="1">
      <alignment horizontal="center" vertical="center"/>
    </xf>
    <xf numFmtId="0" fontId="25" fillId="0" borderId="7" xfId="0" applyFont="1" applyFill="1" applyBorder="1" applyAlignment="1">
      <alignment horizontal="center" vertical="center" wrapText="1"/>
    </xf>
    <xf numFmtId="0" fontId="26" fillId="0" borderId="7" xfId="0" applyFont="1" applyFill="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Fill="1" applyAlignment="1">
      <alignment vertical="center"/>
    </xf>
    <xf numFmtId="0" fontId="27" fillId="0" borderId="7" xfId="0" applyFont="1" applyFill="1" applyBorder="1" applyAlignment="1">
      <alignment vertical="center"/>
    </xf>
    <xf numFmtId="0" fontId="28" fillId="0" borderId="7" xfId="0" applyFont="1" applyFill="1" applyBorder="1" applyAlignment="1">
      <alignment vertical="center" wrapText="1"/>
    </xf>
    <xf numFmtId="0" fontId="28" fillId="0" borderId="7" xfId="0" applyFont="1" applyFill="1" applyBorder="1" applyAlignment="1">
      <alignment vertical="center"/>
    </xf>
    <xf numFmtId="43" fontId="27" fillId="0" borderId="7" xfId="7" applyFont="1" applyFill="1" applyBorder="1" applyAlignment="1">
      <alignment vertical="center"/>
    </xf>
    <xf numFmtId="175" fontId="27" fillId="0" borderId="7" xfId="0" applyNumberFormat="1" applyFont="1" applyFill="1" applyBorder="1" applyAlignment="1">
      <alignment vertical="center"/>
    </xf>
    <xf numFmtId="10" fontId="0" fillId="0" borderId="0" xfId="1" applyNumberFormat="1" applyFont="1" applyFill="1" applyAlignment="1">
      <alignment vertical="center" wrapText="1"/>
    </xf>
    <xf numFmtId="10" fontId="29" fillId="0" borderId="0" xfId="1" applyNumberFormat="1" applyFont="1" applyFill="1" applyAlignment="1"/>
    <xf numFmtId="0" fontId="29" fillId="0" borderId="0" xfId="0" applyFont="1" applyFill="1" applyAlignment="1"/>
    <xf numFmtId="0" fontId="17" fillId="0" borderId="0" xfId="0" applyFont="1" applyFill="1" applyAlignment="1">
      <alignment vertical="center" readingOrder="1"/>
    </xf>
    <xf numFmtId="0" fontId="19" fillId="0" borderId="18" xfId="2" applyFont="1" applyFill="1" applyBorder="1" applyAlignment="1">
      <alignment horizontal="center" vertical="center"/>
    </xf>
    <xf numFmtId="0" fontId="19" fillId="0" borderId="19" xfId="2" applyFont="1" applyFill="1" applyBorder="1" applyAlignment="1">
      <alignment horizontal="center" vertical="center"/>
    </xf>
    <xf numFmtId="0" fontId="19" fillId="0" borderId="20" xfId="2" applyFont="1" applyFill="1" applyBorder="1" applyAlignment="1">
      <alignment horizontal="center" vertical="center"/>
    </xf>
    <xf numFmtId="0" fontId="19" fillId="0" borderId="21" xfId="2" applyFont="1" applyFill="1" applyBorder="1" applyAlignment="1">
      <alignment horizontal="center" vertical="center"/>
    </xf>
    <xf numFmtId="0" fontId="19" fillId="0" borderId="19" xfId="2" applyFont="1" applyFill="1" applyBorder="1" applyAlignment="1">
      <alignment horizontal="center" vertical="center" wrapText="1"/>
    </xf>
    <xf numFmtId="0" fontId="19" fillId="0" borderId="20" xfId="2" applyFont="1" applyFill="1" applyBorder="1" applyAlignment="1">
      <alignment horizontal="center" vertical="center" wrapText="1"/>
    </xf>
    <xf numFmtId="0" fontId="19" fillId="0" borderId="21" xfId="2" applyFont="1" applyFill="1" applyBorder="1" applyAlignment="1">
      <alignment horizontal="center" vertical="center" wrapText="1"/>
    </xf>
    <xf numFmtId="0" fontId="19" fillId="0" borderId="15" xfId="2" applyFont="1" applyFill="1" applyBorder="1" applyAlignment="1">
      <alignment horizontal="center" vertical="center"/>
    </xf>
    <xf numFmtId="0" fontId="19" fillId="0" borderId="18" xfId="2" applyFont="1" applyFill="1" applyBorder="1" applyAlignment="1">
      <alignment horizontal="center" vertical="center" wrapText="1"/>
    </xf>
    <xf numFmtId="0" fontId="19" fillId="0" borderId="16" xfId="2" applyFont="1" applyFill="1" applyBorder="1" applyAlignment="1">
      <alignment horizontal="center" vertical="center" wrapText="1"/>
    </xf>
    <xf numFmtId="0" fontId="19" fillId="0" borderId="17" xfId="2" applyFont="1" applyFill="1" applyBorder="1" applyAlignment="1">
      <alignment horizontal="center" vertical="center" wrapText="1"/>
    </xf>
    <xf numFmtId="0" fontId="19" fillId="0" borderId="8" xfId="2" applyFont="1" applyFill="1" applyBorder="1" applyAlignment="1">
      <alignment horizontal="center" vertical="center"/>
    </xf>
    <xf numFmtId="0" fontId="19" fillId="0" borderId="8" xfId="2" applyFont="1" applyFill="1" applyBorder="1" applyAlignment="1">
      <alignment horizontal="center" vertical="center" wrapText="1"/>
    </xf>
    <xf numFmtId="0" fontId="19" fillId="0" borderId="7" xfId="2" applyFont="1" applyFill="1" applyBorder="1" applyAlignment="1">
      <alignment horizontal="center" vertical="center" wrapText="1"/>
    </xf>
    <xf numFmtId="0" fontId="20" fillId="0" borderId="7" xfId="2" applyFont="1" applyFill="1" applyBorder="1"/>
    <xf numFmtId="0" fontId="20" fillId="0" borderId="7" xfId="2" applyFont="1" applyFill="1" applyBorder="1" applyAlignment="1">
      <alignment wrapText="1"/>
    </xf>
    <xf numFmtId="4" fontId="16" fillId="0" borderId="7" xfId="0" applyNumberFormat="1" applyFont="1" applyFill="1" applyBorder="1" applyAlignment="1">
      <alignment vertical="center"/>
    </xf>
    <xf numFmtId="174" fontId="20" fillId="0" borderId="7" xfId="2" applyNumberFormat="1" applyFont="1" applyFill="1" applyBorder="1"/>
    <xf numFmtId="0" fontId="20" fillId="0" borderId="0" xfId="2" applyFont="1" applyFill="1"/>
    <xf numFmtId="0" fontId="20" fillId="0" borderId="0" xfId="2" applyFont="1" applyFill="1" applyAlignment="1">
      <alignment wrapText="1"/>
    </xf>
    <xf numFmtId="4" fontId="16" fillId="0" borderId="0" xfId="0" applyNumberFormat="1" applyFont="1" applyFill="1" applyAlignment="1">
      <alignment vertical="center"/>
    </xf>
    <xf numFmtId="174" fontId="20" fillId="0" borderId="0" xfId="2" applyNumberFormat="1" applyFont="1" applyFill="1"/>
    <xf numFmtId="0" fontId="20" fillId="0" borderId="0" xfId="2" applyFont="1" applyFill="1" applyAlignment="1">
      <alignment horizontal="left" vertical="center" wrapText="1"/>
    </xf>
    <xf numFmtId="0" fontId="20" fillId="0" borderId="0" xfId="2" applyFont="1" applyFill="1" applyAlignment="1">
      <alignment vertical="center" wrapText="1"/>
    </xf>
    <xf numFmtId="0" fontId="17" fillId="0" borderId="19" xfId="0" applyFont="1" applyFill="1" applyBorder="1" applyAlignment="1">
      <alignment horizontal="center" vertical="center"/>
    </xf>
    <xf numFmtId="0" fontId="17" fillId="0" borderId="20" xfId="0" applyFont="1" applyFill="1" applyBorder="1" applyAlignment="1">
      <alignment horizontal="center" vertical="center"/>
    </xf>
    <xf numFmtId="0" fontId="17" fillId="0" borderId="21" xfId="0" applyFont="1" applyFill="1" applyBorder="1" applyAlignment="1">
      <alignment horizontal="center" vertical="center"/>
    </xf>
    <xf numFmtId="0" fontId="4" fillId="0" borderId="7" xfId="0" applyFont="1" applyFill="1" applyBorder="1" applyAlignment="1">
      <alignment horizontal="center" vertical="center" wrapText="1" readingOrder="1"/>
    </xf>
    <xf numFmtId="0" fontId="17" fillId="0" borderId="7" xfId="0" applyFont="1" applyFill="1" applyBorder="1" applyAlignment="1">
      <alignment horizontal="center" vertical="center" wrapText="1"/>
    </xf>
    <xf numFmtId="0" fontId="3" fillId="0" borderId="7" xfId="0" applyFont="1" applyFill="1" applyBorder="1" applyAlignment="1">
      <alignment horizontal="left" vertical="center" wrapText="1" readingOrder="1"/>
    </xf>
    <xf numFmtId="0" fontId="16" fillId="0" borderId="7" xfId="0" applyFont="1" applyFill="1" applyBorder="1" applyAlignment="1">
      <alignment vertical="center" wrapText="1"/>
    </xf>
    <xf numFmtId="0" fontId="16" fillId="0" borderId="7" xfId="0" applyFont="1" applyFill="1" applyBorder="1" applyAlignment="1">
      <alignment horizontal="justify" vertical="center" wrapText="1"/>
    </xf>
    <xf numFmtId="0" fontId="22" fillId="0" borderId="0" xfId="0" applyFont="1" applyFill="1" applyAlignment="1">
      <alignment horizontal="left" vertical="top" readingOrder="1"/>
    </xf>
    <xf numFmtId="0" fontId="22" fillId="0" borderId="0" xfId="0" applyFont="1" applyFill="1" applyAlignment="1">
      <alignment horizontal="left" vertical="top" readingOrder="1"/>
    </xf>
    <xf numFmtId="0" fontId="19" fillId="0" borderId="9" xfId="2" applyFont="1" applyFill="1" applyBorder="1" applyAlignment="1">
      <alignment horizontal="center"/>
    </xf>
    <xf numFmtId="0" fontId="19" fillId="0" borderId="10" xfId="2" applyFont="1" applyFill="1" applyBorder="1" applyAlignment="1">
      <alignment horizontal="center" wrapText="1"/>
    </xf>
    <xf numFmtId="0" fontId="19" fillId="0" borderId="11" xfId="2" applyFont="1" applyFill="1" applyBorder="1" applyAlignment="1">
      <alignment horizontal="center" wrapText="1"/>
    </xf>
    <xf numFmtId="0" fontId="19" fillId="0" borderId="12" xfId="2" applyFont="1" applyFill="1" applyBorder="1" applyAlignment="1">
      <alignment horizontal="center" wrapText="1"/>
    </xf>
    <xf numFmtId="0" fontId="19" fillId="0" borderId="10" xfId="2" applyFont="1" applyFill="1" applyBorder="1" applyAlignment="1">
      <alignment horizontal="center"/>
    </xf>
    <xf numFmtId="0" fontId="19" fillId="0" borderId="12" xfId="2" applyFont="1" applyFill="1" applyBorder="1" applyAlignment="1">
      <alignment horizontal="center"/>
    </xf>
    <xf numFmtId="43" fontId="20" fillId="0" borderId="10" xfId="7" applyFont="1" applyFill="1" applyBorder="1" applyAlignment="1">
      <alignment horizontal="center"/>
    </xf>
    <xf numFmtId="43" fontId="20" fillId="0" borderId="11" xfId="7" applyFont="1" applyFill="1" applyBorder="1" applyAlignment="1">
      <alignment horizontal="center"/>
    </xf>
    <xf numFmtId="43" fontId="20" fillId="0" borderId="12" xfId="7" applyFont="1" applyFill="1" applyBorder="1" applyAlignment="1">
      <alignment horizontal="center"/>
    </xf>
    <xf numFmtId="0" fontId="20" fillId="0" borderId="0" xfId="2" applyFont="1" applyFill="1" applyAlignment="1">
      <alignment horizontal="center"/>
    </xf>
    <xf numFmtId="0" fontId="19" fillId="0" borderId="0" xfId="2" applyFont="1" applyFill="1" applyAlignment="1">
      <alignment horizontal="center"/>
    </xf>
    <xf numFmtId="43" fontId="20" fillId="0" borderId="9" xfId="7" applyFont="1" applyFill="1" applyBorder="1"/>
    <xf numFmtId="174" fontId="20" fillId="0" borderId="9" xfId="2" applyNumberFormat="1" applyFont="1" applyFill="1" applyBorder="1"/>
    <xf numFmtId="4" fontId="20" fillId="0" borderId="0" xfId="2" applyNumberFormat="1" applyFont="1" applyFill="1"/>
    <xf numFmtId="0" fontId="3" fillId="0" borderId="0" xfId="0" quotePrefix="1" applyFont="1" applyFill="1" applyAlignment="1">
      <alignment horizontal="left" vertical="center" wrapText="1" readingOrder="1"/>
    </xf>
    <xf numFmtId="0" fontId="19" fillId="0" borderId="14" xfId="2" applyFont="1" applyFill="1" applyBorder="1" applyAlignment="1">
      <alignment horizontal="center" vertical="center"/>
    </xf>
    <xf numFmtId="0" fontId="19" fillId="0" borderId="10" xfId="2" applyFont="1" applyFill="1" applyBorder="1" applyAlignment="1">
      <alignment horizontal="center" vertical="center"/>
    </xf>
    <xf numFmtId="0" fontId="19" fillId="0" borderId="11" xfId="2" applyFont="1" applyFill="1" applyBorder="1" applyAlignment="1">
      <alignment horizontal="center" vertical="center"/>
    </xf>
    <xf numFmtId="0" fontId="19" fillId="0" borderId="12" xfId="2" applyFont="1" applyFill="1" applyBorder="1" applyAlignment="1">
      <alignment horizontal="center" vertical="center"/>
    </xf>
    <xf numFmtId="0" fontId="19" fillId="0" borderId="10" xfId="2" applyFont="1" applyFill="1" applyBorder="1" applyAlignment="1">
      <alignment horizontal="center" vertical="center" wrapText="1"/>
    </xf>
    <xf numFmtId="0" fontId="19" fillId="0" borderId="11" xfId="2" applyFont="1" applyFill="1" applyBorder="1" applyAlignment="1">
      <alignment horizontal="center" vertical="center" wrapText="1"/>
    </xf>
    <xf numFmtId="0" fontId="19" fillId="0" borderId="12" xfId="2" applyFont="1" applyFill="1" applyBorder="1" applyAlignment="1">
      <alignment horizontal="center" vertical="center" wrapText="1"/>
    </xf>
    <xf numFmtId="0" fontId="19" fillId="0" borderId="14" xfId="2" applyFont="1" applyFill="1" applyBorder="1" applyAlignment="1">
      <alignment horizontal="center" vertical="center" wrapText="1"/>
    </xf>
    <xf numFmtId="4" fontId="16" fillId="0" borderId="9" xfId="0" applyNumberFormat="1" applyFont="1" applyFill="1" applyBorder="1" applyAlignment="1">
      <alignment vertical="center"/>
    </xf>
    <xf numFmtId="0" fontId="4" fillId="0" borderId="0" xfId="0" applyFont="1" applyFill="1" applyAlignment="1">
      <alignment horizontal="left" vertical="center" wrapText="1" readingOrder="1"/>
    </xf>
    <xf numFmtId="0" fontId="19" fillId="0" borderId="9" xfId="2" applyFont="1" applyFill="1" applyBorder="1" applyAlignment="1">
      <alignment horizontal="center" wrapText="1"/>
    </xf>
    <xf numFmtId="0" fontId="20" fillId="0" borderId="0" xfId="2" applyFont="1" applyFill="1" applyAlignment="1">
      <alignment horizontal="justify" vertical="center" wrapText="1"/>
    </xf>
    <xf numFmtId="0" fontId="5" fillId="0" borderId="0" xfId="6" applyFont="1" applyFill="1" applyAlignment="1">
      <alignment horizontal="left" vertical="center" wrapText="1" readingOrder="1"/>
    </xf>
    <xf numFmtId="0" fontId="3" fillId="0" borderId="0" xfId="6" quotePrefix="1" applyFont="1" applyFill="1" applyAlignment="1">
      <alignment horizontal="left" vertical="center" wrapText="1" readingOrder="1"/>
    </xf>
    <xf numFmtId="0" fontId="3" fillId="0" borderId="0" xfId="6" applyFont="1" applyFill="1" applyAlignment="1">
      <alignment horizontal="left" vertical="center" wrapText="1" readingOrder="1"/>
    </xf>
    <xf numFmtId="0" fontId="4" fillId="0" borderId="10" xfId="0" applyFont="1" applyFill="1" applyBorder="1" applyAlignment="1">
      <alignment horizontal="center" vertical="center" wrapText="1" readingOrder="1"/>
    </xf>
    <xf numFmtId="0" fontId="4" fillId="0" borderId="12" xfId="0" applyFont="1" applyFill="1" applyBorder="1" applyAlignment="1">
      <alignment horizontal="center" vertical="center" wrapText="1" readingOrder="1"/>
    </xf>
    <xf numFmtId="0" fontId="3" fillId="0" borderId="13" xfId="0" applyFont="1" applyFill="1" applyBorder="1" applyAlignment="1">
      <alignment horizontal="left" vertical="center" wrapText="1" readingOrder="1"/>
    </xf>
  </cellXfs>
  <cellStyles count="12">
    <cellStyle name="Comma 2" xfId="7" xr:uid="{4D78AD79-DC2F-49F9-AAFA-1361A8DD5021}"/>
    <cellStyle name="Comma 2 2" xfId="9" xr:uid="{E287B7A2-B601-4D63-83B0-4F328E696321}"/>
    <cellStyle name="Comma 3" xfId="5" xr:uid="{5EF7166B-A775-468C-BAF1-04D84B6B9EC0}"/>
    <cellStyle name="Hyperlink 2" xfId="4" xr:uid="{8AAAA8B9-8168-402B-AF6F-9E2E3C3A28EF}"/>
    <cellStyle name="Normal" xfId="0" builtinId="0"/>
    <cellStyle name="Normal 2 2 2" xfId="2" xr:uid="{2E40E383-390C-4F6B-82F1-6B66E39995F8}"/>
    <cellStyle name="Normal 2 2 3" xfId="11" xr:uid="{8D1A0999-0525-4EB6-A452-55A6317EFB52}"/>
    <cellStyle name="Normal 2 3" xfId="3" xr:uid="{09601B28-F3B9-4ED2-8699-C088F93BDD8A}"/>
    <cellStyle name="Normal 3" xfId="6" xr:uid="{E38B60EB-6B5D-4244-B5AC-BC8ACA887BC6}"/>
    <cellStyle name="Normal 4" xfId="10" xr:uid="{60A57C6E-4366-46DA-B28F-25E1E8E8352C}"/>
    <cellStyle name="Percent" xfId="1" builtinId="5"/>
    <cellStyle name="Percent 2" xfId="8" xr:uid="{6FB0566E-D3AA-474D-9BEB-E550A881B6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2</xdr:col>
      <xdr:colOff>1389823</xdr:colOff>
      <xdr:row>149</xdr:row>
      <xdr:rowOff>27375</xdr:rowOff>
    </xdr:to>
    <xdr:pic>
      <xdr:nvPicPr>
        <xdr:cNvPr id="8" name="Picture 7">
          <a:extLst>
            <a:ext uri="{FF2B5EF4-FFF2-40B4-BE49-F238E27FC236}">
              <a16:creationId xmlns:a16="http://schemas.microsoft.com/office/drawing/2014/main" id="{98B61CA7-1FCF-4D1C-B988-78B615ABC8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1368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153</xdr:row>
      <xdr:rowOff>180976</xdr:rowOff>
    </xdr:from>
    <xdr:to>
      <xdr:col>2</xdr:col>
      <xdr:colOff>1729290</xdr:colOff>
      <xdr:row>154</xdr:row>
      <xdr:rowOff>65476</xdr:rowOff>
    </xdr:to>
    <xdr:pic>
      <xdr:nvPicPr>
        <xdr:cNvPr id="9" name="Picture 8">
          <a:extLst>
            <a:ext uri="{FF2B5EF4-FFF2-40B4-BE49-F238E27FC236}">
              <a16:creationId xmlns:a16="http://schemas.microsoft.com/office/drawing/2014/main" id="{3945CDA3-2884-448B-984D-C7341E8853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6" y="309181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2047048</xdr:colOff>
      <xdr:row>142</xdr:row>
      <xdr:rowOff>1980000</xdr:rowOff>
    </xdr:to>
    <xdr:pic>
      <xdr:nvPicPr>
        <xdr:cNvPr id="4" name="Picture 3">
          <a:extLst>
            <a:ext uri="{FF2B5EF4-FFF2-40B4-BE49-F238E27FC236}">
              <a16:creationId xmlns:a16="http://schemas.microsoft.com/office/drawing/2014/main" id="{2FDAA5DD-8C77-4E0B-8032-336F28F6E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251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147</xdr:row>
      <xdr:rowOff>0</xdr:rowOff>
    </xdr:from>
    <xdr:to>
      <xdr:col>2</xdr:col>
      <xdr:colOff>2162176</xdr:colOff>
      <xdr:row>159</xdr:row>
      <xdr:rowOff>36900</xdr:rowOff>
    </xdr:to>
    <xdr:pic>
      <xdr:nvPicPr>
        <xdr:cNvPr id="5" name="Picture 4">
          <a:extLst>
            <a:ext uri="{FF2B5EF4-FFF2-40B4-BE49-F238E27FC236}">
              <a16:creationId xmlns:a16="http://schemas.microsoft.com/office/drawing/2014/main" id="{D6B68B17-B29F-4E53-A597-80FF4E7119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1" y="33851850"/>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66675</xdr:colOff>
      <xdr:row>154</xdr:row>
      <xdr:rowOff>104775</xdr:rowOff>
    </xdr:from>
    <xdr:to>
      <xdr:col>2</xdr:col>
      <xdr:colOff>1843589</xdr:colOff>
      <xdr:row>155</xdr:row>
      <xdr:rowOff>1922850</xdr:rowOff>
    </xdr:to>
    <xdr:pic>
      <xdr:nvPicPr>
        <xdr:cNvPr id="4" name="Picture 3">
          <a:extLst>
            <a:ext uri="{FF2B5EF4-FFF2-40B4-BE49-F238E27FC236}">
              <a16:creationId xmlns:a16="http://schemas.microsoft.com/office/drawing/2014/main" id="{F00936D6-6D48-4503-B118-AC038D271A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594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149</xdr:row>
      <xdr:rowOff>0</xdr:rowOff>
    </xdr:from>
    <xdr:to>
      <xdr:col>2</xdr:col>
      <xdr:colOff>1795964</xdr:colOff>
      <xdr:row>150</xdr:row>
      <xdr:rowOff>27375</xdr:rowOff>
    </xdr:to>
    <xdr:pic>
      <xdr:nvPicPr>
        <xdr:cNvPr id="5" name="Picture 4">
          <a:extLst>
            <a:ext uri="{FF2B5EF4-FFF2-40B4-BE49-F238E27FC236}">
              <a16:creationId xmlns:a16="http://schemas.microsoft.com/office/drawing/2014/main" id="{ED67F78A-10B0-4724-AF8A-0F7D8C2553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9575" y="27889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183</xdr:row>
      <xdr:rowOff>114300</xdr:rowOff>
    </xdr:from>
    <xdr:to>
      <xdr:col>2</xdr:col>
      <xdr:colOff>1900739</xdr:colOff>
      <xdr:row>183</xdr:row>
      <xdr:rowOff>2094300</xdr:rowOff>
    </xdr:to>
    <xdr:pic>
      <xdr:nvPicPr>
        <xdr:cNvPr id="4" name="Picture 3">
          <a:extLst>
            <a:ext uri="{FF2B5EF4-FFF2-40B4-BE49-F238E27FC236}">
              <a16:creationId xmlns:a16="http://schemas.microsoft.com/office/drawing/2014/main" id="{4E59CF0A-9FC7-409B-9211-960225C32E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557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178</xdr:row>
      <xdr:rowOff>0</xdr:rowOff>
    </xdr:from>
    <xdr:to>
      <xdr:col>2</xdr:col>
      <xdr:colOff>1876425</xdr:colOff>
      <xdr:row>179</xdr:row>
      <xdr:rowOff>27375</xdr:rowOff>
    </xdr:to>
    <xdr:pic>
      <xdr:nvPicPr>
        <xdr:cNvPr id="5" name="Picture 4">
          <a:extLst>
            <a:ext uri="{FF2B5EF4-FFF2-40B4-BE49-F238E27FC236}">
              <a16:creationId xmlns:a16="http://schemas.microsoft.com/office/drawing/2014/main" id="{2E136DD3-55E6-4A31-8941-7390843A26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100" y="35842575"/>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1891214</xdr:colOff>
      <xdr:row>203</xdr:row>
      <xdr:rowOff>27375</xdr:rowOff>
    </xdr:to>
    <xdr:pic>
      <xdr:nvPicPr>
        <xdr:cNvPr id="4" name="Picture 3">
          <a:extLst>
            <a:ext uri="{FF2B5EF4-FFF2-40B4-BE49-F238E27FC236}">
              <a16:creationId xmlns:a16="http://schemas.microsoft.com/office/drawing/2014/main" id="{83CE435F-7B44-4F7B-A4AD-D437C1523D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690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2</xdr:col>
      <xdr:colOff>1891214</xdr:colOff>
      <xdr:row>207</xdr:row>
      <xdr:rowOff>1980000</xdr:rowOff>
    </xdr:to>
    <xdr:pic>
      <xdr:nvPicPr>
        <xdr:cNvPr id="5" name="Picture 4">
          <a:extLst>
            <a:ext uri="{FF2B5EF4-FFF2-40B4-BE49-F238E27FC236}">
              <a16:creationId xmlns:a16="http://schemas.microsoft.com/office/drawing/2014/main" id="{00D88EAB-1A3D-4B7C-AE8A-0A6F5F62E5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291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390524</xdr:colOff>
      <xdr:row>169</xdr:row>
      <xdr:rowOff>0</xdr:rowOff>
    </xdr:from>
    <xdr:to>
      <xdr:col>2</xdr:col>
      <xdr:colOff>2047874</xdr:colOff>
      <xdr:row>170</xdr:row>
      <xdr:rowOff>27375</xdr:rowOff>
    </xdr:to>
    <xdr:pic>
      <xdr:nvPicPr>
        <xdr:cNvPr id="4" name="Picture 3">
          <a:extLst>
            <a:ext uri="{FF2B5EF4-FFF2-40B4-BE49-F238E27FC236}">
              <a16:creationId xmlns:a16="http://schemas.microsoft.com/office/drawing/2014/main" id="{0E2EA608-BAF7-4DE5-9C2D-7945CC72FD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4" y="32785050"/>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2</xdr:col>
      <xdr:colOff>2053139</xdr:colOff>
      <xdr:row>174</xdr:row>
      <xdr:rowOff>1980000</xdr:rowOff>
    </xdr:to>
    <xdr:pic>
      <xdr:nvPicPr>
        <xdr:cNvPr id="5" name="Picture 4">
          <a:extLst>
            <a:ext uri="{FF2B5EF4-FFF2-40B4-BE49-F238E27FC236}">
              <a16:creationId xmlns:a16="http://schemas.microsoft.com/office/drawing/2014/main" id="{8038A4F6-B156-4AD3-8147-9FB7E34FE9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385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1967414</xdr:colOff>
      <xdr:row>204</xdr:row>
      <xdr:rowOff>1980000</xdr:rowOff>
    </xdr:to>
    <xdr:pic>
      <xdr:nvPicPr>
        <xdr:cNvPr id="4" name="Picture 3">
          <a:extLst>
            <a:ext uri="{FF2B5EF4-FFF2-40B4-BE49-F238E27FC236}">
              <a16:creationId xmlns:a16="http://schemas.microsoft.com/office/drawing/2014/main" id="{96507FC3-31D1-41BE-84D2-F0A27F18AB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776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2</xdr:col>
      <xdr:colOff>1685098</xdr:colOff>
      <xdr:row>199</xdr:row>
      <xdr:rowOff>27375</xdr:rowOff>
    </xdr:to>
    <xdr:pic>
      <xdr:nvPicPr>
        <xdr:cNvPr id="5" name="Picture 4">
          <a:extLst>
            <a:ext uri="{FF2B5EF4-FFF2-40B4-BE49-F238E27FC236}">
              <a16:creationId xmlns:a16="http://schemas.microsoft.com/office/drawing/2014/main" id="{D307A56D-EB6F-45E2-B2FA-11ED473A85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8524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1809749</xdr:colOff>
      <xdr:row>133</xdr:row>
      <xdr:rowOff>27375</xdr:rowOff>
    </xdr:to>
    <xdr:pic>
      <xdr:nvPicPr>
        <xdr:cNvPr id="4" name="Picture 3">
          <a:extLst>
            <a:ext uri="{FF2B5EF4-FFF2-40B4-BE49-F238E27FC236}">
              <a16:creationId xmlns:a16="http://schemas.microsoft.com/office/drawing/2014/main" id="{8ADA12D3-CC2D-47C6-8B94-3D20371FFF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7365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1771649</xdr:colOff>
      <xdr:row>137</xdr:row>
      <xdr:rowOff>2018101</xdr:rowOff>
    </xdr:to>
    <xdr:pic>
      <xdr:nvPicPr>
        <xdr:cNvPr id="5" name="Picture 4">
          <a:extLst>
            <a:ext uri="{FF2B5EF4-FFF2-40B4-BE49-F238E27FC236}">
              <a16:creationId xmlns:a16="http://schemas.microsoft.com/office/drawing/2014/main" id="{F3E585A8-A77D-4748-B756-BC84FC71F1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837497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2000250</xdr:colOff>
      <xdr:row>159</xdr:row>
      <xdr:rowOff>28576</xdr:rowOff>
    </xdr:to>
    <xdr:pic>
      <xdr:nvPicPr>
        <xdr:cNvPr id="4" name="Picture 3">
          <a:extLst>
            <a:ext uri="{FF2B5EF4-FFF2-40B4-BE49-F238E27FC236}">
              <a16:creationId xmlns:a16="http://schemas.microsoft.com/office/drawing/2014/main" id="{462574ED-9743-4226-840B-F39CBFD285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0991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2019300</xdr:colOff>
      <xdr:row>163</xdr:row>
      <xdr:rowOff>1980000</xdr:rowOff>
    </xdr:to>
    <xdr:pic>
      <xdr:nvPicPr>
        <xdr:cNvPr id="5" name="Picture 4">
          <a:extLst>
            <a:ext uri="{FF2B5EF4-FFF2-40B4-BE49-F238E27FC236}">
              <a16:creationId xmlns:a16="http://schemas.microsoft.com/office/drawing/2014/main" id="{53314DD4-7162-4F17-A63B-A4F7721A68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99450"/>
          <a:ext cx="34671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114</xdr:row>
      <xdr:rowOff>161924</xdr:rowOff>
    </xdr:from>
    <xdr:to>
      <xdr:col>2</xdr:col>
      <xdr:colOff>2065048</xdr:colOff>
      <xdr:row>115</xdr:row>
      <xdr:rowOff>1979999</xdr:rowOff>
    </xdr:to>
    <xdr:pic>
      <xdr:nvPicPr>
        <xdr:cNvPr id="4" name="Picture 3">
          <a:extLst>
            <a:ext uri="{FF2B5EF4-FFF2-40B4-BE49-F238E27FC236}">
              <a16:creationId xmlns:a16="http://schemas.microsoft.com/office/drawing/2014/main" id="{5D150240-3E63-4B10-81C5-0FA432AA64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62174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xdr:row>
      <xdr:rowOff>0</xdr:rowOff>
    </xdr:from>
    <xdr:to>
      <xdr:col>2</xdr:col>
      <xdr:colOff>1987425</xdr:colOff>
      <xdr:row>111</xdr:row>
      <xdr:rowOff>25899</xdr:rowOff>
    </xdr:to>
    <xdr:pic>
      <xdr:nvPicPr>
        <xdr:cNvPr id="5" name="Picture 4">
          <a:extLst>
            <a:ext uri="{FF2B5EF4-FFF2-40B4-BE49-F238E27FC236}">
              <a16:creationId xmlns:a16="http://schemas.microsoft.com/office/drawing/2014/main" id="{95D9F5FA-96C1-45FD-8E32-2F4EDD9D95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02142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5F3C-321C-4130-AEFF-34848B13EEE7}">
  <dimension ref="A1:C11"/>
  <sheetViews>
    <sheetView tabSelected="1" workbookViewId="0">
      <selection activeCell="B2" sqref="B2"/>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551</v>
      </c>
      <c r="B1" s="2" t="s">
        <v>552</v>
      </c>
      <c r="C1" s="2" t="s">
        <v>553</v>
      </c>
    </row>
    <row r="2" spans="1:3" x14ac:dyDescent="0.25">
      <c r="A2" s="4">
        <v>1</v>
      </c>
      <c r="B2" s="5" t="s">
        <v>554</v>
      </c>
      <c r="C2" s="6" t="s">
        <v>1</v>
      </c>
    </row>
    <row r="3" spans="1:3" x14ac:dyDescent="0.25">
      <c r="A3" s="4">
        <v>2</v>
      </c>
      <c r="B3" s="5" t="s">
        <v>555</v>
      </c>
      <c r="C3" s="6" t="s">
        <v>120</v>
      </c>
    </row>
    <row r="4" spans="1:3" x14ac:dyDescent="0.25">
      <c r="A4" s="4">
        <v>3</v>
      </c>
      <c r="B4" s="5" t="s">
        <v>556</v>
      </c>
      <c r="C4" s="6" t="s">
        <v>156</v>
      </c>
    </row>
    <row r="5" spans="1:3" x14ac:dyDescent="0.25">
      <c r="A5" s="4">
        <v>4</v>
      </c>
      <c r="B5" s="5" t="s">
        <v>557</v>
      </c>
      <c r="C5" s="6" t="s">
        <v>228</v>
      </c>
    </row>
    <row r="6" spans="1:3" x14ac:dyDescent="0.25">
      <c r="A6" s="4">
        <v>5</v>
      </c>
      <c r="B6" s="5" t="s">
        <v>558</v>
      </c>
      <c r="C6" s="6" t="s">
        <v>277</v>
      </c>
    </row>
    <row r="7" spans="1:3" x14ac:dyDescent="0.25">
      <c r="A7" s="4">
        <v>6</v>
      </c>
      <c r="B7" s="5" t="s">
        <v>559</v>
      </c>
      <c r="C7" s="6" t="s">
        <v>422</v>
      </c>
    </row>
    <row r="8" spans="1:3" x14ac:dyDescent="0.25">
      <c r="A8" s="4">
        <v>7</v>
      </c>
      <c r="B8" s="5" t="s">
        <v>560</v>
      </c>
      <c r="C8" s="6" t="s">
        <v>435</v>
      </c>
    </row>
    <row r="9" spans="1:3" x14ac:dyDescent="0.25">
      <c r="A9" s="4">
        <v>8</v>
      </c>
      <c r="B9" s="5" t="s">
        <v>561</v>
      </c>
      <c r="C9" s="6" t="s">
        <v>481</v>
      </c>
    </row>
    <row r="10" spans="1:3" x14ac:dyDescent="0.25">
      <c r="A10" s="4">
        <v>9</v>
      </c>
      <c r="B10" s="5" t="s">
        <v>562</v>
      </c>
      <c r="C10" s="6" t="s">
        <v>484</v>
      </c>
    </row>
    <row r="11" spans="1:3" x14ac:dyDescent="0.25">
      <c r="A11" s="4">
        <v>10</v>
      </c>
      <c r="B11" s="5" t="s">
        <v>563</v>
      </c>
      <c r="C11" s="6" t="s">
        <v>546</v>
      </c>
    </row>
  </sheetData>
  <hyperlinks>
    <hyperlink ref="B3" location="SFRSTP!A1" display="SFRSTP" xr:uid="{7D35CB86-594A-4206-8691-FFE41F0DDC7B}"/>
    <hyperlink ref="B4" location="SMMF!A1" display="SMMF" xr:uid="{A57C08E4-57A0-4F26-AD43-43ED2C4E571A}"/>
    <hyperlink ref="B5" location="SPLDF!A1" display="SPLDF" xr:uid="{509DA051-378E-498B-9802-D045F62F421B}"/>
    <hyperlink ref="B6" location="SPMON!A1" display="SPMON" xr:uid="{2C40DC8C-7CE3-4BB7-BA1E-F3DC6B8406FC}"/>
    <hyperlink ref="B7" location="SPSDF!A1" display="SPSDF" xr:uid="{EBDE7F08-E359-4684-A7ED-2279BF89B65E}"/>
    <hyperlink ref="B8" location="SPUSDF!A1" display="SPUSDF" xr:uid="{3F85FCB6-E118-4348-9706-165B8A6EA952}"/>
    <hyperlink ref="B9" location="SUNBDS!A1" display="SUNBDS" xr:uid="{466C061A-9F87-4717-B4BF-E1526213519D}"/>
    <hyperlink ref="B10" location="SUNMIA!A1" display="SUNMIA" xr:uid="{80AF099E-7988-45EE-B3A7-4CC214594FEC}"/>
    <hyperlink ref="B11" location="SUNONF!A1" display="SUNONF" xr:uid="{BDA4EDB6-BD9B-440D-A6DB-1C59BC048A6F}"/>
    <hyperlink ref="B2" location="SFRLTP!A1" display="SFRLTP" xr:uid="{06935B2F-344B-402D-B404-229E2FF030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1D85F-1914-483D-8EFD-6068F360A741}">
  <sheetPr>
    <outlinePr summaryBelow="0" summaryRight="0"/>
  </sheetPr>
  <dimension ref="A1:Q154"/>
  <sheetViews>
    <sheetView showGridLines="0" workbookViewId="0">
      <selection sqref="A1:H1"/>
    </sheetView>
  </sheetViews>
  <sheetFormatPr defaultRowHeight="12.75" x14ac:dyDescent="0.2"/>
  <cols>
    <col min="1" max="1" width="5.85546875" style="17" bestFit="1" customWidth="1"/>
    <col min="2" max="2" width="25.7109375" style="17" customWidth="1"/>
    <col min="3" max="3" width="52.42578125" style="17" customWidth="1"/>
    <col min="4" max="4" width="14" style="17" bestFit="1" customWidth="1"/>
    <col min="5" max="5" width="9.42578125" style="17" bestFit="1" customWidth="1"/>
    <col min="6" max="6" width="10.140625" style="17" bestFit="1" customWidth="1"/>
    <col min="7" max="7" width="14" style="17" bestFit="1" customWidth="1"/>
    <col min="8" max="8" width="5.85546875" style="17" bestFit="1" customWidth="1"/>
    <col min="9" max="9" width="5.7109375" style="17" bestFit="1" customWidth="1"/>
    <col min="10" max="16384" width="9.140625" style="17"/>
  </cols>
  <sheetData>
    <row r="1" spans="1:9" ht="15" x14ac:dyDescent="0.2">
      <c r="A1" s="16" t="s">
        <v>0</v>
      </c>
      <c r="B1" s="16"/>
      <c r="C1" s="16"/>
      <c r="D1" s="16"/>
      <c r="E1" s="16"/>
      <c r="F1" s="16"/>
      <c r="G1" s="16"/>
      <c r="H1" s="16"/>
      <c r="I1" s="7" t="s">
        <v>565</v>
      </c>
    </row>
    <row r="2" spans="1:9" ht="15" x14ac:dyDescent="0.2">
      <c r="A2" s="16" t="s">
        <v>1</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ht="25.5" x14ac:dyDescent="0.2">
      <c r="A28" s="29">
        <v>1</v>
      </c>
      <c r="B28" s="30" t="s">
        <v>21</v>
      </c>
      <c r="C28" s="30" t="s">
        <v>22</v>
      </c>
      <c r="D28" s="30" t="s">
        <v>23</v>
      </c>
      <c r="E28" s="31">
        <v>5000</v>
      </c>
      <c r="F28" s="32">
        <v>5123.0649999999996</v>
      </c>
      <c r="G28" s="33">
        <v>6.9551740000000001E-2</v>
      </c>
      <c r="H28" s="23">
        <v>7.0140000000000002</v>
      </c>
    </row>
    <row r="29" spans="1:8" x14ac:dyDescent="0.2">
      <c r="A29" s="29">
        <v>2</v>
      </c>
      <c r="B29" s="30" t="s">
        <v>24</v>
      </c>
      <c r="C29" s="30" t="s">
        <v>25</v>
      </c>
      <c r="D29" s="30" t="s">
        <v>23</v>
      </c>
      <c r="E29" s="31">
        <v>4000</v>
      </c>
      <c r="F29" s="32">
        <v>4059.136</v>
      </c>
      <c r="G29" s="33">
        <v>5.5107629999999998E-2</v>
      </c>
      <c r="H29" s="23">
        <v>6.97</v>
      </c>
    </row>
    <row r="30" spans="1:8" x14ac:dyDescent="0.2">
      <c r="A30" s="29">
        <v>3</v>
      </c>
      <c r="B30" s="30" t="s">
        <v>26</v>
      </c>
      <c r="C30" s="30" t="s">
        <v>27</v>
      </c>
      <c r="D30" s="30" t="s">
        <v>23</v>
      </c>
      <c r="E30" s="31">
        <v>4000</v>
      </c>
      <c r="F30" s="32">
        <v>4017.7559999999999</v>
      </c>
      <c r="G30" s="33">
        <v>5.454585E-2</v>
      </c>
      <c r="H30" s="23">
        <v>6.8476999999999997</v>
      </c>
    </row>
    <row r="31" spans="1:8" x14ac:dyDescent="0.2">
      <c r="A31" s="29">
        <v>4</v>
      </c>
      <c r="B31" s="30" t="s">
        <v>28</v>
      </c>
      <c r="C31" s="30" t="s">
        <v>29</v>
      </c>
      <c r="D31" s="30" t="s">
        <v>23</v>
      </c>
      <c r="E31" s="31">
        <v>300</v>
      </c>
      <c r="F31" s="32">
        <v>3036.7350000000001</v>
      </c>
      <c r="G31" s="33">
        <v>4.1227310000000003E-2</v>
      </c>
      <c r="H31" s="23">
        <v>7.2350000000000003</v>
      </c>
    </row>
    <row r="32" spans="1:8" x14ac:dyDescent="0.2">
      <c r="A32" s="29">
        <v>5</v>
      </c>
      <c r="B32" s="30" t="s">
        <v>30</v>
      </c>
      <c r="C32" s="30" t="s">
        <v>31</v>
      </c>
      <c r="D32" s="30" t="s">
        <v>23</v>
      </c>
      <c r="E32" s="31">
        <v>2500</v>
      </c>
      <c r="F32" s="32">
        <v>2571.7674999999999</v>
      </c>
      <c r="G32" s="33">
        <v>3.4914819999999999E-2</v>
      </c>
      <c r="H32" s="23">
        <v>6.99</v>
      </c>
    </row>
    <row r="33" spans="1:8" ht="25.5" x14ac:dyDescent="0.2">
      <c r="A33" s="29">
        <v>6</v>
      </c>
      <c r="B33" s="30" t="s">
        <v>32</v>
      </c>
      <c r="C33" s="30" t="s">
        <v>33</v>
      </c>
      <c r="D33" s="30" t="s">
        <v>34</v>
      </c>
      <c r="E33" s="31">
        <v>2500</v>
      </c>
      <c r="F33" s="32">
        <v>2558.1574999999998</v>
      </c>
      <c r="G33" s="33">
        <v>3.4730049999999998E-2</v>
      </c>
      <c r="H33" s="23">
        <v>7.02</v>
      </c>
    </row>
    <row r="34" spans="1:8" ht="25.5" x14ac:dyDescent="0.2">
      <c r="A34" s="29">
        <v>7</v>
      </c>
      <c r="B34" s="30" t="s">
        <v>35</v>
      </c>
      <c r="C34" s="30" t="s">
        <v>36</v>
      </c>
      <c r="D34" s="30" t="s">
        <v>23</v>
      </c>
      <c r="E34" s="31">
        <v>2500</v>
      </c>
      <c r="F34" s="32">
        <v>2551.11</v>
      </c>
      <c r="G34" s="33">
        <v>3.4634369999999998E-2</v>
      </c>
      <c r="H34" s="23">
        <v>7.02</v>
      </c>
    </row>
    <row r="35" spans="1:8" x14ac:dyDescent="0.2">
      <c r="A35" s="29">
        <v>8</v>
      </c>
      <c r="B35" s="30" t="s">
        <v>37</v>
      </c>
      <c r="C35" s="30" t="s">
        <v>38</v>
      </c>
      <c r="D35" s="30" t="s">
        <v>23</v>
      </c>
      <c r="E35" s="31">
        <v>2500</v>
      </c>
      <c r="F35" s="32">
        <v>2550.085</v>
      </c>
      <c r="G35" s="33">
        <v>3.4620459999999999E-2</v>
      </c>
      <c r="H35" s="23">
        <v>6.4974999999999996</v>
      </c>
    </row>
    <row r="36" spans="1:8" x14ac:dyDescent="0.2">
      <c r="A36" s="29">
        <v>9</v>
      </c>
      <c r="B36" s="30" t="s">
        <v>39</v>
      </c>
      <c r="C36" s="30" t="s">
        <v>40</v>
      </c>
      <c r="D36" s="30" t="s">
        <v>23</v>
      </c>
      <c r="E36" s="31">
        <v>2500</v>
      </c>
      <c r="F36" s="32">
        <v>2533.31</v>
      </c>
      <c r="G36" s="33">
        <v>3.4392720000000002E-2</v>
      </c>
      <c r="H36" s="23">
        <v>6.9672000000000001</v>
      </c>
    </row>
    <row r="37" spans="1:8" x14ac:dyDescent="0.2">
      <c r="A37" s="29">
        <v>10</v>
      </c>
      <c r="B37" s="30" t="s">
        <v>41</v>
      </c>
      <c r="C37" s="30" t="s">
        <v>42</v>
      </c>
      <c r="D37" s="30" t="s">
        <v>23</v>
      </c>
      <c r="E37" s="31">
        <v>2500</v>
      </c>
      <c r="F37" s="32">
        <v>2512.7249999999999</v>
      </c>
      <c r="G37" s="33">
        <v>3.4113249999999998E-2</v>
      </c>
      <c r="H37" s="23">
        <v>6.9</v>
      </c>
    </row>
    <row r="38" spans="1:8" x14ac:dyDescent="0.2">
      <c r="A38" s="29">
        <v>11</v>
      </c>
      <c r="B38" s="30" t="s">
        <v>43</v>
      </c>
      <c r="C38" s="30" t="s">
        <v>44</v>
      </c>
      <c r="D38" s="30" t="s">
        <v>23</v>
      </c>
      <c r="E38" s="31">
        <v>2500</v>
      </c>
      <c r="F38" s="32">
        <v>2511.6675</v>
      </c>
      <c r="G38" s="33">
        <v>3.409889E-2</v>
      </c>
      <c r="H38" s="23">
        <v>6.95</v>
      </c>
    </row>
    <row r="39" spans="1:8" x14ac:dyDescent="0.2">
      <c r="A39" s="29">
        <v>12</v>
      </c>
      <c r="B39" s="30" t="s">
        <v>45</v>
      </c>
      <c r="C39" s="30" t="s">
        <v>46</v>
      </c>
      <c r="D39" s="30" t="s">
        <v>23</v>
      </c>
      <c r="E39" s="31">
        <v>2000</v>
      </c>
      <c r="F39" s="32">
        <v>2038.88</v>
      </c>
      <c r="G39" s="33">
        <v>2.7680239999999998E-2</v>
      </c>
      <c r="H39" s="23">
        <v>7.0223000000000004</v>
      </c>
    </row>
    <row r="40" spans="1:8" x14ac:dyDescent="0.2">
      <c r="A40" s="29">
        <v>13</v>
      </c>
      <c r="B40" s="30" t="s">
        <v>47</v>
      </c>
      <c r="C40" s="30" t="s">
        <v>48</v>
      </c>
      <c r="D40" s="30" t="s">
        <v>23</v>
      </c>
      <c r="E40" s="31">
        <v>2000</v>
      </c>
      <c r="F40" s="32">
        <v>2033.4659999999999</v>
      </c>
      <c r="G40" s="33">
        <v>2.7606740000000001E-2</v>
      </c>
      <c r="H40" s="23">
        <v>7.5465999999999998</v>
      </c>
    </row>
    <row r="41" spans="1:8" x14ac:dyDescent="0.2">
      <c r="A41" s="29">
        <v>14</v>
      </c>
      <c r="B41" s="30" t="s">
        <v>49</v>
      </c>
      <c r="C41" s="30" t="s">
        <v>50</v>
      </c>
      <c r="D41" s="30" t="s">
        <v>34</v>
      </c>
      <c r="E41" s="31">
        <v>200</v>
      </c>
      <c r="F41" s="32">
        <v>2027.202</v>
      </c>
      <c r="G41" s="33">
        <v>2.75217E-2</v>
      </c>
      <c r="H41" s="23">
        <v>6.8285999999999998</v>
      </c>
    </row>
    <row r="42" spans="1:8" x14ac:dyDescent="0.2">
      <c r="A42" s="29">
        <v>15</v>
      </c>
      <c r="B42" s="30" t="s">
        <v>51</v>
      </c>
      <c r="C42" s="30" t="s">
        <v>52</v>
      </c>
      <c r="D42" s="30" t="s">
        <v>23</v>
      </c>
      <c r="E42" s="31">
        <v>2000</v>
      </c>
      <c r="F42" s="32">
        <v>2012.2719999999999</v>
      </c>
      <c r="G42" s="33">
        <v>2.7319E-2</v>
      </c>
      <c r="H42" s="23">
        <v>6.8476999999999997</v>
      </c>
    </row>
    <row r="43" spans="1:8" x14ac:dyDescent="0.2">
      <c r="A43" s="29">
        <v>16</v>
      </c>
      <c r="B43" s="30" t="s">
        <v>53</v>
      </c>
      <c r="C43" s="30" t="s">
        <v>54</v>
      </c>
      <c r="D43" s="30" t="s">
        <v>23</v>
      </c>
      <c r="E43" s="31">
        <v>1500</v>
      </c>
      <c r="F43" s="32">
        <v>1542.69</v>
      </c>
      <c r="G43" s="33">
        <v>2.0943860000000002E-2</v>
      </c>
      <c r="H43" s="23">
        <v>7.3174999999999999</v>
      </c>
    </row>
    <row r="44" spans="1:8" x14ac:dyDescent="0.2">
      <c r="A44" s="29">
        <v>17</v>
      </c>
      <c r="B44" s="30" t="s">
        <v>55</v>
      </c>
      <c r="C44" s="30" t="s">
        <v>56</v>
      </c>
      <c r="D44" s="30" t="s">
        <v>23</v>
      </c>
      <c r="E44" s="31">
        <v>1500</v>
      </c>
      <c r="F44" s="32">
        <v>1515.5385000000001</v>
      </c>
      <c r="G44" s="33">
        <v>2.057525E-2</v>
      </c>
      <c r="H44" s="23">
        <v>6.95</v>
      </c>
    </row>
    <row r="45" spans="1:8" ht="25.5" x14ac:dyDescent="0.2">
      <c r="A45" s="29">
        <v>18</v>
      </c>
      <c r="B45" s="30" t="s">
        <v>57</v>
      </c>
      <c r="C45" s="30" t="s">
        <v>58</v>
      </c>
      <c r="D45" s="30" t="s">
        <v>23</v>
      </c>
      <c r="E45" s="31">
        <v>1500</v>
      </c>
      <c r="F45" s="32">
        <v>1509.5940000000001</v>
      </c>
      <c r="G45" s="33">
        <v>2.049455E-2</v>
      </c>
      <c r="H45" s="23">
        <v>7</v>
      </c>
    </row>
    <row r="46" spans="1:8" ht="25.5" x14ac:dyDescent="0.2">
      <c r="A46" s="29">
        <v>19</v>
      </c>
      <c r="B46" s="30" t="s">
        <v>59</v>
      </c>
      <c r="C46" s="30" t="s">
        <v>705</v>
      </c>
      <c r="D46" s="30" t="s">
        <v>23</v>
      </c>
      <c r="E46" s="31">
        <v>1500</v>
      </c>
      <c r="F46" s="32">
        <v>1502.7</v>
      </c>
      <c r="G46" s="33">
        <v>2.0400950000000001E-2</v>
      </c>
      <c r="H46" s="23">
        <v>7</v>
      </c>
    </row>
    <row r="47" spans="1:8" x14ac:dyDescent="0.2">
      <c r="A47" s="29">
        <v>20</v>
      </c>
      <c r="B47" s="30" t="s">
        <v>60</v>
      </c>
      <c r="C47" s="30" t="s">
        <v>61</v>
      </c>
      <c r="D47" s="30" t="s">
        <v>23</v>
      </c>
      <c r="E47" s="31">
        <v>1500</v>
      </c>
      <c r="F47" s="32">
        <v>1501.7565</v>
      </c>
      <c r="G47" s="33">
        <v>2.0388139999999999E-2</v>
      </c>
      <c r="H47" s="23">
        <v>6.9261999999999997</v>
      </c>
    </row>
    <row r="48" spans="1:8" x14ac:dyDescent="0.2">
      <c r="A48" s="29">
        <v>21</v>
      </c>
      <c r="B48" s="30" t="s">
        <v>62</v>
      </c>
      <c r="C48" s="30" t="s">
        <v>63</v>
      </c>
      <c r="D48" s="30" t="s">
        <v>23</v>
      </c>
      <c r="E48" s="31">
        <v>100</v>
      </c>
      <c r="F48" s="32">
        <v>1017.035</v>
      </c>
      <c r="G48" s="33">
        <v>1.3807470000000001E-2</v>
      </c>
      <c r="H48" s="23">
        <v>7.2350000000000003</v>
      </c>
    </row>
    <row r="49" spans="1:8" ht="25.5" x14ac:dyDescent="0.2">
      <c r="A49" s="29">
        <v>22</v>
      </c>
      <c r="B49" s="30" t="s">
        <v>64</v>
      </c>
      <c r="C49" s="30" t="s">
        <v>65</v>
      </c>
      <c r="D49" s="30" t="s">
        <v>23</v>
      </c>
      <c r="E49" s="31">
        <v>1000</v>
      </c>
      <c r="F49" s="32">
        <v>1004.919</v>
      </c>
      <c r="G49" s="33">
        <v>1.3642980000000001E-2</v>
      </c>
      <c r="H49" s="23">
        <v>6.9960000000000004</v>
      </c>
    </row>
    <row r="50" spans="1:8" x14ac:dyDescent="0.2">
      <c r="A50" s="29">
        <v>23</v>
      </c>
      <c r="B50" s="30" t="s">
        <v>66</v>
      </c>
      <c r="C50" s="30" t="s">
        <v>67</v>
      </c>
      <c r="D50" s="30" t="s">
        <v>23</v>
      </c>
      <c r="E50" s="31">
        <v>1000</v>
      </c>
      <c r="F50" s="32">
        <v>1000.958</v>
      </c>
      <c r="G50" s="33">
        <v>1.3589199999999999E-2</v>
      </c>
      <c r="H50" s="23">
        <v>7.04</v>
      </c>
    </row>
    <row r="51" spans="1:8" x14ac:dyDescent="0.2">
      <c r="A51" s="29">
        <v>24</v>
      </c>
      <c r="B51" s="30" t="s">
        <v>68</v>
      </c>
      <c r="C51" s="30" t="s">
        <v>69</v>
      </c>
      <c r="D51" s="30" t="s">
        <v>23</v>
      </c>
      <c r="E51" s="31">
        <v>500</v>
      </c>
      <c r="F51" s="32">
        <v>510.0915</v>
      </c>
      <c r="G51" s="33">
        <v>6.9251E-3</v>
      </c>
      <c r="H51" s="23">
        <v>7.5415999999999999</v>
      </c>
    </row>
    <row r="52" spans="1:8" ht="25.5" x14ac:dyDescent="0.2">
      <c r="A52" s="29">
        <v>25</v>
      </c>
      <c r="B52" s="30" t="s">
        <v>70</v>
      </c>
      <c r="C52" s="30" t="s">
        <v>71</v>
      </c>
      <c r="D52" s="30" t="s">
        <v>23</v>
      </c>
      <c r="E52" s="31">
        <v>500</v>
      </c>
      <c r="F52" s="32">
        <v>507.23950000000002</v>
      </c>
      <c r="G52" s="33">
        <v>6.8863800000000001E-3</v>
      </c>
      <c r="H52" s="23">
        <v>7</v>
      </c>
    </row>
    <row r="53" spans="1:8" x14ac:dyDescent="0.2">
      <c r="A53" s="29">
        <v>26</v>
      </c>
      <c r="B53" s="30" t="s">
        <v>72</v>
      </c>
      <c r="C53" s="30" t="s">
        <v>73</v>
      </c>
      <c r="D53" s="30" t="s">
        <v>34</v>
      </c>
      <c r="E53" s="31">
        <v>50</v>
      </c>
      <c r="F53" s="32">
        <v>501.83449999999999</v>
      </c>
      <c r="G53" s="33">
        <v>6.8129999999999996E-3</v>
      </c>
      <c r="H53" s="23">
        <v>6.9749999999999996</v>
      </c>
    </row>
    <row r="54" spans="1:8" x14ac:dyDescent="0.2">
      <c r="A54" s="21"/>
      <c r="B54" s="21"/>
      <c r="C54" s="22" t="s">
        <v>11</v>
      </c>
      <c r="D54" s="21"/>
      <c r="E54" s="21" t="s">
        <v>12</v>
      </c>
      <c r="F54" s="28">
        <v>54251.690999999999</v>
      </c>
      <c r="G54" s="25">
        <v>0.73653164999999998</v>
      </c>
      <c r="H54" s="23" t="s">
        <v>12</v>
      </c>
    </row>
    <row r="55" spans="1:8" x14ac:dyDescent="0.2">
      <c r="A55" s="21"/>
      <c r="B55" s="21"/>
      <c r="C55" s="26"/>
      <c r="D55" s="21"/>
      <c r="E55" s="21"/>
      <c r="F55" s="27"/>
      <c r="G55" s="27"/>
      <c r="H55" s="23" t="s">
        <v>12</v>
      </c>
    </row>
    <row r="56" spans="1:8" x14ac:dyDescent="0.2">
      <c r="A56" s="21"/>
      <c r="B56" s="21"/>
      <c r="C56" s="22" t="s">
        <v>74</v>
      </c>
      <c r="D56" s="21"/>
      <c r="E56" s="21"/>
      <c r="F56" s="21"/>
      <c r="G56" s="21"/>
      <c r="H56" s="23" t="s">
        <v>12</v>
      </c>
    </row>
    <row r="57" spans="1:8" x14ac:dyDescent="0.2">
      <c r="A57" s="21"/>
      <c r="B57" s="21"/>
      <c r="C57" s="22" t="s">
        <v>11</v>
      </c>
      <c r="D57" s="21"/>
      <c r="E57" s="21" t="s">
        <v>12</v>
      </c>
      <c r="F57" s="24" t="s">
        <v>13</v>
      </c>
      <c r="G57" s="25">
        <v>0</v>
      </c>
      <c r="H57" s="23" t="s">
        <v>12</v>
      </c>
    </row>
    <row r="58" spans="1:8" x14ac:dyDescent="0.2">
      <c r="A58" s="21"/>
      <c r="B58" s="21"/>
      <c r="C58" s="26"/>
      <c r="D58" s="21"/>
      <c r="E58" s="21"/>
      <c r="F58" s="27"/>
      <c r="G58" s="27"/>
      <c r="H58" s="23" t="s">
        <v>12</v>
      </c>
    </row>
    <row r="59" spans="1:8" x14ac:dyDescent="0.2">
      <c r="A59" s="21"/>
      <c r="B59" s="21"/>
      <c r="C59" s="22" t="s">
        <v>75</v>
      </c>
      <c r="D59" s="21"/>
      <c r="E59" s="21"/>
      <c r="F59" s="21"/>
      <c r="G59" s="21"/>
      <c r="H59" s="23" t="s">
        <v>12</v>
      </c>
    </row>
    <row r="60" spans="1:8" x14ac:dyDescent="0.2">
      <c r="A60" s="29">
        <v>1</v>
      </c>
      <c r="B60" s="30" t="s">
        <v>76</v>
      </c>
      <c r="C60" s="30" t="s">
        <v>77</v>
      </c>
      <c r="D60" s="30" t="s">
        <v>78</v>
      </c>
      <c r="E60" s="31">
        <v>7900000</v>
      </c>
      <c r="F60" s="32">
        <v>8249.3932999999997</v>
      </c>
      <c r="G60" s="33">
        <v>0.11199539</v>
      </c>
      <c r="H60" s="23">
        <v>6.5484999999999998</v>
      </c>
    </row>
    <row r="61" spans="1:8" x14ac:dyDescent="0.2">
      <c r="A61" s="29">
        <v>2</v>
      </c>
      <c r="B61" s="30" t="s">
        <v>79</v>
      </c>
      <c r="C61" s="30" t="s">
        <v>80</v>
      </c>
      <c r="D61" s="30" t="s">
        <v>78</v>
      </c>
      <c r="E61" s="31">
        <v>2000000</v>
      </c>
      <c r="F61" s="32">
        <v>2097.7579999999998</v>
      </c>
      <c r="G61" s="33">
        <v>2.8479580000000001E-2</v>
      </c>
      <c r="H61" s="23">
        <v>6.3621999999999996</v>
      </c>
    </row>
    <row r="62" spans="1:8" x14ac:dyDescent="0.2">
      <c r="A62" s="29">
        <v>3</v>
      </c>
      <c r="B62" s="30" t="s">
        <v>81</v>
      </c>
      <c r="C62" s="30" t="s">
        <v>82</v>
      </c>
      <c r="D62" s="30" t="s">
        <v>78</v>
      </c>
      <c r="E62" s="31">
        <v>1500000</v>
      </c>
      <c r="F62" s="32">
        <v>1584.0045</v>
      </c>
      <c r="G62" s="33">
        <v>2.1504760000000001E-2</v>
      </c>
      <c r="H62" s="23">
        <v>6.9675000000000002</v>
      </c>
    </row>
    <row r="63" spans="1:8" x14ac:dyDescent="0.2">
      <c r="A63" s="29">
        <v>4</v>
      </c>
      <c r="B63" s="30" t="s">
        <v>83</v>
      </c>
      <c r="C63" s="30" t="s">
        <v>84</v>
      </c>
      <c r="D63" s="30" t="s">
        <v>78</v>
      </c>
      <c r="E63" s="31">
        <v>1500000</v>
      </c>
      <c r="F63" s="32">
        <v>1525.7204999999999</v>
      </c>
      <c r="G63" s="33">
        <v>2.0713479999999999E-2</v>
      </c>
      <c r="H63" s="23">
        <v>6.5214999999999996</v>
      </c>
    </row>
    <row r="64" spans="1:8" x14ac:dyDescent="0.2">
      <c r="A64" s="29">
        <v>5</v>
      </c>
      <c r="B64" s="30" t="s">
        <v>85</v>
      </c>
      <c r="C64" s="30" t="s">
        <v>86</v>
      </c>
      <c r="D64" s="30" t="s">
        <v>78</v>
      </c>
      <c r="E64" s="31">
        <v>1250000</v>
      </c>
      <c r="F64" s="32">
        <v>1327.1949999999999</v>
      </c>
      <c r="G64" s="33">
        <v>1.8018260000000001E-2</v>
      </c>
      <c r="H64" s="23">
        <v>7.0003000000000002</v>
      </c>
    </row>
    <row r="65" spans="1:8" x14ac:dyDescent="0.2">
      <c r="A65" s="29">
        <v>6</v>
      </c>
      <c r="B65" s="30" t="s">
        <v>87</v>
      </c>
      <c r="C65" s="30" t="s">
        <v>88</v>
      </c>
      <c r="D65" s="30" t="s">
        <v>78</v>
      </c>
      <c r="E65" s="31">
        <v>500000</v>
      </c>
      <c r="F65" s="32">
        <v>526.83699999999999</v>
      </c>
      <c r="G65" s="33">
        <v>7.1524400000000004E-3</v>
      </c>
      <c r="H65" s="23">
        <v>6.6412000000000004</v>
      </c>
    </row>
    <row r="66" spans="1:8" x14ac:dyDescent="0.2">
      <c r="A66" s="29">
        <v>7</v>
      </c>
      <c r="B66" s="30" t="s">
        <v>89</v>
      </c>
      <c r="C66" s="30" t="s">
        <v>90</v>
      </c>
      <c r="D66" s="30" t="s">
        <v>78</v>
      </c>
      <c r="E66" s="31">
        <v>500000</v>
      </c>
      <c r="F66" s="32">
        <v>519.49950000000001</v>
      </c>
      <c r="G66" s="33">
        <v>7.0528300000000004E-3</v>
      </c>
      <c r="H66" s="23">
        <v>6.2122999999999999</v>
      </c>
    </row>
    <row r="67" spans="1:8" x14ac:dyDescent="0.2">
      <c r="A67" s="21"/>
      <c r="B67" s="21"/>
      <c r="C67" s="22" t="s">
        <v>11</v>
      </c>
      <c r="D67" s="21"/>
      <c r="E67" s="21" t="s">
        <v>12</v>
      </c>
      <c r="F67" s="28">
        <v>15830.407800000001</v>
      </c>
      <c r="G67" s="25">
        <v>0.21491674</v>
      </c>
      <c r="H67" s="23" t="s">
        <v>12</v>
      </c>
    </row>
    <row r="68" spans="1:8" x14ac:dyDescent="0.2">
      <c r="A68" s="21"/>
      <c r="B68" s="21"/>
      <c r="C68" s="26"/>
      <c r="D68" s="21"/>
      <c r="E68" s="21"/>
      <c r="F68" s="27"/>
      <c r="G68" s="27"/>
      <c r="H68" s="23" t="s">
        <v>12</v>
      </c>
    </row>
    <row r="69" spans="1:8" x14ac:dyDescent="0.2">
      <c r="A69" s="21"/>
      <c r="B69" s="21"/>
      <c r="C69" s="22" t="s">
        <v>91</v>
      </c>
      <c r="D69" s="21"/>
      <c r="E69" s="21"/>
      <c r="F69" s="27"/>
      <c r="G69" s="27"/>
      <c r="H69" s="23" t="s">
        <v>12</v>
      </c>
    </row>
    <row r="70" spans="1:8" x14ac:dyDescent="0.2">
      <c r="A70" s="21"/>
      <c r="B70" s="21"/>
      <c r="C70" s="22" t="s">
        <v>11</v>
      </c>
      <c r="D70" s="21"/>
      <c r="E70" s="21" t="s">
        <v>12</v>
      </c>
      <c r="F70" s="24" t="s">
        <v>13</v>
      </c>
      <c r="G70" s="25">
        <v>0</v>
      </c>
      <c r="H70" s="23" t="s">
        <v>12</v>
      </c>
    </row>
    <row r="71" spans="1:8" x14ac:dyDescent="0.2">
      <c r="A71" s="21"/>
      <c r="B71" s="21"/>
      <c r="C71" s="26"/>
      <c r="D71" s="21"/>
      <c r="E71" s="21"/>
      <c r="F71" s="27"/>
      <c r="G71" s="27"/>
      <c r="H71" s="23" t="s">
        <v>12</v>
      </c>
    </row>
    <row r="72" spans="1:8" x14ac:dyDescent="0.2">
      <c r="A72" s="21"/>
      <c r="B72" s="21"/>
      <c r="C72" s="22" t="s">
        <v>92</v>
      </c>
      <c r="D72" s="21"/>
      <c r="E72" s="21"/>
      <c r="F72" s="28">
        <v>70082.098800000007</v>
      </c>
      <c r="G72" s="25">
        <v>0.95144839000000003</v>
      </c>
      <c r="H72" s="23" t="s">
        <v>12</v>
      </c>
    </row>
    <row r="73" spans="1:8" x14ac:dyDescent="0.2">
      <c r="A73" s="21"/>
      <c r="B73" s="21"/>
      <c r="C73" s="26"/>
      <c r="D73" s="21"/>
      <c r="E73" s="21"/>
      <c r="F73" s="27"/>
      <c r="G73" s="27"/>
      <c r="H73" s="23" t="s">
        <v>12</v>
      </c>
    </row>
    <row r="74" spans="1:8" x14ac:dyDescent="0.2">
      <c r="A74" s="21"/>
      <c r="B74" s="21"/>
      <c r="C74" s="22" t="s">
        <v>93</v>
      </c>
      <c r="D74" s="21"/>
      <c r="E74" s="21"/>
      <c r="F74" s="27"/>
      <c r="G74" s="27"/>
      <c r="H74" s="23" t="s">
        <v>12</v>
      </c>
    </row>
    <row r="75" spans="1:8" x14ac:dyDescent="0.2">
      <c r="A75" s="21"/>
      <c r="B75" s="21"/>
      <c r="C75" s="22" t="s">
        <v>94</v>
      </c>
      <c r="D75" s="21"/>
      <c r="E75" s="21"/>
      <c r="F75" s="27"/>
      <c r="G75" s="27"/>
      <c r="H75" s="23" t="s">
        <v>12</v>
      </c>
    </row>
    <row r="76" spans="1:8" x14ac:dyDescent="0.2">
      <c r="A76" s="21"/>
      <c r="B76" s="21"/>
      <c r="C76" s="22" t="s">
        <v>11</v>
      </c>
      <c r="D76" s="21"/>
      <c r="E76" s="21" t="s">
        <v>12</v>
      </c>
      <c r="F76" s="24" t="s">
        <v>13</v>
      </c>
      <c r="G76" s="25">
        <v>0</v>
      </c>
      <c r="H76" s="23" t="s">
        <v>12</v>
      </c>
    </row>
    <row r="77" spans="1:8" x14ac:dyDescent="0.2">
      <c r="A77" s="21"/>
      <c r="B77" s="21"/>
      <c r="C77" s="26"/>
      <c r="D77" s="21"/>
      <c r="E77" s="21"/>
      <c r="F77" s="27"/>
      <c r="G77" s="27"/>
      <c r="H77" s="23" t="s">
        <v>12</v>
      </c>
    </row>
    <row r="78" spans="1:8" x14ac:dyDescent="0.2">
      <c r="A78" s="21"/>
      <c r="B78" s="21"/>
      <c r="C78" s="22" t="s">
        <v>95</v>
      </c>
      <c r="D78" s="21"/>
      <c r="E78" s="21"/>
      <c r="F78" s="27"/>
      <c r="G78" s="27"/>
      <c r="H78" s="23" t="s">
        <v>12</v>
      </c>
    </row>
    <row r="79" spans="1:8" x14ac:dyDescent="0.2">
      <c r="A79" s="21"/>
      <c r="B79" s="21"/>
      <c r="C79" s="22" t="s">
        <v>11</v>
      </c>
      <c r="D79" s="21"/>
      <c r="E79" s="21" t="s">
        <v>12</v>
      </c>
      <c r="F79" s="24" t="s">
        <v>13</v>
      </c>
      <c r="G79" s="25">
        <v>0</v>
      </c>
      <c r="H79" s="23" t="s">
        <v>12</v>
      </c>
    </row>
    <row r="80" spans="1:8" x14ac:dyDescent="0.2">
      <c r="A80" s="21"/>
      <c r="B80" s="21"/>
      <c r="C80" s="26"/>
      <c r="D80" s="21"/>
      <c r="E80" s="21"/>
      <c r="F80" s="27"/>
      <c r="G80" s="27"/>
      <c r="H80" s="23" t="s">
        <v>12</v>
      </c>
    </row>
    <row r="81" spans="1:17" x14ac:dyDescent="0.2">
      <c r="A81" s="21"/>
      <c r="B81" s="21"/>
      <c r="C81" s="22" t="s">
        <v>96</v>
      </c>
      <c r="D81" s="21"/>
      <c r="E81" s="21"/>
      <c r="F81" s="27"/>
      <c r="G81" s="27"/>
      <c r="H81" s="23" t="s">
        <v>12</v>
      </c>
    </row>
    <row r="82" spans="1:17" x14ac:dyDescent="0.2">
      <c r="A82" s="21"/>
      <c r="B82" s="21"/>
      <c r="C82" s="22" t="s">
        <v>11</v>
      </c>
      <c r="D82" s="21"/>
      <c r="E82" s="21" t="s">
        <v>12</v>
      </c>
      <c r="F82" s="24" t="s">
        <v>13</v>
      </c>
      <c r="G82" s="25">
        <v>0</v>
      </c>
      <c r="H82" s="23" t="s">
        <v>12</v>
      </c>
    </row>
    <row r="83" spans="1:17" x14ac:dyDescent="0.2">
      <c r="A83" s="21"/>
      <c r="B83" s="21"/>
      <c r="C83" s="26"/>
      <c r="D83" s="21"/>
      <c r="E83" s="21"/>
      <c r="F83" s="27"/>
      <c r="G83" s="27"/>
      <c r="H83" s="23" t="s">
        <v>12</v>
      </c>
    </row>
    <row r="84" spans="1:17" x14ac:dyDescent="0.2">
      <c r="A84" s="21"/>
      <c r="B84" s="21"/>
      <c r="C84" s="22" t="s">
        <v>97</v>
      </c>
      <c r="D84" s="21"/>
      <c r="E84" s="21"/>
      <c r="F84" s="27"/>
      <c r="G84" s="27"/>
      <c r="H84" s="23" t="s">
        <v>12</v>
      </c>
    </row>
    <row r="85" spans="1:17" x14ac:dyDescent="0.2">
      <c r="A85" s="29">
        <v>1</v>
      </c>
      <c r="B85" s="30"/>
      <c r="C85" s="30" t="s">
        <v>98</v>
      </c>
      <c r="D85" s="30"/>
      <c r="E85" s="34"/>
      <c r="F85" s="32">
        <v>1068.1903950010001</v>
      </c>
      <c r="G85" s="33">
        <v>1.450196E-2</v>
      </c>
      <c r="H85" s="23">
        <v>5.73</v>
      </c>
    </row>
    <row r="86" spans="1:17" x14ac:dyDescent="0.2">
      <c r="A86" s="21"/>
      <c r="B86" s="21"/>
      <c r="C86" s="22" t="s">
        <v>11</v>
      </c>
      <c r="D86" s="21"/>
      <c r="E86" s="21" t="s">
        <v>12</v>
      </c>
      <c r="F86" s="28">
        <v>1068.1903950010001</v>
      </c>
      <c r="G86" s="25">
        <v>1.450196E-2</v>
      </c>
      <c r="H86" s="23" t="s">
        <v>12</v>
      </c>
    </row>
    <row r="87" spans="1:17" x14ac:dyDescent="0.2">
      <c r="A87" s="21"/>
      <c r="B87" s="21"/>
      <c r="C87" s="26"/>
      <c r="D87" s="21"/>
      <c r="E87" s="21"/>
      <c r="F87" s="27"/>
      <c r="G87" s="27"/>
      <c r="H87" s="23" t="s">
        <v>12</v>
      </c>
    </row>
    <row r="88" spans="1:17" x14ac:dyDescent="0.2">
      <c r="A88" s="21"/>
      <c r="B88" s="21"/>
      <c r="C88" s="22" t="s">
        <v>99</v>
      </c>
      <c r="D88" s="21"/>
      <c r="E88" s="21"/>
      <c r="F88" s="28">
        <v>1068.1903950010001</v>
      </c>
      <c r="G88" s="25">
        <v>1.450196E-2</v>
      </c>
      <c r="H88" s="23" t="s">
        <v>12</v>
      </c>
    </row>
    <row r="89" spans="1:17" x14ac:dyDescent="0.2">
      <c r="A89" s="21"/>
      <c r="B89" s="21"/>
      <c r="C89" s="27"/>
      <c r="D89" s="21"/>
      <c r="E89" s="21"/>
      <c r="F89" s="21"/>
      <c r="G89" s="21"/>
      <c r="H89" s="23" t="s">
        <v>12</v>
      </c>
    </row>
    <row r="90" spans="1:17" x14ac:dyDescent="0.2">
      <c r="A90" s="21"/>
      <c r="B90" s="21"/>
      <c r="C90" s="22" t="s">
        <v>100</v>
      </c>
      <c r="D90" s="21"/>
      <c r="E90" s="21"/>
      <c r="F90" s="21"/>
      <c r="G90" s="21"/>
      <c r="H90" s="23" t="s">
        <v>12</v>
      </c>
    </row>
    <row r="91" spans="1:17" x14ac:dyDescent="0.2">
      <c r="A91" s="21"/>
      <c r="B91" s="21"/>
      <c r="C91" s="22" t="s">
        <v>101</v>
      </c>
      <c r="D91" s="21"/>
      <c r="E91" s="21"/>
      <c r="F91" s="21"/>
      <c r="G91" s="21"/>
      <c r="H91" s="23" t="s">
        <v>12</v>
      </c>
    </row>
    <row r="92" spans="1:17" x14ac:dyDescent="0.2">
      <c r="A92" s="21"/>
      <c r="B92" s="21"/>
      <c r="C92" s="22" t="s">
        <v>11</v>
      </c>
      <c r="D92" s="21"/>
      <c r="E92" s="21" t="s">
        <v>12</v>
      </c>
      <c r="F92" s="28">
        <f>SUM(F91)</f>
        <v>0</v>
      </c>
      <c r="G92" s="25">
        <f>SUM(G91)</f>
        <v>0</v>
      </c>
      <c r="H92" s="23" t="s">
        <v>12</v>
      </c>
    </row>
    <row r="93" spans="1:17" x14ac:dyDescent="0.2">
      <c r="A93" s="21"/>
      <c r="B93" s="21"/>
      <c r="C93" s="26"/>
      <c r="D93" s="21"/>
      <c r="E93" s="21"/>
      <c r="F93" s="27"/>
      <c r="G93" s="27"/>
      <c r="H93" s="77" t="s">
        <v>12</v>
      </c>
    </row>
    <row r="94" spans="1:17" x14ac:dyDescent="0.2">
      <c r="A94" s="21"/>
      <c r="B94" s="21"/>
      <c r="C94" s="22" t="s">
        <v>566</v>
      </c>
      <c r="D94" s="21"/>
      <c r="E94" s="21"/>
      <c r="F94" s="27"/>
      <c r="G94" s="27"/>
      <c r="H94" s="32"/>
      <c r="K94" s="56"/>
      <c r="L94" s="56"/>
      <c r="M94" s="56"/>
      <c r="N94" s="56"/>
      <c r="O94" s="79"/>
      <c r="P94" s="79"/>
      <c r="Q94" s="79"/>
    </row>
    <row r="95" spans="1:17" x14ac:dyDescent="0.2">
      <c r="A95" s="29">
        <v>1</v>
      </c>
      <c r="B95" s="30" t="s">
        <v>102</v>
      </c>
      <c r="C95" s="30" t="s">
        <v>103</v>
      </c>
      <c r="D95" s="30"/>
      <c r="E95" s="80">
        <v>2586.3710000000001</v>
      </c>
      <c r="F95" s="32">
        <v>286.74867676399998</v>
      </c>
      <c r="G95" s="33">
        <v>3.89296E-3</v>
      </c>
      <c r="H95" s="77"/>
    </row>
    <row r="96" spans="1:17" x14ac:dyDescent="0.2">
      <c r="A96" s="21"/>
      <c r="B96" s="21"/>
      <c r="C96" s="22" t="s">
        <v>11</v>
      </c>
      <c r="D96" s="21"/>
      <c r="E96" s="21" t="s">
        <v>12</v>
      </c>
      <c r="F96" s="28">
        <f>SUM(F95)</f>
        <v>286.74867676399998</v>
      </c>
      <c r="G96" s="25">
        <f>SUM(G95)</f>
        <v>3.89296E-3</v>
      </c>
      <c r="H96" s="77" t="s">
        <v>12</v>
      </c>
    </row>
    <row r="97" spans="1:8" x14ac:dyDescent="0.2">
      <c r="A97" s="21"/>
      <c r="B97" s="21"/>
      <c r="C97" s="26"/>
      <c r="D97" s="21"/>
      <c r="E97" s="21"/>
      <c r="F97" s="27"/>
      <c r="G97" s="27"/>
      <c r="H97" s="23" t="s">
        <v>12</v>
      </c>
    </row>
    <row r="98" spans="1:8" x14ac:dyDescent="0.2">
      <c r="A98" s="21"/>
      <c r="B98" s="21"/>
      <c r="C98" s="22" t="s">
        <v>104</v>
      </c>
      <c r="D98" s="21"/>
      <c r="E98" s="21"/>
      <c r="F98" s="21"/>
      <c r="G98" s="21"/>
      <c r="H98" s="23" t="s">
        <v>12</v>
      </c>
    </row>
    <row r="99" spans="1:8" x14ac:dyDescent="0.2">
      <c r="A99" s="21"/>
      <c r="B99" s="21"/>
      <c r="C99" s="22" t="s">
        <v>105</v>
      </c>
      <c r="D99" s="21"/>
      <c r="E99" s="21"/>
      <c r="F99" s="21"/>
      <c r="G99" s="21"/>
      <c r="H99" s="23" t="s">
        <v>12</v>
      </c>
    </row>
    <row r="100" spans="1:8" x14ac:dyDescent="0.2">
      <c r="A100" s="21"/>
      <c r="B100" s="21"/>
      <c r="C100" s="22" t="s">
        <v>11</v>
      </c>
      <c r="D100" s="21"/>
      <c r="E100" s="21" t="s">
        <v>12</v>
      </c>
      <c r="F100" s="24" t="s">
        <v>13</v>
      </c>
      <c r="G100" s="25">
        <v>0</v>
      </c>
      <c r="H100" s="23" t="s">
        <v>12</v>
      </c>
    </row>
    <row r="101" spans="1:8" x14ac:dyDescent="0.2">
      <c r="A101" s="21"/>
      <c r="B101" s="21"/>
      <c r="C101" s="26"/>
      <c r="D101" s="21"/>
      <c r="E101" s="21"/>
      <c r="F101" s="27"/>
      <c r="G101" s="27"/>
      <c r="H101" s="23" t="s">
        <v>12</v>
      </c>
    </row>
    <row r="102" spans="1:8" x14ac:dyDescent="0.2">
      <c r="A102" s="21"/>
      <c r="B102" s="21"/>
      <c r="C102" s="22" t="s">
        <v>106</v>
      </c>
      <c r="D102" s="21"/>
      <c r="E102" s="21"/>
      <c r="F102" s="27"/>
      <c r="G102" s="27"/>
      <c r="H102" s="23" t="s">
        <v>12</v>
      </c>
    </row>
    <row r="103" spans="1:8" x14ac:dyDescent="0.2">
      <c r="A103" s="21"/>
      <c r="B103" s="21"/>
      <c r="C103" s="22" t="s">
        <v>11</v>
      </c>
      <c r="D103" s="21"/>
      <c r="E103" s="21" t="s">
        <v>12</v>
      </c>
      <c r="F103" s="24" t="s">
        <v>13</v>
      </c>
      <c r="G103" s="25">
        <v>0</v>
      </c>
      <c r="H103" s="23" t="s">
        <v>12</v>
      </c>
    </row>
    <row r="104" spans="1:8" x14ac:dyDescent="0.2">
      <c r="A104" s="21"/>
      <c r="B104" s="30"/>
      <c r="C104" s="30"/>
      <c r="D104" s="22"/>
      <c r="E104" s="21"/>
      <c r="F104" s="30"/>
      <c r="G104" s="34"/>
      <c r="H104" s="23" t="s">
        <v>12</v>
      </c>
    </row>
    <row r="105" spans="1:8" x14ac:dyDescent="0.2">
      <c r="A105" s="34"/>
      <c r="B105" s="30"/>
      <c r="C105" s="30" t="s">
        <v>107</v>
      </c>
      <c r="D105" s="30"/>
      <c r="E105" s="34"/>
      <c r="F105" s="32">
        <v>2221.2894357099999</v>
      </c>
      <c r="G105" s="33">
        <v>3.0156659999999998E-2</v>
      </c>
      <c r="H105" s="23" t="s">
        <v>12</v>
      </c>
    </row>
    <row r="106" spans="1:8" x14ac:dyDescent="0.2">
      <c r="A106" s="26"/>
      <c r="B106" s="26"/>
      <c r="C106" s="22" t="s">
        <v>108</v>
      </c>
      <c r="D106" s="27"/>
      <c r="E106" s="27"/>
      <c r="F106" s="28">
        <v>73658.327307475003</v>
      </c>
      <c r="G106" s="35">
        <v>0.99999996999999996</v>
      </c>
      <c r="H106" s="23" t="s">
        <v>12</v>
      </c>
    </row>
    <row r="107" spans="1:8" x14ac:dyDescent="0.2">
      <c r="A107" s="36"/>
      <c r="B107" s="36"/>
      <c r="C107" s="36"/>
      <c r="D107" s="37"/>
      <c r="E107" s="37"/>
      <c r="F107" s="37"/>
      <c r="G107" s="37"/>
    </row>
    <row r="108" spans="1:8" x14ac:dyDescent="0.2">
      <c r="A108" s="38"/>
      <c r="B108" s="39" t="s">
        <v>567</v>
      </c>
      <c r="C108" s="39"/>
      <c r="D108" s="39"/>
      <c r="E108" s="39"/>
      <c r="F108" s="39"/>
      <c r="G108" s="39"/>
      <c r="H108" s="39"/>
    </row>
    <row r="109" spans="1:8" x14ac:dyDescent="0.2">
      <c r="A109" s="38"/>
      <c r="B109" s="39" t="s">
        <v>568</v>
      </c>
      <c r="C109" s="39"/>
      <c r="D109" s="39"/>
      <c r="E109" s="39"/>
      <c r="F109" s="39"/>
      <c r="G109" s="39"/>
      <c r="H109" s="39"/>
    </row>
    <row r="110" spans="1:8" x14ac:dyDescent="0.2">
      <c r="A110" s="38"/>
      <c r="B110" s="39" t="s">
        <v>569</v>
      </c>
      <c r="C110" s="39"/>
      <c r="D110" s="39"/>
      <c r="E110" s="39"/>
      <c r="F110" s="39"/>
      <c r="G110" s="39"/>
      <c r="H110" s="39"/>
    </row>
    <row r="111" spans="1:8" x14ac:dyDescent="0.2">
      <c r="A111" s="38"/>
      <c r="B111" s="38"/>
      <c r="C111" s="38"/>
      <c r="D111" s="40"/>
      <c r="E111" s="40"/>
      <c r="F111" s="40"/>
      <c r="G111" s="40"/>
    </row>
    <row r="112" spans="1:8" x14ac:dyDescent="0.2">
      <c r="A112" s="38"/>
      <c r="B112" s="41" t="s">
        <v>109</v>
      </c>
      <c r="C112" s="42"/>
      <c r="D112" s="43"/>
      <c r="E112" s="44"/>
      <c r="F112" s="40"/>
      <c r="G112" s="40"/>
    </row>
    <row r="113" spans="1:7" ht="24" customHeight="1" x14ac:dyDescent="0.2">
      <c r="A113" s="38"/>
      <c r="B113" s="45" t="s">
        <v>110</v>
      </c>
      <c r="C113" s="46"/>
      <c r="D113" s="22" t="s">
        <v>111</v>
      </c>
      <c r="E113" s="44"/>
      <c r="F113" s="40"/>
      <c r="G113" s="40"/>
    </row>
    <row r="114" spans="1:7" x14ac:dyDescent="0.2">
      <c r="A114" s="38"/>
      <c r="B114" s="45" t="s">
        <v>112</v>
      </c>
      <c r="C114" s="46"/>
      <c r="D114" s="22" t="s">
        <v>111</v>
      </c>
      <c r="E114" s="44"/>
      <c r="F114" s="40"/>
      <c r="G114" s="40"/>
    </row>
    <row r="115" spans="1:7" x14ac:dyDescent="0.2">
      <c r="A115" s="38"/>
      <c r="B115" s="45" t="s">
        <v>113</v>
      </c>
      <c r="C115" s="46"/>
      <c r="D115" s="27" t="s">
        <v>12</v>
      </c>
      <c r="E115" s="44"/>
      <c r="F115" s="40"/>
      <c r="G115" s="40"/>
    </row>
    <row r="116" spans="1:7" x14ac:dyDescent="0.2">
      <c r="A116" s="47"/>
      <c r="B116" s="48" t="s">
        <v>12</v>
      </c>
      <c r="C116" s="48" t="s">
        <v>570</v>
      </c>
      <c r="D116" s="48" t="s">
        <v>114</v>
      </c>
      <c r="E116" s="47"/>
      <c r="F116" s="47"/>
      <c r="G116" s="47"/>
    </row>
    <row r="117" spans="1:7" x14ac:dyDescent="0.2">
      <c r="A117" s="47"/>
      <c r="B117" s="49" t="s">
        <v>115</v>
      </c>
      <c r="C117" s="50">
        <v>45747</v>
      </c>
      <c r="D117" s="50">
        <v>45762</v>
      </c>
      <c r="E117" s="47"/>
      <c r="F117" s="47"/>
      <c r="G117" s="47"/>
    </row>
    <row r="118" spans="1:7" x14ac:dyDescent="0.2">
      <c r="A118" s="47"/>
      <c r="B118" s="30" t="s">
        <v>116</v>
      </c>
      <c r="C118" s="51">
        <v>40.611699999999999</v>
      </c>
      <c r="D118" s="51">
        <v>40.975200000000001</v>
      </c>
      <c r="E118" s="47"/>
      <c r="F118" s="52"/>
      <c r="G118" s="53"/>
    </row>
    <row r="119" spans="1:7" x14ac:dyDescent="0.2">
      <c r="A119" s="47"/>
      <c r="B119" s="30" t="s">
        <v>695</v>
      </c>
      <c r="C119" s="51">
        <v>17.823799999999999</v>
      </c>
      <c r="D119" s="51">
        <v>17.9833</v>
      </c>
      <c r="E119" s="47"/>
      <c r="F119" s="52"/>
      <c r="G119" s="53"/>
    </row>
    <row r="120" spans="1:7" x14ac:dyDescent="0.2">
      <c r="A120" s="47"/>
      <c r="B120" s="30" t="s">
        <v>696</v>
      </c>
      <c r="C120" s="51">
        <v>19.7804</v>
      </c>
      <c r="D120" s="51">
        <v>19.9574</v>
      </c>
      <c r="E120" s="47"/>
      <c r="F120" s="52"/>
      <c r="G120" s="53"/>
    </row>
    <row r="121" spans="1:7" x14ac:dyDescent="0.2">
      <c r="A121" s="47"/>
      <c r="B121" s="30" t="s">
        <v>697</v>
      </c>
      <c r="C121" s="51">
        <v>17.328399999999998</v>
      </c>
      <c r="D121" s="51">
        <v>17.4834</v>
      </c>
      <c r="E121" s="47"/>
      <c r="F121" s="52"/>
      <c r="G121" s="53"/>
    </row>
    <row r="122" spans="1:7" x14ac:dyDescent="0.2">
      <c r="A122" s="47"/>
      <c r="B122" s="30" t="s">
        <v>698</v>
      </c>
      <c r="C122" s="51">
        <v>18.069299999999998</v>
      </c>
      <c r="D122" s="51">
        <v>18.231000000000002</v>
      </c>
      <c r="E122" s="47"/>
      <c r="F122" s="52"/>
      <c r="G122" s="53"/>
    </row>
    <row r="123" spans="1:7" x14ac:dyDescent="0.2">
      <c r="A123" s="47"/>
      <c r="B123" s="30" t="s">
        <v>117</v>
      </c>
      <c r="C123" s="51">
        <v>39.299199999999999</v>
      </c>
      <c r="D123" s="51">
        <v>39.647599999999997</v>
      </c>
      <c r="E123" s="47"/>
      <c r="F123" s="52"/>
      <c r="G123" s="53"/>
    </row>
    <row r="124" spans="1:7" x14ac:dyDescent="0.2">
      <c r="A124" s="47"/>
      <c r="B124" s="30" t="s">
        <v>699</v>
      </c>
      <c r="C124" s="51">
        <v>16.830400000000001</v>
      </c>
      <c r="D124" s="51">
        <v>16.979700000000001</v>
      </c>
      <c r="E124" s="47"/>
      <c r="F124" s="52"/>
      <c r="G124" s="53"/>
    </row>
    <row r="125" spans="1:7" x14ac:dyDescent="0.2">
      <c r="A125" s="47"/>
      <c r="B125" s="30" t="s">
        <v>665</v>
      </c>
      <c r="C125" s="51">
        <v>19.1767</v>
      </c>
      <c r="D125" s="51">
        <v>19.346800000000002</v>
      </c>
      <c r="E125" s="47"/>
      <c r="F125" s="52"/>
      <c r="G125" s="53"/>
    </row>
    <row r="126" spans="1:7" ht="25.5" x14ac:dyDescent="0.2">
      <c r="A126" s="47"/>
      <c r="B126" s="30" t="s">
        <v>700</v>
      </c>
      <c r="C126" s="51">
        <v>17.203900000000001</v>
      </c>
      <c r="D126" s="51">
        <v>17.356400000000001</v>
      </c>
      <c r="E126" s="47"/>
      <c r="F126" s="52"/>
      <c r="G126" s="53"/>
    </row>
    <row r="127" spans="1:7" x14ac:dyDescent="0.2">
      <c r="A127" s="47"/>
      <c r="B127" s="30" t="s">
        <v>701</v>
      </c>
      <c r="C127" s="51">
        <v>17.521599999999999</v>
      </c>
      <c r="D127" s="51">
        <v>17.6769</v>
      </c>
      <c r="E127" s="47"/>
      <c r="F127" s="52"/>
      <c r="G127" s="53"/>
    </row>
    <row r="128" spans="1:7" x14ac:dyDescent="0.2">
      <c r="A128" s="47"/>
      <c r="B128" s="47"/>
      <c r="C128" s="47"/>
      <c r="D128" s="47"/>
      <c r="E128" s="47"/>
      <c r="F128" s="47"/>
      <c r="G128" s="47"/>
    </row>
    <row r="129" spans="1:14" x14ac:dyDescent="0.2">
      <c r="A129" s="47"/>
      <c r="B129" s="45" t="s">
        <v>702</v>
      </c>
      <c r="C129" s="46"/>
      <c r="D129" s="22" t="s">
        <v>111</v>
      </c>
      <c r="E129" s="47"/>
      <c r="F129" s="47"/>
      <c r="G129" s="47"/>
    </row>
    <row r="130" spans="1:14" x14ac:dyDescent="0.2">
      <c r="A130" s="47"/>
      <c r="B130" s="54"/>
      <c r="C130" s="54"/>
      <c r="D130" s="54"/>
      <c r="E130" s="47"/>
      <c r="F130" s="47"/>
      <c r="G130" s="47"/>
    </row>
    <row r="131" spans="1:14" x14ac:dyDescent="0.2">
      <c r="A131" s="47"/>
      <c r="B131" s="45" t="s">
        <v>118</v>
      </c>
      <c r="C131" s="46"/>
      <c r="D131" s="22" t="s">
        <v>111</v>
      </c>
      <c r="E131" s="55"/>
      <c r="F131" s="47"/>
      <c r="G131" s="47"/>
    </row>
    <row r="132" spans="1:14" x14ac:dyDescent="0.2">
      <c r="A132" s="47"/>
      <c r="B132" s="45" t="s">
        <v>119</v>
      </c>
      <c r="C132" s="46"/>
      <c r="D132" s="22" t="s">
        <v>111</v>
      </c>
      <c r="E132" s="55"/>
      <c r="F132" s="47"/>
      <c r="G132" s="47"/>
    </row>
    <row r="133" spans="1:14" x14ac:dyDescent="0.2">
      <c r="A133" s="47"/>
      <c r="B133" s="45" t="s">
        <v>571</v>
      </c>
      <c r="C133" s="46"/>
      <c r="D133" s="22" t="s">
        <v>111</v>
      </c>
      <c r="E133" s="55"/>
      <c r="F133" s="47"/>
      <c r="G133" s="47"/>
    </row>
    <row r="134" spans="1:14" x14ac:dyDescent="0.2">
      <c r="A134" s="54"/>
      <c r="B134" s="54"/>
      <c r="C134" s="54"/>
      <c r="D134" s="54"/>
      <c r="E134" s="54"/>
      <c r="F134" s="54"/>
      <c r="G134" s="54"/>
    </row>
    <row r="135" spans="1:14" s="60" customFormat="1" x14ac:dyDescent="0.2">
      <c r="B135" s="57" t="s">
        <v>572</v>
      </c>
      <c r="C135" s="58"/>
      <c r="D135" s="59"/>
      <c r="H135" s="17"/>
      <c r="I135" s="17"/>
      <c r="J135" s="56"/>
      <c r="K135" s="56"/>
      <c r="L135" s="56"/>
      <c r="M135" s="56"/>
      <c r="N135" s="56"/>
    </row>
    <row r="136" spans="1:14" s="60" customFormat="1" ht="38.25" x14ac:dyDescent="0.2">
      <c r="B136" s="62" t="s">
        <v>573</v>
      </c>
      <c r="C136" s="62"/>
      <c r="D136" s="63" t="s">
        <v>1</v>
      </c>
      <c r="H136" s="17"/>
      <c r="I136" s="17"/>
      <c r="J136" s="56"/>
      <c r="K136" s="56"/>
      <c r="L136" s="56"/>
      <c r="M136" s="56"/>
      <c r="N136" s="56"/>
    </row>
    <row r="137" spans="1:14" s="60" customFormat="1" x14ac:dyDescent="0.2">
      <c r="B137" s="64" t="s">
        <v>574</v>
      </c>
      <c r="C137" s="64"/>
      <c r="D137" s="65"/>
      <c r="H137" s="17"/>
      <c r="I137" s="17"/>
      <c r="J137" s="56"/>
      <c r="K137" s="56"/>
      <c r="L137" s="56"/>
      <c r="M137" s="56"/>
      <c r="N137" s="56"/>
    </row>
    <row r="138" spans="1:14" s="60" customFormat="1" x14ac:dyDescent="0.2">
      <c r="B138" s="70"/>
      <c r="C138" s="72"/>
      <c r="D138" s="66"/>
      <c r="H138" s="17"/>
      <c r="I138" s="17"/>
      <c r="J138" s="56"/>
      <c r="K138" s="56"/>
      <c r="L138" s="56"/>
      <c r="M138" s="56"/>
      <c r="N138" s="56"/>
    </row>
    <row r="139" spans="1:14" s="60" customFormat="1" x14ac:dyDescent="0.2">
      <c r="B139" s="64" t="s">
        <v>575</v>
      </c>
      <c r="C139" s="64"/>
      <c r="D139" s="67">
        <v>6.745473984240391</v>
      </c>
      <c r="H139" s="17"/>
      <c r="I139" s="17"/>
      <c r="J139" s="56"/>
      <c r="K139" s="56"/>
      <c r="L139" s="56"/>
      <c r="M139" s="56"/>
      <c r="N139" s="56"/>
    </row>
    <row r="140" spans="1:14" s="60" customFormat="1" x14ac:dyDescent="0.2">
      <c r="B140" s="70"/>
      <c r="C140" s="72"/>
      <c r="D140" s="66"/>
      <c r="H140" s="17"/>
      <c r="I140" s="17"/>
      <c r="J140" s="56"/>
      <c r="K140" s="56"/>
      <c r="L140" s="56"/>
      <c r="M140" s="56"/>
      <c r="N140" s="56"/>
    </row>
    <row r="141" spans="1:14" s="60" customFormat="1" x14ac:dyDescent="0.2">
      <c r="B141" s="64" t="s">
        <v>576</v>
      </c>
      <c r="C141" s="64"/>
      <c r="D141" s="67">
        <v>3.9877741331310248</v>
      </c>
      <c r="H141" s="17"/>
      <c r="I141" s="17"/>
      <c r="J141" s="56"/>
      <c r="K141" s="56"/>
      <c r="L141" s="56"/>
      <c r="M141" s="56"/>
      <c r="N141" s="56"/>
    </row>
    <row r="142" spans="1:14" s="60" customFormat="1" x14ac:dyDescent="0.2">
      <c r="B142" s="64" t="s">
        <v>577</v>
      </c>
      <c r="C142" s="64"/>
      <c r="D142" s="67">
        <v>6.0506931544296476</v>
      </c>
      <c r="H142" s="17"/>
      <c r="I142" s="17"/>
      <c r="J142" s="56"/>
      <c r="K142" s="56"/>
      <c r="L142" s="56"/>
      <c r="M142" s="56"/>
      <c r="N142" s="56"/>
    </row>
    <row r="143" spans="1:14" s="60" customFormat="1" x14ac:dyDescent="0.2">
      <c r="B143" s="70"/>
      <c r="C143" s="72"/>
      <c r="D143" s="66"/>
      <c r="I143" s="17"/>
      <c r="J143" s="56"/>
      <c r="K143" s="56"/>
      <c r="L143" s="56"/>
      <c r="M143" s="56"/>
      <c r="N143" s="56"/>
    </row>
    <row r="144" spans="1:14" s="60" customFormat="1" x14ac:dyDescent="0.2">
      <c r="B144" s="64" t="s">
        <v>578</v>
      </c>
      <c r="C144" s="64"/>
      <c r="D144" s="69" t="s">
        <v>690</v>
      </c>
      <c r="I144" s="17"/>
      <c r="J144" s="56"/>
      <c r="K144" s="56"/>
      <c r="L144" s="56"/>
      <c r="M144" s="56"/>
      <c r="N144" s="61"/>
    </row>
    <row r="145" spans="2:14" s="60" customFormat="1" x14ac:dyDescent="0.2">
      <c r="B145" s="70" t="s">
        <v>579</v>
      </c>
      <c r="C145" s="71"/>
      <c r="D145" s="72"/>
      <c r="I145" s="17"/>
      <c r="J145" s="56"/>
      <c r="K145" s="56"/>
      <c r="L145" s="56"/>
      <c r="M145" s="56"/>
      <c r="N145" s="56"/>
    </row>
    <row r="147" spans="2:14" x14ac:dyDescent="0.2">
      <c r="B147" s="74" t="s">
        <v>580</v>
      </c>
    </row>
    <row r="149" spans="2:14" ht="153.75" customHeight="1" x14ac:dyDescent="0.2"/>
    <row r="152" spans="2:14" x14ac:dyDescent="0.2">
      <c r="B152" s="75" t="s">
        <v>581</v>
      </c>
      <c r="C152" s="76"/>
      <c r="D152" s="75"/>
    </row>
    <row r="153" spans="2:14" x14ac:dyDescent="0.2">
      <c r="B153" s="75" t="s">
        <v>582</v>
      </c>
      <c r="D153" s="75"/>
    </row>
    <row r="154" spans="2:14" ht="165" customHeight="1" x14ac:dyDescent="0.2"/>
  </sheetData>
  <mergeCells count="25">
    <mergeCell ref="B110:H110"/>
    <mergeCell ref="B136:C136"/>
    <mergeCell ref="B137:C137"/>
    <mergeCell ref="B112:D112"/>
    <mergeCell ref="B113:C113"/>
    <mergeCell ref="B114:C114"/>
    <mergeCell ref="B115:C115"/>
    <mergeCell ref="B129:C129"/>
    <mergeCell ref="B133:C133"/>
    <mergeCell ref="B131:C131"/>
    <mergeCell ref="B132:C132"/>
    <mergeCell ref="B135:D135"/>
    <mergeCell ref="A1:H1"/>
    <mergeCell ref="A2:H2"/>
    <mergeCell ref="A3:H3"/>
    <mergeCell ref="B108:H108"/>
    <mergeCell ref="B109:H109"/>
    <mergeCell ref="B143:C143"/>
    <mergeCell ref="B144:C144"/>
    <mergeCell ref="B145:D145"/>
    <mergeCell ref="B138:C138"/>
    <mergeCell ref="B139:C139"/>
    <mergeCell ref="B140:C140"/>
    <mergeCell ref="B141:C141"/>
    <mergeCell ref="B142:C142"/>
  </mergeCells>
  <hyperlinks>
    <hyperlink ref="I1" location="Index!B2" display="Index" xr:uid="{7F7CE1A6-73E4-4231-8DC1-59B36998739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8780-3845-4BD9-A0AE-EFB0CEDE56BC}">
  <sheetPr>
    <outlinePr summaryBelow="0" summaryRight="0"/>
  </sheetPr>
  <dimension ref="A1:R151"/>
  <sheetViews>
    <sheetView showGridLines="0" workbookViewId="0">
      <selection sqref="A1:H1"/>
    </sheetView>
  </sheetViews>
  <sheetFormatPr defaultRowHeight="12.75" x14ac:dyDescent="0.2"/>
  <cols>
    <col min="1" max="1" width="5.85546875" style="17" bestFit="1" customWidth="1"/>
    <col min="2" max="2" width="15.85546875" style="17" customWidth="1"/>
    <col min="3" max="3" width="51" style="17" customWidth="1"/>
    <col min="4" max="4" width="17.7109375" style="17" bestFit="1" customWidth="1"/>
    <col min="5" max="5" width="9.42578125" style="17" bestFit="1" customWidth="1"/>
    <col min="6" max="6" width="10.140625" style="17" bestFit="1" customWidth="1"/>
    <col min="7" max="7" width="14" style="17" bestFit="1" customWidth="1"/>
    <col min="8" max="8" width="5.85546875" style="17" bestFit="1" customWidth="1"/>
    <col min="9" max="9" width="5.7109375" style="17" bestFit="1" customWidth="1"/>
    <col min="10" max="16384" width="9.140625" style="17"/>
  </cols>
  <sheetData>
    <row r="1" spans="1:9" ht="15" x14ac:dyDescent="0.2">
      <c r="A1" s="16" t="s">
        <v>0</v>
      </c>
      <c r="B1" s="16"/>
      <c r="C1" s="16"/>
      <c r="D1" s="16"/>
      <c r="E1" s="16"/>
      <c r="F1" s="16"/>
      <c r="G1" s="16"/>
      <c r="H1" s="16"/>
      <c r="I1" s="7" t="s">
        <v>565</v>
      </c>
    </row>
    <row r="2" spans="1:9" ht="15" x14ac:dyDescent="0.2">
      <c r="A2" s="16" t="s">
        <v>120</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9">
        <v>1</v>
      </c>
      <c r="B28" s="30" t="s">
        <v>49</v>
      </c>
      <c r="C28" s="30" t="s">
        <v>50</v>
      </c>
      <c r="D28" s="30" t="s">
        <v>34</v>
      </c>
      <c r="E28" s="31">
        <v>300</v>
      </c>
      <c r="F28" s="32">
        <v>3040.8029999999999</v>
      </c>
      <c r="G28" s="33">
        <v>7.6323089999999996E-2</v>
      </c>
      <c r="H28" s="23">
        <v>6.8285999999999998</v>
      </c>
    </row>
    <row r="29" spans="1:8" x14ac:dyDescent="0.2">
      <c r="A29" s="29">
        <v>2</v>
      </c>
      <c r="B29" s="30" t="s">
        <v>121</v>
      </c>
      <c r="C29" s="30" t="s">
        <v>122</v>
      </c>
      <c r="D29" s="30" t="s">
        <v>34</v>
      </c>
      <c r="E29" s="31">
        <v>250</v>
      </c>
      <c r="F29" s="32">
        <v>2538.15</v>
      </c>
      <c r="G29" s="33">
        <v>6.3706680000000002E-2</v>
      </c>
      <c r="H29" s="23">
        <v>6.9572000000000003</v>
      </c>
    </row>
    <row r="30" spans="1:8" x14ac:dyDescent="0.2">
      <c r="A30" s="29">
        <v>3</v>
      </c>
      <c r="B30" s="30" t="s">
        <v>123</v>
      </c>
      <c r="C30" s="30" t="s">
        <v>124</v>
      </c>
      <c r="D30" s="30" t="s">
        <v>23</v>
      </c>
      <c r="E30" s="31">
        <v>2500</v>
      </c>
      <c r="F30" s="32">
        <v>2531.625</v>
      </c>
      <c r="G30" s="33">
        <v>6.3542899999999999E-2</v>
      </c>
      <c r="H30" s="23">
        <v>7.22</v>
      </c>
    </row>
    <row r="31" spans="1:8" x14ac:dyDescent="0.2">
      <c r="A31" s="29">
        <v>4</v>
      </c>
      <c r="B31" s="30" t="s">
        <v>125</v>
      </c>
      <c r="C31" s="30" t="s">
        <v>126</v>
      </c>
      <c r="D31" s="30" t="s">
        <v>23</v>
      </c>
      <c r="E31" s="31">
        <v>2000</v>
      </c>
      <c r="F31" s="32">
        <v>2029.366</v>
      </c>
      <c r="G31" s="33">
        <v>5.0936380000000003E-2</v>
      </c>
      <c r="H31" s="23">
        <v>6.86</v>
      </c>
    </row>
    <row r="32" spans="1:8" ht="25.5" x14ac:dyDescent="0.2">
      <c r="A32" s="29">
        <v>5</v>
      </c>
      <c r="B32" s="30" t="s">
        <v>127</v>
      </c>
      <c r="C32" s="30" t="s">
        <v>128</v>
      </c>
      <c r="D32" s="30" t="s">
        <v>34</v>
      </c>
      <c r="E32" s="31">
        <v>200</v>
      </c>
      <c r="F32" s="32">
        <v>2007.278</v>
      </c>
      <c r="G32" s="33">
        <v>5.038198E-2</v>
      </c>
      <c r="H32" s="23">
        <v>6.97</v>
      </c>
    </row>
    <row r="33" spans="1:8" x14ac:dyDescent="0.2">
      <c r="A33" s="29">
        <v>6</v>
      </c>
      <c r="B33" s="30" t="s">
        <v>129</v>
      </c>
      <c r="C33" s="30" t="s">
        <v>130</v>
      </c>
      <c r="D33" s="30" t="s">
        <v>34</v>
      </c>
      <c r="E33" s="31">
        <v>200</v>
      </c>
      <c r="F33" s="32">
        <v>1976.3679999999999</v>
      </c>
      <c r="G33" s="33">
        <v>4.960614E-2</v>
      </c>
      <c r="H33" s="23">
        <v>6.99</v>
      </c>
    </row>
    <row r="34" spans="1:8" ht="25.5" x14ac:dyDescent="0.2">
      <c r="A34" s="29">
        <v>7</v>
      </c>
      <c r="B34" s="30" t="s">
        <v>35</v>
      </c>
      <c r="C34" s="30" t="s">
        <v>36</v>
      </c>
      <c r="D34" s="30" t="s">
        <v>23</v>
      </c>
      <c r="E34" s="31">
        <v>1500</v>
      </c>
      <c r="F34" s="32">
        <v>1530.6659999999999</v>
      </c>
      <c r="G34" s="33">
        <v>3.8419179999999997E-2</v>
      </c>
      <c r="H34" s="23">
        <v>7.02</v>
      </c>
    </row>
    <row r="35" spans="1:8" x14ac:dyDescent="0.2">
      <c r="A35" s="29">
        <v>8</v>
      </c>
      <c r="B35" s="30" t="s">
        <v>131</v>
      </c>
      <c r="C35" s="30" t="s">
        <v>132</v>
      </c>
      <c r="D35" s="30" t="s">
        <v>23</v>
      </c>
      <c r="E35" s="31">
        <v>1500</v>
      </c>
      <c r="F35" s="32">
        <v>1519.6110000000001</v>
      </c>
      <c r="G35" s="33">
        <v>3.8141700000000001E-2</v>
      </c>
      <c r="H35" s="23">
        <v>6.8940000000000001</v>
      </c>
    </row>
    <row r="36" spans="1:8" ht="25.5" x14ac:dyDescent="0.2">
      <c r="A36" s="29">
        <v>9</v>
      </c>
      <c r="B36" s="30" t="s">
        <v>41</v>
      </c>
      <c r="C36" s="30" t="s">
        <v>42</v>
      </c>
      <c r="D36" s="30" t="s">
        <v>23</v>
      </c>
      <c r="E36" s="31">
        <v>1500</v>
      </c>
      <c r="F36" s="32">
        <v>1507.635</v>
      </c>
      <c r="G36" s="33">
        <v>3.7841109999999997E-2</v>
      </c>
      <c r="H36" s="23">
        <v>6.9</v>
      </c>
    </row>
    <row r="37" spans="1:8" x14ac:dyDescent="0.2">
      <c r="A37" s="29">
        <v>10</v>
      </c>
      <c r="B37" s="30" t="s">
        <v>133</v>
      </c>
      <c r="C37" s="30" t="s">
        <v>134</v>
      </c>
      <c r="D37" s="30" t="s">
        <v>23</v>
      </c>
      <c r="E37" s="31">
        <v>1000</v>
      </c>
      <c r="F37" s="32">
        <v>1027.8209999999999</v>
      </c>
      <c r="G37" s="33">
        <v>2.579795E-2</v>
      </c>
      <c r="H37" s="23">
        <v>6.9211999999999998</v>
      </c>
    </row>
    <row r="38" spans="1:8" ht="25.5" x14ac:dyDescent="0.2">
      <c r="A38" s="29">
        <v>11</v>
      </c>
      <c r="B38" s="30" t="s">
        <v>24</v>
      </c>
      <c r="C38" s="30" t="s">
        <v>25</v>
      </c>
      <c r="D38" s="30" t="s">
        <v>23</v>
      </c>
      <c r="E38" s="31">
        <v>1000</v>
      </c>
      <c r="F38" s="32">
        <v>1014.784</v>
      </c>
      <c r="G38" s="33">
        <v>2.5470719999999999E-2</v>
      </c>
      <c r="H38" s="23">
        <v>6.97</v>
      </c>
    </row>
    <row r="39" spans="1:8" ht="25.5" x14ac:dyDescent="0.2">
      <c r="A39" s="29">
        <v>12</v>
      </c>
      <c r="B39" s="30" t="s">
        <v>135</v>
      </c>
      <c r="C39" s="30" t="s">
        <v>136</v>
      </c>
      <c r="D39" s="30" t="s">
        <v>34</v>
      </c>
      <c r="E39" s="31">
        <v>1000</v>
      </c>
      <c r="F39" s="32">
        <v>1012.976</v>
      </c>
      <c r="G39" s="33">
        <v>2.5425340000000001E-2</v>
      </c>
      <c r="H39" s="23">
        <v>7.02</v>
      </c>
    </row>
    <row r="40" spans="1:8" x14ac:dyDescent="0.2">
      <c r="A40" s="29">
        <v>13</v>
      </c>
      <c r="B40" s="30" t="s">
        <v>60</v>
      </c>
      <c r="C40" s="30" t="s">
        <v>61</v>
      </c>
      <c r="D40" s="30" t="s">
        <v>23</v>
      </c>
      <c r="E40" s="31">
        <v>1000</v>
      </c>
      <c r="F40" s="32">
        <v>1001.171</v>
      </c>
      <c r="G40" s="33">
        <v>2.5129039999999998E-2</v>
      </c>
      <c r="H40" s="23">
        <v>6.9261999999999997</v>
      </c>
    </row>
    <row r="41" spans="1:8" x14ac:dyDescent="0.2">
      <c r="A41" s="29">
        <v>14</v>
      </c>
      <c r="B41" s="30" t="s">
        <v>30</v>
      </c>
      <c r="C41" s="30" t="s">
        <v>31</v>
      </c>
      <c r="D41" s="30" t="s">
        <v>23</v>
      </c>
      <c r="E41" s="31">
        <v>500</v>
      </c>
      <c r="F41" s="32">
        <v>514.35350000000005</v>
      </c>
      <c r="G41" s="33">
        <v>1.2910090000000001E-2</v>
      </c>
      <c r="H41" s="23">
        <v>6.99</v>
      </c>
    </row>
    <row r="42" spans="1:8" ht="25.5" x14ac:dyDescent="0.2">
      <c r="A42" s="29">
        <v>15</v>
      </c>
      <c r="B42" s="30" t="s">
        <v>137</v>
      </c>
      <c r="C42" s="30" t="s">
        <v>138</v>
      </c>
      <c r="D42" s="30" t="s">
        <v>23</v>
      </c>
      <c r="E42" s="31">
        <v>500</v>
      </c>
      <c r="F42" s="32">
        <v>513.69849999999997</v>
      </c>
      <c r="G42" s="33">
        <v>1.289365E-2</v>
      </c>
      <c r="H42" s="23">
        <v>7.01</v>
      </c>
    </row>
    <row r="43" spans="1:8" x14ac:dyDescent="0.2">
      <c r="A43" s="29">
        <v>16</v>
      </c>
      <c r="B43" s="30" t="s">
        <v>45</v>
      </c>
      <c r="C43" s="30" t="s">
        <v>46</v>
      </c>
      <c r="D43" s="30" t="s">
        <v>23</v>
      </c>
      <c r="E43" s="31">
        <v>500</v>
      </c>
      <c r="F43" s="32">
        <v>509.72</v>
      </c>
      <c r="G43" s="33">
        <v>1.2793789999999999E-2</v>
      </c>
      <c r="H43" s="23">
        <v>7.0223000000000004</v>
      </c>
    </row>
    <row r="44" spans="1:8" ht="25.5" x14ac:dyDescent="0.2">
      <c r="A44" s="29">
        <v>17</v>
      </c>
      <c r="B44" s="30" t="s">
        <v>139</v>
      </c>
      <c r="C44" s="30" t="s">
        <v>140</v>
      </c>
      <c r="D44" s="30" t="s">
        <v>34</v>
      </c>
      <c r="E44" s="31">
        <v>500</v>
      </c>
      <c r="F44" s="32">
        <v>506.65499999999997</v>
      </c>
      <c r="G44" s="33">
        <v>1.271686E-2</v>
      </c>
      <c r="H44" s="23">
        <v>7.02</v>
      </c>
    </row>
    <row r="45" spans="1:8" ht="25.5" x14ac:dyDescent="0.2">
      <c r="A45" s="29">
        <v>18</v>
      </c>
      <c r="B45" s="30" t="s">
        <v>141</v>
      </c>
      <c r="C45" s="30" t="s">
        <v>142</v>
      </c>
      <c r="D45" s="30" t="s">
        <v>23</v>
      </c>
      <c r="E45" s="31">
        <v>500</v>
      </c>
      <c r="F45" s="32">
        <v>505.54199999999997</v>
      </c>
      <c r="G45" s="33">
        <v>1.2688929999999999E-2</v>
      </c>
      <c r="H45" s="23">
        <v>6.9</v>
      </c>
    </row>
    <row r="46" spans="1:8" x14ac:dyDescent="0.2">
      <c r="A46" s="29">
        <v>19</v>
      </c>
      <c r="B46" s="30" t="s">
        <v>55</v>
      </c>
      <c r="C46" s="30" t="s">
        <v>56</v>
      </c>
      <c r="D46" s="30" t="s">
        <v>23</v>
      </c>
      <c r="E46" s="31">
        <v>500</v>
      </c>
      <c r="F46" s="32">
        <v>505.17950000000002</v>
      </c>
      <c r="G46" s="33">
        <v>1.267983E-2</v>
      </c>
      <c r="H46" s="23">
        <v>6.95</v>
      </c>
    </row>
    <row r="47" spans="1:8" x14ac:dyDescent="0.2">
      <c r="A47" s="29">
        <v>20</v>
      </c>
      <c r="B47" s="30" t="s">
        <v>51</v>
      </c>
      <c r="C47" s="30" t="s">
        <v>52</v>
      </c>
      <c r="D47" s="30" t="s">
        <v>23</v>
      </c>
      <c r="E47" s="31">
        <v>500</v>
      </c>
      <c r="F47" s="32">
        <v>503.06799999999998</v>
      </c>
      <c r="G47" s="33">
        <v>1.262683E-2</v>
      </c>
      <c r="H47" s="23">
        <v>6.8476999999999997</v>
      </c>
    </row>
    <row r="48" spans="1:8" x14ac:dyDescent="0.2">
      <c r="A48" s="21"/>
      <c r="B48" s="21"/>
      <c r="C48" s="22" t="s">
        <v>11</v>
      </c>
      <c r="D48" s="21"/>
      <c r="E48" s="21" t="s">
        <v>12</v>
      </c>
      <c r="F48" s="28">
        <v>26296.470499999999</v>
      </c>
      <c r="G48" s="25">
        <v>0.66003219000000002</v>
      </c>
      <c r="H48" s="23" t="s">
        <v>12</v>
      </c>
    </row>
    <row r="49" spans="1:8" x14ac:dyDescent="0.2">
      <c r="A49" s="21"/>
      <c r="B49" s="21"/>
      <c r="C49" s="26"/>
      <c r="D49" s="21"/>
      <c r="E49" s="21"/>
      <c r="F49" s="27"/>
      <c r="G49" s="27"/>
      <c r="H49" s="23" t="s">
        <v>12</v>
      </c>
    </row>
    <row r="50" spans="1:8" x14ac:dyDescent="0.2">
      <c r="A50" s="21"/>
      <c r="B50" s="21"/>
      <c r="C50" s="22" t="s">
        <v>74</v>
      </c>
      <c r="D50" s="21"/>
      <c r="E50" s="21"/>
      <c r="F50" s="21"/>
      <c r="G50" s="21"/>
      <c r="H50" s="23" t="s">
        <v>12</v>
      </c>
    </row>
    <row r="51" spans="1:8" x14ac:dyDescent="0.2">
      <c r="A51" s="21"/>
      <c r="B51" s="21"/>
      <c r="C51" s="22" t="s">
        <v>11</v>
      </c>
      <c r="D51" s="21"/>
      <c r="E51" s="21" t="s">
        <v>12</v>
      </c>
      <c r="F51" s="24" t="s">
        <v>13</v>
      </c>
      <c r="G51" s="25">
        <v>0</v>
      </c>
      <c r="H51" s="23" t="s">
        <v>12</v>
      </c>
    </row>
    <row r="52" spans="1:8" x14ac:dyDescent="0.2">
      <c r="A52" s="21"/>
      <c r="B52" s="21"/>
      <c r="C52" s="26"/>
      <c r="D52" s="21"/>
      <c r="E52" s="21"/>
      <c r="F52" s="27"/>
      <c r="G52" s="27"/>
      <c r="H52" s="23" t="s">
        <v>12</v>
      </c>
    </row>
    <row r="53" spans="1:8" x14ac:dyDescent="0.2">
      <c r="A53" s="21"/>
      <c r="B53" s="21"/>
      <c r="C53" s="22" t="s">
        <v>75</v>
      </c>
      <c r="D53" s="21"/>
      <c r="E53" s="21"/>
      <c r="F53" s="21"/>
      <c r="G53" s="21"/>
      <c r="H53" s="23" t="s">
        <v>12</v>
      </c>
    </row>
    <row r="54" spans="1:8" x14ac:dyDescent="0.2">
      <c r="A54" s="29">
        <v>1</v>
      </c>
      <c r="B54" s="30" t="s">
        <v>76</v>
      </c>
      <c r="C54" s="30" t="s">
        <v>77</v>
      </c>
      <c r="D54" s="30" t="s">
        <v>78</v>
      </c>
      <c r="E54" s="31">
        <v>3500000</v>
      </c>
      <c r="F54" s="32">
        <v>3654.7945</v>
      </c>
      <c r="G54" s="33">
        <v>9.1734060000000006E-2</v>
      </c>
      <c r="H54" s="23">
        <v>6.5484999999999998</v>
      </c>
    </row>
    <row r="55" spans="1:8" x14ac:dyDescent="0.2">
      <c r="A55" s="29">
        <v>2</v>
      </c>
      <c r="B55" s="30" t="s">
        <v>143</v>
      </c>
      <c r="C55" s="30" t="s">
        <v>144</v>
      </c>
      <c r="D55" s="30" t="s">
        <v>78</v>
      </c>
      <c r="E55" s="31">
        <v>2500000</v>
      </c>
      <c r="F55" s="32">
        <v>2565.6999999999998</v>
      </c>
      <c r="G55" s="33">
        <v>6.4398170000000005E-2</v>
      </c>
      <c r="H55" s="23">
        <v>6.5190999999999999</v>
      </c>
    </row>
    <row r="56" spans="1:8" x14ac:dyDescent="0.2">
      <c r="A56" s="29">
        <v>3</v>
      </c>
      <c r="B56" s="30" t="s">
        <v>79</v>
      </c>
      <c r="C56" s="30" t="s">
        <v>80</v>
      </c>
      <c r="D56" s="30" t="s">
        <v>78</v>
      </c>
      <c r="E56" s="31">
        <v>1000000</v>
      </c>
      <c r="F56" s="32">
        <v>1048.8789999999999</v>
      </c>
      <c r="G56" s="33">
        <v>2.6326499999999999E-2</v>
      </c>
      <c r="H56" s="23">
        <v>6.3621999999999996</v>
      </c>
    </row>
    <row r="57" spans="1:8" x14ac:dyDescent="0.2">
      <c r="A57" s="29">
        <v>4</v>
      </c>
      <c r="B57" s="30" t="s">
        <v>83</v>
      </c>
      <c r="C57" s="30" t="s">
        <v>84</v>
      </c>
      <c r="D57" s="30" t="s">
        <v>78</v>
      </c>
      <c r="E57" s="31">
        <v>1000000</v>
      </c>
      <c r="F57" s="32">
        <v>1017.147</v>
      </c>
      <c r="G57" s="33">
        <v>2.5530029999999999E-2</v>
      </c>
      <c r="H57" s="23">
        <v>6.5214999999999996</v>
      </c>
    </row>
    <row r="58" spans="1:8" x14ac:dyDescent="0.2">
      <c r="A58" s="29">
        <v>5</v>
      </c>
      <c r="B58" s="30" t="s">
        <v>85</v>
      </c>
      <c r="C58" s="30" t="s">
        <v>86</v>
      </c>
      <c r="D58" s="30" t="s">
        <v>78</v>
      </c>
      <c r="E58" s="31">
        <v>500000</v>
      </c>
      <c r="F58" s="32">
        <v>530.87800000000004</v>
      </c>
      <c r="G58" s="33">
        <v>1.3324849999999999E-2</v>
      </c>
      <c r="H58" s="23">
        <v>7.0003000000000002</v>
      </c>
    </row>
    <row r="59" spans="1:8" x14ac:dyDescent="0.2">
      <c r="A59" s="29">
        <v>6</v>
      </c>
      <c r="B59" s="30" t="s">
        <v>145</v>
      </c>
      <c r="C59" s="30" t="s">
        <v>146</v>
      </c>
      <c r="D59" s="30" t="s">
        <v>78</v>
      </c>
      <c r="E59" s="31">
        <v>500000</v>
      </c>
      <c r="F59" s="32">
        <v>530.29999999999995</v>
      </c>
      <c r="G59" s="33">
        <v>1.331034E-2</v>
      </c>
      <c r="H59" s="23">
        <v>6.6696</v>
      </c>
    </row>
    <row r="60" spans="1:8" x14ac:dyDescent="0.2">
      <c r="A60" s="29">
        <v>7</v>
      </c>
      <c r="B60" s="30" t="s">
        <v>81</v>
      </c>
      <c r="C60" s="30" t="s">
        <v>82</v>
      </c>
      <c r="D60" s="30" t="s">
        <v>78</v>
      </c>
      <c r="E60" s="31">
        <v>500000</v>
      </c>
      <c r="F60" s="32">
        <v>528.00149999999996</v>
      </c>
      <c r="G60" s="33">
        <v>1.3252649999999999E-2</v>
      </c>
      <c r="H60" s="23">
        <v>6.9675000000000002</v>
      </c>
    </row>
    <row r="61" spans="1:8" x14ac:dyDescent="0.2">
      <c r="A61" s="21"/>
      <c r="B61" s="21"/>
      <c r="C61" s="22" t="s">
        <v>11</v>
      </c>
      <c r="D61" s="21"/>
      <c r="E61" s="21" t="s">
        <v>12</v>
      </c>
      <c r="F61" s="28">
        <v>9875.7000000000007</v>
      </c>
      <c r="G61" s="25">
        <v>0.2478766</v>
      </c>
      <c r="H61" s="23" t="s">
        <v>12</v>
      </c>
    </row>
    <row r="62" spans="1:8" x14ac:dyDescent="0.2">
      <c r="A62" s="21"/>
      <c r="B62" s="21"/>
      <c r="C62" s="26"/>
      <c r="D62" s="21"/>
      <c r="E62" s="21"/>
      <c r="F62" s="27"/>
      <c r="G62" s="27"/>
      <c r="H62" s="23" t="s">
        <v>12</v>
      </c>
    </row>
    <row r="63" spans="1:8" x14ac:dyDescent="0.2">
      <c r="A63" s="21"/>
      <c r="B63" s="21"/>
      <c r="C63" s="22" t="s">
        <v>91</v>
      </c>
      <c r="D63" s="21"/>
      <c r="E63" s="21"/>
      <c r="F63" s="27"/>
      <c r="G63" s="27"/>
      <c r="H63" s="23" t="s">
        <v>12</v>
      </c>
    </row>
    <row r="64" spans="1:8" x14ac:dyDescent="0.2">
      <c r="A64" s="21"/>
      <c r="B64" s="21"/>
      <c r="C64" s="22" t="s">
        <v>11</v>
      </c>
      <c r="D64" s="21"/>
      <c r="E64" s="21" t="s">
        <v>12</v>
      </c>
      <c r="F64" s="24" t="s">
        <v>13</v>
      </c>
      <c r="G64" s="25">
        <v>0</v>
      </c>
      <c r="H64" s="23" t="s">
        <v>12</v>
      </c>
    </row>
    <row r="65" spans="1:8" x14ac:dyDescent="0.2">
      <c r="A65" s="21"/>
      <c r="B65" s="21"/>
      <c r="C65" s="26"/>
      <c r="D65" s="21"/>
      <c r="E65" s="21"/>
      <c r="F65" s="27"/>
      <c r="G65" s="27"/>
      <c r="H65" s="23" t="s">
        <v>12</v>
      </c>
    </row>
    <row r="66" spans="1:8" x14ac:dyDescent="0.2">
      <c r="A66" s="21"/>
      <c r="B66" s="21"/>
      <c r="C66" s="22" t="s">
        <v>92</v>
      </c>
      <c r="D66" s="21"/>
      <c r="E66" s="21"/>
      <c r="F66" s="28">
        <v>36172.1705</v>
      </c>
      <c r="G66" s="25">
        <v>0.90790879000000002</v>
      </c>
      <c r="H66" s="23" t="s">
        <v>12</v>
      </c>
    </row>
    <row r="67" spans="1:8" x14ac:dyDescent="0.2">
      <c r="A67" s="21"/>
      <c r="B67" s="21"/>
      <c r="C67" s="26"/>
      <c r="D67" s="21"/>
      <c r="E67" s="21"/>
      <c r="F67" s="27"/>
      <c r="G67" s="27"/>
      <c r="H67" s="23" t="s">
        <v>12</v>
      </c>
    </row>
    <row r="68" spans="1:8" x14ac:dyDescent="0.2">
      <c r="A68" s="21"/>
      <c r="B68" s="21"/>
      <c r="C68" s="22" t="s">
        <v>93</v>
      </c>
      <c r="D68" s="21"/>
      <c r="E68" s="21"/>
      <c r="F68" s="27"/>
      <c r="G68" s="27"/>
      <c r="H68" s="23" t="s">
        <v>12</v>
      </c>
    </row>
    <row r="69" spans="1:8" x14ac:dyDescent="0.2">
      <c r="A69" s="21"/>
      <c r="B69" s="21"/>
      <c r="C69" s="22" t="s">
        <v>94</v>
      </c>
      <c r="D69" s="21"/>
      <c r="E69" s="21"/>
      <c r="F69" s="27"/>
      <c r="G69" s="27"/>
      <c r="H69" s="23" t="s">
        <v>12</v>
      </c>
    </row>
    <row r="70" spans="1:8" x14ac:dyDescent="0.2">
      <c r="A70" s="29">
        <v>1</v>
      </c>
      <c r="B70" s="30" t="s">
        <v>147</v>
      </c>
      <c r="C70" s="30" t="s">
        <v>148</v>
      </c>
      <c r="D70" s="30" t="s">
        <v>149</v>
      </c>
      <c r="E70" s="31">
        <v>200</v>
      </c>
      <c r="F70" s="32">
        <v>990.72199999999998</v>
      </c>
      <c r="G70" s="33">
        <v>2.4866780000000002E-2</v>
      </c>
      <c r="H70" s="23">
        <v>6.3300999999999998</v>
      </c>
    </row>
    <row r="71" spans="1:8" x14ac:dyDescent="0.2">
      <c r="A71" s="29">
        <v>2</v>
      </c>
      <c r="B71" s="30" t="s">
        <v>150</v>
      </c>
      <c r="C71" s="30" t="s">
        <v>151</v>
      </c>
      <c r="D71" s="30" t="s">
        <v>149</v>
      </c>
      <c r="E71" s="31">
        <v>100</v>
      </c>
      <c r="F71" s="32">
        <v>474.14449999999999</v>
      </c>
      <c r="G71" s="33">
        <v>1.1900859999999999E-2</v>
      </c>
      <c r="H71" s="23">
        <v>6.77</v>
      </c>
    </row>
    <row r="72" spans="1:8" x14ac:dyDescent="0.2">
      <c r="A72" s="29">
        <v>3</v>
      </c>
      <c r="B72" s="30" t="s">
        <v>152</v>
      </c>
      <c r="C72" s="30" t="s">
        <v>153</v>
      </c>
      <c r="D72" s="30" t="s">
        <v>149</v>
      </c>
      <c r="E72" s="31">
        <v>100</v>
      </c>
      <c r="F72" s="32">
        <v>470.71300000000002</v>
      </c>
      <c r="G72" s="33">
        <v>1.1814730000000001E-2</v>
      </c>
      <c r="H72" s="23">
        <v>6.7188999999999997</v>
      </c>
    </row>
    <row r="73" spans="1:8" x14ac:dyDescent="0.2">
      <c r="A73" s="21"/>
      <c r="B73" s="21"/>
      <c r="C73" s="22" t="s">
        <v>11</v>
      </c>
      <c r="D73" s="21"/>
      <c r="E73" s="21" t="s">
        <v>12</v>
      </c>
      <c r="F73" s="28">
        <v>1935.5795000000001</v>
      </c>
      <c r="G73" s="25">
        <v>4.858237E-2</v>
      </c>
      <c r="H73" s="23" t="s">
        <v>12</v>
      </c>
    </row>
    <row r="74" spans="1:8" x14ac:dyDescent="0.2">
      <c r="A74" s="21"/>
      <c r="B74" s="21"/>
      <c r="C74" s="26"/>
      <c r="D74" s="21"/>
      <c r="E74" s="21"/>
      <c r="F74" s="27"/>
      <c r="G74" s="27"/>
      <c r="H74" s="23" t="s">
        <v>12</v>
      </c>
    </row>
    <row r="75" spans="1:8" x14ac:dyDescent="0.2">
      <c r="A75" s="21"/>
      <c r="B75" s="21"/>
      <c r="C75" s="22" t="s">
        <v>95</v>
      </c>
      <c r="D75" s="21"/>
      <c r="E75" s="21"/>
      <c r="F75" s="27"/>
      <c r="G75" s="27"/>
      <c r="H75" s="23" t="s">
        <v>12</v>
      </c>
    </row>
    <row r="76" spans="1:8" x14ac:dyDescent="0.2">
      <c r="A76" s="21"/>
      <c r="B76" s="21"/>
      <c r="C76" s="22" t="s">
        <v>11</v>
      </c>
      <c r="D76" s="21"/>
      <c r="E76" s="21" t="s">
        <v>12</v>
      </c>
      <c r="F76" s="24" t="s">
        <v>13</v>
      </c>
      <c r="G76" s="25">
        <v>0</v>
      </c>
      <c r="H76" s="23" t="s">
        <v>12</v>
      </c>
    </row>
    <row r="77" spans="1:8" x14ac:dyDescent="0.2">
      <c r="A77" s="21"/>
      <c r="B77" s="21"/>
      <c r="C77" s="26"/>
      <c r="D77" s="21"/>
      <c r="E77" s="21"/>
      <c r="F77" s="27"/>
      <c r="G77" s="27"/>
      <c r="H77" s="23" t="s">
        <v>12</v>
      </c>
    </row>
    <row r="78" spans="1:8" x14ac:dyDescent="0.2">
      <c r="A78" s="21"/>
      <c r="B78" s="21"/>
      <c r="C78" s="22" t="s">
        <v>96</v>
      </c>
      <c r="D78" s="21"/>
      <c r="E78" s="21"/>
      <c r="F78" s="27"/>
      <c r="G78" s="27"/>
      <c r="H78" s="23" t="s">
        <v>12</v>
      </c>
    </row>
    <row r="79" spans="1:8" x14ac:dyDescent="0.2">
      <c r="A79" s="21"/>
      <c r="B79" s="21"/>
      <c r="C79" s="22" t="s">
        <v>11</v>
      </c>
      <c r="D79" s="21"/>
      <c r="E79" s="21" t="s">
        <v>12</v>
      </c>
      <c r="F79" s="24" t="s">
        <v>13</v>
      </c>
      <c r="G79" s="25">
        <v>0</v>
      </c>
      <c r="H79" s="23" t="s">
        <v>12</v>
      </c>
    </row>
    <row r="80" spans="1:8" x14ac:dyDescent="0.2">
      <c r="A80" s="21"/>
      <c r="B80" s="21"/>
      <c r="C80" s="26"/>
      <c r="D80" s="21"/>
      <c r="E80" s="21"/>
      <c r="F80" s="27"/>
      <c r="G80" s="27"/>
      <c r="H80" s="23" t="s">
        <v>12</v>
      </c>
    </row>
    <row r="81" spans="1:17" x14ac:dyDescent="0.2">
      <c r="A81" s="21"/>
      <c r="B81" s="21"/>
      <c r="C81" s="22" t="s">
        <v>97</v>
      </c>
      <c r="D81" s="21"/>
      <c r="E81" s="21"/>
      <c r="F81" s="27"/>
      <c r="G81" s="27"/>
      <c r="H81" s="23" t="s">
        <v>12</v>
      </c>
    </row>
    <row r="82" spans="1:17" x14ac:dyDescent="0.2">
      <c r="A82" s="29">
        <v>1</v>
      </c>
      <c r="B82" s="30"/>
      <c r="C82" s="30" t="s">
        <v>98</v>
      </c>
      <c r="D82" s="30"/>
      <c r="E82" s="34"/>
      <c r="F82" s="32">
        <v>697.38441099800002</v>
      </c>
      <c r="G82" s="33">
        <v>1.7504100000000002E-2</v>
      </c>
      <c r="H82" s="23">
        <v>5.73</v>
      </c>
    </row>
    <row r="83" spans="1:17" x14ac:dyDescent="0.2">
      <c r="A83" s="21"/>
      <c r="B83" s="21"/>
      <c r="C83" s="22" t="s">
        <v>11</v>
      </c>
      <c r="D83" s="21"/>
      <c r="E83" s="21" t="s">
        <v>12</v>
      </c>
      <c r="F83" s="28">
        <v>697.38441099800002</v>
      </c>
      <c r="G83" s="25">
        <v>1.7504100000000002E-2</v>
      </c>
      <c r="H83" s="23" t="s">
        <v>12</v>
      </c>
    </row>
    <row r="84" spans="1:17" x14ac:dyDescent="0.2">
      <c r="A84" s="21"/>
      <c r="B84" s="21"/>
      <c r="C84" s="26"/>
      <c r="D84" s="21"/>
      <c r="E84" s="21"/>
      <c r="F84" s="27"/>
      <c r="G84" s="27"/>
      <c r="H84" s="23" t="s">
        <v>12</v>
      </c>
    </row>
    <row r="85" spans="1:17" x14ac:dyDescent="0.2">
      <c r="A85" s="21"/>
      <c r="B85" s="21"/>
      <c r="C85" s="22" t="s">
        <v>99</v>
      </c>
      <c r="D85" s="21"/>
      <c r="E85" s="21"/>
      <c r="F85" s="28">
        <v>2632.9639109979998</v>
      </c>
      <c r="G85" s="25">
        <v>6.6086469999999994E-2</v>
      </c>
      <c r="H85" s="23" t="s">
        <v>12</v>
      </c>
    </row>
    <row r="86" spans="1:17" x14ac:dyDescent="0.2">
      <c r="A86" s="21"/>
      <c r="B86" s="21"/>
      <c r="C86" s="27"/>
      <c r="D86" s="21"/>
      <c r="E86" s="21"/>
      <c r="F86" s="21"/>
      <c r="G86" s="21"/>
      <c r="H86" s="23" t="s">
        <v>12</v>
      </c>
    </row>
    <row r="87" spans="1:17" x14ac:dyDescent="0.2">
      <c r="A87" s="21"/>
      <c r="B87" s="21"/>
      <c r="C87" s="22" t="s">
        <v>100</v>
      </c>
      <c r="D87" s="21"/>
      <c r="E87" s="21"/>
      <c r="F87" s="21"/>
      <c r="G87" s="21"/>
      <c r="H87" s="23" t="s">
        <v>12</v>
      </c>
    </row>
    <row r="88" spans="1:17" x14ac:dyDescent="0.2">
      <c r="A88" s="21"/>
      <c r="B88" s="21"/>
      <c r="C88" s="22" t="s">
        <v>101</v>
      </c>
      <c r="D88" s="21"/>
      <c r="E88" s="21"/>
      <c r="F88" s="21"/>
      <c r="G88" s="21"/>
      <c r="H88" s="23" t="s">
        <v>12</v>
      </c>
    </row>
    <row r="89" spans="1:17" x14ac:dyDescent="0.2">
      <c r="A89" s="21"/>
      <c r="B89" s="21"/>
      <c r="C89" s="22" t="s">
        <v>11</v>
      </c>
      <c r="D89" s="21"/>
      <c r="E89" s="21" t="s">
        <v>12</v>
      </c>
      <c r="F89" s="28">
        <f>SUM(F88)</f>
        <v>0</v>
      </c>
      <c r="G89" s="25">
        <f>SUM(G88)</f>
        <v>0</v>
      </c>
      <c r="H89" s="23" t="s">
        <v>12</v>
      </c>
    </row>
    <row r="90" spans="1:17" x14ac:dyDescent="0.2">
      <c r="A90" s="21"/>
      <c r="B90" s="21"/>
      <c r="C90" s="26"/>
      <c r="D90" s="21"/>
      <c r="E90" s="21"/>
      <c r="F90" s="27"/>
      <c r="G90" s="27"/>
      <c r="H90" s="77" t="s">
        <v>12</v>
      </c>
    </row>
    <row r="91" spans="1:17" x14ac:dyDescent="0.2">
      <c r="A91" s="21"/>
      <c r="B91" s="21"/>
      <c r="C91" s="22" t="s">
        <v>566</v>
      </c>
      <c r="D91" s="21"/>
      <c r="E91" s="21"/>
      <c r="F91" s="27"/>
      <c r="G91" s="27"/>
      <c r="H91" s="32"/>
      <c r="K91" s="56"/>
      <c r="L91" s="56"/>
      <c r="M91" s="56"/>
      <c r="N91" s="56"/>
      <c r="O91" s="79"/>
      <c r="P91" s="79"/>
      <c r="Q91" s="79"/>
    </row>
    <row r="92" spans="1:17" x14ac:dyDescent="0.2">
      <c r="A92" s="29">
        <v>1</v>
      </c>
      <c r="B92" s="30" t="s">
        <v>102</v>
      </c>
      <c r="C92" s="30" t="s">
        <v>103</v>
      </c>
      <c r="D92" s="30"/>
      <c r="E92" s="80">
        <v>1138.2429999999999</v>
      </c>
      <c r="F92" s="32">
        <v>126.19599975600001</v>
      </c>
      <c r="G92" s="33">
        <v>3.1674799999999999E-3</v>
      </c>
      <c r="H92" s="77"/>
    </row>
    <row r="93" spans="1:17" x14ac:dyDescent="0.2">
      <c r="A93" s="21"/>
      <c r="B93" s="21"/>
      <c r="C93" s="22" t="s">
        <v>11</v>
      </c>
      <c r="D93" s="21"/>
      <c r="E93" s="21" t="s">
        <v>12</v>
      </c>
      <c r="F93" s="28">
        <f>SUM(F92)</f>
        <v>126.19599975600001</v>
      </c>
      <c r="G93" s="25">
        <f>SUM(G92)</f>
        <v>3.1674799999999999E-3</v>
      </c>
      <c r="H93" s="77" t="s">
        <v>12</v>
      </c>
    </row>
    <row r="94" spans="1:17" x14ac:dyDescent="0.2">
      <c r="A94" s="21"/>
      <c r="B94" s="21"/>
      <c r="C94" s="26"/>
      <c r="D94" s="21"/>
      <c r="E94" s="21"/>
      <c r="F94" s="27"/>
      <c r="G94" s="27"/>
      <c r="H94" s="23" t="s">
        <v>12</v>
      </c>
    </row>
    <row r="95" spans="1:17" x14ac:dyDescent="0.2">
      <c r="A95" s="21"/>
      <c r="B95" s="21"/>
      <c r="C95" s="22" t="s">
        <v>104</v>
      </c>
      <c r="D95" s="21"/>
      <c r="E95" s="21"/>
      <c r="F95" s="21"/>
      <c r="G95" s="21"/>
      <c r="H95" s="23" t="s">
        <v>12</v>
      </c>
    </row>
    <row r="96" spans="1:17" x14ac:dyDescent="0.2">
      <c r="A96" s="21"/>
      <c r="B96" s="21"/>
      <c r="C96" s="22" t="s">
        <v>105</v>
      </c>
      <c r="D96" s="21"/>
      <c r="E96" s="21"/>
      <c r="F96" s="21"/>
      <c r="G96" s="21"/>
      <c r="H96" s="23" t="s">
        <v>12</v>
      </c>
    </row>
    <row r="97" spans="1:8" x14ac:dyDescent="0.2">
      <c r="A97" s="21"/>
      <c r="B97" s="21"/>
      <c r="C97" s="22" t="s">
        <v>11</v>
      </c>
      <c r="D97" s="21"/>
      <c r="E97" s="21" t="s">
        <v>12</v>
      </c>
      <c r="F97" s="24" t="s">
        <v>13</v>
      </c>
      <c r="G97" s="25">
        <v>0</v>
      </c>
      <c r="H97" s="23" t="s">
        <v>12</v>
      </c>
    </row>
    <row r="98" spans="1:8" x14ac:dyDescent="0.2">
      <c r="A98" s="21"/>
      <c r="B98" s="21"/>
      <c r="C98" s="26"/>
      <c r="D98" s="21"/>
      <c r="E98" s="21"/>
      <c r="F98" s="27"/>
      <c r="G98" s="27"/>
      <c r="H98" s="23" t="s">
        <v>12</v>
      </c>
    </row>
    <row r="99" spans="1:8" x14ac:dyDescent="0.2">
      <c r="A99" s="21"/>
      <c r="B99" s="21"/>
      <c r="C99" s="22" t="s">
        <v>106</v>
      </c>
      <c r="D99" s="21"/>
      <c r="E99" s="21"/>
      <c r="F99" s="27"/>
      <c r="G99" s="27"/>
      <c r="H99" s="23" t="s">
        <v>12</v>
      </c>
    </row>
    <row r="100" spans="1:8" x14ac:dyDescent="0.2">
      <c r="A100" s="21"/>
      <c r="B100" s="21"/>
      <c r="C100" s="22" t="s">
        <v>11</v>
      </c>
      <c r="D100" s="21"/>
      <c r="E100" s="21" t="s">
        <v>12</v>
      </c>
      <c r="F100" s="24" t="s">
        <v>13</v>
      </c>
      <c r="G100" s="25">
        <v>0</v>
      </c>
      <c r="H100" s="23" t="s">
        <v>12</v>
      </c>
    </row>
    <row r="101" spans="1:8" x14ac:dyDescent="0.2">
      <c r="A101" s="21"/>
      <c r="B101" s="21"/>
      <c r="C101" s="26"/>
      <c r="D101" s="21"/>
      <c r="E101" s="21"/>
      <c r="F101" s="27"/>
      <c r="G101" s="27"/>
      <c r="H101" s="23" t="s">
        <v>12</v>
      </c>
    </row>
    <row r="102" spans="1:8" x14ac:dyDescent="0.2">
      <c r="A102" s="34"/>
      <c r="B102" s="30"/>
      <c r="C102" s="30" t="s">
        <v>107</v>
      </c>
      <c r="D102" s="30"/>
      <c r="E102" s="34"/>
      <c r="F102" s="32">
        <f>909.86306692-0.000282424006462097</f>
        <v>909.86278449599354</v>
      </c>
      <c r="G102" s="33">
        <v>2.2837240000000002E-2</v>
      </c>
      <c r="H102" s="23" t="s">
        <v>12</v>
      </c>
    </row>
    <row r="103" spans="1:8" x14ac:dyDescent="0.2">
      <c r="A103" s="26"/>
      <c r="B103" s="26"/>
      <c r="C103" s="22" t="s">
        <v>108</v>
      </c>
      <c r="D103" s="27"/>
      <c r="E103" s="27"/>
      <c r="F103" s="28">
        <f>39841.193477674-0.000282424006462097</f>
        <v>39841.193195249994</v>
      </c>
      <c r="G103" s="35">
        <v>0.99999998000000001</v>
      </c>
      <c r="H103" s="23" t="s">
        <v>12</v>
      </c>
    </row>
    <row r="104" spans="1:8" x14ac:dyDescent="0.2">
      <c r="A104" s="36"/>
      <c r="B104" s="36"/>
      <c r="C104" s="36"/>
      <c r="D104" s="37"/>
      <c r="E104" s="37"/>
      <c r="F104" s="37"/>
      <c r="G104" s="37"/>
    </row>
    <row r="105" spans="1:8" x14ac:dyDescent="0.2">
      <c r="A105" s="38"/>
      <c r="B105" s="39" t="s">
        <v>567</v>
      </c>
      <c r="C105" s="39"/>
      <c r="D105" s="39"/>
      <c r="E105" s="39"/>
      <c r="F105" s="39"/>
      <c r="G105" s="39"/>
      <c r="H105" s="39"/>
    </row>
    <row r="106" spans="1:8" x14ac:dyDescent="0.2">
      <c r="A106" s="38"/>
      <c r="B106" s="39" t="s">
        <v>568</v>
      </c>
      <c r="C106" s="39"/>
      <c r="D106" s="39"/>
      <c r="E106" s="39"/>
      <c r="F106" s="39"/>
      <c r="G106" s="39"/>
      <c r="H106" s="39"/>
    </row>
    <row r="107" spans="1:8" x14ac:dyDescent="0.2">
      <c r="A107" s="38"/>
      <c r="B107" s="39" t="s">
        <v>569</v>
      </c>
      <c r="C107" s="39"/>
      <c r="D107" s="39"/>
      <c r="E107" s="39"/>
      <c r="F107" s="39"/>
      <c r="G107" s="39"/>
      <c r="H107" s="39"/>
    </row>
    <row r="108" spans="1:8" x14ac:dyDescent="0.2">
      <c r="A108" s="38"/>
      <c r="B108" s="38"/>
      <c r="C108" s="38"/>
      <c r="D108" s="40"/>
      <c r="E108" s="40"/>
      <c r="F108" s="40"/>
      <c r="G108" s="40"/>
    </row>
    <row r="109" spans="1:8" x14ac:dyDescent="0.2">
      <c r="A109" s="38"/>
      <c r="B109" s="41" t="s">
        <v>109</v>
      </c>
      <c r="C109" s="42"/>
      <c r="D109" s="43"/>
      <c r="E109" s="44"/>
      <c r="F109" s="40"/>
      <c r="G109" s="40"/>
    </row>
    <row r="110" spans="1:8" ht="27" customHeight="1" x14ac:dyDescent="0.2">
      <c r="A110" s="38"/>
      <c r="B110" s="45" t="s">
        <v>110</v>
      </c>
      <c r="C110" s="46"/>
      <c r="D110" s="22" t="s">
        <v>111</v>
      </c>
      <c r="E110" s="44"/>
      <c r="F110" s="40"/>
      <c r="G110" s="40"/>
    </row>
    <row r="111" spans="1:8" x14ac:dyDescent="0.2">
      <c r="A111" s="38"/>
      <c r="B111" s="45" t="s">
        <v>112</v>
      </c>
      <c r="C111" s="46"/>
      <c r="D111" s="22" t="s">
        <v>111</v>
      </c>
      <c r="E111" s="44"/>
      <c r="F111" s="40"/>
      <c r="G111" s="40"/>
    </row>
    <row r="112" spans="1:8" x14ac:dyDescent="0.2">
      <c r="A112" s="38"/>
      <c r="B112" s="45" t="s">
        <v>113</v>
      </c>
      <c r="C112" s="46"/>
      <c r="D112" s="27" t="s">
        <v>12</v>
      </c>
      <c r="E112" s="44"/>
      <c r="F112" s="40"/>
      <c r="G112" s="40"/>
    </row>
    <row r="113" spans="1:15" x14ac:dyDescent="0.2">
      <c r="A113" s="47"/>
      <c r="B113" s="48" t="s">
        <v>12</v>
      </c>
      <c r="C113" s="48" t="s">
        <v>570</v>
      </c>
      <c r="D113" s="48" t="s">
        <v>114</v>
      </c>
      <c r="E113" s="47"/>
      <c r="F113" s="47"/>
      <c r="G113" s="47"/>
    </row>
    <row r="114" spans="1:15" x14ac:dyDescent="0.2">
      <c r="A114" s="47"/>
      <c r="B114" s="49" t="s">
        <v>115</v>
      </c>
      <c r="C114" s="50">
        <v>45747</v>
      </c>
      <c r="D114" s="50">
        <v>45762</v>
      </c>
      <c r="E114" s="47"/>
      <c r="F114" s="47"/>
      <c r="G114" s="47"/>
    </row>
    <row r="115" spans="1:15" ht="25.5" x14ac:dyDescent="0.2">
      <c r="A115" s="47"/>
      <c r="B115" s="30" t="s">
        <v>116</v>
      </c>
      <c r="C115" s="51">
        <v>42.706299999999999</v>
      </c>
      <c r="D115" s="51">
        <v>43.098999999999997</v>
      </c>
      <c r="E115" s="47"/>
      <c r="F115" s="52"/>
      <c r="G115" s="53"/>
    </row>
    <row r="116" spans="1:15" ht="25.5" x14ac:dyDescent="0.2">
      <c r="A116" s="47"/>
      <c r="B116" s="30" t="s">
        <v>154</v>
      </c>
      <c r="C116" s="51">
        <v>21.364599999999999</v>
      </c>
      <c r="D116" s="51">
        <v>21.561</v>
      </c>
      <c r="E116" s="47"/>
      <c r="F116" s="52"/>
      <c r="G116" s="53"/>
    </row>
    <row r="117" spans="1:15" ht="25.5" x14ac:dyDescent="0.2">
      <c r="A117" s="47"/>
      <c r="B117" s="30" t="s">
        <v>695</v>
      </c>
      <c r="C117" s="51">
        <v>11.6035</v>
      </c>
      <c r="D117" s="51">
        <v>11.7102</v>
      </c>
      <c r="E117" s="47"/>
      <c r="F117" s="52"/>
      <c r="G117" s="53"/>
    </row>
    <row r="118" spans="1:15" ht="25.5" x14ac:dyDescent="0.2">
      <c r="A118" s="47"/>
      <c r="B118" s="30" t="s">
        <v>117</v>
      </c>
      <c r="C118" s="51">
        <v>42.123399999999997</v>
      </c>
      <c r="D118" s="51">
        <v>42.508200000000002</v>
      </c>
      <c r="E118" s="47"/>
      <c r="F118" s="52"/>
      <c r="G118" s="53"/>
    </row>
    <row r="119" spans="1:15" ht="25.5" x14ac:dyDescent="0.2">
      <c r="A119" s="47"/>
      <c r="B119" s="30" t="s">
        <v>155</v>
      </c>
      <c r="C119" s="51">
        <v>21.241599999999998</v>
      </c>
      <c r="D119" s="51">
        <v>21.435700000000001</v>
      </c>
      <c r="E119" s="47"/>
      <c r="F119" s="52"/>
      <c r="G119" s="53"/>
    </row>
    <row r="120" spans="1:15" ht="25.5" x14ac:dyDescent="0.2">
      <c r="A120" s="47"/>
      <c r="B120" s="30" t="s">
        <v>699</v>
      </c>
      <c r="C120" s="51">
        <v>11.6541</v>
      </c>
      <c r="D120" s="51">
        <v>11.7606</v>
      </c>
      <c r="E120" s="47"/>
      <c r="F120" s="52"/>
      <c r="G120" s="53"/>
    </row>
    <row r="121" spans="1:15" x14ac:dyDescent="0.2">
      <c r="A121" s="47"/>
      <c r="B121" s="47"/>
      <c r="C121" s="47"/>
      <c r="D121" s="47"/>
      <c r="E121" s="47"/>
      <c r="F121" s="47"/>
      <c r="G121" s="47"/>
    </row>
    <row r="122" spans="1:15" x14ac:dyDescent="0.2">
      <c r="A122" s="47"/>
      <c r="B122" s="45" t="s">
        <v>702</v>
      </c>
      <c r="C122" s="46"/>
      <c r="D122" s="22" t="s">
        <v>111</v>
      </c>
      <c r="E122" s="47"/>
      <c r="F122" s="47"/>
      <c r="G122" s="47"/>
    </row>
    <row r="123" spans="1:15" x14ac:dyDescent="0.2">
      <c r="A123" s="47"/>
      <c r="B123" s="54"/>
      <c r="C123" s="54"/>
      <c r="D123" s="54"/>
      <c r="E123" s="47"/>
      <c r="F123" s="47"/>
      <c r="G123" s="47"/>
    </row>
    <row r="124" spans="1:15" s="60" customFormat="1" x14ac:dyDescent="0.2">
      <c r="A124" s="53"/>
      <c r="B124" s="45" t="s">
        <v>583</v>
      </c>
      <c r="C124" s="46"/>
      <c r="D124" s="22" t="s">
        <v>111</v>
      </c>
      <c r="E124" s="53"/>
      <c r="F124" s="52"/>
      <c r="G124" s="53"/>
      <c r="I124" s="17"/>
      <c r="J124" s="17"/>
      <c r="K124" s="56"/>
      <c r="L124" s="56"/>
      <c r="M124" s="56"/>
      <c r="N124" s="56"/>
      <c r="O124" s="61"/>
    </row>
    <row r="125" spans="1:15" x14ac:dyDescent="0.2">
      <c r="A125" s="47"/>
      <c r="B125" s="45" t="s">
        <v>584</v>
      </c>
      <c r="C125" s="46"/>
      <c r="D125" s="22" t="s">
        <v>111</v>
      </c>
      <c r="E125" s="55"/>
      <c r="F125" s="47"/>
      <c r="G125" s="47"/>
    </row>
    <row r="126" spans="1:15" x14ac:dyDescent="0.2">
      <c r="A126" s="47"/>
      <c r="B126" s="45" t="s">
        <v>585</v>
      </c>
      <c r="C126" s="46"/>
      <c r="D126" s="22" t="s">
        <v>111</v>
      </c>
      <c r="E126" s="55"/>
      <c r="F126" s="47"/>
      <c r="G126" s="47"/>
    </row>
    <row r="127" spans="1:15" x14ac:dyDescent="0.2">
      <c r="A127" s="47"/>
      <c r="B127" s="45" t="s">
        <v>586</v>
      </c>
      <c r="C127" s="46"/>
      <c r="D127" s="22" t="s">
        <v>111</v>
      </c>
      <c r="E127" s="55"/>
      <c r="F127" s="47"/>
      <c r="G127" s="47"/>
    </row>
    <row r="128" spans="1:15" x14ac:dyDescent="0.2">
      <c r="A128" s="54"/>
      <c r="B128" s="54"/>
      <c r="C128" s="54"/>
      <c r="D128" s="54"/>
      <c r="E128" s="54"/>
      <c r="F128" s="54"/>
      <c r="G128" s="54"/>
    </row>
    <row r="129" spans="2:18" s="60" customFormat="1" x14ac:dyDescent="0.2">
      <c r="B129" s="57" t="s">
        <v>572</v>
      </c>
      <c r="C129" s="58"/>
      <c r="D129" s="59"/>
      <c r="I129" s="17"/>
      <c r="J129" s="20"/>
      <c r="K129" s="56"/>
      <c r="L129" s="56"/>
      <c r="M129" s="56"/>
      <c r="N129" s="56"/>
      <c r="O129" s="61"/>
    </row>
    <row r="130" spans="2:18" s="60" customFormat="1" ht="25.5" x14ac:dyDescent="0.2">
      <c r="B130" s="62" t="s">
        <v>573</v>
      </c>
      <c r="C130" s="62"/>
      <c r="D130" s="63" t="s">
        <v>120</v>
      </c>
      <c r="I130" s="17"/>
      <c r="J130" s="20"/>
      <c r="K130" s="56"/>
      <c r="L130" s="56"/>
      <c r="M130" s="56"/>
      <c r="N130" s="56"/>
      <c r="O130" s="61"/>
    </row>
    <row r="131" spans="2:18" s="60" customFormat="1" x14ac:dyDescent="0.2">
      <c r="B131" s="64" t="s">
        <v>574</v>
      </c>
      <c r="C131" s="64"/>
      <c r="D131" s="65"/>
      <c r="I131" s="17"/>
      <c r="J131" s="20"/>
      <c r="K131" s="56"/>
      <c r="L131" s="56"/>
      <c r="M131" s="56"/>
      <c r="N131" s="56"/>
      <c r="O131" s="61"/>
    </row>
    <row r="132" spans="2:18" s="60" customFormat="1" x14ac:dyDescent="0.2">
      <c r="B132" s="64"/>
      <c r="C132" s="64"/>
      <c r="D132" s="66"/>
      <c r="I132" s="17"/>
      <c r="J132" s="17"/>
      <c r="K132" s="56"/>
      <c r="L132" s="56"/>
      <c r="M132" s="56"/>
      <c r="N132" s="56"/>
      <c r="O132" s="61"/>
    </row>
    <row r="133" spans="2:18" s="60" customFormat="1" x14ac:dyDescent="0.2">
      <c r="B133" s="64" t="s">
        <v>575</v>
      </c>
      <c r="C133" s="64"/>
      <c r="D133" s="67">
        <v>6.8221497399447504</v>
      </c>
      <c r="I133" s="17"/>
      <c r="J133" s="17"/>
      <c r="K133" s="56"/>
      <c r="L133" s="56"/>
      <c r="M133" s="56"/>
      <c r="N133" s="56"/>
      <c r="O133" s="61"/>
    </row>
    <row r="134" spans="2:18" s="60" customFormat="1" x14ac:dyDescent="0.2">
      <c r="B134" s="64"/>
      <c r="C134" s="64"/>
      <c r="D134" s="66"/>
      <c r="I134" s="17"/>
      <c r="J134" s="20"/>
      <c r="K134" s="56"/>
      <c r="L134" s="56"/>
      <c r="M134" s="56"/>
      <c r="N134" s="56"/>
      <c r="O134" s="61"/>
    </row>
    <row r="135" spans="2:18" s="60" customFormat="1" x14ac:dyDescent="0.2">
      <c r="B135" s="64" t="s">
        <v>576</v>
      </c>
      <c r="C135" s="64"/>
      <c r="D135" s="67">
        <v>3.7513268814293124</v>
      </c>
      <c r="I135" s="17"/>
      <c r="J135" s="20"/>
      <c r="K135" s="56"/>
      <c r="L135" s="56"/>
      <c r="M135" s="56"/>
      <c r="N135" s="56"/>
      <c r="O135" s="61"/>
    </row>
    <row r="136" spans="2:18" s="60" customFormat="1" x14ac:dyDescent="0.2">
      <c r="B136" s="64" t="s">
        <v>577</v>
      </c>
      <c r="C136" s="64"/>
      <c r="D136" s="67">
        <v>5.1372082406806223</v>
      </c>
      <c r="I136" s="17"/>
      <c r="J136" s="20"/>
      <c r="K136" s="56"/>
      <c r="L136" s="56"/>
      <c r="M136" s="56"/>
      <c r="N136" s="56"/>
      <c r="O136" s="61"/>
    </row>
    <row r="137" spans="2:18" s="60" customFormat="1" x14ac:dyDescent="0.2">
      <c r="B137" s="64"/>
      <c r="C137" s="64"/>
      <c r="D137" s="66"/>
      <c r="I137" s="17"/>
      <c r="J137" s="20"/>
      <c r="K137" s="56"/>
      <c r="L137" s="56"/>
      <c r="M137" s="56"/>
      <c r="N137" s="56"/>
      <c r="O137" s="61"/>
      <c r="R137" s="17"/>
    </row>
    <row r="138" spans="2:18" s="60" customFormat="1" x14ac:dyDescent="0.2">
      <c r="B138" s="64" t="s">
        <v>578</v>
      </c>
      <c r="C138" s="64"/>
      <c r="D138" s="69" t="s">
        <v>690</v>
      </c>
      <c r="I138" s="17"/>
      <c r="J138" s="20"/>
      <c r="K138" s="56"/>
      <c r="L138" s="56"/>
      <c r="M138" s="56"/>
      <c r="N138" s="56"/>
      <c r="O138" s="61"/>
    </row>
    <row r="139" spans="2:18" s="60" customFormat="1" x14ac:dyDescent="0.2">
      <c r="B139" s="70" t="s">
        <v>579</v>
      </c>
      <c r="C139" s="71"/>
      <c r="D139" s="72"/>
      <c r="I139" s="17"/>
      <c r="J139" s="20"/>
      <c r="K139" s="56"/>
      <c r="L139" s="56"/>
      <c r="M139" s="56"/>
      <c r="N139" s="56"/>
      <c r="O139" s="61"/>
      <c r="R139" s="17"/>
    </row>
    <row r="140" spans="2:18" x14ac:dyDescent="0.2">
      <c r="J140" s="20"/>
    </row>
    <row r="141" spans="2:18" ht="25.5" x14ac:dyDescent="0.2">
      <c r="B141" s="74" t="s">
        <v>580</v>
      </c>
    </row>
    <row r="142" spans="2:18" ht="5.25" customHeight="1" x14ac:dyDescent="0.2"/>
    <row r="143" spans="2:18" ht="168" customHeight="1" x14ac:dyDescent="0.2"/>
    <row r="146" spans="2:10" x14ac:dyDescent="0.2">
      <c r="B146" s="75" t="s">
        <v>581</v>
      </c>
      <c r="C146" s="76"/>
      <c r="D146" s="75"/>
    </row>
    <row r="147" spans="2:10" x14ac:dyDescent="0.2">
      <c r="B147" s="75" t="s">
        <v>587</v>
      </c>
      <c r="D147" s="75"/>
    </row>
    <row r="149" spans="2:10" x14ac:dyDescent="0.2">
      <c r="J149" s="20"/>
    </row>
    <row r="150" spans="2:10" x14ac:dyDescent="0.2">
      <c r="J150" s="20"/>
    </row>
    <row r="151" spans="2:10" x14ac:dyDescent="0.2">
      <c r="J151" s="20"/>
    </row>
  </sheetData>
  <mergeCells count="26">
    <mergeCell ref="B127:C127"/>
    <mergeCell ref="B130:C130"/>
    <mergeCell ref="B131:C131"/>
    <mergeCell ref="B129:D129"/>
    <mergeCell ref="B126:C126"/>
    <mergeCell ref="A1:H1"/>
    <mergeCell ref="A2:H2"/>
    <mergeCell ref="A3:H3"/>
    <mergeCell ref="B105:H105"/>
    <mergeCell ref="B106:H106"/>
    <mergeCell ref="B107:H107"/>
    <mergeCell ref="B124:C124"/>
    <mergeCell ref="B125:C125"/>
    <mergeCell ref="B109:D109"/>
    <mergeCell ref="B110:C110"/>
    <mergeCell ref="B111:C111"/>
    <mergeCell ref="B112:C112"/>
    <mergeCell ref="B122:C122"/>
    <mergeCell ref="B137:C137"/>
    <mergeCell ref="B138:C138"/>
    <mergeCell ref="B139:D139"/>
    <mergeCell ref="B132:C132"/>
    <mergeCell ref="B133:C133"/>
    <mergeCell ref="B134:C134"/>
    <mergeCell ref="B135:C135"/>
    <mergeCell ref="B136:C136"/>
  </mergeCells>
  <hyperlinks>
    <hyperlink ref="I1" location="Index!B2" display="Index" xr:uid="{784E50AC-1DC6-456E-B4ED-82176D838C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079C-F3E7-4245-A4F3-8445151FED5C}">
  <sheetPr>
    <outlinePr summaryBelow="0" summaryRight="0"/>
  </sheetPr>
  <dimension ref="A1:Q163"/>
  <sheetViews>
    <sheetView showGridLines="0" workbookViewId="0">
      <selection sqref="A1:H1"/>
    </sheetView>
  </sheetViews>
  <sheetFormatPr defaultRowHeight="12.75" x14ac:dyDescent="0.2"/>
  <cols>
    <col min="1" max="1" width="5.85546875" style="17" bestFit="1" customWidth="1"/>
    <col min="2" max="2" width="24.140625" style="17" customWidth="1"/>
    <col min="3" max="3" width="39.140625" style="17" bestFit="1" customWidth="1"/>
    <col min="4" max="4" width="11" style="17" bestFit="1" customWidth="1"/>
    <col min="5" max="5" width="9.42578125" style="17" bestFit="1" customWidth="1"/>
    <col min="6" max="6" width="10.140625" style="17" bestFit="1" customWidth="1"/>
    <col min="7" max="7" width="14" style="17" bestFit="1" customWidth="1"/>
    <col min="8" max="8" width="5.85546875" style="17" bestFit="1" customWidth="1"/>
    <col min="9" max="9" width="5.7109375" style="17" bestFit="1" customWidth="1"/>
    <col min="10" max="16384" width="9.140625" style="17"/>
  </cols>
  <sheetData>
    <row r="1" spans="1:9" ht="15" x14ac:dyDescent="0.2">
      <c r="A1" s="16" t="s">
        <v>0</v>
      </c>
      <c r="B1" s="16"/>
      <c r="C1" s="16"/>
      <c r="D1" s="16"/>
      <c r="E1" s="16"/>
      <c r="F1" s="16"/>
      <c r="G1" s="16"/>
      <c r="H1" s="16"/>
      <c r="I1" s="7" t="s">
        <v>565</v>
      </c>
    </row>
    <row r="2" spans="1:9" ht="15" x14ac:dyDescent="0.2">
      <c r="A2" s="16" t="s">
        <v>156</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1"/>
      <c r="B28" s="21"/>
      <c r="C28" s="22" t="s">
        <v>11</v>
      </c>
      <c r="D28" s="21"/>
      <c r="E28" s="21" t="s">
        <v>12</v>
      </c>
      <c r="F28" s="24" t="s">
        <v>13</v>
      </c>
      <c r="G28" s="25">
        <v>0</v>
      </c>
      <c r="H28" s="23" t="s">
        <v>12</v>
      </c>
    </row>
    <row r="29" spans="1:8" x14ac:dyDescent="0.2">
      <c r="A29" s="21"/>
      <c r="B29" s="21"/>
      <c r="C29" s="26"/>
      <c r="D29" s="21"/>
      <c r="E29" s="21"/>
      <c r="F29" s="27"/>
      <c r="G29" s="27"/>
      <c r="H29" s="23" t="s">
        <v>12</v>
      </c>
    </row>
    <row r="30" spans="1:8" x14ac:dyDescent="0.2">
      <c r="A30" s="21"/>
      <c r="B30" s="21"/>
      <c r="C30" s="22" t="s">
        <v>74</v>
      </c>
      <c r="D30" s="21"/>
      <c r="E30" s="21"/>
      <c r="F30" s="21"/>
      <c r="G30" s="21"/>
      <c r="H30" s="23" t="s">
        <v>12</v>
      </c>
    </row>
    <row r="31" spans="1:8" x14ac:dyDescent="0.2">
      <c r="A31" s="21"/>
      <c r="B31" s="21"/>
      <c r="C31" s="22" t="s">
        <v>11</v>
      </c>
      <c r="D31" s="21"/>
      <c r="E31" s="21" t="s">
        <v>12</v>
      </c>
      <c r="F31" s="24" t="s">
        <v>13</v>
      </c>
      <c r="G31" s="25">
        <v>0</v>
      </c>
      <c r="H31" s="23" t="s">
        <v>12</v>
      </c>
    </row>
    <row r="32" spans="1:8" x14ac:dyDescent="0.2">
      <c r="A32" s="21"/>
      <c r="B32" s="21"/>
      <c r="C32" s="26"/>
      <c r="D32" s="21"/>
      <c r="E32" s="21"/>
      <c r="F32" s="27"/>
      <c r="G32" s="27"/>
      <c r="H32" s="23" t="s">
        <v>12</v>
      </c>
    </row>
    <row r="33" spans="1:8" x14ac:dyDescent="0.2">
      <c r="A33" s="21"/>
      <c r="B33" s="21"/>
      <c r="C33" s="22" t="s">
        <v>75</v>
      </c>
      <c r="D33" s="21"/>
      <c r="E33" s="21"/>
      <c r="F33" s="21"/>
      <c r="G33" s="21"/>
      <c r="H33" s="23" t="s">
        <v>12</v>
      </c>
    </row>
    <row r="34" spans="1:8" ht="25.5" x14ac:dyDescent="0.2">
      <c r="A34" s="29">
        <v>1</v>
      </c>
      <c r="B34" s="30" t="s">
        <v>157</v>
      </c>
      <c r="C34" s="30" t="s">
        <v>158</v>
      </c>
      <c r="D34" s="30" t="s">
        <v>78</v>
      </c>
      <c r="E34" s="31">
        <v>2000000</v>
      </c>
      <c r="F34" s="32">
        <v>2039.81</v>
      </c>
      <c r="G34" s="33">
        <v>2.032809E-2</v>
      </c>
      <c r="H34" s="23">
        <v>6.3445999999999998</v>
      </c>
    </row>
    <row r="35" spans="1:8" x14ac:dyDescent="0.2">
      <c r="A35" s="21"/>
      <c r="B35" s="21"/>
      <c r="C35" s="22" t="s">
        <v>11</v>
      </c>
      <c r="D35" s="21"/>
      <c r="E35" s="21" t="s">
        <v>12</v>
      </c>
      <c r="F35" s="28">
        <v>2039.81</v>
      </c>
      <c r="G35" s="25">
        <v>2.032809E-2</v>
      </c>
      <c r="H35" s="23" t="s">
        <v>12</v>
      </c>
    </row>
    <row r="36" spans="1:8" x14ac:dyDescent="0.2">
      <c r="A36" s="21"/>
      <c r="B36" s="21"/>
      <c r="C36" s="26"/>
      <c r="D36" s="21"/>
      <c r="E36" s="21"/>
      <c r="F36" s="27"/>
      <c r="G36" s="27"/>
      <c r="H36" s="23" t="s">
        <v>12</v>
      </c>
    </row>
    <row r="37" spans="1:8" x14ac:dyDescent="0.2">
      <c r="A37" s="21"/>
      <c r="B37" s="21"/>
      <c r="C37" s="22" t="s">
        <v>91</v>
      </c>
      <c r="D37" s="21"/>
      <c r="E37" s="21"/>
      <c r="F37" s="27"/>
      <c r="G37" s="27"/>
      <c r="H37" s="23" t="s">
        <v>12</v>
      </c>
    </row>
    <row r="38" spans="1:8" x14ac:dyDescent="0.2">
      <c r="A38" s="21"/>
      <c r="B38" s="21"/>
      <c r="C38" s="22" t="s">
        <v>11</v>
      </c>
      <c r="D38" s="21"/>
      <c r="E38" s="21" t="s">
        <v>12</v>
      </c>
      <c r="F38" s="24" t="s">
        <v>13</v>
      </c>
      <c r="G38" s="25">
        <v>0</v>
      </c>
      <c r="H38" s="23" t="s">
        <v>12</v>
      </c>
    </row>
    <row r="39" spans="1:8" x14ac:dyDescent="0.2">
      <c r="A39" s="21"/>
      <c r="B39" s="21"/>
      <c r="C39" s="26"/>
      <c r="D39" s="21"/>
      <c r="E39" s="21"/>
      <c r="F39" s="27"/>
      <c r="G39" s="27"/>
      <c r="H39" s="23" t="s">
        <v>12</v>
      </c>
    </row>
    <row r="40" spans="1:8" x14ac:dyDescent="0.2">
      <c r="A40" s="21"/>
      <c r="B40" s="21"/>
      <c r="C40" s="22" t="s">
        <v>92</v>
      </c>
      <c r="D40" s="21"/>
      <c r="E40" s="21"/>
      <c r="F40" s="28">
        <v>2039.81</v>
      </c>
      <c r="G40" s="25">
        <v>2.032809E-2</v>
      </c>
      <c r="H40" s="23" t="s">
        <v>12</v>
      </c>
    </row>
    <row r="41" spans="1:8" x14ac:dyDescent="0.2">
      <c r="A41" s="21"/>
      <c r="B41" s="21"/>
      <c r="C41" s="26"/>
      <c r="D41" s="21"/>
      <c r="E41" s="21"/>
      <c r="F41" s="27"/>
      <c r="G41" s="27"/>
      <c r="H41" s="23" t="s">
        <v>12</v>
      </c>
    </row>
    <row r="42" spans="1:8" x14ac:dyDescent="0.2">
      <c r="A42" s="21"/>
      <c r="B42" s="21"/>
      <c r="C42" s="22" t="s">
        <v>93</v>
      </c>
      <c r="D42" s="21"/>
      <c r="E42" s="21"/>
      <c r="F42" s="27"/>
      <c r="G42" s="27"/>
      <c r="H42" s="23" t="s">
        <v>12</v>
      </c>
    </row>
    <row r="43" spans="1:8" x14ac:dyDescent="0.2">
      <c r="A43" s="21"/>
      <c r="B43" s="21"/>
      <c r="C43" s="22" t="s">
        <v>94</v>
      </c>
      <c r="D43" s="21"/>
      <c r="E43" s="21"/>
      <c r="F43" s="27"/>
      <c r="G43" s="27"/>
      <c r="H43" s="23" t="s">
        <v>12</v>
      </c>
    </row>
    <row r="44" spans="1:8" x14ac:dyDescent="0.2">
      <c r="A44" s="29">
        <v>1</v>
      </c>
      <c r="B44" s="30" t="s">
        <v>159</v>
      </c>
      <c r="C44" s="30" t="s">
        <v>160</v>
      </c>
      <c r="D44" s="30" t="s">
        <v>149</v>
      </c>
      <c r="E44" s="31">
        <v>1500</v>
      </c>
      <c r="F44" s="32">
        <v>7059.93</v>
      </c>
      <c r="G44" s="33">
        <v>7.0356989999999994E-2</v>
      </c>
      <c r="H44" s="23">
        <v>6.7713999999999999</v>
      </c>
    </row>
    <row r="45" spans="1:8" x14ac:dyDescent="0.2">
      <c r="A45" s="29">
        <v>2</v>
      </c>
      <c r="B45" s="30" t="s">
        <v>161</v>
      </c>
      <c r="C45" s="30" t="s">
        <v>162</v>
      </c>
      <c r="D45" s="30" t="s">
        <v>149</v>
      </c>
      <c r="E45" s="31">
        <v>1000</v>
      </c>
      <c r="F45" s="32">
        <v>4716.5550000000003</v>
      </c>
      <c r="G45" s="33">
        <v>4.7003669999999997E-2</v>
      </c>
      <c r="H45" s="23">
        <v>6.77</v>
      </c>
    </row>
    <row r="46" spans="1:8" x14ac:dyDescent="0.2">
      <c r="A46" s="29">
        <v>3</v>
      </c>
      <c r="B46" s="30" t="s">
        <v>163</v>
      </c>
      <c r="C46" s="30" t="s">
        <v>164</v>
      </c>
      <c r="D46" s="30" t="s">
        <v>149</v>
      </c>
      <c r="E46" s="31">
        <v>1000</v>
      </c>
      <c r="F46" s="32">
        <v>4708.7150000000001</v>
      </c>
      <c r="G46" s="33">
        <v>4.6925540000000002E-2</v>
      </c>
      <c r="H46" s="23">
        <v>6.7</v>
      </c>
    </row>
    <row r="47" spans="1:8" x14ac:dyDescent="0.2">
      <c r="A47" s="29">
        <v>4</v>
      </c>
      <c r="B47" s="30" t="s">
        <v>165</v>
      </c>
      <c r="C47" s="30" t="s">
        <v>166</v>
      </c>
      <c r="D47" s="30" t="s">
        <v>149</v>
      </c>
      <c r="E47" s="31">
        <v>1000</v>
      </c>
      <c r="F47" s="32">
        <v>4706.88</v>
      </c>
      <c r="G47" s="33">
        <v>4.6907249999999998E-2</v>
      </c>
      <c r="H47" s="23">
        <v>6.7649999999999997</v>
      </c>
    </row>
    <row r="48" spans="1:8" ht="25.5" x14ac:dyDescent="0.2">
      <c r="A48" s="29">
        <v>5</v>
      </c>
      <c r="B48" s="30" t="s">
        <v>167</v>
      </c>
      <c r="C48" s="30" t="s">
        <v>168</v>
      </c>
      <c r="D48" s="30" t="s">
        <v>149</v>
      </c>
      <c r="E48" s="31">
        <v>900</v>
      </c>
      <c r="F48" s="32">
        <v>4229.7254999999996</v>
      </c>
      <c r="G48" s="33">
        <v>4.2152080000000001E-2</v>
      </c>
      <c r="H48" s="23">
        <v>6.78</v>
      </c>
    </row>
    <row r="49" spans="1:8" ht="25.5" x14ac:dyDescent="0.2">
      <c r="A49" s="29">
        <v>6</v>
      </c>
      <c r="B49" s="30" t="s">
        <v>169</v>
      </c>
      <c r="C49" s="30" t="s">
        <v>170</v>
      </c>
      <c r="D49" s="30" t="s">
        <v>149</v>
      </c>
      <c r="E49" s="31">
        <v>800</v>
      </c>
      <c r="F49" s="32">
        <v>3777.5639999999999</v>
      </c>
      <c r="G49" s="33">
        <v>3.7645989999999997E-2</v>
      </c>
      <c r="H49" s="23">
        <v>6.78</v>
      </c>
    </row>
    <row r="50" spans="1:8" ht="25.5" x14ac:dyDescent="0.2">
      <c r="A50" s="29">
        <v>7</v>
      </c>
      <c r="B50" s="30" t="s">
        <v>171</v>
      </c>
      <c r="C50" s="30" t="s">
        <v>172</v>
      </c>
      <c r="D50" s="30" t="s">
        <v>149</v>
      </c>
      <c r="E50" s="31">
        <v>800</v>
      </c>
      <c r="F50" s="32">
        <v>3776.92</v>
      </c>
      <c r="G50" s="33">
        <v>3.7639569999999997E-2</v>
      </c>
      <c r="H50" s="23">
        <v>6.8009000000000004</v>
      </c>
    </row>
    <row r="51" spans="1:8" x14ac:dyDescent="0.2">
      <c r="A51" s="29">
        <v>8</v>
      </c>
      <c r="B51" s="30" t="s">
        <v>152</v>
      </c>
      <c r="C51" s="30" t="s">
        <v>153</v>
      </c>
      <c r="D51" s="30" t="s">
        <v>149</v>
      </c>
      <c r="E51" s="31">
        <v>700</v>
      </c>
      <c r="F51" s="32">
        <v>3294.991</v>
      </c>
      <c r="G51" s="33">
        <v>3.2836820000000003E-2</v>
      </c>
      <c r="H51" s="23">
        <v>6.7188999999999997</v>
      </c>
    </row>
    <row r="52" spans="1:8" x14ac:dyDescent="0.2">
      <c r="A52" s="29">
        <v>9</v>
      </c>
      <c r="B52" s="30" t="s">
        <v>173</v>
      </c>
      <c r="C52" s="30" t="s">
        <v>174</v>
      </c>
      <c r="D52" s="30" t="s">
        <v>149</v>
      </c>
      <c r="E52" s="31">
        <v>500</v>
      </c>
      <c r="F52" s="32">
        <v>2409.4425000000001</v>
      </c>
      <c r="G52" s="33">
        <v>2.4011729999999998E-2</v>
      </c>
      <c r="H52" s="23">
        <v>7.0350000000000001</v>
      </c>
    </row>
    <row r="53" spans="1:8" x14ac:dyDescent="0.2">
      <c r="A53" s="29">
        <v>10</v>
      </c>
      <c r="B53" s="30" t="s">
        <v>175</v>
      </c>
      <c r="C53" s="30" t="s">
        <v>176</v>
      </c>
      <c r="D53" s="30" t="s">
        <v>149</v>
      </c>
      <c r="E53" s="31">
        <v>500</v>
      </c>
      <c r="F53" s="32">
        <v>2399.6624999999999</v>
      </c>
      <c r="G53" s="33">
        <v>2.391426E-2</v>
      </c>
      <c r="H53" s="23">
        <v>6.8438999999999997</v>
      </c>
    </row>
    <row r="54" spans="1:8" x14ac:dyDescent="0.2">
      <c r="A54" s="29">
        <v>11</v>
      </c>
      <c r="B54" s="30" t="s">
        <v>177</v>
      </c>
      <c r="C54" s="30" t="s">
        <v>178</v>
      </c>
      <c r="D54" s="30" t="s">
        <v>149</v>
      </c>
      <c r="E54" s="31">
        <v>500</v>
      </c>
      <c r="F54" s="32">
        <v>2398.4949999999999</v>
      </c>
      <c r="G54" s="33">
        <v>2.3902630000000001E-2</v>
      </c>
      <c r="H54" s="23">
        <v>6.835</v>
      </c>
    </row>
    <row r="55" spans="1:8" x14ac:dyDescent="0.2">
      <c r="A55" s="29">
        <v>12</v>
      </c>
      <c r="B55" s="30" t="s">
        <v>179</v>
      </c>
      <c r="C55" s="30" t="s">
        <v>180</v>
      </c>
      <c r="D55" s="30" t="s">
        <v>149</v>
      </c>
      <c r="E55" s="31">
        <v>500</v>
      </c>
      <c r="F55" s="32">
        <v>2392.61</v>
      </c>
      <c r="G55" s="33">
        <v>2.3843980000000001E-2</v>
      </c>
      <c r="H55" s="23">
        <v>7.0312000000000001</v>
      </c>
    </row>
    <row r="56" spans="1:8" x14ac:dyDescent="0.2">
      <c r="A56" s="29">
        <v>13</v>
      </c>
      <c r="B56" s="30" t="s">
        <v>181</v>
      </c>
      <c r="C56" s="30" t="s">
        <v>182</v>
      </c>
      <c r="D56" s="30" t="s">
        <v>149</v>
      </c>
      <c r="E56" s="31">
        <v>500</v>
      </c>
      <c r="F56" s="32">
        <v>2371.23</v>
      </c>
      <c r="G56" s="33">
        <v>2.363092E-2</v>
      </c>
      <c r="H56" s="23">
        <v>6.7649999999999997</v>
      </c>
    </row>
    <row r="57" spans="1:8" x14ac:dyDescent="0.2">
      <c r="A57" s="29">
        <v>14</v>
      </c>
      <c r="B57" s="30" t="s">
        <v>183</v>
      </c>
      <c r="C57" s="30" t="s">
        <v>184</v>
      </c>
      <c r="D57" s="30" t="s">
        <v>149</v>
      </c>
      <c r="E57" s="31">
        <v>500</v>
      </c>
      <c r="F57" s="32">
        <v>2370.7224999999999</v>
      </c>
      <c r="G57" s="33">
        <v>2.3625859999999999E-2</v>
      </c>
      <c r="H57" s="23">
        <v>6.77</v>
      </c>
    </row>
    <row r="58" spans="1:8" x14ac:dyDescent="0.2">
      <c r="A58" s="29">
        <v>15</v>
      </c>
      <c r="B58" s="30" t="s">
        <v>185</v>
      </c>
      <c r="C58" s="30" t="s">
        <v>186</v>
      </c>
      <c r="D58" s="30" t="s">
        <v>149</v>
      </c>
      <c r="E58" s="31">
        <v>500</v>
      </c>
      <c r="F58" s="32">
        <v>2366.2199999999998</v>
      </c>
      <c r="G58" s="33">
        <v>2.358099E-2</v>
      </c>
      <c r="H58" s="23">
        <v>6.7</v>
      </c>
    </row>
    <row r="59" spans="1:8" ht="25.5" x14ac:dyDescent="0.2">
      <c r="A59" s="29">
        <v>16</v>
      </c>
      <c r="B59" s="30" t="s">
        <v>187</v>
      </c>
      <c r="C59" s="30" t="s">
        <v>188</v>
      </c>
      <c r="D59" s="30" t="s">
        <v>149</v>
      </c>
      <c r="E59" s="31">
        <v>500</v>
      </c>
      <c r="F59" s="32">
        <v>2364.8449999999998</v>
      </c>
      <c r="G59" s="33">
        <v>2.3567279999999999E-2</v>
      </c>
      <c r="H59" s="23">
        <v>6.7949999999999999</v>
      </c>
    </row>
    <row r="60" spans="1:8" x14ac:dyDescent="0.2">
      <c r="A60" s="29">
        <v>17</v>
      </c>
      <c r="B60" s="30" t="s">
        <v>189</v>
      </c>
      <c r="C60" s="30" t="s">
        <v>190</v>
      </c>
      <c r="D60" s="30" t="s">
        <v>149</v>
      </c>
      <c r="E60" s="31">
        <v>500</v>
      </c>
      <c r="F60" s="32">
        <v>2362.5275000000001</v>
      </c>
      <c r="G60" s="33">
        <v>2.354419E-2</v>
      </c>
      <c r="H60" s="23">
        <v>6.7</v>
      </c>
    </row>
    <row r="61" spans="1:8" x14ac:dyDescent="0.2">
      <c r="A61" s="29">
        <v>18</v>
      </c>
      <c r="B61" s="30" t="s">
        <v>191</v>
      </c>
      <c r="C61" s="30" t="s">
        <v>192</v>
      </c>
      <c r="D61" s="30" t="s">
        <v>149</v>
      </c>
      <c r="E61" s="31">
        <v>500</v>
      </c>
      <c r="F61" s="32">
        <v>2361.9974999999999</v>
      </c>
      <c r="G61" s="33">
        <v>2.353891E-2</v>
      </c>
      <c r="H61" s="23">
        <v>6.77</v>
      </c>
    </row>
    <row r="62" spans="1:8" x14ac:dyDescent="0.2">
      <c r="A62" s="29">
        <v>19</v>
      </c>
      <c r="B62" s="30" t="s">
        <v>193</v>
      </c>
      <c r="C62" s="30" t="s">
        <v>194</v>
      </c>
      <c r="D62" s="30" t="s">
        <v>149</v>
      </c>
      <c r="E62" s="31">
        <v>500</v>
      </c>
      <c r="F62" s="32">
        <v>2361.2975000000001</v>
      </c>
      <c r="G62" s="33">
        <v>2.353193E-2</v>
      </c>
      <c r="H62" s="23">
        <v>6.85</v>
      </c>
    </row>
    <row r="63" spans="1:8" x14ac:dyDescent="0.2">
      <c r="A63" s="29">
        <v>20</v>
      </c>
      <c r="B63" s="30" t="s">
        <v>195</v>
      </c>
      <c r="C63" s="30" t="s">
        <v>196</v>
      </c>
      <c r="D63" s="30" t="s">
        <v>149</v>
      </c>
      <c r="E63" s="31">
        <v>500</v>
      </c>
      <c r="F63" s="32">
        <v>2355.4949999999999</v>
      </c>
      <c r="G63" s="33">
        <v>2.3474109999999999E-2</v>
      </c>
      <c r="H63" s="23">
        <v>6.7649999999999997</v>
      </c>
    </row>
    <row r="64" spans="1:8" x14ac:dyDescent="0.2">
      <c r="A64" s="29">
        <v>21</v>
      </c>
      <c r="B64" s="30" t="s">
        <v>150</v>
      </c>
      <c r="C64" s="30" t="s">
        <v>151</v>
      </c>
      <c r="D64" s="30" t="s">
        <v>149</v>
      </c>
      <c r="E64" s="31">
        <v>400</v>
      </c>
      <c r="F64" s="32">
        <v>1896.578</v>
      </c>
      <c r="G64" s="33">
        <v>1.8900690000000001E-2</v>
      </c>
      <c r="H64" s="23">
        <v>6.77</v>
      </c>
    </row>
    <row r="65" spans="1:8" x14ac:dyDescent="0.2">
      <c r="A65" s="29">
        <v>22</v>
      </c>
      <c r="B65" s="30" t="s">
        <v>197</v>
      </c>
      <c r="C65" s="30" t="s">
        <v>198</v>
      </c>
      <c r="D65" s="30" t="s">
        <v>149</v>
      </c>
      <c r="E65" s="31">
        <v>400</v>
      </c>
      <c r="F65" s="32">
        <v>1896.5060000000001</v>
      </c>
      <c r="G65" s="33">
        <v>1.8899969999999999E-2</v>
      </c>
      <c r="H65" s="23">
        <v>6.7750000000000004</v>
      </c>
    </row>
    <row r="66" spans="1:8" x14ac:dyDescent="0.2">
      <c r="A66" s="29">
        <v>23</v>
      </c>
      <c r="B66" s="30" t="s">
        <v>199</v>
      </c>
      <c r="C66" s="30" t="s">
        <v>200</v>
      </c>
      <c r="D66" s="30" t="s">
        <v>149</v>
      </c>
      <c r="E66" s="31">
        <v>300</v>
      </c>
      <c r="F66" s="32">
        <v>1424.4614999999999</v>
      </c>
      <c r="G66" s="33">
        <v>1.419573E-2</v>
      </c>
      <c r="H66" s="23">
        <v>6.8638000000000003</v>
      </c>
    </row>
    <row r="67" spans="1:8" x14ac:dyDescent="0.2">
      <c r="A67" s="29">
        <v>24</v>
      </c>
      <c r="B67" s="30" t="s">
        <v>201</v>
      </c>
      <c r="C67" s="30" t="s">
        <v>202</v>
      </c>
      <c r="D67" s="30" t="s">
        <v>149</v>
      </c>
      <c r="E67" s="31">
        <v>300</v>
      </c>
      <c r="F67" s="32">
        <v>1417.5045</v>
      </c>
      <c r="G67" s="33">
        <v>1.4126390000000001E-2</v>
      </c>
      <c r="H67" s="23">
        <v>6.7649999999999997</v>
      </c>
    </row>
    <row r="68" spans="1:8" ht="25.5" x14ac:dyDescent="0.2">
      <c r="A68" s="29">
        <v>25</v>
      </c>
      <c r="B68" s="30" t="s">
        <v>203</v>
      </c>
      <c r="C68" s="30" t="s">
        <v>204</v>
      </c>
      <c r="D68" s="30" t="s">
        <v>149</v>
      </c>
      <c r="E68" s="31">
        <v>300</v>
      </c>
      <c r="F68" s="32">
        <v>1409.2829999999999</v>
      </c>
      <c r="G68" s="33">
        <v>1.404446E-2</v>
      </c>
      <c r="H68" s="23">
        <v>6.85</v>
      </c>
    </row>
    <row r="69" spans="1:8" x14ac:dyDescent="0.2">
      <c r="A69" s="29">
        <v>26</v>
      </c>
      <c r="B69" s="30" t="s">
        <v>205</v>
      </c>
      <c r="C69" s="30" t="s">
        <v>206</v>
      </c>
      <c r="D69" s="30" t="s">
        <v>149</v>
      </c>
      <c r="E69" s="31">
        <v>200</v>
      </c>
      <c r="F69" s="32">
        <v>959.55499999999995</v>
      </c>
      <c r="G69" s="33">
        <v>9.5626200000000008E-3</v>
      </c>
      <c r="H69" s="23">
        <v>7.0251000000000001</v>
      </c>
    </row>
    <row r="70" spans="1:8" x14ac:dyDescent="0.2">
      <c r="A70" s="29">
        <v>27</v>
      </c>
      <c r="B70" s="30" t="s">
        <v>207</v>
      </c>
      <c r="C70" s="30" t="s">
        <v>208</v>
      </c>
      <c r="D70" s="30" t="s">
        <v>209</v>
      </c>
      <c r="E70" s="31">
        <v>160</v>
      </c>
      <c r="F70" s="32">
        <v>785.86559999999997</v>
      </c>
      <c r="G70" s="33">
        <v>7.8316800000000006E-3</v>
      </c>
      <c r="H70" s="23">
        <v>6.5650000000000004</v>
      </c>
    </row>
    <row r="71" spans="1:8" x14ac:dyDescent="0.2">
      <c r="A71" s="21"/>
      <c r="B71" s="21"/>
      <c r="C71" s="22" t="s">
        <v>11</v>
      </c>
      <c r="D71" s="21"/>
      <c r="E71" s="21" t="s">
        <v>12</v>
      </c>
      <c r="F71" s="28">
        <v>74575.579100000003</v>
      </c>
      <c r="G71" s="25">
        <v>0.74319623999999995</v>
      </c>
      <c r="H71" s="23" t="s">
        <v>12</v>
      </c>
    </row>
    <row r="72" spans="1:8" x14ac:dyDescent="0.2">
      <c r="A72" s="21"/>
      <c r="B72" s="21"/>
      <c r="C72" s="26"/>
      <c r="D72" s="21"/>
      <c r="E72" s="21"/>
      <c r="F72" s="27"/>
      <c r="G72" s="27"/>
      <c r="H72" s="23" t="s">
        <v>12</v>
      </c>
    </row>
    <row r="73" spans="1:8" x14ac:dyDescent="0.2">
      <c r="A73" s="21"/>
      <c r="B73" s="21"/>
      <c r="C73" s="22" t="s">
        <v>95</v>
      </c>
      <c r="D73" s="21"/>
      <c r="E73" s="21"/>
      <c r="F73" s="27"/>
      <c r="G73" s="27"/>
      <c r="H73" s="23" t="s">
        <v>12</v>
      </c>
    </row>
    <row r="74" spans="1:8" x14ac:dyDescent="0.2">
      <c r="A74" s="29">
        <v>1</v>
      </c>
      <c r="B74" s="30" t="s">
        <v>210</v>
      </c>
      <c r="C74" s="30" t="s">
        <v>211</v>
      </c>
      <c r="D74" s="30" t="s">
        <v>149</v>
      </c>
      <c r="E74" s="31">
        <v>800</v>
      </c>
      <c r="F74" s="32">
        <v>3762.58</v>
      </c>
      <c r="G74" s="33">
        <v>3.7496660000000001E-2</v>
      </c>
      <c r="H74" s="23">
        <v>7.1749999999999998</v>
      </c>
    </row>
    <row r="75" spans="1:8" ht="25.5" x14ac:dyDescent="0.2">
      <c r="A75" s="29">
        <v>2</v>
      </c>
      <c r="B75" s="30" t="s">
        <v>212</v>
      </c>
      <c r="C75" s="30" t="s">
        <v>213</v>
      </c>
      <c r="D75" s="30" t="s">
        <v>149</v>
      </c>
      <c r="E75" s="31">
        <v>500</v>
      </c>
      <c r="F75" s="32">
        <v>2467.42</v>
      </c>
      <c r="G75" s="33">
        <v>2.4589509999999998E-2</v>
      </c>
      <c r="H75" s="23">
        <v>6.8849999999999998</v>
      </c>
    </row>
    <row r="76" spans="1:8" x14ac:dyDescent="0.2">
      <c r="A76" s="29">
        <v>3</v>
      </c>
      <c r="B76" s="30" t="s">
        <v>214</v>
      </c>
      <c r="C76" s="30" t="s">
        <v>215</v>
      </c>
      <c r="D76" s="30" t="s">
        <v>149</v>
      </c>
      <c r="E76" s="31">
        <v>500</v>
      </c>
      <c r="F76" s="32">
        <v>2407.7525000000001</v>
      </c>
      <c r="G76" s="33">
        <v>2.3994890000000001E-2</v>
      </c>
      <c r="H76" s="23">
        <v>7.6001000000000003</v>
      </c>
    </row>
    <row r="77" spans="1:8" x14ac:dyDescent="0.2">
      <c r="A77" s="29">
        <v>4</v>
      </c>
      <c r="B77" s="30" t="s">
        <v>216</v>
      </c>
      <c r="C77" s="30" t="s">
        <v>217</v>
      </c>
      <c r="D77" s="30" t="s">
        <v>149</v>
      </c>
      <c r="E77" s="31">
        <v>500</v>
      </c>
      <c r="F77" s="32">
        <v>2363.4850000000001</v>
      </c>
      <c r="G77" s="33">
        <v>2.3553729999999998E-2</v>
      </c>
      <c r="H77" s="23">
        <v>6.8449999999999998</v>
      </c>
    </row>
    <row r="78" spans="1:8" ht="25.5" x14ac:dyDescent="0.2">
      <c r="A78" s="29">
        <v>5</v>
      </c>
      <c r="B78" s="30" t="s">
        <v>218</v>
      </c>
      <c r="C78" s="30" t="s">
        <v>219</v>
      </c>
      <c r="D78" s="30" t="s">
        <v>149</v>
      </c>
      <c r="E78" s="31">
        <v>500</v>
      </c>
      <c r="F78" s="32">
        <v>2346.9749999999999</v>
      </c>
      <c r="G78" s="33">
        <v>2.3389199999999999E-2</v>
      </c>
      <c r="H78" s="23">
        <v>7.5549999999999997</v>
      </c>
    </row>
    <row r="79" spans="1:8" ht="25.5" x14ac:dyDescent="0.2">
      <c r="A79" s="29">
        <v>6</v>
      </c>
      <c r="B79" s="30" t="s">
        <v>220</v>
      </c>
      <c r="C79" s="30" t="s">
        <v>221</v>
      </c>
      <c r="D79" s="30" t="s">
        <v>149</v>
      </c>
      <c r="E79" s="31">
        <v>300</v>
      </c>
      <c r="F79" s="32">
        <v>1482.213</v>
      </c>
      <c r="G79" s="33">
        <v>1.477126E-2</v>
      </c>
      <c r="H79" s="23">
        <v>7.0650000000000004</v>
      </c>
    </row>
    <row r="80" spans="1:8" x14ac:dyDescent="0.2">
      <c r="A80" s="29">
        <v>7</v>
      </c>
      <c r="B80" s="30" t="s">
        <v>222</v>
      </c>
      <c r="C80" s="30" t="s">
        <v>223</v>
      </c>
      <c r="D80" s="30" t="s">
        <v>149</v>
      </c>
      <c r="E80" s="31">
        <v>300</v>
      </c>
      <c r="F80" s="32">
        <v>1455.3765000000001</v>
      </c>
      <c r="G80" s="33">
        <v>1.4503810000000001E-2</v>
      </c>
      <c r="H80" s="23">
        <v>6.9084000000000003</v>
      </c>
    </row>
    <row r="81" spans="1:8" ht="25.5" x14ac:dyDescent="0.2">
      <c r="A81" s="29">
        <v>8</v>
      </c>
      <c r="B81" s="30" t="s">
        <v>224</v>
      </c>
      <c r="C81" s="30" t="s">
        <v>225</v>
      </c>
      <c r="D81" s="30" t="s">
        <v>149</v>
      </c>
      <c r="E81" s="31">
        <v>200</v>
      </c>
      <c r="F81" s="32">
        <v>971.27</v>
      </c>
      <c r="G81" s="33">
        <v>9.6793599999999997E-3</v>
      </c>
      <c r="H81" s="23">
        <v>7.3949999999999996</v>
      </c>
    </row>
    <row r="82" spans="1:8" x14ac:dyDescent="0.2">
      <c r="A82" s="21"/>
      <c r="B82" s="21"/>
      <c r="C82" s="22" t="s">
        <v>11</v>
      </c>
      <c r="D82" s="21"/>
      <c r="E82" s="21" t="s">
        <v>12</v>
      </c>
      <c r="F82" s="28">
        <v>17257.072</v>
      </c>
      <c r="G82" s="25">
        <v>0.17197841999999999</v>
      </c>
      <c r="H82" s="23" t="s">
        <v>12</v>
      </c>
    </row>
    <row r="83" spans="1:8" x14ac:dyDescent="0.2">
      <c r="A83" s="21"/>
      <c r="B83" s="21"/>
      <c r="C83" s="26"/>
      <c r="D83" s="21"/>
      <c r="E83" s="21"/>
      <c r="F83" s="27"/>
      <c r="G83" s="27"/>
      <c r="H83" s="23" t="s">
        <v>12</v>
      </c>
    </row>
    <row r="84" spans="1:8" x14ac:dyDescent="0.2">
      <c r="A84" s="21"/>
      <c r="B84" s="21"/>
      <c r="C84" s="22" t="s">
        <v>96</v>
      </c>
      <c r="D84" s="21"/>
      <c r="E84" s="21"/>
      <c r="F84" s="27"/>
      <c r="G84" s="27"/>
      <c r="H84" s="23" t="s">
        <v>12</v>
      </c>
    </row>
    <row r="85" spans="1:8" x14ac:dyDescent="0.2">
      <c r="A85" s="29">
        <v>1</v>
      </c>
      <c r="B85" s="30" t="s">
        <v>226</v>
      </c>
      <c r="C85" s="30" t="s">
        <v>227</v>
      </c>
      <c r="D85" s="30" t="s">
        <v>78</v>
      </c>
      <c r="E85" s="31">
        <v>2500000</v>
      </c>
      <c r="F85" s="32">
        <v>2378.25</v>
      </c>
      <c r="G85" s="33">
        <v>2.3700869999999999E-2</v>
      </c>
      <c r="H85" s="23">
        <v>6.0275999999999996</v>
      </c>
    </row>
    <row r="86" spans="1:8" x14ac:dyDescent="0.2">
      <c r="A86" s="21"/>
      <c r="B86" s="21"/>
      <c r="C86" s="22" t="s">
        <v>11</v>
      </c>
      <c r="D86" s="21"/>
      <c r="E86" s="21" t="s">
        <v>12</v>
      </c>
      <c r="F86" s="28">
        <v>2378.25</v>
      </c>
      <c r="G86" s="25">
        <v>2.3700869999999999E-2</v>
      </c>
      <c r="H86" s="23" t="s">
        <v>12</v>
      </c>
    </row>
    <row r="87" spans="1:8" x14ac:dyDescent="0.2">
      <c r="A87" s="21"/>
      <c r="B87" s="21"/>
      <c r="C87" s="26"/>
      <c r="D87" s="21"/>
      <c r="E87" s="21"/>
      <c r="F87" s="27"/>
      <c r="G87" s="27"/>
      <c r="H87" s="23" t="s">
        <v>12</v>
      </c>
    </row>
    <row r="88" spans="1:8" x14ac:dyDescent="0.2">
      <c r="A88" s="21"/>
      <c r="B88" s="21"/>
      <c r="C88" s="22" t="s">
        <v>97</v>
      </c>
      <c r="D88" s="21"/>
      <c r="E88" s="21"/>
      <c r="F88" s="27"/>
      <c r="G88" s="27"/>
      <c r="H88" s="23" t="s">
        <v>12</v>
      </c>
    </row>
    <row r="89" spans="1:8" x14ac:dyDescent="0.2">
      <c r="A89" s="29">
        <v>1</v>
      </c>
      <c r="B89" s="30"/>
      <c r="C89" s="30" t="s">
        <v>98</v>
      </c>
      <c r="D89" s="30"/>
      <c r="E89" s="34"/>
      <c r="F89" s="32">
        <v>6635.9793769730004</v>
      </c>
      <c r="G89" s="33">
        <v>6.6132040000000003E-2</v>
      </c>
      <c r="H89" s="23">
        <v>5.73</v>
      </c>
    </row>
    <row r="90" spans="1:8" x14ac:dyDescent="0.2">
      <c r="A90" s="21"/>
      <c r="B90" s="21"/>
      <c r="C90" s="22" t="s">
        <v>11</v>
      </c>
      <c r="D90" s="21"/>
      <c r="E90" s="21" t="s">
        <v>12</v>
      </c>
      <c r="F90" s="28">
        <v>6635.9793769730004</v>
      </c>
      <c r="G90" s="25">
        <v>6.6132040000000003E-2</v>
      </c>
      <c r="H90" s="23" t="s">
        <v>12</v>
      </c>
    </row>
    <row r="91" spans="1:8" x14ac:dyDescent="0.2">
      <c r="A91" s="21"/>
      <c r="B91" s="21"/>
      <c r="C91" s="26"/>
      <c r="D91" s="21"/>
      <c r="E91" s="21"/>
      <c r="F91" s="27"/>
      <c r="G91" s="27"/>
      <c r="H91" s="23" t="s">
        <v>12</v>
      </c>
    </row>
    <row r="92" spans="1:8" x14ac:dyDescent="0.2">
      <c r="A92" s="21"/>
      <c r="B92" s="21"/>
      <c r="C92" s="22" t="s">
        <v>99</v>
      </c>
      <c r="D92" s="21"/>
      <c r="E92" s="21"/>
      <c r="F92" s="28">
        <v>100846.880476973</v>
      </c>
      <c r="G92" s="25">
        <v>1.0050075700000001</v>
      </c>
      <c r="H92" s="23" t="s">
        <v>12</v>
      </c>
    </row>
    <row r="93" spans="1:8" x14ac:dyDescent="0.2">
      <c r="A93" s="21"/>
      <c r="B93" s="21"/>
      <c r="C93" s="27"/>
      <c r="D93" s="21"/>
      <c r="E93" s="21"/>
      <c r="F93" s="21"/>
      <c r="G93" s="21"/>
      <c r="H93" s="23" t="s">
        <v>12</v>
      </c>
    </row>
    <row r="94" spans="1:8" x14ac:dyDescent="0.2">
      <c r="A94" s="21"/>
      <c r="B94" s="21"/>
      <c r="C94" s="22" t="s">
        <v>100</v>
      </c>
      <c r="D94" s="21"/>
      <c r="E94" s="21"/>
      <c r="F94" s="21"/>
      <c r="G94" s="21"/>
      <c r="H94" s="23" t="s">
        <v>12</v>
      </c>
    </row>
    <row r="95" spans="1:8" x14ac:dyDescent="0.2">
      <c r="A95" s="21"/>
      <c r="B95" s="21"/>
      <c r="C95" s="22" t="s">
        <v>101</v>
      </c>
      <c r="D95" s="21"/>
      <c r="E95" s="21"/>
      <c r="F95" s="21"/>
      <c r="G95" s="21"/>
      <c r="H95" s="23" t="s">
        <v>12</v>
      </c>
    </row>
    <row r="96" spans="1:8" x14ac:dyDescent="0.2">
      <c r="A96" s="21"/>
      <c r="B96" s="21"/>
      <c r="C96" s="22" t="s">
        <v>11</v>
      </c>
      <c r="D96" s="21"/>
      <c r="E96" s="21" t="s">
        <v>12</v>
      </c>
      <c r="F96" s="28">
        <f>SUM(F95)</f>
        <v>0</v>
      </c>
      <c r="G96" s="25">
        <f>SUM(G95)</f>
        <v>0</v>
      </c>
      <c r="H96" s="23" t="s">
        <v>12</v>
      </c>
    </row>
    <row r="97" spans="1:17" x14ac:dyDescent="0.2">
      <c r="A97" s="21"/>
      <c r="B97" s="21"/>
      <c r="C97" s="26"/>
      <c r="D97" s="21"/>
      <c r="E97" s="21"/>
      <c r="F97" s="27"/>
      <c r="G97" s="27"/>
      <c r="H97" s="23" t="s">
        <v>12</v>
      </c>
    </row>
    <row r="98" spans="1:17" x14ac:dyDescent="0.2">
      <c r="A98" s="21"/>
      <c r="B98" s="21"/>
      <c r="C98" s="22" t="s">
        <v>566</v>
      </c>
      <c r="D98" s="21"/>
      <c r="E98" s="21"/>
      <c r="F98" s="27"/>
      <c r="G98" s="27"/>
      <c r="H98" s="23" t="s">
        <v>12</v>
      </c>
      <c r="K98" s="56"/>
      <c r="L98" s="56"/>
      <c r="M98" s="56"/>
      <c r="N98" s="56"/>
      <c r="O98" s="79"/>
      <c r="P98" s="79"/>
      <c r="Q98" s="79"/>
    </row>
    <row r="99" spans="1:17" ht="25.5" x14ac:dyDescent="0.2">
      <c r="A99" s="29">
        <v>1</v>
      </c>
      <c r="B99" s="30" t="s">
        <v>102</v>
      </c>
      <c r="C99" s="30" t="s">
        <v>103</v>
      </c>
      <c r="D99" s="30"/>
      <c r="E99" s="80">
        <v>1363.741</v>
      </c>
      <c r="F99" s="32">
        <v>151.196764578</v>
      </c>
      <c r="G99" s="33">
        <v>1.5067800000000001E-3</v>
      </c>
      <c r="H99" s="23"/>
    </row>
    <row r="100" spans="1:17" x14ac:dyDescent="0.2">
      <c r="A100" s="21"/>
      <c r="B100" s="21"/>
      <c r="C100" s="22" t="s">
        <v>11</v>
      </c>
      <c r="D100" s="21"/>
      <c r="E100" s="21" t="s">
        <v>12</v>
      </c>
      <c r="F100" s="28">
        <f>SUM(F99)</f>
        <v>151.196764578</v>
      </c>
      <c r="G100" s="25">
        <f>SUM(G99)</f>
        <v>1.5067800000000001E-3</v>
      </c>
      <c r="H100" s="23" t="s">
        <v>12</v>
      </c>
    </row>
    <row r="101" spans="1:17" x14ac:dyDescent="0.2">
      <c r="A101" s="21"/>
      <c r="B101" s="21"/>
      <c r="C101" s="26"/>
      <c r="D101" s="21"/>
      <c r="E101" s="21"/>
      <c r="F101" s="27"/>
      <c r="G101" s="27"/>
      <c r="H101" s="23" t="s">
        <v>12</v>
      </c>
    </row>
    <row r="102" spans="1:17" x14ac:dyDescent="0.2">
      <c r="A102" s="21"/>
      <c r="B102" s="21"/>
      <c r="C102" s="22" t="s">
        <v>104</v>
      </c>
      <c r="D102" s="21"/>
      <c r="E102" s="21"/>
      <c r="F102" s="21"/>
      <c r="G102" s="21"/>
      <c r="H102" s="23" t="s">
        <v>12</v>
      </c>
    </row>
    <row r="103" spans="1:17" x14ac:dyDescent="0.2">
      <c r="A103" s="21"/>
      <c r="B103" s="21"/>
      <c r="C103" s="22" t="s">
        <v>105</v>
      </c>
      <c r="D103" s="21"/>
      <c r="E103" s="21"/>
      <c r="F103" s="21"/>
      <c r="G103" s="21"/>
      <c r="H103" s="23" t="s">
        <v>12</v>
      </c>
    </row>
    <row r="104" spans="1:17" x14ac:dyDescent="0.2">
      <c r="A104" s="21"/>
      <c r="B104" s="21"/>
      <c r="C104" s="22" t="s">
        <v>11</v>
      </c>
      <c r="D104" s="21"/>
      <c r="E104" s="21" t="s">
        <v>12</v>
      </c>
      <c r="F104" s="24" t="s">
        <v>13</v>
      </c>
      <c r="G104" s="25">
        <v>0</v>
      </c>
      <c r="H104" s="23" t="s">
        <v>12</v>
      </c>
    </row>
    <row r="105" spans="1:17" x14ac:dyDescent="0.2">
      <c r="A105" s="21"/>
      <c r="B105" s="21"/>
      <c r="C105" s="26"/>
      <c r="D105" s="21"/>
      <c r="E105" s="21"/>
      <c r="F105" s="27"/>
      <c r="G105" s="27"/>
      <c r="H105" s="23" t="s">
        <v>12</v>
      </c>
    </row>
    <row r="106" spans="1:17" x14ac:dyDescent="0.2">
      <c r="A106" s="21"/>
      <c r="B106" s="21"/>
      <c r="C106" s="22" t="s">
        <v>106</v>
      </c>
      <c r="D106" s="21"/>
      <c r="E106" s="21"/>
      <c r="F106" s="27"/>
      <c r="G106" s="27"/>
      <c r="H106" s="23" t="s">
        <v>12</v>
      </c>
    </row>
    <row r="107" spans="1:17" x14ac:dyDescent="0.2">
      <c r="A107" s="21"/>
      <c r="B107" s="21"/>
      <c r="C107" s="22" t="s">
        <v>11</v>
      </c>
      <c r="D107" s="21"/>
      <c r="E107" s="21" t="s">
        <v>12</v>
      </c>
      <c r="F107" s="24" t="s">
        <v>13</v>
      </c>
      <c r="G107" s="25">
        <v>0</v>
      </c>
      <c r="H107" s="23" t="s">
        <v>12</v>
      </c>
    </row>
    <row r="108" spans="1:17" x14ac:dyDescent="0.2">
      <c r="A108" s="21"/>
      <c r="B108" s="21"/>
      <c r="C108" s="26"/>
      <c r="D108" s="21"/>
      <c r="E108" s="21"/>
      <c r="F108" s="27"/>
      <c r="G108" s="27"/>
      <c r="H108" s="23" t="s">
        <v>12</v>
      </c>
    </row>
    <row r="109" spans="1:17" x14ac:dyDescent="0.2">
      <c r="A109" s="34"/>
      <c r="B109" s="30"/>
      <c r="C109" s="30" t="s">
        <v>107</v>
      </c>
      <c r="D109" s="30"/>
      <c r="E109" s="34"/>
      <c r="F109" s="32">
        <v>-2693.4872659299999</v>
      </c>
      <c r="G109" s="33">
        <v>-2.684243E-2</v>
      </c>
      <c r="H109" s="23" t="s">
        <v>12</v>
      </c>
    </row>
    <row r="110" spans="1:17" x14ac:dyDescent="0.2">
      <c r="A110" s="26"/>
      <c r="B110" s="26"/>
      <c r="C110" s="22" t="s">
        <v>108</v>
      </c>
      <c r="D110" s="27"/>
      <c r="E110" s="27"/>
      <c r="F110" s="28">
        <v>100344.399975621</v>
      </c>
      <c r="G110" s="35">
        <v>1.0000000099999999</v>
      </c>
      <c r="H110" s="23" t="s">
        <v>12</v>
      </c>
    </row>
    <row r="111" spans="1:17" x14ac:dyDescent="0.2">
      <c r="A111" s="36"/>
      <c r="B111" s="36"/>
      <c r="C111" s="36"/>
      <c r="D111" s="37"/>
      <c r="E111" s="37"/>
      <c r="F111" s="37"/>
      <c r="G111" s="37"/>
    </row>
    <row r="112" spans="1:17" x14ac:dyDescent="0.2">
      <c r="A112" s="38"/>
      <c r="B112" s="39" t="s">
        <v>567</v>
      </c>
      <c r="C112" s="39"/>
      <c r="D112" s="39"/>
      <c r="E112" s="39"/>
      <c r="F112" s="39"/>
      <c r="G112" s="39"/>
      <c r="H112" s="39"/>
    </row>
    <row r="113" spans="1:8" x14ac:dyDescent="0.2">
      <c r="A113" s="38"/>
      <c r="B113" s="39" t="s">
        <v>568</v>
      </c>
      <c r="C113" s="39"/>
      <c r="D113" s="39"/>
      <c r="E113" s="39"/>
      <c r="F113" s="39"/>
      <c r="G113" s="39"/>
      <c r="H113" s="39"/>
    </row>
    <row r="114" spans="1:8" x14ac:dyDescent="0.2">
      <c r="A114" s="38"/>
      <c r="B114" s="39" t="s">
        <v>569</v>
      </c>
      <c r="C114" s="39"/>
      <c r="D114" s="39"/>
      <c r="E114" s="39"/>
      <c r="F114" s="39"/>
      <c r="G114" s="39"/>
      <c r="H114" s="39"/>
    </row>
    <row r="115" spans="1:8" x14ac:dyDescent="0.2">
      <c r="A115" s="212"/>
      <c r="B115" s="213" t="s">
        <v>689</v>
      </c>
      <c r="C115" s="214"/>
      <c r="D115" s="214"/>
      <c r="E115" s="214"/>
      <c r="F115" s="214"/>
      <c r="G115" s="214"/>
      <c r="H115" s="214"/>
    </row>
    <row r="116" spans="1:8" x14ac:dyDescent="0.2">
      <c r="A116" s="38"/>
      <c r="B116" s="38"/>
      <c r="C116" s="38"/>
      <c r="D116" s="40"/>
      <c r="E116" s="40"/>
      <c r="F116" s="40"/>
      <c r="G116" s="40"/>
    </row>
    <row r="117" spans="1:8" x14ac:dyDescent="0.2">
      <c r="A117" s="38"/>
      <c r="B117" s="41" t="s">
        <v>109</v>
      </c>
      <c r="C117" s="42"/>
      <c r="D117" s="43"/>
      <c r="E117" s="44"/>
      <c r="F117" s="40"/>
      <c r="G117" s="40"/>
    </row>
    <row r="118" spans="1:8" x14ac:dyDescent="0.2">
      <c r="A118" s="38"/>
      <c r="B118" s="45" t="s">
        <v>110</v>
      </c>
      <c r="C118" s="46"/>
      <c r="D118" s="22" t="s">
        <v>111</v>
      </c>
      <c r="E118" s="44"/>
      <c r="F118" s="40"/>
      <c r="G118" s="40"/>
    </row>
    <row r="119" spans="1:8" x14ac:dyDescent="0.2">
      <c r="A119" s="38"/>
      <c r="B119" s="45" t="s">
        <v>112</v>
      </c>
      <c r="C119" s="46"/>
      <c r="D119" s="22" t="s">
        <v>111</v>
      </c>
      <c r="E119" s="44"/>
      <c r="F119" s="40"/>
      <c r="G119" s="40"/>
    </row>
    <row r="120" spans="1:8" x14ac:dyDescent="0.2">
      <c r="A120" s="38"/>
      <c r="B120" s="45" t="s">
        <v>113</v>
      </c>
      <c r="C120" s="46"/>
      <c r="D120" s="27" t="s">
        <v>12</v>
      </c>
      <c r="E120" s="44"/>
      <c r="F120" s="40"/>
      <c r="G120" s="40"/>
    </row>
    <row r="121" spans="1:8" x14ac:dyDescent="0.2">
      <c r="A121" s="47"/>
      <c r="B121" s="48" t="s">
        <v>12</v>
      </c>
      <c r="C121" s="48" t="s">
        <v>570</v>
      </c>
      <c r="D121" s="48" t="s">
        <v>114</v>
      </c>
      <c r="E121" s="47"/>
      <c r="F121" s="47"/>
      <c r="G121" s="47"/>
    </row>
    <row r="122" spans="1:8" x14ac:dyDescent="0.2">
      <c r="A122" s="47"/>
      <c r="B122" s="49" t="s">
        <v>115</v>
      </c>
      <c r="C122" s="50">
        <v>45747</v>
      </c>
      <c r="D122" s="50">
        <v>45762</v>
      </c>
      <c r="E122" s="47"/>
      <c r="F122" s="47"/>
      <c r="G122" s="47"/>
    </row>
    <row r="123" spans="1:8" x14ac:dyDescent="0.2">
      <c r="A123" s="47"/>
      <c r="B123" s="30" t="s">
        <v>116</v>
      </c>
      <c r="C123" s="51">
        <v>14.7995</v>
      </c>
      <c r="D123" s="51">
        <v>14.8858</v>
      </c>
      <c r="E123" s="47"/>
      <c r="F123" s="52"/>
      <c r="G123" s="53"/>
    </row>
    <row r="124" spans="1:8" x14ac:dyDescent="0.2">
      <c r="A124" s="47"/>
      <c r="B124" s="30" t="s">
        <v>695</v>
      </c>
      <c r="C124" s="51">
        <v>11.2173</v>
      </c>
      <c r="D124" s="51">
        <v>11.2828</v>
      </c>
      <c r="E124" s="47"/>
      <c r="F124" s="52"/>
      <c r="G124" s="53"/>
    </row>
    <row r="125" spans="1:8" x14ac:dyDescent="0.2">
      <c r="A125" s="47"/>
      <c r="B125" s="30" t="s">
        <v>696</v>
      </c>
      <c r="C125" s="51">
        <v>12.6595</v>
      </c>
      <c r="D125" s="51">
        <v>12.7333</v>
      </c>
      <c r="E125" s="47"/>
      <c r="F125" s="52"/>
      <c r="G125" s="53"/>
    </row>
    <row r="126" spans="1:8" x14ac:dyDescent="0.2">
      <c r="A126" s="47"/>
      <c r="B126" s="30" t="s">
        <v>117</v>
      </c>
      <c r="C126" s="51">
        <v>14.7049</v>
      </c>
      <c r="D126" s="51">
        <v>14.789199999999999</v>
      </c>
      <c r="E126" s="47"/>
      <c r="F126" s="52"/>
      <c r="G126" s="53"/>
    </row>
    <row r="127" spans="1:8" ht="25.5" x14ac:dyDescent="0.2">
      <c r="A127" s="47"/>
      <c r="B127" s="30" t="s">
        <v>699</v>
      </c>
      <c r="C127" s="51">
        <v>11.1921</v>
      </c>
      <c r="D127" s="51">
        <v>11.2563</v>
      </c>
      <c r="E127" s="47"/>
      <c r="F127" s="52"/>
      <c r="G127" s="53"/>
    </row>
    <row r="128" spans="1:8" ht="25.5" x14ac:dyDescent="0.2">
      <c r="A128" s="47"/>
      <c r="B128" s="30" t="s">
        <v>665</v>
      </c>
      <c r="C128" s="51">
        <v>12.576499999999999</v>
      </c>
      <c r="D128" s="51">
        <v>12.6486</v>
      </c>
      <c r="E128" s="47"/>
      <c r="F128" s="52"/>
      <c r="G128" s="53"/>
    </row>
    <row r="129" spans="1:14" x14ac:dyDescent="0.2">
      <c r="A129" s="47"/>
      <c r="B129" s="47"/>
      <c r="C129" s="47"/>
      <c r="D129" s="47"/>
      <c r="E129" s="47"/>
      <c r="F129" s="47"/>
      <c r="G129" s="47"/>
    </row>
    <row r="130" spans="1:14" x14ac:dyDescent="0.2">
      <c r="A130" s="47"/>
      <c r="B130" s="45" t="s">
        <v>702</v>
      </c>
      <c r="C130" s="46"/>
      <c r="D130" s="22" t="s">
        <v>111</v>
      </c>
      <c r="E130" s="47"/>
      <c r="F130" s="47"/>
      <c r="G130" s="47"/>
    </row>
    <row r="131" spans="1:14" x14ac:dyDescent="0.2">
      <c r="A131" s="47"/>
      <c r="B131" s="54"/>
      <c r="C131" s="54"/>
      <c r="D131" s="54"/>
      <c r="E131" s="47"/>
      <c r="F131" s="47"/>
      <c r="G131" s="47"/>
    </row>
    <row r="132" spans="1:14" ht="29.25" customHeight="1" x14ac:dyDescent="0.2">
      <c r="A132" s="47"/>
      <c r="B132" s="45" t="s">
        <v>118</v>
      </c>
      <c r="C132" s="46"/>
      <c r="D132" s="22" t="s">
        <v>111</v>
      </c>
      <c r="E132" s="55"/>
      <c r="F132" s="47"/>
      <c r="G132" s="47"/>
      <c r="I132" s="127"/>
    </row>
    <row r="133" spans="1:14" ht="25.5" customHeight="1" x14ac:dyDescent="0.2">
      <c r="A133" s="47"/>
      <c r="B133" s="45" t="s">
        <v>119</v>
      </c>
      <c r="C133" s="46"/>
      <c r="D133" s="22" t="s">
        <v>111</v>
      </c>
      <c r="E133" s="55"/>
      <c r="F133" s="47"/>
      <c r="G133" s="47"/>
      <c r="I133" s="127"/>
    </row>
    <row r="134" spans="1:14" ht="26.25" customHeight="1" x14ac:dyDescent="0.2">
      <c r="A134" s="47"/>
      <c r="B134" s="45" t="s">
        <v>571</v>
      </c>
      <c r="C134" s="46"/>
      <c r="D134" s="22" t="s">
        <v>111</v>
      </c>
      <c r="E134" s="55"/>
      <c r="F134" s="47"/>
      <c r="G134" s="47"/>
      <c r="I134" s="127"/>
    </row>
    <row r="135" spans="1:14" x14ac:dyDescent="0.2">
      <c r="A135" s="54"/>
      <c r="B135" s="54"/>
      <c r="C135" s="54"/>
      <c r="D135" s="54"/>
      <c r="E135" s="54"/>
      <c r="F135" s="54"/>
      <c r="G135" s="54"/>
      <c r="I135" s="127"/>
    </row>
    <row r="136" spans="1:14" s="60" customFormat="1" x14ac:dyDescent="0.2">
      <c r="B136" s="57" t="s">
        <v>572</v>
      </c>
      <c r="C136" s="58"/>
      <c r="D136" s="59"/>
      <c r="I136" s="127"/>
      <c r="J136" s="56"/>
      <c r="K136" s="56"/>
      <c r="L136" s="56"/>
      <c r="M136" s="56"/>
      <c r="N136" s="61"/>
    </row>
    <row r="137" spans="1:14" s="60" customFormat="1" ht="38.25" x14ac:dyDescent="0.2">
      <c r="B137" s="215" t="s">
        <v>573</v>
      </c>
      <c r="C137" s="216"/>
      <c r="D137" s="63" t="s">
        <v>156</v>
      </c>
      <c r="I137" s="127"/>
      <c r="J137" s="56"/>
      <c r="K137" s="56"/>
      <c r="L137" s="56"/>
      <c r="M137" s="56"/>
      <c r="N137" s="61"/>
    </row>
    <row r="138" spans="1:14" s="60" customFormat="1" x14ac:dyDescent="0.2">
      <c r="B138" s="70" t="s">
        <v>574</v>
      </c>
      <c r="C138" s="72"/>
      <c r="D138" s="65"/>
      <c r="I138" s="127"/>
      <c r="J138" s="56"/>
      <c r="K138" s="56"/>
      <c r="L138" s="56"/>
      <c r="M138" s="56"/>
      <c r="N138" s="61"/>
    </row>
    <row r="139" spans="1:14" s="60" customFormat="1" x14ac:dyDescent="0.2">
      <c r="B139" s="70"/>
      <c r="C139" s="72"/>
      <c r="D139" s="66"/>
      <c r="I139" s="127"/>
      <c r="J139" s="56"/>
      <c r="K139" s="56"/>
      <c r="L139" s="56"/>
      <c r="M139" s="56"/>
      <c r="N139" s="61"/>
    </row>
    <row r="140" spans="1:14" s="60" customFormat="1" x14ac:dyDescent="0.2">
      <c r="B140" s="70" t="s">
        <v>575</v>
      </c>
      <c r="C140" s="217"/>
      <c r="D140" s="67">
        <v>6.7893456397537486</v>
      </c>
      <c r="I140" s="127"/>
      <c r="J140" s="56"/>
      <c r="K140" s="56"/>
      <c r="L140" s="56"/>
      <c r="M140" s="56"/>
      <c r="N140" s="61"/>
    </row>
    <row r="141" spans="1:14" s="60" customFormat="1" x14ac:dyDescent="0.2">
      <c r="B141" s="70"/>
      <c r="C141" s="72"/>
      <c r="D141" s="66"/>
      <c r="I141" s="127"/>
      <c r="J141" s="56"/>
      <c r="K141" s="56"/>
      <c r="L141" s="56"/>
      <c r="M141" s="56"/>
      <c r="N141" s="61"/>
    </row>
    <row r="142" spans="1:14" s="60" customFormat="1" x14ac:dyDescent="0.2">
      <c r="B142" s="70" t="s">
        <v>576</v>
      </c>
      <c r="C142" s="217"/>
      <c r="D142" s="67">
        <v>0.76438942732184523</v>
      </c>
      <c r="I142" s="127"/>
      <c r="J142" s="56"/>
      <c r="K142" s="56"/>
      <c r="L142" s="56"/>
      <c r="M142" s="56"/>
      <c r="N142" s="61"/>
    </row>
    <row r="143" spans="1:14" s="60" customFormat="1" x14ac:dyDescent="0.2">
      <c r="B143" s="70" t="s">
        <v>577</v>
      </c>
      <c r="C143" s="217"/>
      <c r="D143" s="67">
        <v>0.76490466048592765</v>
      </c>
      <c r="I143" s="127"/>
      <c r="J143" s="56"/>
      <c r="K143" s="56"/>
      <c r="L143" s="56"/>
      <c r="M143" s="56"/>
      <c r="N143" s="61"/>
    </row>
    <row r="144" spans="1:14" s="60" customFormat="1" x14ac:dyDescent="0.2">
      <c r="B144" s="70"/>
      <c r="C144" s="72"/>
      <c r="D144" s="66"/>
      <c r="I144" s="127"/>
      <c r="J144" s="56"/>
      <c r="K144" s="56"/>
      <c r="L144" s="56"/>
      <c r="M144" s="56"/>
      <c r="N144" s="61"/>
    </row>
    <row r="145" spans="2:16" s="60" customFormat="1" x14ac:dyDescent="0.2">
      <c r="B145" s="64" t="s">
        <v>578</v>
      </c>
      <c r="C145" s="64"/>
      <c r="D145" s="69" t="s">
        <v>690</v>
      </c>
      <c r="I145" s="127"/>
      <c r="J145" s="56"/>
      <c r="K145" s="56"/>
      <c r="L145" s="56"/>
      <c r="M145" s="56"/>
      <c r="N145" s="61"/>
    </row>
    <row r="146" spans="2:16" s="60" customFormat="1" x14ac:dyDescent="0.2">
      <c r="B146" s="70" t="s">
        <v>579</v>
      </c>
      <c r="C146" s="71"/>
      <c r="D146" s="72"/>
      <c r="I146" s="127"/>
      <c r="J146" s="56"/>
      <c r="K146" s="56"/>
      <c r="L146" s="56"/>
      <c r="M146" s="56"/>
      <c r="N146" s="61"/>
      <c r="O146" s="17"/>
      <c r="P146" s="17"/>
    </row>
    <row r="147" spans="2:16" x14ac:dyDescent="0.2">
      <c r="I147" s="127"/>
    </row>
    <row r="148" spans="2:16" x14ac:dyDescent="0.2">
      <c r="B148" s="74" t="s">
        <v>580</v>
      </c>
      <c r="I148" s="127"/>
    </row>
    <row r="149" spans="2:16" x14ac:dyDescent="0.2">
      <c r="I149" s="127"/>
    </row>
    <row r="150" spans="2:16" ht="153.75" customHeight="1" x14ac:dyDescent="0.2">
      <c r="I150" s="127"/>
    </row>
    <row r="151" spans="2:16" x14ac:dyDescent="0.2">
      <c r="I151" s="127"/>
    </row>
    <row r="152" spans="2:16" x14ac:dyDescent="0.2">
      <c r="I152" s="127"/>
    </row>
    <row r="153" spans="2:16" x14ac:dyDescent="0.2">
      <c r="B153" s="75" t="s">
        <v>581</v>
      </c>
      <c r="C153" s="76"/>
      <c r="D153" s="75"/>
      <c r="I153" s="127"/>
    </row>
    <row r="154" spans="2:16" x14ac:dyDescent="0.2">
      <c r="B154" s="75" t="s">
        <v>588</v>
      </c>
      <c r="C154" s="76"/>
      <c r="D154" s="75"/>
      <c r="I154" s="127"/>
    </row>
    <row r="155" spans="2:16" x14ac:dyDescent="0.2">
      <c r="D155" s="75"/>
      <c r="I155" s="127"/>
    </row>
    <row r="156" spans="2:16" ht="165" customHeight="1" x14ac:dyDescent="0.2">
      <c r="I156" s="127"/>
    </row>
    <row r="157" spans="2:16" x14ac:dyDescent="0.2">
      <c r="I157" s="127"/>
    </row>
    <row r="158" spans="2:16" x14ac:dyDescent="0.2">
      <c r="I158" s="127"/>
    </row>
    <row r="159" spans="2:16" x14ac:dyDescent="0.2">
      <c r="I159" s="127"/>
    </row>
    <row r="160" spans="2:16" x14ac:dyDescent="0.2">
      <c r="I160" s="127"/>
    </row>
    <row r="161" spans="9:9" x14ac:dyDescent="0.2">
      <c r="I161" s="127"/>
    </row>
    <row r="162" spans="9:9" x14ac:dyDescent="0.2">
      <c r="I162" s="127"/>
    </row>
    <row r="163" spans="9:9" x14ac:dyDescent="0.2">
      <c r="I163" s="127"/>
    </row>
  </sheetData>
  <mergeCells count="26">
    <mergeCell ref="B114:H114"/>
    <mergeCell ref="B115:H115"/>
    <mergeCell ref="B137:C137"/>
    <mergeCell ref="B138:C138"/>
    <mergeCell ref="B117:D117"/>
    <mergeCell ref="B118:C118"/>
    <mergeCell ref="B119:C119"/>
    <mergeCell ref="B120:C120"/>
    <mergeCell ref="B130:C130"/>
    <mergeCell ref="B134:C134"/>
    <mergeCell ref="B132:C132"/>
    <mergeCell ref="B133:C133"/>
    <mergeCell ref="B136:D136"/>
    <mergeCell ref="A1:H1"/>
    <mergeCell ref="A2:H2"/>
    <mergeCell ref="A3:H3"/>
    <mergeCell ref="B112:H112"/>
    <mergeCell ref="B113:H113"/>
    <mergeCell ref="B144:C144"/>
    <mergeCell ref="B145:C145"/>
    <mergeCell ref="B146:D146"/>
    <mergeCell ref="B139:C139"/>
    <mergeCell ref="B140:C140"/>
    <mergeCell ref="B141:C141"/>
    <mergeCell ref="B142:C142"/>
    <mergeCell ref="B143:C143"/>
  </mergeCells>
  <hyperlinks>
    <hyperlink ref="I1" location="Index!B2" display="Index" xr:uid="{49A73D8B-2F8F-47E4-8381-D646C90BE17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53D0-AF3F-4018-AE65-CEE499E6FC61}">
  <sheetPr>
    <outlinePr summaryBelow="0" summaryRight="0"/>
  </sheetPr>
  <dimension ref="A1:T184"/>
  <sheetViews>
    <sheetView showGridLines="0" workbookViewId="0">
      <selection sqref="A1:H1"/>
    </sheetView>
  </sheetViews>
  <sheetFormatPr defaultRowHeight="12.75" x14ac:dyDescent="0.2"/>
  <cols>
    <col min="1" max="1" width="5.85546875" style="17" bestFit="1" customWidth="1"/>
    <col min="2" max="2" width="22.28515625" style="17" customWidth="1"/>
    <col min="3" max="3" width="48" style="17" customWidth="1"/>
    <col min="4" max="4" width="12.7109375" style="17" customWidth="1"/>
    <col min="5" max="5" width="9.42578125" style="17" bestFit="1" customWidth="1"/>
    <col min="6" max="6" width="10.140625" style="17" bestFit="1" customWidth="1"/>
    <col min="7" max="7" width="14" style="17" bestFit="1" customWidth="1"/>
    <col min="8" max="8" width="10" style="17" customWidth="1"/>
    <col min="9" max="9" width="7.28515625" style="17" customWidth="1"/>
    <col min="10" max="10" width="9.85546875" style="17" customWidth="1"/>
    <col min="11" max="16384" width="9.140625" style="17"/>
  </cols>
  <sheetData>
    <row r="1" spans="1:9" ht="15" x14ac:dyDescent="0.2">
      <c r="A1" s="16" t="s">
        <v>0</v>
      </c>
      <c r="B1" s="16"/>
      <c r="C1" s="16"/>
      <c r="D1" s="16"/>
      <c r="E1" s="16"/>
      <c r="F1" s="16"/>
      <c r="G1" s="16"/>
      <c r="H1" s="16"/>
      <c r="I1" s="7" t="s">
        <v>565</v>
      </c>
    </row>
    <row r="2" spans="1:9" ht="15" x14ac:dyDescent="0.2">
      <c r="A2" s="16" t="s">
        <v>228</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9">
        <v>1</v>
      </c>
      <c r="B28" s="30" t="s">
        <v>229</v>
      </c>
      <c r="C28" s="30" t="s">
        <v>230</v>
      </c>
      <c r="D28" s="30" t="s">
        <v>231</v>
      </c>
      <c r="E28" s="31">
        <v>1500</v>
      </c>
      <c r="F28" s="32">
        <v>1514.3715</v>
      </c>
      <c r="G28" s="33">
        <v>3.9027279999999998E-2</v>
      </c>
      <c r="H28" s="23">
        <v>7.5366999999999997</v>
      </c>
    </row>
    <row r="29" spans="1:8" x14ac:dyDescent="0.2">
      <c r="A29" s="29">
        <v>2</v>
      </c>
      <c r="B29" s="30" t="s">
        <v>232</v>
      </c>
      <c r="C29" s="30" t="s">
        <v>233</v>
      </c>
      <c r="D29" s="30" t="s">
        <v>234</v>
      </c>
      <c r="E29" s="31">
        <v>1500</v>
      </c>
      <c r="F29" s="32">
        <v>1512.075</v>
      </c>
      <c r="G29" s="33">
        <v>3.8968099999999999E-2</v>
      </c>
      <c r="H29" s="23">
        <v>8.3699999999999992</v>
      </c>
    </row>
    <row r="30" spans="1:8" x14ac:dyDescent="0.2">
      <c r="A30" s="29">
        <v>3</v>
      </c>
      <c r="B30" s="30" t="s">
        <v>235</v>
      </c>
      <c r="C30" s="30" t="s">
        <v>236</v>
      </c>
      <c r="D30" s="30" t="s">
        <v>23</v>
      </c>
      <c r="E30" s="31">
        <v>1500</v>
      </c>
      <c r="F30" s="32">
        <v>1509.6165000000001</v>
      </c>
      <c r="G30" s="33">
        <v>3.890474E-2</v>
      </c>
      <c r="H30" s="23">
        <v>6.95</v>
      </c>
    </row>
    <row r="31" spans="1:8" x14ac:dyDescent="0.2">
      <c r="A31" s="29">
        <v>4</v>
      </c>
      <c r="B31" s="30" t="s">
        <v>237</v>
      </c>
      <c r="C31" s="30" t="s">
        <v>238</v>
      </c>
      <c r="D31" s="30" t="s">
        <v>234</v>
      </c>
      <c r="E31" s="31">
        <v>1200</v>
      </c>
      <c r="F31" s="32">
        <v>1207.2876000000001</v>
      </c>
      <c r="G31" s="33">
        <v>3.111334E-2</v>
      </c>
      <c r="H31" s="23">
        <v>7.65</v>
      </c>
    </row>
    <row r="32" spans="1:8" ht="25.5" x14ac:dyDescent="0.2">
      <c r="A32" s="29">
        <v>5</v>
      </c>
      <c r="B32" s="30" t="s">
        <v>70</v>
      </c>
      <c r="C32" s="30" t="s">
        <v>71</v>
      </c>
      <c r="D32" s="30" t="s">
        <v>23</v>
      </c>
      <c r="E32" s="31">
        <v>1000</v>
      </c>
      <c r="F32" s="32">
        <v>1014.479</v>
      </c>
      <c r="G32" s="33">
        <v>2.6144420000000002E-2</v>
      </c>
      <c r="H32" s="23">
        <v>7</v>
      </c>
    </row>
    <row r="33" spans="1:8" x14ac:dyDescent="0.2">
      <c r="A33" s="29">
        <v>6</v>
      </c>
      <c r="B33" s="30" t="s">
        <v>239</v>
      </c>
      <c r="C33" s="30" t="s">
        <v>240</v>
      </c>
      <c r="D33" s="30" t="s">
        <v>231</v>
      </c>
      <c r="E33" s="31">
        <v>1000</v>
      </c>
      <c r="F33" s="32">
        <v>1008.955</v>
      </c>
      <c r="G33" s="33">
        <v>2.600206E-2</v>
      </c>
      <c r="H33" s="23">
        <v>7.6950000000000003</v>
      </c>
    </row>
    <row r="34" spans="1:8" x14ac:dyDescent="0.2">
      <c r="A34" s="29">
        <v>7</v>
      </c>
      <c r="B34" s="30" t="s">
        <v>241</v>
      </c>
      <c r="C34" s="30" t="s">
        <v>242</v>
      </c>
      <c r="D34" s="30" t="s">
        <v>23</v>
      </c>
      <c r="E34" s="31">
        <v>1000</v>
      </c>
      <c r="F34" s="32">
        <v>1007.303</v>
      </c>
      <c r="G34" s="33">
        <v>2.595948E-2</v>
      </c>
      <c r="H34" s="23">
        <v>6.95</v>
      </c>
    </row>
    <row r="35" spans="1:8" ht="25.5" x14ac:dyDescent="0.2">
      <c r="A35" s="29">
        <v>8</v>
      </c>
      <c r="B35" s="30" t="s">
        <v>41</v>
      </c>
      <c r="C35" s="30" t="s">
        <v>42</v>
      </c>
      <c r="D35" s="30" t="s">
        <v>23</v>
      </c>
      <c r="E35" s="31">
        <v>1000</v>
      </c>
      <c r="F35" s="32">
        <v>1005.09</v>
      </c>
      <c r="G35" s="33">
        <v>2.590245E-2</v>
      </c>
      <c r="H35" s="23">
        <v>6.9</v>
      </c>
    </row>
    <row r="36" spans="1:8" x14ac:dyDescent="0.2">
      <c r="A36" s="29">
        <v>9</v>
      </c>
      <c r="B36" s="30" t="s">
        <v>243</v>
      </c>
      <c r="C36" s="30" t="s">
        <v>244</v>
      </c>
      <c r="D36" s="30" t="s">
        <v>245</v>
      </c>
      <c r="E36" s="31">
        <v>1000</v>
      </c>
      <c r="F36" s="32">
        <v>1004.951</v>
      </c>
      <c r="G36" s="33">
        <v>2.5898870000000001E-2</v>
      </c>
      <c r="H36" s="23">
        <v>8.7949999999999999</v>
      </c>
    </row>
    <row r="37" spans="1:8" ht="25.5" x14ac:dyDescent="0.2">
      <c r="A37" s="29">
        <v>10</v>
      </c>
      <c r="B37" s="30" t="s">
        <v>64</v>
      </c>
      <c r="C37" s="30" t="s">
        <v>65</v>
      </c>
      <c r="D37" s="30" t="s">
        <v>23</v>
      </c>
      <c r="E37" s="31">
        <v>1000</v>
      </c>
      <c r="F37" s="32">
        <v>1004.919</v>
      </c>
      <c r="G37" s="33">
        <v>2.5898040000000001E-2</v>
      </c>
      <c r="H37" s="23">
        <v>6.9960000000000004</v>
      </c>
    </row>
    <row r="38" spans="1:8" x14ac:dyDescent="0.2">
      <c r="A38" s="29">
        <v>11</v>
      </c>
      <c r="B38" s="30" t="s">
        <v>246</v>
      </c>
      <c r="C38" s="30" t="s">
        <v>247</v>
      </c>
      <c r="D38" s="30" t="s">
        <v>234</v>
      </c>
      <c r="E38" s="31">
        <v>100</v>
      </c>
      <c r="F38" s="32">
        <v>1002.499</v>
      </c>
      <c r="G38" s="33">
        <v>2.583568E-2</v>
      </c>
      <c r="H38" s="23">
        <v>7.76</v>
      </c>
    </row>
    <row r="39" spans="1:8" x14ac:dyDescent="0.2">
      <c r="A39" s="29">
        <v>12</v>
      </c>
      <c r="B39" s="30" t="s">
        <v>248</v>
      </c>
      <c r="C39" s="30" t="s">
        <v>249</v>
      </c>
      <c r="D39" s="30" t="s">
        <v>234</v>
      </c>
      <c r="E39" s="31">
        <v>900</v>
      </c>
      <c r="F39" s="32">
        <v>907.55280000000005</v>
      </c>
      <c r="G39" s="33">
        <v>2.338879E-2</v>
      </c>
      <c r="H39" s="23">
        <v>7.6337999999999999</v>
      </c>
    </row>
    <row r="40" spans="1:8" x14ac:dyDescent="0.2">
      <c r="A40" s="29">
        <v>13</v>
      </c>
      <c r="B40" s="30" t="s">
        <v>250</v>
      </c>
      <c r="C40" s="30" t="s">
        <v>251</v>
      </c>
      <c r="D40" s="30" t="s">
        <v>34</v>
      </c>
      <c r="E40" s="31">
        <v>900</v>
      </c>
      <c r="F40" s="32">
        <v>906.82470000000001</v>
      </c>
      <c r="G40" s="33">
        <v>2.337003E-2</v>
      </c>
      <c r="H40" s="23">
        <v>7.6083999999999996</v>
      </c>
    </row>
    <row r="41" spans="1:8" ht="25.5" x14ac:dyDescent="0.2">
      <c r="A41" s="29">
        <v>14</v>
      </c>
      <c r="B41" s="30" t="s">
        <v>139</v>
      </c>
      <c r="C41" s="30" t="s">
        <v>140</v>
      </c>
      <c r="D41" s="30" t="s">
        <v>34</v>
      </c>
      <c r="E41" s="31">
        <v>500</v>
      </c>
      <c r="F41" s="32">
        <v>506.65499999999997</v>
      </c>
      <c r="G41" s="33">
        <v>1.305715E-2</v>
      </c>
      <c r="H41" s="23">
        <v>7.02</v>
      </c>
    </row>
    <row r="42" spans="1:8" x14ac:dyDescent="0.2">
      <c r="A42" s="29">
        <v>15</v>
      </c>
      <c r="B42" s="30" t="s">
        <v>252</v>
      </c>
      <c r="C42" s="30" t="s">
        <v>253</v>
      </c>
      <c r="D42" s="30" t="s">
        <v>34</v>
      </c>
      <c r="E42" s="31">
        <v>500</v>
      </c>
      <c r="F42" s="32">
        <v>505.85250000000002</v>
      </c>
      <c r="G42" s="33">
        <v>1.303646E-2</v>
      </c>
      <c r="H42" s="23">
        <v>6.98</v>
      </c>
    </row>
    <row r="43" spans="1:8" x14ac:dyDescent="0.2">
      <c r="A43" s="29">
        <v>16</v>
      </c>
      <c r="B43" s="30" t="s">
        <v>55</v>
      </c>
      <c r="C43" s="30" t="s">
        <v>56</v>
      </c>
      <c r="D43" s="30" t="s">
        <v>23</v>
      </c>
      <c r="E43" s="31">
        <v>500</v>
      </c>
      <c r="F43" s="32">
        <v>505.17950000000002</v>
      </c>
      <c r="G43" s="33">
        <v>1.301912E-2</v>
      </c>
      <c r="H43" s="23">
        <v>6.95</v>
      </c>
    </row>
    <row r="44" spans="1:8" x14ac:dyDescent="0.2">
      <c r="A44" s="29">
        <v>17</v>
      </c>
      <c r="B44" s="30" t="s">
        <v>254</v>
      </c>
      <c r="C44" s="30" t="s">
        <v>255</v>
      </c>
      <c r="D44" s="30" t="s">
        <v>234</v>
      </c>
      <c r="E44" s="31">
        <v>500</v>
      </c>
      <c r="F44" s="32">
        <v>503.79399999999998</v>
      </c>
      <c r="G44" s="33">
        <v>1.2983410000000001E-2</v>
      </c>
      <c r="H44" s="23">
        <v>7.835</v>
      </c>
    </row>
    <row r="45" spans="1:8" ht="25.5" x14ac:dyDescent="0.2">
      <c r="A45" s="29">
        <v>18</v>
      </c>
      <c r="B45" s="30" t="s">
        <v>256</v>
      </c>
      <c r="C45" s="30" t="s">
        <v>257</v>
      </c>
      <c r="D45" s="30" t="s">
        <v>258</v>
      </c>
      <c r="E45" s="31">
        <v>50</v>
      </c>
      <c r="F45" s="32">
        <v>502.2235</v>
      </c>
      <c r="G45" s="33">
        <v>1.294294E-2</v>
      </c>
      <c r="H45" s="23">
        <v>7.4249999999999998</v>
      </c>
    </row>
    <row r="46" spans="1:8" x14ac:dyDescent="0.2">
      <c r="A46" s="29">
        <v>19</v>
      </c>
      <c r="B46" s="30" t="s">
        <v>66</v>
      </c>
      <c r="C46" s="30" t="s">
        <v>67</v>
      </c>
      <c r="D46" s="30" t="s">
        <v>23</v>
      </c>
      <c r="E46" s="31">
        <v>500</v>
      </c>
      <c r="F46" s="32">
        <v>500.47899999999998</v>
      </c>
      <c r="G46" s="33">
        <v>1.289798E-2</v>
      </c>
      <c r="H46" s="23">
        <v>7.04</v>
      </c>
    </row>
    <row r="47" spans="1:8" x14ac:dyDescent="0.2">
      <c r="A47" s="29">
        <v>20</v>
      </c>
      <c r="B47" s="30" t="s">
        <v>259</v>
      </c>
      <c r="C47" s="30" t="s">
        <v>260</v>
      </c>
      <c r="D47" s="30" t="s">
        <v>234</v>
      </c>
      <c r="E47" s="31">
        <v>350</v>
      </c>
      <c r="F47" s="32">
        <v>352.07375000000002</v>
      </c>
      <c r="G47" s="33">
        <v>9.0733900000000006E-3</v>
      </c>
      <c r="H47" s="23">
        <v>8.3800000000000008</v>
      </c>
    </row>
    <row r="48" spans="1:8" x14ac:dyDescent="0.2">
      <c r="A48" s="21"/>
      <c r="B48" s="21"/>
      <c r="C48" s="22" t="s">
        <v>11</v>
      </c>
      <c r="D48" s="21"/>
      <c r="E48" s="21" t="s">
        <v>12</v>
      </c>
      <c r="F48" s="28">
        <v>17982.181349999999</v>
      </c>
      <c r="G48" s="25">
        <v>0.46342372999999998</v>
      </c>
      <c r="H48" s="23" t="s">
        <v>12</v>
      </c>
    </row>
    <row r="49" spans="1:8" x14ac:dyDescent="0.2">
      <c r="A49" s="21"/>
      <c r="B49" s="21"/>
      <c r="C49" s="26"/>
      <c r="D49" s="21"/>
      <c r="E49" s="21"/>
      <c r="F49" s="27"/>
      <c r="G49" s="27"/>
      <c r="H49" s="23" t="s">
        <v>12</v>
      </c>
    </row>
    <row r="50" spans="1:8" x14ac:dyDescent="0.2">
      <c r="A50" s="21"/>
      <c r="B50" s="21"/>
      <c r="C50" s="22" t="s">
        <v>74</v>
      </c>
      <c r="D50" s="21"/>
      <c r="E50" s="21"/>
      <c r="F50" s="21"/>
      <c r="G50" s="21"/>
      <c r="H50" s="23" t="s">
        <v>12</v>
      </c>
    </row>
    <row r="51" spans="1:8" x14ac:dyDescent="0.2">
      <c r="A51" s="21"/>
      <c r="B51" s="21"/>
      <c r="C51" s="22" t="s">
        <v>11</v>
      </c>
      <c r="D51" s="21"/>
      <c r="E51" s="21" t="s">
        <v>12</v>
      </c>
      <c r="F51" s="24" t="s">
        <v>13</v>
      </c>
      <c r="G51" s="25">
        <v>0</v>
      </c>
      <c r="H51" s="23" t="s">
        <v>12</v>
      </c>
    </row>
    <row r="52" spans="1:8" x14ac:dyDescent="0.2">
      <c r="A52" s="21"/>
      <c r="B52" s="21"/>
      <c r="C52" s="26"/>
      <c r="D52" s="21"/>
      <c r="E52" s="21"/>
      <c r="F52" s="27"/>
      <c r="G52" s="27"/>
      <c r="H52" s="23" t="s">
        <v>12</v>
      </c>
    </row>
    <row r="53" spans="1:8" x14ac:dyDescent="0.2">
      <c r="A53" s="21"/>
      <c r="B53" s="21"/>
      <c r="C53" s="22" t="s">
        <v>75</v>
      </c>
      <c r="D53" s="21"/>
      <c r="E53" s="21"/>
      <c r="F53" s="21"/>
      <c r="G53" s="21"/>
      <c r="H53" s="23" t="s">
        <v>12</v>
      </c>
    </row>
    <row r="54" spans="1:8" x14ac:dyDescent="0.2">
      <c r="A54" s="29">
        <v>1</v>
      </c>
      <c r="B54" s="30" t="s">
        <v>79</v>
      </c>
      <c r="C54" s="30" t="s">
        <v>80</v>
      </c>
      <c r="D54" s="30" t="s">
        <v>78</v>
      </c>
      <c r="E54" s="31">
        <v>500000</v>
      </c>
      <c r="F54" s="32">
        <v>524.43949999999995</v>
      </c>
      <c r="G54" s="33">
        <v>1.351548E-2</v>
      </c>
      <c r="H54" s="23">
        <v>6.3621999999999996</v>
      </c>
    </row>
    <row r="55" spans="1:8" x14ac:dyDescent="0.2">
      <c r="A55" s="29">
        <v>2</v>
      </c>
      <c r="B55" s="30" t="s">
        <v>261</v>
      </c>
      <c r="C55" s="30" t="s">
        <v>262</v>
      </c>
      <c r="D55" s="30" t="s">
        <v>78</v>
      </c>
      <c r="E55" s="31">
        <v>500000</v>
      </c>
      <c r="F55" s="32">
        <v>511.22949999999997</v>
      </c>
      <c r="G55" s="33">
        <v>1.3175040000000001E-2</v>
      </c>
      <c r="H55" s="23">
        <v>6.2816999999999998</v>
      </c>
    </row>
    <row r="56" spans="1:8" x14ac:dyDescent="0.2">
      <c r="A56" s="29">
        <v>3</v>
      </c>
      <c r="B56" s="30" t="s">
        <v>263</v>
      </c>
      <c r="C56" s="30" t="s">
        <v>264</v>
      </c>
      <c r="D56" s="30" t="s">
        <v>78</v>
      </c>
      <c r="E56" s="31">
        <v>400000</v>
      </c>
      <c r="F56" s="32">
        <v>412.34960000000001</v>
      </c>
      <c r="G56" s="33">
        <v>1.0626780000000001E-2</v>
      </c>
      <c r="H56" s="23">
        <v>6.2721</v>
      </c>
    </row>
    <row r="57" spans="1:8" x14ac:dyDescent="0.2">
      <c r="A57" s="29">
        <v>4</v>
      </c>
      <c r="B57" s="30" t="s">
        <v>265</v>
      </c>
      <c r="C57" s="30" t="s">
        <v>266</v>
      </c>
      <c r="D57" s="30" t="s">
        <v>78</v>
      </c>
      <c r="E57" s="31">
        <v>300000</v>
      </c>
      <c r="F57" s="32">
        <v>307.5</v>
      </c>
      <c r="G57" s="33">
        <v>7.92467E-3</v>
      </c>
      <c r="H57" s="23">
        <v>6.2218999999999998</v>
      </c>
    </row>
    <row r="58" spans="1:8" x14ac:dyDescent="0.2">
      <c r="A58" s="21"/>
      <c r="B58" s="21"/>
      <c r="C58" s="22" t="s">
        <v>11</v>
      </c>
      <c r="D58" s="21"/>
      <c r="E58" s="21" t="s">
        <v>12</v>
      </c>
      <c r="F58" s="28">
        <v>1755.5186000000001</v>
      </c>
      <c r="G58" s="25">
        <v>4.5241969999999999E-2</v>
      </c>
      <c r="H58" s="23" t="s">
        <v>12</v>
      </c>
    </row>
    <row r="59" spans="1:8" x14ac:dyDescent="0.2">
      <c r="A59" s="21"/>
      <c r="B59" s="21"/>
      <c r="C59" s="26"/>
      <c r="D59" s="21"/>
      <c r="E59" s="21"/>
      <c r="F59" s="27"/>
      <c r="G59" s="27"/>
      <c r="H59" s="23" t="s">
        <v>12</v>
      </c>
    </row>
    <row r="60" spans="1:8" x14ac:dyDescent="0.2">
      <c r="A60" s="21"/>
      <c r="B60" s="21"/>
      <c r="C60" s="22" t="s">
        <v>91</v>
      </c>
      <c r="D60" s="21"/>
      <c r="E60" s="21"/>
      <c r="F60" s="27"/>
      <c r="G60" s="27"/>
      <c r="H60" s="23" t="s">
        <v>12</v>
      </c>
    </row>
    <row r="61" spans="1:8" x14ac:dyDescent="0.2">
      <c r="A61" s="21"/>
      <c r="B61" s="21"/>
      <c r="C61" s="22" t="s">
        <v>11</v>
      </c>
      <c r="D61" s="21"/>
      <c r="E61" s="21" t="s">
        <v>12</v>
      </c>
      <c r="F61" s="24" t="s">
        <v>13</v>
      </c>
      <c r="G61" s="25">
        <v>0</v>
      </c>
      <c r="H61" s="23" t="s">
        <v>12</v>
      </c>
    </row>
    <row r="62" spans="1:8" x14ac:dyDescent="0.2">
      <c r="A62" s="21"/>
      <c r="B62" s="21"/>
      <c r="C62" s="26"/>
      <c r="D62" s="21"/>
      <c r="E62" s="21"/>
      <c r="F62" s="27"/>
      <c r="G62" s="27"/>
      <c r="H62" s="23" t="s">
        <v>12</v>
      </c>
    </row>
    <row r="63" spans="1:8" x14ac:dyDescent="0.2">
      <c r="A63" s="21"/>
      <c r="B63" s="21"/>
      <c r="C63" s="22" t="s">
        <v>92</v>
      </c>
      <c r="D63" s="21"/>
      <c r="E63" s="21"/>
      <c r="F63" s="28">
        <v>19737.699949999998</v>
      </c>
      <c r="G63" s="25">
        <v>0.5086657</v>
      </c>
      <c r="H63" s="23" t="s">
        <v>12</v>
      </c>
    </row>
    <row r="64" spans="1:8" x14ac:dyDescent="0.2">
      <c r="A64" s="21"/>
      <c r="B64" s="21"/>
      <c r="C64" s="26"/>
      <c r="D64" s="21"/>
      <c r="E64" s="21"/>
      <c r="F64" s="27"/>
      <c r="G64" s="27"/>
      <c r="H64" s="23" t="s">
        <v>12</v>
      </c>
    </row>
    <row r="65" spans="1:8" x14ac:dyDescent="0.2">
      <c r="A65" s="21"/>
      <c r="B65" s="21"/>
      <c r="C65" s="22" t="s">
        <v>93</v>
      </c>
      <c r="D65" s="21"/>
      <c r="E65" s="21"/>
      <c r="F65" s="27"/>
      <c r="G65" s="27"/>
      <c r="H65" s="23" t="s">
        <v>12</v>
      </c>
    </row>
    <row r="66" spans="1:8" x14ac:dyDescent="0.2">
      <c r="A66" s="21"/>
      <c r="B66" s="21"/>
      <c r="C66" s="22" t="s">
        <v>94</v>
      </c>
      <c r="D66" s="21"/>
      <c r="E66" s="21"/>
      <c r="F66" s="27"/>
      <c r="G66" s="27"/>
      <c r="H66" s="23" t="s">
        <v>12</v>
      </c>
    </row>
    <row r="67" spans="1:8" x14ac:dyDescent="0.2">
      <c r="A67" s="29">
        <v>1</v>
      </c>
      <c r="B67" s="30" t="s">
        <v>267</v>
      </c>
      <c r="C67" s="30" t="s">
        <v>268</v>
      </c>
      <c r="D67" s="30" t="s">
        <v>149</v>
      </c>
      <c r="E67" s="31">
        <v>500</v>
      </c>
      <c r="F67" s="32">
        <v>2482.2399999999998</v>
      </c>
      <c r="G67" s="33">
        <v>6.3970490000000005E-2</v>
      </c>
      <c r="H67" s="23">
        <v>6.3699000000000003</v>
      </c>
    </row>
    <row r="68" spans="1:8" x14ac:dyDescent="0.2">
      <c r="A68" s="29">
        <v>2</v>
      </c>
      <c r="B68" s="30" t="s">
        <v>269</v>
      </c>
      <c r="C68" s="30" t="s">
        <v>270</v>
      </c>
      <c r="D68" s="30" t="s">
        <v>149</v>
      </c>
      <c r="E68" s="31">
        <v>500</v>
      </c>
      <c r="F68" s="32">
        <v>2421.59</v>
      </c>
      <c r="G68" s="33">
        <v>6.2407459999999998E-2</v>
      </c>
      <c r="H68" s="23">
        <v>7.0350000000000001</v>
      </c>
    </row>
    <row r="69" spans="1:8" x14ac:dyDescent="0.2">
      <c r="A69" s="29">
        <v>3</v>
      </c>
      <c r="B69" s="30" t="s">
        <v>271</v>
      </c>
      <c r="C69" s="30" t="s">
        <v>272</v>
      </c>
      <c r="D69" s="30" t="s">
        <v>149</v>
      </c>
      <c r="E69" s="31">
        <v>400</v>
      </c>
      <c r="F69" s="32">
        <v>1986.01</v>
      </c>
      <c r="G69" s="33">
        <v>5.118201E-2</v>
      </c>
      <c r="H69" s="23">
        <v>6.2709000000000001</v>
      </c>
    </row>
    <row r="70" spans="1:8" x14ac:dyDescent="0.2">
      <c r="A70" s="29">
        <v>4</v>
      </c>
      <c r="B70" s="30" t="s">
        <v>205</v>
      </c>
      <c r="C70" s="30" t="s">
        <v>206</v>
      </c>
      <c r="D70" s="30" t="s">
        <v>149</v>
      </c>
      <c r="E70" s="31">
        <v>300</v>
      </c>
      <c r="F70" s="32">
        <v>1439.3325</v>
      </c>
      <c r="G70" s="33">
        <v>3.7093429999999997E-2</v>
      </c>
      <c r="H70" s="23">
        <v>7.0251000000000001</v>
      </c>
    </row>
    <row r="71" spans="1:8" x14ac:dyDescent="0.2">
      <c r="A71" s="29">
        <v>5</v>
      </c>
      <c r="B71" s="30" t="s">
        <v>273</v>
      </c>
      <c r="C71" s="30" t="s">
        <v>274</v>
      </c>
      <c r="D71" s="30" t="s">
        <v>149</v>
      </c>
      <c r="E71" s="31">
        <v>200</v>
      </c>
      <c r="F71" s="32">
        <v>947.95600000000002</v>
      </c>
      <c r="G71" s="33">
        <v>2.443004E-2</v>
      </c>
      <c r="H71" s="23">
        <v>6.77</v>
      </c>
    </row>
    <row r="72" spans="1:8" ht="25.5" x14ac:dyDescent="0.2">
      <c r="A72" s="29">
        <v>6</v>
      </c>
      <c r="B72" s="30" t="s">
        <v>169</v>
      </c>
      <c r="C72" s="30" t="s">
        <v>170</v>
      </c>
      <c r="D72" s="30" t="s">
        <v>149</v>
      </c>
      <c r="E72" s="31">
        <v>200</v>
      </c>
      <c r="F72" s="32">
        <v>944.39099999999996</v>
      </c>
      <c r="G72" s="33">
        <v>2.4338160000000001E-2</v>
      </c>
      <c r="H72" s="23">
        <v>6.78</v>
      </c>
    </row>
    <row r="73" spans="1:8" ht="25.5" x14ac:dyDescent="0.2">
      <c r="A73" s="29">
        <v>7</v>
      </c>
      <c r="B73" s="30" t="s">
        <v>171</v>
      </c>
      <c r="C73" s="30" t="s">
        <v>172</v>
      </c>
      <c r="D73" s="30" t="s">
        <v>149</v>
      </c>
      <c r="E73" s="31">
        <v>200</v>
      </c>
      <c r="F73" s="32">
        <v>944.23</v>
      </c>
      <c r="G73" s="33">
        <v>2.433401E-2</v>
      </c>
      <c r="H73" s="23">
        <v>6.8009000000000004</v>
      </c>
    </row>
    <row r="74" spans="1:8" x14ac:dyDescent="0.2">
      <c r="A74" s="29">
        <v>8</v>
      </c>
      <c r="B74" s="30" t="s">
        <v>152</v>
      </c>
      <c r="C74" s="30" t="s">
        <v>153</v>
      </c>
      <c r="D74" s="30" t="s">
        <v>149</v>
      </c>
      <c r="E74" s="31">
        <v>200</v>
      </c>
      <c r="F74" s="32">
        <v>941.42600000000004</v>
      </c>
      <c r="G74" s="33">
        <v>2.4261749999999999E-2</v>
      </c>
      <c r="H74" s="23">
        <v>6.7188999999999997</v>
      </c>
    </row>
    <row r="75" spans="1:8" ht="25.5" x14ac:dyDescent="0.2">
      <c r="A75" s="29">
        <v>9</v>
      </c>
      <c r="B75" s="30" t="s">
        <v>203</v>
      </c>
      <c r="C75" s="30" t="s">
        <v>204</v>
      </c>
      <c r="D75" s="30" t="s">
        <v>149</v>
      </c>
      <c r="E75" s="31">
        <v>100</v>
      </c>
      <c r="F75" s="32">
        <v>469.76100000000002</v>
      </c>
      <c r="G75" s="33">
        <v>1.210634E-2</v>
      </c>
      <c r="H75" s="23">
        <v>6.85</v>
      </c>
    </row>
    <row r="76" spans="1:8" x14ac:dyDescent="0.2">
      <c r="A76" s="21"/>
      <c r="B76" s="21"/>
      <c r="C76" s="22" t="s">
        <v>11</v>
      </c>
      <c r="D76" s="21"/>
      <c r="E76" s="21" t="s">
        <v>12</v>
      </c>
      <c r="F76" s="28">
        <v>12576.9365</v>
      </c>
      <c r="G76" s="25">
        <v>0.32412369000000002</v>
      </c>
      <c r="H76" s="23" t="s">
        <v>12</v>
      </c>
    </row>
    <row r="77" spans="1:8" x14ac:dyDescent="0.2">
      <c r="A77" s="21"/>
      <c r="B77" s="21"/>
      <c r="C77" s="26"/>
      <c r="D77" s="21"/>
      <c r="E77" s="21"/>
      <c r="F77" s="27"/>
      <c r="G77" s="27"/>
      <c r="H77" s="23" t="s">
        <v>12</v>
      </c>
    </row>
    <row r="78" spans="1:8" x14ac:dyDescent="0.2">
      <c r="A78" s="21"/>
      <c r="B78" s="21"/>
      <c r="C78" s="22" t="s">
        <v>95</v>
      </c>
      <c r="D78" s="21"/>
      <c r="E78" s="21"/>
      <c r="F78" s="27"/>
      <c r="G78" s="27"/>
      <c r="H78" s="23" t="s">
        <v>12</v>
      </c>
    </row>
    <row r="79" spans="1:8" x14ac:dyDescent="0.2">
      <c r="A79" s="29">
        <v>1</v>
      </c>
      <c r="B79" s="30" t="s">
        <v>220</v>
      </c>
      <c r="C79" s="30" t="s">
        <v>221</v>
      </c>
      <c r="D79" s="30" t="s">
        <v>149</v>
      </c>
      <c r="E79" s="31">
        <v>200</v>
      </c>
      <c r="F79" s="32">
        <v>988.14200000000005</v>
      </c>
      <c r="G79" s="33">
        <v>2.5465680000000001E-2</v>
      </c>
      <c r="H79" s="23">
        <v>7.0650000000000004</v>
      </c>
    </row>
    <row r="80" spans="1:8" x14ac:dyDescent="0.2">
      <c r="A80" s="29">
        <v>2</v>
      </c>
      <c r="B80" s="30" t="s">
        <v>275</v>
      </c>
      <c r="C80" s="30" t="s">
        <v>276</v>
      </c>
      <c r="D80" s="30" t="s">
        <v>149</v>
      </c>
      <c r="E80" s="31">
        <v>200</v>
      </c>
      <c r="F80" s="32">
        <v>965.95699999999999</v>
      </c>
      <c r="G80" s="33">
        <v>2.489394E-2</v>
      </c>
      <c r="H80" s="23">
        <v>6.7350000000000003</v>
      </c>
    </row>
    <row r="81" spans="1:17" x14ac:dyDescent="0.2">
      <c r="A81" s="21"/>
      <c r="B81" s="21"/>
      <c r="C81" s="22" t="s">
        <v>11</v>
      </c>
      <c r="D81" s="21"/>
      <c r="E81" s="21" t="s">
        <v>12</v>
      </c>
      <c r="F81" s="28">
        <v>1954.0989999999999</v>
      </c>
      <c r="G81" s="25">
        <v>5.0359620000000001E-2</v>
      </c>
      <c r="H81" s="23" t="s">
        <v>12</v>
      </c>
    </row>
    <row r="82" spans="1:17" x14ac:dyDescent="0.2">
      <c r="A82" s="21"/>
      <c r="B82" s="21"/>
      <c r="C82" s="26"/>
      <c r="D82" s="21"/>
      <c r="E82" s="21"/>
      <c r="F82" s="27"/>
      <c r="G82" s="27"/>
      <c r="H82" s="23" t="s">
        <v>12</v>
      </c>
    </row>
    <row r="83" spans="1:17" x14ac:dyDescent="0.2">
      <c r="A83" s="21"/>
      <c r="B83" s="21"/>
      <c r="C83" s="22" t="s">
        <v>96</v>
      </c>
      <c r="D83" s="21"/>
      <c r="E83" s="21"/>
      <c r="F83" s="27"/>
      <c r="G83" s="27"/>
      <c r="H83" s="23" t="s">
        <v>12</v>
      </c>
    </row>
    <row r="84" spans="1:17" x14ac:dyDescent="0.2">
      <c r="A84" s="21"/>
      <c r="B84" s="21"/>
      <c r="C84" s="22" t="s">
        <v>11</v>
      </c>
      <c r="D84" s="21"/>
      <c r="E84" s="21" t="s">
        <v>12</v>
      </c>
      <c r="F84" s="24" t="s">
        <v>13</v>
      </c>
      <c r="G84" s="25">
        <v>0</v>
      </c>
      <c r="H84" s="23" t="s">
        <v>12</v>
      </c>
    </row>
    <row r="85" spans="1:17" x14ac:dyDescent="0.2">
      <c r="A85" s="21"/>
      <c r="B85" s="21"/>
      <c r="C85" s="26"/>
      <c r="D85" s="21"/>
      <c r="E85" s="21"/>
      <c r="F85" s="27"/>
      <c r="G85" s="27"/>
      <c r="H85" s="23" t="s">
        <v>12</v>
      </c>
    </row>
    <row r="86" spans="1:17" x14ac:dyDescent="0.2">
      <c r="A86" s="21"/>
      <c r="B86" s="21"/>
      <c r="C86" s="22" t="s">
        <v>97</v>
      </c>
      <c r="D86" s="21"/>
      <c r="E86" s="21"/>
      <c r="F86" s="27"/>
      <c r="G86" s="27"/>
      <c r="H86" s="23" t="s">
        <v>12</v>
      </c>
    </row>
    <row r="87" spans="1:17" x14ac:dyDescent="0.2">
      <c r="A87" s="29">
        <v>1</v>
      </c>
      <c r="B87" s="30"/>
      <c r="C87" s="30" t="s">
        <v>98</v>
      </c>
      <c r="D87" s="30"/>
      <c r="E87" s="34"/>
      <c r="F87" s="32">
        <v>3804.9428079899999</v>
      </c>
      <c r="G87" s="33">
        <v>9.8058229999999996E-2</v>
      </c>
      <c r="H87" s="23">
        <v>5.73</v>
      </c>
    </row>
    <row r="88" spans="1:17" x14ac:dyDescent="0.2">
      <c r="A88" s="21"/>
      <c r="B88" s="21"/>
      <c r="C88" s="22" t="s">
        <v>11</v>
      </c>
      <c r="D88" s="21"/>
      <c r="E88" s="21" t="s">
        <v>12</v>
      </c>
      <c r="F88" s="28">
        <v>3804.9428079899999</v>
      </c>
      <c r="G88" s="25">
        <v>9.8058229999999996E-2</v>
      </c>
      <c r="H88" s="23" t="s">
        <v>12</v>
      </c>
    </row>
    <row r="89" spans="1:17" x14ac:dyDescent="0.2">
      <c r="A89" s="21"/>
      <c r="B89" s="21"/>
      <c r="C89" s="26"/>
      <c r="D89" s="21"/>
      <c r="E89" s="21"/>
      <c r="F89" s="27"/>
      <c r="G89" s="27"/>
      <c r="H89" s="23" t="s">
        <v>12</v>
      </c>
    </row>
    <row r="90" spans="1:17" x14ac:dyDescent="0.2">
      <c r="A90" s="21"/>
      <c r="B90" s="21"/>
      <c r="C90" s="22" t="s">
        <v>99</v>
      </c>
      <c r="D90" s="21"/>
      <c r="E90" s="21"/>
      <c r="F90" s="28">
        <v>18335.978307990001</v>
      </c>
      <c r="G90" s="25">
        <v>0.47254153999999998</v>
      </c>
      <c r="H90" s="23" t="s">
        <v>12</v>
      </c>
    </row>
    <row r="91" spans="1:17" x14ac:dyDescent="0.2">
      <c r="A91" s="21"/>
      <c r="B91" s="21"/>
      <c r="C91" s="27"/>
      <c r="D91" s="21"/>
      <c r="E91" s="21"/>
      <c r="F91" s="21"/>
      <c r="G91" s="21"/>
      <c r="H91" s="23" t="s">
        <v>12</v>
      </c>
    </row>
    <row r="92" spans="1:17" x14ac:dyDescent="0.2">
      <c r="A92" s="21"/>
      <c r="B92" s="21"/>
      <c r="C92" s="22" t="s">
        <v>100</v>
      </c>
      <c r="D92" s="21"/>
      <c r="E92" s="21"/>
      <c r="F92" s="21"/>
      <c r="G92" s="21"/>
      <c r="H92" s="23" t="s">
        <v>12</v>
      </c>
    </row>
    <row r="93" spans="1:17" x14ac:dyDescent="0.2">
      <c r="A93" s="21"/>
      <c r="B93" s="21"/>
      <c r="C93" s="22" t="s">
        <v>101</v>
      </c>
      <c r="D93" s="21"/>
      <c r="E93" s="21"/>
      <c r="F93" s="21"/>
      <c r="G93" s="21"/>
      <c r="H93" s="23" t="s">
        <v>12</v>
      </c>
    </row>
    <row r="94" spans="1:17" x14ac:dyDescent="0.2">
      <c r="A94" s="21"/>
      <c r="B94" s="21"/>
      <c r="C94" s="22" t="s">
        <v>11</v>
      </c>
      <c r="D94" s="21"/>
      <c r="E94" s="21" t="s">
        <v>12</v>
      </c>
      <c r="F94" s="28">
        <f>SUM(F93)</f>
        <v>0</v>
      </c>
      <c r="G94" s="25">
        <f>SUM(G93)</f>
        <v>0</v>
      </c>
      <c r="H94" s="23" t="s">
        <v>12</v>
      </c>
    </row>
    <row r="95" spans="1:17" x14ac:dyDescent="0.2">
      <c r="A95" s="21"/>
      <c r="B95" s="21"/>
      <c r="C95" s="26"/>
      <c r="D95" s="21"/>
      <c r="E95" s="21"/>
      <c r="F95" s="27"/>
      <c r="G95" s="27"/>
      <c r="H95" s="77" t="s">
        <v>12</v>
      </c>
    </row>
    <row r="96" spans="1:17" x14ac:dyDescent="0.2">
      <c r="A96" s="21"/>
      <c r="B96" s="21"/>
      <c r="C96" s="22" t="s">
        <v>566</v>
      </c>
      <c r="D96" s="21"/>
      <c r="E96" s="21"/>
      <c r="F96" s="27"/>
      <c r="G96" s="27"/>
      <c r="H96" s="32"/>
      <c r="K96" s="56"/>
      <c r="L96" s="56"/>
      <c r="M96" s="56"/>
      <c r="N96" s="56"/>
      <c r="O96" s="79"/>
      <c r="P96" s="79"/>
      <c r="Q96" s="79"/>
    </row>
    <row r="97" spans="1:8" x14ac:dyDescent="0.2">
      <c r="A97" s="29">
        <v>1</v>
      </c>
      <c r="B97" s="30" t="s">
        <v>102</v>
      </c>
      <c r="C97" s="30" t="s">
        <v>103</v>
      </c>
      <c r="D97" s="30"/>
      <c r="E97" s="80">
        <v>1043.4449999999999</v>
      </c>
      <c r="F97" s="32">
        <v>115.685828918</v>
      </c>
      <c r="G97" s="33">
        <v>2.9813700000000001E-3</v>
      </c>
      <c r="H97" s="77"/>
    </row>
    <row r="98" spans="1:8" x14ac:dyDescent="0.2">
      <c r="A98" s="21"/>
      <c r="B98" s="21"/>
      <c r="C98" s="22" t="s">
        <v>11</v>
      </c>
      <c r="D98" s="21"/>
      <c r="E98" s="21" t="s">
        <v>12</v>
      </c>
      <c r="F98" s="28">
        <f>SUM(F97)</f>
        <v>115.685828918</v>
      </c>
      <c r="G98" s="25">
        <f>SUM(G97)</f>
        <v>2.9813700000000001E-3</v>
      </c>
      <c r="H98" s="77" t="s">
        <v>12</v>
      </c>
    </row>
    <row r="99" spans="1:8" x14ac:dyDescent="0.2">
      <c r="A99" s="21"/>
      <c r="B99" s="21"/>
      <c r="C99" s="26"/>
      <c r="D99" s="21"/>
      <c r="E99" s="21"/>
      <c r="F99" s="27"/>
      <c r="G99" s="27"/>
      <c r="H99" s="23" t="s">
        <v>12</v>
      </c>
    </row>
    <row r="100" spans="1:8" x14ac:dyDescent="0.2">
      <c r="A100" s="21"/>
      <c r="B100" s="21"/>
      <c r="C100" s="22" t="s">
        <v>104</v>
      </c>
      <c r="D100" s="21"/>
      <c r="E100" s="21"/>
      <c r="F100" s="21"/>
      <c r="G100" s="21"/>
      <c r="H100" s="23" t="s">
        <v>12</v>
      </c>
    </row>
    <row r="101" spans="1:8" x14ac:dyDescent="0.2">
      <c r="A101" s="21"/>
      <c r="B101" s="21"/>
      <c r="C101" s="22" t="s">
        <v>105</v>
      </c>
      <c r="D101" s="21"/>
      <c r="E101" s="21"/>
      <c r="F101" s="21"/>
      <c r="G101" s="21"/>
      <c r="H101" s="23" t="s">
        <v>12</v>
      </c>
    </row>
    <row r="102" spans="1:8" x14ac:dyDescent="0.2">
      <c r="A102" s="21"/>
      <c r="B102" s="21"/>
      <c r="C102" s="22" t="s">
        <v>11</v>
      </c>
      <c r="D102" s="21"/>
      <c r="E102" s="21" t="s">
        <v>12</v>
      </c>
      <c r="F102" s="24" t="s">
        <v>13</v>
      </c>
      <c r="G102" s="25">
        <v>0</v>
      </c>
      <c r="H102" s="23" t="s">
        <v>12</v>
      </c>
    </row>
    <row r="103" spans="1:8" x14ac:dyDescent="0.2">
      <c r="A103" s="21"/>
      <c r="B103" s="21"/>
      <c r="C103" s="26"/>
      <c r="D103" s="21"/>
      <c r="E103" s="21"/>
      <c r="F103" s="27"/>
      <c r="G103" s="27"/>
      <c r="H103" s="23" t="s">
        <v>12</v>
      </c>
    </row>
    <row r="104" spans="1:8" x14ac:dyDescent="0.2">
      <c r="A104" s="21"/>
      <c r="B104" s="21"/>
      <c r="C104" s="22" t="s">
        <v>106</v>
      </c>
      <c r="D104" s="21"/>
      <c r="E104" s="21"/>
      <c r="F104" s="27"/>
      <c r="G104" s="27"/>
      <c r="H104" s="23" t="s">
        <v>12</v>
      </c>
    </row>
    <row r="105" spans="1:8" x14ac:dyDescent="0.2">
      <c r="A105" s="21"/>
      <c r="B105" s="21"/>
      <c r="C105" s="22" t="s">
        <v>11</v>
      </c>
      <c r="D105" s="21"/>
      <c r="E105" s="21" t="s">
        <v>12</v>
      </c>
      <c r="F105" s="24" t="s">
        <v>13</v>
      </c>
      <c r="G105" s="25">
        <v>0</v>
      </c>
      <c r="H105" s="23" t="s">
        <v>12</v>
      </c>
    </row>
    <row r="106" spans="1:8" x14ac:dyDescent="0.2">
      <c r="A106" s="21"/>
      <c r="B106" s="21"/>
      <c r="C106" s="26"/>
      <c r="D106" s="21"/>
      <c r="E106" s="21"/>
      <c r="F106" s="27"/>
      <c r="G106" s="27"/>
      <c r="H106" s="23" t="s">
        <v>12</v>
      </c>
    </row>
    <row r="107" spans="1:8" x14ac:dyDescent="0.2">
      <c r="A107" s="34"/>
      <c r="B107" s="30"/>
      <c r="C107" s="30" t="s">
        <v>107</v>
      </c>
      <c r="D107" s="30"/>
      <c r="E107" s="34"/>
      <c r="F107" s="32">
        <f>613.52783455+0.0000247619962692261</f>
        <v>613.52785931199628</v>
      </c>
      <c r="G107" s="33">
        <f>F107/F108</f>
        <v>1.5811395196067682E-2</v>
      </c>
      <c r="H107" s="23" t="s">
        <v>12</v>
      </c>
    </row>
    <row r="108" spans="1:8" x14ac:dyDescent="0.2">
      <c r="A108" s="26"/>
      <c r="B108" s="26"/>
      <c r="C108" s="22" t="s">
        <v>108</v>
      </c>
      <c r="D108" s="27"/>
      <c r="E108" s="27"/>
      <c r="F108" s="28">
        <f>38802.891921458+0.0000247619962692261</f>
        <v>38802.891946219999</v>
      </c>
      <c r="G108" s="35">
        <v>1.0000000099999999</v>
      </c>
      <c r="H108" s="23" t="s">
        <v>12</v>
      </c>
    </row>
    <row r="109" spans="1:8" x14ac:dyDescent="0.2">
      <c r="A109" s="36"/>
      <c r="B109" s="36"/>
      <c r="C109" s="36"/>
      <c r="D109" s="37"/>
      <c r="E109" s="37"/>
      <c r="F109" s="37"/>
      <c r="G109" s="37"/>
    </row>
    <row r="110" spans="1:8" x14ac:dyDescent="0.2">
      <c r="A110" s="38"/>
      <c r="B110" s="39" t="s">
        <v>567</v>
      </c>
      <c r="C110" s="39"/>
      <c r="D110" s="39"/>
      <c r="E110" s="39"/>
      <c r="F110" s="39"/>
      <c r="G110" s="39"/>
      <c r="H110" s="39"/>
    </row>
    <row r="111" spans="1:8" x14ac:dyDescent="0.2">
      <c r="A111" s="38"/>
      <c r="B111" s="39" t="s">
        <v>568</v>
      </c>
      <c r="C111" s="39"/>
      <c r="D111" s="39"/>
      <c r="E111" s="39"/>
      <c r="F111" s="39"/>
      <c r="G111" s="39"/>
      <c r="H111" s="39"/>
    </row>
    <row r="112" spans="1:8" x14ac:dyDescent="0.2">
      <c r="A112" s="38"/>
      <c r="B112" s="39" t="s">
        <v>569</v>
      </c>
      <c r="C112" s="39"/>
      <c r="D112" s="39"/>
      <c r="E112" s="39"/>
      <c r="F112" s="39"/>
      <c r="G112" s="39"/>
      <c r="H112" s="39"/>
    </row>
    <row r="113" spans="1:7" x14ac:dyDescent="0.2">
      <c r="A113" s="38"/>
      <c r="B113" s="38"/>
      <c r="C113" s="38"/>
      <c r="D113" s="40"/>
      <c r="E113" s="40"/>
      <c r="F113" s="40"/>
      <c r="G113" s="40"/>
    </row>
    <row r="114" spans="1:7" x14ac:dyDescent="0.2">
      <c r="A114" s="38"/>
      <c r="B114" s="41" t="s">
        <v>109</v>
      </c>
      <c r="C114" s="42"/>
      <c r="D114" s="43"/>
      <c r="E114" s="44"/>
      <c r="F114" s="40"/>
      <c r="G114" s="40"/>
    </row>
    <row r="115" spans="1:7" ht="26.25" customHeight="1" x14ac:dyDescent="0.2">
      <c r="A115" s="38"/>
      <c r="B115" s="45" t="s">
        <v>110</v>
      </c>
      <c r="C115" s="46"/>
      <c r="D115" s="22" t="s">
        <v>589</v>
      </c>
      <c r="E115" s="44"/>
      <c r="F115" s="40"/>
      <c r="G115" s="40"/>
    </row>
    <row r="116" spans="1:7" x14ac:dyDescent="0.2">
      <c r="A116" s="38"/>
      <c r="B116" s="45" t="s">
        <v>112</v>
      </c>
      <c r="C116" s="46"/>
      <c r="D116" s="22" t="s">
        <v>111</v>
      </c>
      <c r="E116" s="44"/>
      <c r="F116" s="40"/>
      <c r="G116" s="40"/>
    </row>
    <row r="117" spans="1:7" x14ac:dyDescent="0.2">
      <c r="A117" s="38"/>
      <c r="B117" s="45" t="s">
        <v>113</v>
      </c>
      <c r="C117" s="46"/>
      <c r="D117" s="27" t="s">
        <v>12</v>
      </c>
      <c r="E117" s="44"/>
      <c r="F117" s="40"/>
      <c r="G117" s="40"/>
    </row>
    <row r="118" spans="1:7" x14ac:dyDescent="0.2">
      <c r="A118" s="47"/>
      <c r="B118" s="48" t="s">
        <v>12</v>
      </c>
      <c r="C118" s="48" t="s">
        <v>570</v>
      </c>
      <c r="D118" s="48" t="s">
        <v>114</v>
      </c>
      <c r="E118" s="47"/>
      <c r="F118" s="47"/>
      <c r="G118" s="47"/>
    </row>
    <row r="119" spans="1:7" x14ac:dyDescent="0.2">
      <c r="A119" s="47"/>
      <c r="B119" s="49" t="s">
        <v>115</v>
      </c>
      <c r="C119" s="50">
        <v>45747</v>
      </c>
      <c r="D119" s="50">
        <v>45762</v>
      </c>
      <c r="E119" s="47"/>
      <c r="F119" s="47"/>
      <c r="G119" s="47"/>
    </row>
    <row r="120" spans="1:7" x14ac:dyDescent="0.2">
      <c r="A120" s="47"/>
      <c r="B120" s="30" t="s">
        <v>116</v>
      </c>
      <c r="C120" s="51">
        <v>3633.9203000000002</v>
      </c>
      <c r="D120" s="51">
        <v>3654.9982</v>
      </c>
      <c r="E120" s="47"/>
      <c r="F120" s="52"/>
      <c r="G120" s="53"/>
    </row>
    <row r="121" spans="1:7" ht="25.5" x14ac:dyDescent="0.2">
      <c r="A121" s="47"/>
      <c r="B121" s="30" t="s">
        <v>695</v>
      </c>
      <c r="C121" s="51">
        <v>1100.4606000000001</v>
      </c>
      <c r="D121" s="51">
        <v>1106.8436999999999</v>
      </c>
      <c r="E121" s="47"/>
      <c r="F121" s="52"/>
      <c r="G121" s="53"/>
    </row>
    <row r="122" spans="1:7" ht="25.5" x14ac:dyDescent="0.2">
      <c r="A122" s="47"/>
      <c r="B122" s="30" t="s">
        <v>696</v>
      </c>
      <c r="C122" s="51">
        <v>1249.2994000000001</v>
      </c>
      <c r="D122" s="51">
        <v>1256.5456999999999</v>
      </c>
      <c r="E122" s="47"/>
      <c r="F122" s="52"/>
      <c r="G122" s="53"/>
    </row>
    <row r="123" spans="1:7" x14ac:dyDescent="0.2">
      <c r="A123" s="47"/>
      <c r="B123" s="30" t="s">
        <v>117</v>
      </c>
      <c r="C123" s="51">
        <v>3395.5059000000001</v>
      </c>
      <c r="D123" s="51">
        <v>3414.0745000000002</v>
      </c>
      <c r="E123" s="47"/>
      <c r="F123" s="52"/>
      <c r="G123" s="53"/>
    </row>
    <row r="124" spans="1:7" x14ac:dyDescent="0.2">
      <c r="A124" s="47"/>
      <c r="B124" s="30" t="s">
        <v>155</v>
      </c>
      <c r="C124" s="51">
        <v>1314.9849999999999</v>
      </c>
      <c r="D124" s="51">
        <v>1322.1758</v>
      </c>
      <c r="E124" s="47"/>
      <c r="F124" s="52"/>
      <c r="G124" s="53"/>
    </row>
    <row r="125" spans="1:7" ht="25.5" x14ac:dyDescent="0.2">
      <c r="A125" s="47"/>
      <c r="B125" s="30" t="s">
        <v>699</v>
      </c>
      <c r="C125" s="51">
        <v>1089.644</v>
      </c>
      <c r="D125" s="51">
        <v>1095.6025999999999</v>
      </c>
      <c r="E125" s="47"/>
      <c r="F125" s="52"/>
      <c r="G125" s="53"/>
    </row>
    <row r="126" spans="1:7" ht="25.5" x14ac:dyDescent="0.2">
      <c r="A126" s="47"/>
      <c r="B126" s="30" t="s">
        <v>665</v>
      </c>
      <c r="C126" s="51">
        <v>1206.7374</v>
      </c>
      <c r="D126" s="51">
        <v>1213.3362</v>
      </c>
      <c r="E126" s="47"/>
      <c r="F126" s="52"/>
      <c r="G126" s="53"/>
    </row>
    <row r="127" spans="1:7" x14ac:dyDescent="0.2">
      <c r="A127" s="47"/>
      <c r="B127" s="47"/>
      <c r="C127" s="47"/>
      <c r="D127" s="47"/>
      <c r="E127" s="47"/>
      <c r="F127" s="47"/>
      <c r="G127" s="47"/>
    </row>
    <row r="128" spans="1:7" x14ac:dyDescent="0.2">
      <c r="A128" s="47"/>
      <c r="B128" s="45" t="s">
        <v>702</v>
      </c>
      <c r="C128" s="46"/>
      <c r="D128" s="22" t="s">
        <v>111</v>
      </c>
      <c r="E128" s="47"/>
      <c r="F128" s="47"/>
      <c r="G128" s="47"/>
    </row>
    <row r="129" spans="1:17" x14ac:dyDescent="0.2">
      <c r="A129" s="47"/>
      <c r="B129" s="54"/>
      <c r="C129" s="54"/>
      <c r="D129" s="54"/>
      <c r="E129" s="47"/>
      <c r="F129" s="47"/>
      <c r="G129" s="47"/>
    </row>
    <row r="130" spans="1:17" s="60" customFormat="1" x14ac:dyDescent="0.2">
      <c r="A130" s="53"/>
      <c r="B130" s="45" t="s">
        <v>583</v>
      </c>
      <c r="C130" s="46"/>
      <c r="D130" s="22" t="s">
        <v>111</v>
      </c>
      <c r="G130" s="53"/>
      <c r="I130" s="17"/>
      <c r="J130" s="20"/>
      <c r="K130" s="56"/>
      <c r="L130" s="56"/>
      <c r="M130" s="56"/>
      <c r="N130" s="56"/>
      <c r="O130" s="61"/>
    </row>
    <row r="131" spans="1:17" ht="25.5" customHeight="1" x14ac:dyDescent="0.2">
      <c r="A131" s="47"/>
      <c r="B131" s="45" t="s">
        <v>584</v>
      </c>
      <c r="C131" s="46"/>
      <c r="D131" s="22" t="s">
        <v>111</v>
      </c>
      <c r="E131" s="55"/>
      <c r="F131" s="47"/>
      <c r="G131" s="47"/>
      <c r="J131" s="20"/>
    </row>
    <row r="132" spans="1:17" ht="26.25" customHeight="1" x14ac:dyDescent="0.2">
      <c r="A132" s="47"/>
      <c r="B132" s="45" t="s">
        <v>585</v>
      </c>
      <c r="C132" s="46"/>
      <c r="D132" s="22" t="s">
        <v>111</v>
      </c>
      <c r="E132" s="55"/>
      <c r="F132" s="47"/>
      <c r="G132" s="47"/>
      <c r="J132" s="20"/>
    </row>
    <row r="133" spans="1:17" x14ac:dyDescent="0.2">
      <c r="A133" s="47"/>
      <c r="B133" s="45" t="s">
        <v>586</v>
      </c>
      <c r="C133" s="46"/>
      <c r="D133" s="22" t="s">
        <v>111</v>
      </c>
      <c r="E133" s="55"/>
      <c r="F133" s="47"/>
      <c r="G133" s="47"/>
      <c r="J133" s="20"/>
    </row>
    <row r="134" spans="1:17" x14ac:dyDescent="0.2">
      <c r="A134" s="47"/>
      <c r="B134" s="52"/>
      <c r="C134" s="52"/>
      <c r="D134" s="209"/>
      <c r="E134" s="47"/>
      <c r="F134" s="47"/>
      <c r="G134" s="47"/>
      <c r="J134" s="20"/>
    </row>
    <row r="135" spans="1:17" s="60" customFormat="1" x14ac:dyDescent="0.2">
      <c r="B135" s="57" t="s">
        <v>572</v>
      </c>
      <c r="C135" s="58"/>
      <c r="D135" s="59"/>
      <c r="I135" s="17"/>
      <c r="J135" s="20"/>
      <c r="K135" s="56"/>
      <c r="L135" s="56"/>
      <c r="M135" s="56"/>
      <c r="N135" s="56"/>
      <c r="O135" s="61"/>
    </row>
    <row r="136" spans="1:17" s="60" customFormat="1" ht="25.5" x14ac:dyDescent="0.2">
      <c r="B136" s="62" t="s">
        <v>573</v>
      </c>
      <c r="C136" s="62"/>
      <c r="D136" s="63" t="s">
        <v>228</v>
      </c>
      <c r="I136" s="17"/>
      <c r="J136" s="20"/>
      <c r="K136" s="56"/>
      <c r="L136" s="56"/>
      <c r="M136" s="56"/>
      <c r="N136" s="56"/>
      <c r="O136" s="61"/>
    </row>
    <row r="137" spans="1:17" s="60" customFormat="1" x14ac:dyDescent="0.2">
      <c r="B137" s="64" t="s">
        <v>574</v>
      </c>
      <c r="C137" s="64"/>
      <c r="D137" s="65"/>
      <c r="I137" s="17"/>
      <c r="J137" s="20"/>
      <c r="K137" s="56"/>
      <c r="L137" s="56"/>
      <c r="M137" s="56"/>
      <c r="N137" s="56"/>
      <c r="O137" s="61"/>
    </row>
    <row r="138" spans="1:17" s="60" customFormat="1" x14ac:dyDescent="0.2">
      <c r="B138" s="64"/>
      <c r="C138" s="64"/>
      <c r="D138" s="66"/>
      <c r="I138" s="17"/>
      <c r="J138" s="20"/>
      <c r="K138" s="56"/>
      <c r="L138" s="56"/>
      <c r="M138" s="56"/>
      <c r="N138" s="56"/>
      <c r="O138" s="61"/>
    </row>
    <row r="139" spans="1:17" s="60" customFormat="1" x14ac:dyDescent="0.2">
      <c r="B139" s="64" t="s">
        <v>575</v>
      </c>
      <c r="C139" s="64"/>
      <c r="D139" s="67">
        <v>6.9809173374636568</v>
      </c>
      <c r="I139" s="17"/>
      <c r="J139" s="20"/>
      <c r="K139" s="56"/>
      <c r="L139" s="56"/>
      <c r="M139" s="56"/>
      <c r="N139" s="56"/>
      <c r="O139" s="61"/>
    </row>
    <row r="140" spans="1:17" s="60" customFormat="1" x14ac:dyDescent="0.2">
      <c r="B140" s="64"/>
      <c r="C140" s="64"/>
      <c r="D140" s="66"/>
      <c r="I140" s="17"/>
      <c r="J140" s="20"/>
      <c r="K140" s="56"/>
      <c r="L140" s="56"/>
      <c r="M140" s="56"/>
      <c r="N140" s="56"/>
      <c r="O140" s="61"/>
      <c r="P140" s="17"/>
      <c r="Q140" s="17"/>
    </row>
    <row r="141" spans="1:17" s="60" customFormat="1" x14ac:dyDescent="0.2">
      <c r="B141" s="64" t="s">
        <v>576</v>
      </c>
      <c r="C141" s="64"/>
      <c r="D141" s="67">
        <v>0.96436278101147033</v>
      </c>
      <c r="I141" s="17"/>
      <c r="J141" s="20"/>
      <c r="K141" s="56"/>
      <c r="L141" s="56"/>
      <c r="M141" s="56"/>
      <c r="N141" s="56"/>
      <c r="O141" s="61"/>
      <c r="P141" s="17"/>
      <c r="Q141" s="17"/>
    </row>
    <row r="142" spans="1:17" s="60" customFormat="1" x14ac:dyDescent="0.2">
      <c r="B142" s="64" t="s">
        <v>590</v>
      </c>
      <c r="C142" s="64"/>
      <c r="D142" s="67">
        <v>1.0360914742087481</v>
      </c>
      <c r="I142" s="17"/>
      <c r="J142" s="20"/>
      <c r="K142" s="56"/>
      <c r="L142" s="56"/>
      <c r="M142" s="56"/>
      <c r="N142" s="56"/>
      <c r="O142" s="17"/>
      <c r="P142" s="17"/>
      <c r="Q142" s="17"/>
    </row>
    <row r="143" spans="1:17" s="60" customFormat="1" x14ac:dyDescent="0.2">
      <c r="B143" s="64"/>
      <c r="C143" s="64"/>
      <c r="D143" s="66"/>
      <c r="I143" s="17"/>
      <c r="J143" s="20"/>
      <c r="K143" s="56"/>
      <c r="L143" s="56"/>
      <c r="M143" s="56"/>
      <c r="N143" s="56"/>
      <c r="O143" s="17"/>
      <c r="P143" s="17"/>
      <c r="Q143" s="17"/>
    </row>
    <row r="144" spans="1:17" s="60" customFormat="1" x14ac:dyDescent="0.2">
      <c r="B144" s="64" t="s">
        <v>578</v>
      </c>
      <c r="C144" s="64"/>
      <c r="D144" s="69" t="s">
        <v>690</v>
      </c>
      <c r="I144" s="17"/>
      <c r="J144" s="20"/>
      <c r="K144" s="56"/>
      <c r="L144" s="56"/>
      <c r="M144" s="56"/>
      <c r="N144" s="56"/>
      <c r="O144" s="61"/>
    </row>
    <row r="145" spans="1:20" s="60" customFormat="1" x14ac:dyDescent="0.2">
      <c r="B145" s="70" t="s">
        <v>579</v>
      </c>
      <c r="C145" s="71"/>
      <c r="D145" s="72"/>
      <c r="I145" s="17"/>
      <c r="J145" s="20"/>
      <c r="K145" s="56"/>
      <c r="L145" s="56"/>
      <c r="M145" s="56"/>
      <c r="N145" s="56"/>
      <c r="O145" s="17"/>
      <c r="P145" s="17"/>
      <c r="Q145" s="17"/>
      <c r="R145" s="17"/>
      <c r="S145" s="17"/>
      <c r="T145" s="17"/>
    </row>
    <row r="146" spans="1:20" x14ac:dyDescent="0.2">
      <c r="A146" s="54"/>
      <c r="B146" s="54"/>
      <c r="C146" s="54"/>
      <c r="D146" s="54"/>
      <c r="E146" s="54"/>
      <c r="F146" s="54"/>
      <c r="G146" s="54"/>
      <c r="J146" s="20"/>
    </row>
    <row r="147" spans="1:20" s="60" customFormat="1" x14ac:dyDescent="0.2">
      <c r="B147" s="150" t="s">
        <v>691</v>
      </c>
      <c r="C147" s="150"/>
      <c r="D147" s="150"/>
      <c r="E147" s="150"/>
      <c r="F147" s="150"/>
      <c r="G147" s="150"/>
      <c r="H147" s="150"/>
      <c r="I147" s="17"/>
      <c r="J147" s="20"/>
      <c r="K147" s="56"/>
      <c r="L147" s="56"/>
      <c r="M147" s="56"/>
      <c r="N147" s="56"/>
      <c r="O147" s="61"/>
    </row>
    <row r="148" spans="1:20" s="60" customFormat="1" ht="6.75" customHeight="1" x14ac:dyDescent="0.2">
      <c r="B148" s="150"/>
      <c r="C148" s="150"/>
      <c r="D148" s="150"/>
      <c r="E148" s="150"/>
      <c r="F148" s="150"/>
      <c r="G148" s="150"/>
      <c r="H148" s="150"/>
      <c r="I148" s="17"/>
      <c r="J148" s="20"/>
      <c r="K148" s="56"/>
      <c r="L148" s="56"/>
      <c r="M148" s="56"/>
      <c r="N148" s="56"/>
      <c r="O148" s="61"/>
    </row>
    <row r="149" spans="1:20" ht="13.5" x14ac:dyDescent="0.25">
      <c r="B149" s="185" t="s">
        <v>591</v>
      </c>
      <c r="C149" s="185" t="s">
        <v>592</v>
      </c>
      <c r="D149" s="210" t="s">
        <v>593</v>
      </c>
      <c r="E149" s="210"/>
      <c r="F149" s="210"/>
      <c r="G149" s="92" t="s">
        <v>594</v>
      </c>
      <c r="H149" s="92"/>
      <c r="J149" s="20"/>
      <c r="K149" s="56"/>
      <c r="L149" s="56"/>
      <c r="M149" s="56"/>
      <c r="N149" s="56"/>
      <c r="P149" s="56"/>
    </row>
    <row r="150" spans="1:20" ht="13.5" x14ac:dyDescent="0.25">
      <c r="B150" s="90" t="s">
        <v>595</v>
      </c>
      <c r="C150" s="88" t="s">
        <v>596</v>
      </c>
      <c r="D150" s="89">
        <v>0</v>
      </c>
      <c r="E150" s="89"/>
      <c r="F150" s="89"/>
      <c r="G150" s="89">
        <v>0</v>
      </c>
      <c r="H150" s="89"/>
      <c r="J150" s="20"/>
      <c r="K150" s="56"/>
      <c r="L150" s="56"/>
      <c r="M150" s="56"/>
      <c r="N150" s="56"/>
      <c r="P150" s="56"/>
    </row>
    <row r="151" spans="1:20" ht="13.5" x14ac:dyDescent="0.25">
      <c r="B151" s="90" t="s">
        <v>597</v>
      </c>
      <c r="C151" s="88" t="s">
        <v>598</v>
      </c>
      <c r="D151" s="89">
        <v>0</v>
      </c>
      <c r="E151" s="89"/>
      <c r="F151" s="89"/>
      <c r="G151" s="89">
        <v>0</v>
      </c>
      <c r="H151" s="89"/>
      <c r="J151" s="20"/>
      <c r="K151" s="56"/>
      <c r="L151" s="56"/>
      <c r="M151" s="56"/>
      <c r="N151" s="56"/>
      <c r="P151" s="56"/>
    </row>
    <row r="152" spans="1:20" ht="27" x14ac:dyDescent="0.25">
      <c r="B152" s="90" t="s">
        <v>599</v>
      </c>
      <c r="C152" s="88" t="s">
        <v>600</v>
      </c>
      <c r="D152" s="89">
        <v>0</v>
      </c>
      <c r="E152" s="89"/>
      <c r="F152" s="89"/>
      <c r="G152" s="89">
        <v>0</v>
      </c>
      <c r="H152" s="89"/>
      <c r="J152" s="20"/>
      <c r="K152" s="56"/>
      <c r="L152" s="56"/>
      <c r="M152" s="56"/>
      <c r="N152" s="56"/>
      <c r="P152" s="56"/>
    </row>
    <row r="153" spans="1:20" ht="13.5" x14ac:dyDescent="0.25">
      <c r="B153" s="90"/>
      <c r="C153" s="90"/>
      <c r="D153" s="91"/>
      <c r="E153" s="91"/>
      <c r="F153" s="91"/>
      <c r="G153" s="91"/>
      <c r="H153" s="91"/>
      <c r="J153" s="20"/>
      <c r="K153" s="56"/>
      <c r="L153" s="56"/>
      <c r="M153" s="56"/>
      <c r="N153" s="56"/>
      <c r="P153" s="56"/>
    </row>
    <row r="154" spans="1:20" ht="13.5" x14ac:dyDescent="0.25">
      <c r="B154" s="92" t="s">
        <v>601</v>
      </c>
      <c r="C154" s="92"/>
      <c r="D154" s="92"/>
      <c r="E154" s="92"/>
      <c r="F154" s="92"/>
      <c r="G154" s="92"/>
      <c r="H154" s="92"/>
      <c r="J154" s="20"/>
      <c r="K154" s="56"/>
      <c r="L154" s="56"/>
      <c r="M154" s="56"/>
      <c r="N154" s="56"/>
      <c r="P154" s="56"/>
    </row>
    <row r="155" spans="1:20" ht="13.5" customHeight="1" x14ac:dyDescent="0.2">
      <c r="B155" s="85" t="s">
        <v>591</v>
      </c>
      <c r="C155" s="85" t="s">
        <v>592</v>
      </c>
      <c r="D155" s="85" t="s">
        <v>602</v>
      </c>
      <c r="E155" s="85"/>
      <c r="F155" s="85"/>
      <c r="G155" s="85"/>
      <c r="H155" s="84" t="s">
        <v>603</v>
      </c>
      <c r="I155" s="84" t="s">
        <v>604</v>
      </c>
      <c r="J155" s="207" t="s">
        <v>605</v>
      </c>
      <c r="K155" s="56"/>
      <c r="L155" s="56"/>
      <c r="M155" s="56"/>
      <c r="N155" s="56"/>
      <c r="O155" s="56"/>
      <c r="P155" s="56"/>
    </row>
    <row r="156" spans="1:20" ht="94.5" customHeight="1" x14ac:dyDescent="0.2">
      <c r="B156" s="85"/>
      <c r="C156" s="85"/>
      <c r="D156" s="93" t="s">
        <v>606</v>
      </c>
      <c r="E156" s="93" t="s">
        <v>607</v>
      </c>
      <c r="F156" s="93" t="s">
        <v>608</v>
      </c>
      <c r="G156" s="93" t="s">
        <v>609</v>
      </c>
      <c r="H156" s="84"/>
      <c r="I156" s="84"/>
      <c r="J156" s="163"/>
      <c r="K156" s="56"/>
      <c r="L156" s="56"/>
      <c r="M156" s="56"/>
      <c r="N156" s="56"/>
      <c r="O156" s="56"/>
      <c r="P156" s="56"/>
    </row>
    <row r="157" spans="1:20" ht="13.5" x14ac:dyDescent="0.25">
      <c r="B157" s="90" t="s">
        <v>595</v>
      </c>
      <c r="C157" s="88" t="s">
        <v>596</v>
      </c>
      <c r="D157" s="94">
        <v>1500</v>
      </c>
      <c r="E157" s="94">
        <v>99.850684900000005</v>
      </c>
      <c r="F157" s="196">
        <v>36.275342200000004</v>
      </c>
      <c r="G157" s="197">
        <v>1636.1260271000001</v>
      </c>
      <c r="H157" s="8">
        <v>726.67232000000001</v>
      </c>
      <c r="I157" s="8">
        <f>1250521/10^5</f>
        <v>12.50521</v>
      </c>
      <c r="J157" s="8">
        <f>H157+I157</f>
        <v>739.17753000000005</v>
      </c>
      <c r="K157" s="56"/>
      <c r="L157" s="56"/>
      <c r="M157" s="56"/>
      <c r="N157" s="56"/>
      <c r="O157" s="56"/>
      <c r="P157" s="56"/>
    </row>
    <row r="158" spans="1:20" ht="13.5" x14ac:dyDescent="0.25">
      <c r="B158" s="90" t="s">
        <v>597</v>
      </c>
      <c r="C158" s="88" t="s">
        <v>598</v>
      </c>
      <c r="D158" s="94">
        <v>2517.2199999999998</v>
      </c>
      <c r="E158" s="94">
        <v>183.25361600000002</v>
      </c>
      <c r="F158" s="196">
        <v>45.813405699999997</v>
      </c>
      <c r="G158" s="197">
        <v>2746.2870217</v>
      </c>
      <c r="H158" s="8">
        <v>1225.53333</v>
      </c>
      <c r="I158" s="8">
        <f>2109013/10^5</f>
        <v>21.090129999999998</v>
      </c>
      <c r="J158" s="8">
        <f>H158+I158</f>
        <v>1246.62346</v>
      </c>
      <c r="K158" s="56"/>
      <c r="L158" s="56"/>
      <c r="M158" s="56"/>
      <c r="N158" s="56"/>
      <c r="O158" s="56"/>
      <c r="P158" s="56"/>
    </row>
    <row r="159" spans="1:20" ht="27" x14ac:dyDescent="0.25">
      <c r="B159" s="90" t="s">
        <v>599</v>
      </c>
      <c r="C159" s="88" t="s">
        <v>600</v>
      </c>
      <c r="D159" s="94">
        <v>4882.25</v>
      </c>
      <c r="E159" s="94">
        <v>323.21163799999999</v>
      </c>
      <c r="F159" s="196">
        <v>117.42144879999999</v>
      </c>
      <c r="G159" s="197">
        <v>5322.8830868000005</v>
      </c>
      <c r="H159" s="8">
        <v>2364.0489899999998</v>
      </c>
      <c r="I159" s="8">
        <f>4068280/10^5</f>
        <v>40.6828</v>
      </c>
      <c r="J159" s="8">
        <f>H159+I159</f>
        <v>2404.7317899999998</v>
      </c>
      <c r="K159" s="56"/>
      <c r="L159" s="56"/>
      <c r="M159" s="56"/>
      <c r="N159" s="56"/>
      <c r="O159" s="56"/>
      <c r="P159" s="56"/>
    </row>
    <row r="160" spans="1:20" ht="13.5" x14ac:dyDescent="0.25">
      <c r="B160" s="169"/>
      <c r="C160" s="170"/>
      <c r="D160" s="198"/>
      <c r="E160" s="198"/>
      <c r="F160" s="11"/>
      <c r="G160" s="172"/>
      <c r="H160" s="9"/>
      <c r="I160" s="9"/>
      <c r="J160" s="9"/>
      <c r="K160" s="56"/>
      <c r="L160" s="56"/>
      <c r="M160" s="56"/>
      <c r="N160" s="56"/>
      <c r="O160" s="56"/>
      <c r="P160" s="56"/>
    </row>
    <row r="161" spans="2:16" ht="13.5" customHeight="1" x14ac:dyDescent="0.2">
      <c r="B161" s="200" t="s">
        <v>591</v>
      </c>
      <c r="C161" s="200" t="s">
        <v>592</v>
      </c>
      <c r="D161" s="201" t="s">
        <v>602</v>
      </c>
      <c r="E161" s="202"/>
      <c r="F161" s="203"/>
      <c r="G161" s="204" t="s">
        <v>610</v>
      </c>
      <c r="H161" s="205"/>
      <c r="I161" s="206"/>
      <c r="J161" s="56"/>
      <c r="K161" s="56"/>
      <c r="L161" s="56"/>
      <c r="M161" s="56"/>
      <c r="N161" s="56"/>
      <c r="O161" s="56"/>
    </row>
    <row r="162" spans="2:16" ht="46.5" customHeight="1" x14ac:dyDescent="0.2">
      <c r="B162" s="158"/>
      <c r="C162" s="158"/>
      <c r="D162" s="207" t="s">
        <v>611</v>
      </c>
      <c r="E162" s="207" t="s">
        <v>612</v>
      </c>
      <c r="F162" s="207" t="s">
        <v>613</v>
      </c>
      <c r="G162" s="160" t="s">
        <v>614</v>
      </c>
      <c r="H162" s="161"/>
      <c r="I162" s="207" t="s">
        <v>615</v>
      </c>
      <c r="J162" s="56"/>
      <c r="K162" s="56"/>
      <c r="L162" s="56"/>
      <c r="M162" s="56"/>
      <c r="N162" s="56"/>
      <c r="O162" s="56"/>
    </row>
    <row r="163" spans="2:16" ht="21" customHeight="1" x14ac:dyDescent="0.2">
      <c r="B163" s="162"/>
      <c r="C163" s="162"/>
      <c r="D163" s="163"/>
      <c r="E163" s="163"/>
      <c r="F163" s="163"/>
      <c r="G163" s="93" t="s">
        <v>616</v>
      </c>
      <c r="H163" s="93" t="s">
        <v>617</v>
      </c>
      <c r="I163" s="163"/>
      <c r="J163" s="56"/>
      <c r="K163" s="56"/>
      <c r="L163" s="56"/>
      <c r="M163" s="56"/>
      <c r="N163" s="56"/>
      <c r="O163" s="56"/>
    </row>
    <row r="164" spans="2:16" ht="13.5" x14ac:dyDescent="0.25">
      <c r="B164" s="90" t="s">
        <v>618</v>
      </c>
      <c r="C164" s="88" t="s">
        <v>619</v>
      </c>
      <c r="D164" s="208">
        <v>293.30880000000002</v>
      </c>
      <c r="E164" s="10">
        <v>6.6912000000000003</v>
      </c>
      <c r="F164" s="197">
        <f>D164+E164</f>
        <v>300</v>
      </c>
      <c r="G164" s="8">
        <v>12.699082800000001</v>
      </c>
      <c r="H164" s="8">
        <v>8</v>
      </c>
      <c r="I164" s="8">
        <f>G164+H164</f>
        <v>20.699082799999999</v>
      </c>
      <c r="J164" s="56"/>
      <c r="K164" s="56"/>
      <c r="L164" s="56"/>
      <c r="M164" s="56"/>
      <c r="N164" s="56"/>
      <c r="O164" s="56"/>
    </row>
    <row r="165" spans="2:16" ht="6.75" customHeight="1" x14ac:dyDescent="0.25">
      <c r="B165" s="169"/>
      <c r="C165" s="170"/>
      <c r="D165" s="171"/>
      <c r="E165" s="11"/>
      <c r="F165" s="172"/>
      <c r="G165" s="9"/>
      <c r="H165" s="9"/>
      <c r="I165" s="9"/>
      <c r="J165" s="56"/>
      <c r="K165" s="56"/>
      <c r="L165" s="56"/>
      <c r="M165" s="56"/>
      <c r="N165" s="56"/>
      <c r="O165" s="56"/>
    </row>
    <row r="166" spans="2:16" ht="45" customHeight="1" x14ac:dyDescent="0.2">
      <c r="B166" s="211" t="s">
        <v>620</v>
      </c>
      <c r="C166" s="211"/>
      <c r="D166" s="211"/>
      <c r="E166" s="211"/>
      <c r="F166" s="211"/>
      <c r="G166" s="211"/>
      <c r="H166" s="211"/>
      <c r="I166" s="211"/>
      <c r="J166" s="174"/>
      <c r="K166" s="56"/>
      <c r="L166" s="56"/>
      <c r="M166" s="56"/>
      <c r="N166" s="56"/>
      <c r="O166" s="56"/>
    </row>
    <row r="167" spans="2:16" ht="13.5" x14ac:dyDescent="0.25">
      <c r="B167" s="97" t="s">
        <v>621</v>
      </c>
      <c r="I167" s="56"/>
      <c r="J167" s="20"/>
      <c r="K167" s="56"/>
      <c r="L167" s="56"/>
      <c r="M167" s="56"/>
      <c r="N167" s="56"/>
      <c r="O167" s="56"/>
      <c r="P167" s="56"/>
    </row>
    <row r="168" spans="2:16" x14ac:dyDescent="0.2">
      <c r="B168" s="56"/>
      <c r="C168" s="56"/>
      <c r="D168" s="56"/>
      <c r="E168" s="56"/>
      <c r="F168" s="56"/>
      <c r="G168" s="56"/>
      <c r="H168" s="56"/>
      <c r="I168" s="56"/>
      <c r="J168" s="20"/>
      <c r="K168" s="56"/>
      <c r="L168" s="56"/>
      <c r="M168" s="56"/>
      <c r="N168" s="56"/>
      <c r="O168" s="56"/>
      <c r="P168" s="56"/>
    </row>
    <row r="169" spans="2:16" x14ac:dyDescent="0.2">
      <c r="B169" s="98" t="s">
        <v>622</v>
      </c>
      <c r="C169" s="56"/>
      <c r="D169" s="56"/>
      <c r="E169" s="56"/>
      <c r="F169" s="56"/>
      <c r="G169" s="56"/>
      <c r="H169" s="56"/>
      <c r="I169" s="56"/>
      <c r="J169" s="20"/>
      <c r="K169" s="56"/>
      <c r="L169" s="56"/>
      <c r="M169" s="56"/>
      <c r="N169" s="56"/>
      <c r="O169" s="56"/>
      <c r="P169" s="56"/>
    </row>
    <row r="170" spans="2:16" x14ac:dyDescent="0.2">
      <c r="B170" s="56"/>
      <c r="C170" s="56"/>
      <c r="D170" s="56"/>
      <c r="E170" s="56"/>
      <c r="F170" s="56"/>
      <c r="G170" s="56"/>
      <c r="H170" s="56"/>
      <c r="I170" s="56"/>
      <c r="J170" s="20"/>
      <c r="K170" s="56"/>
      <c r="L170" s="56"/>
      <c r="M170" s="56"/>
      <c r="N170" s="56"/>
      <c r="O170" s="56"/>
      <c r="P170" s="56"/>
    </row>
    <row r="171" spans="2:16" x14ac:dyDescent="0.2">
      <c r="B171" s="98" t="s">
        <v>623</v>
      </c>
      <c r="C171" s="56"/>
      <c r="D171" s="56"/>
      <c r="E171" s="56"/>
      <c r="F171" s="56"/>
      <c r="G171" s="56"/>
      <c r="H171" s="56"/>
      <c r="I171" s="56"/>
      <c r="J171" s="20"/>
      <c r="K171" s="56"/>
      <c r="L171" s="56"/>
      <c r="M171" s="56"/>
      <c r="N171" s="56"/>
      <c r="O171" s="56"/>
      <c r="P171" s="56"/>
    </row>
    <row r="172" spans="2:16" x14ac:dyDescent="0.2">
      <c r="J172" s="20"/>
    </row>
    <row r="173" spans="2:16" x14ac:dyDescent="0.2">
      <c r="B173" s="98" t="s">
        <v>624</v>
      </c>
      <c r="J173" s="20"/>
      <c r="K173" s="56"/>
      <c r="L173" s="56"/>
      <c r="M173" s="56"/>
      <c r="N173" s="56"/>
      <c r="O173" s="56"/>
    </row>
    <row r="174" spans="2:16" x14ac:dyDescent="0.2">
      <c r="B174" s="98"/>
      <c r="J174" s="20"/>
      <c r="K174" s="56"/>
      <c r="L174" s="56"/>
      <c r="M174" s="56"/>
      <c r="N174" s="56"/>
      <c r="O174" s="56"/>
    </row>
    <row r="175" spans="2:16" x14ac:dyDescent="0.2">
      <c r="B175" s="98" t="s">
        <v>625</v>
      </c>
      <c r="J175" s="20"/>
      <c r="K175" s="56"/>
      <c r="L175" s="56"/>
      <c r="M175" s="56"/>
      <c r="N175" s="56"/>
      <c r="O175" s="56"/>
    </row>
    <row r="176" spans="2:16" x14ac:dyDescent="0.2">
      <c r="J176" s="20"/>
    </row>
    <row r="177" spans="2:4" x14ac:dyDescent="0.2">
      <c r="B177" s="74" t="s">
        <v>580</v>
      </c>
    </row>
    <row r="179" spans="2:4" ht="153.75" customHeight="1" x14ac:dyDescent="0.2"/>
    <row r="182" spans="2:4" x14ac:dyDescent="0.2">
      <c r="B182" s="75" t="s">
        <v>581</v>
      </c>
      <c r="C182" s="76"/>
      <c r="D182" s="75"/>
    </row>
    <row r="183" spans="2:4" x14ac:dyDescent="0.2">
      <c r="B183" s="75" t="s">
        <v>626</v>
      </c>
      <c r="D183" s="75"/>
    </row>
    <row r="184" spans="2:4" ht="180" customHeight="1" x14ac:dyDescent="0.2"/>
  </sheetData>
  <mergeCells count="53">
    <mergeCell ref="B112:H112"/>
    <mergeCell ref="B133:C133"/>
    <mergeCell ref="B136:C136"/>
    <mergeCell ref="B114:D114"/>
    <mergeCell ref="B115:C115"/>
    <mergeCell ref="B116:C116"/>
    <mergeCell ref="B117:C117"/>
    <mergeCell ref="B128:C128"/>
    <mergeCell ref="B132:C132"/>
    <mergeCell ref="B130:C130"/>
    <mergeCell ref="B131:C131"/>
    <mergeCell ref="B135:D135"/>
    <mergeCell ref="A1:H1"/>
    <mergeCell ref="A2:H2"/>
    <mergeCell ref="A3:H3"/>
    <mergeCell ref="B110:H110"/>
    <mergeCell ref="B111:H111"/>
    <mergeCell ref="B137:C137"/>
    <mergeCell ref="B138:C138"/>
    <mergeCell ref="B139:C139"/>
    <mergeCell ref="B140:C140"/>
    <mergeCell ref="B141:C141"/>
    <mergeCell ref="B142:C142"/>
    <mergeCell ref="B143:C143"/>
    <mergeCell ref="B144:C144"/>
    <mergeCell ref="B145:D145"/>
    <mergeCell ref="D149:F149"/>
    <mergeCell ref="G149:H149"/>
    <mergeCell ref="D150:F150"/>
    <mergeCell ref="G150:H150"/>
    <mergeCell ref="D151:F151"/>
    <mergeCell ref="G151:H151"/>
    <mergeCell ref="D152:F152"/>
    <mergeCell ref="G152:H152"/>
    <mergeCell ref="D153:F153"/>
    <mergeCell ref="G153:H153"/>
    <mergeCell ref="B154:H154"/>
    <mergeCell ref="B166:I166"/>
    <mergeCell ref="J155:J156"/>
    <mergeCell ref="B161:B163"/>
    <mergeCell ref="C161:C163"/>
    <mergeCell ref="D161:F161"/>
    <mergeCell ref="G161:I161"/>
    <mergeCell ref="D162:D163"/>
    <mergeCell ref="E162:E163"/>
    <mergeCell ref="F162:F163"/>
    <mergeCell ref="G162:H162"/>
    <mergeCell ref="I162:I163"/>
    <mergeCell ref="B155:B156"/>
    <mergeCell ref="C155:C156"/>
    <mergeCell ref="D155:G155"/>
    <mergeCell ref="H155:H156"/>
    <mergeCell ref="I155:I156"/>
  </mergeCells>
  <hyperlinks>
    <hyperlink ref="I1" location="Index!B2" display="Index" xr:uid="{355DE455-DBC3-46B8-82B8-D9DF5A792F70}"/>
    <hyperlink ref="B169" r:id="rId1" xr:uid="{CEDBDC80-0887-4F7D-ADF9-8C76E958680C}"/>
    <hyperlink ref="B171" r:id="rId2" xr:uid="{ABA5E3D0-A288-41AB-9DF3-95029B500570}"/>
    <hyperlink ref="B173" r:id="rId3" xr:uid="{E23B1EE6-A54C-42A7-8D66-478F8864839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49B0-96E0-41BF-97EA-EBF9102FC9AB}">
  <sheetPr>
    <outlinePr summaryBelow="0" summaryRight="0"/>
  </sheetPr>
  <dimension ref="A1:R210"/>
  <sheetViews>
    <sheetView showGridLines="0" workbookViewId="0">
      <selection sqref="A1:H1"/>
    </sheetView>
  </sheetViews>
  <sheetFormatPr defaultRowHeight="12.75" x14ac:dyDescent="0.2"/>
  <cols>
    <col min="1" max="1" width="5.85546875" style="17" bestFit="1" customWidth="1"/>
    <col min="2" max="2" width="22.42578125" style="17" customWidth="1"/>
    <col min="3" max="3" width="40.5703125" style="17" customWidth="1"/>
    <col min="4" max="4" width="11" style="17" bestFit="1" customWidth="1"/>
    <col min="5" max="5" width="10.42578125" style="17" bestFit="1" customWidth="1"/>
    <col min="6" max="6" width="10.140625" style="17" bestFit="1" customWidth="1"/>
    <col min="7" max="7" width="14" style="17" bestFit="1" customWidth="1"/>
    <col min="8" max="8" width="11.7109375" style="17" customWidth="1"/>
    <col min="9" max="9" width="9.28515625" style="17" customWidth="1"/>
    <col min="10" max="16384" width="9.140625" style="17"/>
  </cols>
  <sheetData>
    <row r="1" spans="1:9" ht="15" x14ac:dyDescent="0.2">
      <c r="A1" s="16" t="s">
        <v>0</v>
      </c>
      <c r="B1" s="16"/>
      <c r="C1" s="16"/>
      <c r="D1" s="16"/>
      <c r="E1" s="16"/>
      <c r="F1" s="16"/>
      <c r="G1" s="16"/>
      <c r="H1" s="16"/>
      <c r="I1" s="7" t="s">
        <v>565</v>
      </c>
    </row>
    <row r="2" spans="1:9" ht="15" x14ac:dyDescent="0.2">
      <c r="A2" s="16" t="s">
        <v>277</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1"/>
      <c r="B28" s="21"/>
      <c r="C28" s="22" t="s">
        <v>11</v>
      </c>
      <c r="D28" s="21"/>
      <c r="E28" s="21" t="s">
        <v>12</v>
      </c>
      <c r="F28" s="24" t="s">
        <v>13</v>
      </c>
      <c r="G28" s="25">
        <v>0</v>
      </c>
      <c r="H28" s="23" t="s">
        <v>12</v>
      </c>
    </row>
    <row r="29" spans="1:8" x14ac:dyDescent="0.2">
      <c r="A29" s="21"/>
      <c r="B29" s="21"/>
      <c r="C29" s="26"/>
      <c r="D29" s="21"/>
      <c r="E29" s="21"/>
      <c r="F29" s="27"/>
      <c r="G29" s="27"/>
      <c r="H29" s="23" t="s">
        <v>12</v>
      </c>
    </row>
    <row r="30" spans="1:8" x14ac:dyDescent="0.2">
      <c r="A30" s="21"/>
      <c r="B30" s="21"/>
      <c r="C30" s="22" t="s">
        <v>74</v>
      </c>
      <c r="D30" s="21"/>
      <c r="E30" s="21"/>
      <c r="F30" s="21"/>
      <c r="G30" s="21"/>
      <c r="H30" s="23" t="s">
        <v>12</v>
      </c>
    </row>
    <row r="31" spans="1:8" x14ac:dyDescent="0.2">
      <c r="A31" s="21"/>
      <c r="B31" s="21"/>
      <c r="C31" s="22" t="s">
        <v>11</v>
      </c>
      <c r="D31" s="21"/>
      <c r="E31" s="21" t="s">
        <v>12</v>
      </c>
      <c r="F31" s="24" t="s">
        <v>13</v>
      </c>
      <c r="G31" s="25">
        <v>0</v>
      </c>
      <c r="H31" s="23" t="s">
        <v>12</v>
      </c>
    </row>
    <row r="32" spans="1:8" x14ac:dyDescent="0.2">
      <c r="A32" s="21"/>
      <c r="B32" s="21"/>
      <c r="C32" s="26"/>
      <c r="D32" s="21"/>
      <c r="E32" s="21"/>
      <c r="F32" s="27"/>
      <c r="G32" s="27"/>
      <c r="H32" s="23" t="s">
        <v>12</v>
      </c>
    </row>
    <row r="33" spans="1:8" x14ac:dyDescent="0.2">
      <c r="A33" s="21"/>
      <c r="B33" s="21"/>
      <c r="C33" s="22" t="s">
        <v>75</v>
      </c>
      <c r="D33" s="21"/>
      <c r="E33" s="21"/>
      <c r="F33" s="21"/>
      <c r="G33" s="21"/>
      <c r="H33" s="23" t="s">
        <v>12</v>
      </c>
    </row>
    <row r="34" spans="1:8" ht="25.5" x14ac:dyDescent="0.2">
      <c r="A34" s="29">
        <v>1</v>
      </c>
      <c r="B34" s="30" t="s">
        <v>278</v>
      </c>
      <c r="C34" s="30" t="s">
        <v>279</v>
      </c>
      <c r="D34" s="30" t="s">
        <v>78</v>
      </c>
      <c r="E34" s="31">
        <v>5000000</v>
      </c>
      <c r="F34" s="32">
        <v>5009.59</v>
      </c>
      <c r="G34" s="33">
        <v>6.7733799999999999E-3</v>
      </c>
      <c r="H34" s="23">
        <v>5.8461999999999996</v>
      </c>
    </row>
    <row r="35" spans="1:8" x14ac:dyDescent="0.2">
      <c r="A35" s="21"/>
      <c r="B35" s="21"/>
      <c r="C35" s="22" t="s">
        <v>11</v>
      </c>
      <c r="D35" s="21"/>
      <c r="E35" s="21" t="s">
        <v>12</v>
      </c>
      <c r="F35" s="28">
        <v>5009.59</v>
      </c>
      <c r="G35" s="25">
        <v>6.7733799999999999E-3</v>
      </c>
      <c r="H35" s="23" t="s">
        <v>12</v>
      </c>
    </row>
    <row r="36" spans="1:8" x14ac:dyDescent="0.2">
      <c r="A36" s="21"/>
      <c r="B36" s="21"/>
      <c r="C36" s="26"/>
      <c r="D36" s="21"/>
      <c r="E36" s="21"/>
      <c r="F36" s="27"/>
      <c r="G36" s="27"/>
      <c r="H36" s="23" t="s">
        <v>12</v>
      </c>
    </row>
    <row r="37" spans="1:8" x14ac:dyDescent="0.2">
      <c r="A37" s="21"/>
      <c r="B37" s="21"/>
      <c r="C37" s="22" t="s">
        <v>91</v>
      </c>
      <c r="D37" s="21"/>
      <c r="E37" s="21"/>
      <c r="F37" s="27"/>
      <c r="G37" s="27"/>
      <c r="H37" s="23" t="s">
        <v>12</v>
      </c>
    </row>
    <row r="38" spans="1:8" x14ac:dyDescent="0.2">
      <c r="A38" s="21"/>
      <c r="B38" s="21"/>
      <c r="C38" s="22" t="s">
        <v>11</v>
      </c>
      <c r="D38" s="21"/>
      <c r="E38" s="21" t="s">
        <v>12</v>
      </c>
      <c r="F38" s="24" t="s">
        <v>13</v>
      </c>
      <c r="G38" s="25">
        <v>0</v>
      </c>
      <c r="H38" s="23" t="s">
        <v>12</v>
      </c>
    </row>
    <row r="39" spans="1:8" x14ac:dyDescent="0.2">
      <c r="A39" s="21"/>
      <c r="B39" s="21"/>
      <c r="C39" s="26"/>
      <c r="D39" s="21"/>
      <c r="E39" s="21"/>
      <c r="F39" s="27"/>
      <c r="G39" s="27"/>
      <c r="H39" s="23" t="s">
        <v>12</v>
      </c>
    </row>
    <row r="40" spans="1:8" x14ac:dyDescent="0.2">
      <c r="A40" s="21"/>
      <c r="B40" s="21"/>
      <c r="C40" s="22" t="s">
        <v>92</v>
      </c>
      <c r="D40" s="21"/>
      <c r="E40" s="21"/>
      <c r="F40" s="28">
        <v>5009.59</v>
      </c>
      <c r="G40" s="25">
        <v>6.7733799999999999E-3</v>
      </c>
      <c r="H40" s="23" t="s">
        <v>12</v>
      </c>
    </row>
    <row r="41" spans="1:8" x14ac:dyDescent="0.2">
      <c r="A41" s="21"/>
      <c r="B41" s="21"/>
      <c r="C41" s="26"/>
      <c r="D41" s="21"/>
      <c r="E41" s="21"/>
      <c r="F41" s="27"/>
      <c r="G41" s="27"/>
      <c r="H41" s="23" t="s">
        <v>12</v>
      </c>
    </row>
    <row r="42" spans="1:8" x14ac:dyDescent="0.2">
      <c r="A42" s="21"/>
      <c r="B42" s="21"/>
      <c r="C42" s="22" t="s">
        <v>93</v>
      </c>
      <c r="D42" s="21"/>
      <c r="E42" s="21"/>
      <c r="F42" s="27"/>
      <c r="G42" s="27"/>
      <c r="H42" s="23" t="s">
        <v>12</v>
      </c>
    </row>
    <row r="43" spans="1:8" x14ac:dyDescent="0.2">
      <c r="A43" s="21"/>
      <c r="B43" s="21"/>
      <c r="C43" s="22" t="s">
        <v>94</v>
      </c>
      <c r="D43" s="21"/>
      <c r="E43" s="21"/>
      <c r="F43" s="27"/>
      <c r="G43" s="27"/>
      <c r="H43" s="23" t="s">
        <v>12</v>
      </c>
    </row>
    <row r="44" spans="1:8" x14ac:dyDescent="0.2">
      <c r="A44" s="29">
        <v>1</v>
      </c>
      <c r="B44" s="30" t="s">
        <v>280</v>
      </c>
      <c r="C44" s="30" t="s">
        <v>281</v>
      </c>
      <c r="D44" s="30" t="s">
        <v>149</v>
      </c>
      <c r="E44" s="31">
        <v>4500</v>
      </c>
      <c r="F44" s="32">
        <v>22283.415000000001</v>
      </c>
      <c r="G44" s="33">
        <v>3.0129030000000001E-2</v>
      </c>
      <c r="H44" s="23">
        <v>6.3350999999999997</v>
      </c>
    </row>
    <row r="45" spans="1:8" x14ac:dyDescent="0.2">
      <c r="A45" s="29">
        <v>2</v>
      </c>
      <c r="B45" s="30" t="s">
        <v>282</v>
      </c>
      <c r="C45" s="30" t="s">
        <v>283</v>
      </c>
      <c r="D45" s="30" t="s">
        <v>149</v>
      </c>
      <c r="E45" s="31">
        <v>3000</v>
      </c>
      <c r="F45" s="32">
        <v>14922.555</v>
      </c>
      <c r="G45" s="33">
        <v>2.017654E-2</v>
      </c>
      <c r="H45" s="23">
        <v>6.3148999999999997</v>
      </c>
    </row>
    <row r="46" spans="1:8" ht="25.5" x14ac:dyDescent="0.2">
      <c r="A46" s="29">
        <v>3</v>
      </c>
      <c r="B46" s="30" t="s">
        <v>284</v>
      </c>
      <c r="C46" s="30" t="s">
        <v>285</v>
      </c>
      <c r="D46" s="30" t="s">
        <v>149</v>
      </c>
      <c r="E46" s="31">
        <v>3000</v>
      </c>
      <c r="F46" s="32">
        <v>14858.115</v>
      </c>
      <c r="G46" s="33">
        <v>2.0089409999999999E-2</v>
      </c>
      <c r="H46" s="23">
        <v>6.3376000000000001</v>
      </c>
    </row>
    <row r="47" spans="1:8" x14ac:dyDescent="0.2">
      <c r="A47" s="29">
        <v>4</v>
      </c>
      <c r="B47" s="30" t="s">
        <v>286</v>
      </c>
      <c r="C47" s="30" t="s">
        <v>287</v>
      </c>
      <c r="D47" s="30" t="s">
        <v>149</v>
      </c>
      <c r="E47" s="31">
        <v>2500</v>
      </c>
      <c r="F47" s="32">
        <v>12369.15</v>
      </c>
      <c r="G47" s="33">
        <v>1.6724119999999999E-2</v>
      </c>
      <c r="H47" s="23">
        <v>6.3300999999999998</v>
      </c>
    </row>
    <row r="48" spans="1:8" x14ac:dyDescent="0.2">
      <c r="A48" s="29">
        <v>5</v>
      </c>
      <c r="B48" s="30" t="s">
        <v>288</v>
      </c>
      <c r="C48" s="30" t="s">
        <v>289</v>
      </c>
      <c r="D48" s="30" t="s">
        <v>149</v>
      </c>
      <c r="E48" s="31">
        <v>2000</v>
      </c>
      <c r="F48" s="32">
        <v>9961.93</v>
      </c>
      <c r="G48" s="33">
        <v>1.346936E-2</v>
      </c>
      <c r="H48" s="23">
        <v>6.3399000000000001</v>
      </c>
    </row>
    <row r="49" spans="1:8" x14ac:dyDescent="0.2">
      <c r="A49" s="29">
        <v>6</v>
      </c>
      <c r="B49" s="30" t="s">
        <v>290</v>
      </c>
      <c r="C49" s="30" t="s">
        <v>291</v>
      </c>
      <c r="D49" s="30" t="s">
        <v>149</v>
      </c>
      <c r="E49" s="31">
        <v>2000</v>
      </c>
      <c r="F49" s="32">
        <v>9943.5400000000009</v>
      </c>
      <c r="G49" s="33">
        <v>1.344449E-2</v>
      </c>
      <c r="H49" s="23">
        <v>6.28</v>
      </c>
    </row>
    <row r="50" spans="1:8" x14ac:dyDescent="0.2">
      <c r="A50" s="29">
        <v>7</v>
      </c>
      <c r="B50" s="30" t="s">
        <v>292</v>
      </c>
      <c r="C50" s="30" t="s">
        <v>293</v>
      </c>
      <c r="D50" s="30" t="s">
        <v>149</v>
      </c>
      <c r="E50" s="31">
        <v>2000</v>
      </c>
      <c r="F50" s="32">
        <v>9936.19</v>
      </c>
      <c r="G50" s="33">
        <v>1.343456E-2</v>
      </c>
      <c r="H50" s="23">
        <v>6.335</v>
      </c>
    </row>
    <row r="51" spans="1:8" x14ac:dyDescent="0.2">
      <c r="A51" s="29">
        <v>8</v>
      </c>
      <c r="B51" s="30" t="s">
        <v>294</v>
      </c>
      <c r="C51" s="30" t="s">
        <v>295</v>
      </c>
      <c r="D51" s="30" t="s">
        <v>149</v>
      </c>
      <c r="E51" s="31">
        <v>2000</v>
      </c>
      <c r="F51" s="32">
        <v>9919.2199999999993</v>
      </c>
      <c r="G51" s="33">
        <v>1.3411609999999999E-2</v>
      </c>
      <c r="H51" s="23">
        <v>6.3250999999999999</v>
      </c>
    </row>
    <row r="52" spans="1:8" x14ac:dyDescent="0.2">
      <c r="A52" s="29">
        <v>9</v>
      </c>
      <c r="B52" s="30" t="s">
        <v>296</v>
      </c>
      <c r="C52" s="30" t="s">
        <v>297</v>
      </c>
      <c r="D52" s="30" t="s">
        <v>149</v>
      </c>
      <c r="E52" s="31">
        <v>2000</v>
      </c>
      <c r="F52" s="32">
        <v>9914.0300000000007</v>
      </c>
      <c r="G52" s="33">
        <v>1.3404589999999999E-2</v>
      </c>
      <c r="H52" s="23">
        <v>6.3300999999999998</v>
      </c>
    </row>
    <row r="53" spans="1:8" x14ac:dyDescent="0.2">
      <c r="A53" s="29">
        <v>10</v>
      </c>
      <c r="B53" s="30" t="s">
        <v>298</v>
      </c>
      <c r="C53" s="30" t="s">
        <v>299</v>
      </c>
      <c r="D53" s="30" t="s">
        <v>300</v>
      </c>
      <c r="E53" s="31">
        <v>2000</v>
      </c>
      <c r="F53" s="32">
        <v>9912.4699999999993</v>
      </c>
      <c r="G53" s="33">
        <v>1.340249E-2</v>
      </c>
      <c r="H53" s="23">
        <v>6.3201999999999998</v>
      </c>
    </row>
    <row r="54" spans="1:8" x14ac:dyDescent="0.2">
      <c r="A54" s="29">
        <v>11</v>
      </c>
      <c r="B54" s="30" t="s">
        <v>301</v>
      </c>
      <c r="C54" s="30" t="s">
        <v>302</v>
      </c>
      <c r="D54" s="30" t="s">
        <v>300</v>
      </c>
      <c r="E54" s="31">
        <v>2000</v>
      </c>
      <c r="F54" s="32">
        <v>9907.26</v>
      </c>
      <c r="G54" s="33">
        <v>1.339544E-2</v>
      </c>
      <c r="H54" s="23">
        <v>6.3270999999999997</v>
      </c>
    </row>
    <row r="55" spans="1:8" x14ac:dyDescent="0.2">
      <c r="A55" s="29">
        <v>12</v>
      </c>
      <c r="B55" s="30" t="s">
        <v>303</v>
      </c>
      <c r="C55" s="30" t="s">
        <v>304</v>
      </c>
      <c r="D55" s="30" t="s">
        <v>300</v>
      </c>
      <c r="E55" s="31">
        <v>2000</v>
      </c>
      <c r="F55" s="32">
        <v>9905.59</v>
      </c>
      <c r="G55" s="33">
        <v>1.3393179999999999E-2</v>
      </c>
      <c r="H55" s="23">
        <v>6.3255999999999997</v>
      </c>
    </row>
    <row r="56" spans="1:8" x14ac:dyDescent="0.2">
      <c r="A56" s="29">
        <v>13</v>
      </c>
      <c r="B56" s="30" t="s">
        <v>305</v>
      </c>
      <c r="C56" s="30" t="s">
        <v>306</v>
      </c>
      <c r="D56" s="30" t="s">
        <v>209</v>
      </c>
      <c r="E56" s="31">
        <v>2000</v>
      </c>
      <c r="F56" s="32">
        <v>9902.5</v>
      </c>
      <c r="G56" s="33">
        <v>1.338901E-2</v>
      </c>
      <c r="H56" s="23">
        <v>6.3049999999999997</v>
      </c>
    </row>
    <row r="57" spans="1:8" x14ac:dyDescent="0.2">
      <c r="A57" s="29">
        <v>14</v>
      </c>
      <c r="B57" s="30" t="s">
        <v>307</v>
      </c>
      <c r="C57" s="30" t="s">
        <v>308</v>
      </c>
      <c r="D57" s="30" t="s">
        <v>149</v>
      </c>
      <c r="E57" s="31">
        <v>2000</v>
      </c>
      <c r="F57" s="32">
        <v>9902.0400000000009</v>
      </c>
      <c r="G57" s="33">
        <v>1.338838E-2</v>
      </c>
      <c r="H57" s="23">
        <v>6.335</v>
      </c>
    </row>
    <row r="58" spans="1:8" x14ac:dyDescent="0.2">
      <c r="A58" s="29">
        <v>15</v>
      </c>
      <c r="B58" s="30" t="s">
        <v>309</v>
      </c>
      <c r="C58" s="30" t="s">
        <v>310</v>
      </c>
      <c r="D58" s="30" t="s">
        <v>149</v>
      </c>
      <c r="E58" s="31">
        <v>2000</v>
      </c>
      <c r="F58" s="32">
        <v>9893.7900000000009</v>
      </c>
      <c r="G58" s="33">
        <v>1.337723E-2</v>
      </c>
      <c r="H58" s="23">
        <v>6.32</v>
      </c>
    </row>
    <row r="59" spans="1:8" x14ac:dyDescent="0.2">
      <c r="A59" s="29">
        <v>16</v>
      </c>
      <c r="B59" s="30" t="s">
        <v>311</v>
      </c>
      <c r="C59" s="30" t="s">
        <v>312</v>
      </c>
      <c r="D59" s="30" t="s">
        <v>149</v>
      </c>
      <c r="E59" s="31">
        <v>2000</v>
      </c>
      <c r="F59" s="32">
        <v>9892.01</v>
      </c>
      <c r="G59" s="33">
        <v>1.3374820000000001E-2</v>
      </c>
      <c r="H59" s="23">
        <v>6.3250999999999999</v>
      </c>
    </row>
    <row r="60" spans="1:8" x14ac:dyDescent="0.2">
      <c r="A60" s="29">
        <v>17</v>
      </c>
      <c r="B60" s="30" t="s">
        <v>271</v>
      </c>
      <c r="C60" s="30" t="s">
        <v>272</v>
      </c>
      <c r="D60" s="30" t="s">
        <v>149</v>
      </c>
      <c r="E60" s="31">
        <v>1500</v>
      </c>
      <c r="F60" s="32">
        <v>7447.5375000000004</v>
      </c>
      <c r="G60" s="33">
        <v>1.0069689999999999E-2</v>
      </c>
      <c r="H60" s="23">
        <v>6.2709000000000001</v>
      </c>
    </row>
    <row r="61" spans="1:8" x14ac:dyDescent="0.2">
      <c r="A61" s="29">
        <v>18</v>
      </c>
      <c r="B61" s="30" t="s">
        <v>313</v>
      </c>
      <c r="C61" s="30" t="s">
        <v>314</v>
      </c>
      <c r="D61" s="30" t="s">
        <v>149</v>
      </c>
      <c r="E61" s="31">
        <v>1500</v>
      </c>
      <c r="F61" s="32">
        <v>7421.55</v>
      </c>
      <c r="G61" s="33">
        <v>1.003455E-2</v>
      </c>
      <c r="H61" s="23">
        <v>6.3250999999999999</v>
      </c>
    </row>
    <row r="62" spans="1:8" x14ac:dyDescent="0.2">
      <c r="A62" s="29">
        <v>19</v>
      </c>
      <c r="B62" s="30" t="s">
        <v>315</v>
      </c>
      <c r="C62" s="30" t="s">
        <v>316</v>
      </c>
      <c r="D62" s="30" t="s">
        <v>149</v>
      </c>
      <c r="E62" s="31">
        <v>1000</v>
      </c>
      <c r="F62" s="32">
        <v>4982.9350000000004</v>
      </c>
      <c r="G62" s="33">
        <v>6.7373399999999996E-3</v>
      </c>
      <c r="H62" s="23">
        <v>6.25</v>
      </c>
    </row>
    <row r="63" spans="1:8" x14ac:dyDescent="0.2">
      <c r="A63" s="29">
        <v>20</v>
      </c>
      <c r="B63" s="30" t="s">
        <v>317</v>
      </c>
      <c r="C63" s="30" t="s">
        <v>318</v>
      </c>
      <c r="D63" s="30" t="s">
        <v>209</v>
      </c>
      <c r="E63" s="31">
        <v>1000</v>
      </c>
      <c r="F63" s="32">
        <v>4968.32</v>
      </c>
      <c r="G63" s="33">
        <v>6.7175799999999999E-3</v>
      </c>
      <c r="H63" s="23">
        <v>6.2903000000000002</v>
      </c>
    </row>
    <row r="64" spans="1:8" x14ac:dyDescent="0.2">
      <c r="A64" s="29">
        <v>21</v>
      </c>
      <c r="B64" s="30" t="s">
        <v>319</v>
      </c>
      <c r="C64" s="30" t="s">
        <v>320</v>
      </c>
      <c r="D64" s="30" t="s">
        <v>209</v>
      </c>
      <c r="E64" s="31">
        <v>1000</v>
      </c>
      <c r="F64" s="32">
        <v>4958.0349999999999</v>
      </c>
      <c r="G64" s="33">
        <v>6.7036800000000001E-3</v>
      </c>
      <c r="H64" s="23">
        <v>6.3049999999999997</v>
      </c>
    </row>
    <row r="65" spans="1:8" x14ac:dyDescent="0.2">
      <c r="A65" s="29">
        <v>22</v>
      </c>
      <c r="B65" s="30" t="s">
        <v>321</v>
      </c>
      <c r="C65" s="30" t="s">
        <v>322</v>
      </c>
      <c r="D65" s="30" t="s">
        <v>149</v>
      </c>
      <c r="E65" s="31">
        <v>1000</v>
      </c>
      <c r="F65" s="32">
        <v>4953.6850000000004</v>
      </c>
      <c r="G65" s="33">
        <v>6.6978000000000003E-3</v>
      </c>
      <c r="H65" s="23">
        <v>6.32</v>
      </c>
    </row>
    <row r="66" spans="1:8" x14ac:dyDescent="0.2">
      <c r="A66" s="29">
        <v>23</v>
      </c>
      <c r="B66" s="30" t="s">
        <v>323</v>
      </c>
      <c r="C66" s="30" t="s">
        <v>324</v>
      </c>
      <c r="D66" s="30" t="s">
        <v>149</v>
      </c>
      <c r="E66" s="31">
        <v>500</v>
      </c>
      <c r="F66" s="32">
        <v>2490.1925000000001</v>
      </c>
      <c r="G66" s="33">
        <v>3.3669500000000001E-3</v>
      </c>
      <c r="H66" s="23">
        <v>6.25</v>
      </c>
    </row>
    <row r="67" spans="1:8" x14ac:dyDescent="0.2">
      <c r="A67" s="29">
        <v>24</v>
      </c>
      <c r="B67" s="30" t="s">
        <v>325</v>
      </c>
      <c r="C67" s="30" t="s">
        <v>326</v>
      </c>
      <c r="D67" s="30" t="s">
        <v>149</v>
      </c>
      <c r="E67" s="31">
        <v>500</v>
      </c>
      <c r="F67" s="32">
        <v>2478.4749999999999</v>
      </c>
      <c r="G67" s="33">
        <v>3.35111E-3</v>
      </c>
      <c r="H67" s="23">
        <v>6.34</v>
      </c>
    </row>
    <row r="68" spans="1:8" x14ac:dyDescent="0.2">
      <c r="A68" s="29">
        <v>25</v>
      </c>
      <c r="B68" s="30" t="s">
        <v>147</v>
      </c>
      <c r="C68" s="30" t="s">
        <v>148</v>
      </c>
      <c r="D68" s="30" t="s">
        <v>149</v>
      </c>
      <c r="E68" s="31">
        <v>300</v>
      </c>
      <c r="F68" s="32">
        <v>1486.0830000000001</v>
      </c>
      <c r="G68" s="33">
        <v>2.0093099999999998E-3</v>
      </c>
      <c r="H68" s="23">
        <v>6.3300999999999998</v>
      </c>
    </row>
    <row r="69" spans="1:8" x14ac:dyDescent="0.2">
      <c r="A69" s="21"/>
      <c r="B69" s="21"/>
      <c r="C69" s="22" t="s">
        <v>11</v>
      </c>
      <c r="D69" s="21"/>
      <c r="E69" s="21" t="s">
        <v>12</v>
      </c>
      <c r="F69" s="28">
        <v>224610.61799999999</v>
      </c>
      <c r="G69" s="25">
        <v>0.30369226999999999</v>
      </c>
      <c r="H69" s="23" t="s">
        <v>12</v>
      </c>
    </row>
    <row r="70" spans="1:8" x14ac:dyDescent="0.2">
      <c r="A70" s="21"/>
      <c r="B70" s="21"/>
      <c r="C70" s="26"/>
      <c r="D70" s="21"/>
      <c r="E70" s="21"/>
      <c r="F70" s="27"/>
      <c r="G70" s="27"/>
      <c r="H70" s="23" t="s">
        <v>12</v>
      </c>
    </row>
    <row r="71" spans="1:8" x14ac:dyDescent="0.2">
      <c r="A71" s="21"/>
      <c r="B71" s="21"/>
      <c r="C71" s="22" t="s">
        <v>95</v>
      </c>
      <c r="D71" s="21"/>
      <c r="E71" s="21"/>
      <c r="F71" s="27"/>
      <c r="G71" s="27"/>
      <c r="H71" s="23" t="s">
        <v>12</v>
      </c>
    </row>
    <row r="72" spans="1:8" x14ac:dyDescent="0.2">
      <c r="A72" s="29">
        <v>1</v>
      </c>
      <c r="B72" s="30" t="s">
        <v>327</v>
      </c>
      <c r="C72" s="30" t="s">
        <v>328</v>
      </c>
      <c r="D72" s="30" t="s">
        <v>149</v>
      </c>
      <c r="E72" s="31">
        <v>4000</v>
      </c>
      <c r="F72" s="32">
        <v>19919.86</v>
      </c>
      <c r="G72" s="33">
        <v>2.6933309999999999E-2</v>
      </c>
      <c r="H72" s="23">
        <v>6.6745000000000001</v>
      </c>
    </row>
    <row r="73" spans="1:8" ht="25.5" x14ac:dyDescent="0.2">
      <c r="A73" s="29">
        <v>2</v>
      </c>
      <c r="B73" s="30" t="s">
        <v>329</v>
      </c>
      <c r="C73" s="30" t="s">
        <v>330</v>
      </c>
      <c r="D73" s="30" t="s">
        <v>149</v>
      </c>
      <c r="E73" s="31">
        <v>3000</v>
      </c>
      <c r="F73" s="32">
        <v>14946.254999999999</v>
      </c>
      <c r="G73" s="33">
        <v>2.020858E-2</v>
      </c>
      <c r="H73" s="23">
        <v>6.25</v>
      </c>
    </row>
    <row r="74" spans="1:8" x14ac:dyDescent="0.2">
      <c r="A74" s="29">
        <v>3</v>
      </c>
      <c r="B74" s="30" t="s">
        <v>331</v>
      </c>
      <c r="C74" s="30" t="s">
        <v>332</v>
      </c>
      <c r="D74" s="30" t="s">
        <v>149</v>
      </c>
      <c r="E74" s="31">
        <v>3000</v>
      </c>
      <c r="F74" s="32">
        <v>14894.924999999999</v>
      </c>
      <c r="G74" s="33">
        <v>2.013918E-2</v>
      </c>
      <c r="H74" s="23">
        <v>6.28</v>
      </c>
    </row>
    <row r="75" spans="1:8" ht="25.5" x14ac:dyDescent="0.2">
      <c r="A75" s="29">
        <v>4</v>
      </c>
      <c r="B75" s="30" t="s">
        <v>333</v>
      </c>
      <c r="C75" s="30" t="s">
        <v>334</v>
      </c>
      <c r="D75" s="30" t="s">
        <v>149</v>
      </c>
      <c r="E75" s="31">
        <v>3000</v>
      </c>
      <c r="F75" s="32">
        <v>14831.49</v>
      </c>
      <c r="G75" s="33">
        <v>2.0053410000000001E-2</v>
      </c>
      <c r="H75" s="23">
        <v>6.38</v>
      </c>
    </row>
    <row r="76" spans="1:8" x14ac:dyDescent="0.2">
      <c r="A76" s="29">
        <v>5</v>
      </c>
      <c r="B76" s="30" t="s">
        <v>335</v>
      </c>
      <c r="C76" s="30" t="s">
        <v>336</v>
      </c>
      <c r="D76" s="30" t="s">
        <v>149</v>
      </c>
      <c r="E76" s="31">
        <v>3000</v>
      </c>
      <c r="F76" s="32">
        <v>14824.635</v>
      </c>
      <c r="G76" s="33">
        <v>2.0044139999999998E-2</v>
      </c>
      <c r="H76" s="23">
        <v>6.3498999999999999</v>
      </c>
    </row>
    <row r="77" spans="1:8" ht="25.5" x14ac:dyDescent="0.2">
      <c r="A77" s="29">
        <v>6</v>
      </c>
      <c r="B77" s="30" t="s">
        <v>337</v>
      </c>
      <c r="C77" s="30" t="s">
        <v>338</v>
      </c>
      <c r="D77" s="30" t="s">
        <v>149</v>
      </c>
      <c r="E77" s="31">
        <v>2500</v>
      </c>
      <c r="F77" s="32">
        <v>12314.862499999999</v>
      </c>
      <c r="G77" s="33">
        <v>1.6650720000000001E-2</v>
      </c>
      <c r="H77" s="23">
        <v>6.5324999999999998</v>
      </c>
    </row>
    <row r="78" spans="1:8" x14ac:dyDescent="0.2">
      <c r="A78" s="29">
        <v>7</v>
      </c>
      <c r="B78" s="30" t="s">
        <v>339</v>
      </c>
      <c r="C78" s="30" t="s">
        <v>340</v>
      </c>
      <c r="D78" s="30" t="s">
        <v>149</v>
      </c>
      <c r="E78" s="31">
        <v>2000</v>
      </c>
      <c r="F78" s="32">
        <v>9961.2900000000009</v>
      </c>
      <c r="G78" s="33">
        <v>1.346849E-2</v>
      </c>
      <c r="H78" s="23">
        <v>6.7549999999999999</v>
      </c>
    </row>
    <row r="79" spans="1:8" x14ac:dyDescent="0.2">
      <c r="A79" s="29">
        <v>8</v>
      </c>
      <c r="B79" s="30" t="s">
        <v>341</v>
      </c>
      <c r="C79" s="30" t="s">
        <v>342</v>
      </c>
      <c r="D79" s="30" t="s">
        <v>149</v>
      </c>
      <c r="E79" s="31">
        <v>2000</v>
      </c>
      <c r="F79" s="32">
        <v>9959.57</v>
      </c>
      <c r="G79" s="33">
        <v>1.346617E-2</v>
      </c>
      <c r="H79" s="23">
        <v>6.7350000000000003</v>
      </c>
    </row>
    <row r="80" spans="1:8" x14ac:dyDescent="0.2">
      <c r="A80" s="29">
        <v>9</v>
      </c>
      <c r="B80" s="30" t="s">
        <v>343</v>
      </c>
      <c r="C80" s="30" t="s">
        <v>344</v>
      </c>
      <c r="D80" s="30" t="s">
        <v>149</v>
      </c>
      <c r="E80" s="31">
        <v>2000</v>
      </c>
      <c r="F80" s="32">
        <v>9945.9599999999991</v>
      </c>
      <c r="G80" s="33">
        <v>1.344777E-2</v>
      </c>
      <c r="H80" s="23">
        <v>6.61</v>
      </c>
    </row>
    <row r="81" spans="1:8" x14ac:dyDescent="0.2">
      <c r="A81" s="29">
        <v>10</v>
      </c>
      <c r="B81" s="30" t="s">
        <v>345</v>
      </c>
      <c r="C81" s="30" t="s">
        <v>346</v>
      </c>
      <c r="D81" s="30" t="s">
        <v>149</v>
      </c>
      <c r="E81" s="31">
        <v>2000</v>
      </c>
      <c r="F81" s="32">
        <v>9930.3700000000008</v>
      </c>
      <c r="G81" s="33">
        <v>1.342669E-2</v>
      </c>
      <c r="H81" s="23">
        <v>6.9175000000000004</v>
      </c>
    </row>
    <row r="82" spans="1:8" x14ac:dyDescent="0.2">
      <c r="A82" s="29">
        <v>11</v>
      </c>
      <c r="B82" s="30" t="s">
        <v>347</v>
      </c>
      <c r="C82" s="30" t="s">
        <v>348</v>
      </c>
      <c r="D82" s="30" t="s">
        <v>209</v>
      </c>
      <c r="E82" s="31">
        <v>2000</v>
      </c>
      <c r="F82" s="32">
        <v>9924.01</v>
      </c>
      <c r="G82" s="33">
        <v>1.3418090000000001E-2</v>
      </c>
      <c r="H82" s="23">
        <v>6.5000999999999998</v>
      </c>
    </row>
    <row r="83" spans="1:8" x14ac:dyDescent="0.2">
      <c r="A83" s="29">
        <v>12</v>
      </c>
      <c r="B83" s="30" t="s">
        <v>349</v>
      </c>
      <c r="C83" s="30" t="s">
        <v>350</v>
      </c>
      <c r="D83" s="30" t="s">
        <v>149</v>
      </c>
      <c r="E83" s="31">
        <v>2000</v>
      </c>
      <c r="F83" s="32">
        <v>9896.68</v>
      </c>
      <c r="G83" s="33">
        <v>1.338114E-2</v>
      </c>
      <c r="H83" s="23">
        <v>6.6851000000000003</v>
      </c>
    </row>
    <row r="84" spans="1:8" x14ac:dyDescent="0.2">
      <c r="A84" s="29">
        <v>13</v>
      </c>
      <c r="B84" s="30" t="s">
        <v>351</v>
      </c>
      <c r="C84" s="30" t="s">
        <v>352</v>
      </c>
      <c r="D84" s="30" t="s">
        <v>149</v>
      </c>
      <c r="E84" s="31">
        <v>2000</v>
      </c>
      <c r="F84" s="32">
        <v>9895.08</v>
      </c>
      <c r="G84" s="33">
        <v>1.337897E-2</v>
      </c>
      <c r="H84" s="23">
        <v>6.3449999999999998</v>
      </c>
    </row>
    <row r="85" spans="1:8" ht="25.5" x14ac:dyDescent="0.2">
      <c r="A85" s="29">
        <v>14</v>
      </c>
      <c r="B85" s="30" t="s">
        <v>353</v>
      </c>
      <c r="C85" s="30" t="s">
        <v>354</v>
      </c>
      <c r="D85" s="30" t="s">
        <v>149</v>
      </c>
      <c r="E85" s="31">
        <v>2000</v>
      </c>
      <c r="F85" s="32">
        <v>9894.5</v>
      </c>
      <c r="G85" s="33">
        <v>1.337819E-2</v>
      </c>
      <c r="H85" s="23">
        <v>6.38</v>
      </c>
    </row>
    <row r="86" spans="1:8" x14ac:dyDescent="0.2">
      <c r="A86" s="29">
        <v>15</v>
      </c>
      <c r="B86" s="30" t="s">
        <v>355</v>
      </c>
      <c r="C86" s="30" t="s">
        <v>356</v>
      </c>
      <c r="D86" s="30" t="s">
        <v>149</v>
      </c>
      <c r="E86" s="31">
        <v>2000</v>
      </c>
      <c r="F86" s="32">
        <v>9882.5400000000009</v>
      </c>
      <c r="G86" s="33">
        <v>1.336202E-2</v>
      </c>
      <c r="H86" s="23">
        <v>6.3798000000000004</v>
      </c>
    </row>
    <row r="87" spans="1:8" x14ac:dyDescent="0.2">
      <c r="A87" s="29">
        <v>16</v>
      </c>
      <c r="B87" s="30" t="s">
        <v>357</v>
      </c>
      <c r="C87" s="30" t="s">
        <v>358</v>
      </c>
      <c r="D87" s="30" t="s">
        <v>149</v>
      </c>
      <c r="E87" s="31">
        <v>2000</v>
      </c>
      <c r="F87" s="32">
        <v>9882.26</v>
      </c>
      <c r="G87" s="33">
        <v>1.3361639999999999E-2</v>
      </c>
      <c r="H87" s="23">
        <v>6.7949999999999999</v>
      </c>
    </row>
    <row r="88" spans="1:8" x14ac:dyDescent="0.2">
      <c r="A88" s="29">
        <v>17</v>
      </c>
      <c r="B88" s="30" t="s">
        <v>359</v>
      </c>
      <c r="C88" s="30" t="s">
        <v>360</v>
      </c>
      <c r="D88" s="30" t="s">
        <v>149</v>
      </c>
      <c r="E88" s="31">
        <v>2000</v>
      </c>
      <c r="F88" s="32">
        <v>9837.9599999999991</v>
      </c>
      <c r="G88" s="33">
        <v>1.3301739999999999E-2</v>
      </c>
      <c r="H88" s="23">
        <v>6.68</v>
      </c>
    </row>
    <row r="89" spans="1:8" ht="25.5" x14ac:dyDescent="0.2">
      <c r="A89" s="29">
        <v>18</v>
      </c>
      <c r="B89" s="30" t="s">
        <v>361</v>
      </c>
      <c r="C89" s="30" t="s">
        <v>362</v>
      </c>
      <c r="D89" s="30" t="s">
        <v>149</v>
      </c>
      <c r="E89" s="31">
        <v>1500</v>
      </c>
      <c r="F89" s="32">
        <v>7491.5924999999997</v>
      </c>
      <c r="G89" s="33">
        <v>1.0129259999999999E-2</v>
      </c>
      <c r="H89" s="23">
        <v>6.83</v>
      </c>
    </row>
    <row r="90" spans="1:8" ht="25.5" x14ac:dyDescent="0.2">
      <c r="A90" s="29">
        <v>19</v>
      </c>
      <c r="B90" s="30" t="s">
        <v>363</v>
      </c>
      <c r="C90" s="30" t="s">
        <v>364</v>
      </c>
      <c r="D90" s="30" t="s">
        <v>149</v>
      </c>
      <c r="E90" s="31">
        <v>1500</v>
      </c>
      <c r="F90" s="32">
        <v>7474.4025000000001</v>
      </c>
      <c r="G90" s="33">
        <v>1.010602E-2</v>
      </c>
      <c r="H90" s="23">
        <v>6.25</v>
      </c>
    </row>
    <row r="91" spans="1:8" x14ac:dyDescent="0.2">
      <c r="A91" s="29">
        <v>20</v>
      </c>
      <c r="B91" s="30" t="s">
        <v>365</v>
      </c>
      <c r="C91" s="30" t="s">
        <v>366</v>
      </c>
      <c r="D91" s="30" t="s">
        <v>149</v>
      </c>
      <c r="E91" s="31">
        <v>1500</v>
      </c>
      <c r="F91" s="32">
        <v>7469.88</v>
      </c>
      <c r="G91" s="33">
        <v>1.00999E-2</v>
      </c>
      <c r="H91" s="23">
        <v>6.3997000000000002</v>
      </c>
    </row>
    <row r="92" spans="1:8" ht="25.5" x14ac:dyDescent="0.2">
      <c r="A92" s="29">
        <v>21</v>
      </c>
      <c r="B92" s="30" t="s">
        <v>367</v>
      </c>
      <c r="C92" s="30" t="s">
        <v>285</v>
      </c>
      <c r="D92" s="30" t="s">
        <v>149</v>
      </c>
      <c r="E92" s="31">
        <v>1500</v>
      </c>
      <c r="F92" s="32">
        <v>7429.0275000000001</v>
      </c>
      <c r="G92" s="33">
        <v>1.004466E-2</v>
      </c>
      <c r="H92" s="23">
        <v>6.34</v>
      </c>
    </row>
    <row r="93" spans="1:8" ht="25.5" x14ac:dyDescent="0.2">
      <c r="A93" s="29">
        <v>22</v>
      </c>
      <c r="B93" s="30" t="s">
        <v>368</v>
      </c>
      <c r="C93" s="30" t="s">
        <v>369</v>
      </c>
      <c r="D93" s="30" t="s">
        <v>149</v>
      </c>
      <c r="E93" s="31">
        <v>1500</v>
      </c>
      <c r="F93" s="32">
        <v>7426.0124999999998</v>
      </c>
      <c r="G93" s="33">
        <v>1.004059E-2</v>
      </c>
      <c r="H93" s="23">
        <v>6.38</v>
      </c>
    </row>
    <row r="94" spans="1:8" x14ac:dyDescent="0.2">
      <c r="A94" s="29">
        <v>23</v>
      </c>
      <c r="B94" s="30" t="s">
        <v>370</v>
      </c>
      <c r="C94" s="30" t="s">
        <v>371</v>
      </c>
      <c r="D94" s="30" t="s">
        <v>149</v>
      </c>
      <c r="E94" s="31">
        <v>1500</v>
      </c>
      <c r="F94" s="32">
        <v>7425.6075000000001</v>
      </c>
      <c r="G94" s="33">
        <v>1.004004E-2</v>
      </c>
      <c r="H94" s="23">
        <v>6.415</v>
      </c>
    </row>
    <row r="95" spans="1:8" x14ac:dyDescent="0.2">
      <c r="A95" s="29">
        <v>24</v>
      </c>
      <c r="B95" s="30" t="s">
        <v>372</v>
      </c>
      <c r="C95" s="30" t="s">
        <v>373</v>
      </c>
      <c r="D95" s="30" t="s">
        <v>149</v>
      </c>
      <c r="E95" s="31">
        <v>1500</v>
      </c>
      <c r="F95" s="32">
        <v>7423.5974999999999</v>
      </c>
      <c r="G95" s="33">
        <v>1.0037320000000001E-2</v>
      </c>
      <c r="H95" s="23">
        <v>6.83</v>
      </c>
    </row>
    <row r="96" spans="1:8" x14ac:dyDescent="0.2">
      <c r="A96" s="29">
        <v>25</v>
      </c>
      <c r="B96" s="30" t="s">
        <v>374</v>
      </c>
      <c r="C96" s="30" t="s">
        <v>706</v>
      </c>
      <c r="D96" s="30" t="s">
        <v>149</v>
      </c>
      <c r="E96" s="31">
        <v>1500</v>
      </c>
      <c r="F96" s="32">
        <v>7378.4025000000001</v>
      </c>
      <c r="G96" s="33">
        <v>9.9762199999999992E-3</v>
      </c>
      <c r="H96" s="23">
        <v>6.61</v>
      </c>
    </row>
    <row r="97" spans="1:8" x14ac:dyDescent="0.2">
      <c r="A97" s="29">
        <v>26</v>
      </c>
      <c r="B97" s="30" t="s">
        <v>375</v>
      </c>
      <c r="C97" s="30" t="s">
        <v>707</v>
      </c>
      <c r="D97" s="30" t="s">
        <v>149</v>
      </c>
      <c r="E97" s="31">
        <v>1500</v>
      </c>
      <c r="F97" s="32">
        <v>7375.6049999999996</v>
      </c>
      <c r="G97" s="33">
        <v>9.9724299999999991E-3</v>
      </c>
      <c r="H97" s="23">
        <v>6.84</v>
      </c>
    </row>
    <row r="98" spans="1:8" x14ac:dyDescent="0.2">
      <c r="A98" s="29">
        <v>27</v>
      </c>
      <c r="B98" s="30" t="s">
        <v>376</v>
      </c>
      <c r="C98" s="30" t="s">
        <v>377</v>
      </c>
      <c r="D98" s="30" t="s">
        <v>149</v>
      </c>
      <c r="E98" s="31">
        <v>1000</v>
      </c>
      <c r="F98" s="32">
        <v>4994.5450000000001</v>
      </c>
      <c r="G98" s="33">
        <v>6.7530400000000001E-3</v>
      </c>
      <c r="H98" s="23">
        <v>6.6445999999999996</v>
      </c>
    </row>
    <row r="99" spans="1:8" x14ac:dyDescent="0.2">
      <c r="A99" s="29">
        <v>28</v>
      </c>
      <c r="B99" s="30" t="s">
        <v>378</v>
      </c>
      <c r="C99" s="30" t="s">
        <v>379</v>
      </c>
      <c r="D99" s="30" t="s">
        <v>149</v>
      </c>
      <c r="E99" s="31">
        <v>1000</v>
      </c>
      <c r="F99" s="32">
        <v>4980.7</v>
      </c>
      <c r="G99" s="33">
        <v>6.7343200000000002E-3</v>
      </c>
      <c r="H99" s="23">
        <v>6.7350000000000003</v>
      </c>
    </row>
    <row r="100" spans="1:8" x14ac:dyDescent="0.2">
      <c r="A100" s="29">
        <v>29</v>
      </c>
      <c r="B100" s="30" t="s">
        <v>380</v>
      </c>
      <c r="C100" s="30" t="s">
        <v>381</v>
      </c>
      <c r="D100" s="30" t="s">
        <v>149</v>
      </c>
      <c r="E100" s="31">
        <v>1000</v>
      </c>
      <c r="F100" s="32">
        <v>4980.2299999999996</v>
      </c>
      <c r="G100" s="33">
        <v>6.7336899999999996E-3</v>
      </c>
      <c r="H100" s="23">
        <v>6.3</v>
      </c>
    </row>
    <row r="101" spans="1:8" ht="25.5" x14ac:dyDescent="0.2">
      <c r="A101" s="29">
        <v>30</v>
      </c>
      <c r="B101" s="30" t="s">
        <v>382</v>
      </c>
      <c r="C101" s="30" t="s">
        <v>383</v>
      </c>
      <c r="D101" s="30" t="s">
        <v>149</v>
      </c>
      <c r="E101" s="31">
        <v>1000</v>
      </c>
      <c r="F101" s="32">
        <v>4980.0600000000004</v>
      </c>
      <c r="G101" s="33">
        <v>6.7334600000000001E-3</v>
      </c>
      <c r="H101" s="23">
        <v>6.96</v>
      </c>
    </row>
    <row r="102" spans="1:8" x14ac:dyDescent="0.2">
      <c r="A102" s="29">
        <v>31</v>
      </c>
      <c r="B102" s="30" t="s">
        <v>384</v>
      </c>
      <c r="C102" s="30" t="s">
        <v>385</v>
      </c>
      <c r="D102" s="30" t="s">
        <v>149</v>
      </c>
      <c r="E102" s="31">
        <v>1000</v>
      </c>
      <c r="F102" s="32">
        <v>4978.3100000000004</v>
      </c>
      <c r="G102" s="33">
        <v>6.7310900000000003E-3</v>
      </c>
      <c r="H102" s="23">
        <v>6.915</v>
      </c>
    </row>
    <row r="103" spans="1:8" ht="25.5" x14ac:dyDescent="0.2">
      <c r="A103" s="29">
        <v>32</v>
      </c>
      <c r="B103" s="30" t="s">
        <v>386</v>
      </c>
      <c r="C103" s="30" t="s">
        <v>387</v>
      </c>
      <c r="D103" s="30" t="s">
        <v>149</v>
      </c>
      <c r="E103" s="31">
        <v>1000</v>
      </c>
      <c r="F103" s="32">
        <v>4969.1499999999996</v>
      </c>
      <c r="G103" s="33">
        <v>6.7187100000000001E-3</v>
      </c>
      <c r="H103" s="23">
        <v>6.2949999999999999</v>
      </c>
    </row>
    <row r="104" spans="1:8" x14ac:dyDescent="0.2">
      <c r="A104" s="29">
        <v>33</v>
      </c>
      <c r="B104" s="30" t="s">
        <v>388</v>
      </c>
      <c r="C104" s="30" t="s">
        <v>389</v>
      </c>
      <c r="D104" s="30" t="s">
        <v>149</v>
      </c>
      <c r="E104" s="31">
        <v>1000</v>
      </c>
      <c r="F104" s="32">
        <v>4966.12</v>
      </c>
      <c r="G104" s="33">
        <v>6.7146100000000002E-3</v>
      </c>
      <c r="H104" s="23">
        <v>6.73</v>
      </c>
    </row>
    <row r="105" spans="1:8" x14ac:dyDescent="0.2">
      <c r="A105" s="29">
        <v>34</v>
      </c>
      <c r="B105" s="30" t="s">
        <v>390</v>
      </c>
      <c r="C105" s="30" t="s">
        <v>391</v>
      </c>
      <c r="D105" s="30" t="s">
        <v>149</v>
      </c>
      <c r="E105" s="31">
        <v>1000</v>
      </c>
      <c r="F105" s="32">
        <v>4963.3950000000004</v>
      </c>
      <c r="G105" s="33">
        <v>6.7109200000000004E-3</v>
      </c>
      <c r="H105" s="23">
        <v>6.73</v>
      </c>
    </row>
    <row r="106" spans="1:8" ht="25.5" x14ac:dyDescent="0.2">
      <c r="A106" s="29">
        <v>35</v>
      </c>
      <c r="B106" s="30" t="s">
        <v>392</v>
      </c>
      <c r="C106" s="30" t="s">
        <v>393</v>
      </c>
      <c r="D106" s="30" t="s">
        <v>149</v>
      </c>
      <c r="E106" s="31">
        <v>1000</v>
      </c>
      <c r="F106" s="32">
        <v>4961.7650000000003</v>
      </c>
      <c r="G106" s="33">
        <v>6.7087199999999996E-3</v>
      </c>
      <c r="H106" s="23">
        <v>6.86</v>
      </c>
    </row>
    <row r="107" spans="1:8" x14ac:dyDescent="0.2">
      <c r="A107" s="29">
        <v>36</v>
      </c>
      <c r="B107" s="30" t="s">
        <v>394</v>
      </c>
      <c r="C107" s="30" t="s">
        <v>395</v>
      </c>
      <c r="D107" s="30" t="s">
        <v>149</v>
      </c>
      <c r="E107" s="31">
        <v>1000</v>
      </c>
      <c r="F107" s="32">
        <v>4960.05</v>
      </c>
      <c r="G107" s="33">
        <v>6.7064000000000004E-3</v>
      </c>
      <c r="H107" s="23">
        <v>7.1700999999999997</v>
      </c>
    </row>
    <row r="108" spans="1:8" x14ac:dyDescent="0.2">
      <c r="A108" s="29">
        <v>37</v>
      </c>
      <c r="B108" s="30" t="s">
        <v>396</v>
      </c>
      <c r="C108" s="30" t="s">
        <v>397</v>
      </c>
      <c r="D108" s="30" t="s">
        <v>149</v>
      </c>
      <c r="E108" s="31">
        <v>1000</v>
      </c>
      <c r="F108" s="32">
        <v>4958.2749999999996</v>
      </c>
      <c r="G108" s="33">
        <v>6.7039999999999999E-3</v>
      </c>
      <c r="H108" s="23">
        <v>6.5350000000000001</v>
      </c>
    </row>
    <row r="109" spans="1:8" x14ac:dyDescent="0.2">
      <c r="A109" s="29">
        <v>38</v>
      </c>
      <c r="B109" s="30" t="s">
        <v>398</v>
      </c>
      <c r="C109" s="30" t="s">
        <v>399</v>
      </c>
      <c r="D109" s="30" t="s">
        <v>149</v>
      </c>
      <c r="E109" s="31">
        <v>1000</v>
      </c>
      <c r="F109" s="32">
        <v>4950.2349999999997</v>
      </c>
      <c r="G109" s="33">
        <v>6.6931300000000003E-3</v>
      </c>
      <c r="H109" s="23">
        <v>6.7949999999999999</v>
      </c>
    </row>
    <row r="110" spans="1:8" x14ac:dyDescent="0.2">
      <c r="A110" s="29">
        <v>39</v>
      </c>
      <c r="B110" s="30" t="s">
        <v>400</v>
      </c>
      <c r="C110" s="30" t="s">
        <v>401</v>
      </c>
      <c r="D110" s="30" t="s">
        <v>149</v>
      </c>
      <c r="E110" s="31">
        <v>1000</v>
      </c>
      <c r="F110" s="32">
        <v>4947.5</v>
      </c>
      <c r="G110" s="33">
        <v>6.6894299999999997E-3</v>
      </c>
      <c r="H110" s="23">
        <v>6.7949999999999999</v>
      </c>
    </row>
    <row r="111" spans="1:8" x14ac:dyDescent="0.2">
      <c r="A111" s="29">
        <v>40</v>
      </c>
      <c r="B111" s="30" t="s">
        <v>402</v>
      </c>
      <c r="C111" s="30" t="s">
        <v>403</v>
      </c>
      <c r="D111" s="30" t="s">
        <v>149</v>
      </c>
      <c r="E111" s="31">
        <v>500</v>
      </c>
      <c r="F111" s="32">
        <v>2470.8724999999999</v>
      </c>
      <c r="G111" s="33">
        <v>3.3408299999999999E-3</v>
      </c>
      <c r="H111" s="23">
        <v>6.83</v>
      </c>
    </row>
    <row r="112" spans="1:8" ht="25.5" x14ac:dyDescent="0.2">
      <c r="A112" s="29">
        <v>41</v>
      </c>
      <c r="B112" s="30" t="s">
        <v>212</v>
      </c>
      <c r="C112" s="30" t="s">
        <v>213</v>
      </c>
      <c r="D112" s="30" t="s">
        <v>149</v>
      </c>
      <c r="E112" s="31">
        <v>500</v>
      </c>
      <c r="F112" s="32">
        <v>2467.42</v>
      </c>
      <c r="G112" s="33">
        <v>3.3361599999999999E-3</v>
      </c>
      <c r="H112" s="23">
        <v>6.8849999999999998</v>
      </c>
    </row>
    <row r="113" spans="1:8" x14ac:dyDescent="0.2">
      <c r="A113" s="21"/>
      <c r="B113" s="21"/>
      <c r="C113" s="22" t="s">
        <v>11</v>
      </c>
      <c r="D113" s="21"/>
      <c r="E113" s="21" t="s">
        <v>12</v>
      </c>
      <c r="F113" s="28">
        <v>337165.0025</v>
      </c>
      <c r="G113" s="25">
        <v>0.45587519999999998</v>
      </c>
      <c r="H113" s="23" t="s">
        <v>12</v>
      </c>
    </row>
    <row r="114" spans="1:8" x14ac:dyDescent="0.2">
      <c r="A114" s="21"/>
      <c r="B114" s="21"/>
      <c r="C114" s="26"/>
      <c r="D114" s="21"/>
      <c r="E114" s="21"/>
      <c r="F114" s="27"/>
      <c r="G114" s="27"/>
      <c r="H114" s="23" t="s">
        <v>12</v>
      </c>
    </row>
    <row r="115" spans="1:8" x14ac:dyDescent="0.2">
      <c r="A115" s="21"/>
      <c r="B115" s="21"/>
      <c r="C115" s="22" t="s">
        <v>96</v>
      </c>
      <c r="D115" s="21"/>
      <c r="E115" s="21"/>
      <c r="F115" s="27"/>
      <c r="G115" s="27"/>
      <c r="H115" s="23" t="s">
        <v>12</v>
      </c>
    </row>
    <row r="116" spans="1:8" x14ac:dyDescent="0.2">
      <c r="A116" s="29">
        <v>1</v>
      </c>
      <c r="B116" s="30" t="s">
        <v>404</v>
      </c>
      <c r="C116" s="30" t="s">
        <v>405</v>
      </c>
      <c r="D116" s="30" t="s">
        <v>78</v>
      </c>
      <c r="E116" s="31">
        <v>30000000</v>
      </c>
      <c r="F116" s="32">
        <v>29662.47</v>
      </c>
      <c r="G116" s="33">
        <v>4.0106129999999997E-2</v>
      </c>
      <c r="H116" s="23">
        <v>5.85</v>
      </c>
    </row>
    <row r="117" spans="1:8" x14ac:dyDescent="0.2">
      <c r="A117" s="29">
        <v>2</v>
      </c>
      <c r="B117" s="30" t="s">
        <v>406</v>
      </c>
      <c r="C117" s="30" t="s">
        <v>407</v>
      </c>
      <c r="D117" s="30" t="s">
        <v>78</v>
      </c>
      <c r="E117" s="31">
        <v>22500000</v>
      </c>
      <c r="F117" s="32">
        <v>22273.4925</v>
      </c>
      <c r="G117" s="33">
        <v>3.0115619999999999E-2</v>
      </c>
      <c r="H117" s="23">
        <v>5.8</v>
      </c>
    </row>
    <row r="118" spans="1:8" x14ac:dyDescent="0.2">
      <c r="A118" s="29">
        <v>3</v>
      </c>
      <c r="B118" s="30" t="s">
        <v>408</v>
      </c>
      <c r="C118" s="30" t="s">
        <v>409</v>
      </c>
      <c r="D118" s="30" t="s">
        <v>78</v>
      </c>
      <c r="E118" s="31">
        <v>17500000</v>
      </c>
      <c r="F118" s="32">
        <v>17340.505000000001</v>
      </c>
      <c r="G118" s="33">
        <v>2.3445810000000001E-2</v>
      </c>
      <c r="H118" s="23">
        <v>5.89</v>
      </c>
    </row>
    <row r="119" spans="1:8" x14ac:dyDescent="0.2">
      <c r="A119" s="29">
        <v>4</v>
      </c>
      <c r="B119" s="30" t="s">
        <v>410</v>
      </c>
      <c r="C119" s="30" t="s">
        <v>411</v>
      </c>
      <c r="D119" s="30" t="s">
        <v>78</v>
      </c>
      <c r="E119" s="31">
        <v>10000000</v>
      </c>
      <c r="F119" s="32">
        <v>9986.8799999999992</v>
      </c>
      <c r="G119" s="33">
        <v>1.3503090000000001E-2</v>
      </c>
      <c r="H119" s="23">
        <v>5.9958999999999998</v>
      </c>
    </row>
    <row r="120" spans="1:8" x14ac:dyDescent="0.2">
      <c r="A120" s="29">
        <v>5</v>
      </c>
      <c r="B120" s="30" t="s">
        <v>412</v>
      </c>
      <c r="C120" s="30" t="s">
        <v>413</v>
      </c>
      <c r="D120" s="30" t="s">
        <v>78</v>
      </c>
      <c r="E120" s="31">
        <v>10000000</v>
      </c>
      <c r="F120" s="32">
        <v>9976.7099999999991</v>
      </c>
      <c r="G120" s="33">
        <v>1.3489340000000001E-2</v>
      </c>
      <c r="H120" s="23">
        <v>5.68</v>
      </c>
    </row>
    <row r="121" spans="1:8" x14ac:dyDescent="0.2">
      <c r="A121" s="29">
        <v>6</v>
      </c>
      <c r="B121" s="30" t="s">
        <v>414</v>
      </c>
      <c r="C121" s="30" t="s">
        <v>415</v>
      </c>
      <c r="D121" s="30" t="s">
        <v>78</v>
      </c>
      <c r="E121" s="31">
        <v>10000000</v>
      </c>
      <c r="F121" s="32">
        <v>9965.4599999999991</v>
      </c>
      <c r="G121" s="33">
        <v>1.3474130000000001E-2</v>
      </c>
      <c r="H121" s="23">
        <v>5.75</v>
      </c>
    </row>
    <row r="122" spans="1:8" x14ac:dyDescent="0.2">
      <c r="A122" s="29">
        <v>7</v>
      </c>
      <c r="B122" s="30" t="s">
        <v>416</v>
      </c>
      <c r="C122" s="30" t="s">
        <v>417</v>
      </c>
      <c r="D122" s="30" t="s">
        <v>78</v>
      </c>
      <c r="E122" s="31">
        <v>10000000</v>
      </c>
      <c r="F122" s="32">
        <v>9954.52</v>
      </c>
      <c r="G122" s="33">
        <v>1.345934E-2</v>
      </c>
      <c r="H122" s="23">
        <v>5.75</v>
      </c>
    </row>
    <row r="123" spans="1:8" x14ac:dyDescent="0.2">
      <c r="A123" s="29">
        <v>8</v>
      </c>
      <c r="B123" s="30" t="s">
        <v>418</v>
      </c>
      <c r="C123" s="30" t="s">
        <v>419</v>
      </c>
      <c r="D123" s="30" t="s">
        <v>78</v>
      </c>
      <c r="E123" s="31">
        <v>10000000</v>
      </c>
      <c r="F123" s="32">
        <v>9919.9599999999991</v>
      </c>
      <c r="G123" s="33">
        <v>1.341261E-2</v>
      </c>
      <c r="H123" s="23">
        <v>5.89</v>
      </c>
    </row>
    <row r="124" spans="1:8" x14ac:dyDescent="0.2">
      <c r="A124" s="29">
        <v>9</v>
      </c>
      <c r="B124" s="30" t="s">
        <v>420</v>
      </c>
      <c r="C124" s="30" t="s">
        <v>421</v>
      </c>
      <c r="D124" s="30" t="s">
        <v>78</v>
      </c>
      <c r="E124" s="31">
        <v>3803600</v>
      </c>
      <c r="F124" s="32">
        <v>3777.4160176</v>
      </c>
      <c r="G124" s="33">
        <v>5.1073799999999999E-3</v>
      </c>
      <c r="H124" s="23">
        <v>5.75</v>
      </c>
    </row>
    <row r="125" spans="1:8" x14ac:dyDescent="0.2">
      <c r="A125" s="21"/>
      <c r="B125" s="21"/>
      <c r="C125" s="22" t="s">
        <v>11</v>
      </c>
      <c r="D125" s="21"/>
      <c r="E125" s="21" t="s">
        <v>12</v>
      </c>
      <c r="F125" s="28">
        <v>122857.4135176</v>
      </c>
      <c r="G125" s="25">
        <v>0.16611345</v>
      </c>
      <c r="H125" s="23" t="s">
        <v>12</v>
      </c>
    </row>
    <row r="126" spans="1:8" x14ac:dyDescent="0.2">
      <c r="A126" s="21"/>
      <c r="B126" s="21"/>
      <c r="C126" s="26"/>
      <c r="D126" s="21"/>
      <c r="E126" s="21"/>
      <c r="F126" s="27"/>
      <c r="G126" s="27"/>
      <c r="H126" s="23" t="s">
        <v>12</v>
      </c>
    </row>
    <row r="127" spans="1:8" x14ac:dyDescent="0.2">
      <c r="A127" s="21"/>
      <c r="B127" s="21"/>
      <c r="C127" s="22" t="s">
        <v>97</v>
      </c>
      <c r="D127" s="21"/>
      <c r="E127" s="21"/>
      <c r="F127" s="27"/>
      <c r="G127" s="27"/>
      <c r="H127" s="23" t="s">
        <v>12</v>
      </c>
    </row>
    <row r="128" spans="1:8" x14ac:dyDescent="0.2">
      <c r="A128" s="29">
        <v>1</v>
      </c>
      <c r="B128" s="30"/>
      <c r="C128" s="30" t="s">
        <v>98</v>
      </c>
      <c r="D128" s="30"/>
      <c r="E128" s="34"/>
      <c r="F128" s="32">
        <v>53804.805393005001</v>
      </c>
      <c r="G128" s="33">
        <v>7.2748579999999993E-2</v>
      </c>
      <c r="H128" s="23">
        <v>5.73</v>
      </c>
    </row>
    <row r="129" spans="1:17" x14ac:dyDescent="0.2">
      <c r="A129" s="21"/>
      <c r="B129" s="21"/>
      <c r="C129" s="22" t="s">
        <v>11</v>
      </c>
      <c r="D129" s="21"/>
      <c r="E129" s="21" t="s">
        <v>12</v>
      </c>
      <c r="F129" s="28">
        <v>53804.805393005001</v>
      </c>
      <c r="G129" s="25">
        <v>7.2748579999999993E-2</v>
      </c>
      <c r="H129" s="23" t="s">
        <v>12</v>
      </c>
    </row>
    <row r="130" spans="1:17" x14ac:dyDescent="0.2">
      <c r="A130" s="21"/>
      <c r="B130" s="21"/>
      <c r="C130" s="26"/>
      <c r="D130" s="21"/>
      <c r="E130" s="21"/>
      <c r="F130" s="27"/>
      <c r="G130" s="27"/>
      <c r="H130" s="23" t="s">
        <v>12</v>
      </c>
    </row>
    <row r="131" spans="1:17" x14ac:dyDescent="0.2">
      <c r="A131" s="21"/>
      <c r="B131" s="21"/>
      <c r="C131" s="22" t="s">
        <v>99</v>
      </c>
      <c r="D131" s="21"/>
      <c r="E131" s="21"/>
      <c r="F131" s="28">
        <v>738437.83941060503</v>
      </c>
      <c r="G131" s="25">
        <v>0.99842949999999997</v>
      </c>
      <c r="H131" s="23" t="s">
        <v>12</v>
      </c>
    </row>
    <row r="132" spans="1:17" x14ac:dyDescent="0.2">
      <c r="A132" s="21"/>
      <c r="B132" s="21"/>
      <c r="C132" s="27"/>
      <c r="D132" s="21"/>
      <c r="E132" s="21"/>
      <c r="F132" s="21"/>
      <c r="G132" s="21"/>
      <c r="H132" s="23" t="s">
        <v>12</v>
      </c>
    </row>
    <row r="133" spans="1:17" x14ac:dyDescent="0.2">
      <c r="A133" s="21"/>
      <c r="B133" s="21"/>
      <c r="C133" s="22" t="s">
        <v>100</v>
      </c>
      <c r="D133" s="21"/>
      <c r="E133" s="21"/>
      <c r="F133" s="21"/>
      <c r="G133" s="21"/>
      <c r="H133" s="23" t="s">
        <v>12</v>
      </c>
    </row>
    <row r="134" spans="1:17" x14ac:dyDescent="0.2">
      <c r="A134" s="21"/>
      <c r="B134" s="21"/>
      <c r="C134" s="22" t="s">
        <v>101</v>
      </c>
      <c r="D134" s="21"/>
      <c r="E134" s="21"/>
      <c r="F134" s="21"/>
      <c r="G134" s="21"/>
      <c r="H134" s="23" t="s">
        <v>12</v>
      </c>
    </row>
    <row r="135" spans="1:17" x14ac:dyDescent="0.2">
      <c r="A135" s="21"/>
      <c r="B135" s="21"/>
      <c r="C135" s="22" t="s">
        <v>11</v>
      </c>
      <c r="D135" s="21"/>
      <c r="E135" s="21" t="s">
        <v>12</v>
      </c>
      <c r="F135" s="28">
        <f>SUM(F134)</f>
        <v>0</v>
      </c>
      <c r="G135" s="25">
        <f>SUM(G134)</f>
        <v>0</v>
      </c>
      <c r="H135" s="23" t="s">
        <v>12</v>
      </c>
    </row>
    <row r="136" spans="1:17" x14ac:dyDescent="0.2">
      <c r="A136" s="21"/>
      <c r="B136" s="21"/>
      <c r="C136" s="26"/>
      <c r="D136" s="21"/>
      <c r="E136" s="21"/>
      <c r="F136" s="27"/>
      <c r="G136" s="27"/>
      <c r="H136" s="77" t="s">
        <v>12</v>
      </c>
    </row>
    <row r="137" spans="1:17" x14ac:dyDescent="0.2">
      <c r="A137" s="21"/>
      <c r="B137" s="21"/>
      <c r="C137" s="22" t="s">
        <v>566</v>
      </c>
      <c r="D137" s="21"/>
      <c r="E137" s="21"/>
      <c r="F137" s="27"/>
      <c r="G137" s="27"/>
      <c r="H137" s="32"/>
      <c r="K137" s="56"/>
      <c r="L137" s="56"/>
      <c r="M137" s="56"/>
      <c r="N137" s="56"/>
      <c r="O137" s="79"/>
      <c r="P137" s="79"/>
      <c r="Q137" s="79"/>
    </row>
    <row r="138" spans="1:17" ht="25.5" x14ac:dyDescent="0.2">
      <c r="A138" s="29">
        <v>1</v>
      </c>
      <c r="B138" s="30" t="s">
        <v>102</v>
      </c>
      <c r="C138" s="30" t="s">
        <v>103</v>
      </c>
      <c r="D138" s="30"/>
      <c r="E138" s="80">
        <v>13489.8614</v>
      </c>
      <c r="F138" s="32">
        <v>1495.60906234</v>
      </c>
      <c r="G138" s="33">
        <v>2.0221900000000001E-3</v>
      </c>
      <c r="H138" s="77"/>
    </row>
    <row r="139" spans="1:17" x14ac:dyDescent="0.2">
      <c r="A139" s="21"/>
      <c r="B139" s="21"/>
      <c r="C139" s="22" t="s">
        <v>11</v>
      </c>
      <c r="D139" s="21"/>
      <c r="E139" s="21" t="s">
        <v>12</v>
      </c>
      <c r="F139" s="28">
        <f>SUM(F138)</f>
        <v>1495.60906234</v>
      </c>
      <c r="G139" s="25">
        <f>SUM(G138)</f>
        <v>2.0221900000000001E-3</v>
      </c>
      <c r="H139" s="77" t="s">
        <v>12</v>
      </c>
    </row>
    <row r="140" spans="1:17" x14ac:dyDescent="0.2">
      <c r="A140" s="21"/>
      <c r="B140" s="21"/>
      <c r="C140" s="26"/>
      <c r="D140" s="21"/>
      <c r="E140" s="21"/>
      <c r="F140" s="27"/>
      <c r="G140" s="27"/>
      <c r="H140" s="23" t="s">
        <v>12</v>
      </c>
    </row>
    <row r="141" spans="1:17" x14ac:dyDescent="0.2">
      <c r="A141" s="21"/>
      <c r="B141" s="21"/>
      <c r="C141" s="22" t="s">
        <v>104</v>
      </c>
      <c r="D141" s="21"/>
      <c r="E141" s="21"/>
      <c r="F141" s="21"/>
      <c r="G141" s="21"/>
      <c r="H141" s="23" t="s">
        <v>12</v>
      </c>
    </row>
    <row r="142" spans="1:17" x14ac:dyDescent="0.2">
      <c r="A142" s="21"/>
      <c r="B142" s="21"/>
      <c r="C142" s="22" t="s">
        <v>105</v>
      </c>
      <c r="D142" s="21"/>
      <c r="E142" s="21"/>
      <c r="F142" s="21"/>
      <c r="G142" s="21"/>
      <c r="H142" s="23" t="s">
        <v>12</v>
      </c>
    </row>
    <row r="143" spans="1:17" x14ac:dyDescent="0.2">
      <c r="A143" s="21"/>
      <c r="B143" s="21"/>
      <c r="C143" s="22" t="s">
        <v>11</v>
      </c>
      <c r="D143" s="21"/>
      <c r="E143" s="21" t="s">
        <v>12</v>
      </c>
      <c r="F143" s="24" t="s">
        <v>13</v>
      </c>
      <c r="G143" s="25">
        <v>0</v>
      </c>
      <c r="H143" s="23" t="s">
        <v>12</v>
      </c>
    </row>
    <row r="144" spans="1:17" x14ac:dyDescent="0.2">
      <c r="A144" s="21"/>
      <c r="B144" s="21"/>
      <c r="C144" s="26"/>
      <c r="D144" s="21"/>
      <c r="E144" s="21"/>
      <c r="F144" s="27"/>
      <c r="G144" s="27"/>
      <c r="H144" s="23" t="s">
        <v>12</v>
      </c>
    </row>
    <row r="145" spans="1:9" x14ac:dyDescent="0.2">
      <c r="A145" s="21"/>
      <c r="B145" s="21"/>
      <c r="C145" s="22" t="s">
        <v>106</v>
      </c>
      <c r="D145" s="21"/>
      <c r="E145" s="21"/>
      <c r="F145" s="27"/>
      <c r="G145" s="27"/>
      <c r="H145" s="23" t="s">
        <v>12</v>
      </c>
    </row>
    <row r="146" spans="1:9" x14ac:dyDescent="0.2">
      <c r="A146" s="21"/>
      <c r="B146" s="21"/>
      <c r="C146" s="22" t="s">
        <v>11</v>
      </c>
      <c r="D146" s="21"/>
      <c r="E146" s="21" t="s">
        <v>12</v>
      </c>
      <c r="F146" s="24" t="s">
        <v>13</v>
      </c>
      <c r="G146" s="25">
        <v>0</v>
      </c>
      <c r="H146" s="23" t="s">
        <v>12</v>
      </c>
    </row>
    <row r="147" spans="1:9" x14ac:dyDescent="0.2">
      <c r="A147" s="21"/>
      <c r="B147" s="30"/>
      <c r="C147" s="30"/>
      <c r="D147" s="22"/>
      <c r="E147" s="21"/>
      <c r="F147" s="30"/>
      <c r="G147" s="34"/>
      <c r="H147" s="23" t="s">
        <v>12</v>
      </c>
    </row>
    <row r="148" spans="1:9" x14ac:dyDescent="0.2">
      <c r="A148" s="34"/>
      <c r="B148" s="30"/>
      <c r="C148" s="30" t="s">
        <v>107</v>
      </c>
      <c r="D148" s="30"/>
      <c r="E148" s="34"/>
      <c r="F148" s="32">
        <f>-5343.61999144-0.0008274951171875</f>
        <v>-5343.6208189351173</v>
      </c>
      <c r="G148" s="33">
        <v>-7.2250200000000004E-3</v>
      </c>
      <c r="H148" s="23" t="s">
        <v>12</v>
      </c>
    </row>
    <row r="149" spans="1:9" x14ac:dyDescent="0.2">
      <c r="A149" s="26"/>
      <c r="B149" s="26"/>
      <c r="C149" s="22" t="s">
        <v>108</v>
      </c>
      <c r="D149" s="27"/>
      <c r="E149" s="27"/>
      <c r="F149" s="28">
        <f>739599.418481505-0.0008274951171875</f>
        <v>739599.41765400989</v>
      </c>
      <c r="G149" s="35">
        <v>1.0000000499999999</v>
      </c>
      <c r="H149" s="23" t="s">
        <v>12</v>
      </c>
    </row>
    <row r="150" spans="1:9" x14ac:dyDescent="0.2">
      <c r="A150" s="36"/>
      <c r="B150" s="36"/>
      <c r="C150" s="36"/>
      <c r="D150" s="37"/>
      <c r="E150" s="37"/>
      <c r="F150" s="37"/>
      <c r="G150" s="37"/>
    </row>
    <row r="151" spans="1:9" x14ac:dyDescent="0.2">
      <c r="A151" s="38"/>
      <c r="B151" s="39" t="s">
        <v>567</v>
      </c>
      <c r="C151" s="39"/>
      <c r="D151" s="39"/>
      <c r="E151" s="39"/>
      <c r="F151" s="39"/>
      <c r="G151" s="39"/>
      <c r="H151" s="39"/>
    </row>
    <row r="152" spans="1:9" x14ac:dyDescent="0.2">
      <c r="A152" s="38"/>
      <c r="B152" s="39" t="s">
        <v>568</v>
      </c>
      <c r="C152" s="39"/>
      <c r="D152" s="39"/>
      <c r="E152" s="39"/>
      <c r="F152" s="39"/>
      <c r="G152" s="39"/>
      <c r="H152" s="39"/>
    </row>
    <row r="153" spans="1:9" x14ac:dyDescent="0.2">
      <c r="A153" s="38"/>
      <c r="B153" s="39" t="s">
        <v>569</v>
      </c>
      <c r="C153" s="39"/>
      <c r="D153" s="39"/>
      <c r="E153" s="39"/>
      <c r="F153" s="39"/>
      <c r="G153" s="39"/>
      <c r="H153" s="39"/>
    </row>
    <row r="154" spans="1:9" x14ac:dyDescent="0.2">
      <c r="A154" s="38"/>
      <c r="B154" s="199" t="s">
        <v>688</v>
      </c>
      <c r="C154" s="39"/>
      <c r="D154" s="39"/>
      <c r="E154" s="39"/>
      <c r="F154" s="39"/>
      <c r="G154" s="39"/>
      <c r="H154" s="39"/>
      <c r="I154" s="127"/>
    </row>
    <row r="155" spans="1:9" x14ac:dyDescent="0.2">
      <c r="A155" s="38"/>
      <c r="B155" s="38"/>
      <c r="C155" s="38"/>
      <c r="D155" s="40"/>
      <c r="E155" s="40"/>
      <c r="F155" s="40"/>
      <c r="G155" s="40"/>
    </row>
    <row r="156" spans="1:9" x14ac:dyDescent="0.2">
      <c r="A156" s="38"/>
      <c r="B156" s="41" t="s">
        <v>109</v>
      </c>
      <c r="C156" s="42"/>
      <c r="D156" s="43"/>
      <c r="E156" s="44"/>
      <c r="F156" s="40"/>
      <c r="G156" s="40"/>
    </row>
    <row r="157" spans="1:9" ht="25.5" x14ac:dyDescent="0.2">
      <c r="A157" s="38"/>
      <c r="B157" s="45" t="s">
        <v>110</v>
      </c>
      <c r="C157" s="46"/>
      <c r="D157" s="22" t="s">
        <v>589</v>
      </c>
      <c r="E157" s="44"/>
      <c r="F157" s="40"/>
      <c r="G157" s="40"/>
    </row>
    <row r="158" spans="1:9" x14ac:dyDescent="0.2">
      <c r="A158" s="38"/>
      <c r="B158" s="45" t="s">
        <v>112</v>
      </c>
      <c r="C158" s="46"/>
      <c r="D158" s="22" t="s">
        <v>111</v>
      </c>
      <c r="E158" s="44"/>
      <c r="F158" s="40"/>
      <c r="G158" s="40"/>
    </row>
    <row r="159" spans="1:9" x14ac:dyDescent="0.2">
      <c r="A159" s="38"/>
      <c r="B159" s="45" t="s">
        <v>113</v>
      </c>
      <c r="C159" s="46"/>
      <c r="D159" s="27" t="s">
        <v>12</v>
      </c>
      <c r="E159" s="44"/>
      <c r="F159" s="40"/>
      <c r="G159" s="40"/>
    </row>
    <row r="160" spans="1:9" x14ac:dyDescent="0.2">
      <c r="A160" s="47"/>
      <c r="B160" s="48" t="s">
        <v>12</v>
      </c>
      <c r="C160" s="48" t="s">
        <v>570</v>
      </c>
      <c r="D160" s="48" t="s">
        <v>114</v>
      </c>
      <c r="E160" s="47"/>
      <c r="F160" s="47"/>
      <c r="G160" s="47"/>
    </row>
    <row r="161" spans="1:17" x14ac:dyDescent="0.2">
      <c r="A161" s="47"/>
      <c r="B161" s="49" t="s">
        <v>115</v>
      </c>
      <c r="C161" s="50">
        <v>45747</v>
      </c>
      <c r="D161" s="50">
        <v>45762</v>
      </c>
      <c r="E161" s="47"/>
      <c r="F161" s="47"/>
      <c r="G161" s="47"/>
    </row>
    <row r="162" spans="1:17" x14ac:dyDescent="0.2">
      <c r="A162" s="47"/>
      <c r="B162" s="30" t="s">
        <v>116</v>
      </c>
      <c r="C162" s="51">
        <v>2291.73</v>
      </c>
      <c r="D162" s="51">
        <v>2299.7530000000002</v>
      </c>
      <c r="E162" s="47"/>
      <c r="F162" s="52"/>
      <c r="G162" s="53"/>
    </row>
    <row r="163" spans="1:17" x14ac:dyDescent="0.2">
      <c r="A163" s="47"/>
      <c r="B163" s="30" t="s">
        <v>154</v>
      </c>
      <c r="C163" s="51">
        <v>1260.2338</v>
      </c>
      <c r="D163" s="51">
        <v>1264.6443999999999</v>
      </c>
      <c r="E163" s="47"/>
      <c r="F163" s="52"/>
      <c r="G163" s="53"/>
    </row>
    <row r="164" spans="1:17" ht="25.5" x14ac:dyDescent="0.2">
      <c r="A164" s="47"/>
      <c r="B164" s="30" t="s">
        <v>695</v>
      </c>
      <c r="C164" s="51">
        <v>1028.396</v>
      </c>
      <c r="D164" s="51">
        <v>1031.9962</v>
      </c>
      <c r="E164" s="47"/>
      <c r="F164" s="52"/>
      <c r="G164" s="53"/>
    </row>
    <row r="165" spans="1:17" ht="25.5" x14ac:dyDescent="0.2">
      <c r="A165" s="47"/>
      <c r="B165" s="30" t="s">
        <v>696</v>
      </c>
      <c r="C165" s="51">
        <v>1151.4123</v>
      </c>
      <c r="D165" s="51">
        <v>1155.4401</v>
      </c>
      <c r="E165" s="47"/>
      <c r="F165" s="52"/>
      <c r="G165" s="53"/>
    </row>
    <row r="166" spans="1:17" x14ac:dyDescent="0.2">
      <c r="A166" s="47"/>
      <c r="B166" s="30" t="s">
        <v>117</v>
      </c>
      <c r="C166" s="51">
        <v>2266.3577</v>
      </c>
      <c r="D166" s="51">
        <v>2274.0743000000002</v>
      </c>
      <c r="E166" s="47"/>
      <c r="F166" s="52"/>
      <c r="G166" s="53"/>
    </row>
    <row r="167" spans="1:17" x14ac:dyDescent="0.2">
      <c r="A167" s="47"/>
      <c r="B167" s="30" t="s">
        <v>155</v>
      </c>
      <c r="C167" s="51">
        <v>1254.4979000000001</v>
      </c>
      <c r="D167" s="51">
        <v>1258.7692999999999</v>
      </c>
      <c r="E167" s="47"/>
      <c r="F167" s="52"/>
      <c r="G167" s="53"/>
    </row>
    <row r="168" spans="1:17" ht="25.5" x14ac:dyDescent="0.2">
      <c r="A168" s="47"/>
      <c r="B168" s="30" t="s">
        <v>699</v>
      </c>
      <c r="C168" s="51">
        <v>1028.0152</v>
      </c>
      <c r="D168" s="51">
        <v>1031.5155</v>
      </c>
      <c r="E168" s="47"/>
      <c r="F168" s="52"/>
      <c r="G168" s="53"/>
    </row>
    <row r="169" spans="1:17" ht="25.5" x14ac:dyDescent="0.2">
      <c r="A169" s="47"/>
      <c r="B169" s="30" t="s">
        <v>665</v>
      </c>
      <c r="C169" s="51">
        <v>1146.3577</v>
      </c>
      <c r="D169" s="51">
        <v>1150.2609</v>
      </c>
      <c r="E169" s="47"/>
      <c r="F169" s="52"/>
      <c r="G169" s="53"/>
    </row>
    <row r="170" spans="1:17" x14ac:dyDescent="0.2">
      <c r="A170" s="47"/>
      <c r="B170" s="47"/>
      <c r="C170" s="47"/>
      <c r="D170" s="47"/>
      <c r="E170" s="47"/>
      <c r="F170" s="47"/>
      <c r="G170" s="47"/>
    </row>
    <row r="171" spans="1:17" x14ac:dyDescent="0.2">
      <c r="A171" s="47"/>
      <c r="B171" s="45" t="s">
        <v>702</v>
      </c>
      <c r="C171" s="46"/>
      <c r="D171" s="22" t="s">
        <v>111</v>
      </c>
      <c r="E171" s="47"/>
      <c r="F171" s="47"/>
      <c r="G171" s="47"/>
    </row>
    <row r="172" spans="1:17" x14ac:dyDescent="0.2">
      <c r="A172" s="47"/>
      <c r="B172" s="54"/>
      <c r="C172" s="54"/>
      <c r="D172" s="54"/>
      <c r="E172" s="47"/>
      <c r="F172" s="47"/>
      <c r="G172" s="47"/>
    </row>
    <row r="173" spans="1:17" s="60" customFormat="1" x14ac:dyDescent="0.2">
      <c r="A173" s="53"/>
      <c r="B173" s="45" t="s">
        <v>583</v>
      </c>
      <c r="C173" s="46"/>
      <c r="D173" s="22" t="s">
        <v>111</v>
      </c>
      <c r="E173" s="53"/>
      <c r="F173" s="53"/>
      <c r="G173" s="53"/>
      <c r="I173" s="127"/>
      <c r="J173" s="20"/>
      <c r="K173" s="56"/>
      <c r="L173" s="56"/>
      <c r="M173" s="56"/>
      <c r="N173" s="56"/>
      <c r="O173" s="61"/>
      <c r="P173" s="17"/>
      <c r="Q173" s="17"/>
    </row>
    <row r="174" spans="1:17" ht="27.75" customHeight="1" x14ac:dyDescent="0.2">
      <c r="A174" s="47"/>
      <c r="B174" s="45" t="s">
        <v>584</v>
      </c>
      <c r="C174" s="46"/>
      <c r="D174" s="22" t="s">
        <v>111</v>
      </c>
      <c r="E174" s="55"/>
      <c r="F174" s="47"/>
      <c r="G174" s="47"/>
      <c r="I174" s="127"/>
      <c r="J174" s="20"/>
    </row>
    <row r="175" spans="1:17" ht="26.25" customHeight="1" x14ac:dyDescent="0.2">
      <c r="A175" s="47"/>
      <c r="B175" s="45" t="s">
        <v>585</v>
      </c>
      <c r="C175" s="46"/>
      <c r="D175" s="22" t="s">
        <v>111</v>
      </c>
      <c r="E175" s="55"/>
      <c r="F175" s="47"/>
      <c r="G175" s="47"/>
      <c r="I175" s="127"/>
      <c r="J175" s="20"/>
    </row>
    <row r="176" spans="1:17" x14ac:dyDescent="0.2">
      <c r="A176" s="47"/>
      <c r="B176" s="45" t="s">
        <v>586</v>
      </c>
      <c r="C176" s="46"/>
      <c r="D176" s="22" t="s">
        <v>111</v>
      </c>
      <c r="E176" s="55"/>
      <c r="F176" s="47"/>
      <c r="G176" s="47"/>
      <c r="I176" s="127"/>
      <c r="J176" s="20"/>
    </row>
    <row r="177" spans="1:18" x14ac:dyDescent="0.2">
      <c r="A177" s="54"/>
      <c r="B177" s="54"/>
      <c r="C177" s="54"/>
      <c r="D177" s="54"/>
      <c r="E177" s="54"/>
      <c r="F177" s="54"/>
      <c r="G177" s="54"/>
      <c r="I177" s="127"/>
      <c r="J177" s="20"/>
    </row>
    <row r="178" spans="1:18" s="60" customFormat="1" x14ac:dyDescent="0.2">
      <c r="B178" s="150" t="s">
        <v>691</v>
      </c>
      <c r="C178" s="150"/>
      <c r="D178" s="150"/>
      <c r="E178" s="150"/>
      <c r="F178" s="150"/>
      <c r="G178" s="150"/>
      <c r="I178" s="127"/>
      <c r="J178" s="20"/>
      <c r="K178" s="56"/>
      <c r="L178" s="56"/>
      <c r="M178" s="56"/>
      <c r="N178" s="56"/>
      <c r="O178" s="17"/>
    </row>
    <row r="179" spans="1:18" ht="13.5" customHeight="1" x14ac:dyDescent="0.2">
      <c r="B179" s="200" t="s">
        <v>591</v>
      </c>
      <c r="C179" s="200" t="s">
        <v>592</v>
      </c>
      <c r="D179" s="201" t="s">
        <v>602</v>
      </c>
      <c r="E179" s="202"/>
      <c r="F179" s="203"/>
      <c r="G179" s="204" t="s">
        <v>610</v>
      </c>
      <c r="H179" s="205"/>
      <c r="I179" s="206"/>
      <c r="J179" s="56"/>
      <c r="K179" s="56"/>
      <c r="L179" s="56"/>
      <c r="M179" s="56"/>
      <c r="N179" s="56"/>
      <c r="O179" s="56"/>
    </row>
    <row r="180" spans="1:18" ht="46.5" customHeight="1" x14ac:dyDescent="0.2">
      <c r="B180" s="158"/>
      <c r="C180" s="158"/>
      <c r="D180" s="207" t="s">
        <v>611</v>
      </c>
      <c r="E180" s="207" t="s">
        <v>612</v>
      </c>
      <c r="F180" s="207" t="s">
        <v>613</v>
      </c>
      <c r="G180" s="160" t="s">
        <v>627</v>
      </c>
      <c r="H180" s="161"/>
      <c r="I180" s="207" t="s">
        <v>615</v>
      </c>
      <c r="J180" s="56"/>
      <c r="K180" s="56"/>
      <c r="L180" s="56"/>
      <c r="M180" s="56"/>
      <c r="N180" s="56"/>
      <c r="O180" s="56"/>
    </row>
    <row r="181" spans="1:18" ht="21" customHeight="1" x14ac:dyDescent="0.2">
      <c r="B181" s="162"/>
      <c r="C181" s="162"/>
      <c r="D181" s="163"/>
      <c r="E181" s="163"/>
      <c r="F181" s="163"/>
      <c r="G181" s="93" t="s">
        <v>616</v>
      </c>
      <c r="H181" s="93" t="s">
        <v>617</v>
      </c>
      <c r="I181" s="163"/>
      <c r="J181" s="56"/>
      <c r="K181" s="56"/>
      <c r="L181" s="56"/>
      <c r="M181" s="56"/>
      <c r="N181" s="56"/>
      <c r="O181" s="56"/>
    </row>
    <row r="182" spans="1:18" ht="13.5" x14ac:dyDescent="0.25">
      <c r="B182" s="90" t="s">
        <v>618</v>
      </c>
      <c r="C182" s="88" t="s">
        <v>619</v>
      </c>
      <c r="D182" s="208">
        <v>5523.9823999999999</v>
      </c>
      <c r="E182" s="10">
        <v>126.0176</v>
      </c>
      <c r="F182" s="197">
        <f>D182+E182</f>
        <v>5650</v>
      </c>
      <c r="G182" s="8">
        <v>239.15547683099999</v>
      </c>
      <c r="H182" s="8">
        <v>150.66</v>
      </c>
      <c r="I182" s="8">
        <f>G182+H182</f>
        <v>389.81547683099996</v>
      </c>
      <c r="J182" s="56"/>
      <c r="K182" s="56"/>
      <c r="L182" s="56"/>
      <c r="M182" s="56"/>
      <c r="N182" s="56"/>
      <c r="O182" s="56"/>
    </row>
    <row r="183" spans="1:18" ht="6.75" customHeight="1" x14ac:dyDescent="0.25">
      <c r="B183" s="169"/>
      <c r="C183" s="170"/>
      <c r="D183" s="171"/>
      <c r="E183" s="11"/>
      <c r="F183" s="172"/>
      <c r="G183" s="9"/>
      <c r="H183" s="9"/>
      <c r="I183" s="9"/>
      <c r="J183" s="56"/>
      <c r="K183" s="56"/>
      <c r="L183" s="56"/>
      <c r="M183" s="56"/>
      <c r="N183" s="56"/>
      <c r="O183" s="56"/>
    </row>
    <row r="184" spans="1:18" ht="51" customHeight="1" x14ac:dyDescent="0.2">
      <c r="B184" s="173" t="s">
        <v>620</v>
      </c>
      <c r="C184" s="173"/>
      <c r="D184" s="173"/>
      <c r="E184" s="173"/>
      <c r="F184" s="173"/>
      <c r="G184" s="173"/>
      <c r="H184" s="173"/>
      <c r="I184" s="173"/>
      <c r="J184" s="174"/>
      <c r="K184" s="56"/>
      <c r="L184" s="56"/>
      <c r="M184" s="56"/>
      <c r="N184" s="56"/>
      <c r="O184" s="56"/>
    </row>
    <row r="185" spans="1:18" ht="13.5" x14ac:dyDescent="0.25">
      <c r="B185" s="97" t="s">
        <v>621</v>
      </c>
      <c r="I185" s="56"/>
      <c r="J185" s="20"/>
      <c r="K185" s="56"/>
      <c r="L185" s="56"/>
      <c r="M185" s="56"/>
      <c r="N185" s="56"/>
      <c r="O185" s="56"/>
      <c r="P185" s="56"/>
    </row>
    <row r="186" spans="1:18" x14ac:dyDescent="0.2">
      <c r="B186" s="98"/>
      <c r="J186" s="20"/>
      <c r="K186" s="56"/>
      <c r="L186" s="56"/>
      <c r="M186" s="56"/>
      <c r="N186" s="56"/>
      <c r="O186" s="56"/>
    </row>
    <row r="187" spans="1:18" x14ac:dyDescent="0.2">
      <c r="B187" s="98" t="s">
        <v>625</v>
      </c>
      <c r="J187" s="20"/>
      <c r="K187" s="56"/>
      <c r="L187" s="56"/>
      <c r="M187" s="56"/>
      <c r="N187" s="56"/>
      <c r="O187" s="56"/>
    </row>
    <row r="188" spans="1:18" s="60" customFormat="1" x14ac:dyDescent="0.2">
      <c r="I188" s="127"/>
      <c r="J188" s="20"/>
      <c r="K188" s="56"/>
      <c r="L188" s="56"/>
      <c r="M188" s="56"/>
      <c r="N188" s="56"/>
      <c r="O188" s="17"/>
      <c r="R188" s="17"/>
    </row>
    <row r="189" spans="1:18" s="60" customFormat="1" x14ac:dyDescent="0.2">
      <c r="B189" s="57" t="s">
        <v>572</v>
      </c>
      <c r="C189" s="58"/>
      <c r="D189" s="59"/>
      <c r="I189" s="127"/>
      <c r="J189" s="20"/>
      <c r="K189" s="56"/>
      <c r="L189" s="56"/>
      <c r="M189" s="56"/>
      <c r="N189" s="56"/>
      <c r="O189" s="17"/>
      <c r="R189" s="17"/>
    </row>
    <row r="190" spans="1:18" s="60" customFormat="1" ht="25.5" x14ac:dyDescent="0.2">
      <c r="B190" s="62" t="s">
        <v>573</v>
      </c>
      <c r="C190" s="62"/>
      <c r="D190" s="63" t="s">
        <v>277</v>
      </c>
      <c r="I190" s="127"/>
      <c r="J190" s="20"/>
      <c r="K190" s="56"/>
      <c r="L190" s="56"/>
      <c r="M190" s="56"/>
      <c r="N190" s="56"/>
      <c r="O190" s="17"/>
      <c r="R190" s="17"/>
    </row>
    <row r="191" spans="1:18" s="60" customFormat="1" x14ac:dyDescent="0.2">
      <c r="B191" s="64" t="s">
        <v>574</v>
      </c>
      <c r="C191" s="64"/>
      <c r="D191" s="65"/>
      <c r="I191" s="127"/>
      <c r="J191" s="20"/>
      <c r="K191" s="56"/>
      <c r="L191" s="56"/>
      <c r="M191" s="56"/>
      <c r="N191" s="56"/>
      <c r="O191" s="17"/>
      <c r="R191" s="17"/>
    </row>
    <row r="192" spans="1:18" s="60" customFormat="1" x14ac:dyDescent="0.2">
      <c r="B192" s="64"/>
      <c r="C192" s="64"/>
      <c r="D192" s="66"/>
      <c r="I192" s="127"/>
      <c r="J192" s="20"/>
      <c r="K192" s="56"/>
      <c r="L192" s="56"/>
      <c r="M192" s="56"/>
      <c r="N192" s="56"/>
      <c r="O192" s="17"/>
      <c r="R192" s="17"/>
    </row>
    <row r="193" spans="2:18" s="60" customFormat="1" x14ac:dyDescent="0.2">
      <c r="B193" s="64" t="s">
        <v>575</v>
      </c>
      <c r="C193" s="64"/>
      <c r="D193" s="67">
        <v>6.2460460667270166</v>
      </c>
      <c r="I193" s="127"/>
      <c r="J193" s="20"/>
      <c r="K193" s="56"/>
      <c r="L193" s="56"/>
      <c r="M193" s="56"/>
      <c r="N193" s="56"/>
      <c r="O193" s="17"/>
      <c r="R193" s="17"/>
    </row>
    <row r="194" spans="2:18" s="60" customFormat="1" x14ac:dyDescent="0.2">
      <c r="B194" s="64"/>
      <c r="C194" s="64"/>
      <c r="D194" s="66"/>
      <c r="I194" s="127"/>
      <c r="J194" s="20"/>
      <c r="K194" s="56"/>
      <c r="L194" s="56"/>
      <c r="M194" s="56"/>
      <c r="N194" s="56"/>
      <c r="O194" s="17"/>
      <c r="R194" s="17"/>
    </row>
    <row r="195" spans="2:18" s="60" customFormat="1" x14ac:dyDescent="0.2">
      <c r="B195" s="64" t="s">
        <v>576</v>
      </c>
      <c r="C195" s="64"/>
      <c r="D195" s="67">
        <v>0.11587135028813297</v>
      </c>
      <c r="I195" s="127"/>
      <c r="J195" s="20"/>
      <c r="K195" s="56"/>
      <c r="L195" s="56"/>
      <c r="M195" s="56"/>
      <c r="N195" s="56"/>
      <c r="O195" s="17"/>
      <c r="R195" s="17"/>
    </row>
    <row r="196" spans="2:18" s="60" customFormat="1" x14ac:dyDescent="0.2">
      <c r="B196" s="64" t="s">
        <v>577</v>
      </c>
      <c r="C196" s="64"/>
      <c r="D196" s="67">
        <v>0.11587135028813297</v>
      </c>
      <c r="I196" s="127"/>
      <c r="J196" s="20"/>
      <c r="K196" s="56"/>
      <c r="L196" s="56"/>
      <c r="M196" s="56"/>
      <c r="N196" s="56"/>
      <c r="O196" s="17"/>
      <c r="R196" s="17"/>
    </row>
    <row r="197" spans="2:18" s="60" customFormat="1" x14ac:dyDescent="0.2">
      <c r="B197" s="64"/>
      <c r="C197" s="64"/>
      <c r="D197" s="66"/>
      <c r="I197" s="127"/>
      <c r="J197" s="20"/>
      <c r="K197" s="56"/>
      <c r="L197" s="56"/>
      <c r="M197" s="56"/>
      <c r="N197" s="56"/>
      <c r="O197" s="17"/>
      <c r="P197" s="17"/>
      <c r="Q197" s="17"/>
      <c r="R197" s="17"/>
    </row>
    <row r="198" spans="2:18" s="60" customFormat="1" x14ac:dyDescent="0.2">
      <c r="B198" s="64" t="s">
        <v>578</v>
      </c>
      <c r="C198" s="64"/>
      <c r="D198" s="69" t="s">
        <v>690</v>
      </c>
      <c r="I198" s="127"/>
      <c r="J198" s="20"/>
      <c r="K198" s="56"/>
      <c r="L198" s="56"/>
      <c r="M198" s="56"/>
      <c r="N198" s="56"/>
      <c r="O198" s="61"/>
    </row>
    <row r="199" spans="2:18" s="60" customFormat="1" x14ac:dyDescent="0.2">
      <c r="B199" s="70" t="s">
        <v>579</v>
      </c>
      <c r="C199" s="71"/>
      <c r="D199" s="72"/>
      <c r="I199" s="127"/>
      <c r="J199" s="20"/>
      <c r="K199" s="56"/>
      <c r="L199" s="56"/>
      <c r="M199" s="56"/>
      <c r="N199" s="56"/>
      <c r="O199" s="17"/>
      <c r="P199" s="17"/>
      <c r="Q199" s="17"/>
      <c r="R199" s="17"/>
    </row>
    <row r="200" spans="2:18" x14ac:dyDescent="0.2">
      <c r="I200" s="127"/>
      <c r="J200" s="20"/>
    </row>
    <row r="201" spans="2:18" x14ac:dyDescent="0.2">
      <c r="B201" s="74" t="s">
        <v>580</v>
      </c>
      <c r="I201" s="127"/>
    </row>
    <row r="202" spans="2:18" x14ac:dyDescent="0.2">
      <c r="I202" s="127"/>
    </row>
    <row r="203" spans="2:18" ht="153.75" customHeight="1" x14ac:dyDescent="0.2">
      <c r="I203" s="127"/>
    </row>
    <row r="204" spans="2:18" x14ac:dyDescent="0.2">
      <c r="I204" s="127"/>
    </row>
    <row r="205" spans="2:18" x14ac:dyDescent="0.2">
      <c r="I205" s="127"/>
    </row>
    <row r="206" spans="2:18" x14ac:dyDescent="0.2">
      <c r="B206" s="75" t="s">
        <v>581</v>
      </c>
      <c r="C206" s="76"/>
      <c r="D206" s="75"/>
      <c r="I206" s="127"/>
    </row>
    <row r="207" spans="2:18" x14ac:dyDescent="0.2">
      <c r="B207" s="75" t="s">
        <v>628</v>
      </c>
      <c r="D207" s="75"/>
      <c r="I207" s="127"/>
    </row>
    <row r="208" spans="2:18" ht="165" customHeight="1" x14ac:dyDescent="0.2">
      <c r="I208" s="127"/>
    </row>
    <row r="209" spans="9:10" x14ac:dyDescent="0.2">
      <c r="I209" s="127"/>
    </row>
    <row r="210" spans="9:10" x14ac:dyDescent="0.2">
      <c r="I210" s="127"/>
      <c r="J210" s="20"/>
    </row>
  </sheetData>
  <mergeCells count="37">
    <mergeCell ref="B179:B181"/>
    <mergeCell ref="C179:C181"/>
    <mergeCell ref="D179:F179"/>
    <mergeCell ref="B153:H153"/>
    <mergeCell ref="B154:H154"/>
    <mergeCell ref="B176:C176"/>
    <mergeCell ref="B156:D156"/>
    <mergeCell ref="B157:C157"/>
    <mergeCell ref="B158:C158"/>
    <mergeCell ref="B159:C159"/>
    <mergeCell ref="B171:C171"/>
    <mergeCell ref="B175:C175"/>
    <mergeCell ref="B173:C173"/>
    <mergeCell ref="B174:C174"/>
    <mergeCell ref="A1:H1"/>
    <mergeCell ref="A2:H2"/>
    <mergeCell ref="A3:H3"/>
    <mergeCell ref="B151:H151"/>
    <mergeCell ref="B152:H152"/>
    <mergeCell ref="G179:I179"/>
    <mergeCell ref="D180:D181"/>
    <mergeCell ref="E180:E181"/>
    <mergeCell ref="F180:F181"/>
    <mergeCell ref="G180:H180"/>
    <mergeCell ref="I180:I181"/>
    <mergeCell ref="B184:I184"/>
    <mergeCell ref="B189:D189"/>
    <mergeCell ref="B190:C190"/>
    <mergeCell ref="B191:C191"/>
    <mergeCell ref="B192:C192"/>
    <mergeCell ref="B198:C198"/>
    <mergeCell ref="B199:D199"/>
    <mergeCell ref="B193:C193"/>
    <mergeCell ref="B194:C194"/>
    <mergeCell ref="B195:C195"/>
    <mergeCell ref="B196:C196"/>
    <mergeCell ref="B197:C197"/>
  </mergeCells>
  <hyperlinks>
    <hyperlink ref="I1" location="Index!B2" display="Index" xr:uid="{4FA12594-B367-40F6-9200-2314AF8247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9381-EC20-4A95-BEC7-952615ADB8D8}">
  <sheetPr>
    <outlinePr summaryBelow="0" summaryRight="0"/>
  </sheetPr>
  <dimension ref="A1:S177"/>
  <sheetViews>
    <sheetView showGridLines="0" workbookViewId="0">
      <selection sqref="A1:H1"/>
    </sheetView>
  </sheetViews>
  <sheetFormatPr defaultRowHeight="12.75" x14ac:dyDescent="0.2"/>
  <cols>
    <col min="1" max="1" width="5.85546875" style="17" bestFit="1" customWidth="1"/>
    <col min="2" max="2" width="20" style="17" bestFit="1" customWidth="1"/>
    <col min="3" max="3" width="55.5703125" style="17" customWidth="1"/>
    <col min="4" max="4" width="11" style="17" bestFit="1" customWidth="1"/>
    <col min="5" max="5" width="8.7109375" style="17" bestFit="1" customWidth="1"/>
    <col min="6" max="6" width="10.140625" style="17" bestFit="1" customWidth="1"/>
    <col min="7" max="7" width="14" style="17" bestFit="1" customWidth="1"/>
    <col min="8" max="8" width="8.7109375" style="17" customWidth="1"/>
    <col min="9" max="9" width="8" style="17" customWidth="1"/>
    <col min="10" max="10" width="10.140625" style="17" customWidth="1"/>
    <col min="11" max="16384" width="9.140625" style="17"/>
  </cols>
  <sheetData>
    <row r="1" spans="1:9" ht="15" x14ac:dyDescent="0.2">
      <c r="A1" s="16" t="s">
        <v>0</v>
      </c>
      <c r="B1" s="16"/>
      <c r="C1" s="16"/>
      <c r="D1" s="16"/>
      <c r="E1" s="16"/>
      <c r="F1" s="16"/>
      <c r="G1" s="16"/>
      <c r="H1" s="16"/>
      <c r="I1" s="7" t="s">
        <v>565</v>
      </c>
    </row>
    <row r="2" spans="1:9" ht="15" x14ac:dyDescent="0.2">
      <c r="A2" s="16" t="s">
        <v>422</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9">
        <v>1</v>
      </c>
      <c r="B28" s="30" t="s">
        <v>237</v>
      </c>
      <c r="C28" s="30" t="s">
        <v>238</v>
      </c>
      <c r="D28" s="30" t="s">
        <v>234</v>
      </c>
      <c r="E28" s="31">
        <v>1100</v>
      </c>
      <c r="F28" s="32">
        <v>1106.6803</v>
      </c>
      <c r="G28" s="33">
        <v>5.28263E-2</v>
      </c>
      <c r="H28" s="23">
        <v>7.65</v>
      </c>
    </row>
    <row r="29" spans="1:8" x14ac:dyDescent="0.2">
      <c r="A29" s="29">
        <v>2</v>
      </c>
      <c r="B29" s="30" t="s">
        <v>423</v>
      </c>
      <c r="C29" s="30" t="s">
        <v>424</v>
      </c>
      <c r="D29" s="30" t="s">
        <v>23</v>
      </c>
      <c r="E29" s="31">
        <v>1000</v>
      </c>
      <c r="F29" s="32">
        <v>1020.698</v>
      </c>
      <c r="G29" s="33">
        <v>4.8722019999999998E-2</v>
      </c>
      <c r="H29" s="23">
        <v>6.98</v>
      </c>
    </row>
    <row r="30" spans="1:8" ht="25.5" x14ac:dyDescent="0.2">
      <c r="A30" s="29">
        <v>3</v>
      </c>
      <c r="B30" s="30" t="s">
        <v>35</v>
      </c>
      <c r="C30" s="30" t="s">
        <v>36</v>
      </c>
      <c r="D30" s="30" t="s">
        <v>23</v>
      </c>
      <c r="E30" s="31">
        <v>1000</v>
      </c>
      <c r="F30" s="32">
        <v>1020.444</v>
      </c>
      <c r="G30" s="33">
        <v>4.8709889999999999E-2</v>
      </c>
      <c r="H30" s="23">
        <v>7.02</v>
      </c>
    </row>
    <row r="31" spans="1:8" x14ac:dyDescent="0.2">
      <c r="A31" s="29">
        <v>4</v>
      </c>
      <c r="B31" s="30" t="s">
        <v>131</v>
      </c>
      <c r="C31" s="30" t="s">
        <v>132</v>
      </c>
      <c r="D31" s="30" t="s">
        <v>23</v>
      </c>
      <c r="E31" s="31">
        <v>1000</v>
      </c>
      <c r="F31" s="32">
        <v>1013.074</v>
      </c>
      <c r="G31" s="33">
        <v>4.8358089999999999E-2</v>
      </c>
      <c r="H31" s="23">
        <v>6.8940000000000001</v>
      </c>
    </row>
    <row r="32" spans="1:8" x14ac:dyDescent="0.2">
      <c r="A32" s="29">
        <v>5</v>
      </c>
      <c r="B32" s="30" t="s">
        <v>239</v>
      </c>
      <c r="C32" s="30" t="s">
        <v>240</v>
      </c>
      <c r="D32" s="30" t="s">
        <v>231</v>
      </c>
      <c r="E32" s="31">
        <v>1000</v>
      </c>
      <c r="F32" s="32">
        <v>1008.955</v>
      </c>
      <c r="G32" s="33">
        <v>4.8161469999999998E-2</v>
      </c>
      <c r="H32" s="23">
        <v>7.6950000000000003</v>
      </c>
    </row>
    <row r="33" spans="1:8" ht="25.5" x14ac:dyDescent="0.2">
      <c r="A33" s="29">
        <v>6</v>
      </c>
      <c r="B33" s="30" t="s">
        <v>425</v>
      </c>
      <c r="C33" s="30" t="s">
        <v>426</v>
      </c>
      <c r="D33" s="30" t="s">
        <v>258</v>
      </c>
      <c r="E33" s="31">
        <v>500</v>
      </c>
      <c r="F33" s="32">
        <v>509.38650000000001</v>
      </c>
      <c r="G33" s="33">
        <v>2.4315059999999999E-2</v>
      </c>
      <c r="H33" s="23">
        <v>7.9711999999999996</v>
      </c>
    </row>
    <row r="34" spans="1:8" x14ac:dyDescent="0.2">
      <c r="A34" s="29">
        <v>7</v>
      </c>
      <c r="B34" s="30" t="s">
        <v>62</v>
      </c>
      <c r="C34" s="30" t="s">
        <v>63</v>
      </c>
      <c r="D34" s="30" t="s">
        <v>23</v>
      </c>
      <c r="E34" s="31">
        <v>50</v>
      </c>
      <c r="F34" s="32">
        <v>508.51749999999998</v>
      </c>
      <c r="G34" s="33">
        <v>2.4273579999999999E-2</v>
      </c>
      <c r="H34" s="23">
        <v>7.2350000000000003</v>
      </c>
    </row>
    <row r="35" spans="1:8" x14ac:dyDescent="0.2">
      <c r="A35" s="29">
        <v>8</v>
      </c>
      <c r="B35" s="30" t="s">
        <v>125</v>
      </c>
      <c r="C35" s="30" t="s">
        <v>126</v>
      </c>
      <c r="D35" s="30" t="s">
        <v>23</v>
      </c>
      <c r="E35" s="31">
        <v>500</v>
      </c>
      <c r="F35" s="32">
        <v>507.3415</v>
      </c>
      <c r="G35" s="33">
        <v>2.4217450000000001E-2</v>
      </c>
      <c r="H35" s="23">
        <v>6.86</v>
      </c>
    </row>
    <row r="36" spans="1:8" ht="25.5" x14ac:dyDescent="0.2">
      <c r="A36" s="29">
        <v>9</v>
      </c>
      <c r="B36" s="30" t="s">
        <v>139</v>
      </c>
      <c r="C36" s="30" t="s">
        <v>140</v>
      </c>
      <c r="D36" s="30" t="s">
        <v>34</v>
      </c>
      <c r="E36" s="31">
        <v>500</v>
      </c>
      <c r="F36" s="32">
        <v>506.65499999999997</v>
      </c>
      <c r="G36" s="33">
        <v>2.418468E-2</v>
      </c>
      <c r="H36" s="23">
        <v>7.02</v>
      </c>
    </row>
    <row r="37" spans="1:8" x14ac:dyDescent="0.2">
      <c r="A37" s="29">
        <v>10</v>
      </c>
      <c r="B37" s="30" t="s">
        <v>232</v>
      </c>
      <c r="C37" s="30" t="s">
        <v>233</v>
      </c>
      <c r="D37" s="30" t="s">
        <v>234</v>
      </c>
      <c r="E37" s="31">
        <v>500</v>
      </c>
      <c r="F37" s="32">
        <v>504.02499999999998</v>
      </c>
      <c r="G37" s="33">
        <v>2.405914E-2</v>
      </c>
      <c r="H37" s="23">
        <v>8.3699999999999992</v>
      </c>
    </row>
    <row r="38" spans="1:8" x14ac:dyDescent="0.2">
      <c r="A38" s="29">
        <v>11</v>
      </c>
      <c r="B38" s="30" t="s">
        <v>250</v>
      </c>
      <c r="C38" s="30" t="s">
        <v>251</v>
      </c>
      <c r="D38" s="30" t="s">
        <v>34</v>
      </c>
      <c r="E38" s="31">
        <v>500</v>
      </c>
      <c r="F38" s="32">
        <v>503.79149999999998</v>
      </c>
      <c r="G38" s="33">
        <v>2.4047990000000002E-2</v>
      </c>
      <c r="H38" s="23">
        <v>7.6083999999999996</v>
      </c>
    </row>
    <row r="39" spans="1:8" x14ac:dyDescent="0.2">
      <c r="A39" s="29">
        <v>12</v>
      </c>
      <c r="B39" s="30" t="s">
        <v>241</v>
      </c>
      <c r="C39" s="30" t="s">
        <v>242</v>
      </c>
      <c r="D39" s="30" t="s">
        <v>23</v>
      </c>
      <c r="E39" s="31">
        <v>500</v>
      </c>
      <c r="F39" s="32">
        <v>503.6515</v>
      </c>
      <c r="G39" s="33">
        <v>2.404131E-2</v>
      </c>
      <c r="H39" s="23">
        <v>6.95</v>
      </c>
    </row>
    <row r="40" spans="1:8" x14ac:dyDescent="0.2">
      <c r="A40" s="29">
        <v>13</v>
      </c>
      <c r="B40" s="30" t="s">
        <v>235</v>
      </c>
      <c r="C40" s="30" t="s">
        <v>236</v>
      </c>
      <c r="D40" s="30" t="s">
        <v>23</v>
      </c>
      <c r="E40" s="31">
        <v>500</v>
      </c>
      <c r="F40" s="32">
        <v>503.20549999999997</v>
      </c>
      <c r="G40" s="33">
        <v>2.402002E-2</v>
      </c>
      <c r="H40" s="23">
        <v>6.95</v>
      </c>
    </row>
    <row r="41" spans="1:8" x14ac:dyDescent="0.2">
      <c r="A41" s="29">
        <v>14</v>
      </c>
      <c r="B41" s="30" t="s">
        <v>427</v>
      </c>
      <c r="C41" s="30" t="s">
        <v>428</v>
      </c>
      <c r="D41" s="30" t="s">
        <v>23</v>
      </c>
      <c r="E41" s="31">
        <v>500</v>
      </c>
      <c r="F41" s="32">
        <v>503.08499999999998</v>
      </c>
      <c r="G41" s="33">
        <v>2.4014270000000001E-2</v>
      </c>
      <c r="H41" s="23">
        <v>6.95</v>
      </c>
    </row>
    <row r="42" spans="1:8" x14ac:dyDescent="0.2">
      <c r="A42" s="29">
        <v>15</v>
      </c>
      <c r="B42" s="30" t="s">
        <v>259</v>
      </c>
      <c r="C42" s="30" t="s">
        <v>260</v>
      </c>
      <c r="D42" s="30" t="s">
        <v>234</v>
      </c>
      <c r="E42" s="31">
        <v>500</v>
      </c>
      <c r="F42" s="32">
        <v>502.96249999999998</v>
      </c>
      <c r="G42" s="33">
        <v>2.4008419999999999E-2</v>
      </c>
      <c r="H42" s="23">
        <v>8.3800000000000008</v>
      </c>
    </row>
    <row r="43" spans="1:8" x14ac:dyDescent="0.2">
      <c r="A43" s="29">
        <v>16</v>
      </c>
      <c r="B43" s="30" t="s">
        <v>64</v>
      </c>
      <c r="C43" s="30" t="s">
        <v>65</v>
      </c>
      <c r="D43" s="30" t="s">
        <v>23</v>
      </c>
      <c r="E43" s="31">
        <v>500</v>
      </c>
      <c r="F43" s="32">
        <v>502.45949999999999</v>
      </c>
      <c r="G43" s="33">
        <v>2.3984410000000001E-2</v>
      </c>
      <c r="H43" s="23">
        <v>6.9960000000000004</v>
      </c>
    </row>
    <row r="44" spans="1:8" x14ac:dyDescent="0.2">
      <c r="A44" s="29">
        <v>17</v>
      </c>
      <c r="B44" s="30" t="s">
        <v>429</v>
      </c>
      <c r="C44" s="30" t="s">
        <v>430</v>
      </c>
      <c r="D44" s="30" t="s">
        <v>23</v>
      </c>
      <c r="E44" s="31">
        <v>50</v>
      </c>
      <c r="F44" s="32">
        <v>500.64100000000002</v>
      </c>
      <c r="G44" s="33">
        <v>2.389761E-2</v>
      </c>
      <c r="H44" s="23">
        <v>6.99</v>
      </c>
    </row>
    <row r="45" spans="1:8" x14ac:dyDescent="0.2">
      <c r="A45" s="29">
        <v>18</v>
      </c>
      <c r="B45" s="30" t="s">
        <v>66</v>
      </c>
      <c r="C45" s="30" t="s">
        <v>67</v>
      </c>
      <c r="D45" s="30" t="s">
        <v>23</v>
      </c>
      <c r="E45" s="31">
        <v>500</v>
      </c>
      <c r="F45" s="32">
        <v>500.47899999999998</v>
      </c>
      <c r="G45" s="33">
        <v>2.3889870000000001E-2</v>
      </c>
      <c r="H45" s="23">
        <v>7.04</v>
      </c>
    </row>
    <row r="46" spans="1:8" x14ac:dyDescent="0.2">
      <c r="A46" s="29">
        <v>19</v>
      </c>
      <c r="B46" s="30" t="s">
        <v>431</v>
      </c>
      <c r="C46" s="30" t="s">
        <v>432</v>
      </c>
      <c r="D46" s="30" t="s">
        <v>23</v>
      </c>
      <c r="E46" s="31">
        <v>50</v>
      </c>
      <c r="F46" s="32">
        <v>493.34399999999999</v>
      </c>
      <c r="G46" s="33">
        <v>2.3549290000000001E-2</v>
      </c>
      <c r="H46" s="23">
        <v>7.1749999999999998</v>
      </c>
    </row>
    <row r="47" spans="1:8" x14ac:dyDescent="0.2">
      <c r="A47" s="29">
        <v>20</v>
      </c>
      <c r="B47" s="30" t="s">
        <v>229</v>
      </c>
      <c r="C47" s="30" t="s">
        <v>230</v>
      </c>
      <c r="D47" s="30" t="s">
        <v>231</v>
      </c>
      <c r="E47" s="31">
        <v>300</v>
      </c>
      <c r="F47" s="32">
        <v>302.87430000000001</v>
      </c>
      <c r="G47" s="33">
        <v>1.445741E-2</v>
      </c>
      <c r="H47" s="23">
        <v>7.5366999999999997</v>
      </c>
    </row>
    <row r="48" spans="1:8" x14ac:dyDescent="0.2">
      <c r="A48" s="21"/>
      <c r="B48" s="21"/>
      <c r="C48" s="22" t="s">
        <v>11</v>
      </c>
      <c r="D48" s="21"/>
      <c r="E48" s="21" t="s">
        <v>12</v>
      </c>
      <c r="F48" s="28">
        <v>12522.2706</v>
      </c>
      <c r="G48" s="25">
        <v>0.59773827999999996</v>
      </c>
      <c r="H48" s="23" t="s">
        <v>12</v>
      </c>
    </row>
    <row r="49" spans="1:8" x14ac:dyDescent="0.2">
      <c r="A49" s="21"/>
      <c r="B49" s="21"/>
      <c r="C49" s="26"/>
      <c r="D49" s="21"/>
      <c r="E49" s="21"/>
      <c r="F49" s="27"/>
      <c r="G49" s="27"/>
      <c r="H49" s="23" t="s">
        <v>12</v>
      </c>
    </row>
    <row r="50" spans="1:8" x14ac:dyDescent="0.2">
      <c r="A50" s="21"/>
      <c r="B50" s="21"/>
      <c r="C50" s="22" t="s">
        <v>74</v>
      </c>
      <c r="D50" s="21"/>
      <c r="E50" s="21"/>
      <c r="F50" s="21"/>
      <c r="G50" s="21"/>
      <c r="H50" s="23" t="s">
        <v>12</v>
      </c>
    </row>
    <row r="51" spans="1:8" x14ac:dyDescent="0.2">
      <c r="A51" s="21"/>
      <c r="B51" s="21"/>
      <c r="C51" s="22" t="s">
        <v>11</v>
      </c>
      <c r="D51" s="21"/>
      <c r="E51" s="21" t="s">
        <v>12</v>
      </c>
      <c r="F51" s="24" t="s">
        <v>13</v>
      </c>
      <c r="G51" s="25">
        <v>0</v>
      </c>
      <c r="H51" s="23" t="s">
        <v>12</v>
      </c>
    </row>
    <row r="52" spans="1:8" x14ac:dyDescent="0.2">
      <c r="A52" s="21"/>
      <c r="B52" s="21"/>
      <c r="C52" s="26"/>
      <c r="D52" s="21"/>
      <c r="E52" s="21"/>
      <c r="F52" s="27"/>
      <c r="G52" s="27"/>
      <c r="H52" s="23" t="s">
        <v>12</v>
      </c>
    </row>
    <row r="53" spans="1:8" x14ac:dyDescent="0.2">
      <c r="A53" s="21"/>
      <c r="B53" s="21"/>
      <c r="C53" s="22" t="s">
        <v>75</v>
      </c>
      <c r="D53" s="21"/>
      <c r="E53" s="21"/>
      <c r="F53" s="21"/>
      <c r="G53" s="21"/>
      <c r="H53" s="23" t="s">
        <v>12</v>
      </c>
    </row>
    <row r="54" spans="1:8" x14ac:dyDescent="0.2">
      <c r="A54" s="29">
        <v>1</v>
      </c>
      <c r="B54" s="30" t="s">
        <v>76</v>
      </c>
      <c r="C54" s="30" t="s">
        <v>77</v>
      </c>
      <c r="D54" s="30" t="s">
        <v>78</v>
      </c>
      <c r="E54" s="31">
        <v>2500000</v>
      </c>
      <c r="F54" s="32">
        <v>2610.5675000000001</v>
      </c>
      <c r="G54" s="33">
        <v>0.12461287</v>
      </c>
      <c r="H54" s="23">
        <v>6.5484999999999998</v>
      </c>
    </row>
    <row r="55" spans="1:8" x14ac:dyDescent="0.2">
      <c r="A55" s="29">
        <v>2</v>
      </c>
      <c r="B55" s="30" t="s">
        <v>89</v>
      </c>
      <c r="C55" s="30" t="s">
        <v>90</v>
      </c>
      <c r="D55" s="30" t="s">
        <v>78</v>
      </c>
      <c r="E55" s="31">
        <v>1500000</v>
      </c>
      <c r="F55" s="32">
        <v>1558.4984999999999</v>
      </c>
      <c r="G55" s="33">
        <v>7.4393390000000004E-2</v>
      </c>
      <c r="H55" s="23">
        <v>6.2122999999999999</v>
      </c>
    </row>
    <row r="56" spans="1:8" x14ac:dyDescent="0.2">
      <c r="A56" s="29">
        <v>3</v>
      </c>
      <c r="B56" s="30" t="s">
        <v>265</v>
      </c>
      <c r="C56" s="30" t="s">
        <v>266</v>
      </c>
      <c r="D56" s="30" t="s">
        <v>78</v>
      </c>
      <c r="E56" s="31">
        <v>700000</v>
      </c>
      <c r="F56" s="32">
        <v>717.5</v>
      </c>
      <c r="G56" s="33">
        <v>3.4249160000000001E-2</v>
      </c>
      <c r="H56" s="23">
        <v>6.2218999999999998</v>
      </c>
    </row>
    <row r="57" spans="1:8" x14ac:dyDescent="0.2">
      <c r="A57" s="29">
        <v>4</v>
      </c>
      <c r="B57" s="30" t="s">
        <v>87</v>
      </c>
      <c r="C57" s="30" t="s">
        <v>88</v>
      </c>
      <c r="D57" s="30" t="s">
        <v>78</v>
      </c>
      <c r="E57" s="31">
        <v>500000</v>
      </c>
      <c r="F57" s="32">
        <v>526.83699999999999</v>
      </c>
      <c r="G57" s="33">
        <v>2.5148050000000002E-2</v>
      </c>
      <c r="H57" s="23">
        <v>6.6412000000000004</v>
      </c>
    </row>
    <row r="58" spans="1:8" x14ac:dyDescent="0.2">
      <c r="A58" s="29">
        <v>5</v>
      </c>
      <c r="B58" s="30" t="s">
        <v>79</v>
      </c>
      <c r="C58" s="30" t="s">
        <v>80</v>
      </c>
      <c r="D58" s="30" t="s">
        <v>78</v>
      </c>
      <c r="E58" s="31">
        <v>500000</v>
      </c>
      <c r="F58" s="32">
        <v>524.43949999999995</v>
      </c>
      <c r="G58" s="33">
        <v>2.50336E-2</v>
      </c>
      <c r="H58" s="23">
        <v>6.3621999999999996</v>
      </c>
    </row>
    <row r="59" spans="1:8" x14ac:dyDescent="0.2">
      <c r="A59" s="29">
        <v>6</v>
      </c>
      <c r="B59" s="30" t="s">
        <v>433</v>
      </c>
      <c r="C59" s="30" t="s">
        <v>434</v>
      </c>
      <c r="D59" s="30" t="s">
        <v>78</v>
      </c>
      <c r="E59" s="31">
        <v>500000</v>
      </c>
      <c r="F59" s="32">
        <v>522.92349999999999</v>
      </c>
      <c r="G59" s="33">
        <v>2.4961239999999999E-2</v>
      </c>
      <c r="H59" s="23">
        <v>6.8616000000000001</v>
      </c>
    </row>
    <row r="60" spans="1:8" x14ac:dyDescent="0.2">
      <c r="A60" s="21"/>
      <c r="B60" s="21"/>
      <c r="C60" s="22" t="s">
        <v>11</v>
      </c>
      <c r="D60" s="21"/>
      <c r="E60" s="21" t="s">
        <v>12</v>
      </c>
      <c r="F60" s="28">
        <v>6460.7659999999996</v>
      </c>
      <c r="G60" s="25">
        <v>0.30839831000000001</v>
      </c>
      <c r="H60" s="23" t="s">
        <v>12</v>
      </c>
    </row>
    <row r="61" spans="1:8" x14ac:dyDescent="0.2">
      <c r="A61" s="21"/>
      <c r="B61" s="21"/>
      <c r="C61" s="26"/>
      <c r="D61" s="21"/>
      <c r="E61" s="21"/>
      <c r="F61" s="27"/>
      <c r="G61" s="27"/>
      <c r="H61" s="23" t="s">
        <v>12</v>
      </c>
    </row>
    <row r="62" spans="1:8" x14ac:dyDescent="0.2">
      <c r="A62" s="21"/>
      <c r="B62" s="21"/>
      <c r="C62" s="22" t="s">
        <v>91</v>
      </c>
      <c r="D62" s="21"/>
      <c r="E62" s="21"/>
      <c r="F62" s="27"/>
      <c r="G62" s="27"/>
      <c r="H62" s="23" t="s">
        <v>12</v>
      </c>
    </row>
    <row r="63" spans="1:8" x14ac:dyDescent="0.2">
      <c r="A63" s="21"/>
      <c r="B63" s="21"/>
      <c r="C63" s="22" t="s">
        <v>11</v>
      </c>
      <c r="D63" s="21"/>
      <c r="E63" s="21" t="s">
        <v>12</v>
      </c>
      <c r="F63" s="24" t="s">
        <v>13</v>
      </c>
      <c r="G63" s="25">
        <v>0</v>
      </c>
      <c r="H63" s="23" t="s">
        <v>12</v>
      </c>
    </row>
    <row r="64" spans="1:8" x14ac:dyDescent="0.2">
      <c r="A64" s="21"/>
      <c r="B64" s="21"/>
      <c r="C64" s="26"/>
      <c r="D64" s="21"/>
      <c r="E64" s="21"/>
      <c r="F64" s="27"/>
      <c r="G64" s="27"/>
      <c r="H64" s="23" t="s">
        <v>12</v>
      </c>
    </row>
    <row r="65" spans="1:8" x14ac:dyDescent="0.2">
      <c r="A65" s="21"/>
      <c r="B65" s="21"/>
      <c r="C65" s="22" t="s">
        <v>92</v>
      </c>
      <c r="D65" s="21"/>
      <c r="E65" s="21"/>
      <c r="F65" s="28">
        <v>18983.036599999999</v>
      </c>
      <c r="G65" s="25">
        <v>0.90613659000000002</v>
      </c>
      <c r="H65" s="23" t="s">
        <v>12</v>
      </c>
    </row>
    <row r="66" spans="1:8" x14ac:dyDescent="0.2">
      <c r="A66" s="21"/>
      <c r="B66" s="21"/>
      <c r="C66" s="26"/>
      <c r="D66" s="21"/>
      <c r="E66" s="21"/>
      <c r="F66" s="27"/>
      <c r="G66" s="27"/>
      <c r="H66" s="23" t="s">
        <v>12</v>
      </c>
    </row>
    <row r="67" spans="1:8" x14ac:dyDescent="0.2">
      <c r="A67" s="21"/>
      <c r="B67" s="21"/>
      <c r="C67" s="22" t="s">
        <v>93</v>
      </c>
      <c r="D67" s="21"/>
      <c r="E67" s="21"/>
      <c r="F67" s="27"/>
      <c r="G67" s="27"/>
      <c r="H67" s="23" t="s">
        <v>12</v>
      </c>
    </row>
    <row r="68" spans="1:8" x14ac:dyDescent="0.2">
      <c r="A68" s="21"/>
      <c r="B68" s="21"/>
      <c r="C68" s="22" t="s">
        <v>94</v>
      </c>
      <c r="D68" s="21"/>
      <c r="E68" s="21"/>
      <c r="F68" s="27"/>
      <c r="G68" s="27"/>
      <c r="H68" s="23" t="s">
        <v>12</v>
      </c>
    </row>
    <row r="69" spans="1:8" x14ac:dyDescent="0.2">
      <c r="A69" s="21"/>
      <c r="B69" s="21"/>
      <c r="C69" s="22" t="s">
        <v>11</v>
      </c>
      <c r="D69" s="21"/>
      <c r="E69" s="21" t="s">
        <v>12</v>
      </c>
      <c r="F69" s="24" t="s">
        <v>13</v>
      </c>
      <c r="G69" s="25">
        <v>0</v>
      </c>
      <c r="H69" s="23" t="s">
        <v>12</v>
      </c>
    </row>
    <row r="70" spans="1:8" x14ac:dyDescent="0.2">
      <c r="A70" s="21"/>
      <c r="B70" s="21"/>
      <c r="C70" s="26"/>
      <c r="D70" s="21"/>
      <c r="E70" s="21"/>
      <c r="F70" s="27"/>
      <c r="G70" s="27"/>
      <c r="H70" s="23" t="s">
        <v>12</v>
      </c>
    </row>
    <row r="71" spans="1:8" x14ac:dyDescent="0.2">
      <c r="A71" s="21"/>
      <c r="B71" s="21"/>
      <c r="C71" s="22" t="s">
        <v>95</v>
      </c>
      <c r="D71" s="21"/>
      <c r="E71" s="21"/>
      <c r="F71" s="27"/>
      <c r="G71" s="27"/>
      <c r="H71" s="23" t="s">
        <v>12</v>
      </c>
    </row>
    <row r="72" spans="1:8" x14ac:dyDescent="0.2">
      <c r="A72" s="21"/>
      <c r="B72" s="21"/>
      <c r="C72" s="22" t="s">
        <v>11</v>
      </c>
      <c r="D72" s="21"/>
      <c r="E72" s="21" t="s">
        <v>12</v>
      </c>
      <c r="F72" s="24" t="s">
        <v>13</v>
      </c>
      <c r="G72" s="25">
        <v>0</v>
      </c>
      <c r="H72" s="23" t="s">
        <v>12</v>
      </c>
    </row>
    <row r="73" spans="1:8" x14ac:dyDescent="0.2">
      <c r="A73" s="21"/>
      <c r="B73" s="21"/>
      <c r="C73" s="26"/>
      <c r="D73" s="21"/>
      <c r="E73" s="21"/>
      <c r="F73" s="27"/>
      <c r="G73" s="27"/>
      <c r="H73" s="23" t="s">
        <v>12</v>
      </c>
    </row>
    <row r="74" spans="1:8" x14ac:dyDescent="0.2">
      <c r="A74" s="21"/>
      <c r="B74" s="21"/>
      <c r="C74" s="22" t="s">
        <v>96</v>
      </c>
      <c r="D74" s="21"/>
      <c r="E74" s="21"/>
      <c r="F74" s="27"/>
      <c r="G74" s="27"/>
      <c r="H74" s="23" t="s">
        <v>12</v>
      </c>
    </row>
    <row r="75" spans="1:8" x14ac:dyDescent="0.2">
      <c r="A75" s="21"/>
      <c r="B75" s="21"/>
      <c r="C75" s="22" t="s">
        <v>11</v>
      </c>
      <c r="D75" s="21"/>
      <c r="E75" s="21" t="s">
        <v>12</v>
      </c>
      <c r="F75" s="24" t="s">
        <v>13</v>
      </c>
      <c r="G75" s="25">
        <v>0</v>
      </c>
      <c r="H75" s="23" t="s">
        <v>12</v>
      </c>
    </row>
    <row r="76" spans="1:8" x14ac:dyDescent="0.2">
      <c r="A76" s="21"/>
      <c r="B76" s="21"/>
      <c r="C76" s="26"/>
      <c r="D76" s="21"/>
      <c r="E76" s="21"/>
      <c r="F76" s="27"/>
      <c r="G76" s="27"/>
      <c r="H76" s="23" t="s">
        <v>12</v>
      </c>
    </row>
    <row r="77" spans="1:8" x14ac:dyDescent="0.2">
      <c r="A77" s="21"/>
      <c r="B77" s="21"/>
      <c r="C77" s="22" t="s">
        <v>97</v>
      </c>
      <c r="D77" s="21"/>
      <c r="E77" s="21"/>
      <c r="F77" s="27"/>
      <c r="G77" s="27"/>
      <c r="H77" s="23" t="s">
        <v>12</v>
      </c>
    </row>
    <row r="78" spans="1:8" x14ac:dyDescent="0.2">
      <c r="A78" s="29">
        <v>1</v>
      </c>
      <c r="B78" s="30"/>
      <c r="C78" s="30" t="s">
        <v>98</v>
      </c>
      <c r="D78" s="30"/>
      <c r="E78" s="34"/>
      <c r="F78" s="32">
        <v>1426.0763370069999</v>
      </c>
      <c r="G78" s="33">
        <v>6.8072350000000004E-2</v>
      </c>
      <c r="H78" s="23">
        <v>5.73</v>
      </c>
    </row>
    <row r="79" spans="1:8" x14ac:dyDescent="0.2">
      <c r="A79" s="21"/>
      <c r="B79" s="21"/>
      <c r="C79" s="22" t="s">
        <v>11</v>
      </c>
      <c r="D79" s="21"/>
      <c r="E79" s="21" t="s">
        <v>12</v>
      </c>
      <c r="F79" s="28">
        <v>1426.0763370069999</v>
      </c>
      <c r="G79" s="25">
        <v>6.8072350000000004E-2</v>
      </c>
      <c r="H79" s="23" t="s">
        <v>12</v>
      </c>
    </row>
    <row r="80" spans="1:8" x14ac:dyDescent="0.2">
      <c r="A80" s="21"/>
      <c r="B80" s="21"/>
      <c r="C80" s="26"/>
      <c r="D80" s="21"/>
      <c r="E80" s="21"/>
      <c r="F80" s="27"/>
      <c r="G80" s="27"/>
      <c r="H80" s="23" t="s">
        <v>12</v>
      </c>
    </row>
    <row r="81" spans="1:17" x14ac:dyDescent="0.2">
      <c r="A81" s="21"/>
      <c r="B81" s="21"/>
      <c r="C81" s="22" t="s">
        <v>99</v>
      </c>
      <c r="D81" s="21"/>
      <c r="E81" s="21"/>
      <c r="F81" s="28">
        <v>1426.0763370069999</v>
      </c>
      <c r="G81" s="25">
        <v>6.8072350000000004E-2</v>
      </c>
      <c r="H81" s="23" t="s">
        <v>12</v>
      </c>
    </row>
    <row r="82" spans="1:17" x14ac:dyDescent="0.2">
      <c r="A82" s="21"/>
      <c r="B82" s="21"/>
      <c r="C82" s="27"/>
      <c r="D82" s="21"/>
      <c r="E82" s="21"/>
      <c r="F82" s="21"/>
      <c r="G82" s="21"/>
      <c r="H82" s="23" t="s">
        <v>12</v>
      </c>
    </row>
    <row r="83" spans="1:17" x14ac:dyDescent="0.2">
      <c r="A83" s="21"/>
      <c r="B83" s="21"/>
      <c r="C83" s="22" t="s">
        <v>100</v>
      </c>
      <c r="D83" s="21"/>
      <c r="E83" s="21"/>
      <c r="F83" s="21"/>
      <c r="G83" s="21"/>
      <c r="H83" s="23" t="s">
        <v>12</v>
      </c>
    </row>
    <row r="84" spans="1:17" x14ac:dyDescent="0.2">
      <c r="A84" s="21"/>
      <c r="B84" s="21"/>
      <c r="C84" s="22" t="s">
        <v>101</v>
      </c>
      <c r="D84" s="21"/>
      <c r="E84" s="21"/>
      <c r="F84" s="21"/>
      <c r="G84" s="21"/>
      <c r="H84" s="23" t="s">
        <v>12</v>
      </c>
    </row>
    <row r="85" spans="1:17" x14ac:dyDescent="0.2">
      <c r="A85" s="21"/>
      <c r="B85" s="21"/>
      <c r="C85" s="22" t="s">
        <v>11</v>
      </c>
      <c r="D85" s="21"/>
      <c r="E85" s="21" t="s">
        <v>12</v>
      </c>
      <c r="F85" s="28">
        <f>SUM(F84)</f>
        <v>0</v>
      </c>
      <c r="G85" s="25">
        <f>SUM(G84)</f>
        <v>0</v>
      </c>
      <c r="H85" s="23" t="s">
        <v>12</v>
      </c>
    </row>
    <row r="86" spans="1:17" x14ac:dyDescent="0.2">
      <c r="A86" s="21"/>
      <c r="B86" s="21"/>
      <c r="C86" s="26"/>
      <c r="D86" s="21"/>
      <c r="E86" s="21"/>
      <c r="F86" s="27"/>
      <c r="G86" s="27"/>
      <c r="H86" s="77" t="s">
        <v>12</v>
      </c>
    </row>
    <row r="87" spans="1:17" x14ac:dyDescent="0.2">
      <c r="A87" s="21"/>
      <c r="B87" s="21"/>
      <c r="C87" s="22" t="s">
        <v>566</v>
      </c>
      <c r="D87" s="21"/>
      <c r="E87" s="21"/>
      <c r="F87" s="27"/>
      <c r="G87" s="27"/>
      <c r="H87" s="32"/>
      <c r="K87" s="56"/>
      <c r="L87" s="56"/>
      <c r="M87" s="56"/>
      <c r="N87" s="56"/>
      <c r="O87" s="79"/>
      <c r="P87" s="79"/>
      <c r="Q87" s="79"/>
    </row>
    <row r="88" spans="1:17" x14ac:dyDescent="0.2">
      <c r="A88" s="29">
        <v>1</v>
      </c>
      <c r="B88" s="30" t="s">
        <v>102</v>
      </c>
      <c r="C88" s="30" t="s">
        <v>103</v>
      </c>
      <c r="D88" s="30"/>
      <c r="E88" s="80">
        <v>543.85400000000004</v>
      </c>
      <c r="F88" s="32">
        <v>60.296614388000002</v>
      </c>
      <c r="G88" s="33">
        <v>2.8782E-3</v>
      </c>
      <c r="H88" s="77"/>
    </row>
    <row r="89" spans="1:17" x14ac:dyDescent="0.2">
      <c r="A89" s="21"/>
      <c r="B89" s="21"/>
      <c r="C89" s="22" t="s">
        <v>11</v>
      </c>
      <c r="D89" s="21"/>
      <c r="E89" s="21" t="s">
        <v>12</v>
      </c>
      <c r="F89" s="28">
        <f>SUM(F88)</f>
        <v>60.296614388000002</v>
      </c>
      <c r="G89" s="25">
        <f>SUM(G88)</f>
        <v>2.8782E-3</v>
      </c>
      <c r="H89" s="77" t="s">
        <v>12</v>
      </c>
    </row>
    <row r="90" spans="1:17" x14ac:dyDescent="0.2">
      <c r="A90" s="21"/>
      <c r="B90" s="21"/>
      <c r="C90" s="26"/>
      <c r="D90" s="21"/>
      <c r="E90" s="21"/>
      <c r="F90" s="27"/>
      <c r="G90" s="27"/>
      <c r="H90" s="23" t="s">
        <v>12</v>
      </c>
    </row>
    <row r="91" spans="1:17" x14ac:dyDescent="0.2">
      <c r="A91" s="21"/>
      <c r="B91" s="21"/>
      <c r="C91" s="22" t="s">
        <v>104</v>
      </c>
      <c r="D91" s="21"/>
      <c r="E91" s="21"/>
      <c r="F91" s="21"/>
      <c r="G91" s="21"/>
      <c r="H91" s="23" t="s">
        <v>12</v>
      </c>
    </row>
    <row r="92" spans="1:17" x14ac:dyDescent="0.2">
      <c r="A92" s="21"/>
      <c r="B92" s="21"/>
      <c r="C92" s="22" t="s">
        <v>105</v>
      </c>
      <c r="D92" s="21"/>
      <c r="E92" s="21"/>
      <c r="F92" s="21"/>
      <c r="G92" s="21"/>
      <c r="H92" s="23" t="s">
        <v>12</v>
      </c>
    </row>
    <row r="93" spans="1:17" x14ac:dyDescent="0.2">
      <c r="A93" s="21"/>
      <c r="B93" s="21"/>
      <c r="C93" s="22" t="s">
        <v>11</v>
      </c>
      <c r="D93" s="21"/>
      <c r="E93" s="21" t="s">
        <v>12</v>
      </c>
      <c r="F93" s="24" t="s">
        <v>13</v>
      </c>
      <c r="G93" s="25">
        <v>0</v>
      </c>
      <c r="H93" s="23" t="s">
        <v>12</v>
      </c>
    </row>
    <row r="94" spans="1:17" x14ac:dyDescent="0.2">
      <c r="A94" s="21"/>
      <c r="B94" s="21"/>
      <c r="C94" s="26"/>
      <c r="D94" s="21"/>
      <c r="E94" s="21"/>
      <c r="F94" s="27"/>
      <c r="G94" s="27"/>
      <c r="H94" s="23" t="s">
        <v>12</v>
      </c>
    </row>
    <row r="95" spans="1:17" x14ac:dyDescent="0.2">
      <c r="A95" s="21"/>
      <c r="B95" s="21"/>
      <c r="C95" s="22" t="s">
        <v>106</v>
      </c>
      <c r="D95" s="21"/>
      <c r="E95" s="21"/>
      <c r="F95" s="27"/>
      <c r="G95" s="27"/>
      <c r="H95" s="23" t="s">
        <v>12</v>
      </c>
    </row>
    <row r="96" spans="1:17" x14ac:dyDescent="0.2">
      <c r="A96" s="21"/>
      <c r="B96" s="21"/>
      <c r="C96" s="22" t="s">
        <v>11</v>
      </c>
      <c r="D96" s="21"/>
      <c r="E96" s="21" t="s">
        <v>12</v>
      </c>
      <c r="F96" s="24" t="s">
        <v>13</v>
      </c>
      <c r="G96" s="25">
        <v>0</v>
      </c>
      <c r="H96" s="23" t="s">
        <v>12</v>
      </c>
    </row>
    <row r="97" spans="1:8" x14ac:dyDescent="0.2">
      <c r="A97" s="21"/>
      <c r="B97" s="21"/>
      <c r="C97" s="26"/>
      <c r="D97" s="21"/>
      <c r="E97" s="21"/>
      <c r="F97" s="27"/>
      <c r="G97" s="27"/>
      <c r="H97" s="23" t="s">
        <v>12</v>
      </c>
    </row>
    <row r="98" spans="1:8" x14ac:dyDescent="0.2">
      <c r="A98" s="34"/>
      <c r="B98" s="30"/>
      <c r="C98" s="30" t="s">
        <v>107</v>
      </c>
      <c r="D98" s="30"/>
      <c r="E98" s="34"/>
      <c r="F98" s="32">
        <f>480.01140428+0.0000509449982643127</f>
        <v>480.01145522499826</v>
      </c>
      <c r="G98" s="33">
        <v>2.2912869999999998E-2</v>
      </c>
      <c r="H98" s="23" t="s">
        <v>12</v>
      </c>
    </row>
    <row r="99" spans="1:8" x14ac:dyDescent="0.2">
      <c r="A99" s="26"/>
      <c r="B99" s="26"/>
      <c r="C99" s="22" t="s">
        <v>108</v>
      </c>
      <c r="D99" s="27"/>
      <c r="E99" s="27"/>
      <c r="F99" s="28">
        <f>20949.420955675+0.0000509449982643127</f>
        <v>20949.421006619996</v>
      </c>
      <c r="G99" s="35">
        <v>1.0000000099999999</v>
      </c>
      <c r="H99" s="23" t="s">
        <v>12</v>
      </c>
    </row>
    <row r="100" spans="1:8" x14ac:dyDescent="0.2">
      <c r="A100" s="36"/>
      <c r="B100" s="36"/>
      <c r="C100" s="36"/>
      <c r="D100" s="37"/>
      <c r="E100" s="37"/>
      <c r="F100" s="37"/>
      <c r="G100" s="37"/>
    </row>
    <row r="101" spans="1:8" x14ac:dyDescent="0.2">
      <c r="A101" s="38"/>
      <c r="B101" s="39" t="s">
        <v>567</v>
      </c>
      <c r="C101" s="39"/>
      <c r="D101" s="39"/>
      <c r="E101" s="39"/>
      <c r="F101" s="39"/>
      <c r="G101" s="39"/>
      <c r="H101" s="39"/>
    </row>
    <row r="102" spans="1:8" x14ac:dyDescent="0.2">
      <c r="A102" s="38"/>
      <c r="B102" s="39" t="s">
        <v>568</v>
      </c>
      <c r="C102" s="39"/>
      <c r="D102" s="39"/>
      <c r="E102" s="39"/>
      <c r="F102" s="39"/>
      <c r="G102" s="39"/>
      <c r="H102" s="39"/>
    </row>
    <row r="103" spans="1:8" x14ac:dyDescent="0.2">
      <c r="A103" s="38"/>
      <c r="B103" s="39" t="s">
        <v>569</v>
      </c>
      <c r="C103" s="39"/>
      <c r="D103" s="39"/>
      <c r="E103" s="39"/>
      <c r="F103" s="39"/>
      <c r="G103" s="39"/>
      <c r="H103" s="39"/>
    </row>
    <row r="104" spans="1:8" x14ac:dyDescent="0.2">
      <c r="A104" s="38"/>
      <c r="B104" s="38"/>
      <c r="C104" s="38"/>
      <c r="D104" s="40"/>
      <c r="E104" s="40"/>
      <c r="F104" s="40"/>
      <c r="G104" s="40"/>
    </row>
    <row r="105" spans="1:8" x14ac:dyDescent="0.2">
      <c r="A105" s="38"/>
      <c r="B105" s="41" t="s">
        <v>109</v>
      </c>
      <c r="C105" s="42"/>
      <c r="D105" s="43"/>
      <c r="E105" s="44"/>
      <c r="F105" s="40"/>
      <c r="G105" s="40"/>
    </row>
    <row r="106" spans="1:8" x14ac:dyDescent="0.2">
      <c r="A106" s="38"/>
      <c r="B106" s="45" t="s">
        <v>110</v>
      </c>
      <c r="C106" s="46"/>
      <c r="D106" s="22" t="s">
        <v>111</v>
      </c>
      <c r="E106" s="44"/>
      <c r="F106" s="40"/>
      <c r="G106" s="40"/>
    </row>
    <row r="107" spans="1:8" x14ac:dyDescent="0.2">
      <c r="A107" s="38"/>
      <c r="B107" s="45" t="s">
        <v>112</v>
      </c>
      <c r="C107" s="46"/>
      <c r="D107" s="22" t="s">
        <v>111</v>
      </c>
      <c r="E107" s="44"/>
      <c r="F107" s="40"/>
      <c r="G107" s="40"/>
    </row>
    <row r="108" spans="1:8" x14ac:dyDescent="0.2">
      <c r="A108" s="38"/>
      <c r="B108" s="45" t="s">
        <v>113</v>
      </c>
      <c r="C108" s="46"/>
      <c r="D108" s="27" t="s">
        <v>12</v>
      </c>
      <c r="E108" s="44"/>
      <c r="F108" s="40"/>
      <c r="G108" s="40"/>
    </row>
    <row r="109" spans="1:8" x14ac:dyDescent="0.2">
      <c r="A109" s="47"/>
      <c r="B109" s="48" t="s">
        <v>12</v>
      </c>
      <c r="C109" s="48" t="s">
        <v>570</v>
      </c>
      <c r="D109" s="48" t="s">
        <v>114</v>
      </c>
      <c r="E109" s="47"/>
      <c r="F109" s="47"/>
      <c r="G109" s="47"/>
    </row>
    <row r="110" spans="1:8" x14ac:dyDescent="0.2">
      <c r="A110" s="47"/>
      <c r="B110" s="49" t="s">
        <v>115</v>
      </c>
      <c r="C110" s="50">
        <v>45747</v>
      </c>
      <c r="D110" s="50">
        <v>45762</v>
      </c>
      <c r="E110" s="47"/>
      <c r="F110" s="47"/>
      <c r="G110" s="47"/>
    </row>
    <row r="111" spans="1:8" x14ac:dyDescent="0.2">
      <c r="A111" s="47"/>
      <c r="B111" s="30" t="s">
        <v>116</v>
      </c>
      <c r="C111" s="51">
        <v>46.823500000000003</v>
      </c>
      <c r="D111" s="51">
        <v>47.238100000000003</v>
      </c>
      <c r="E111" s="47"/>
      <c r="F111" s="52"/>
      <c r="G111" s="53"/>
    </row>
    <row r="112" spans="1:8" ht="25.5" x14ac:dyDescent="0.2">
      <c r="A112" s="47"/>
      <c r="B112" s="30" t="s">
        <v>695</v>
      </c>
      <c r="C112" s="51">
        <v>12.9755</v>
      </c>
      <c r="D112" s="51">
        <v>13.090400000000001</v>
      </c>
      <c r="E112" s="47"/>
      <c r="F112" s="52"/>
      <c r="G112" s="53"/>
    </row>
    <row r="113" spans="1:17" ht="25.5" x14ac:dyDescent="0.2">
      <c r="A113" s="47"/>
      <c r="B113" s="30" t="s">
        <v>696</v>
      </c>
      <c r="C113" s="51">
        <v>14.982799999999999</v>
      </c>
      <c r="D113" s="51">
        <v>15.115500000000001</v>
      </c>
      <c r="E113" s="47"/>
      <c r="F113" s="52"/>
      <c r="G113" s="53"/>
    </row>
    <row r="114" spans="1:17" ht="25.5" x14ac:dyDescent="0.2">
      <c r="A114" s="47"/>
      <c r="B114" s="30" t="s">
        <v>697</v>
      </c>
      <c r="C114" s="51">
        <v>14.4398</v>
      </c>
      <c r="D114" s="51">
        <v>14.5677</v>
      </c>
      <c r="E114" s="47"/>
      <c r="F114" s="52"/>
      <c r="G114" s="53"/>
    </row>
    <row r="115" spans="1:17" ht="25.5" x14ac:dyDescent="0.2">
      <c r="A115" s="47"/>
      <c r="B115" s="30" t="s">
        <v>698</v>
      </c>
      <c r="C115" s="51">
        <v>14.9617</v>
      </c>
      <c r="D115" s="51">
        <v>15.094200000000001</v>
      </c>
      <c r="E115" s="47"/>
      <c r="F115" s="52"/>
      <c r="G115" s="53"/>
    </row>
    <row r="116" spans="1:17" x14ac:dyDescent="0.2">
      <c r="A116" s="47"/>
      <c r="B116" s="30" t="s">
        <v>117</v>
      </c>
      <c r="C116" s="51">
        <v>43.3294</v>
      </c>
      <c r="D116" s="51">
        <v>43.700099999999999</v>
      </c>
      <c r="E116" s="47"/>
      <c r="F116" s="52"/>
      <c r="G116" s="53"/>
    </row>
    <row r="117" spans="1:17" x14ac:dyDescent="0.2">
      <c r="A117" s="47"/>
      <c r="B117" s="30" t="s">
        <v>155</v>
      </c>
      <c r="C117" s="51">
        <v>15.6517</v>
      </c>
      <c r="D117" s="51">
        <v>15.785600000000001</v>
      </c>
      <c r="E117" s="47"/>
      <c r="F117" s="52"/>
      <c r="G117" s="53"/>
    </row>
    <row r="118" spans="1:17" ht="25.5" x14ac:dyDescent="0.2">
      <c r="A118" s="47"/>
      <c r="B118" s="30" t="s">
        <v>699</v>
      </c>
      <c r="C118" s="51">
        <v>12.928000000000001</v>
      </c>
      <c r="D118" s="51">
        <v>13.038600000000001</v>
      </c>
      <c r="E118" s="47"/>
      <c r="F118" s="52"/>
      <c r="G118" s="53"/>
    </row>
    <row r="119" spans="1:17" ht="25.5" x14ac:dyDescent="0.2">
      <c r="A119" s="47"/>
      <c r="B119" s="30" t="s">
        <v>665</v>
      </c>
      <c r="C119" s="51">
        <v>14.651899999999999</v>
      </c>
      <c r="D119" s="51">
        <v>14.7773</v>
      </c>
      <c r="E119" s="47"/>
      <c r="F119" s="52"/>
      <c r="G119" s="53"/>
    </row>
    <row r="120" spans="1:17" ht="25.5" x14ac:dyDescent="0.2">
      <c r="A120" s="47"/>
      <c r="B120" s="30" t="s">
        <v>700</v>
      </c>
      <c r="C120" s="51">
        <v>14.1206</v>
      </c>
      <c r="D120" s="51">
        <v>14.241400000000001</v>
      </c>
      <c r="E120" s="47"/>
      <c r="F120" s="52"/>
      <c r="G120" s="53"/>
    </row>
    <row r="121" spans="1:17" ht="25.5" x14ac:dyDescent="0.2">
      <c r="A121" s="47"/>
      <c r="B121" s="30" t="s">
        <v>701</v>
      </c>
      <c r="C121" s="51">
        <v>14.6295</v>
      </c>
      <c r="D121" s="51">
        <v>14.7547</v>
      </c>
      <c r="E121" s="47"/>
      <c r="F121" s="52"/>
      <c r="G121" s="53"/>
    </row>
    <row r="122" spans="1:17" x14ac:dyDescent="0.2">
      <c r="A122" s="47"/>
      <c r="B122" s="47"/>
      <c r="C122" s="47"/>
      <c r="D122" s="47"/>
      <c r="E122" s="47"/>
      <c r="F122" s="47"/>
      <c r="G122" s="47"/>
    </row>
    <row r="123" spans="1:17" x14ac:dyDescent="0.2">
      <c r="A123" s="47"/>
      <c r="B123" s="45" t="s">
        <v>702</v>
      </c>
      <c r="C123" s="46"/>
      <c r="D123" s="22" t="s">
        <v>111</v>
      </c>
      <c r="E123" s="47"/>
      <c r="F123" s="47"/>
      <c r="G123" s="47"/>
    </row>
    <row r="124" spans="1:17" x14ac:dyDescent="0.2">
      <c r="A124" s="47"/>
      <c r="B124" s="54"/>
      <c r="C124" s="54"/>
      <c r="D124" s="54"/>
      <c r="E124" s="47"/>
      <c r="F124" s="47"/>
      <c r="G124" s="47"/>
    </row>
    <row r="125" spans="1:17" s="60" customFormat="1" x14ac:dyDescent="0.2">
      <c r="A125" s="53"/>
      <c r="B125" s="45" t="s">
        <v>583</v>
      </c>
      <c r="C125" s="46"/>
      <c r="D125" s="22" t="s">
        <v>111</v>
      </c>
      <c r="E125" s="53"/>
      <c r="F125" s="53"/>
      <c r="G125" s="53"/>
      <c r="I125" s="17"/>
      <c r="J125" s="20"/>
      <c r="K125" s="17"/>
      <c r="L125" s="56"/>
      <c r="M125" s="56"/>
      <c r="N125" s="56"/>
      <c r="O125" s="61"/>
      <c r="P125" s="17"/>
      <c r="Q125" s="17"/>
    </row>
    <row r="126" spans="1:17" x14ac:dyDescent="0.2">
      <c r="A126" s="47"/>
      <c r="B126" s="45" t="s">
        <v>584</v>
      </c>
      <c r="C126" s="46"/>
      <c r="D126" s="22" t="s">
        <v>111</v>
      </c>
      <c r="E126" s="55"/>
      <c r="F126" s="47"/>
      <c r="G126" s="47"/>
      <c r="J126" s="20"/>
    </row>
    <row r="127" spans="1:17" x14ac:dyDescent="0.2">
      <c r="A127" s="47"/>
      <c r="B127" s="45" t="s">
        <v>585</v>
      </c>
      <c r="C127" s="46"/>
      <c r="D127" s="22" t="s">
        <v>111</v>
      </c>
      <c r="E127" s="55"/>
      <c r="F127" s="47"/>
      <c r="G127" s="47"/>
      <c r="J127" s="20"/>
    </row>
    <row r="128" spans="1:17" x14ac:dyDescent="0.2">
      <c r="A128" s="47"/>
      <c r="B128" s="45" t="s">
        <v>586</v>
      </c>
      <c r="C128" s="46"/>
      <c r="D128" s="22" t="s">
        <v>111</v>
      </c>
      <c r="E128" s="55"/>
      <c r="F128" s="47"/>
      <c r="G128" s="47"/>
      <c r="J128" s="20"/>
    </row>
    <row r="129" spans="1:19" x14ac:dyDescent="0.2">
      <c r="A129" s="54"/>
      <c r="B129" s="54"/>
      <c r="C129" s="54"/>
      <c r="D129" s="54"/>
      <c r="E129" s="54"/>
      <c r="F129" s="54"/>
      <c r="G129" s="54"/>
      <c r="J129" s="20"/>
    </row>
    <row r="130" spans="1:19" s="60" customFormat="1" x14ac:dyDescent="0.2">
      <c r="B130" s="57" t="s">
        <v>572</v>
      </c>
      <c r="C130" s="58"/>
      <c r="D130" s="59"/>
      <c r="I130" s="17"/>
      <c r="J130" s="20"/>
      <c r="K130" s="17"/>
      <c r="L130" s="56"/>
      <c r="M130" s="56"/>
      <c r="N130" s="56"/>
      <c r="O130" s="61"/>
      <c r="R130" s="17"/>
      <c r="S130" s="17"/>
    </row>
    <row r="131" spans="1:19" s="60" customFormat="1" ht="51" x14ac:dyDescent="0.2">
      <c r="B131" s="62" t="s">
        <v>573</v>
      </c>
      <c r="C131" s="62"/>
      <c r="D131" s="63" t="s">
        <v>422</v>
      </c>
      <c r="I131" s="17"/>
      <c r="J131" s="20"/>
      <c r="K131" s="17"/>
      <c r="L131" s="56"/>
      <c r="M131" s="56"/>
      <c r="N131" s="56"/>
      <c r="O131" s="61"/>
      <c r="R131" s="17"/>
      <c r="S131" s="17"/>
    </row>
    <row r="132" spans="1:19" s="60" customFormat="1" x14ac:dyDescent="0.2">
      <c r="B132" s="64" t="s">
        <v>574</v>
      </c>
      <c r="C132" s="64"/>
      <c r="D132" s="65"/>
      <c r="I132" s="17"/>
      <c r="J132" s="20"/>
      <c r="K132" s="17"/>
      <c r="L132" s="56"/>
      <c r="M132" s="56"/>
      <c r="N132" s="56"/>
      <c r="O132" s="61"/>
      <c r="R132" s="17"/>
      <c r="S132" s="17"/>
    </row>
    <row r="133" spans="1:19" s="60" customFormat="1" x14ac:dyDescent="0.2">
      <c r="B133" s="64"/>
      <c r="C133" s="64"/>
      <c r="D133" s="66"/>
      <c r="I133" s="17"/>
      <c r="J133" s="20"/>
      <c r="K133" s="17"/>
      <c r="L133" s="56"/>
      <c r="M133" s="56"/>
      <c r="N133" s="56"/>
      <c r="O133" s="61"/>
      <c r="R133" s="17"/>
      <c r="S133" s="17"/>
    </row>
    <row r="134" spans="1:19" s="60" customFormat="1" x14ac:dyDescent="0.2">
      <c r="B134" s="64" t="s">
        <v>575</v>
      </c>
      <c r="C134" s="64"/>
      <c r="D134" s="67">
        <v>6.9286829547412649</v>
      </c>
      <c r="I134" s="17"/>
      <c r="J134" s="20"/>
      <c r="K134" s="17"/>
      <c r="L134" s="56"/>
      <c r="M134" s="56"/>
      <c r="N134" s="56"/>
      <c r="O134" s="61"/>
    </row>
    <row r="135" spans="1:19" s="60" customFormat="1" x14ac:dyDescent="0.2">
      <c r="B135" s="64"/>
      <c r="C135" s="64"/>
      <c r="D135" s="66"/>
      <c r="I135" s="17"/>
      <c r="J135" s="20"/>
      <c r="K135" s="17"/>
      <c r="L135" s="56"/>
      <c r="M135" s="56"/>
      <c r="N135" s="56"/>
      <c r="O135" s="61"/>
    </row>
    <row r="136" spans="1:19" s="60" customFormat="1" x14ac:dyDescent="0.2">
      <c r="B136" s="64" t="s">
        <v>576</v>
      </c>
      <c r="C136" s="64"/>
      <c r="D136" s="67">
        <v>2.8452517382754667</v>
      </c>
      <c r="I136" s="17"/>
      <c r="J136" s="20"/>
      <c r="K136" s="17"/>
      <c r="L136" s="56"/>
      <c r="M136" s="56"/>
      <c r="N136" s="56"/>
      <c r="O136" s="61"/>
    </row>
    <row r="137" spans="1:19" s="60" customFormat="1" x14ac:dyDescent="0.2">
      <c r="B137" s="64" t="s">
        <v>590</v>
      </c>
      <c r="C137" s="64"/>
      <c r="D137" s="67">
        <v>3.4542963952297678</v>
      </c>
      <c r="I137" s="17"/>
      <c r="J137" s="20"/>
      <c r="K137" s="17"/>
      <c r="L137" s="56"/>
      <c r="M137" s="56"/>
      <c r="N137" s="56"/>
      <c r="O137" s="61"/>
    </row>
    <row r="138" spans="1:19" s="60" customFormat="1" x14ac:dyDescent="0.2">
      <c r="B138" s="64"/>
      <c r="C138" s="64"/>
      <c r="D138" s="66"/>
      <c r="I138" s="17"/>
      <c r="J138" s="20"/>
      <c r="K138" s="17"/>
      <c r="L138" s="56"/>
      <c r="M138" s="56"/>
      <c r="N138" s="56"/>
      <c r="O138" s="61"/>
    </row>
    <row r="139" spans="1:19" s="60" customFormat="1" x14ac:dyDescent="0.2">
      <c r="B139" s="64" t="s">
        <v>578</v>
      </c>
      <c r="C139" s="64"/>
      <c r="D139" s="69" t="s">
        <v>690</v>
      </c>
      <c r="I139" s="17"/>
      <c r="J139" s="20"/>
      <c r="K139" s="56"/>
      <c r="L139" s="56"/>
      <c r="M139" s="56"/>
      <c r="N139" s="56"/>
      <c r="O139" s="61"/>
    </row>
    <row r="140" spans="1:19" s="60" customFormat="1" x14ac:dyDescent="0.2">
      <c r="B140" s="70" t="s">
        <v>579</v>
      </c>
      <c r="C140" s="71"/>
      <c r="D140" s="72"/>
      <c r="I140" s="17"/>
      <c r="J140" s="20"/>
      <c r="K140" s="17"/>
      <c r="L140" s="56"/>
      <c r="M140" s="56"/>
      <c r="N140" s="56"/>
      <c r="O140" s="61"/>
    </row>
    <row r="141" spans="1:19" x14ac:dyDescent="0.2">
      <c r="J141" s="20"/>
    </row>
    <row r="142" spans="1:19" ht="13.5" x14ac:dyDescent="0.2">
      <c r="B142" s="183" t="s">
        <v>691</v>
      </c>
      <c r="C142" s="183"/>
      <c r="D142" s="183"/>
      <c r="E142" s="183"/>
      <c r="F142" s="183"/>
      <c r="G142" s="183"/>
      <c r="H142" s="183"/>
    </row>
    <row r="143" spans="1:19" ht="13.5" x14ac:dyDescent="0.2">
      <c r="B143" s="184"/>
      <c r="C143" s="184"/>
      <c r="D143" s="184"/>
      <c r="E143" s="184"/>
      <c r="F143" s="184"/>
      <c r="G143" s="184"/>
      <c r="H143" s="184"/>
      <c r="J143" s="56"/>
      <c r="K143" s="56"/>
      <c r="L143" s="56"/>
      <c r="M143" s="56"/>
      <c r="N143" s="56"/>
      <c r="O143" s="56"/>
    </row>
    <row r="144" spans="1:19" ht="13.5" x14ac:dyDescent="0.25">
      <c r="B144" s="185" t="s">
        <v>591</v>
      </c>
      <c r="C144" s="185" t="s">
        <v>592</v>
      </c>
      <c r="D144" s="186" t="s">
        <v>593</v>
      </c>
      <c r="E144" s="187"/>
      <c r="F144" s="188"/>
      <c r="G144" s="189" t="s">
        <v>594</v>
      </c>
      <c r="H144" s="190"/>
      <c r="J144" s="56"/>
      <c r="K144" s="56"/>
      <c r="L144" s="56"/>
      <c r="M144" s="56"/>
      <c r="N144" s="56"/>
      <c r="O144" s="56"/>
    </row>
    <row r="145" spans="2:15" ht="13.5" x14ac:dyDescent="0.25">
      <c r="B145" s="90" t="s">
        <v>599</v>
      </c>
      <c r="C145" s="88" t="s">
        <v>629</v>
      </c>
      <c r="D145" s="191">
        <v>0</v>
      </c>
      <c r="E145" s="192"/>
      <c r="F145" s="193"/>
      <c r="G145" s="191">
        <v>0</v>
      </c>
      <c r="H145" s="193"/>
      <c r="J145" s="56"/>
      <c r="K145" s="56"/>
      <c r="L145" s="56"/>
      <c r="M145" s="56"/>
      <c r="N145" s="56"/>
      <c r="O145" s="56"/>
    </row>
    <row r="146" spans="2:15" ht="13.5" x14ac:dyDescent="0.25">
      <c r="B146" s="90" t="s">
        <v>595</v>
      </c>
      <c r="C146" s="88" t="s">
        <v>630</v>
      </c>
      <c r="D146" s="191">
        <v>0</v>
      </c>
      <c r="E146" s="192"/>
      <c r="F146" s="193"/>
      <c r="G146" s="191">
        <v>0</v>
      </c>
      <c r="H146" s="193"/>
      <c r="J146" s="56"/>
      <c r="K146" s="56"/>
      <c r="L146" s="56"/>
      <c r="M146" s="56"/>
      <c r="N146" s="56"/>
      <c r="O146" s="56"/>
    </row>
    <row r="147" spans="2:15" ht="13.5" x14ac:dyDescent="0.25">
      <c r="B147" s="90" t="s">
        <v>631</v>
      </c>
      <c r="C147" s="88" t="s">
        <v>632</v>
      </c>
      <c r="D147" s="191">
        <v>0</v>
      </c>
      <c r="E147" s="192"/>
      <c r="F147" s="193"/>
      <c r="G147" s="191">
        <v>0</v>
      </c>
      <c r="H147" s="193"/>
      <c r="J147" s="56"/>
      <c r="K147" s="56"/>
      <c r="L147" s="56"/>
      <c r="M147" s="56"/>
      <c r="N147" s="56"/>
      <c r="O147" s="56"/>
    </row>
    <row r="148" spans="2:15" ht="13.5" x14ac:dyDescent="0.25">
      <c r="B148" s="90" t="s">
        <v>597</v>
      </c>
      <c r="C148" s="88" t="s">
        <v>633</v>
      </c>
      <c r="D148" s="89">
        <v>0</v>
      </c>
      <c r="E148" s="89"/>
      <c r="F148" s="89"/>
      <c r="G148" s="89">
        <v>0</v>
      </c>
      <c r="H148" s="89"/>
      <c r="J148" s="56"/>
      <c r="K148" s="56"/>
      <c r="L148" s="56"/>
      <c r="M148" s="56"/>
      <c r="N148" s="56"/>
      <c r="O148" s="56"/>
    </row>
    <row r="149" spans="2:15" ht="13.5" x14ac:dyDescent="0.25">
      <c r="B149" s="169"/>
      <c r="C149" s="169"/>
      <c r="D149" s="194"/>
      <c r="E149" s="194"/>
      <c r="F149" s="194"/>
      <c r="G149" s="194"/>
      <c r="H149" s="194"/>
      <c r="J149" s="56"/>
      <c r="K149" s="56"/>
      <c r="L149" s="56"/>
      <c r="M149" s="56"/>
      <c r="N149" s="56"/>
      <c r="O149" s="56"/>
    </row>
    <row r="150" spans="2:15" ht="13.5" x14ac:dyDescent="0.25">
      <c r="B150" s="195" t="s">
        <v>601</v>
      </c>
      <c r="C150" s="195"/>
      <c r="D150" s="195"/>
      <c r="E150" s="195"/>
      <c r="F150" s="195"/>
      <c r="G150" s="195"/>
      <c r="H150" s="195"/>
      <c r="J150" s="56"/>
      <c r="K150" s="56"/>
      <c r="L150" s="56"/>
      <c r="M150" s="56"/>
      <c r="N150" s="56"/>
      <c r="O150" s="56"/>
    </row>
    <row r="151" spans="2:15" ht="13.5" x14ac:dyDescent="0.2">
      <c r="B151" s="85" t="s">
        <v>591</v>
      </c>
      <c r="C151" s="85" t="s">
        <v>592</v>
      </c>
      <c r="D151" s="85" t="s">
        <v>634</v>
      </c>
      <c r="E151" s="85"/>
      <c r="F151" s="85"/>
      <c r="G151" s="85"/>
      <c r="H151" s="84" t="s">
        <v>635</v>
      </c>
      <c r="I151" s="84" t="s">
        <v>636</v>
      </c>
      <c r="J151" s="84" t="s">
        <v>637</v>
      </c>
      <c r="K151" s="56"/>
      <c r="L151" s="56"/>
      <c r="M151" s="56"/>
      <c r="N151" s="56"/>
      <c r="O151" s="56"/>
    </row>
    <row r="152" spans="2:15" ht="121.5" x14ac:dyDescent="0.2">
      <c r="B152" s="85"/>
      <c r="C152" s="85"/>
      <c r="D152" s="93" t="s">
        <v>638</v>
      </c>
      <c r="E152" s="93" t="s">
        <v>639</v>
      </c>
      <c r="F152" s="93" t="s">
        <v>640</v>
      </c>
      <c r="G152" s="93" t="s">
        <v>641</v>
      </c>
      <c r="H152" s="84"/>
      <c r="I152" s="84"/>
      <c r="J152" s="84"/>
      <c r="K152" s="56"/>
      <c r="L152" s="56"/>
      <c r="M152" s="56"/>
      <c r="N152" s="56"/>
      <c r="O152" s="56"/>
    </row>
    <row r="153" spans="2:15" ht="13.5" x14ac:dyDescent="0.25">
      <c r="B153" s="90" t="s">
        <v>599</v>
      </c>
      <c r="C153" s="88" t="s">
        <v>629</v>
      </c>
      <c r="D153" s="94">
        <v>3000</v>
      </c>
      <c r="E153" s="94">
        <v>198.60410960000002</v>
      </c>
      <c r="F153" s="196">
        <v>72.152053199999997</v>
      </c>
      <c r="G153" s="197">
        <v>3270.7561627999999</v>
      </c>
      <c r="H153" s="8">
        <v>1452.6372699999999</v>
      </c>
      <c r="I153" s="8">
        <f>2499839/10^5</f>
        <v>24.998390000000001</v>
      </c>
      <c r="J153" s="8">
        <f>H153+I153</f>
        <v>1477.6356599999999</v>
      </c>
      <c r="K153" s="56"/>
      <c r="L153" s="56"/>
      <c r="M153" s="56"/>
      <c r="N153" s="56"/>
      <c r="O153" s="56"/>
    </row>
    <row r="154" spans="2:15" ht="13.5" x14ac:dyDescent="0.25">
      <c r="B154" s="90" t="s">
        <v>595</v>
      </c>
      <c r="C154" s="88" t="s">
        <v>630</v>
      </c>
      <c r="D154" s="94">
        <v>500</v>
      </c>
      <c r="E154" s="94">
        <v>33.283561599999999</v>
      </c>
      <c r="F154" s="196">
        <v>12.091777499999999</v>
      </c>
      <c r="G154" s="197">
        <f>D154+E154+F154</f>
        <v>545.37533910000002</v>
      </c>
      <c r="H154" s="8">
        <v>242.22076999999999</v>
      </c>
      <c r="I154" s="8">
        <f>416840/10^5</f>
        <v>4.1684000000000001</v>
      </c>
      <c r="J154" s="8">
        <f>H154+I154</f>
        <v>246.38916999999998</v>
      </c>
      <c r="K154" s="56"/>
      <c r="L154" s="56"/>
      <c r="M154" s="56"/>
      <c r="N154" s="56"/>
      <c r="O154" s="56"/>
    </row>
    <row r="155" spans="2:15" ht="13.5" x14ac:dyDescent="0.25">
      <c r="B155" s="90" t="s">
        <v>631</v>
      </c>
      <c r="C155" s="88" t="s">
        <v>642</v>
      </c>
      <c r="D155" s="94">
        <v>2000</v>
      </c>
      <c r="E155" s="94">
        <v>39.762295099999996</v>
      </c>
      <c r="F155" s="196">
        <v>64.029485721917808</v>
      </c>
      <c r="G155" s="197">
        <v>2103.7917808219199</v>
      </c>
      <c r="H155" s="8">
        <v>933.64715000000001</v>
      </c>
      <c r="I155" s="8">
        <f>1606686/10^5</f>
        <v>16.066859999999998</v>
      </c>
      <c r="J155" s="8">
        <f>H155+I155</f>
        <v>949.71401000000003</v>
      </c>
      <c r="K155" s="56"/>
      <c r="L155" s="56"/>
      <c r="M155" s="56"/>
      <c r="N155" s="56"/>
      <c r="O155" s="56"/>
    </row>
    <row r="156" spans="2:15" ht="13.5" x14ac:dyDescent="0.25">
      <c r="B156" s="90" t="s">
        <v>597</v>
      </c>
      <c r="C156" s="88" t="s">
        <v>633</v>
      </c>
      <c r="D156" s="94">
        <v>1882.78</v>
      </c>
      <c r="E156" s="94">
        <v>137.066384</v>
      </c>
      <c r="F156" s="196">
        <v>34.266601500000007</v>
      </c>
      <c r="G156" s="197">
        <v>2054.1129854999999</v>
      </c>
      <c r="H156" s="8">
        <v>916.65184999999997</v>
      </c>
      <c r="I156" s="8">
        <f>1577458/10^5</f>
        <v>15.77458</v>
      </c>
      <c r="J156" s="8">
        <f>H156+I156</f>
        <v>932.42642999999998</v>
      </c>
      <c r="K156" s="56"/>
      <c r="L156" s="56"/>
      <c r="M156" s="56"/>
      <c r="N156" s="56"/>
      <c r="O156" s="56"/>
    </row>
    <row r="157" spans="2:15" ht="13.5" x14ac:dyDescent="0.25">
      <c r="B157" s="169"/>
      <c r="C157" s="170"/>
      <c r="D157" s="198"/>
      <c r="E157" s="198"/>
      <c r="F157" s="11"/>
      <c r="G157" s="172"/>
      <c r="H157" s="9"/>
      <c r="J157" s="20"/>
      <c r="K157" s="56"/>
      <c r="L157" s="56"/>
      <c r="M157" s="56"/>
      <c r="N157" s="56"/>
      <c r="O157" s="56"/>
    </row>
    <row r="158" spans="2:15" ht="51" customHeight="1" x14ac:dyDescent="0.2">
      <c r="B158" s="173" t="s">
        <v>643</v>
      </c>
      <c r="C158" s="173"/>
      <c r="D158" s="173"/>
      <c r="E158" s="173"/>
      <c r="F158" s="173"/>
      <c r="G158" s="173"/>
      <c r="H158" s="173"/>
      <c r="I158" s="173"/>
      <c r="J158" s="20"/>
      <c r="K158" s="56"/>
      <c r="L158" s="56"/>
      <c r="M158" s="56"/>
      <c r="N158" s="56"/>
      <c r="O158" s="56"/>
    </row>
    <row r="159" spans="2:15" x14ac:dyDescent="0.2">
      <c r="B159" s="56"/>
      <c r="C159" s="56"/>
      <c r="D159" s="56"/>
      <c r="E159" s="56"/>
      <c r="F159" s="56"/>
      <c r="G159" s="56"/>
      <c r="H159" s="56"/>
      <c r="J159" s="20"/>
      <c r="K159" s="56"/>
      <c r="L159" s="56"/>
      <c r="M159" s="56"/>
      <c r="N159" s="56"/>
      <c r="O159" s="56"/>
    </row>
    <row r="160" spans="2:15" ht="13.5" x14ac:dyDescent="0.25">
      <c r="B160" s="97" t="s">
        <v>621</v>
      </c>
      <c r="C160" s="56"/>
      <c r="D160" s="56"/>
      <c r="E160" s="56"/>
      <c r="F160" s="56"/>
      <c r="G160" s="56"/>
      <c r="H160" s="56"/>
      <c r="J160" s="20"/>
      <c r="K160" s="56"/>
      <c r="L160" s="56"/>
      <c r="M160" s="56"/>
      <c r="N160" s="56"/>
      <c r="O160" s="56"/>
    </row>
    <row r="161" spans="2:15" x14ac:dyDescent="0.2">
      <c r="B161" s="56"/>
      <c r="C161" s="56"/>
      <c r="D161" s="56"/>
      <c r="E161" s="56"/>
      <c r="F161" s="56"/>
      <c r="G161" s="56"/>
      <c r="H161" s="56"/>
      <c r="I161" s="56"/>
      <c r="J161" s="20"/>
      <c r="K161" s="56"/>
      <c r="L161" s="56"/>
      <c r="M161" s="56"/>
      <c r="N161" s="56"/>
      <c r="O161" s="56"/>
    </row>
    <row r="162" spans="2:15" x14ac:dyDescent="0.2">
      <c r="B162" s="98" t="s">
        <v>622</v>
      </c>
      <c r="C162" s="56"/>
      <c r="D162" s="56"/>
      <c r="E162" s="56"/>
      <c r="F162" s="56"/>
      <c r="G162" s="56"/>
      <c r="H162" s="56"/>
      <c r="I162" s="56"/>
      <c r="J162" s="20"/>
      <c r="K162" s="56"/>
      <c r="L162" s="56"/>
      <c r="M162" s="56"/>
      <c r="N162" s="56"/>
      <c r="O162" s="56"/>
    </row>
    <row r="163" spans="2:15" x14ac:dyDescent="0.2">
      <c r="B163" s="56"/>
      <c r="C163" s="56"/>
      <c r="D163" s="56"/>
      <c r="E163" s="56"/>
      <c r="F163" s="56"/>
      <c r="G163" s="56"/>
      <c r="H163" s="56"/>
      <c r="I163" s="56"/>
      <c r="J163" s="20"/>
      <c r="K163" s="56"/>
      <c r="L163" s="56"/>
      <c r="M163" s="56"/>
      <c r="N163" s="56"/>
      <c r="O163" s="56"/>
    </row>
    <row r="164" spans="2:15" x14ac:dyDescent="0.2">
      <c r="B164" s="98" t="s">
        <v>623</v>
      </c>
      <c r="C164" s="56"/>
      <c r="D164" s="56"/>
      <c r="E164" s="56"/>
      <c r="F164" s="56"/>
      <c r="G164" s="56"/>
      <c r="H164" s="56"/>
      <c r="I164" s="56"/>
      <c r="J164" s="20"/>
      <c r="K164" s="56"/>
      <c r="L164" s="56"/>
      <c r="M164" s="56"/>
      <c r="N164" s="56"/>
      <c r="O164" s="56"/>
    </row>
    <row r="165" spans="2:15" x14ac:dyDescent="0.2">
      <c r="I165" s="56"/>
      <c r="J165" s="20"/>
      <c r="K165" s="56"/>
      <c r="L165" s="56"/>
      <c r="M165" s="56"/>
      <c r="N165" s="56"/>
      <c r="O165" s="56"/>
    </row>
    <row r="166" spans="2:15" x14ac:dyDescent="0.2">
      <c r="B166" s="98" t="s">
        <v>624</v>
      </c>
      <c r="J166" s="20"/>
      <c r="K166" s="56"/>
      <c r="L166" s="56"/>
      <c r="M166" s="56"/>
      <c r="N166" s="56"/>
      <c r="O166" s="56"/>
    </row>
    <row r="167" spans="2:15" x14ac:dyDescent="0.2">
      <c r="I167" s="56"/>
      <c r="J167" s="20"/>
      <c r="K167" s="56"/>
      <c r="L167" s="56"/>
      <c r="M167" s="56"/>
      <c r="N167" s="56"/>
      <c r="O167" s="56"/>
    </row>
    <row r="168" spans="2:15" ht="25.5" x14ac:dyDescent="0.2">
      <c r="B168" s="74" t="s">
        <v>580</v>
      </c>
    </row>
    <row r="170" spans="2:15" ht="153.75" customHeight="1" x14ac:dyDescent="0.2"/>
    <row r="173" spans="2:15" x14ac:dyDescent="0.2">
      <c r="B173" s="75" t="s">
        <v>581</v>
      </c>
      <c r="C173" s="76"/>
      <c r="D173" s="75"/>
    </row>
    <row r="174" spans="2:15" x14ac:dyDescent="0.2">
      <c r="B174" s="75" t="s">
        <v>644</v>
      </c>
      <c r="D174" s="75"/>
    </row>
    <row r="175" spans="2:15" ht="165" customHeight="1" x14ac:dyDescent="0.2"/>
    <row r="177" spans="10:10" x14ac:dyDescent="0.2">
      <c r="J177" s="20"/>
    </row>
  </sheetData>
  <mergeCells count="47">
    <mergeCell ref="B103:H103"/>
    <mergeCell ref="B128:C128"/>
    <mergeCell ref="B131:C131"/>
    <mergeCell ref="B105:D105"/>
    <mergeCell ref="B106:C106"/>
    <mergeCell ref="B107:C107"/>
    <mergeCell ref="B108:C108"/>
    <mergeCell ref="B123:C123"/>
    <mergeCell ref="B127:C127"/>
    <mergeCell ref="B125:C125"/>
    <mergeCell ref="B126:C126"/>
    <mergeCell ref="B130:D130"/>
    <mergeCell ref="A1:H1"/>
    <mergeCell ref="A2:H2"/>
    <mergeCell ref="A3:H3"/>
    <mergeCell ref="B101:H101"/>
    <mergeCell ref="B102:H102"/>
    <mergeCell ref="B132:C132"/>
    <mergeCell ref="B133:C133"/>
    <mergeCell ref="B134:C134"/>
    <mergeCell ref="B135:C135"/>
    <mergeCell ref="B136:C136"/>
    <mergeCell ref="B137:C137"/>
    <mergeCell ref="B138:C138"/>
    <mergeCell ref="B139:C139"/>
    <mergeCell ref="B140:D140"/>
    <mergeCell ref="B142:H142"/>
    <mergeCell ref="D144:F144"/>
    <mergeCell ref="G144:H144"/>
    <mergeCell ref="D145:F145"/>
    <mergeCell ref="G145:H145"/>
    <mergeCell ref="D146:F146"/>
    <mergeCell ref="G146:H146"/>
    <mergeCell ref="D147:F147"/>
    <mergeCell ref="G147:H147"/>
    <mergeCell ref="D148:F148"/>
    <mergeCell ref="G148:H148"/>
    <mergeCell ref="D149:F149"/>
    <mergeCell ref="G149:H149"/>
    <mergeCell ref="I151:I152"/>
    <mergeCell ref="J151:J152"/>
    <mergeCell ref="B158:I158"/>
    <mergeCell ref="B150:H150"/>
    <mergeCell ref="B151:B152"/>
    <mergeCell ref="C151:C152"/>
    <mergeCell ref="D151:G151"/>
    <mergeCell ref="H151:H152"/>
  </mergeCells>
  <hyperlinks>
    <hyperlink ref="I1" location="Index!B2" display="Index" xr:uid="{31BE20D1-1CF8-4D18-A672-91284F72A467}"/>
    <hyperlink ref="B162" r:id="rId1" xr:uid="{F9DBD914-1C9F-4141-8199-B7121A58717F}"/>
    <hyperlink ref="B164" r:id="rId2" xr:uid="{0B6772BE-7681-4221-82B3-5276993DD258}"/>
    <hyperlink ref="B166" r:id="rId3" xr:uid="{BD8C7418-6A83-491C-A876-AEEF76B6E47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71AF-D9A8-432E-B974-2A5AF983E6DD}">
  <sheetPr>
    <outlinePr summaryBelow="0" summaryRight="0"/>
  </sheetPr>
  <dimension ref="A1:Q215"/>
  <sheetViews>
    <sheetView showGridLines="0" workbookViewId="0">
      <selection sqref="A1:H1"/>
    </sheetView>
  </sheetViews>
  <sheetFormatPr defaultRowHeight="12.75" x14ac:dyDescent="0.2"/>
  <cols>
    <col min="1" max="1" width="5.85546875" style="17" bestFit="1" customWidth="1"/>
    <col min="2" max="2" width="21.28515625" style="17" customWidth="1"/>
    <col min="3" max="3" width="40.140625" style="17" customWidth="1"/>
    <col min="4" max="4" width="16.7109375" style="17" bestFit="1" customWidth="1"/>
    <col min="5" max="5" width="9.42578125" style="17" bestFit="1" customWidth="1"/>
    <col min="6" max="6" width="10.140625" style="17" bestFit="1" customWidth="1"/>
    <col min="7" max="7" width="14" style="17" bestFit="1" customWidth="1"/>
    <col min="8" max="8" width="10.5703125" style="17" customWidth="1"/>
    <col min="9" max="9" width="8" style="17" customWidth="1"/>
    <col min="10" max="16384" width="9.140625" style="17"/>
  </cols>
  <sheetData>
    <row r="1" spans="1:9" ht="15" x14ac:dyDescent="0.2">
      <c r="A1" s="16" t="s">
        <v>0</v>
      </c>
      <c r="B1" s="16"/>
      <c r="C1" s="16"/>
      <c r="D1" s="16"/>
      <c r="E1" s="16"/>
      <c r="F1" s="16"/>
      <c r="G1" s="16"/>
      <c r="H1" s="16"/>
      <c r="I1" s="7" t="s">
        <v>565</v>
      </c>
    </row>
    <row r="2" spans="1:9" ht="15" x14ac:dyDescent="0.2">
      <c r="A2" s="16" t="s">
        <v>435</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704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9">
        <v>1</v>
      </c>
      <c r="B28" s="30" t="s">
        <v>237</v>
      </c>
      <c r="C28" s="30" t="s">
        <v>238</v>
      </c>
      <c r="D28" s="30" t="s">
        <v>234</v>
      </c>
      <c r="E28" s="31">
        <v>7000</v>
      </c>
      <c r="F28" s="32">
        <v>7042.5110000000004</v>
      </c>
      <c r="G28" s="33">
        <v>2.9481139999999999E-2</v>
      </c>
      <c r="H28" s="23">
        <v>7.65</v>
      </c>
    </row>
    <row r="29" spans="1:8" x14ac:dyDescent="0.2">
      <c r="A29" s="29">
        <v>2</v>
      </c>
      <c r="B29" s="30" t="s">
        <v>235</v>
      </c>
      <c r="C29" s="30" t="s">
        <v>236</v>
      </c>
      <c r="D29" s="30" t="s">
        <v>23</v>
      </c>
      <c r="E29" s="31">
        <v>5500</v>
      </c>
      <c r="F29" s="32">
        <v>5535.2605000000003</v>
      </c>
      <c r="G29" s="33">
        <v>2.3171529999999999E-2</v>
      </c>
      <c r="H29" s="23">
        <v>6.95</v>
      </c>
    </row>
    <row r="30" spans="1:8" x14ac:dyDescent="0.2">
      <c r="A30" s="29">
        <v>3</v>
      </c>
      <c r="B30" s="30" t="s">
        <v>232</v>
      </c>
      <c r="C30" s="30" t="s">
        <v>233</v>
      </c>
      <c r="D30" s="30" t="s">
        <v>234</v>
      </c>
      <c r="E30" s="31">
        <v>3000</v>
      </c>
      <c r="F30" s="32">
        <v>3024.15</v>
      </c>
      <c r="G30" s="33">
        <v>1.26596E-2</v>
      </c>
      <c r="H30" s="23">
        <v>8.3699999999999992</v>
      </c>
    </row>
    <row r="31" spans="1:8" ht="25.5" x14ac:dyDescent="0.2">
      <c r="A31" s="29">
        <v>4</v>
      </c>
      <c r="B31" s="30" t="s">
        <v>57</v>
      </c>
      <c r="C31" s="30" t="s">
        <v>58</v>
      </c>
      <c r="D31" s="30" t="s">
        <v>23</v>
      </c>
      <c r="E31" s="31">
        <v>2500</v>
      </c>
      <c r="F31" s="32">
        <v>2515.9899999999998</v>
      </c>
      <c r="G31" s="33">
        <v>1.0532359999999999E-2</v>
      </c>
      <c r="H31" s="23">
        <v>7</v>
      </c>
    </row>
    <row r="32" spans="1:8" ht="25.5" x14ac:dyDescent="0.2">
      <c r="A32" s="29">
        <v>5</v>
      </c>
      <c r="B32" s="30" t="s">
        <v>436</v>
      </c>
      <c r="C32" s="30" t="s">
        <v>437</v>
      </c>
      <c r="D32" s="30" t="s">
        <v>23</v>
      </c>
      <c r="E32" s="31">
        <v>250</v>
      </c>
      <c r="F32" s="32">
        <v>2501.1849999999999</v>
      </c>
      <c r="G32" s="33">
        <v>1.047038E-2</v>
      </c>
      <c r="H32" s="23">
        <v>7.09</v>
      </c>
    </row>
    <row r="33" spans="1:8" ht="25.5" x14ac:dyDescent="0.2">
      <c r="A33" s="29">
        <v>6</v>
      </c>
      <c r="B33" s="30" t="s">
        <v>438</v>
      </c>
      <c r="C33" s="30" t="s">
        <v>439</v>
      </c>
      <c r="D33" s="30" t="s">
        <v>23</v>
      </c>
      <c r="E33" s="31">
        <v>250</v>
      </c>
      <c r="F33" s="32">
        <v>2490.21</v>
      </c>
      <c r="G33" s="33">
        <v>1.042444E-2</v>
      </c>
      <c r="H33" s="23">
        <v>6.8</v>
      </c>
    </row>
    <row r="34" spans="1:8" ht="25.5" x14ac:dyDescent="0.2">
      <c r="A34" s="29">
        <v>7</v>
      </c>
      <c r="B34" s="30" t="s">
        <v>256</v>
      </c>
      <c r="C34" s="30" t="s">
        <v>257</v>
      </c>
      <c r="D34" s="30" t="s">
        <v>258</v>
      </c>
      <c r="E34" s="31">
        <v>200</v>
      </c>
      <c r="F34" s="32">
        <v>2008.894</v>
      </c>
      <c r="G34" s="33">
        <v>8.4095699999999999E-3</v>
      </c>
      <c r="H34" s="23">
        <v>7.4249999999999998</v>
      </c>
    </row>
    <row r="35" spans="1:8" x14ac:dyDescent="0.2">
      <c r="A35" s="29">
        <v>8</v>
      </c>
      <c r="B35" s="30" t="s">
        <v>229</v>
      </c>
      <c r="C35" s="30" t="s">
        <v>230</v>
      </c>
      <c r="D35" s="30" t="s">
        <v>231</v>
      </c>
      <c r="E35" s="31">
        <v>1600</v>
      </c>
      <c r="F35" s="32">
        <v>1615.3296</v>
      </c>
      <c r="G35" s="33">
        <v>6.7620400000000004E-3</v>
      </c>
      <c r="H35" s="23">
        <v>7.5366999999999997</v>
      </c>
    </row>
    <row r="36" spans="1:8" x14ac:dyDescent="0.2">
      <c r="A36" s="29">
        <v>9</v>
      </c>
      <c r="B36" s="30" t="s">
        <v>259</v>
      </c>
      <c r="C36" s="30" t="s">
        <v>260</v>
      </c>
      <c r="D36" s="30" t="s">
        <v>234</v>
      </c>
      <c r="E36" s="31">
        <v>1500</v>
      </c>
      <c r="F36" s="32">
        <v>1508.8875</v>
      </c>
      <c r="G36" s="33">
        <v>6.3164600000000003E-3</v>
      </c>
      <c r="H36" s="23">
        <v>8.3800000000000008</v>
      </c>
    </row>
    <row r="37" spans="1:8" ht="25.5" x14ac:dyDescent="0.2">
      <c r="A37" s="29">
        <v>10</v>
      </c>
      <c r="B37" s="30" t="s">
        <v>440</v>
      </c>
      <c r="C37" s="30" t="s">
        <v>441</v>
      </c>
      <c r="D37" s="30" t="s">
        <v>23</v>
      </c>
      <c r="E37" s="31">
        <v>150</v>
      </c>
      <c r="F37" s="32">
        <v>1505.0609999999999</v>
      </c>
      <c r="G37" s="33">
        <v>6.30044E-3</v>
      </c>
      <c r="H37" s="23">
        <v>7.5</v>
      </c>
    </row>
    <row r="38" spans="1:8" ht="25.5" x14ac:dyDescent="0.2">
      <c r="A38" s="29">
        <v>11</v>
      </c>
      <c r="B38" s="30" t="s">
        <v>66</v>
      </c>
      <c r="C38" s="30" t="s">
        <v>67</v>
      </c>
      <c r="D38" s="30" t="s">
        <v>23</v>
      </c>
      <c r="E38" s="31">
        <v>1500</v>
      </c>
      <c r="F38" s="32">
        <v>1501.4369999999999</v>
      </c>
      <c r="G38" s="33">
        <v>6.2852699999999999E-3</v>
      </c>
      <c r="H38" s="23">
        <v>7.04</v>
      </c>
    </row>
    <row r="39" spans="1:8" ht="25.5" x14ac:dyDescent="0.2">
      <c r="A39" s="29">
        <v>12</v>
      </c>
      <c r="B39" s="30" t="s">
        <v>64</v>
      </c>
      <c r="C39" s="30" t="s">
        <v>65</v>
      </c>
      <c r="D39" s="30" t="s">
        <v>23</v>
      </c>
      <c r="E39" s="31">
        <v>1000</v>
      </c>
      <c r="F39" s="32">
        <v>1004.919</v>
      </c>
      <c r="G39" s="33">
        <v>4.2067600000000004E-3</v>
      </c>
      <c r="H39" s="23">
        <v>6.9960000000000004</v>
      </c>
    </row>
    <row r="40" spans="1:8" x14ac:dyDescent="0.2">
      <c r="A40" s="21"/>
      <c r="B40" s="21"/>
      <c r="C40" s="22" t="s">
        <v>11</v>
      </c>
      <c r="D40" s="21"/>
      <c r="E40" s="21" t="s">
        <v>12</v>
      </c>
      <c r="F40" s="28">
        <v>32253.834599999998</v>
      </c>
      <c r="G40" s="25">
        <v>0.13501999000000001</v>
      </c>
      <c r="H40" s="23" t="s">
        <v>12</v>
      </c>
    </row>
    <row r="41" spans="1:8" x14ac:dyDescent="0.2">
      <c r="A41" s="21"/>
      <c r="B41" s="21"/>
      <c r="C41" s="26"/>
      <c r="D41" s="21"/>
      <c r="E41" s="21"/>
      <c r="F41" s="27"/>
      <c r="G41" s="27"/>
      <c r="H41" s="23" t="s">
        <v>12</v>
      </c>
    </row>
    <row r="42" spans="1:8" x14ac:dyDescent="0.2">
      <c r="A42" s="21"/>
      <c r="B42" s="21"/>
      <c r="C42" s="22" t="s">
        <v>74</v>
      </c>
      <c r="D42" s="21"/>
      <c r="E42" s="21"/>
      <c r="F42" s="21"/>
      <c r="G42" s="21"/>
      <c r="H42" s="23" t="s">
        <v>12</v>
      </c>
    </row>
    <row r="43" spans="1:8" x14ac:dyDescent="0.2">
      <c r="A43" s="21"/>
      <c r="B43" s="21"/>
      <c r="C43" s="22" t="s">
        <v>11</v>
      </c>
      <c r="D43" s="21"/>
      <c r="E43" s="21" t="s">
        <v>12</v>
      </c>
      <c r="F43" s="24" t="s">
        <v>13</v>
      </c>
      <c r="G43" s="25">
        <v>0</v>
      </c>
      <c r="H43" s="23" t="s">
        <v>12</v>
      </c>
    </row>
    <row r="44" spans="1:8" x14ac:dyDescent="0.2">
      <c r="A44" s="21"/>
      <c r="B44" s="21"/>
      <c r="C44" s="26"/>
      <c r="D44" s="21"/>
      <c r="E44" s="21"/>
      <c r="F44" s="27"/>
      <c r="G44" s="27"/>
      <c r="H44" s="23" t="s">
        <v>12</v>
      </c>
    </row>
    <row r="45" spans="1:8" x14ac:dyDescent="0.2">
      <c r="A45" s="21"/>
      <c r="B45" s="21"/>
      <c r="C45" s="22" t="s">
        <v>75</v>
      </c>
      <c r="D45" s="21"/>
      <c r="E45" s="21"/>
      <c r="F45" s="21"/>
      <c r="G45" s="21"/>
      <c r="H45" s="23" t="s">
        <v>12</v>
      </c>
    </row>
    <row r="46" spans="1:8" x14ac:dyDescent="0.2">
      <c r="A46" s="21"/>
      <c r="B46" s="21"/>
      <c r="C46" s="22" t="s">
        <v>11</v>
      </c>
      <c r="D46" s="21"/>
      <c r="E46" s="21" t="s">
        <v>12</v>
      </c>
      <c r="F46" s="24" t="s">
        <v>13</v>
      </c>
      <c r="G46" s="25">
        <v>0</v>
      </c>
      <c r="H46" s="23" t="s">
        <v>12</v>
      </c>
    </row>
    <row r="47" spans="1:8" x14ac:dyDescent="0.2">
      <c r="A47" s="21"/>
      <c r="B47" s="21"/>
      <c r="C47" s="26"/>
      <c r="D47" s="21"/>
      <c r="E47" s="21"/>
      <c r="F47" s="27"/>
      <c r="G47" s="27"/>
      <c r="H47" s="23" t="s">
        <v>12</v>
      </c>
    </row>
    <row r="48" spans="1:8" x14ac:dyDescent="0.2">
      <c r="A48" s="21"/>
      <c r="B48" s="21"/>
      <c r="C48" s="22" t="s">
        <v>91</v>
      </c>
      <c r="D48" s="21"/>
      <c r="E48" s="21"/>
      <c r="F48" s="27"/>
      <c r="G48" s="27"/>
      <c r="H48" s="23" t="s">
        <v>12</v>
      </c>
    </row>
    <row r="49" spans="1:8" x14ac:dyDescent="0.2">
      <c r="A49" s="21"/>
      <c r="B49" s="21"/>
      <c r="C49" s="22" t="s">
        <v>11</v>
      </c>
      <c r="D49" s="21"/>
      <c r="E49" s="21" t="s">
        <v>12</v>
      </c>
      <c r="F49" s="24" t="s">
        <v>13</v>
      </c>
      <c r="G49" s="25">
        <v>0</v>
      </c>
      <c r="H49" s="23" t="s">
        <v>12</v>
      </c>
    </row>
    <row r="50" spans="1:8" x14ac:dyDescent="0.2">
      <c r="A50" s="21"/>
      <c r="B50" s="21"/>
      <c r="C50" s="26"/>
      <c r="D50" s="21"/>
      <c r="E50" s="21"/>
      <c r="F50" s="27"/>
      <c r="G50" s="27"/>
      <c r="H50" s="23" t="s">
        <v>12</v>
      </c>
    </row>
    <row r="51" spans="1:8" x14ac:dyDescent="0.2">
      <c r="A51" s="21"/>
      <c r="B51" s="21"/>
      <c r="C51" s="22" t="s">
        <v>92</v>
      </c>
      <c r="D51" s="21"/>
      <c r="E51" s="21"/>
      <c r="F51" s="28">
        <v>32253.834599999998</v>
      </c>
      <c r="G51" s="25">
        <v>0.13501999000000001</v>
      </c>
      <c r="H51" s="23" t="s">
        <v>12</v>
      </c>
    </row>
    <row r="52" spans="1:8" x14ac:dyDescent="0.2">
      <c r="A52" s="21"/>
      <c r="B52" s="21"/>
      <c r="C52" s="26"/>
      <c r="D52" s="21"/>
      <c r="E52" s="21"/>
      <c r="F52" s="27"/>
      <c r="G52" s="27"/>
      <c r="H52" s="23" t="s">
        <v>12</v>
      </c>
    </row>
    <row r="53" spans="1:8" x14ac:dyDescent="0.2">
      <c r="A53" s="21"/>
      <c r="B53" s="21"/>
      <c r="C53" s="22" t="s">
        <v>93</v>
      </c>
      <c r="D53" s="21"/>
      <c r="E53" s="21"/>
      <c r="F53" s="27"/>
      <c r="G53" s="27"/>
      <c r="H53" s="23" t="s">
        <v>12</v>
      </c>
    </row>
    <row r="54" spans="1:8" x14ac:dyDescent="0.2">
      <c r="A54" s="21"/>
      <c r="B54" s="21"/>
      <c r="C54" s="22" t="s">
        <v>94</v>
      </c>
      <c r="D54" s="21"/>
      <c r="E54" s="21"/>
      <c r="F54" s="27"/>
      <c r="G54" s="27"/>
      <c r="H54" s="23" t="s">
        <v>12</v>
      </c>
    </row>
    <row r="55" spans="1:8" x14ac:dyDescent="0.2">
      <c r="A55" s="29">
        <v>1</v>
      </c>
      <c r="B55" s="30" t="s">
        <v>442</v>
      </c>
      <c r="C55" s="30" t="s">
        <v>443</v>
      </c>
      <c r="D55" s="30" t="s">
        <v>300</v>
      </c>
      <c r="E55" s="31">
        <v>2000</v>
      </c>
      <c r="F55" s="32">
        <v>9576.77</v>
      </c>
      <c r="G55" s="33">
        <v>4.0089970000000003E-2</v>
      </c>
      <c r="H55" s="23">
        <v>6.7211999999999996</v>
      </c>
    </row>
    <row r="56" spans="1:8" x14ac:dyDescent="0.2">
      <c r="A56" s="29">
        <v>2</v>
      </c>
      <c r="B56" s="30" t="s">
        <v>325</v>
      </c>
      <c r="C56" s="30" t="s">
        <v>326</v>
      </c>
      <c r="D56" s="30" t="s">
        <v>149</v>
      </c>
      <c r="E56" s="31">
        <v>1000</v>
      </c>
      <c r="F56" s="32">
        <v>4956.95</v>
      </c>
      <c r="G56" s="33">
        <v>2.0750629999999999E-2</v>
      </c>
      <c r="H56" s="23">
        <v>6.34</v>
      </c>
    </row>
    <row r="57" spans="1:8" x14ac:dyDescent="0.2">
      <c r="A57" s="29">
        <v>3</v>
      </c>
      <c r="B57" s="30" t="s">
        <v>307</v>
      </c>
      <c r="C57" s="30" t="s">
        <v>308</v>
      </c>
      <c r="D57" s="30" t="s">
        <v>149</v>
      </c>
      <c r="E57" s="31">
        <v>1000</v>
      </c>
      <c r="F57" s="32">
        <v>4951.0200000000004</v>
      </c>
      <c r="G57" s="33">
        <v>2.0725799999999999E-2</v>
      </c>
      <c r="H57" s="23">
        <v>6.335</v>
      </c>
    </row>
    <row r="58" spans="1:8" x14ac:dyDescent="0.2">
      <c r="A58" s="29">
        <v>4</v>
      </c>
      <c r="B58" s="30" t="s">
        <v>444</v>
      </c>
      <c r="C58" s="30" t="s">
        <v>445</v>
      </c>
      <c r="D58" s="30" t="s">
        <v>149</v>
      </c>
      <c r="E58" s="31">
        <v>1000</v>
      </c>
      <c r="F58" s="32">
        <v>4899.7550000000001</v>
      </c>
      <c r="G58" s="33">
        <v>2.05112E-2</v>
      </c>
      <c r="H58" s="23">
        <v>6.7888999999999999</v>
      </c>
    </row>
    <row r="59" spans="1:8" x14ac:dyDescent="0.2">
      <c r="A59" s="29">
        <v>5</v>
      </c>
      <c r="B59" s="30" t="s">
        <v>446</v>
      </c>
      <c r="C59" s="30" t="s">
        <v>447</v>
      </c>
      <c r="D59" s="30" t="s">
        <v>149</v>
      </c>
      <c r="E59" s="31">
        <v>1000</v>
      </c>
      <c r="F59" s="32">
        <v>4864.38</v>
      </c>
      <c r="G59" s="33">
        <v>2.036311E-2</v>
      </c>
      <c r="H59" s="23">
        <v>6.6951000000000001</v>
      </c>
    </row>
    <row r="60" spans="1:8" x14ac:dyDescent="0.2">
      <c r="A60" s="29">
        <v>6</v>
      </c>
      <c r="B60" s="30" t="s">
        <v>448</v>
      </c>
      <c r="C60" s="30" t="s">
        <v>449</v>
      </c>
      <c r="D60" s="30" t="s">
        <v>149</v>
      </c>
      <c r="E60" s="31">
        <v>1000</v>
      </c>
      <c r="F60" s="32">
        <v>4860.91</v>
      </c>
      <c r="G60" s="33">
        <v>2.034859E-2</v>
      </c>
      <c r="H60" s="23">
        <v>6.6950000000000003</v>
      </c>
    </row>
    <row r="61" spans="1:8" x14ac:dyDescent="0.2">
      <c r="A61" s="29">
        <v>7</v>
      </c>
      <c r="B61" s="30" t="s">
        <v>450</v>
      </c>
      <c r="C61" s="30" t="s">
        <v>451</v>
      </c>
      <c r="D61" s="30" t="s">
        <v>209</v>
      </c>
      <c r="E61" s="31">
        <v>1000</v>
      </c>
      <c r="F61" s="32">
        <v>4794.3050000000003</v>
      </c>
      <c r="G61" s="33">
        <v>2.0069770000000001E-2</v>
      </c>
      <c r="H61" s="23">
        <v>6.75</v>
      </c>
    </row>
    <row r="62" spans="1:8" x14ac:dyDescent="0.2">
      <c r="A62" s="29">
        <v>8</v>
      </c>
      <c r="B62" s="30" t="s">
        <v>179</v>
      </c>
      <c r="C62" s="30" t="s">
        <v>180</v>
      </c>
      <c r="D62" s="30" t="s">
        <v>149</v>
      </c>
      <c r="E62" s="31">
        <v>1000</v>
      </c>
      <c r="F62" s="32">
        <v>4785.22</v>
      </c>
      <c r="G62" s="33">
        <v>2.0031739999999999E-2</v>
      </c>
      <c r="H62" s="23">
        <v>7.0312000000000001</v>
      </c>
    </row>
    <row r="63" spans="1:8" x14ac:dyDescent="0.2">
      <c r="A63" s="29">
        <v>9</v>
      </c>
      <c r="B63" s="30" t="s">
        <v>181</v>
      </c>
      <c r="C63" s="30" t="s">
        <v>182</v>
      </c>
      <c r="D63" s="30" t="s">
        <v>149</v>
      </c>
      <c r="E63" s="31">
        <v>1000</v>
      </c>
      <c r="F63" s="32">
        <v>4742.46</v>
      </c>
      <c r="G63" s="33">
        <v>1.9852740000000001E-2</v>
      </c>
      <c r="H63" s="23">
        <v>6.7649999999999997</v>
      </c>
    </row>
    <row r="64" spans="1:8" x14ac:dyDescent="0.2">
      <c r="A64" s="29">
        <v>10</v>
      </c>
      <c r="B64" s="30" t="s">
        <v>183</v>
      </c>
      <c r="C64" s="30" t="s">
        <v>184</v>
      </c>
      <c r="D64" s="30" t="s">
        <v>149</v>
      </c>
      <c r="E64" s="31">
        <v>1000</v>
      </c>
      <c r="F64" s="32">
        <v>4741.4449999999997</v>
      </c>
      <c r="G64" s="33">
        <v>1.984849E-2</v>
      </c>
      <c r="H64" s="23">
        <v>6.77</v>
      </c>
    </row>
    <row r="65" spans="1:8" x14ac:dyDescent="0.2">
      <c r="A65" s="29">
        <v>11</v>
      </c>
      <c r="B65" s="30" t="s">
        <v>185</v>
      </c>
      <c r="C65" s="30" t="s">
        <v>186</v>
      </c>
      <c r="D65" s="30" t="s">
        <v>149</v>
      </c>
      <c r="E65" s="31">
        <v>1000</v>
      </c>
      <c r="F65" s="32">
        <v>4732.4399999999996</v>
      </c>
      <c r="G65" s="33">
        <v>1.9810790000000002E-2</v>
      </c>
      <c r="H65" s="23">
        <v>6.7</v>
      </c>
    </row>
    <row r="66" spans="1:8" x14ac:dyDescent="0.2">
      <c r="A66" s="29">
        <v>12</v>
      </c>
      <c r="B66" s="30" t="s">
        <v>452</v>
      </c>
      <c r="C66" s="30" t="s">
        <v>453</v>
      </c>
      <c r="D66" s="30" t="s">
        <v>149</v>
      </c>
      <c r="E66" s="31">
        <v>1000</v>
      </c>
      <c r="F66" s="32">
        <v>4726.1049999999996</v>
      </c>
      <c r="G66" s="33">
        <v>1.978427E-2</v>
      </c>
      <c r="H66" s="23">
        <v>7.1950000000000003</v>
      </c>
    </row>
    <row r="67" spans="1:8" x14ac:dyDescent="0.2">
      <c r="A67" s="29">
        <v>13</v>
      </c>
      <c r="B67" s="30" t="s">
        <v>159</v>
      </c>
      <c r="C67" s="30" t="s">
        <v>160</v>
      </c>
      <c r="D67" s="30" t="s">
        <v>149</v>
      </c>
      <c r="E67" s="31">
        <v>1000</v>
      </c>
      <c r="F67" s="32">
        <v>4706.62</v>
      </c>
      <c r="G67" s="33">
        <v>1.97027E-2</v>
      </c>
      <c r="H67" s="23">
        <v>6.7713999999999999</v>
      </c>
    </row>
    <row r="68" spans="1:8" x14ac:dyDescent="0.2">
      <c r="A68" s="29">
        <v>14</v>
      </c>
      <c r="B68" s="30" t="s">
        <v>207</v>
      </c>
      <c r="C68" s="30" t="s">
        <v>208</v>
      </c>
      <c r="D68" s="30" t="s">
        <v>209</v>
      </c>
      <c r="E68" s="31">
        <v>840</v>
      </c>
      <c r="F68" s="32">
        <v>4125.7943999999998</v>
      </c>
      <c r="G68" s="33">
        <v>1.7271269999999998E-2</v>
      </c>
      <c r="H68" s="23">
        <v>6.5650000000000004</v>
      </c>
    </row>
    <row r="69" spans="1:8" x14ac:dyDescent="0.2">
      <c r="A69" s="29">
        <v>15</v>
      </c>
      <c r="B69" s="30" t="s">
        <v>199</v>
      </c>
      <c r="C69" s="30" t="s">
        <v>200</v>
      </c>
      <c r="D69" s="30" t="s">
        <v>149</v>
      </c>
      <c r="E69" s="31">
        <v>700</v>
      </c>
      <c r="F69" s="32">
        <v>3323.7435</v>
      </c>
      <c r="G69" s="33">
        <v>1.3913750000000001E-2</v>
      </c>
      <c r="H69" s="23">
        <v>6.8638000000000003</v>
      </c>
    </row>
    <row r="70" spans="1:8" x14ac:dyDescent="0.2">
      <c r="A70" s="29">
        <v>16</v>
      </c>
      <c r="B70" s="30" t="s">
        <v>201</v>
      </c>
      <c r="C70" s="30" t="s">
        <v>202</v>
      </c>
      <c r="D70" s="30" t="s">
        <v>149</v>
      </c>
      <c r="E70" s="31">
        <v>700</v>
      </c>
      <c r="F70" s="32">
        <v>3307.5104999999999</v>
      </c>
      <c r="G70" s="33">
        <v>1.38458E-2</v>
      </c>
      <c r="H70" s="23">
        <v>6.7649999999999997</v>
      </c>
    </row>
    <row r="71" spans="1:8" ht="25.5" x14ac:dyDescent="0.2">
      <c r="A71" s="29">
        <v>17</v>
      </c>
      <c r="B71" s="30" t="s">
        <v>203</v>
      </c>
      <c r="C71" s="30" t="s">
        <v>204</v>
      </c>
      <c r="D71" s="30" t="s">
        <v>149</v>
      </c>
      <c r="E71" s="31">
        <v>600</v>
      </c>
      <c r="F71" s="32">
        <v>2818.5659999999998</v>
      </c>
      <c r="G71" s="33">
        <v>1.1798990000000001E-2</v>
      </c>
      <c r="H71" s="23">
        <v>6.85</v>
      </c>
    </row>
    <row r="72" spans="1:8" x14ac:dyDescent="0.2">
      <c r="A72" s="29">
        <v>18</v>
      </c>
      <c r="B72" s="30" t="s">
        <v>267</v>
      </c>
      <c r="C72" s="30" t="s">
        <v>268</v>
      </c>
      <c r="D72" s="30" t="s">
        <v>149</v>
      </c>
      <c r="E72" s="31">
        <v>500</v>
      </c>
      <c r="F72" s="32">
        <v>2482.2399999999998</v>
      </c>
      <c r="G72" s="33">
        <v>1.0391070000000001E-2</v>
      </c>
      <c r="H72" s="23">
        <v>6.3699000000000003</v>
      </c>
    </row>
    <row r="73" spans="1:8" x14ac:dyDescent="0.2">
      <c r="A73" s="29">
        <v>19</v>
      </c>
      <c r="B73" s="30" t="s">
        <v>313</v>
      </c>
      <c r="C73" s="30" t="s">
        <v>314</v>
      </c>
      <c r="D73" s="30" t="s">
        <v>149</v>
      </c>
      <c r="E73" s="31">
        <v>500</v>
      </c>
      <c r="F73" s="32">
        <v>2473.85</v>
      </c>
      <c r="G73" s="33">
        <v>1.0355949999999999E-2</v>
      </c>
      <c r="H73" s="23">
        <v>6.3250999999999999</v>
      </c>
    </row>
    <row r="74" spans="1:8" x14ac:dyDescent="0.2">
      <c r="A74" s="29">
        <v>20</v>
      </c>
      <c r="B74" s="30" t="s">
        <v>309</v>
      </c>
      <c r="C74" s="30" t="s">
        <v>310</v>
      </c>
      <c r="D74" s="30" t="s">
        <v>149</v>
      </c>
      <c r="E74" s="31">
        <v>500</v>
      </c>
      <c r="F74" s="32">
        <v>2473.4475000000002</v>
      </c>
      <c r="G74" s="33">
        <v>1.035427E-2</v>
      </c>
      <c r="H74" s="23">
        <v>6.32</v>
      </c>
    </row>
    <row r="75" spans="1:8" x14ac:dyDescent="0.2">
      <c r="A75" s="29">
        <v>21</v>
      </c>
      <c r="B75" s="30" t="s">
        <v>454</v>
      </c>
      <c r="C75" s="30" t="s">
        <v>455</v>
      </c>
      <c r="D75" s="30" t="s">
        <v>149</v>
      </c>
      <c r="E75" s="31">
        <v>500</v>
      </c>
      <c r="F75" s="32">
        <v>2442.6925000000001</v>
      </c>
      <c r="G75" s="33">
        <v>1.022552E-2</v>
      </c>
      <c r="H75" s="23">
        <v>6.69</v>
      </c>
    </row>
    <row r="76" spans="1:8" x14ac:dyDescent="0.2">
      <c r="A76" s="29">
        <v>22</v>
      </c>
      <c r="B76" s="30" t="s">
        <v>456</v>
      </c>
      <c r="C76" s="30" t="s">
        <v>457</v>
      </c>
      <c r="D76" s="30" t="s">
        <v>149</v>
      </c>
      <c r="E76" s="31">
        <v>500</v>
      </c>
      <c r="F76" s="32">
        <v>2442.2075</v>
      </c>
      <c r="G76" s="33">
        <v>1.022349E-2</v>
      </c>
      <c r="H76" s="23">
        <v>6.9100999999999999</v>
      </c>
    </row>
    <row r="77" spans="1:8" x14ac:dyDescent="0.2">
      <c r="A77" s="29">
        <v>23</v>
      </c>
      <c r="B77" s="30" t="s">
        <v>458</v>
      </c>
      <c r="C77" s="30" t="s">
        <v>459</v>
      </c>
      <c r="D77" s="30" t="s">
        <v>149</v>
      </c>
      <c r="E77" s="31">
        <v>500</v>
      </c>
      <c r="F77" s="32">
        <v>2437.02</v>
      </c>
      <c r="G77" s="33">
        <v>1.0201780000000001E-2</v>
      </c>
      <c r="H77" s="23">
        <v>6.69</v>
      </c>
    </row>
    <row r="78" spans="1:8" x14ac:dyDescent="0.2">
      <c r="A78" s="29">
        <v>24</v>
      </c>
      <c r="B78" s="30" t="s">
        <v>175</v>
      </c>
      <c r="C78" s="30" t="s">
        <v>176</v>
      </c>
      <c r="D78" s="30" t="s">
        <v>149</v>
      </c>
      <c r="E78" s="31">
        <v>500</v>
      </c>
      <c r="F78" s="32">
        <v>2399.6624999999999</v>
      </c>
      <c r="G78" s="33">
        <v>1.004539E-2</v>
      </c>
      <c r="H78" s="23">
        <v>6.8438999999999997</v>
      </c>
    </row>
    <row r="79" spans="1:8" x14ac:dyDescent="0.2">
      <c r="A79" s="29">
        <v>25</v>
      </c>
      <c r="B79" s="30" t="s">
        <v>205</v>
      </c>
      <c r="C79" s="30" t="s">
        <v>206</v>
      </c>
      <c r="D79" s="30" t="s">
        <v>149</v>
      </c>
      <c r="E79" s="31">
        <v>500</v>
      </c>
      <c r="F79" s="32">
        <v>2398.8874999999998</v>
      </c>
      <c r="G79" s="33">
        <v>1.004215E-2</v>
      </c>
      <c r="H79" s="23">
        <v>7.0251000000000001</v>
      </c>
    </row>
    <row r="80" spans="1:8" x14ac:dyDescent="0.2">
      <c r="A80" s="29">
        <v>26</v>
      </c>
      <c r="B80" s="30" t="s">
        <v>177</v>
      </c>
      <c r="C80" s="30" t="s">
        <v>178</v>
      </c>
      <c r="D80" s="30" t="s">
        <v>149</v>
      </c>
      <c r="E80" s="31">
        <v>500</v>
      </c>
      <c r="F80" s="32">
        <v>2398.4949999999999</v>
      </c>
      <c r="G80" s="33">
        <v>1.0040500000000001E-2</v>
      </c>
      <c r="H80" s="23">
        <v>6.835</v>
      </c>
    </row>
    <row r="81" spans="1:8" x14ac:dyDescent="0.2">
      <c r="A81" s="29">
        <v>27</v>
      </c>
      <c r="B81" s="30" t="s">
        <v>460</v>
      </c>
      <c r="C81" s="30" t="s">
        <v>461</v>
      </c>
      <c r="D81" s="30" t="s">
        <v>149</v>
      </c>
      <c r="E81" s="31">
        <v>500</v>
      </c>
      <c r="F81" s="32">
        <v>2396.7150000000001</v>
      </c>
      <c r="G81" s="33">
        <v>1.003305E-2</v>
      </c>
      <c r="H81" s="23">
        <v>6.78</v>
      </c>
    </row>
    <row r="82" spans="1:8" ht="25.5" x14ac:dyDescent="0.2">
      <c r="A82" s="29">
        <v>28</v>
      </c>
      <c r="B82" s="30" t="s">
        <v>462</v>
      </c>
      <c r="C82" s="30" t="s">
        <v>463</v>
      </c>
      <c r="D82" s="30" t="s">
        <v>149</v>
      </c>
      <c r="E82" s="31">
        <v>500</v>
      </c>
      <c r="F82" s="32">
        <v>2396.27</v>
      </c>
      <c r="G82" s="33">
        <v>1.0031190000000001E-2</v>
      </c>
      <c r="H82" s="23">
        <v>6.7812000000000001</v>
      </c>
    </row>
    <row r="83" spans="1:8" ht="25.5" x14ac:dyDescent="0.2">
      <c r="A83" s="29">
        <v>29</v>
      </c>
      <c r="B83" s="30" t="s">
        <v>464</v>
      </c>
      <c r="C83" s="30" t="s">
        <v>465</v>
      </c>
      <c r="D83" s="30" t="s">
        <v>149</v>
      </c>
      <c r="E83" s="31">
        <v>500</v>
      </c>
      <c r="F83" s="32">
        <v>2379.6799999999998</v>
      </c>
      <c r="G83" s="33">
        <v>9.9617400000000002E-3</v>
      </c>
      <c r="H83" s="23">
        <v>6.7850000000000001</v>
      </c>
    </row>
    <row r="84" spans="1:8" x14ac:dyDescent="0.2">
      <c r="A84" s="29">
        <v>30</v>
      </c>
      <c r="B84" s="30" t="s">
        <v>193</v>
      </c>
      <c r="C84" s="30" t="s">
        <v>194</v>
      </c>
      <c r="D84" s="30" t="s">
        <v>149</v>
      </c>
      <c r="E84" s="31">
        <v>500</v>
      </c>
      <c r="F84" s="32">
        <v>2361.2975000000001</v>
      </c>
      <c r="G84" s="33">
        <v>9.8847899999999992E-3</v>
      </c>
      <c r="H84" s="23">
        <v>6.85</v>
      </c>
    </row>
    <row r="85" spans="1:8" ht="25.5" x14ac:dyDescent="0.2">
      <c r="A85" s="29">
        <v>31</v>
      </c>
      <c r="B85" s="30" t="s">
        <v>466</v>
      </c>
      <c r="C85" s="30" t="s">
        <v>467</v>
      </c>
      <c r="D85" s="30" t="s">
        <v>149</v>
      </c>
      <c r="E85" s="31">
        <v>500</v>
      </c>
      <c r="F85" s="32">
        <v>2356.0174999999999</v>
      </c>
      <c r="G85" s="33">
        <v>9.8626900000000003E-3</v>
      </c>
      <c r="H85" s="23">
        <v>6.78</v>
      </c>
    </row>
    <row r="86" spans="1:8" x14ac:dyDescent="0.2">
      <c r="A86" s="29">
        <v>32</v>
      </c>
      <c r="B86" s="30" t="s">
        <v>195</v>
      </c>
      <c r="C86" s="30" t="s">
        <v>196</v>
      </c>
      <c r="D86" s="30" t="s">
        <v>149</v>
      </c>
      <c r="E86" s="31">
        <v>500</v>
      </c>
      <c r="F86" s="32">
        <v>2355.4949999999999</v>
      </c>
      <c r="G86" s="33">
        <v>9.8604999999999995E-3</v>
      </c>
      <c r="H86" s="23">
        <v>6.7649999999999997</v>
      </c>
    </row>
    <row r="87" spans="1:8" ht="25.5" x14ac:dyDescent="0.2">
      <c r="A87" s="29">
        <v>33</v>
      </c>
      <c r="B87" s="30" t="s">
        <v>468</v>
      </c>
      <c r="C87" s="30" t="s">
        <v>469</v>
      </c>
      <c r="D87" s="30" t="s">
        <v>149</v>
      </c>
      <c r="E87" s="31">
        <v>500</v>
      </c>
      <c r="F87" s="32">
        <v>2355.0324999999998</v>
      </c>
      <c r="G87" s="33">
        <v>9.8585600000000006E-3</v>
      </c>
      <c r="H87" s="23">
        <v>6.85</v>
      </c>
    </row>
    <row r="88" spans="1:8" x14ac:dyDescent="0.2">
      <c r="A88" s="29">
        <v>34</v>
      </c>
      <c r="B88" s="30" t="s">
        <v>273</v>
      </c>
      <c r="C88" s="30" t="s">
        <v>274</v>
      </c>
      <c r="D88" s="30" t="s">
        <v>149</v>
      </c>
      <c r="E88" s="31">
        <v>300</v>
      </c>
      <c r="F88" s="32">
        <v>1421.934</v>
      </c>
      <c r="G88" s="33">
        <v>5.9524599999999997E-3</v>
      </c>
      <c r="H88" s="23">
        <v>6.77</v>
      </c>
    </row>
    <row r="89" spans="1:8" ht="25.5" x14ac:dyDescent="0.2">
      <c r="A89" s="29">
        <v>35</v>
      </c>
      <c r="B89" s="30" t="s">
        <v>167</v>
      </c>
      <c r="C89" s="30" t="s">
        <v>168</v>
      </c>
      <c r="D89" s="30" t="s">
        <v>149</v>
      </c>
      <c r="E89" s="31">
        <v>100</v>
      </c>
      <c r="F89" s="32">
        <v>469.96949999999998</v>
      </c>
      <c r="G89" s="33">
        <v>1.96737E-3</v>
      </c>
      <c r="H89" s="23">
        <v>6.78</v>
      </c>
    </row>
    <row r="90" spans="1:8" x14ac:dyDescent="0.2">
      <c r="A90" s="21"/>
      <c r="B90" s="21"/>
      <c r="C90" s="22" t="s">
        <v>11</v>
      </c>
      <c r="D90" s="21"/>
      <c r="E90" s="21" t="s">
        <v>12</v>
      </c>
      <c r="F90" s="28">
        <v>121354.90790000001</v>
      </c>
      <c r="G90" s="25">
        <v>0.50801207999999998</v>
      </c>
      <c r="H90" s="23" t="s">
        <v>12</v>
      </c>
    </row>
    <row r="91" spans="1:8" x14ac:dyDescent="0.2">
      <c r="A91" s="21"/>
      <c r="B91" s="21"/>
      <c r="C91" s="26"/>
      <c r="D91" s="21"/>
      <c r="E91" s="21"/>
      <c r="F91" s="27"/>
      <c r="G91" s="27"/>
      <c r="H91" s="23" t="s">
        <v>12</v>
      </c>
    </row>
    <row r="92" spans="1:8" x14ac:dyDescent="0.2">
      <c r="A92" s="21"/>
      <c r="B92" s="21"/>
      <c r="C92" s="22" t="s">
        <v>95</v>
      </c>
      <c r="D92" s="21"/>
      <c r="E92" s="21"/>
      <c r="F92" s="27"/>
      <c r="G92" s="27"/>
      <c r="H92" s="23" t="s">
        <v>12</v>
      </c>
    </row>
    <row r="93" spans="1:8" x14ac:dyDescent="0.2">
      <c r="A93" s="29">
        <v>1</v>
      </c>
      <c r="B93" s="30" t="s">
        <v>402</v>
      </c>
      <c r="C93" s="30" t="s">
        <v>403</v>
      </c>
      <c r="D93" s="30" t="s">
        <v>149</v>
      </c>
      <c r="E93" s="31">
        <v>1500</v>
      </c>
      <c r="F93" s="32">
        <v>7412.6175000000003</v>
      </c>
      <c r="G93" s="33">
        <v>3.1030459999999999E-2</v>
      </c>
      <c r="H93" s="23">
        <v>6.83</v>
      </c>
    </row>
    <row r="94" spans="1:8" x14ac:dyDescent="0.2">
      <c r="A94" s="29">
        <v>2</v>
      </c>
      <c r="B94" s="30" t="s">
        <v>470</v>
      </c>
      <c r="C94" s="30" t="s">
        <v>471</v>
      </c>
      <c r="D94" s="30" t="s">
        <v>149</v>
      </c>
      <c r="E94" s="31">
        <v>1000</v>
      </c>
      <c r="F94" s="32">
        <v>4958.8850000000002</v>
      </c>
      <c r="G94" s="33">
        <v>2.075873E-2</v>
      </c>
      <c r="H94" s="23">
        <v>6.3049999999999997</v>
      </c>
    </row>
    <row r="95" spans="1:8" ht="25.5" x14ac:dyDescent="0.2">
      <c r="A95" s="29">
        <v>3</v>
      </c>
      <c r="B95" s="30" t="s">
        <v>472</v>
      </c>
      <c r="C95" s="30" t="s">
        <v>473</v>
      </c>
      <c r="D95" s="30" t="s">
        <v>149</v>
      </c>
      <c r="E95" s="31">
        <v>1000</v>
      </c>
      <c r="F95" s="32">
        <v>4955.1350000000002</v>
      </c>
      <c r="G95" s="33">
        <v>2.0743029999999999E-2</v>
      </c>
      <c r="H95" s="23">
        <v>6.8849999999999998</v>
      </c>
    </row>
    <row r="96" spans="1:8" x14ac:dyDescent="0.2">
      <c r="A96" s="29">
        <v>4</v>
      </c>
      <c r="B96" s="30" t="s">
        <v>355</v>
      </c>
      <c r="C96" s="30" t="s">
        <v>356</v>
      </c>
      <c r="D96" s="30" t="s">
        <v>149</v>
      </c>
      <c r="E96" s="31">
        <v>1000</v>
      </c>
      <c r="F96" s="32">
        <v>4941.2700000000004</v>
      </c>
      <c r="G96" s="33">
        <v>2.068499E-2</v>
      </c>
      <c r="H96" s="23">
        <v>6.3798000000000004</v>
      </c>
    </row>
    <row r="97" spans="1:8" x14ac:dyDescent="0.2">
      <c r="A97" s="29">
        <v>5</v>
      </c>
      <c r="B97" s="30" t="s">
        <v>474</v>
      </c>
      <c r="C97" s="30" t="s">
        <v>475</v>
      </c>
      <c r="D97" s="30" t="s">
        <v>149</v>
      </c>
      <c r="E97" s="31">
        <v>1000</v>
      </c>
      <c r="F97" s="32">
        <v>4938.1949999999997</v>
      </c>
      <c r="G97" s="33">
        <v>2.0672119999999999E-2</v>
      </c>
      <c r="H97" s="23">
        <v>6.3449999999999998</v>
      </c>
    </row>
    <row r="98" spans="1:8" x14ac:dyDescent="0.2">
      <c r="A98" s="29">
        <v>6</v>
      </c>
      <c r="B98" s="30" t="s">
        <v>476</v>
      </c>
      <c r="C98" s="30" t="s">
        <v>477</v>
      </c>
      <c r="D98" s="30" t="s">
        <v>149</v>
      </c>
      <c r="E98" s="31">
        <v>1000</v>
      </c>
      <c r="F98" s="32">
        <v>4865.68</v>
      </c>
      <c r="G98" s="33">
        <v>2.0368560000000001E-2</v>
      </c>
      <c r="H98" s="23">
        <v>6.8083999999999998</v>
      </c>
    </row>
    <row r="99" spans="1:8" ht="25.5" x14ac:dyDescent="0.2">
      <c r="A99" s="29">
        <v>7</v>
      </c>
      <c r="B99" s="30" t="s">
        <v>224</v>
      </c>
      <c r="C99" s="30" t="s">
        <v>225</v>
      </c>
      <c r="D99" s="30" t="s">
        <v>149</v>
      </c>
      <c r="E99" s="31">
        <v>800</v>
      </c>
      <c r="F99" s="32">
        <v>3885.08</v>
      </c>
      <c r="G99" s="33">
        <v>1.62636E-2</v>
      </c>
      <c r="H99" s="23">
        <v>7.3949999999999996</v>
      </c>
    </row>
    <row r="100" spans="1:8" x14ac:dyDescent="0.2">
      <c r="A100" s="29">
        <v>8</v>
      </c>
      <c r="B100" s="30" t="s">
        <v>222</v>
      </c>
      <c r="C100" s="30" t="s">
        <v>223</v>
      </c>
      <c r="D100" s="30" t="s">
        <v>149</v>
      </c>
      <c r="E100" s="31">
        <v>700</v>
      </c>
      <c r="F100" s="32">
        <v>3395.8784999999998</v>
      </c>
      <c r="G100" s="33">
        <v>1.4215719999999999E-2</v>
      </c>
      <c r="H100" s="23">
        <v>6.9084000000000003</v>
      </c>
    </row>
    <row r="101" spans="1:8" x14ac:dyDescent="0.2">
      <c r="A101" s="29">
        <v>9</v>
      </c>
      <c r="B101" s="30" t="s">
        <v>394</v>
      </c>
      <c r="C101" s="30" t="s">
        <v>395</v>
      </c>
      <c r="D101" s="30" t="s">
        <v>149</v>
      </c>
      <c r="E101" s="31">
        <v>500</v>
      </c>
      <c r="F101" s="32">
        <v>2480.0250000000001</v>
      </c>
      <c r="G101" s="33">
        <v>1.03818E-2</v>
      </c>
      <c r="H101" s="23">
        <v>7.1700999999999997</v>
      </c>
    </row>
    <row r="102" spans="1:8" ht="25.5" x14ac:dyDescent="0.2">
      <c r="A102" s="29">
        <v>10</v>
      </c>
      <c r="B102" s="30" t="s">
        <v>220</v>
      </c>
      <c r="C102" s="30" t="s">
        <v>221</v>
      </c>
      <c r="D102" s="30" t="s">
        <v>149</v>
      </c>
      <c r="E102" s="31">
        <v>500</v>
      </c>
      <c r="F102" s="32">
        <v>2470.355</v>
      </c>
      <c r="G102" s="33">
        <v>1.0341319999999999E-2</v>
      </c>
      <c r="H102" s="23">
        <v>7.0650000000000004</v>
      </c>
    </row>
    <row r="103" spans="1:8" x14ac:dyDescent="0.2">
      <c r="A103" s="29">
        <v>11</v>
      </c>
      <c r="B103" s="30" t="s">
        <v>216</v>
      </c>
      <c r="C103" s="30" t="s">
        <v>217</v>
      </c>
      <c r="D103" s="30" t="s">
        <v>149</v>
      </c>
      <c r="E103" s="31">
        <v>500</v>
      </c>
      <c r="F103" s="32">
        <v>2363.4850000000001</v>
      </c>
      <c r="G103" s="33">
        <v>9.8939500000000003E-3</v>
      </c>
      <c r="H103" s="23">
        <v>6.8449999999999998</v>
      </c>
    </row>
    <row r="104" spans="1:8" ht="25.5" x14ac:dyDescent="0.2">
      <c r="A104" s="29">
        <v>12</v>
      </c>
      <c r="B104" s="30" t="s">
        <v>218</v>
      </c>
      <c r="C104" s="30" t="s">
        <v>219</v>
      </c>
      <c r="D104" s="30" t="s">
        <v>149</v>
      </c>
      <c r="E104" s="31">
        <v>500</v>
      </c>
      <c r="F104" s="32">
        <v>2346.9749999999999</v>
      </c>
      <c r="G104" s="33">
        <v>9.8248299999999997E-3</v>
      </c>
      <c r="H104" s="23">
        <v>7.5549999999999997</v>
      </c>
    </row>
    <row r="105" spans="1:8" x14ac:dyDescent="0.2">
      <c r="A105" s="29">
        <v>13</v>
      </c>
      <c r="B105" s="30" t="s">
        <v>275</v>
      </c>
      <c r="C105" s="30" t="s">
        <v>276</v>
      </c>
      <c r="D105" s="30" t="s">
        <v>149</v>
      </c>
      <c r="E105" s="31">
        <v>300</v>
      </c>
      <c r="F105" s="32">
        <v>1448.9355</v>
      </c>
      <c r="G105" s="33">
        <v>6.0654899999999998E-3</v>
      </c>
      <c r="H105" s="23">
        <v>6.7350000000000003</v>
      </c>
    </row>
    <row r="106" spans="1:8" x14ac:dyDescent="0.2">
      <c r="A106" s="29">
        <v>14</v>
      </c>
      <c r="B106" s="30" t="s">
        <v>210</v>
      </c>
      <c r="C106" s="30" t="s">
        <v>211</v>
      </c>
      <c r="D106" s="30" t="s">
        <v>149</v>
      </c>
      <c r="E106" s="31">
        <v>200</v>
      </c>
      <c r="F106" s="32">
        <v>940.64499999999998</v>
      </c>
      <c r="G106" s="33">
        <v>3.9376999999999997E-3</v>
      </c>
      <c r="H106" s="23">
        <v>7.1749999999999998</v>
      </c>
    </row>
    <row r="107" spans="1:8" x14ac:dyDescent="0.2">
      <c r="A107" s="21"/>
      <c r="B107" s="21"/>
      <c r="C107" s="22" t="s">
        <v>11</v>
      </c>
      <c r="D107" s="21"/>
      <c r="E107" s="21" t="s">
        <v>12</v>
      </c>
      <c r="F107" s="28">
        <v>51403.161500000002</v>
      </c>
      <c r="G107" s="25">
        <v>0.21518229999999999</v>
      </c>
      <c r="H107" s="23" t="s">
        <v>12</v>
      </c>
    </row>
    <row r="108" spans="1:8" x14ac:dyDescent="0.2">
      <c r="A108" s="21"/>
      <c r="B108" s="21"/>
      <c r="C108" s="26"/>
      <c r="D108" s="21"/>
      <c r="E108" s="21"/>
      <c r="F108" s="27"/>
      <c r="G108" s="27"/>
      <c r="H108" s="23" t="s">
        <v>12</v>
      </c>
    </row>
    <row r="109" spans="1:8" x14ac:dyDescent="0.2">
      <c r="A109" s="21"/>
      <c r="B109" s="21"/>
      <c r="C109" s="22" t="s">
        <v>96</v>
      </c>
      <c r="D109" s="21"/>
      <c r="E109" s="21"/>
      <c r="F109" s="27"/>
      <c r="G109" s="27"/>
      <c r="H109" s="23" t="s">
        <v>12</v>
      </c>
    </row>
    <row r="110" spans="1:8" x14ac:dyDescent="0.2">
      <c r="A110" s="29">
        <v>1</v>
      </c>
      <c r="B110" s="30" t="s">
        <v>478</v>
      </c>
      <c r="C110" s="30" t="s">
        <v>479</v>
      </c>
      <c r="D110" s="30" t="s">
        <v>78</v>
      </c>
      <c r="E110" s="31">
        <v>4000000</v>
      </c>
      <c r="F110" s="32">
        <v>3976.82</v>
      </c>
      <c r="G110" s="33">
        <v>1.6647639999999998E-2</v>
      </c>
      <c r="H110" s="23">
        <v>5.75</v>
      </c>
    </row>
    <row r="111" spans="1:8" x14ac:dyDescent="0.2">
      <c r="A111" s="29">
        <v>2</v>
      </c>
      <c r="B111" s="30" t="s">
        <v>412</v>
      </c>
      <c r="C111" s="30" t="s">
        <v>413</v>
      </c>
      <c r="D111" s="30" t="s">
        <v>78</v>
      </c>
      <c r="E111" s="31">
        <v>2500000</v>
      </c>
      <c r="F111" s="32">
        <v>2494.1774999999998</v>
      </c>
      <c r="G111" s="33">
        <v>1.044105E-2</v>
      </c>
      <c r="H111" s="23">
        <v>5.68</v>
      </c>
    </row>
    <row r="112" spans="1:8" x14ac:dyDescent="0.2">
      <c r="A112" s="21"/>
      <c r="B112" s="21"/>
      <c r="C112" s="22" t="s">
        <v>11</v>
      </c>
      <c r="D112" s="21"/>
      <c r="E112" s="21" t="s">
        <v>12</v>
      </c>
      <c r="F112" s="28">
        <v>6470.9975000000004</v>
      </c>
      <c r="G112" s="25">
        <v>2.7088689999999999E-2</v>
      </c>
      <c r="H112" s="23" t="s">
        <v>12</v>
      </c>
    </row>
    <row r="113" spans="1:17" x14ac:dyDescent="0.2">
      <c r="A113" s="21"/>
      <c r="B113" s="21"/>
      <c r="C113" s="26"/>
      <c r="D113" s="21"/>
      <c r="E113" s="21"/>
      <c r="F113" s="27"/>
      <c r="G113" s="27"/>
      <c r="H113" s="23" t="s">
        <v>12</v>
      </c>
    </row>
    <row r="114" spans="1:17" x14ac:dyDescent="0.2">
      <c r="A114" s="21"/>
      <c r="B114" s="21"/>
      <c r="C114" s="22" t="s">
        <v>97</v>
      </c>
      <c r="D114" s="21"/>
      <c r="E114" s="21"/>
      <c r="F114" s="27"/>
      <c r="G114" s="27"/>
      <c r="H114" s="23" t="s">
        <v>12</v>
      </c>
    </row>
    <row r="115" spans="1:17" x14ac:dyDescent="0.2">
      <c r="A115" s="29">
        <v>1</v>
      </c>
      <c r="B115" s="30"/>
      <c r="C115" s="30" t="s">
        <v>98</v>
      </c>
      <c r="D115" s="30"/>
      <c r="E115" s="34"/>
      <c r="F115" s="32">
        <v>14108.81502201</v>
      </c>
      <c r="G115" s="33">
        <v>5.9061870000000002E-2</v>
      </c>
      <c r="H115" s="23">
        <v>5.73</v>
      </c>
    </row>
    <row r="116" spans="1:17" x14ac:dyDescent="0.2">
      <c r="A116" s="29">
        <v>2</v>
      </c>
      <c r="B116" s="30"/>
      <c r="C116" s="30" t="s">
        <v>480</v>
      </c>
      <c r="D116" s="30"/>
      <c r="E116" s="34"/>
      <c r="F116" s="32">
        <v>11764.639508</v>
      </c>
      <c r="G116" s="33">
        <v>4.9248760000000003E-2</v>
      </c>
      <c r="H116" s="23">
        <v>5.88</v>
      </c>
    </row>
    <row r="117" spans="1:17" x14ac:dyDescent="0.2">
      <c r="A117" s="21"/>
      <c r="B117" s="21"/>
      <c r="C117" s="22" t="s">
        <v>11</v>
      </c>
      <c r="D117" s="21"/>
      <c r="E117" s="21" t="s">
        <v>12</v>
      </c>
      <c r="F117" s="28">
        <v>25873.45453001</v>
      </c>
      <c r="G117" s="25">
        <v>0.10831063</v>
      </c>
      <c r="H117" s="23" t="s">
        <v>12</v>
      </c>
    </row>
    <row r="118" spans="1:17" x14ac:dyDescent="0.2">
      <c r="A118" s="21"/>
      <c r="B118" s="21"/>
      <c r="C118" s="26"/>
      <c r="D118" s="21"/>
      <c r="E118" s="21"/>
      <c r="F118" s="27"/>
      <c r="G118" s="27"/>
      <c r="H118" s="23" t="s">
        <v>12</v>
      </c>
    </row>
    <row r="119" spans="1:17" x14ac:dyDescent="0.2">
      <c r="A119" s="21"/>
      <c r="B119" s="21"/>
      <c r="C119" s="22" t="s">
        <v>99</v>
      </c>
      <c r="D119" s="21"/>
      <c r="E119" s="21"/>
      <c r="F119" s="28">
        <v>205102.52143001001</v>
      </c>
      <c r="G119" s="25">
        <v>0.85859370000000002</v>
      </c>
      <c r="H119" s="23" t="s">
        <v>12</v>
      </c>
    </row>
    <row r="120" spans="1:17" x14ac:dyDescent="0.2">
      <c r="A120" s="21"/>
      <c r="B120" s="21"/>
      <c r="C120" s="27"/>
      <c r="D120" s="21"/>
      <c r="E120" s="21"/>
      <c r="F120" s="21"/>
      <c r="G120" s="21"/>
      <c r="H120" s="23" t="s">
        <v>12</v>
      </c>
    </row>
    <row r="121" spans="1:17" x14ac:dyDescent="0.2">
      <c r="A121" s="21"/>
      <c r="B121" s="21"/>
      <c r="C121" s="22" t="s">
        <v>100</v>
      </c>
      <c r="D121" s="21"/>
      <c r="E121" s="21"/>
      <c r="F121" s="21"/>
      <c r="G121" s="21"/>
      <c r="H121" s="23" t="s">
        <v>12</v>
      </c>
    </row>
    <row r="122" spans="1:17" x14ac:dyDescent="0.2">
      <c r="A122" s="21"/>
      <c r="B122" s="21"/>
      <c r="C122" s="22" t="s">
        <v>101</v>
      </c>
      <c r="D122" s="21"/>
      <c r="E122" s="21"/>
      <c r="F122" s="21"/>
      <c r="G122" s="21"/>
      <c r="H122" s="23" t="s">
        <v>12</v>
      </c>
    </row>
    <row r="123" spans="1:17" x14ac:dyDescent="0.2">
      <c r="A123" s="21"/>
      <c r="B123" s="21"/>
      <c r="C123" s="22" t="s">
        <v>11</v>
      </c>
      <c r="D123" s="21"/>
      <c r="E123" s="21" t="s">
        <v>12</v>
      </c>
      <c r="F123" s="28">
        <f>SUM(F122)</f>
        <v>0</v>
      </c>
      <c r="G123" s="25">
        <f>SUM(G122)</f>
        <v>0</v>
      </c>
      <c r="H123" s="23" t="s">
        <v>12</v>
      </c>
    </row>
    <row r="124" spans="1:17" x14ac:dyDescent="0.2">
      <c r="A124" s="21"/>
      <c r="B124" s="21"/>
      <c r="C124" s="26"/>
      <c r="D124" s="21"/>
      <c r="E124" s="21"/>
      <c r="F124" s="27"/>
      <c r="G124" s="27"/>
      <c r="H124" s="77" t="s">
        <v>12</v>
      </c>
    </row>
    <row r="125" spans="1:17" x14ac:dyDescent="0.2">
      <c r="A125" s="21"/>
      <c r="B125" s="21"/>
      <c r="C125" s="22" t="s">
        <v>566</v>
      </c>
      <c r="D125" s="21"/>
      <c r="E125" s="21"/>
      <c r="F125" s="27"/>
      <c r="G125" s="27"/>
      <c r="H125" s="32"/>
      <c r="K125" s="56"/>
      <c r="L125" s="56"/>
      <c r="M125" s="56"/>
      <c r="N125" s="56"/>
      <c r="O125" s="79"/>
      <c r="P125" s="79"/>
      <c r="Q125" s="79"/>
    </row>
    <row r="126" spans="1:17" ht="25.5" x14ac:dyDescent="0.2">
      <c r="A126" s="29">
        <v>1</v>
      </c>
      <c r="B126" s="30" t="s">
        <v>102</v>
      </c>
      <c r="C126" s="30" t="s">
        <v>103</v>
      </c>
      <c r="D126" s="30"/>
      <c r="E126" s="80">
        <v>5151.0829999999996</v>
      </c>
      <c r="F126" s="32">
        <v>571.09603925700003</v>
      </c>
      <c r="G126" s="33">
        <v>2.3906999999999999E-3</v>
      </c>
      <c r="H126" s="77"/>
    </row>
    <row r="127" spans="1:17" x14ac:dyDescent="0.2">
      <c r="A127" s="21"/>
      <c r="B127" s="21"/>
      <c r="C127" s="22" t="s">
        <v>11</v>
      </c>
      <c r="D127" s="21"/>
      <c r="E127" s="21" t="s">
        <v>12</v>
      </c>
      <c r="F127" s="28">
        <f>SUM(F126)</f>
        <v>571.09603925700003</v>
      </c>
      <c r="G127" s="25">
        <f>SUM(G126)</f>
        <v>2.3906999999999999E-3</v>
      </c>
      <c r="H127" s="77" t="s">
        <v>12</v>
      </c>
    </row>
    <row r="128" spans="1:17" x14ac:dyDescent="0.2">
      <c r="A128" s="21"/>
      <c r="B128" s="21"/>
      <c r="C128" s="26"/>
      <c r="D128" s="21"/>
      <c r="E128" s="21"/>
      <c r="F128" s="27"/>
      <c r="G128" s="27"/>
      <c r="H128" s="23" t="s">
        <v>12</v>
      </c>
    </row>
    <row r="129" spans="1:9" x14ac:dyDescent="0.2">
      <c r="A129" s="21"/>
      <c r="B129" s="21"/>
      <c r="C129" s="22" t="s">
        <v>104</v>
      </c>
      <c r="D129" s="21"/>
      <c r="E129" s="21"/>
      <c r="F129" s="21"/>
      <c r="G129" s="21"/>
      <c r="H129" s="23" t="s">
        <v>12</v>
      </c>
    </row>
    <row r="130" spans="1:9" x14ac:dyDescent="0.2">
      <c r="A130" s="21"/>
      <c r="B130" s="21"/>
      <c r="C130" s="22" t="s">
        <v>105</v>
      </c>
      <c r="D130" s="21"/>
      <c r="E130" s="21"/>
      <c r="F130" s="21"/>
      <c r="G130" s="21"/>
      <c r="H130" s="23" t="s">
        <v>12</v>
      </c>
    </row>
    <row r="131" spans="1:9" x14ac:dyDescent="0.2">
      <c r="A131" s="21"/>
      <c r="B131" s="21"/>
      <c r="C131" s="22" t="s">
        <v>11</v>
      </c>
      <c r="D131" s="21"/>
      <c r="E131" s="21" t="s">
        <v>12</v>
      </c>
      <c r="F131" s="24" t="s">
        <v>13</v>
      </c>
      <c r="G131" s="25">
        <v>0</v>
      </c>
      <c r="H131" s="23" t="s">
        <v>12</v>
      </c>
    </row>
    <row r="132" spans="1:9" x14ac:dyDescent="0.2">
      <c r="A132" s="21"/>
      <c r="B132" s="21"/>
      <c r="C132" s="26"/>
      <c r="D132" s="21"/>
      <c r="E132" s="21"/>
      <c r="F132" s="27"/>
      <c r="G132" s="27"/>
      <c r="H132" s="23" t="s">
        <v>12</v>
      </c>
    </row>
    <row r="133" spans="1:9" x14ac:dyDescent="0.2">
      <c r="A133" s="21"/>
      <c r="B133" s="21"/>
      <c r="C133" s="22" t="s">
        <v>106</v>
      </c>
      <c r="D133" s="21"/>
      <c r="E133" s="21"/>
      <c r="F133" s="27"/>
      <c r="G133" s="27"/>
      <c r="H133" s="23" t="s">
        <v>12</v>
      </c>
    </row>
    <row r="134" spans="1:9" x14ac:dyDescent="0.2">
      <c r="A134" s="21"/>
      <c r="B134" s="21"/>
      <c r="C134" s="22" t="s">
        <v>11</v>
      </c>
      <c r="D134" s="21"/>
      <c r="E134" s="21" t="s">
        <v>12</v>
      </c>
      <c r="F134" s="24" t="s">
        <v>13</v>
      </c>
      <c r="G134" s="25">
        <v>0</v>
      </c>
      <c r="H134" s="23" t="s">
        <v>12</v>
      </c>
    </row>
    <row r="135" spans="1:9" x14ac:dyDescent="0.2">
      <c r="A135" s="21"/>
      <c r="B135" s="21"/>
      <c r="C135" s="26"/>
      <c r="D135" s="21"/>
      <c r="E135" s="21"/>
      <c r="F135" s="27"/>
      <c r="G135" s="27"/>
      <c r="H135" s="77" t="s">
        <v>12</v>
      </c>
      <c r="I135" s="127"/>
    </row>
    <row r="136" spans="1:9" x14ac:dyDescent="0.2">
      <c r="A136" s="128"/>
      <c r="B136" s="128"/>
      <c r="C136" s="129" t="s">
        <v>645</v>
      </c>
      <c r="D136" s="130"/>
      <c r="E136" s="131"/>
      <c r="F136" s="131"/>
      <c r="G136" s="130"/>
      <c r="H136" s="131"/>
      <c r="I136" s="127"/>
    </row>
    <row r="137" spans="1:9" ht="21.75" x14ac:dyDescent="0.2">
      <c r="A137" s="128"/>
      <c r="B137" s="128"/>
      <c r="C137" s="132" t="s">
        <v>646</v>
      </c>
      <c r="D137" s="130"/>
      <c r="E137" s="133">
        <v>2500000</v>
      </c>
      <c r="F137" s="77">
        <f>-735500/10^5</f>
        <v>-7.3550000000000004</v>
      </c>
      <c r="G137" s="134" t="s">
        <v>647</v>
      </c>
      <c r="H137" s="131"/>
      <c r="I137" s="127"/>
    </row>
    <row r="138" spans="1:9" ht="21.75" x14ac:dyDescent="0.2">
      <c r="A138" s="128"/>
      <c r="B138" s="128"/>
      <c r="C138" s="132" t="s">
        <v>648</v>
      </c>
      <c r="D138" s="130"/>
      <c r="E138" s="133">
        <v>2500000</v>
      </c>
      <c r="F138" s="77">
        <f>-894500/10^5</f>
        <v>-8.9450000000000003</v>
      </c>
      <c r="G138" s="134" t="s">
        <v>647</v>
      </c>
      <c r="H138" s="131"/>
      <c r="I138" s="127"/>
    </row>
    <row r="139" spans="1:9" ht="21.75" x14ac:dyDescent="0.2">
      <c r="A139" s="128"/>
      <c r="B139" s="128"/>
      <c r="C139" s="132" t="s">
        <v>649</v>
      </c>
      <c r="D139" s="130"/>
      <c r="E139" s="133">
        <v>2500000</v>
      </c>
      <c r="F139" s="77">
        <f>-716000/10^5</f>
        <v>-7.16</v>
      </c>
      <c r="G139" s="134" t="s">
        <v>647</v>
      </c>
      <c r="H139" s="131"/>
      <c r="I139" s="127"/>
    </row>
    <row r="140" spans="1:9" x14ac:dyDescent="0.2">
      <c r="A140" s="21"/>
      <c r="B140" s="30"/>
      <c r="C140" s="30"/>
      <c r="D140" s="22"/>
      <c r="E140" s="21"/>
      <c r="F140" s="30"/>
      <c r="G140" s="34"/>
      <c r="H140" s="23" t="s">
        <v>12</v>
      </c>
    </row>
    <row r="141" spans="1:9" x14ac:dyDescent="0.2">
      <c r="A141" s="34"/>
      <c r="B141" s="30"/>
      <c r="C141" s="30" t="s">
        <v>107</v>
      </c>
      <c r="D141" s="30"/>
      <c r="E141" s="34"/>
      <c r="F141" s="32">
        <f>-6522.05091247+2500+2500+2500+0.0000160329818725586</f>
        <v>977.94910356298169</v>
      </c>
      <c r="G141" s="33">
        <f>F141/F142</f>
        <v>4.0938594971289188E-3</v>
      </c>
      <c r="H141" s="23" t="s">
        <v>12</v>
      </c>
    </row>
    <row r="142" spans="1:9" x14ac:dyDescent="0.2">
      <c r="A142" s="26"/>
      <c r="B142" s="26"/>
      <c r="C142" s="22" t="s">
        <v>108</v>
      </c>
      <c r="D142" s="27"/>
      <c r="E142" s="27"/>
      <c r="F142" s="28">
        <f>F141+F139+F138+F137+F127+F119+F51+F24</f>
        <v>238881.94117282997</v>
      </c>
      <c r="G142" s="35">
        <v>1.0000000419229034</v>
      </c>
      <c r="H142" s="23" t="s">
        <v>12</v>
      </c>
    </row>
    <row r="143" spans="1:9" x14ac:dyDescent="0.2">
      <c r="A143" s="36"/>
      <c r="B143" s="36"/>
      <c r="C143" s="36"/>
      <c r="D143" s="37"/>
      <c r="E143" s="37"/>
      <c r="F143" s="37"/>
      <c r="G143" s="37"/>
    </row>
    <row r="144" spans="1:9" x14ac:dyDescent="0.2">
      <c r="A144" s="38"/>
      <c r="B144" s="39" t="s">
        <v>567</v>
      </c>
      <c r="C144" s="39"/>
      <c r="D144" s="39"/>
      <c r="E144" s="39"/>
      <c r="F144" s="39"/>
      <c r="G144" s="39"/>
      <c r="H144" s="39"/>
    </row>
    <row r="145" spans="1:9" x14ac:dyDescent="0.2">
      <c r="A145" s="38"/>
      <c r="B145" s="39" t="s">
        <v>568</v>
      </c>
      <c r="C145" s="39"/>
      <c r="D145" s="39"/>
      <c r="E145" s="39"/>
      <c r="F145" s="39"/>
      <c r="G145" s="39"/>
      <c r="H145" s="39"/>
    </row>
    <row r="146" spans="1:9" x14ac:dyDescent="0.2">
      <c r="A146" s="38"/>
      <c r="B146" s="39" t="s">
        <v>569</v>
      </c>
      <c r="C146" s="39"/>
      <c r="D146" s="39"/>
      <c r="E146" s="39"/>
      <c r="F146" s="39"/>
      <c r="G146" s="39"/>
      <c r="H146" s="39"/>
    </row>
    <row r="147" spans="1:9" ht="66" customHeight="1" x14ac:dyDescent="0.2">
      <c r="A147" s="38"/>
      <c r="B147" s="135" t="s">
        <v>650</v>
      </c>
      <c r="C147" s="135"/>
      <c r="D147" s="135"/>
      <c r="E147" s="135"/>
      <c r="F147" s="135"/>
      <c r="G147" s="135"/>
      <c r="H147" s="135"/>
      <c r="I147" s="127"/>
    </row>
    <row r="148" spans="1:9" x14ac:dyDescent="0.2">
      <c r="A148" s="38"/>
      <c r="B148" s="38"/>
      <c r="C148" s="38"/>
      <c r="D148" s="40"/>
      <c r="E148" s="40"/>
      <c r="F148" s="40"/>
      <c r="G148" s="40"/>
    </row>
    <row r="149" spans="1:9" x14ac:dyDescent="0.2">
      <c r="A149" s="38"/>
      <c r="B149" s="41" t="s">
        <v>109</v>
      </c>
      <c r="C149" s="42"/>
      <c r="D149" s="43"/>
      <c r="E149" s="44"/>
      <c r="F149" s="40"/>
      <c r="G149" s="40"/>
    </row>
    <row r="150" spans="1:9" ht="25.5" customHeight="1" x14ac:dyDescent="0.2">
      <c r="A150" s="38"/>
      <c r="B150" s="45" t="s">
        <v>110</v>
      </c>
      <c r="C150" s="46"/>
      <c r="D150" s="22" t="s">
        <v>589</v>
      </c>
      <c r="E150" s="44"/>
      <c r="F150" s="40"/>
      <c r="G150" s="40"/>
    </row>
    <row r="151" spans="1:9" x14ac:dyDescent="0.2">
      <c r="A151" s="38"/>
      <c r="B151" s="45" t="s">
        <v>112</v>
      </c>
      <c r="C151" s="46"/>
      <c r="D151" s="22" t="s">
        <v>111</v>
      </c>
      <c r="E151" s="44"/>
      <c r="F151" s="40"/>
      <c r="G151" s="40"/>
    </row>
    <row r="152" spans="1:9" x14ac:dyDescent="0.2">
      <c r="A152" s="38"/>
      <c r="B152" s="45" t="s">
        <v>113</v>
      </c>
      <c r="C152" s="46"/>
      <c r="D152" s="27" t="s">
        <v>12</v>
      </c>
      <c r="E152" s="44"/>
      <c r="F152" s="40"/>
      <c r="G152" s="40"/>
    </row>
    <row r="153" spans="1:9" x14ac:dyDescent="0.2">
      <c r="A153" s="47"/>
      <c r="B153" s="48" t="s">
        <v>12</v>
      </c>
      <c r="C153" s="48" t="s">
        <v>570</v>
      </c>
      <c r="D153" s="48" t="s">
        <v>114</v>
      </c>
      <c r="E153" s="47"/>
      <c r="F153" s="47"/>
      <c r="G153" s="47"/>
    </row>
    <row r="154" spans="1:9" x14ac:dyDescent="0.2">
      <c r="A154" s="47"/>
      <c r="B154" s="49" t="s">
        <v>115</v>
      </c>
      <c r="C154" s="50">
        <v>45747</v>
      </c>
      <c r="D154" s="50">
        <v>45762</v>
      </c>
      <c r="E154" s="47"/>
      <c r="F154" s="47"/>
      <c r="G154" s="47"/>
    </row>
    <row r="155" spans="1:9" x14ac:dyDescent="0.2">
      <c r="A155" s="47"/>
      <c r="B155" s="30" t="s">
        <v>116</v>
      </c>
      <c r="C155" s="51">
        <v>2873.1304</v>
      </c>
      <c r="D155" s="51">
        <v>2886.8696</v>
      </c>
      <c r="E155" s="47"/>
      <c r="F155" s="52"/>
      <c r="G155" s="53"/>
    </row>
    <row r="156" spans="1:9" ht="25.5" x14ac:dyDescent="0.2">
      <c r="A156" s="47"/>
      <c r="B156" s="30" t="s">
        <v>695</v>
      </c>
      <c r="C156" s="51">
        <v>1065.7564</v>
      </c>
      <c r="D156" s="51">
        <v>1070.8527999999999</v>
      </c>
      <c r="E156" s="47"/>
      <c r="F156" s="52"/>
      <c r="G156" s="53"/>
    </row>
    <row r="157" spans="1:9" ht="25.5" x14ac:dyDescent="0.2">
      <c r="A157" s="47"/>
      <c r="B157" s="30" t="s">
        <v>696</v>
      </c>
      <c r="C157" s="51">
        <v>1203.2842000000001</v>
      </c>
      <c r="D157" s="51">
        <v>1209.0417</v>
      </c>
      <c r="E157" s="47"/>
      <c r="F157" s="52"/>
      <c r="G157" s="53"/>
    </row>
    <row r="158" spans="1:9" x14ac:dyDescent="0.2">
      <c r="A158" s="47"/>
      <c r="B158" s="30" t="s">
        <v>117</v>
      </c>
      <c r="C158" s="51">
        <v>2642.4996999999998</v>
      </c>
      <c r="D158" s="51">
        <v>2653.7671999999998</v>
      </c>
      <c r="E158" s="47"/>
      <c r="F158" s="52"/>
      <c r="G158" s="53"/>
    </row>
    <row r="159" spans="1:9" ht="25.5" x14ac:dyDescent="0.2">
      <c r="A159" s="47"/>
      <c r="B159" s="30" t="s">
        <v>699</v>
      </c>
      <c r="C159" s="51">
        <v>1063.8132000000001</v>
      </c>
      <c r="D159" s="51">
        <v>1068.3492000000001</v>
      </c>
      <c r="E159" s="47"/>
      <c r="F159" s="52"/>
      <c r="G159" s="53"/>
    </row>
    <row r="160" spans="1:9" ht="25.5" x14ac:dyDescent="0.2">
      <c r="A160" s="47"/>
      <c r="B160" s="30" t="s">
        <v>665</v>
      </c>
      <c r="C160" s="51">
        <v>1154.0165</v>
      </c>
      <c r="D160" s="51">
        <v>1158.9371000000001</v>
      </c>
      <c r="E160" s="47"/>
      <c r="F160" s="52"/>
      <c r="G160" s="53"/>
    </row>
    <row r="161" spans="1:15" x14ac:dyDescent="0.2">
      <c r="A161" s="47"/>
      <c r="B161" s="47"/>
      <c r="C161" s="47"/>
      <c r="D161" s="47"/>
      <c r="E161" s="47"/>
      <c r="F161" s="47"/>
      <c r="G161" s="47"/>
    </row>
    <row r="162" spans="1:15" x14ac:dyDescent="0.2">
      <c r="A162" s="47"/>
      <c r="B162" s="45" t="s">
        <v>702</v>
      </c>
      <c r="C162" s="46"/>
      <c r="D162" s="22" t="s">
        <v>111</v>
      </c>
      <c r="E162" s="47"/>
      <c r="F162" s="47"/>
      <c r="G162" s="47"/>
    </row>
    <row r="163" spans="1:15" x14ac:dyDescent="0.2">
      <c r="A163" s="47"/>
      <c r="B163" s="54"/>
      <c r="C163" s="54"/>
      <c r="D163" s="54"/>
      <c r="E163" s="47"/>
      <c r="F163" s="47"/>
      <c r="G163" s="47"/>
    </row>
    <row r="164" spans="1:15" ht="25.5" x14ac:dyDescent="0.2">
      <c r="A164" s="47"/>
      <c r="B164" s="45" t="s">
        <v>118</v>
      </c>
      <c r="C164" s="46"/>
      <c r="D164" s="22" t="s">
        <v>651</v>
      </c>
      <c r="E164" s="55"/>
      <c r="F164" s="47"/>
      <c r="G164" s="47"/>
      <c r="I164" s="127"/>
    </row>
    <row r="165" spans="1:15" ht="27" customHeight="1" x14ac:dyDescent="0.2">
      <c r="A165" s="47"/>
      <c r="B165" s="45" t="s">
        <v>119</v>
      </c>
      <c r="C165" s="46"/>
      <c r="D165" s="22" t="s">
        <v>111</v>
      </c>
      <c r="E165" s="55"/>
      <c r="F165" s="47"/>
      <c r="G165" s="47"/>
      <c r="I165" s="127"/>
    </row>
    <row r="166" spans="1:15" ht="27.75" customHeight="1" x14ac:dyDescent="0.2">
      <c r="A166" s="47"/>
      <c r="B166" s="45" t="s">
        <v>571</v>
      </c>
      <c r="C166" s="46"/>
      <c r="D166" s="22" t="s">
        <v>111</v>
      </c>
      <c r="E166" s="55"/>
      <c r="F166" s="47"/>
      <c r="G166" s="47"/>
      <c r="I166" s="127"/>
      <c r="J166" s="20"/>
    </row>
    <row r="167" spans="1:15" ht="12.75" customHeight="1" x14ac:dyDescent="0.2">
      <c r="A167" s="54"/>
      <c r="B167" s="54"/>
      <c r="C167" s="54"/>
      <c r="D167" s="54"/>
      <c r="E167" s="54"/>
      <c r="F167" s="54"/>
      <c r="G167" s="54"/>
      <c r="I167" s="127"/>
      <c r="J167" s="20"/>
    </row>
    <row r="168" spans="1:15" ht="13.5" x14ac:dyDescent="0.25">
      <c r="A168" s="54"/>
      <c r="B168" s="136" t="s">
        <v>692</v>
      </c>
      <c r="C168" s="54"/>
      <c r="D168" s="54"/>
      <c r="E168" s="54"/>
      <c r="F168" s="54"/>
      <c r="G168" s="54"/>
      <c r="H168" s="54"/>
      <c r="I168" s="127"/>
      <c r="J168" s="20"/>
    </row>
    <row r="169" spans="1:15" s="20" customFormat="1" ht="51" x14ac:dyDescent="0.2">
      <c r="A169" s="137"/>
      <c r="B169" s="138" t="s">
        <v>652</v>
      </c>
      <c r="C169" s="138" t="s">
        <v>653</v>
      </c>
      <c r="D169" s="139" t="s">
        <v>654</v>
      </c>
      <c r="E169" s="139" t="s">
        <v>655</v>
      </c>
      <c r="F169" s="138" t="s">
        <v>656</v>
      </c>
      <c r="G169" s="138" t="s">
        <v>657</v>
      </c>
      <c r="H169" s="138" t="s">
        <v>8</v>
      </c>
      <c r="I169" s="140"/>
    </row>
    <row r="170" spans="1:15" s="61" customFormat="1" x14ac:dyDescent="0.2">
      <c r="A170" s="141"/>
      <c r="B170" s="142" t="s">
        <v>658</v>
      </c>
      <c r="C170" s="142" t="s">
        <v>659</v>
      </c>
      <c r="D170" s="143" t="s">
        <v>660</v>
      </c>
      <c r="E170" s="144" t="s">
        <v>661</v>
      </c>
      <c r="F170" s="145">
        <v>2500</v>
      </c>
      <c r="G170" s="146">
        <v>46002</v>
      </c>
      <c r="H170" s="33">
        <v>1.0465420649739536E-2</v>
      </c>
      <c r="I170" s="147"/>
      <c r="J170" s="20"/>
    </row>
    <row r="171" spans="1:15" s="61" customFormat="1" x14ac:dyDescent="0.2">
      <c r="A171" s="141"/>
      <c r="B171" s="142" t="s">
        <v>658</v>
      </c>
      <c r="C171" s="142" t="s">
        <v>662</v>
      </c>
      <c r="D171" s="143" t="s">
        <v>660</v>
      </c>
      <c r="E171" s="144" t="s">
        <v>661</v>
      </c>
      <c r="F171" s="145">
        <v>2500</v>
      </c>
      <c r="G171" s="146">
        <v>46087</v>
      </c>
      <c r="H171" s="33">
        <v>1.0465420649739536E-2</v>
      </c>
      <c r="I171" s="147"/>
      <c r="J171" s="20"/>
    </row>
    <row r="172" spans="1:15" s="61" customFormat="1" x14ac:dyDescent="0.2">
      <c r="A172" s="141"/>
      <c r="B172" s="142" t="s">
        <v>658</v>
      </c>
      <c r="C172" s="142" t="s">
        <v>663</v>
      </c>
      <c r="D172" s="143" t="s">
        <v>660</v>
      </c>
      <c r="E172" s="144" t="s">
        <v>661</v>
      </c>
      <c r="F172" s="145">
        <v>2500</v>
      </c>
      <c r="G172" s="146">
        <v>46101</v>
      </c>
      <c r="H172" s="33">
        <v>1.0465420649739536E-2</v>
      </c>
      <c r="I172" s="147"/>
      <c r="J172" s="20"/>
    </row>
    <row r="173" spans="1:15" s="76" customFormat="1" x14ac:dyDescent="0.2">
      <c r="A173" s="54"/>
      <c r="B173" s="54"/>
      <c r="C173" s="54"/>
      <c r="D173" s="54"/>
      <c r="E173" s="54"/>
      <c r="F173" s="54"/>
      <c r="G173" s="54"/>
      <c r="H173" s="17"/>
      <c r="I173" s="148"/>
      <c r="J173" s="149"/>
      <c r="K173" s="149"/>
      <c r="L173" s="149"/>
      <c r="M173" s="149"/>
      <c r="N173" s="149"/>
      <c r="O173" s="149"/>
    </row>
    <row r="174" spans="1:15" x14ac:dyDescent="0.2">
      <c r="A174" s="60"/>
      <c r="B174" s="150" t="s">
        <v>691</v>
      </c>
      <c r="C174" s="150"/>
      <c r="D174" s="150"/>
      <c r="E174" s="150"/>
      <c r="F174" s="150"/>
      <c r="G174" s="150"/>
      <c r="H174" s="60"/>
      <c r="I174" s="127"/>
      <c r="J174" s="20"/>
    </row>
    <row r="175" spans="1:15" ht="13.5" customHeight="1" x14ac:dyDescent="0.2">
      <c r="B175" s="151" t="s">
        <v>591</v>
      </c>
      <c r="C175" s="151" t="s">
        <v>592</v>
      </c>
      <c r="D175" s="152" t="s">
        <v>602</v>
      </c>
      <c r="E175" s="153"/>
      <c r="F175" s="154"/>
      <c r="G175" s="155" t="s">
        <v>610</v>
      </c>
      <c r="H175" s="156"/>
      <c r="I175" s="157"/>
      <c r="J175" s="56"/>
      <c r="K175" s="56"/>
      <c r="L175" s="56"/>
      <c r="M175" s="56"/>
      <c r="N175" s="56"/>
      <c r="O175" s="56"/>
    </row>
    <row r="176" spans="1:15" ht="46.5" customHeight="1" x14ac:dyDescent="0.2">
      <c r="B176" s="158"/>
      <c r="C176" s="158"/>
      <c r="D176" s="159" t="s">
        <v>611</v>
      </c>
      <c r="E176" s="159" t="s">
        <v>612</v>
      </c>
      <c r="F176" s="159" t="s">
        <v>613</v>
      </c>
      <c r="G176" s="160" t="s">
        <v>627</v>
      </c>
      <c r="H176" s="161"/>
      <c r="I176" s="159" t="s">
        <v>615</v>
      </c>
      <c r="J176" s="56"/>
      <c r="K176" s="56"/>
      <c r="L176" s="56"/>
      <c r="M176" s="56"/>
      <c r="N176" s="56"/>
      <c r="O176" s="56"/>
    </row>
    <row r="177" spans="2:16" ht="21" customHeight="1" x14ac:dyDescent="0.2">
      <c r="B177" s="162"/>
      <c r="C177" s="162"/>
      <c r="D177" s="163"/>
      <c r="E177" s="163"/>
      <c r="F177" s="163"/>
      <c r="G177" s="164" t="s">
        <v>616</v>
      </c>
      <c r="H177" s="164" t="s">
        <v>617</v>
      </c>
      <c r="I177" s="163"/>
      <c r="J177" s="56"/>
      <c r="K177" s="56"/>
      <c r="L177" s="56"/>
      <c r="M177" s="56"/>
      <c r="N177" s="56"/>
      <c r="O177" s="56"/>
    </row>
    <row r="178" spans="2:16" ht="13.5" x14ac:dyDescent="0.25">
      <c r="B178" s="165" t="s">
        <v>618</v>
      </c>
      <c r="C178" s="166" t="s">
        <v>619</v>
      </c>
      <c r="D178" s="167">
        <v>488.84800000000001</v>
      </c>
      <c r="E178" s="12">
        <v>11.151999999999999</v>
      </c>
      <c r="F178" s="168">
        <f>D178+E178</f>
        <v>500</v>
      </c>
      <c r="G178" s="13">
        <v>21.175720568999996</v>
      </c>
      <c r="H178" s="13">
        <v>13.34</v>
      </c>
      <c r="I178" s="13">
        <f>G178+H178</f>
        <v>34.515720568999996</v>
      </c>
      <c r="J178" s="56"/>
      <c r="K178" s="56"/>
      <c r="L178" s="56"/>
      <c r="M178" s="56"/>
      <c r="N178" s="56"/>
      <c r="O178" s="56"/>
    </row>
    <row r="179" spans="2:16" ht="6.75" customHeight="1" x14ac:dyDescent="0.25">
      <c r="B179" s="169"/>
      <c r="C179" s="170"/>
      <c r="D179" s="171"/>
      <c r="E179" s="11"/>
      <c r="F179" s="172"/>
      <c r="G179" s="9"/>
      <c r="H179" s="9"/>
      <c r="I179" s="9"/>
      <c r="J179" s="56"/>
      <c r="K179" s="56"/>
      <c r="L179" s="56"/>
      <c r="M179" s="56"/>
      <c r="N179" s="56"/>
      <c r="O179" s="56"/>
    </row>
    <row r="180" spans="2:16" ht="51" customHeight="1" x14ac:dyDescent="0.2">
      <c r="B180" s="173" t="s">
        <v>620</v>
      </c>
      <c r="C180" s="173"/>
      <c r="D180" s="173"/>
      <c r="E180" s="173"/>
      <c r="F180" s="173"/>
      <c r="G180" s="173"/>
      <c r="H180" s="173"/>
      <c r="I180" s="173"/>
      <c r="J180" s="174"/>
      <c r="K180" s="56"/>
      <c r="L180" s="56"/>
      <c r="M180" s="56"/>
      <c r="N180" s="56"/>
      <c r="O180" s="56"/>
    </row>
    <row r="181" spans="2:16" ht="13.5" x14ac:dyDescent="0.25">
      <c r="B181" s="97" t="s">
        <v>621</v>
      </c>
      <c r="I181" s="56"/>
      <c r="J181" s="20"/>
      <c r="K181" s="56"/>
      <c r="L181" s="56"/>
      <c r="M181" s="56"/>
      <c r="N181" s="56"/>
      <c r="O181" s="56"/>
      <c r="P181" s="56"/>
    </row>
    <row r="182" spans="2:16" ht="7.5" customHeight="1" x14ac:dyDescent="0.2">
      <c r="B182" s="98"/>
      <c r="J182" s="20"/>
      <c r="K182" s="56"/>
      <c r="L182" s="56"/>
      <c r="M182" s="56"/>
      <c r="N182" s="56"/>
      <c r="O182" s="56"/>
    </row>
    <row r="183" spans="2:16" x14ac:dyDescent="0.2">
      <c r="B183" s="98" t="s">
        <v>625</v>
      </c>
      <c r="J183" s="20"/>
      <c r="K183" s="56"/>
      <c r="L183" s="56"/>
      <c r="M183" s="56"/>
      <c r="N183" s="56"/>
      <c r="O183" s="56"/>
    </row>
    <row r="184" spans="2:16" s="60" customFormat="1" x14ac:dyDescent="0.2">
      <c r="I184" s="127"/>
      <c r="J184" s="20"/>
      <c r="K184" s="56"/>
      <c r="L184" s="56"/>
      <c r="M184" s="56"/>
      <c r="N184" s="56"/>
      <c r="O184" s="61"/>
    </row>
    <row r="185" spans="2:16" s="60" customFormat="1" x14ac:dyDescent="0.2">
      <c r="B185" s="175" t="s">
        <v>572</v>
      </c>
      <c r="C185" s="176"/>
      <c r="D185" s="177"/>
      <c r="I185" s="127"/>
      <c r="J185" s="20"/>
      <c r="K185" s="56"/>
      <c r="L185" s="56"/>
      <c r="M185" s="56"/>
      <c r="N185" s="56"/>
      <c r="O185" s="61"/>
    </row>
    <row r="186" spans="2:16" s="60" customFormat="1" ht="38.25" x14ac:dyDescent="0.2">
      <c r="B186" s="178" t="s">
        <v>573</v>
      </c>
      <c r="C186" s="178"/>
      <c r="D186" s="179" t="s">
        <v>435</v>
      </c>
      <c r="I186" s="127"/>
      <c r="J186" s="20"/>
      <c r="K186" s="56"/>
      <c r="L186" s="56"/>
      <c r="M186" s="56"/>
      <c r="N186" s="56"/>
      <c r="O186" s="61"/>
    </row>
    <row r="187" spans="2:16" s="60" customFormat="1" x14ac:dyDescent="0.2">
      <c r="B187" s="180" t="s">
        <v>574</v>
      </c>
      <c r="C187" s="180"/>
      <c r="D187" s="181"/>
      <c r="I187" s="127"/>
      <c r="J187" s="20"/>
      <c r="K187" s="56"/>
      <c r="L187" s="56"/>
      <c r="M187" s="56"/>
      <c r="N187" s="56"/>
      <c r="O187" s="61"/>
    </row>
    <row r="188" spans="2:16" s="60" customFormat="1" x14ac:dyDescent="0.2">
      <c r="B188" s="180"/>
      <c r="C188" s="180"/>
      <c r="D188" s="182"/>
      <c r="I188" s="127"/>
      <c r="J188" s="20"/>
      <c r="K188" s="56"/>
      <c r="L188" s="56"/>
      <c r="M188" s="56"/>
      <c r="N188" s="56"/>
      <c r="O188" s="61"/>
    </row>
    <row r="189" spans="2:16" s="60" customFormat="1" x14ac:dyDescent="0.2">
      <c r="B189" s="180" t="s">
        <v>575</v>
      </c>
      <c r="C189" s="180"/>
      <c r="D189" s="67">
        <v>6.7096926173487264</v>
      </c>
      <c r="I189" s="127"/>
      <c r="J189" s="20"/>
      <c r="K189" s="56"/>
      <c r="L189" s="56"/>
      <c r="M189" s="56"/>
      <c r="N189" s="56"/>
      <c r="O189" s="61"/>
    </row>
    <row r="190" spans="2:16" s="60" customFormat="1" x14ac:dyDescent="0.2">
      <c r="B190" s="64"/>
      <c r="C190" s="64"/>
      <c r="D190" s="66"/>
      <c r="I190" s="127"/>
      <c r="J190" s="20"/>
      <c r="K190" s="56"/>
      <c r="L190" s="56"/>
      <c r="M190" s="56"/>
      <c r="N190" s="56"/>
      <c r="O190" s="61"/>
    </row>
    <row r="191" spans="2:16" s="60" customFormat="1" x14ac:dyDescent="0.2">
      <c r="B191" s="64" t="s">
        <v>576</v>
      </c>
      <c r="C191" s="64"/>
      <c r="D191" s="67">
        <v>0.49664007901276908</v>
      </c>
      <c r="I191" s="127"/>
      <c r="J191" s="20"/>
      <c r="K191" s="56"/>
      <c r="L191" s="56"/>
      <c r="M191" s="56"/>
      <c r="N191" s="56"/>
      <c r="O191" s="61"/>
    </row>
    <row r="192" spans="2:16" s="60" customFormat="1" x14ac:dyDescent="0.2">
      <c r="B192" s="64" t="s">
        <v>577</v>
      </c>
      <c r="C192" s="64"/>
      <c r="D192" s="67">
        <v>0.49664007901276908</v>
      </c>
      <c r="I192" s="127"/>
      <c r="J192" s="20"/>
      <c r="K192" s="56"/>
      <c r="L192" s="56"/>
      <c r="M192" s="56"/>
      <c r="N192" s="56"/>
      <c r="O192" s="61"/>
    </row>
    <row r="193" spans="1:17" s="60" customFormat="1" x14ac:dyDescent="0.2">
      <c r="B193" s="64"/>
      <c r="C193" s="64"/>
      <c r="D193" s="66"/>
      <c r="I193" s="127"/>
      <c r="J193" s="20"/>
      <c r="K193" s="56"/>
      <c r="L193" s="56"/>
      <c r="M193" s="56"/>
      <c r="N193" s="56"/>
      <c r="O193" s="61"/>
    </row>
    <row r="194" spans="1:17" s="60" customFormat="1" x14ac:dyDescent="0.2">
      <c r="B194" s="64" t="s">
        <v>578</v>
      </c>
      <c r="C194" s="64"/>
      <c r="D194" s="69" t="s">
        <v>690</v>
      </c>
      <c r="I194" s="127"/>
      <c r="J194" s="20"/>
      <c r="K194" s="56"/>
      <c r="L194" s="56"/>
      <c r="M194" s="56"/>
      <c r="N194" s="56"/>
      <c r="O194" s="61"/>
    </row>
    <row r="195" spans="1:17" s="60" customFormat="1" x14ac:dyDescent="0.2">
      <c r="B195" s="70" t="s">
        <v>579</v>
      </c>
      <c r="C195" s="71"/>
      <c r="D195" s="72"/>
      <c r="I195" s="127"/>
      <c r="J195" s="20"/>
      <c r="K195" s="56"/>
      <c r="L195" s="56"/>
      <c r="M195" s="56"/>
      <c r="N195" s="56"/>
      <c r="O195" s="61"/>
    </row>
    <row r="196" spans="1:17" s="60" customFormat="1" x14ac:dyDescent="0.2">
      <c r="B196" s="52"/>
      <c r="C196" s="52"/>
      <c r="D196" s="52"/>
      <c r="I196" s="127"/>
      <c r="J196" s="20"/>
      <c r="K196" s="56"/>
      <c r="L196" s="56"/>
      <c r="M196" s="56"/>
      <c r="N196" s="56"/>
      <c r="O196" s="61"/>
    </row>
    <row r="197" spans="1:17" s="60" customFormat="1" x14ac:dyDescent="0.2">
      <c r="A197" s="17"/>
      <c r="B197" s="74" t="s">
        <v>580</v>
      </c>
      <c r="C197" s="17"/>
      <c r="D197" s="17"/>
      <c r="E197" s="17"/>
      <c r="F197" s="17"/>
      <c r="G197" s="17"/>
      <c r="H197" s="17"/>
      <c r="I197" s="127"/>
      <c r="J197" s="20"/>
      <c r="K197" s="56"/>
      <c r="L197" s="56"/>
      <c r="M197" s="56"/>
      <c r="N197" s="56"/>
      <c r="O197" s="61"/>
      <c r="P197" s="17"/>
      <c r="Q197" s="17"/>
    </row>
    <row r="198" spans="1:17" x14ac:dyDescent="0.2">
      <c r="I198" s="127"/>
    </row>
    <row r="199" spans="1:17" ht="153.75" customHeight="1" x14ac:dyDescent="0.2">
      <c r="I199" s="127"/>
    </row>
    <row r="200" spans="1:17" ht="25.5" customHeight="1" x14ac:dyDescent="0.2">
      <c r="I200" s="127"/>
    </row>
    <row r="201" spans="1:17" x14ac:dyDescent="0.2">
      <c r="B201" s="75" t="s">
        <v>581</v>
      </c>
      <c r="C201" s="76"/>
      <c r="D201" s="75"/>
      <c r="I201" s="127"/>
    </row>
    <row r="202" spans="1:17" x14ac:dyDescent="0.2">
      <c r="B202" s="75" t="s">
        <v>664</v>
      </c>
      <c r="D202" s="75"/>
      <c r="I202" s="127"/>
    </row>
    <row r="203" spans="1:17" x14ac:dyDescent="0.2">
      <c r="I203" s="127"/>
    </row>
    <row r="204" spans="1:17" x14ac:dyDescent="0.2">
      <c r="I204" s="127"/>
    </row>
    <row r="205" spans="1:17" ht="165" customHeight="1" x14ac:dyDescent="0.2">
      <c r="I205" s="127"/>
    </row>
    <row r="206" spans="1:17" x14ac:dyDescent="0.2">
      <c r="I206" s="127"/>
    </row>
    <row r="207" spans="1:17" x14ac:dyDescent="0.2">
      <c r="I207" s="127"/>
      <c r="J207" s="20"/>
    </row>
    <row r="208" spans="1:17" x14ac:dyDescent="0.2">
      <c r="I208" s="127"/>
    </row>
    <row r="209" spans="9:9" x14ac:dyDescent="0.2">
      <c r="I209" s="127"/>
    </row>
    <row r="210" spans="9:9" x14ac:dyDescent="0.2">
      <c r="I210" s="127"/>
    </row>
    <row r="211" spans="9:9" x14ac:dyDescent="0.2">
      <c r="I211" s="127"/>
    </row>
    <row r="212" spans="9:9" x14ac:dyDescent="0.2">
      <c r="I212" s="127"/>
    </row>
    <row r="213" spans="9:9" x14ac:dyDescent="0.2">
      <c r="I213" s="127"/>
    </row>
    <row r="214" spans="9:9" x14ac:dyDescent="0.2">
      <c r="I214" s="127"/>
    </row>
    <row r="215" spans="9:9" x14ac:dyDescent="0.2">
      <c r="I215" s="127"/>
    </row>
  </sheetData>
  <mergeCells count="36">
    <mergeCell ref="B152:C152"/>
    <mergeCell ref="B162:C162"/>
    <mergeCell ref="B166:C166"/>
    <mergeCell ref="B164:C164"/>
    <mergeCell ref="B165:C165"/>
    <mergeCell ref="B146:H146"/>
    <mergeCell ref="B147:H147"/>
    <mergeCell ref="B149:D149"/>
    <mergeCell ref="B150:C150"/>
    <mergeCell ref="B151:C151"/>
    <mergeCell ref="A1:H1"/>
    <mergeCell ref="A2:H2"/>
    <mergeCell ref="A3:H3"/>
    <mergeCell ref="B144:H144"/>
    <mergeCell ref="B145:H145"/>
    <mergeCell ref="B175:B177"/>
    <mergeCell ref="C175:C177"/>
    <mergeCell ref="D175:F175"/>
    <mergeCell ref="G175:I175"/>
    <mergeCell ref="D176:D177"/>
    <mergeCell ref="E176:E177"/>
    <mergeCell ref="F176:F177"/>
    <mergeCell ref="G176:H176"/>
    <mergeCell ref="I176:I177"/>
    <mergeCell ref="B180:I180"/>
    <mergeCell ref="B185:D185"/>
    <mergeCell ref="B186:C186"/>
    <mergeCell ref="B187:C187"/>
    <mergeCell ref="B188:C188"/>
    <mergeCell ref="B194:C194"/>
    <mergeCell ref="B195:D195"/>
    <mergeCell ref="B189:C189"/>
    <mergeCell ref="B190:C190"/>
    <mergeCell ref="B191:C191"/>
    <mergeCell ref="B192:C192"/>
    <mergeCell ref="B193:C193"/>
  </mergeCells>
  <hyperlinks>
    <hyperlink ref="I1" location="Index!B2" display="Index" xr:uid="{5A175A1E-9AC3-412F-8862-579FE024FE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D6BC-291C-4844-82F3-12C3795E2F42}">
  <sheetPr>
    <outlinePr summaryBelow="0" summaryRight="0"/>
  </sheetPr>
  <dimension ref="A1:Q138"/>
  <sheetViews>
    <sheetView showGridLines="0" workbookViewId="0">
      <selection sqref="A1:H1"/>
    </sheetView>
  </sheetViews>
  <sheetFormatPr defaultRowHeight="12.75" x14ac:dyDescent="0.2"/>
  <cols>
    <col min="1" max="1" width="5.85546875" style="17" bestFit="1" customWidth="1"/>
    <col min="2" max="2" width="24.5703125" style="17" customWidth="1"/>
    <col min="3" max="3" width="41" style="17" customWidth="1"/>
    <col min="4" max="4" width="11" style="17" bestFit="1" customWidth="1"/>
    <col min="5" max="5" width="8.7109375" style="17" bestFit="1" customWidth="1"/>
    <col min="6" max="6" width="10.140625" style="17" bestFit="1" customWidth="1"/>
    <col min="7" max="7" width="14" style="17" bestFit="1" customWidth="1"/>
    <col min="8" max="8" width="8" style="17" customWidth="1"/>
    <col min="9" max="9" width="5.7109375" style="17" bestFit="1" customWidth="1"/>
    <col min="10" max="16384" width="9.140625" style="17"/>
  </cols>
  <sheetData>
    <row r="1" spans="1:9" ht="15" x14ac:dyDescent="0.2">
      <c r="A1" s="16" t="s">
        <v>0</v>
      </c>
      <c r="B1" s="16"/>
      <c r="C1" s="16"/>
      <c r="D1" s="16"/>
      <c r="E1" s="16"/>
      <c r="F1" s="16"/>
      <c r="G1" s="16"/>
      <c r="H1" s="16"/>
      <c r="I1" s="7" t="s">
        <v>565</v>
      </c>
    </row>
    <row r="2" spans="1:9" ht="15" x14ac:dyDescent="0.2">
      <c r="A2" s="16" t="s">
        <v>481</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564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9">
        <v>1</v>
      </c>
      <c r="B28" s="30" t="s">
        <v>237</v>
      </c>
      <c r="C28" s="30" t="s">
        <v>238</v>
      </c>
      <c r="D28" s="30" t="s">
        <v>234</v>
      </c>
      <c r="E28" s="31">
        <v>200</v>
      </c>
      <c r="F28" s="32">
        <v>201.21459999999999</v>
      </c>
      <c r="G28" s="33">
        <v>4.7187859999999998E-2</v>
      </c>
      <c r="H28" s="23">
        <v>7.65</v>
      </c>
    </row>
    <row r="29" spans="1:8" x14ac:dyDescent="0.2">
      <c r="A29" s="29">
        <v>2</v>
      </c>
      <c r="B29" s="30" t="s">
        <v>259</v>
      </c>
      <c r="C29" s="30" t="s">
        <v>260</v>
      </c>
      <c r="D29" s="30" t="s">
        <v>234</v>
      </c>
      <c r="E29" s="31">
        <v>150</v>
      </c>
      <c r="F29" s="32">
        <v>150.88874999999999</v>
      </c>
      <c r="G29" s="33">
        <v>3.5385689999999997E-2</v>
      </c>
      <c r="H29" s="23">
        <v>8.3800000000000008</v>
      </c>
    </row>
    <row r="30" spans="1:8" x14ac:dyDescent="0.2">
      <c r="A30" s="29">
        <v>3</v>
      </c>
      <c r="B30" s="30" t="s">
        <v>229</v>
      </c>
      <c r="C30" s="30" t="s">
        <v>230</v>
      </c>
      <c r="D30" s="30" t="s">
        <v>231</v>
      </c>
      <c r="E30" s="31">
        <v>100</v>
      </c>
      <c r="F30" s="32">
        <v>100.9581</v>
      </c>
      <c r="G30" s="33">
        <v>2.3676200000000001E-2</v>
      </c>
      <c r="H30" s="23">
        <v>7.5366999999999997</v>
      </c>
    </row>
    <row r="31" spans="1:8" x14ac:dyDescent="0.2">
      <c r="A31" s="29">
        <v>4</v>
      </c>
      <c r="B31" s="30" t="s">
        <v>248</v>
      </c>
      <c r="C31" s="30" t="s">
        <v>249</v>
      </c>
      <c r="D31" s="30" t="s">
        <v>234</v>
      </c>
      <c r="E31" s="31">
        <v>100</v>
      </c>
      <c r="F31" s="32">
        <v>100.83920000000001</v>
      </c>
      <c r="G31" s="33">
        <v>2.364832E-2</v>
      </c>
      <c r="H31" s="23">
        <v>7.6337999999999999</v>
      </c>
    </row>
    <row r="32" spans="1:8" x14ac:dyDescent="0.2">
      <c r="A32" s="29">
        <v>5</v>
      </c>
      <c r="B32" s="30" t="s">
        <v>250</v>
      </c>
      <c r="C32" s="30" t="s">
        <v>251</v>
      </c>
      <c r="D32" s="30" t="s">
        <v>34</v>
      </c>
      <c r="E32" s="31">
        <v>100</v>
      </c>
      <c r="F32" s="32">
        <v>100.75830000000001</v>
      </c>
      <c r="G32" s="33">
        <v>2.3629339999999999E-2</v>
      </c>
      <c r="H32" s="23">
        <v>7.6083999999999996</v>
      </c>
    </row>
    <row r="33" spans="1:8" x14ac:dyDescent="0.2">
      <c r="A33" s="21"/>
      <c r="B33" s="21"/>
      <c r="C33" s="22" t="s">
        <v>11</v>
      </c>
      <c r="D33" s="21"/>
      <c r="E33" s="21" t="s">
        <v>12</v>
      </c>
      <c r="F33" s="28">
        <v>654.65895</v>
      </c>
      <c r="G33" s="25">
        <v>0.15352741</v>
      </c>
      <c r="H33" s="23" t="s">
        <v>12</v>
      </c>
    </row>
    <row r="34" spans="1:8" x14ac:dyDescent="0.2">
      <c r="A34" s="21"/>
      <c r="B34" s="21"/>
      <c r="C34" s="26"/>
      <c r="D34" s="21"/>
      <c r="E34" s="21"/>
      <c r="F34" s="27"/>
      <c r="G34" s="27"/>
      <c r="H34" s="23" t="s">
        <v>12</v>
      </c>
    </row>
    <row r="35" spans="1:8" x14ac:dyDescent="0.2">
      <c r="A35" s="21"/>
      <c r="B35" s="21"/>
      <c r="C35" s="22" t="s">
        <v>74</v>
      </c>
      <c r="D35" s="21"/>
      <c r="E35" s="21"/>
      <c r="F35" s="21"/>
      <c r="G35" s="21"/>
      <c r="H35" s="23" t="s">
        <v>12</v>
      </c>
    </row>
    <row r="36" spans="1:8" x14ac:dyDescent="0.2">
      <c r="A36" s="21"/>
      <c r="B36" s="21"/>
      <c r="C36" s="22" t="s">
        <v>11</v>
      </c>
      <c r="D36" s="21"/>
      <c r="E36" s="21" t="s">
        <v>12</v>
      </c>
      <c r="F36" s="24" t="s">
        <v>13</v>
      </c>
      <c r="G36" s="25">
        <v>0</v>
      </c>
      <c r="H36" s="23" t="s">
        <v>12</v>
      </c>
    </row>
    <row r="37" spans="1:8" x14ac:dyDescent="0.2">
      <c r="A37" s="21"/>
      <c r="B37" s="21"/>
      <c r="C37" s="26"/>
      <c r="D37" s="21"/>
      <c r="E37" s="21"/>
      <c r="F37" s="27"/>
      <c r="G37" s="27"/>
      <c r="H37" s="23" t="s">
        <v>12</v>
      </c>
    </row>
    <row r="38" spans="1:8" x14ac:dyDescent="0.2">
      <c r="A38" s="21"/>
      <c r="B38" s="21"/>
      <c r="C38" s="22" t="s">
        <v>75</v>
      </c>
      <c r="D38" s="21"/>
      <c r="E38" s="21"/>
      <c r="F38" s="21"/>
      <c r="G38" s="21"/>
      <c r="H38" s="23" t="s">
        <v>12</v>
      </c>
    </row>
    <row r="39" spans="1:8" x14ac:dyDescent="0.2">
      <c r="A39" s="29">
        <v>1</v>
      </c>
      <c r="B39" s="30" t="s">
        <v>76</v>
      </c>
      <c r="C39" s="30" t="s">
        <v>77</v>
      </c>
      <c r="D39" s="30" t="s">
        <v>78</v>
      </c>
      <c r="E39" s="31">
        <v>1500000</v>
      </c>
      <c r="F39" s="32">
        <v>1566.3405</v>
      </c>
      <c r="G39" s="33">
        <v>0.3673305</v>
      </c>
      <c r="H39" s="23">
        <v>6.5484999999999998</v>
      </c>
    </row>
    <row r="40" spans="1:8" x14ac:dyDescent="0.2">
      <c r="A40" s="29">
        <v>2</v>
      </c>
      <c r="B40" s="30" t="s">
        <v>482</v>
      </c>
      <c r="C40" s="30" t="s">
        <v>483</v>
      </c>
      <c r="D40" s="30" t="s">
        <v>78</v>
      </c>
      <c r="E40" s="31">
        <v>1000000</v>
      </c>
      <c r="F40" s="32">
        <v>994.58500000000004</v>
      </c>
      <c r="G40" s="33">
        <v>0.23324520000000001</v>
      </c>
      <c r="H40" s="23">
        <v>6.1914999999999996</v>
      </c>
    </row>
    <row r="41" spans="1:8" x14ac:dyDescent="0.2">
      <c r="A41" s="29">
        <v>3</v>
      </c>
      <c r="B41" s="30" t="s">
        <v>89</v>
      </c>
      <c r="C41" s="30" t="s">
        <v>90</v>
      </c>
      <c r="D41" s="30" t="s">
        <v>78</v>
      </c>
      <c r="E41" s="31">
        <v>500000</v>
      </c>
      <c r="F41" s="32">
        <v>519.49950000000001</v>
      </c>
      <c r="G41" s="33">
        <v>0.12183048</v>
      </c>
      <c r="H41" s="23">
        <v>6.2122999999999999</v>
      </c>
    </row>
    <row r="42" spans="1:8" ht="25.5" x14ac:dyDescent="0.2">
      <c r="A42" s="29">
        <v>4</v>
      </c>
      <c r="B42" s="30" t="s">
        <v>433</v>
      </c>
      <c r="C42" s="30" t="s">
        <v>434</v>
      </c>
      <c r="D42" s="30" t="s">
        <v>78</v>
      </c>
      <c r="E42" s="31">
        <v>230000</v>
      </c>
      <c r="F42" s="32">
        <v>240.54481000000001</v>
      </c>
      <c r="G42" s="33">
        <v>5.6411389999999999E-2</v>
      </c>
      <c r="H42" s="23">
        <v>6.8616000000000001</v>
      </c>
    </row>
    <row r="43" spans="1:8" x14ac:dyDescent="0.2">
      <c r="A43" s="29">
        <v>5</v>
      </c>
      <c r="B43" s="30" t="s">
        <v>263</v>
      </c>
      <c r="C43" s="30" t="s">
        <v>264</v>
      </c>
      <c r="D43" s="30" t="s">
        <v>78</v>
      </c>
      <c r="E43" s="31">
        <v>100000</v>
      </c>
      <c r="F43" s="32">
        <v>103.0874</v>
      </c>
      <c r="G43" s="33">
        <v>2.4175550000000001E-2</v>
      </c>
      <c r="H43" s="23">
        <v>6.2721</v>
      </c>
    </row>
    <row r="44" spans="1:8" x14ac:dyDescent="0.2">
      <c r="A44" s="21"/>
      <c r="B44" s="21"/>
      <c r="C44" s="22" t="s">
        <v>11</v>
      </c>
      <c r="D44" s="21"/>
      <c r="E44" s="21" t="s">
        <v>12</v>
      </c>
      <c r="F44" s="28">
        <v>3424.0572099999999</v>
      </c>
      <c r="G44" s="25">
        <v>0.80299312</v>
      </c>
      <c r="H44" s="23" t="s">
        <v>12</v>
      </c>
    </row>
    <row r="45" spans="1:8" x14ac:dyDescent="0.2">
      <c r="A45" s="21"/>
      <c r="B45" s="21"/>
      <c r="C45" s="26"/>
      <c r="D45" s="21"/>
      <c r="E45" s="21"/>
      <c r="F45" s="27"/>
      <c r="G45" s="27"/>
      <c r="H45" s="23" t="s">
        <v>12</v>
      </c>
    </row>
    <row r="46" spans="1:8" x14ac:dyDescent="0.2">
      <c r="A46" s="21"/>
      <c r="B46" s="21"/>
      <c r="C46" s="22" t="s">
        <v>91</v>
      </c>
      <c r="D46" s="21"/>
      <c r="E46" s="21"/>
      <c r="F46" s="27"/>
      <c r="G46" s="27"/>
      <c r="H46" s="23" t="s">
        <v>12</v>
      </c>
    </row>
    <row r="47" spans="1:8" x14ac:dyDescent="0.2">
      <c r="A47" s="21"/>
      <c r="B47" s="21"/>
      <c r="C47" s="22" t="s">
        <v>11</v>
      </c>
      <c r="D47" s="21"/>
      <c r="E47" s="21" t="s">
        <v>12</v>
      </c>
      <c r="F47" s="24" t="s">
        <v>13</v>
      </c>
      <c r="G47" s="25">
        <v>0</v>
      </c>
      <c r="H47" s="23" t="s">
        <v>12</v>
      </c>
    </row>
    <row r="48" spans="1:8" x14ac:dyDescent="0.2">
      <c r="A48" s="21"/>
      <c r="B48" s="21"/>
      <c r="C48" s="26"/>
      <c r="D48" s="21"/>
      <c r="E48" s="21"/>
      <c r="F48" s="27"/>
      <c r="G48" s="27"/>
      <c r="H48" s="23" t="s">
        <v>12</v>
      </c>
    </row>
    <row r="49" spans="1:8" x14ac:dyDescent="0.2">
      <c r="A49" s="21"/>
      <c r="B49" s="21"/>
      <c r="C49" s="22" t="s">
        <v>92</v>
      </c>
      <c r="D49" s="21"/>
      <c r="E49" s="21"/>
      <c r="F49" s="28">
        <v>4078.7161599999999</v>
      </c>
      <c r="G49" s="25">
        <v>0.95652053000000004</v>
      </c>
      <c r="H49" s="23" t="s">
        <v>12</v>
      </c>
    </row>
    <row r="50" spans="1:8" x14ac:dyDescent="0.2">
      <c r="A50" s="21"/>
      <c r="B50" s="21"/>
      <c r="C50" s="26"/>
      <c r="D50" s="21"/>
      <c r="E50" s="21"/>
      <c r="F50" s="27"/>
      <c r="G50" s="27"/>
      <c r="H50" s="23" t="s">
        <v>12</v>
      </c>
    </row>
    <row r="51" spans="1:8" x14ac:dyDescent="0.2">
      <c r="A51" s="21"/>
      <c r="B51" s="21"/>
      <c r="C51" s="22" t="s">
        <v>93</v>
      </c>
      <c r="D51" s="21"/>
      <c r="E51" s="21"/>
      <c r="F51" s="27"/>
      <c r="G51" s="27"/>
      <c r="H51" s="23" t="s">
        <v>12</v>
      </c>
    </row>
    <row r="52" spans="1:8" x14ac:dyDescent="0.2">
      <c r="A52" s="21"/>
      <c r="B52" s="21"/>
      <c r="C52" s="22" t="s">
        <v>94</v>
      </c>
      <c r="D52" s="21"/>
      <c r="E52" s="21"/>
      <c r="F52" s="27"/>
      <c r="G52" s="27"/>
      <c r="H52" s="23" t="s">
        <v>12</v>
      </c>
    </row>
    <row r="53" spans="1:8" x14ac:dyDescent="0.2">
      <c r="A53" s="21"/>
      <c r="B53" s="21"/>
      <c r="C53" s="22" t="s">
        <v>11</v>
      </c>
      <c r="D53" s="21"/>
      <c r="E53" s="21" t="s">
        <v>12</v>
      </c>
      <c r="F53" s="24" t="s">
        <v>13</v>
      </c>
      <c r="G53" s="25">
        <v>0</v>
      </c>
      <c r="H53" s="23" t="s">
        <v>12</v>
      </c>
    </row>
    <row r="54" spans="1:8" x14ac:dyDescent="0.2">
      <c r="A54" s="21"/>
      <c r="B54" s="21"/>
      <c r="C54" s="26"/>
      <c r="D54" s="21"/>
      <c r="E54" s="21"/>
      <c r="F54" s="27"/>
      <c r="G54" s="27"/>
      <c r="H54" s="23" t="s">
        <v>12</v>
      </c>
    </row>
    <row r="55" spans="1:8" x14ac:dyDescent="0.2">
      <c r="A55" s="21"/>
      <c r="B55" s="21"/>
      <c r="C55" s="22" t="s">
        <v>95</v>
      </c>
      <c r="D55" s="21"/>
      <c r="E55" s="21"/>
      <c r="F55" s="27"/>
      <c r="G55" s="27"/>
      <c r="H55" s="23" t="s">
        <v>12</v>
      </c>
    </row>
    <row r="56" spans="1:8" x14ac:dyDescent="0.2">
      <c r="A56" s="21"/>
      <c r="B56" s="21"/>
      <c r="C56" s="22" t="s">
        <v>11</v>
      </c>
      <c r="D56" s="21"/>
      <c r="E56" s="21" t="s">
        <v>12</v>
      </c>
      <c r="F56" s="24" t="s">
        <v>13</v>
      </c>
      <c r="G56" s="25">
        <v>0</v>
      </c>
      <c r="H56" s="23" t="s">
        <v>12</v>
      </c>
    </row>
    <row r="57" spans="1:8" x14ac:dyDescent="0.2">
      <c r="A57" s="21"/>
      <c r="B57" s="21"/>
      <c r="C57" s="26"/>
      <c r="D57" s="21"/>
      <c r="E57" s="21"/>
      <c r="F57" s="27"/>
      <c r="G57" s="27"/>
      <c r="H57" s="23" t="s">
        <v>12</v>
      </c>
    </row>
    <row r="58" spans="1:8" x14ac:dyDescent="0.2">
      <c r="A58" s="21"/>
      <c r="B58" s="21"/>
      <c r="C58" s="22" t="s">
        <v>96</v>
      </c>
      <c r="D58" s="21"/>
      <c r="E58" s="21"/>
      <c r="F58" s="27"/>
      <c r="G58" s="27"/>
      <c r="H58" s="23" t="s">
        <v>12</v>
      </c>
    </row>
    <row r="59" spans="1:8" x14ac:dyDescent="0.2">
      <c r="A59" s="21"/>
      <c r="B59" s="21"/>
      <c r="C59" s="22" t="s">
        <v>11</v>
      </c>
      <c r="D59" s="21"/>
      <c r="E59" s="21" t="s">
        <v>12</v>
      </c>
      <c r="F59" s="24" t="s">
        <v>13</v>
      </c>
      <c r="G59" s="25">
        <v>0</v>
      </c>
      <c r="H59" s="23" t="s">
        <v>12</v>
      </c>
    </row>
    <row r="60" spans="1:8" x14ac:dyDescent="0.2">
      <c r="A60" s="21"/>
      <c r="B60" s="21"/>
      <c r="C60" s="26"/>
      <c r="D60" s="21"/>
      <c r="E60" s="21"/>
      <c r="F60" s="27"/>
      <c r="G60" s="27"/>
      <c r="H60" s="23" t="s">
        <v>12</v>
      </c>
    </row>
    <row r="61" spans="1:8" x14ac:dyDescent="0.2">
      <c r="A61" s="21"/>
      <c r="B61" s="21"/>
      <c r="C61" s="22" t="s">
        <v>97</v>
      </c>
      <c r="D61" s="21"/>
      <c r="E61" s="21"/>
      <c r="F61" s="27"/>
      <c r="G61" s="27"/>
      <c r="H61" s="23" t="s">
        <v>12</v>
      </c>
    </row>
    <row r="62" spans="1:8" x14ac:dyDescent="0.2">
      <c r="A62" s="29">
        <v>1</v>
      </c>
      <c r="B62" s="30"/>
      <c r="C62" s="30" t="s">
        <v>98</v>
      </c>
      <c r="D62" s="30"/>
      <c r="E62" s="34"/>
      <c r="F62" s="32">
        <v>111.080952</v>
      </c>
      <c r="G62" s="33">
        <v>2.6050159999999999E-2</v>
      </c>
      <c r="H62" s="23">
        <v>5.73</v>
      </c>
    </row>
    <row r="63" spans="1:8" x14ac:dyDescent="0.2">
      <c r="A63" s="21"/>
      <c r="B63" s="21"/>
      <c r="C63" s="22" t="s">
        <v>11</v>
      </c>
      <c r="D63" s="21"/>
      <c r="E63" s="21" t="s">
        <v>12</v>
      </c>
      <c r="F63" s="28">
        <v>111.080952</v>
      </c>
      <c r="G63" s="25">
        <v>2.6050159999999999E-2</v>
      </c>
      <c r="H63" s="23" t="s">
        <v>12</v>
      </c>
    </row>
    <row r="64" spans="1:8" x14ac:dyDescent="0.2">
      <c r="A64" s="21"/>
      <c r="B64" s="21"/>
      <c r="C64" s="26"/>
      <c r="D64" s="21"/>
      <c r="E64" s="21"/>
      <c r="F64" s="27"/>
      <c r="G64" s="27"/>
      <c r="H64" s="23" t="s">
        <v>12</v>
      </c>
    </row>
    <row r="65" spans="1:17" x14ac:dyDescent="0.2">
      <c r="A65" s="21"/>
      <c r="B65" s="21"/>
      <c r="C65" s="22" t="s">
        <v>99</v>
      </c>
      <c r="D65" s="21"/>
      <c r="E65" s="21"/>
      <c r="F65" s="28">
        <v>111.080952</v>
      </c>
      <c r="G65" s="25">
        <v>2.6050159999999999E-2</v>
      </c>
      <c r="H65" s="23" t="s">
        <v>12</v>
      </c>
    </row>
    <row r="66" spans="1:17" x14ac:dyDescent="0.2">
      <c r="A66" s="21"/>
      <c r="B66" s="21"/>
      <c r="C66" s="27"/>
      <c r="D66" s="21"/>
      <c r="E66" s="21"/>
      <c r="F66" s="21"/>
      <c r="G66" s="21"/>
      <c r="H66" s="23" t="s">
        <v>12</v>
      </c>
    </row>
    <row r="67" spans="1:17" x14ac:dyDescent="0.2">
      <c r="A67" s="21"/>
      <c r="B67" s="21"/>
      <c r="C67" s="22" t="s">
        <v>100</v>
      </c>
      <c r="D67" s="21"/>
      <c r="E67" s="21"/>
      <c r="F67" s="21"/>
      <c r="G67" s="21"/>
      <c r="H67" s="23" t="s">
        <v>12</v>
      </c>
    </row>
    <row r="68" spans="1:17" x14ac:dyDescent="0.2">
      <c r="A68" s="21"/>
      <c r="B68" s="21"/>
      <c r="C68" s="22" t="s">
        <v>101</v>
      </c>
      <c r="D68" s="21"/>
      <c r="E68" s="21"/>
      <c r="F68" s="21"/>
      <c r="G68" s="21"/>
      <c r="H68" s="23" t="s">
        <v>12</v>
      </c>
    </row>
    <row r="69" spans="1:17" x14ac:dyDescent="0.2">
      <c r="A69" s="21"/>
      <c r="B69" s="21"/>
      <c r="C69" s="22" t="s">
        <v>11</v>
      </c>
      <c r="D69" s="21"/>
      <c r="E69" s="21" t="s">
        <v>12</v>
      </c>
      <c r="F69" s="28">
        <f>SUM(F68)</f>
        <v>0</v>
      </c>
      <c r="G69" s="25">
        <f>SUM(G68)</f>
        <v>0</v>
      </c>
      <c r="H69" s="23" t="s">
        <v>12</v>
      </c>
    </row>
    <row r="70" spans="1:17" x14ac:dyDescent="0.2">
      <c r="A70" s="21"/>
      <c r="B70" s="21"/>
      <c r="C70" s="26"/>
      <c r="D70" s="21"/>
      <c r="E70" s="21"/>
      <c r="F70" s="27"/>
      <c r="G70" s="27"/>
      <c r="H70" s="77" t="s">
        <v>12</v>
      </c>
    </row>
    <row r="71" spans="1:17" x14ac:dyDescent="0.2">
      <c r="A71" s="21"/>
      <c r="B71" s="21"/>
      <c r="C71" s="22" t="s">
        <v>566</v>
      </c>
      <c r="D71" s="21"/>
      <c r="E71" s="21"/>
      <c r="F71" s="27"/>
      <c r="G71" s="27"/>
      <c r="H71" s="32"/>
      <c r="K71" s="56"/>
      <c r="L71" s="56"/>
      <c r="M71" s="56"/>
      <c r="N71" s="56"/>
      <c r="O71" s="79"/>
      <c r="P71" s="79"/>
      <c r="Q71" s="79"/>
    </row>
    <row r="72" spans="1:17" ht="25.5" x14ac:dyDescent="0.2">
      <c r="A72" s="29">
        <v>1</v>
      </c>
      <c r="B72" s="30" t="s">
        <v>102</v>
      </c>
      <c r="C72" s="30" t="s">
        <v>103</v>
      </c>
      <c r="D72" s="30"/>
      <c r="E72" s="80">
        <v>112.994</v>
      </c>
      <c r="F72" s="32">
        <v>12.527545345</v>
      </c>
      <c r="G72" s="33">
        <v>2.9378999999999998E-3</v>
      </c>
      <c r="H72" s="77"/>
    </row>
    <row r="73" spans="1:17" x14ac:dyDescent="0.2">
      <c r="A73" s="21"/>
      <c r="B73" s="21"/>
      <c r="C73" s="22" t="s">
        <v>11</v>
      </c>
      <c r="D73" s="21"/>
      <c r="E73" s="21" t="s">
        <v>12</v>
      </c>
      <c r="F73" s="28">
        <f>SUM(F72)</f>
        <v>12.527545345</v>
      </c>
      <c r="G73" s="25">
        <f>SUM(G72)</f>
        <v>2.9378999999999998E-3</v>
      </c>
      <c r="H73" s="77" t="s">
        <v>12</v>
      </c>
    </row>
    <row r="74" spans="1:17" x14ac:dyDescent="0.2">
      <c r="A74" s="21"/>
      <c r="B74" s="21"/>
      <c r="C74" s="26"/>
      <c r="D74" s="21"/>
      <c r="E74" s="21"/>
      <c r="F74" s="27"/>
      <c r="G74" s="27"/>
      <c r="H74" s="23" t="s">
        <v>12</v>
      </c>
    </row>
    <row r="75" spans="1:17" x14ac:dyDescent="0.2">
      <c r="A75" s="21"/>
      <c r="B75" s="21"/>
      <c r="C75" s="22" t="s">
        <v>104</v>
      </c>
      <c r="D75" s="21"/>
      <c r="E75" s="21"/>
      <c r="F75" s="21"/>
      <c r="G75" s="21"/>
      <c r="H75" s="23" t="s">
        <v>12</v>
      </c>
    </row>
    <row r="76" spans="1:17" x14ac:dyDescent="0.2">
      <c r="A76" s="21"/>
      <c r="B76" s="21"/>
      <c r="C76" s="22" t="s">
        <v>105</v>
      </c>
      <c r="D76" s="21"/>
      <c r="E76" s="21"/>
      <c r="F76" s="21"/>
      <c r="G76" s="21"/>
      <c r="H76" s="23" t="s">
        <v>12</v>
      </c>
    </row>
    <row r="77" spans="1:17" x14ac:dyDescent="0.2">
      <c r="A77" s="21"/>
      <c r="B77" s="21"/>
      <c r="C77" s="22" t="s">
        <v>11</v>
      </c>
      <c r="D77" s="21"/>
      <c r="E77" s="21" t="s">
        <v>12</v>
      </c>
      <c r="F77" s="24" t="s">
        <v>13</v>
      </c>
      <c r="G77" s="25">
        <v>0</v>
      </c>
      <c r="H77" s="23" t="s">
        <v>12</v>
      </c>
    </row>
    <row r="78" spans="1:17" x14ac:dyDescent="0.2">
      <c r="A78" s="21"/>
      <c r="B78" s="21"/>
      <c r="C78" s="26"/>
      <c r="D78" s="21"/>
      <c r="E78" s="21"/>
      <c r="F78" s="27"/>
      <c r="G78" s="27"/>
      <c r="H78" s="23" t="s">
        <v>12</v>
      </c>
    </row>
    <row r="79" spans="1:17" x14ac:dyDescent="0.2">
      <c r="A79" s="21"/>
      <c r="B79" s="21"/>
      <c r="C79" s="22" t="s">
        <v>106</v>
      </c>
      <c r="D79" s="21"/>
      <c r="E79" s="21"/>
      <c r="F79" s="27"/>
      <c r="G79" s="27"/>
      <c r="H79" s="23" t="s">
        <v>12</v>
      </c>
    </row>
    <row r="80" spans="1:17" x14ac:dyDescent="0.2">
      <c r="A80" s="21"/>
      <c r="B80" s="21"/>
      <c r="C80" s="22" t="s">
        <v>11</v>
      </c>
      <c r="D80" s="21"/>
      <c r="E80" s="21" t="s">
        <v>12</v>
      </c>
      <c r="F80" s="24" t="s">
        <v>13</v>
      </c>
      <c r="G80" s="25">
        <v>0</v>
      </c>
      <c r="H80" s="23" t="s">
        <v>12</v>
      </c>
    </row>
    <row r="81" spans="1:8" x14ac:dyDescent="0.2">
      <c r="A81" s="21"/>
      <c r="B81" s="21"/>
      <c r="C81" s="26"/>
      <c r="D81" s="21"/>
      <c r="E81" s="21"/>
      <c r="F81" s="27"/>
      <c r="G81" s="27"/>
      <c r="H81" s="23" t="s">
        <v>12</v>
      </c>
    </row>
    <row r="82" spans="1:8" x14ac:dyDescent="0.2">
      <c r="A82" s="34"/>
      <c r="B82" s="30"/>
      <c r="C82" s="30" t="s">
        <v>107</v>
      </c>
      <c r="D82" s="30"/>
      <c r="E82" s="34"/>
      <c r="F82" s="32">
        <f>61.7930892+0.000566844999790192</f>
        <v>61.793656044999786</v>
      </c>
      <c r="G82" s="33">
        <f>F82/F83</f>
        <v>1.4491543504071645E-2</v>
      </c>
      <c r="H82" s="23" t="s">
        <v>12</v>
      </c>
    </row>
    <row r="83" spans="1:8" x14ac:dyDescent="0.2">
      <c r="A83" s="26"/>
      <c r="B83" s="26"/>
      <c r="C83" s="22" t="s">
        <v>108</v>
      </c>
      <c r="D83" s="27"/>
      <c r="E83" s="27"/>
      <c r="F83" s="28">
        <f>4264.117746545+0.000566844999790192</f>
        <v>4264.1183133899995</v>
      </c>
      <c r="G83" s="35">
        <v>1</v>
      </c>
      <c r="H83" s="23" t="s">
        <v>12</v>
      </c>
    </row>
    <row r="84" spans="1:8" x14ac:dyDescent="0.2">
      <c r="A84" s="36"/>
      <c r="B84" s="36"/>
      <c r="C84" s="36"/>
      <c r="D84" s="37"/>
      <c r="E84" s="37"/>
      <c r="F84" s="37"/>
      <c r="G84" s="37"/>
    </row>
    <row r="85" spans="1:8" x14ac:dyDescent="0.2">
      <c r="A85" s="38"/>
      <c r="B85" s="39" t="s">
        <v>567</v>
      </c>
      <c r="C85" s="39"/>
      <c r="D85" s="39"/>
      <c r="E85" s="39"/>
      <c r="F85" s="39"/>
      <c r="G85" s="39"/>
      <c r="H85" s="39"/>
    </row>
    <row r="86" spans="1:8" x14ac:dyDescent="0.2">
      <c r="A86" s="38"/>
      <c r="B86" s="39" t="s">
        <v>568</v>
      </c>
      <c r="C86" s="39"/>
      <c r="D86" s="39"/>
      <c r="E86" s="39"/>
      <c r="F86" s="39"/>
      <c r="G86" s="39"/>
      <c r="H86" s="39"/>
    </row>
    <row r="87" spans="1:8" x14ac:dyDescent="0.2">
      <c r="A87" s="38"/>
      <c r="B87" s="39" t="s">
        <v>569</v>
      </c>
      <c r="C87" s="39"/>
      <c r="D87" s="39"/>
      <c r="E87" s="39"/>
      <c r="F87" s="39"/>
      <c r="G87" s="39"/>
      <c r="H87" s="39"/>
    </row>
    <row r="88" spans="1:8" x14ac:dyDescent="0.2">
      <c r="A88" s="38"/>
      <c r="B88" s="38"/>
      <c r="C88" s="38"/>
      <c r="D88" s="40"/>
      <c r="E88" s="40"/>
      <c r="F88" s="40"/>
      <c r="G88" s="40"/>
    </row>
    <row r="89" spans="1:8" x14ac:dyDescent="0.2">
      <c r="A89" s="38"/>
      <c r="B89" s="41" t="s">
        <v>109</v>
      </c>
      <c r="C89" s="42"/>
      <c r="D89" s="43"/>
      <c r="E89" s="44"/>
      <c r="F89" s="40"/>
      <c r="G89" s="40"/>
    </row>
    <row r="90" spans="1:8" x14ac:dyDescent="0.2">
      <c r="A90" s="38"/>
      <c r="B90" s="45" t="s">
        <v>110</v>
      </c>
      <c r="C90" s="46"/>
      <c r="D90" s="22" t="s">
        <v>111</v>
      </c>
      <c r="E90" s="44"/>
      <c r="F90" s="40"/>
      <c r="G90" s="40"/>
    </row>
    <row r="91" spans="1:8" x14ac:dyDescent="0.2">
      <c r="A91" s="38"/>
      <c r="B91" s="45" t="s">
        <v>112</v>
      </c>
      <c r="C91" s="46"/>
      <c r="D91" s="22" t="s">
        <v>111</v>
      </c>
      <c r="E91" s="44"/>
      <c r="F91" s="40"/>
      <c r="G91" s="40"/>
    </row>
    <row r="92" spans="1:8" x14ac:dyDescent="0.2">
      <c r="A92" s="38"/>
      <c r="B92" s="45" t="s">
        <v>113</v>
      </c>
      <c r="C92" s="46"/>
      <c r="D92" s="27" t="s">
        <v>12</v>
      </c>
      <c r="E92" s="44"/>
      <c r="F92" s="40"/>
      <c r="G92" s="40"/>
    </row>
    <row r="93" spans="1:8" x14ac:dyDescent="0.2">
      <c r="A93" s="47"/>
      <c r="B93" s="48" t="s">
        <v>12</v>
      </c>
      <c r="C93" s="48" t="s">
        <v>570</v>
      </c>
      <c r="D93" s="48" t="s">
        <v>114</v>
      </c>
      <c r="E93" s="47"/>
      <c r="F93" s="47"/>
      <c r="G93" s="47"/>
    </row>
    <row r="94" spans="1:8" x14ac:dyDescent="0.2">
      <c r="A94" s="47"/>
      <c r="B94" s="49" t="s">
        <v>115</v>
      </c>
      <c r="C94" s="50">
        <v>45747</v>
      </c>
      <c r="D94" s="50">
        <v>45762</v>
      </c>
      <c r="E94" s="47"/>
      <c r="F94" s="47"/>
      <c r="G94" s="47"/>
    </row>
    <row r="95" spans="1:8" x14ac:dyDescent="0.2">
      <c r="A95" s="47"/>
      <c r="B95" s="30" t="s">
        <v>116</v>
      </c>
      <c r="C95" s="51">
        <v>75.481999999999999</v>
      </c>
      <c r="D95" s="51">
        <v>76.2577</v>
      </c>
      <c r="E95" s="47"/>
      <c r="F95" s="52"/>
      <c r="G95" s="53"/>
    </row>
    <row r="96" spans="1:8" x14ac:dyDescent="0.2">
      <c r="A96" s="47"/>
      <c r="B96" s="30" t="s">
        <v>696</v>
      </c>
      <c r="C96" s="51">
        <v>26.942299999999999</v>
      </c>
      <c r="D96" s="51">
        <v>27.219100000000001</v>
      </c>
      <c r="E96" s="47"/>
      <c r="F96" s="52"/>
      <c r="G96" s="53"/>
    </row>
    <row r="97" spans="1:14" x14ac:dyDescent="0.2">
      <c r="A97" s="47"/>
      <c r="B97" s="30" t="s">
        <v>698</v>
      </c>
      <c r="C97" s="51">
        <v>15.251099999999999</v>
      </c>
      <c r="D97" s="51">
        <v>15.4078</v>
      </c>
      <c r="E97" s="47"/>
      <c r="F97" s="52"/>
      <c r="G97" s="53"/>
    </row>
    <row r="98" spans="1:14" x14ac:dyDescent="0.2">
      <c r="A98" s="47"/>
      <c r="B98" s="30" t="s">
        <v>117</v>
      </c>
      <c r="C98" s="51">
        <v>67.747900000000001</v>
      </c>
      <c r="D98" s="51">
        <v>68.422300000000007</v>
      </c>
      <c r="E98" s="47"/>
      <c r="F98" s="52"/>
      <c r="G98" s="53"/>
    </row>
    <row r="99" spans="1:14" x14ac:dyDescent="0.2">
      <c r="A99" s="47"/>
      <c r="B99" s="30" t="s">
        <v>155</v>
      </c>
      <c r="C99" s="51">
        <v>23.139600000000002</v>
      </c>
      <c r="D99" s="51">
        <v>23.37</v>
      </c>
      <c r="E99" s="47"/>
      <c r="F99" s="52"/>
      <c r="G99" s="53"/>
    </row>
    <row r="100" spans="1:14" ht="25.5" x14ac:dyDescent="0.2">
      <c r="A100" s="47"/>
      <c r="B100" s="30" t="s">
        <v>665</v>
      </c>
      <c r="C100" s="51">
        <v>13.2745</v>
      </c>
      <c r="D100" s="51">
        <v>13.406599999999999</v>
      </c>
      <c r="E100" s="47"/>
      <c r="F100" s="52"/>
      <c r="G100" s="53"/>
    </row>
    <row r="101" spans="1:14" ht="25.5" x14ac:dyDescent="0.2">
      <c r="A101" s="47"/>
      <c r="B101" s="30" t="s">
        <v>700</v>
      </c>
      <c r="C101" s="51">
        <v>13.313700000000001</v>
      </c>
      <c r="D101" s="51">
        <v>13.446300000000001</v>
      </c>
      <c r="E101" s="47"/>
      <c r="F101" s="52"/>
      <c r="G101" s="53"/>
    </row>
    <row r="102" spans="1:14" x14ac:dyDescent="0.2">
      <c r="A102" s="47"/>
      <c r="B102" s="30" t="s">
        <v>701</v>
      </c>
      <c r="C102" s="51">
        <v>13.460800000000001</v>
      </c>
      <c r="D102" s="51">
        <v>13.594799999999999</v>
      </c>
      <c r="E102" s="47"/>
      <c r="F102" s="52"/>
      <c r="G102" s="53"/>
    </row>
    <row r="103" spans="1:14" x14ac:dyDescent="0.2">
      <c r="A103" s="47"/>
      <c r="B103" s="47"/>
      <c r="C103" s="47"/>
      <c r="D103" s="47"/>
      <c r="E103" s="47"/>
      <c r="F103" s="47"/>
      <c r="G103" s="47"/>
    </row>
    <row r="104" spans="1:14" x14ac:dyDescent="0.2">
      <c r="A104" s="47"/>
      <c r="B104" s="45" t="s">
        <v>702</v>
      </c>
      <c r="C104" s="46"/>
      <c r="D104" s="22" t="s">
        <v>111</v>
      </c>
      <c r="E104" s="47"/>
      <c r="F104" s="47"/>
      <c r="G104" s="47"/>
    </row>
    <row r="105" spans="1:14" x14ac:dyDescent="0.2">
      <c r="A105" s="47"/>
      <c r="B105" s="54"/>
      <c r="C105" s="54"/>
      <c r="D105" s="54"/>
      <c r="E105" s="47"/>
      <c r="F105" s="47"/>
      <c r="G105" s="47"/>
    </row>
    <row r="106" spans="1:14" s="60" customFormat="1" ht="15" x14ac:dyDescent="0.25">
      <c r="A106" s="53"/>
      <c r="B106" s="45" t="s">
        <v>583</v>
      </c>
      <c r="C106" s="46"/>
      <c r="D106" s="22" t="s">
        <v>111</v>
      </c>
      <c r="E106" s="53"/>
      <c r="F106" s="52"/>
      <c r="G106" s="53"/>
      <c r="I106" s="99"/>
      <c r="J106" s="100"/>
      <c r="K106" s="100"/>
      <c r="L106" s="100"/>
      <c r="M106" s="100"/>
      <c r="N106" s="17"/>
    </row>
    <row r="107" spans="1:14" ht="26.25" customHeight="1" x14ac:dyDescent="0.25">
      <c r="A107" s="47"/>
      <c r="B107" s="45" t="s">
        <v>584</v>
      </c>
      <c r="C107" s="46"/>
      <c r="D107" s="22" t="s">
        <v>111</v>
      </c>
      <c r="E107" s="55"/>
      <c r="F107" s="47"/>
      <c r="G107" s="47"/>
      <c r="I107" s="101"/>
    </row>
    <row r="108" spans="1:14" ht="27.75" customHeight="1" x14ac:dyDescent="0.25">
      <c r="A108" s="47"/>
      <c r="B108" s="45" t="s">
        <v>585</v>
      </c>
      <c r="C108" s="46"/>
      <c r="D108" s="22" t="s">
        <v>111</v>
      </c>
      <c r="E108" s="55"/>
      <c r="F108" s="47"/>
      <c r="G108" s="47"/>
      <c r="I108" s="102"/>
    </row>
    <row r="109" spans="1:14" x14ac:dyDescent="0.2">
      <c r="A109" s="47"/>
      <c r="B109" s="45" t="s">
        <v>586</v>
      </c>
      <c r="C109" s="46"/>
      <c r="D109" s="22" t="s">
        <v>111</v>
      </c>
      <c r="E109" s="55"/>
      <c r="F109" s="47"/>
      <c r="G109" s="47"/>
    </row>
    <row r="110" spans="1:14" x14ac:dyDescent="0.2">
      <c r="A110" s="54"/>
      <c r="B110" s="54"/>
      <c r="C110" s="54"/>
      <c r="D110" s="54"/>
      <c r="E110" s="54"/>
      <c r="F110" s="54"/>
      <c r="G110" s="54"/>
    </row>
    <row r="111" spans="1:14" s="60" customFormat="1" ht="15" x14ac:dyDescent="0.25">
      <c r="B111" s="103" t="s">
        <v>691</v>
      </c>
      <c r="C111" s="104"/>
      <c r="D111" s="104"/>
      <c r="E111" s="104"/>
      <c r="F111" s="104"/>
      <c r="G111" s="105"/>
      <c r="I111" s="17"/>
      <c r="J111" s="100"/>
      <c r="K111" s="100"/>
      <c r="L111" s="100"/>
      <c r="M111" s="100"/>
      <c r="N111" s="17"/>
    </row>
    <row r="112" spans="1:14" s="60" customFormat="1" ht="45" customHeight="1" x14ac:dyDescent="0.25">
      <c r="B112" s="106" t="s">
        <v>591</v>
      </c>
      <c r="C112" s="106" t="s">
        <v>592</v>
      </c>
      <c r="D112" s="107" t="s">
        <v>593</v>
      </c>
      <c r="E112" s="108"/>
      <c r="F112" s="109" t="s">
        <v>594</v>
      </c>
      <c r="G112" s="109"/>
      <c r="H112" s="110"/>
      <c r="I112" s="17"/>
      <c r="J112" s="100"/>
      <c r="K112" s="100"/>
      <c r="L112" s="100"/>
      <c r="M112" s="100"/>
      <c r="N112" s="17"/>
    </row>
    <row r="113" spans="2:14" s="60" customFormat="1" ht="25.5" x14ac:dyDescent="0.25">
      <c r="B113" s="111" t="s">
        <v>666</v>
      </c>
      <c r="C113" s="112" t="s">
        <v>667</v>
      </c>
      <c r="D113" s="14">
        <v>0</v>
      </c>
      <c r="E113" s="15"/>
      <c r="F113" s="14">
        <v>0</v>
      </c>
      <c r="G113" s="15"/>
      <c r="H113" s="113"/>
      <c r="I113" s="17"/>
      <c r="J113" s="100"/>
      <c r="K113" s="100"/>
      <c r="L113" s="100"/>
      <c r="M113" s="100"/>
      <c r="N113" s="17"/>
    </row>
    <row r="114" spans="2:14" s="60" customFormat="1" ht="15" x14ac:dyDescent="0.25">
      <c r="B114" s="114" t="s">
        <v>668</v>
      </c>
      <c r="C114" s="115"/>
      <c r="D114" s="115"/>
      <c r="E114" s="115"/>
      <c r="F114" s="115"/>
      <c r="G114" s="116"/>
      <c r="H114" s="113"/>
      <c r="I114" s="17"/>
      <c r="J114" s="102"/>
      <c r="K114" s="102"/>
      <c r="L114" s="102"/>
      <c r="M114" s="100"/>
      <c r="N114" s="17"/>
    </row>
    <row r="115" spans="2:14" s="60" customFormat="1" ht="15" x14ac:dyDescent="0.25">
      <c r="B115" s="109" t="s">
        <v>591</v>
      </c>
      <c r="C115" s="109" t="s">
        <v>592</v>
      </c>
      <c r="D115" s="114" t="s">
        <v>634</v>
      </c>
      <c r="E115" s="115"/>
      <c r="F115" s="116"/>
      <c r="G115" s="111"/>
      <c r="H115" s="113"/>
      <c r="I115" s="17"/>
      <c r="J115" s="102"/>
      <c r="K115" s="102"/>
      <c r="L115" s="102"/>
      <c r="M115" s="100"/>
      <c r="N115" s="17"/>
    </row>
    <row r="116" spans="2:14" s="60" customFormat="1" ht="76.5" x14ac:dyDescent="0.25">
      <c r="B116" s="109"/>
      <c r="C116" s="109"/>
      <c r="D116" s="117" t="s">
        <v>638</v>
      </c>
      <c r="E116" s="117" t="s">
        <v>669</v>
      </c>
      <c r="F116" s="117" t="s">
        <v>670</v>
      </c>
      <c r="G116" s="117" t="s">
        <v>693</v>
      </c>
      <c r="H116" s="118"/>
      <c r="I116" s="17"/>
      <c r="J116" s="102"/>
      <c r="K116" s="102"/>
      <c r="L116" s="102"/>
      <c r="M116" s="100"/>
      <c r="N116" s="17"/>
    </row>
    <row r="117" spans="2:14" s="60" customFormat="1" ht="25.5" x14ac:dyDescent="0.2">
      <c r="B117" s="119" t="s">
        <v>666</v>
      </c>
      <c r="C117" s="112" t="s">
        <v>667</v>
      </c>
      <c r="D117" s="120">
        <v>200</v>
      </c>
      <c r="E117" s="120">
        <v>6.8852450999999997</v>
      </c>
      <c r="F117" s="120">
        <v>206.88524509999999</v>
      </c>
      <c r="G117" s="121">
        <f>F117/F83</f>
        <v>4.8517707505992019E-2</v>
      </c>
      <c r="H117" s="122"/>
      <c r="I117" s="17"/>
      <c r="J117" s="17"/>
      <c r="K117" s="17"/>
      <c r="L117" s="17"/>
      <c r="M117" s="17"/>
      <c r="N117" s="17"/>
    </row>
    <row r="118" spans="2:14" s="60" customFormat="1" ht="33" customHeight="1" x14ac:dyDescent="0.2">
      <c r="B118" s="123" t="s">
        <v>671</v>
      </c>
      <c r="C118" s="124"/>
      <c r="D118" s="124"/>
      <c r="E118" s="124"/>
      <c r="F118" s="124"/>
      <c r="G118" s="125"/>
      <c r="H118" s="126"/>
      <c r="I118" s="17"/>
      <c r="J118" s="17"/>
      <c r="K118" s="17"/>
      <c r="L118" s="17"/>
      <c r="M118" s="17"/>
      <c r="N118" s="17"/>
    </row>
    <row r="119" spans="2:14" s="60" customFormat="1" x14ac:dyDescent="0.2">
      <c r="H119" s="126"/>
      <c r="I119" s="17"/>
      <c r="J119" s="17"/>
      <c r="K119" s="17"/>
      <c r="L119" s="17"/>
      <c r="M119" s="17"/>
      <c r="N119" s="17"/>
    </row>
    <row r="120" spans="2:14" s="60" customFormat="1" x14ac:dyDescent="0.2">
      <c r="B120" s="57" t="s">
        <v>572</v>
      </c>
      <c r="C120" s="58"/>
      <c r="D120" s="59"/>
      <c r="I120" s="17"/>
      <c r="J120" s="17"/>
      <c r="K120" s="17"/>
      <c r="L120" s="17"/>
      <c r="M120" s="17"/>
      <c r="N120" s="17"/>
    </row>
    <row r="121" spans="2:14" s="60" customFormat="1" ht="51" x14ac:dyDescent="0.2">
      <c r="B121" s="62" t="s">
        <v>573</v>
      </c>
      <c r="C121" s="62"/>
      <c r="D121" s="63" t="s">
        <v>481</v>
      </c>
      <c r="I121" s="17"/>
      <c r="J121" s="17"/>
      <c r="K121" s="17"/>
      <c r="L121" s="17"/>
      <c r="M121" s="17"/>
      <c r="N121" s="17"/>
    </row>
    <row r="122" spans="2:14" s="60" customFormat="1" x14ac:dyDescent="0.2">
      <c r="B122" s="64" t="s">
        <v>574</v>
      </c>
      <c r="C122" s="64"/>
      <c r="D122" s="65"/>
      <c r="I122" s="17"/>
      <c r="J122" s="17"/>
      <c r="K122" s="17"/>
      <c r="L122" s="17"/>
      <c r="M122" s="17"/>
      <c r="N122" s="17"/>
    </row>
    <row r="123" spans="2:14" s="60" customFormat="1" x14ac:dyDescent="0.2">
      <c r="B123" s="64"/>
      <c r="C123" s="64"/>
      <c r="D123" s="66"/>
      <c r="I123" s="17"/>
      <c r="J123" s="17"/>
      <c r="K123" s="17"/>
      <c r="L123" s="17"/>
      <c r="M123" s="17"/>
      <c r="N123" s="17"/>
    </row>
    <row r="124" spans="2:14" s="60" customFormat="1" x14ac:dyDescent="0.2">
      <c r="B124" s="64" t="s">
        <v>575</v>
      </c>
      <c r="C124" s="64"/>
      <c r="D124" s="67">
        <v>6.6074741369998993</v>
      </c>
      <c r="I124" s="17"/>
      <c r="J124" s="17"/>
      <c r="K124" s="17"/>
      <c r="L124" s="17"/>
      <c r="M124" s="17"/>
      <c r="N124" s="17"/>
    </row>
    <row r="125" spans="2:14" s="60" customFormat="1" x14ac:dyDescent="0.2">
      <c r="B125" s="64"/>
      <c r="C125" s="64"/>
      <c r="D125" s="66"/>
      <c r="I125" s="17"/>
      <c r="J125" s="17"/>
      <c r="K125" s="17"/>
      <c r="L125" s="17"/>
      <c r="M125" s="17"/>
      <c r="N125" s="17"/>
    </row>
    <row r="126" spans="2:14" s="60" customFormat="1" x14ac:dyDescent="0.2">
      <c r="B126" s="64" t="s">
        <v>576</v>
      </c>
      <c r="C126" s="64"/>
      <c r="D126" s="67">
        <v>3.9594326305218654</v>
      </c>
      <c r="I126" s="17"/>
      <c r="J126" s="17"/>
      <c r="K126" s="17"/>
      <c r="L126" s="17"/>
      <c r="M126" s="17"/>
      <c r="N126" s="17"/>
    </row>
    <row r="127" spans="2:14" s="60" customFormat="1" x14ac:dyDescent="0.2">
      <c r="B127" s="64" t="s">
        <v>577</v>
      </c>
      <c r="C127" s="64"/>
      <c r="D127" s="67">
        <v>4.98939282901389</v>
      </c>
      <c r="I127" s="17"/>
      <c r="J127" s="17"/>
      <c r="K127" s="17"/>
      <c r="L127" s="17"/>
      <c r="M127" s="17"/>
      <c r="N127" s="17"/>
    </row>
    <row r="128" spans="2:14" s="60" customFormat="1" x14ac:dyDescent="0.2">
      <c r="B128" s="64"/>
      <c r="C128" s="64"/>
      <c r="D128" s="66"/>
      <c r="I128" s="17"/>
      <c r="J128" s="17"/>
      <c r="K128" s="17"/>
      <c r="L128" s="17"/>
      <c r="M128" s="17"/>
      <c r="N128" s="17"/>
    </row>
    <row r="129" spans="2:16" s="60" customFormat="1" x14ac:dyDescent="0.2">
      <c r="B129" s="64" t="s">
        <v>578</v>
      </c>
      <c r="C129" s="64"/>
      <c r="D129" s="69" t="s">
        <v>690</v>
      </c>
      <c r="I129" s="17"/>
      <c r="J129" s="56"/>
      <c r="K129" s="56"/>
      <c r="L129" s="56"/>
      <c r="M129" s="56"/>
      <c r="N129" s="61"/>
    </row>
    <row r="130" spans="2:16" s="60" customFormat="1" x14ac:dyDescent="0.2">
      <c r="B130" s="70" t="s">
        <v>579</v>
      </c>
      <c r="C130" s="71"/>
      <c r="D130" s="72"/>
      <c r="I130" s="17"/>
      <c r="J130" s="17"/>
      <c r="K130" s="17"/>
      <c r="L130" s="17"/>
      <c r="M130" s="17"/>
      <c r="N130" s="17"/>
      <c r="O130" s="17"/>
      <c r="P130" s="17"/>
    </row>
    <row r="132" spans="2:16" x14ac:dyDescent="0.2">
      <c r="B132" s="74" t="s">
        <v>580</v>
      </c>
    </row>
    <row r="133" spans="2:16" ht="153.75" customHeight="1" x14ac:dyDescent="0.2"/>
    <row r="136" spans="2:16" x14ac:dyDescent="0.2">
      <c r="B136" s="75" t="s">
        <v>581</v>
      </c>
      <c r="C136" s="76"/>
      <c r="D136" s="75"/>
    </row>
    <row r="137" spans="2:16" x14ac:dyDescent="0.2">
      <c r="B137" s="75" t="s">
        <v>672</v>
      </c>
      <c r="D137" s="75"/>
    </row>
    <row r="138" spans="2:16" ht="165" customHeight="1" x14ac:dyDescent="0.2"/>
  </sheetData>
  <mergeCells count="36">
    <mergeCell ref="B109:C109"/>
    <mergeCell ref="B111:G111"/>
    <mergeCell ref="D112:E112"/>
    <mergeCell ref="F112:G112"/>
    <mergeCell ref="D113:E113"/>
    <mergeCell ref="F113:G113"/>
    <mergeCell ref="B108:C108"/>
    <mergeCell ref="A1:H1"/>
    <mergeCell ref="A2:H2"/>
    <mergeCell ref="A3:H3"/>
    <mergeCell ref="B85:H85"/>
    <mergeCell ref="B86:H86"/>
    <mergeCell ref="B87:H87"/>
    <mergeCell ref="B106:C106"/>
    <mergeCell ref="B107:C107"/>
    <mergeCell ref="B89:D89"/>
    <mergeCell ref="B90:C90"/>
    <mergeCell ref="B91:C91"/>
    <mergeCell ref="B92:C92"/>
    <mergeCell ref="B104:C104"/>
    <mergeCell ref="B114:G114"/>
    <mergeCell ref="B115:B116"/>
    <mergeCell ref="C115:C116"/>
    <mergeCell ref="D115:F115"/>
    <mergeCell ref="B118:G118"/>
    <mergeCell ref="B120:D120"/>
    <mergeCell ref="B121:C121"/>
    <mergeCell ref="B122:C122"/>
    <mergeCell ref="B123:C123"/>
    <mergeCell ref="B124:C124"/>
    <mergeCell ref="B130:D130"/>
    <mergeCell ref="B125:C125"/>
    <mergeCell ref="B126:C126"/>
    <mergeCell ref="B127:C127"/>
    <mergeCell ref="B128:C128"/>
    <mergeCell ref="B129:C129"/>
  </mergeCells>
  <hyperlinks>
    <hyperlink ref="I1" location="Index!B2" display="Index" xr:uid="{19E09B8A-1A6A-4A3E-877E-851548146AB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7996-179C-4F5A-B5B5-F1C48B57C697}">
  <sheetPr>
    <outlinePr summaryBelow="0" summaryRight="0"/>
  </sheetPr>
  <dimension ref="A1:R171"/>
  <sheetViews>
    <sheetView showGridLines="0" workbookViewId="0">
      <selection sqref="A1:H1"/>
    </sheetView>
  </sheetViews>
  <sheetFormatPr defaultRowHeight="12.75" x14ac:dyDescent="0.2"/>
  <cols>
    <col min="1" max="1" width="5.85546875" style="17" bestFit="1" customWidth="1"/>
    <col min="2" max="2" width="21.7109375" style="17" customWidth="1"/>
    <col min="3" max="3" width="41.42578125" style="17" customWidth="1"/>
    <col min="4" max="4" width="17" style="17" bestFit="1" customWidth="1"/>
    <col min="5" max="5" width="8.7109375" style="17" bestFit="1" customWidth="1"/>
    <col min="6" max="6" width="10.140625" style="17" bestFit="1" customWidth="1"/>
    <col min="7" max="7" width="14" style="17" bestFit="1" customWidth="1"/>
    <col min="8" max="8" width="8.140625" style="17" customWidth="1"/>
    <col min="9" max="9" width="7.42578125" style="17" customWidth="1"/>
    <col min="10" max="10" width="9.85546875" style="17" customWidth="1"/>
    <col min="11" max="16384" width="9.140625" style="17"/>
  </cols>
  <sheetData>
    <row r="1" spans="1:10" ht="15" x14ac:dyDescent="0.2">
      <c r="A1" s="16" t="s">
        <v>0</v>
      </c>
      <c r="B1" s="16"/>
      <c r="C1" s="16"/>
      <c r="D1" s="16"/>
      <c r="E1" s="16"/>
      <c r="F1" s="16"/>
      <c r="G1" s="16"/>
      <c r="H1" s="16"/>
      <c r="I1" s="7" t="s">
        <v>565</v>
      </c>
    </row>
    <row r="2" spans="1:10" ht="15" x14ac:dyDescent="0.2">
      <c r="A2" s="16" t="s">
        <v>484</v>
      </c>
      <c r="B2" s="16"/>
      <c r="C2" s="16"/>
      <c r="D2" s="16"/>
      <c r="E2" s="16"/>
      <c r="F2" s="16"/>
      <c r="G2" s="16"/>
      <c r="H2" s="16"/>
    </row>
    <row r="3" spans="1:10" ht="15" x14ac:dyDescent="0.2">
      <c r="A3" s="16" t="s">
        <v>703</v>
      </c>
      <c r="B3" s="16"/>
      <c r="C3" s="16"/>
      <c r="D3" s="16"/>
      <c r="E3" s="16"/>
      <c r="F3" s="16"/>
      <c r="G3" s="16"/>
      <c r="H3" s="16"/>
    </row>
    <row r="4" spans="1:10" s="20" customFormat="1" ht="30" x14ac:dyDescent="0.2">
      <c r="A4" s="18" t="s">
        <v>2</v>
      </c>
      <c r="B4" s="18" t="s">
        <v>3</v>
      </c>
      <c r="C4" s="18" t="s">
        <v>4</v>
      </c>
      <c r="D4" s="18" t="s">
        <v>5</v>
      </c>
      <c r="E4" s="18" t="s">
        <v>6</v>
      </c>
      <c r="F4" s="18" t="s">
        <v>7</v>
      </c>
      <c r="G4" s="18" t="s">
        <v>8</v>
      </c>
      <c r="H4" s="19" t="s">
        <v>564</v>
      </c>
    </row>
    <row r="5" spans="1:10" x14ac:dyDescent="0.2">
      <c r="A5" s="21"/>
      <c r="B5" s="21"/>
      <c r="C5" s="22" t="s">
        <v>9</v>
      </c>
      <c r="D5" s="21"/>
      <c r="E5" s="21"/>
      <c r="F5" s="21"/>
      <c r="G5" s="21"/>
      <c r="H5" s="23" t="s">
        <v>12</v>
      </c>
    </row>
    <row r="6" spans="1:10" x14ac:dyDescent="0.2">
      <c r="A6" s="21"/>
      <c r="B6" s="21"/>
      <c r="C6" s="22" t="s">
        <v>10</v>
      </c>
      <c r="D6" s="21"/>
      <c r="E6" s="21"/>
      <c r="F6" s="21"/>
      <c r="G6" s="21"/>
      <c r="H6" s="23" t="s">
        <v>12</v>
      </c>
    </row>
    <row r="7" spans="1:10" x14ac:dyDescent="0.2">
      <c r="A7" s="29">
        <v>1</v>
      </c>
      <c r="B7" s="30" t="s">
        <v>485</v>
      </c>
      <c r="C7" s="30" t="s">
        <v>486</v>
      </c>
      <c r="D7" s="30" t="s">
        <v>487</v>
      </c>
      <c r="E7" s="31">
        <v>4250</v>
      </c>
      <c r="F7" s="32">
        <v>79.258250000000004</v>
      </c>
      <c r="G7" s="33">
        <v>2.9484380000000001E-2</v>
      </c>
      <c r="H7" s="23" t="s">
        <v>12</v>
      </c>
    </row>
    <row r="8" spans="1:10" x14ac:dyDescent="0.2">
      <c r="A8" s="29">
        <v>2</v>
      </c>
      <c r="B8" s="30" t="s">
        <v>488</v>
      </c>
      <c r="C8" s="30" t="s">
        <v>489</v>
      </c>
      <c r="D8" s="30" t="s">
        <v>487</v>
      </c>
      <c r="E8" s="31">
        <v>4200</v>
      </c>
      <c r="F8" s="32">
        <v>56.708399999999997</v>
      </c>
      <c r="G8" s="33">
        <v>2.109575E-2</v>
      </c>
      <c r="H8" s="23" t="s">
        <v>12</v>
      </c>
    </row>
    <row r="9" spans="1:10" x14ac:dyDescent="0.2">
      <c r="A9" s="29">
        <v>3</v>
      </c>
      <c r="B9" s="30" t="s">
        <v>490</v>
      </c>
      <c r="C9" s="30" t="s">
        <v>491</v>
      </c>
      <c r="D9" s="30" t="s">
        <v>492</v>
      </c>
      <c r="E9" s="31">
        <v>2500</v>
      </c>
      <c r="F9" s="32">
        <v>44.97</v>
      </c>
      <c r="G9" s="33">
        <v>1.6729020000000001E-2</v>
      </c>
      <c r="H9" s="23" t="s">
        <v>12</v>
      </c>
    </row>
    <row r="10" spans="1:10" x14ac:dyDescent="0.2">
      <c r="A10" s="29">
        <v>4</v>
      </c>
      <c r="B10" s="30" t="s">
        <v>493</v>
      </c>
      <c r="C10" s="30" t="s">
        <v>494</v>
      </c>
      <c r="D10" s="30" t="s">
        <v>495</v>
      </c>
      <c r="E10" s="31">
        <v>3400</v>
      </c>
      <c r="F10" s="32">
        <v>42.163400000000003</v>
      </c>
      <c r="G10" s="33">
        <v>1.568495E-2</v>
      </c>
      <c r="H10" s="23" t="s">
        <v>12</v>
      </c>
    </row>
    <row r="11" spans="1:10" x14ac:dyDescent="0.2">
      <c r="A11" s="29">
        <v>5</v>
      </c>
      <c r="B11" s="30" t="s">
        <v>496</v>
      </c>
      <c r="C11" s="30" t="s">
        <v>497</v>
      </c>
      <c r="D11" s="30" t="s">
        <v>498</v>
      </c>
      <c r="E11" s="31">
        <v>1848</v>
      </c>
      <c r="F11" s="32">
        <v>26.361719999999998</v>
      </c>
      <c r="G11" s="33">
        <v>9.80666E-3</v>
      </c>
      <c r="H11" s="23" t="s">
        <v>12</v>
      </c>
    </row>
    <row r="12" spans="1:10" x14ac:dyDescent="0.2">
      <c r="A12" s="29">
        <v>6</v>
      </c>
      <c r="B12" s="30" t="s">
        <v>499</v>
      </c>
      <c r="C12" s="30" t="s">
        <v>500</v>
      </c>
      <c r="D12" s="30" t="s">
        <v>498</v>
      </c>
      <c r="E12" s="31">
        <v>1750</v>
      </c>
      <c r="F12" s="32">
        <v>24.954999999999998</v>
      </c>
      <c r="G12" s="33">
        <v>9.2833599999999992E-3</v>
      </c>
      <c r="H12" s="23" t="s">
        <v>12</v>
      </c>
    </row>
    <row r="13" spans="1:10" x14ac:dyDescent="0.2">
      <c r="A13" s="29">
        <v>7</v>
      </c>
      <c r="B13" s="30" t="s">
        <v>673</v>
      </c>
      <c r="C13" s="30" t="s">
        <v>674</v>
      </c>
      <c r="D13" s="30" t="s">
        <v>675</v>
      </c>
      <c r="E13" s="31">
        <v>30000</v>
      </c>
      <c r="F13" s="32">
        <f>2349600/10^5</f>
        <v>23.495999999999999</v>
      </c>
      <c r="G13" s="33">
        <f>F13/F100</f>
        <v>8.7406037012821101E-3</v>
      </c>
      <c r="H13" s="77" t="s">
        <v>12</v>
      </c>
      <c r="J13" s="78"/>
    </row>
    <row r="14" spans="1:10" x14ac:dyDescent="0.2">
      <c r="A14" s="29">
        <v>8</v>
      </c>
      <c r="B14" s="30" t="s">
        <v>501</v>
      </c>
      <c r="C14" s="30" t="s">
        <v>502</v>
      </c>
      <c r="D14" s="30" t="s">
        <v>487</v>
      </c>
      <c r="E14" s="31">
        <v>2000</v>
      </c>
      <c r="F14" s="32">
        <v>22.256</v>
      </c>
      <c r="G14" s="33">
        <v>8.2793199999999997E-3</v>
      </c>
      <c r="H14" s="23" t="s">
        <v>12</v>
      </c>
    </row>
    <row r="15" spans="1:10" x14ac:dyDescent="0.2">
      <c r="A15" s="29">
        <v>9</v>
      </c>
      <c r="B15" s="30" t="s">
        <v>503</v>
      </c>
      <c r="C15" s="30" t="s">
        <v>504</v>
      </c>
      <c r="D15" s="30" t="s">
        <v>487</v>
      </c>
      <c r="E15" s="31">
        <v>2600</v>
      </c>
      <c r="F15" s="32">
        <v>19.850999999999999</v>
      </c>
      <c r="G15" s="33">
        <v>7.3846500000000004E-3</v>
      </c>
      <c r="H15" s="23" t="s">
        <v>12</v>
      </c>
    </row>
    <row r="16" spans="1:10" x14ac:dyDescent="0.2">
      <c r="A16" s="29">
        <v>10</v>
      </c>
      <c r="B16" s="30" t="s">
        <v>505</v>
      </c>
      <c r="C16" s="30" t="s">
        <v>506</v>
      </c>
      <c r="D16" s="30" t="s">
        <v>507</v>
      </c>
      <c r="E16" s="31">
        <v>4000</v>
      </c>
      <c r="F16" s="32">
        <v>16.815999999999999</v>
      </c>
      <c r="G16" s="33">
        <v>6.2556199999999999E-3</v>
      </c>
      <c r="H16" s="23" t="s">
        <v>12</v>
      </c>
    </row>
    <row r="17" spans="1:8" x14ac:dyDescent="0.2">
      <c r="A17" s="29">
        <v>11</v>
      </c>
      <c r="B17" s="30" t="s">
        <v>508</v>
      </c>
      <c r="C17" s="30" t="s">
        <v>509</v>
      </c>
      <c r="D17" s="30" t="s">
        <v>495</v>
      </c>
      <c r="E17" s="31">
        <v>5000</v>
      </c>
      <c r="F17" s="32">
        <v>14.72</v>
      </c>
      <c r="G17" s="33">
        <v>5.4758999999999997E-3</v>
      </c>
      <c r="H17" s="23" t="s">
        <v>12</v>
      </c>
    </row>
    <row r="18" spans="1:8" ht="25.5" x14ac:dyDescent="0.2">
      <c r="A18" s="29">
        <v>12</v>
      </c>
      <c r="B18" s="30" t="s">
        <v>510</v>
      </c>
      <c r="C18" s="30" t="s">
        <v>511</v>
      </c>
      <c r="D18" s="30" t="s">
        <v>512</v>
      </c>
      <c r="E18" s="31">
        <v>125</v>
      </c>
      <c r="F18" s="32">
        <v>14.64875</v>
      </c>
      <c r="G18" s="33">
        <v>5.4493900000000001E-3</v>
      </c>
      <c r="H18" s="23" t="s">
        <v>12</v>
      </c>
    </row>
    <row r="19" spans="1:8" x14ac:dyDescent="0.2">
      <c r="A19" s="29">
        <v>13</v>
      </c>
      <c r="B19" s="30" t="s">
        <v>513</v>
      </c>
      <c r="C19" s="30" t="s">
        <v>514</v>
      </c>
      <c r="D19" s="30" t="s">
        <v>487</v>
      </c>
      <c r="E19" s="31">
        <v>675</v>
      </c>
      <c r="F19" s="32">
        <v>14.311349999999999</v>
      </c>
      <c r="G19" s="33">
        <v>5.3238799999999996E-3</v>
      </c>
      <c r="H19" s="23" t="s">
        <v>12</v>
      </c>
    </row>
    <row r="20" spans="1:8" ht="25.5" x14ac:dyDescent="0.2">
      <c r="A20" s="29">
        <v>14</v>
      </c>
      <c r="B20" s="30" t="s">
        <v>515</v>
      </c>
      <c r="C20" s="30" t="s">
        <v>516</v>
      </c>
      <c r="D20" s="30" t="s">
        <v>517</v>
      </c>
      <c r="E20" s="31">
        <v>2000</v>
      </c>
      <c r="F20" s="32">
        <v>14.237</v>
      </c>
      <c r="G20" s="33">
        <v>5.2962199999999999E-3</v>
      </c>
      <c r="H20" s="23" t="s">
        <v>12</v>
      </c>
    </row>
    <row r="21" spans="1:8" x14ac:dyDescent="0.2">
      <c r="A21" s="29">
        <v>15</v>
      </c>
      <c r="B21" s="30" t="s">
        <v>518</v>
      </c>
      <c r="C21" s="30" t="s">
        <v>519</v>
      </c>
      <c r="D21" s="30" t="s">
        <v>520</v>
      </c>
      <c r="E21" s="31">
        <v>2000</v>
      </c>
      <c r="F21" s="32">
        <v>14.02</v>
      </c>
      <c r="G21" s="33">
        <v>5.2154999999999997E-3</v>
      </c>
      <c r="H21" s="23" t="s">
        <v>12</v>
      </c>
    </row>
    <row r="22" spans="1:8" x14ac:dyDescent="0.2">
      <c r="A22" s="29">
        <v>16</v>
      </c>
      <c r="B22" s="30" t="s">
        <v>521</v>
      </c>
      <c r="C22" s="30" t="s">
        <v>522</v>
      </c>
      <c r="D22" s="30" t="s">
        <v>523</v>
      </c>
      <c r="E22" s="31">
        <v>900</v>
      </c>
      <c r="F22" s="32">
        <v>13.5153</v>
      </c>
      <c r="G22" s="33">
        <v>5.0277400000000002E-3</v>
      </c>
      <c r="H22" s="23" t="s">
        <v>12</v>
      </c>
    </row>
    <row r="23" spans="1:8" x14ac:dyDescent="0.2">
      <c r="A23" s="29">
        <v>17</v>
      </c>
      <c r="B23" s="30" t="s">
        <v>524</v>
      </c>
      <c r="C23" s="30" t="s">
        <v>525</v>
      </c>
      <c r="D23" s="30" t="s">
        <v>526</v>
      </c>
      <c r="E23" s="31">
        <v>400</v>
      </c>
      <c r="F23" s="32">
        <v>13.0304</v>
      </c>
      <c r="G23" s="33">
        <v>4.8473600000000002E-3</v>
      </c>
      <c r="H23" s="23" t="s">
        <v>12</v>
      </c>
    </row>
    <row r="24" spans="1:8" x14ac:dyDescent="0.2">
      <c r="A24" s="29">
        <v>18</v>
      </c>
      <c r="B24" s="30" t="s">
        <v>527</v>
      </c>
      <c r="C24" s="30" t="s">
        <v>528</v>
      </c>
      <c r="D24" s="30" t="s">
        <v>529</v>
      </c>
      <c r="E24" s="31">
        <v>160</v>
      </c>
      <c r="F24" s="32">
        <v>12.7928</v>
      </c>
      <c r="G24" s="33">
        <v>4.7589700000000004E-3</v>
      </c>
      <c r="H24" s="23" t="s">
        <v>12</v>
      </c>
    </row>
    <row r="25" spans="1:8" ht="25.5" x14ac:dyDescent="0.2">
      <c r="A25" s="29">
        <v>19</v>
      </c>
      <c r="B25" s="30" t="s">
        <v>530</v>
      </c>
      <c r="C25" s="30" t="s">
        <v>531</v>
      </c>
      <c r="D25" s="30" t="s">
        <v>532</v>
      </c>
      <c r="E25" s="31">
        <v>250</v>
      </c>
      <c r="F25" s="32">
        <v>12.302</v>
      </c>
      <c r="G25" s="33">
        <v>4.5763899999999996E-3</v>
      </c>
      <c r="H25" s="23" t="s">
        <v>12</v>
      </c>
    </row>
    <row r="26" spans="1:8" ht="25.5" x14ac:dyDescent="0.2">
      <c r="A26" s="29">
        <v>20</v>
      </c>
      <c r="B26" s="30" t="s">
        <v>533</v>
      </c>
      <c r="C26" s="30" t="s">
        <v>534</v>
      </c>
      <c r="D26" s="30" t="s">
        <v>512</v>
      </c>
      <c r="E26" s="31">
        <v>450</v>
      </c>
      <c r="F26" s="32">
        <v>12.233700000000001</v>
      </c>
      <c r="G26" s="33">
        <v>4.5509799999999996E-3</v>
      </c>
      <c r="H26" s="23" t="s">
        <v>12</v>
      </c>
    </row>
    <row r="27" spans="1:8" x14ac:dyDescent="0.2">
      <c r="A27" s="29">
        <v>21</v>
      </c>
      <c r="B27" s="30" t="s">
        <v>535</v>
      </c>
      <c r="C27" s="30" t="s">
        <v>536</v>
      </c>
      <c r="D27" s="30" t="s">
        <v>529</v>
      </c>
      <c r="E27" s="31">
        <v>100</v>
      </c>
      <c r="F27" s="32">
        <v>11.855</v>
      </c>
      <c r="G27" s="33">
        <v>4.4101100000000001E-3</v>
      </c>
      <c r="H27" s="23" t="s">
        <v>12</v>
      </c>
    </row>
    <row r="28" spans="1:8" ht="25.5" x14ac:dyDescent="0.2">
      <c r="A28" s="29">
        <v>22</v>
      </c>
      <c r="B28" s="30" t="s">
        <v>537</v>
      </c>
      <c r="C28" s="30" t="s">
        <v>538</v>
      </c>
      <c r="D28" s="30" t="s">
        <v>539</v>
      </c>
      <c r="E28" s="31">
        <v>320</v>
      </c>
      <c r="F28" s="32">
        <v>11.486079999999999</v>
      </c>
      <c r="G28" s="33">
        <v>4.2728699999999998E-3</v>
      </c>
      <c r="H28" s="23" t="s">
        <v>12</v>
      </c>
    </row>
    <row r="29" spans="1:8" x14ac:dyDescent="0.2">
      <c r="A29" s="29">
        <v>22</v>
      </c>
      <c r="B29" s="30" t="s">
        <v>540</v>
      </c>
      <c r="C29" s="30" t="s">
        <v>541</v>
      </c>
      <c r="D29" s="30" t="s">
        <v>542</v>
      </c>
      <c r="E29" s="31">
        <v>2000</v>
      </c>
      <c r="F29" s="32">
        <v>11.343</v>
      </c>
      <c r="G29" s="33">
        <v>4.2196400000000002E-3</v>
      </c>
      <c r="H29" s="23" t="s">
        <v>12</v>
      </c>
    </row>
    <row r="30" spans="1:8" x14ac:dyDescent="0.2">
      <c r="A30" s="21"/>
      <c r="B30" s="21"/>
      <c r="C30" s="22" t="s">
        <v>11</v>
      </c>
      <c r="D30" s="21"/>
      <c r="E30" s="21" t="s">
        <v>12</v>
      </c>
      <c r="F30" s="28">
        <f>SUM(F7:F29)</f>
        <v>527.33114999999998</v>
      </c>
      <c r="G30" s="25">
        <f>SUM(G7:G29)</f>
        <v>0.19616926370128213</v>
      </c>
      <c r="H30" s="23" t="s">
        <v>12</v>
      </c>
    </row>
    <row r="31" spans="1:8" x14ac:dyDescent="0.2">
      <c r="A31" s="21"/>
      <c r="B31" s="21"/>
      <c r="C31" s="26"/>
      <c r="D31" s="21"/>
      <c r="E31" s="21"/>
      <c r="F31" s="27"/>
      <c r="G31" s="27"/>
      <c r="H31" s="23" t="s">
        <v>12</v>
      </c>
    </row>
    <row r="32" spans="1:8" x14ac:dyDescent="0.2">
      <c r="A32" s="21"/>
      <c r="B32" s="21"/>
      <c r="C32" s="22" t="s">
        <v>14</v>
      </c>
      <c r="D32" s="21"/>
      <c r="E32" s="21"/>
      <c r="F32" s="21"/>
      <c r="G32" s="21"/>
      <c r="H32" s="23" t="s">
        <v>12</v>
      </c>
    </row>
    <row r="33" spans="1:8" x14ac:dyDescent="0.2">
      <c r="A33" s="21"/>
      <c r="B33" s="21"/>
      <c r="C33" s="22" t="s">
        <v>11</v>
      </c>
      <c r="D33" s="21"/>
      <c r="E33" s="21" t="s">
        <v>12</v>
      </c>
      <c r="F33" s="24" t="s">
        <v>13</v>
      </c>
      <c r="G33" s="25">
        <v>0</v>
      </c>
      <c r="H33" s="23" t="s">
        <v>12</v>
      </c>
    </row>
    <row r="34" spans="1:8" x14ac:dyDescent="0.2">
      <c r="A34" s="21"/>
      <c r="B34" s="21"/>
      <c r="C34" s="26"/>
      <c r="D34" s="21"/>
      <c r="E34" s="21"/>
      <c r="F34" s="27"/>
      <c r="G34" s="27"/>
      <c r="H34" s="23" t="s">
        <v>12</v>
      </c>
    </row>
    <row r="35" spans="1:8" x14ac:dyDescent="0.2">
      <c r="A35" s="21"/>
      <c r="B35" s="21"/>
      <c r="C35" s="22" t="s">
        <v>15</v>
      </c>
      <c r="D35" s="21"/>
      <c r="E35" s="21"/>
      <c r="F35" s="21"/>
      <c r="G35" s="21"/>
      <c r="H35" s="23" t="s">
        <v>12</v>
      </c>
    </row>
    <row r="36" spans="1:8" x14ac:dyDescent="0.2">
      <c r="A36" s="21"/>
      <c r="B36" s="21"/>
      <c r="C36" s="22" t="s">
        <v>11</v>
      </c>
      <c r="D36" s="21"/>
      <c r="E36" s="21" t="s">
        <v>12</v>
      </c>
      <c r="F36" s="24" t="s">
        <v>13</v>
      </c>
      <c r="G36" s="25">
        <v>0</v>
      </c>
      <c r="H36" s="23" t="s">
        <v>12</v>
      </c>
    </row>
    <row r="37" spans="1:8" x14ac:dyDescent="0.2">
      <c r="A37" s="21"/>
      <c r="B37" s="21"/>
      <c r="C37" s="26"/>
      <c r="D37" s="21"/>
      <c r="E37" s="21"/>
      <c r="F37" s="27"/>
      <c r="G37" s="27"/>
      <c r="H37" s="23" t="s">
        <v>12</v>
      </c>
    </row>
    <row r="38" spans="1:8" x14ac:dyDescent="0.2">
      <c r="A38" s="21"/>
      <c r="B38" s="21"/>
      <c r="C38" s="22" t="s">
        <v>16</v>
      </c>
      <c r="D38" s="21"/>
      <c r="E38" s="21"/>
      <c r="F38" s="21"/>
      <c r="G38" s="21"/>
      <c r="H38" s="23" t="s">
        <v>12</v>
      </c>
    </row>
    <row r="39" spans="1:8" x14ac:dyDescent="0.2">
      <c r="A39" s="29">
        <v>1</v>
      </c>
      <c r="B39" s="30" t="s">
        <v>543</v>
      </c>
      <c r="C39" s="30" t="s">
        <v>676</v>
      </c>
      <c r="D39" s="30" t="s">
        <v>492</v>
      </c>
      <c r="E39" s="31">
        <v>218</v>
      </c>
      <c r="F39" s="32">
        <v>2.9491040000000002</v>
      </c>
      <c r="G39" s="33">
        <v>1.0970800000000001E-3</v>
      </c>
      <c r="H39" s="23" t="s">
        <v>12</v>
      </c>
    </row>
    <row r="40" spans="1:8" x14ac:dyDescent="0.2">
      <c r="A40" s="21"/>
      <c r="B40" s="21"/>
      <c r="C40" s="22" t="s">
        <v>11</v>
      </c>
      <c r="D40" s="21"/>
      <c r="E40" s="21" t="s">
        <v>12</v>
      </c>
      <c r="F40" s="28">
        <v>2.9491040000000002</v>
      </c>
      <c r="G40" s="25">
        <v>1.0970800000000001E-3</v>
      </c>
      <c r="H40" s="23" t="s">
        <v>12</v>
      </c>
    </row>
    <row r="41" spans="1:8" x14ac:dyDescent="0.2">
      <c r="A41" s="21"/>
      <c r="B41" s="21"/>
      <c r="C41" s="26"/>
      <c r="D41" s="21"/>
      <c r="E41" s="21"/>
      <c r="F41" s="27"/>
      <c r="G41" s="27"/>
      <c r="H41" s="23" t="s">
        <v>12</v>
      </c>
    </row>
    <row r="42" spans="1:8" x14ac:dyDescent="0.2">
      <c r="A42" s="21"/>
      <c r="B42" s="21"/>
      <c r="C42" s="22" t="s">
        <v>17</v>
      </c>
      <c r="D42" s="21"/>
      <c r="E42" s="21"/>
      <c r="F42" s="27"/>
      <c r="G42" s="27"/>
      <c r="H42" s="23" t="s">
        <v>12</v>
      </c>
    </row>
    <row r="43" spans="1:8" x14ac:dyDescent="0.2">
      <c r="A43" s="21"/>
      <c r="B43" s="21"/>
      <c r="C43" s="22" t="s">
        <v>11</v>
      </c>
      <c r="D43" s="21"/>
      <c r="E43" s="21" t="s">
        <v>12</v>
      </c>
      <c r="F43" s="24" t="s">
        <v>13</v>
      </c>
      <c r="G43" s="25">
        <v>0</v>
      </c>
      <c r="H43" s="23" t="s">
        <v>12</v>
      </c>
    </row>
    <row r="44" spans="1:8" x14ac:dyDescent="0.2">
      <c r="A44" s="21"/>
      <c r="B44" s="21"/>
      <c r="C44" s="26"/>
      <c r="D44" s="21"/>
      <c r="E44" s="21"/>
      <c r="F44" s="27"/>
      <c r="G44" s="27"/>
      <c r="H44" s="23" t="s">
        <v>12</v>
      </c>
    </row>
    <row r="45" spans="1:8" x14ac:dyDescent="0.2">
      <c r="A45" s="21"/>
      <c r="B45" s="21"/>
      <c r="C45" s="22" t="s">
        <v>18</v>
      </c>
      <c r="D45" s="21"/>
      <c r="E45" s="21"/>
      <c r="F45" s="27"/>
      <c r="G45" s="27"/>
      <c r="H45" s="23" t="s">
        <v>12</v>
      </c>
    </row>
    <row r="46" spans="1:8" x14ac:dyDescent="0.2">
      <c r="A46" s="21"/>
      <c r="B46" s="21"/>
      <c r="C46" s="22" t="s">
        <v>11</v>
      </c>
      <c r="D46" s="21"/>
      <c r="E46" s="21" t="s">
        <v>12</v>
      </c>
      <c r="F46" s="24" t="s">
        <v>13</v>
      </c>
      <c r="G46" s="25">
        <v>0</v>
      </c>
      <c r="H46" s="23" t="s">
        <v>12</v>
      </c>
    </row>
    <row r="47" spans="1:8" x14ac:dyDescent="0.2">
      <c r="A47" s="21"/>
      <c r="B47" s="21"/>
      <c r="C47" s="26"/>
      <c r="D47" s="21"/>
      <c r="E47" s="21"/>
      <c r="F47" s="27"/>
      <c r="G47" s="27"/>
      <c r="H47" s="23" t="s">
        <v>12</v>
      </c>
    </row>
    <row r="48" spans="1:8" x14ac:dyDescent="0.2">
      <c r="A48" s="21"/>
      <c r="B48" s="21"/>
      <c r="C48" s="22" t="s">
        <v>19</v>
      </c>
      <c r="D48" s="21"/>
      <c r="E48" s="21"/>
      <c r="F48" s="28">
        <f>F40+F30</f>
        <v>530.28025400000001</v>
      </c>
      <c r="G48" s="25">
        <f>G40+G30</f>
        <v>0.19726634370128213</v>
      </c>
      <c r="H48" s="23" t="s">
        <v>12</v>
      </c>
    </row>
    <row r="49" spans="1:8" x14ac:dyDescent="0.2">
      <c r="A49" s="21"/>
      <c r="B49" s="21"/>
      <c r="C49" s="26"/>
      <c r="D49" s="21"/>
      <c r="E49" s="21"/>
      <c r="F49" s="27"/>
      <c r="G49" s="27"/>
      <c r="H49" s="23" t="s">
        <v>12</v>
      </c>
    </row>
    <row r="50" spans="1:8" x14ac:dyDescent="0.2">
      <c r="A50" s="21"/>
      <c r="B50" s="21"/>
      <c r="C50" s="22" t="s">
        <v>20</v>
      </c>
      <c r="D50" s="21"/>
      <c r="E50" s="21"/>
      <c r="F50" s="27"/>
      <c r="G50" s="27"/>
      <c r="H50" s="23" t="s">
        <v>12</v>
      </c>
    </row>
    <row r="51" spans="1:8" x14ac:dyDescent="0.2">
      <c r="A51" s="21"/>
      <c r="B51" s="21"/>
      <c r="C51" s="22" t="s">
        <v>10</v>
      </c>
      <c r="D51" s="21"/>
      <c r="E51" s="21"/>
      <c r="F51" s="27"/>
      <c r="G51" s="27"/>
      <c r="H51" s="23" t="s">
        <v>12</v>
      </c>
    </row>
    <row r="52" spans="1:8" x14ac:dyDescent="0.2">
      <c r="A52" s="21"/>
      <c r="B52" s="21"/>
      <c r="C52" s="22" t="s">
        <v>11</v>
      </c>
      <c r="D52" s="21"/>
      <c r="E52" s="21" t="s">
        <v>12</v>
      </c>
      <c r="F52" s="24" t="s">
        <v>13</v>
      </c>
      <c r="G52" s="25">
        <v>0</v>
      </c>
      <c r="H52" s="23" t="s">
        <v>12</v>
      </c>
    </row>
    <row r="53" spans="1:8" x14ac:dyDescent="0.2">
      <c r="A53" s="21"/>
      <c r="B53" s="21"/>
      <c r="C53" s="26"/>
      <c r="D53" s="21"/>
      <c r="E53" s="21"/>
      <c r="F53" s="27"/>
      <c r="G53" s="27"/>
      <c r="H53" s="23" t="s">
        <v>12</v>
      </c>
    </row>
    <row r="54" spans="1:8" x14ac:dyDescent="0.2">
      <c r="A54" s="21"/>
      <c r="B54" s="21"/>
      <c r="C54" s="22" t="s">
        <v>74</v>
      </c>
      <c r="D54" s="21"/>
      <c r="E54" s="21"/>
      <c r="F54" s="21"/>
      <c r="G54" s="21"/>
      <c r="H54" s="23" t="s">
        <v>12</v>
      </c>
    </row>
    <row r="55" spans="1:8" x14ac:dyDescent="0.2">
      <c r="A55" s="21"/>
      <c r="B55" s="21"/>
      <c r="C55" s="22" t="s">
        <v>11</v>
      </c>
      <c r="D55" s="21"/>
      <c r="E55" s="21" t="s">
        <v>12</v>
      </c>
      <c r="F55" s="24" t="s">
        <v>13</v>
      </c>
      <c r="G55" s="25">
        <v>0</v>
      </c>
      <c r="H55" s="23" t="s">
        <v>12</v>
      </c>
    </row>
    <row r="56" spans="1:8" x14ac:dyDescent="0.2">
      <c r="A56" s="21"/>
      <c r="B56" s="21"/>
      <c r="C56" s="26"/>
      <c r="D56" s="21"/>
      <c r="E56" s="21"/>
      <c r="F56" s="27"/>
      <c r="G56" s="27"/>
      <c r="H56" s="23" t="s">
        <v>12</v>
      </c>
    </row>
    <row r="57" spans="1:8" x14ac:dyDescent="0.2">
      <c r="A57" s="21"/>
      <c r="B57" s="21"/>
      <c r="C57" s="22" t="s">
        <v>75</v>
      </c>
      <c r="D57" s="21"/>
      <c r="E57" s="21"/>
      <c r="F57" s="21"/>
      <c r="G57" s="21"/>
      <c r="H57" s="23" t="s">
        <v>12</v>
      </c>
    </row>
    <row r="58" spans="1:8" x14ac:dyDescent="0.2">
      <c r="A58" s="29">
        <v>1</v>
      </c>
      <c r="B58" s="30" t="s">
        <v>76</v>
      </c>
      <c r="C58" s="30" t="s">
        <v>77</v>
      </c>
      <c r="D58" s="30" t="s">
        <v>78</v>
      </c>
      <c r="E58" s="31">
        <v>600000</v>
      </c>
      <c r="F58" s="32">
        <v>626.53620000000001</v>
      </c>
      <c r="G58" s="33">
        <v>0.23307391</v>
      </c>
      <c r="H58" s="23">
        <v>6.5484999999999998</v>
      </c>
    </row>
    <row r="59" spans="1:8" x14ac:dyDescent="0.2">
      <c r="A59" s="29">
        <v>2</v>
      </c>
      <c r="B59" s="30" t="s">
        <v>81</v>
      </c>
      <c r="C59" s="30" t="s">
        <v>82</v>
      </c>
      <c r="D59" s="30" t="s">
        <v>78</v>
      </c>
      <c r="E59" s="31">
        <v>500000</v>
      </c>
      <c r="F59" s="32">
        <v>528.00149999999996</v>
      </c>
      <c r="G59" s="33">
        <v>0.19641861999999999</v>
      </c>
      <c r="H59" s="23">
        <v>6.9675000000000002</v>
      </c>
    </row>
    <row r="60" spans="1:8" x14ac:dyDescent="0.2">
      <c r="A60" s="29">
        <v>3</v>
      </c>
      <c r="B60" s="30" t="s">
        <v>544</v>
      </c>
      <c r="C60" s="30" t="s">
        <v>545</v>
      </c>
      <c r="D60" s="30" t="s">
        <v>78</v>
      </c>
      <c r="E60" s="31">
        <v>500000</v>
      </c>
      <c r="F60" s="32">
        <v>515.04449999999997</v>
      </c>
      <c r="G60" s="33">
        <v>0.19159856</v>
      </c>
      <c r="H60" s="23">
        <v>6.9683999999999999</v>
      </c>
    </row>
    <row r="61" spans="1:8" x14ac:dyDescent="0.2">
      <c r="A61" s="21"/>
      <c r="B61" s="21"/>
      <c r="C61" s="22" t="s">
        <v>11</v>
      </c>
      <c r="D61" s="21"/>
      <c r="E61" s="21" t="s">
        <v>12</v>
      </c>
      <c r="F61" s="28">
        <v>1669.5822000000001</v>
      </c>
      <c r="G61" s="25">
        <v>0.62109108999999996</v>
      </c>
      <c r="H61" s="23" t="s">
        <v>12</v>
      </c>
    </row>
    <row r="62" spans="1:8" x14ac:dyDescent="0.2">
      <c r="A62" s="21"/>
      <c r="B62" s="21"/>
      <c r="C62" s="26"/>
      <c r="D62" s="21"/>
      <c r="E62" s="21"/>
      <c r="F62" s="27"/>
      <c r="G62" s="27"/>
      <c r="H62" s="23" t="s">
        <v>12</v>
      </c>
    </row>
    <row r="63" spans="1:8" x14ac:dyDescent="0.2">
      <c r="A63" s="21"/>
      <c r="B63" s="21"/>
      <c r="C63" s="22" t="s">
        <v>91</v>
      </c>
      <c r="D63" s="21"/>
      <c r="E63" s="21"/>
      <c r="F63" s="27"/>
      <c r="G63" s="27"/>
      <c r="H63" s="23" t="s">
        <v>12</v>
      </c>
    </row>
    <row r="64" spans="1:8" x14ac:dyDescent="0.2">
      <c r="A64" s="21"/>
      <c r="B64" s="21"/>
      <c r="C64" s="22" t="s">
        <v>11</v>
      </c>
      <c r="D64" s="21"/>
      <c r="E64" s="21" t="s">
        <v>12</v>
      </c>
      <c r="F64" s="24" t="s">
        <v>13</v>
      </c>
      <c r="G64" s="25">
        <v>0</v>
      </c>
      <c r="H64" s="23" t="s">
        <v>12</v>
      </c>
    </row>
    <row r="65" spans="1:8" x14ac:dyDescent="0.2">
      <c r="A65" s="21"/>
      <c r="B65" s="21"/>
      <c r="C65" s="26"/>
      <c r="D65" s="21"/>
      <c r="E65" s="21"/>
      <c r="F65" s="27"/>
      <c r="G65" s="27"/>
      <c r="H65" s="23" t="s">
        <v>12</v>
      </c>
    </row>
    <row r="66" spans="1:8" x14ac:dyDescent="0.2">
      <c r="A66" s="21"/>
      <c r="B66" s="21"/>
      <c r="C66" s="22" t="s">
        <v>92</v>
      </c>
      <c r="D66" s="21"/>
      <c r="E66" s="21"/>
      <c r="F66" s="28">
        <v>1669.5822000000001</v>
      </c>
      <c r="G66" s="25">
        <v>0.62109108999999996</v>
      </c>
      <c r="H66" s="23" t="s">
        <v>12</v>
      </c>
    </row>
    <row r="67" spans="1:8" x14ac:dyDescent="0.2">
      <c r="A67" s="21"/>
      <c r="B67" s="21"/>
      <c r="C67" s="26"/>
      <c r="D67" s="21"/>
      <c r="E67" s="21"/>
      <c r="F67" s="27"/>
      <c r="G67" s="27"/>
      <c r="H67" s="23" t="s">
        <v>12</v>
      </c>
    </row>
    <row r="68" spans="1:8" x14ac:dyDescent="0.2">
      <c r="A68" s="21"/>
      <c r="B68" s="21"/>
      <c r="C68" s="22" t="s">
        <v>93</v>
      </c>
      <c r="D68" s="21"/>
      <c r="E68" s="21"/>
      <c r="F68" s="27"/>
      <c r="G68" s="27"/>
      <c r="H68" s="23" t="s">
        <v>12</v>
      </c>
    </row>
    <row r="69" spans="1:8" x14ac:dyDescent="0.2">
      <c r="A69" s="21"/>
      <c r="B69" s="21"/>
      <c r="C69" s="22" t="s">
        <v>94</v>
      </c>
      <c r="D69" s="21"/>
      <c r="E69" s="21"/>
      <c r="F69" s="27"/>
      <c r="G69" s="27"/>
      <c r="H69" s="23" t="s">
        <v>12</v>
      </c>
    </row>
    <row r="70" spans="1:8" x14ac:dyDescent="0.2">
      <c r="A70" s="21"/>
      <c r="B70" s="21"/>
      <c r="C70" s="22" t="s">
        <v>11</v>
      </c>
      <c r="D70" s="21"/>
      <c r="E70" s="21" t="s">
        <v>12</v>
      </c>
      <c r="F70" s="24" t="s">
        <v>13</v>
      </c>
      <c r="G70" s="25">
        <v>0</v>
      </c>
      <c r="H70" s="23" t="s">
        <v>12</v>
      </c>
    </row>
    <row r="71" spans="1:8" x14ac:dyDescent="0.2">
      <c r="A71" s="21"/>
      <c r="B71" s="21"/>
      <c r="C71" s="26"/>
      <c r="D71" s="21"/>
      <c r="E71" s="21"/>
      <c r="F71" s="27"/>
      <c r="G71" s="27"/>
      <c r="H71" s="23" t="s">
        <v>12</v>
      </c>
    </row>
    <row r="72" spans="1:8" x14ac:dyDescent="0.2">
      <c r="A72" s="21"/>
      <c r="B72" s="21"/>
      <c r="C72" s="22" t="s">
        <v>95</v>
      </c>
      <c r="D72" s="21"/>
      <c r="E72" s="21"/>
      <c r="F72" s="27"/>
      <c r="G72" s="27"/>
      <c r="H72" s="23" t="s">
        <v>12</v>
      </c>
    </row>
    <row r="73" spans="1:8" x14ac:dyDescent="0.2">
      <c r="A73" s="21"/>
      <c r="B73" s="21"/>
      <c r="C73" s="22" t="s">
        <v>11</v>
      </c>
      <c r="D73" s="21"/>
      <c r="E73" s="21" t="s">
        <v>12</v>
      </c>
      <c r="F73" s="24" t="s">
        <v>13</v>
      </c>
      <c r="G73" s="25">
        <v>0</v>
      </c>
      <c r="H73" s="23" t="s">
        <v>12</v>
      </c>
    </row>
    <row r="74" spans="1:8" x14ac:dyDescent="0.2">
      <c r="A74" s="21"/>
      <c r="B74" s="21"/>
      <c r="C74" s="26"/>
      <c r="D74" s="21"/>
      <c r="E74" s="21"/>
      <c r="F74" s="27"/>
      <c r="G74" s="27"/>
      <c r="H74" s="23" t="s">
        <v>12</v>
      </c>
    </row>
    <row r="75" spans="1:8" x14ac:dyDescent="0.2">
      <c r="A75" s="21"/>
      <c r="B75" s="21"/>
      <c r="C75" s="22" t="s">
        <v>96</v>
      </c>
      <c r="D75" s="21"/>
      <c r="E75" s="21"/>
      <c r="F75" s="27"/>
      <c r="G75" s="27"/>
      <c r="H75" s="23" t="s">
        <v>12</v>
      </c>
    </row>
    <row r="76" spans="1:8" x14ac:dyDescent="0.2">
      <c r="A76" s="21"/>
      <c r="B76" s="21"/>
      <c r="C76" s="22" t="s">
        <v>11</v>
      </c>
      <c r="D76" s="21"/>
      <c r="E76" s="21" t="s">
        <v>12</v>
      </c>
      <c r="F76" s="24" t="s">
        <v>13</v>
      </c>
      <c r="G76" s="25">
        <v>0</v>
      </c>
      <c r="H76" s="23" t="s">
        <v>12</v>
      </c>
    </row>
    <row r="77" spans="1:8" x14ac:dyDescent="0.2">
      <c r="A77" s="21"/>
      <c r="B77" s="21"/>
      <c r="C77" s="26"/>
      <c r="D77" s="21"/>
      <c r="E77" s="21"/>
      <c r="F77" s="27"/>
      <c r="G77" s="27"/>
      <c r="H77" s="23" t="s">
        <v>12</v>
      </c>
    </row>
    <row r="78" spans="1:8" x14ac:dyDescent="0.2">
      <c r="A78" s="21"/>
      <c r="B78" s="21"/>
      <c r="C78" s="22" t="s">
        <v>97</v>
      </c>
      <c r="D78" s="21"/>
      <c r="E78" s="21"/>
      <c r="F78" s="27"/>
      <c r="G78" s="27"/>
      <c r="H78" s="23" t="s">
        <v>12</v>
      </c>
    </row>
    <row r="79" spans="1:8" x14ac:dyDescent="0.2">
      <c r="A79" s="29">
        <v>1</v>
      </c>
      <c r="B79" s="30"/>
      <c r="C79" s="30" t="s">
        <v>98</v>
      </c>
      <c r="D79" s="30"/>
      <c r="E79" s="34"/>
      <c r="F79" s="32">
        <v>447.17601499800003</v>
      </c>
      <c r="G79" s="33">
        <v>0.16635121999999999</v>
      </c>
      <c r="H79" s="23">
        <v>5.73</v>
      </c>
    </row>
    <row r="80" spans="1:8" x14ac:dyDescent="0.2">
      <c r="A80" s="21"/>
      <c r="B80" s="21"/>
      <c r="C80" s="22" t="s">
        <v>11</v>
      </c>
      <c r="D80" s="21"/>
      <c r="E80" s="21" t="s">
        <v>12</v>
      </c>
      <c r="F80" s="28">
        <v>447.17601499800003</v>
      </c>
      <c r="G80" s="25">
        <v>0.16635121999999999</v>
      </c>
      <c r="H80" s="23" t="s">
        <v>12</v>
      </c>
    </row>
    <row r="81" spans="1:17" x14ac:dyDescent="0.2">
      <c r="A81" s="21"/>
      <c r="B81" s="21"/>
      <c r="C81" s="26"/>
      <c r="D81" s="21"/>
      <c r="E81" s="21"/>
      <c r="F81" s="27"/>
      <c r="G81" s="27"/>
      <c r="H81" s="23" t="s">
        <v>12</v>
      </c>
    </row>
    <row r="82" spans="1:17" x14ac:dyDescent="0.2">
      <c r="A82" s="21"/>
      <c r="B82" s="21"/>
      <c r="C82" s="22" t="s">
        <v>99</v>
      </c>
      <c r="D82" s="21"/>
      <c r="E82" s="21"/>
      <c r="F82" s="28">
        <v>447.17601499800003</v>
      </c>
      <c r="G82" s="25">
        <v>0.16635121999999999</v>
      </c>
      <c r="H82" s="23" t="s">
        <v>12</v>
      </c>
    </row>
    <row r="83" spans="1:17" x14ac:dyDescent="0.2">
      <c r="A83" s="21"/>
      <c r="B83" s="21"/>
      <c r="C83" s="27"/>
      <c r="D83" s="21"/>
      <c r="E83" s="21"/>
      <c r="F83" s="21"/>
      <c r="G83" s="21"/>
      <c r="H83" s="23" t="s">
        <v>12</v>
      </c>
    </row>
    <row r="84" spans="1:17" x14ac:dyDescent="0.2">
      <c r="A84" s="21"/>
      <c r="B84" s="21"/>
      <c r="C84" s="22" t="s">
        <v>100</v>
      </c>
      <c r="D84" s="21"/>
      <c r="E84" s="21"/>
      <c r="F84" s="21"/>
      <c r="G84" s="21"/>
      <c r="H84" s="23" t="s">
        <v>12</v>
      </c>
    </row>
    <row r="85" spans="1:17" x14ac:dyDescent="0.2">
      <c r="A85" s="21"/>
      <c r="B85" s="21"/>
      <c r="C85" s="22" t="s">
        <v>101</v>
      </c>
      <c r="D85" s="21"/>
      <c r="E85" s="21"/>
      <c r="F85" s="21"/>
      <c r="G85" s="21"/>
      <c r="H85" s="23" t="s">
        <v>12</v>
      </c>
    </row>
    <row r="86" spans="1:17" x14ac:dyDescent="0.2">
      <c r="A86" s="21"/>
      <c r="B86" s="21"/>
      <c r="C86" s="22" t="s">
        <v>11</v>
      </c>
      <c r="D86" s="21"/>
      <c r="E86" s="21" t="s">
        <v>12</v>
      </c>
      <c r="F86" s="28">
        <f>SUM(F85)</f>
        <v>0</v>
      </c>
      <c r="G86" s="25">
        <f>SUM(G85)</f>
        <v>0</v>
      </c>
      <c r="H86" s="23" t="s">
        <v>12</v>
      </c>
    </row>
    <row r="87" spans="1:17" x14ac:dyDescent="0.2">
      <c r="A87" s="21"/>
      <c r="B87" s="21"/>
      <c r="C87" s="26"/>
      <c r="D87" s="21"/>
      <c r="E87" s="21"/>
      <c r="F87" s="27"/>
      <c r="G87" s="27"/>
      <c r="H87" s="77" t="s">
        <v>12</v>
      </c>
    </row>
    <row r="88" spans="1:17" x14ac:dyDescent="0.2">
      <c r="A88" s="21"/>
      <c r="B88" s="21"/>
      <c r="C88" s="22" t="s">
        <v>566</v>
      </c>
      <c r="D88" s="21"/>
      <c r="E88" s="21"/>
      <c r="F88" s="27"/>
      <c r="G88" s="27"/>
      <c r="H88" s="32"/>
      <c r="K88" s="56"/>
      <c r="L88" s="56"/>
      <c r="M88" s="56"/>
      <c r="N88" s="56"/>
      <c r="O88" s="79"/>
      <c r="P88" s="79"/>
      <c r="Q88" s="79"/>
    </row>
    <row r="89" spans="1:17" ht="25.5" x14ac:dyDescent="0.2">
      <c r="A89" s="29">
        <v>1</v>
      </c>
      <c r="B89" s="30" t="s">
        <v>102</v>
      </c>
      <c r="C89" s="30" t="s">
        <v>103</v>
      </c>
      <c r="D89" s="30"/>
      <c r="E89" s="80">
        <v>76.796000000000006</v>
      </c>
      <c r="F89" s="32">
        <v>8.5143049400000006</v>
      </c>
      <c r="G89" s="33">
        <v>3.1673600000000001E-3</v>
      </c>
      <c r="H89" s="77"/>
    </row>
    <row r="90" spans="1:17" x14ac:dyDescent="0.2">
      <c r="A90" s="21"/>
      <c r="B90" s="21"/>
      <c r="C90" s="22" t="s">
        <v>11</v>
      </c>
      <c r="D90" s="21"/>
      <c r="E90" s="21" t="s">
        <v>12</v>
      </c>
      <c r="F90" s="28">
        <f>SUM(F89)</f>
        <v>8.5143049400000006</v>
      </c>
      <c r="G90" s="25">
        <f>SUM(G89)</f>
        <v>3.1673600000000001E-3</v>
      </c>
      <c r="H90" s="77" t="s">
        <v>12</v>
      </c>
    </row>
    <row r="91" spans="1:17" x14ac:dyDescent="0.2">
      <c r="A91" s="21"/>
      <c r="B91" s="21"/>
      <c r="C91" s="26"/>
      <c r="D91" s="21"/>
      <c r="E91" s="21"/>
      <c r="F91" s="27"/>
      <c r="G91" s="27"/>
      <c r="H91" s="23" t="s">
        <v>12</v>
      </c>
    </row>
    <row r="92" spans="1:17" x14ac:dyDescent="0.2">
      <c r="A92" s="21"/>
      <c r="B92" s="21"/>
      <c r="C92" s="22" t="s">
        <v>104</v>
      </c>
      <c r="D92" s="21"/>
      <c r="E92" s="21"/>
      <c r="F92" s="21"/>
      <c r="G92" s="21"/>
      <c r="H92" s="23" t="s">
        <v>12</v>
      </c>
    </row>
    <row r="93" spans="1:17" x14ac:dyDescent="0.2">
      <c r="A93" s="21"/>
      <c r="B93" s="21"/>
      <c r="C93" s="22" t="s">
        <v>105</v>
      </c>
      <c r="D93" s="21"/>
      <c r="E93" s="21"/>
      <c r="F93" s="21"/>
      <c r="G93" s="21"/>
      <c r="H93" s="23" t="s">
        <v>12</v>
      </c>
    </row>
    <row r="94" spans="1:17" x14ac:dyDescent="0.2">
      <c r="A94" s="21"/>
      <c r="B94" s="21"/>
      <c r="C94" s="22" t="s">
        <v>11</v>
      </c>
      <c r="D94" s="21"/>
      <c r="E94" s="21" t="s">
        <v>12</v>
      </c>
      <c r="F94" s="24" t="s">
        <v>13</v>
      </c>
      <c r="G94" s="25">
        <v>0</v>
      </c>
      <c r="H94" s="23" t="s">
        <v>12</v>
      </c>
    </row>
    <row r="95" spans="1:17" x14ac:dyDescent="0.2">
      <c r="A95" s="21"/>
      <c r="B95" s="21"/>
      <c r="C95" s="26"/>
      <c r="D95" s="21"/>
      <c r="E95" s="21"/>
      <c r="F95" s="27"/>
      <c r="G95" s="27"/>
      <c r="H95" s="23" t="s">
        <v>12</v>
      </c>
    </row>
    <row r="96" spans="1:17" x14ac:dyDescent="0.2">
      <c r="A96" s="21"/>
      <c r="B96" s="21"/>
      <c r="C96" s="22" t="s">
        <v>106</v>
      </c>
      <c r="D96" s="21"/>
      <c r="E96" s="21"/>
      <c r="F96" s="27"/>
      <c r="G96" s="27"/>
      <c r="H96" s="23" t="s">
        <v>12</v>
      </c>
    </row>
    <row r="97" spans="1:8" x14ac:dyDescent="0.2">
      <c r="A97" s="21"/>
      <c r="B97" s="21"/>
      <c r="C97" s="22" t="s">
        <v>11</v>
      </c>
      <c r="D97" s="21"/>
      <c r="E97" s="21" t="s">
        <v>12</v>
      </c>
      <c r="F97" s="24" t="s">
        <v>13</v>
      </c>
      <c r="G97" s="25">
        <v>0</v>
      </c>
      <c r="H97" s="23" t="s">
        <v>12</v>
      </c>
    </row>
    <row r="98" spans="1:8" x14ac:dyDescent="0.2">
      <c r="A98" s="21"/>
      <c r="B98" s="21"/>
      <c r="C98" s="26"/>
      <c r="D98" s="21"/>
      <c r="E98" s="21"/>
      <c r="F98" s="27"/>
      <c r="G98" s="27"/>
      <c r="H98" s="23" t="s">
        <v>12</v>
      </c>
    </row>
    <row r="99" spans="1:8" x14ac:dyDescent="0.2">
      <c r="A99" s="34"/>
      <c r="B99" s="30"/>
      <c r="C99" s="30" t="s">
        <v>107</v>
      </c>
      <c r="D99" s="30"/>
      <c r="E99" s="34"/>
      <c r="F99" s="32">
        <v>32.591066349999998</v>
      </c>
      <c r="G99" s="33">
        <v>1.2123999999999999E-2</v>
      </c>
      <c r="H99" s="23" t="s">
        <v>12</v>
      </c>
    </row>
    <row r="100" spans="1:8" x14ac:dyDescent="0.2">
      <c r="A100" s="26"/>
      <c r="B100" s="26"/>
      <c r="C100" s="22" t="s">
        <v>108</v>
      </c>
      <c r="D100" s="27"/>
      <c r="E100" s="27"/>
      <c r="F100" s="28">
        <f>F99+F90+F82+F66+F48</f>
        <v>2688.1438402880003</v>
      </c>
      <c r="G100" s="35">
        <f>G99+G90+G82+G66+G48</f>
        <v>1.0000000137012821</v>
      </c>
      <c r="H100" s="23" t="s">
        <v>12</v>
      </c>
    </row>
    <row r="101" spans="1:8" x14ac:dyDescent="0.2">
      <c r="A101" s="36"/>
      <c r="B101" s="36"/>
      <c r="C101" s="36"/>
      <c r="D101" s="37"/>
      <c r="E101" s="37"/>
      <c r="F101" s="37"/>
      <c r="G101" s="37"/>
    </row>
    <row r="102" spans="1:8" x14ac:dyDescent="0.2">
      <c r="A102" s="38"/>
      <c r="B102" s="39" t="s">
        <v>567</v>
      </c>
      <c r="C102" s="39"/>
      <c r="D102" s="39"/>
      <c r="E102" s="39"/>
      <c r="F102" s="39"/>
      <c r="G102" s="39"/>
      <c r="H102" s="39"/>
    </row>
    <row r="103" spans="1:8" x14ac:dyDescent="0.2">
      <c r="A103" s="38"/>
      <c r="B103" s="39" t="s">
        <v>568</v>
      </c>
      <c r="C103" s="39"/>
      <c r="D103" s="39"/>
      <c r="E103" s="39"/>
      <c r="F103" s="39"/>
      <c r="G103" s="39"/>
      <c r="H103" s="39"/>
    </row>
    <row r="104" spans="1:8" x14ac:dyDescent="0.2">
      <c r="A104" s="38"/>
      <c r="B104" s="39" t="s">
        <v>569</v>
      </c>
      <c r="C104" s="39"/>
      <c r="D104" s="39"/>
      <c r="E104" s="39"/>
      <c r="F104" s="39"/>
      <c r="G104" s="39"/>
      <c r="H104" s="39"/>
    </row>
    <row r="105" spans="1:8" x14ac:dyDescent="0.2">
      <c r="A105" s="38"/>
      <c r="B105" s="38"/>
      <c r="C105" s="38"/>
      <c r="D105" s="40"/>
      <c r="E105" s="40"/>
      <c r="F105" s="40"/>
      <c r="G105" s="40"/>
    </row>
    <row r="106" spans="1:8" x14ac:dyDescent="0.2">
      <c r="A106" s="38"/>
      <c r="B106" s="41" t="s">
        <v>109</v>
      </c>
      <c r="C106" s="42"/>
      <c r="D106" s="43"/>
      <c r="E106" s="44"/>
      <c r="F106" s="40"/>
      <c r="G106" s="40"/>
    </row>
    <row r="107" spans="1:8" ht="25.5" x14ac:dyDescent="0.2">
      <c r="A107" s="38"/>
      <c r="B107" s="45" t="s">
        <v>110</v>
      </c>
      <c r="C107" s="46"/>
      <c r="D107" s="22" t="s">
        <v>651</v>
      </c>
      <c r="E107" s="44"/>
      <c r="F107" s="40"/>
      <c r="G107" s="40"/>
    </row>
    <row r="108" spans="1:8" x14ac:dyDescent="0.2">
      <c r="A108" s="38"/>
      <c r="B108" s="45" t="s">
        <v>112</v>
      </c>
      <c r="C108" s="46"/>
      <c r="D108" s="22" t="s">
        <v>111</v>
      </c>
      <c r="E108" s="44"/>
      <c r="F108" s="40"/>
      <c r="G108" s="40"/>
    </row>
    <row r="109" spans="1:8" x14ac:dyDescent="0.2">
      <c r="A109" s="38"/>
      <c r="B109" s="45" t="s">
        <v>113</v>
      </c>
      <c r="C109" s="46"/>
      <c r="D109" s="27" t="s">
        <v>12</v>
      </c>
      <c r="E109" s="44"/>
      <c r="F109" s="40"/>
      <c r="G109" s="40"/>
    </row>
    <row r="110" spans="1:8" x14ac:dyDescent="0.2">
      <c r="A110" s="47"/>
      <c r="B110" s="48" t="s">
        <v>12</v>
      </c>
      <c r="C110" s="48" t="s">
        <v>570</v>
      </c>
      <c r="D110" s="48" t="s">
        <v>114</v>
      </c>
      <c r="E110" s="47"/>
      <c r="F110" s="47"/>
      <c r="G110" s="47"/>
    </row>
    <row r="111" spans="1:8" x14ac:dyDescent="0.2">
      <c r="A111" s="47"/>
      <c r="B111" s="49" t="s">
        <v>115</v>
      </c>
      <c r="C111" s="50">
        <v>45747</v>
      </c>
      <c r="D111" s="50">
        <v>45762</v>
      </c>
      <c r="E111" s="47"/>
      <c r="F111" s="47"/>
      <c r="G111" s="47"/>
    </row>
    <row r="112" spans="1:8" x14ac:dyDescent="0.2">
      <c r="A112" s="47"/>
      <c r="B112" s="30" t="s">
        <v>116</v>
      </c>
      <c r="C112" s="51">
        <v>31.894100000000002</v>
      </c>
      <c r="D112" s="51">
        <v>32.1477</v>
      </c>
      <c r="E112" s="47"/>
      <c r="F112" s="52"/>
      <c r="G112" s="53"/>
    </row>
    <row r="113" spans="1:18" ht="25.5" x14ac:dyDescent="0.2">
      <c r="A113" s="47"/>
      <c r="B113" s="30" t="s">
        <v>695</v>
      </c>
      <c r="C113" s="51">
        <v>13.514200000000001</v>
      </c>
      <c r="D113" s="51">
        <v>13.621700000000001</v>
      </c>
      <c r="E113" s="47"/>
      <c r="F113" s="52"/>
      <c r="G113" s="53"/>
    </row>
    <row r="114" spans="1:18" ht="25.5" x14ac:dyDescent="0.2">
      <c r="A114" s="47"/>
      <c r="B114" s="30" t="s">
        <v>696</v>
      </c>
      <c r="C114" s="51">
        <v>20.994499999999999</v>
      </c>
      <c r="D114" s="51">
        <v>21.1614</v>
      </c>
      <c r="E114" s="47"/>
      <c r="F114" s="52"/>
      <c r="G114" s="53"/>
    </row>
    <row r="115" spans="1:18" ht="25.5" x14ac:dyDescent="0.2">
      <c r="A115" s="47"/>
      <c r="B115" s="30" t="s">
        <v>697</v>
      </c>
      <c r="C115" s="51">
        <v>20.901299999999999</v>
      </c>
      <c r="D115" s="51">
        <v>21.067499999999999</v>
      </c>
      <c r="E115" s="47"/>
      <c r="F115" s="52"/>
      <c r="G115" s="53"/>
    </row>
    <row r="116" spans="1:18" x14ac:dyDescent="0.2">
      <c r="A116" s="47"/>
      <c r="B116" s="30" t="s">
        <v>117</v>
      </c>
      <c r="C116" s="51">
        <v>29.006599999999999</v>
      </c>
      <c r="D116" s="51">
        <v>29.227399999999999</v>
      </c>
      <c r="E116" s="47"/>
      <c r="F116" s="52"/>
      <c r="G116" s="53"/>
    </row>
    <row r="117" spans="1:18" ht="25.5" x14ac:dyDescent="0.2">
      <c r="A117" s="47"/>
      <c r="B117" s="30" t="s">
        <v>699</v>
      </c>
      <c r="C117" s="51">
        <v>13.3825</v>
      </c>
      <c r="D117" s="51">
        <v>13.484299999999999</v>
      </c>
      <c r="E117" s="47"/>
      <c r="F117" s="52"/>
      <c r="G117" s="53"/>
    </row>
    <row r="118" spans="1:18" ht="25.5" x14ac:dyDescent="0.2">
      <c r="A118" s="47"/>
      <c r="B118" s="30" t="s">
        <v>665</v>
      </c>
      <c r="C118" s="51">
        <v>18.981999999999999</v>
      </c>
      <c r="D118" s="51">
        <v>19.1265</v>
      </c>
      <c r="E118" s="47"/>
      <c r="F118" s="52"/>
      <c r="G118" s="53"/>
    </row>
    <row r="119" spans="1:18" ht="25.5" x14ac:dyDescent="0.2">
      <c r="A119" s="47"/>
      <c r="B119" s="30" t="s">
        <v>700</v>
      </c>
      <c r="C119" s="51">
        <v>18.817599999999999</v>
      </c>
      <c r="D119" s="51">
        <v>18.960799999999999</v>
      </c>
      <c r="E119" s="47"/>
      <c r="F119" s="52"/>
      <c r="G119" s="53"/>
    </row>
    <row r="120" spans="1:18" x14ac:dyDescent="0.2">
      <c r="A120" s="47"/>
      <c r="B120" s="47"/>
      <c r="C120" s="47"/>
      <c r="D120" s="47"/>
      <c r="E120" s="47"/>
      <c r="F120" s="47"/>
      <c r="G120" s="47"/>
    </row>
    <row r="121" spans="1:18" x14ac:dyDescent="0.2">
      <c r="A121" s="47"/>
      <c r="B121" s="45" t="s">
        <v>702</v>
      </c>
      <c r="C121" s="46"/>
      <c r="D121" s="22" t="s">
        <v>111</v>
      </c>
      <c r="E121" s="47"/>
      <c r="F121" s="47"/>
      <c r="G121" s="47"/>
    </row>
    <row r="122" spans="1:18" x14ac:dyDescent="0.2">
      <c r="A122" s="47"/>
      <c r="B122" s="54"/>
      <c r="C122" s="54"/>
      <c r="D122" s="54"/>
      <c r="E122" s="47"/>
      <c r="F122" s="47"/>
      <c r="G122" s="47"/>
    </row>
    <row r="123" spans="1:18" x14ac:dyDescent="0.2">
      <c r="A123" s="47"/>
      <c r="B123" s="45" t="s">
        <v>118</v>
      </c>
      <c r="C123" s="46"/>
      <c r="D123" s="22" t="s">
        <v>111</v>
      </c>
      <c r="E123" s="55"/>
      <c r="F123" s="47"/>
      <c r="G123" s="47"/>
      <c r="J123" s="20"/>
    </row>
    <row r="124" spans="1:18" x14ac:dyDescent="0.2">
      <c r="A124" s="47"/>
      <c r="B124" s="45" t="s">
        <v>119</v>
      </c>
      <c r="C124" s="46"/>
      <c r="D124" s="22" t="s">
        <v>111</v>
      </c>
      <c r="E124" s="55"/>
      <c r="F124" s="47"/>
      <c r="G124" s="47"/>
      <c r="J124" s="20"/>
    </row>
    <row r="125" spans="1:18" x14ac:dyDescent="0.2">
      <c r="A125" s="47"/>
      <c r="B125" s="45" t="s">
        <v>571</v>
      </c>
      <c r="C125" s="46"/>
      <c r="D125" s="22" t="s">
        <v>111</v>
      </c>
      <c r="E125" s="55"/>
      <c r="F125" s="47"/>
      <c r="G125" s="47"/>
      <c r="J125" s="20"/>
    </row>
    <row r="126" spans="1:18" x14ac:dyDescent="0.2">
      <c r="A126" s="54"/>
      <c r="B126" s="54"/>
      <c r="C126" s="54"/>
      <c r="D126" s="54"/>
      <c r="E126" s="54"/>
      <c r="F126" s="54"/>
      <c r="G126" s="54"/>
      <c r="J126" s="20"/>
    </row>
    <row r="127" spans="1:18" s="60" customFormat="1" x14ac:dyDescent="0.2">
      <c r="B127" s="57" t="s">
        <v>572</v>
      </c>
      <c r="C127" s="58"/>
      <c r="D127" s="59"/>
      <c r="I127" s="17"/>
      <c r="J127" s="20"/>
      <c r="K127" s="56"/>
      <c r="L127" s="56"/>
      <c r="M127" s="56"/>
      <c r="N127" s="56"/>
      <c r="O127" s="17"/>
      <c r="R127" s="17"/>
    </row>
    <row r="128" spans="1:18" s="60" customFormat="1" ht="38.25" x14ac:dyDescent="0.2">
      <c r="B128" s="62" t="s">
        <v>573</v>
      </c>
      <c r="C128" s="62"/>
      <c r="D128" s="63" t="s">
        <v>484</v>
      </c>
      <c r="I128" s="17"/>
      <c r="J128" s="20"/>
      <c r="K128" s="56"/>
      <c r="L128" s="56"/>
      <c r="M128" s="56"/>
      <c r="N128" s="56"/>
      <c r="O128" s="17"/>
      <c r="R128" s="17"/>
    </row>
    <row r="129" spans="2:18" s="60" customFormat="1" x14ac:dyDescent="0.2">
      <c r="B129" s="64" t="s">
        <v>574</v>
      </c>
      <c r="C129" s="64"/>
      <c r="D129" s="65"/>
      <c r="I129" s="17"/>
      <c r="J129" s="20"/>
      <c r="K129" s="56"/>
      <c r="L129" s="56"/>
      <c r="M129" s="56"/>
      <c r="N129" s="56"/>
      <c r="O129" s="17"/>
      <c r="R129" s="17"/>
    </row>
    <row r="130" spans="2:18" s="60" customFormat="1" x14ac:dyDescent="0.2">
      <c r="B130" s="64"/>
      <c r="C130" s="64"/>
      <c r="D130" s="66"/>
      <c r="I130" s="17"/>
      <c r="J130" s="20"/>
      <c r="K130" s="56"/>
      <c r="L130" s="56"/>
      <c r="M130" s="56"/>
      <c r="N130" s="56"/>
      <c r="O130" s="17"/>
    </row>
    <row r="131" spans="2:18" s="60" customFormat="1" x14ac:dyDescent="0.2">
      <c r="B131" s="64" t="s">
        <v>575</v>
      </c>
      <c r="C131" s="64"/>
      <c r="D131" s="67">
        <v>6.5850215853165901</v>
      </c>
      <c r="I131" s="17"/>
      <c r="J131" s="20"/>
      <c r="K131" s="56"/>
      <c r="L131" s="56"/>
      <c r="M131" s="56"/>
      <c r="N131" s="56"/>
      <c r="O131" s="17"/>
    </row>
    <row r="132" spans="2:18" s="60" customFormat="1" x14ac:dyDescent="0.2">
      <c r="B132" s="64"/>
      <c r="C132" s="64"/>
      <c r="D132" s="66"/>
      <c r="I132" s="17"/>
      <c r="J132" s="20"/>
      <c r="K132" s="56"/>
      <c r="L132" s="56"/>
      <c r="M132" s="56"/>
      <c r="N132" s="56"/>
      <c r="O132" s="17"/>
    </row>
    <row r="133" spans="2:18" s="60" customFormat="1" x14ac:dyDescent="0.2">
      <c r="B133" s="64" t="s">
        <v>677</v>
      </c>
      <c r="C133" s="64"/>
      <c r="D133" s="67">
        <v>8.2121277967688542</v>
      </c>
      <c r="I133" s="17"/>
      <c r="J133" s="20"/>
      <c r="K133" s="56"/>
      <c r="L133" s="56"/>
      <c r="M133" s="56"/>
      <c r="N133" s="56"/>
      <c r="O133" s="17"/>
    </row>
    <row r="134" spans="2:18" s="60" customFormat="1" x14ac:dyDescent="0.2">
      <c r="B134" s="64" t="s">
        <v>678</v>
      </c>
      <c r="C134" s="64"/>
      <c r="D134" s="67">
        <v>16.831397660711083</v>
      </c>
      <c r="I134" s="17"/>
      <c r="J134" s="20"/>
      <c r="K134" s="56"/>
      <c r="L134" s="56"/>
      <c r="M134" s="56"/>
      <c r="N134" s="56"/>
      <c r="O134" s="17"/>
    </row>
    <row r="135" spans="2:18" s="60" customFormat="1" x14ac:dyDescent="0.2">
      <c r="B135" s="64"/>
      <c r="C135" s="64"/>
      <c r="D135" s="66"/>
      <c r="I135" s="17"/>
      <c r="J135" s="20"/>
      <c r="K135" s="56"/>
      <c r="L135" s="56"/>
      <c r="M135" s="56"/>
      <c r="N135" s="56"/>
      <c r="O135" s="17"/>
    </row>
    <row r="136" spans="2:18" s="60" customFormat="1" x14ac:dyDescent="0.2">
      <c r="B136" s="64" t="s">
        <v>578</v>
      </c>
      <c r="C136" s="64"/>
      <c r="D136" s="81" t="s">
        <v>690</v>
      </c>
      <c r="I136" s="17"/>
      <c r="J136" s="20"/>
      <c r="K136" s="56"/>
      <c r="L136" s="56"/>
      <c r="M136" s="56"/>
      <c r="N136" s="56"/>
      <c r="O136" s="17"/>
    </row>
    <row r="137" spans="2:18" s="60" customFormat="1" x14ac:dyDescent="0.2">
      <c r="B137" s="70" t="s">
        <v>579</v>
      </c>
      <c r="C137" s="71"/>
      <c r="D137" s="72"/>
      <c r="I137" s="17"/>
      <c r="J137" s="20"/>
      <c r="K137" s="56"/>
      <c r="L137" s="56"/>
      <c r="M137" s="56"/>
      <c r="N137" s="56"/>
      <c r="O137" s="17"/>
    </row>
    <row r="138" spans="2:18" x14ac:dyDescent="0.2">
      <c r="J138" s="20"/>
    </row>
    <row r="139" spans="2:18" ht="13.5" x14ac:dyDescent="0.2">
      <c r="B139" s="82" t="s">
        <v>694</v>
      </c>
      <c r="C139" s="82"/>
      <c r="D139" s="82"/>
      <c r="E139" s="82"/>
      <c r="F139" s="82"/>
      <c r="G139" s="82"/>
      <c r="H139" s="82"/>
      <c r="I139" s="56"/>
      <c r="J139" s="20"/>
      <c r="K139" s="56"/>
      <c r="L139" s="56"/>
      <c r="M139" s="56"/>
      <c r="N139" s="56"/>
      <c r="O139" s="56"/>
      <c r="P139" s="56"/>
    </row>
    <row r="140" spans="2:18" s="61" customFormat="1" ht="26.25" customHeight="1" x14ac:dyDescent="0.2">
      <c r="B140" s="83" t="s">
        <v>591</v>
      </c>
      <c r="C140" s="83" t="s">
        <v>592</v>
      </c>
      <c r="D140" s="84" t="s">
        <v>679</v>
      </c>
      <c r="E140" s="84"/>
      <c r="F140" s="84"/>
      <c r="G140" s="85" t="s">
        <v>594</v>
      </c>
      <c r="H140" s="85"/>
      <c r="J140" s="20"/>
      <c r="K140" s="86"/>
      <c r="L140" s="86"/>
      <c r="M140" s="86"/>
      <c r="N140" s="86"/>
      <c r="O140" s="86"/>
      <c r="P140" s="86"/>
    </row>
    <row r="141" spans="2:18" ht="27" x14ac:dyDescent="0.25">
      <c r="B141" s="87" t="s">
        <v>631</v>
      </c>
      <c r="C141" s="88" t="s">
        <v>680</v>
      </c>
      <c r="D141" s="89">
        <v>0</v>
      </c>
      <c r="E141" s="89"/>
      <c r="F141" s="89"/>
      <c r="G141" s="89">
        <v>0</v>
      </c>
      <c r="H141" s="89"/>
      <c r="J141" s="20"/>
      <c r="K141" s="56"/>
      <c r="L141" s="56"/>
      <c r="M141" s="56"/>
      <c r="N141" s="56"/>
      <c r="O141" s="56"/>
      <c r="P141" s="56"/>
    </row>
    <row r="142" spans="2:18" ht="13.5" x14ac:dyDescent="0.25">
      <c r="B142" s="90"/>
      <c r="C142" s="90"/>
      <c r="D142" s="91"/>
      <c r="E142" s="91"/>
      <c r="F142" s="91"/>
      <c r="G142" s="91"/>
      <c r="H142" s="91"/>
      <c r="J142" s="20"/>
      <c r="K142" s="56"/>
      <c r="L142" s="56"/>
      <c r="M142" s="56"/>
      <c r="N142" s="56"/>
      <c r="O142" s="56"/>
      <c r="P142" s="56"/>
    </row>
    <row r="143" spans="2:18" ht="13.5" x14ac:dyDescent="0.25">
      <c r="B143" s="92" t="s">
        <v>601</v>
      </c>
      <c r="C143" s="92"/>
      <c r="D143" s="92"/>
      <c r="E143" s="92"/>
      <c r="F143" s="92"/>
      <c r="G143" s="92"/>
      <c r="H143" s="92"/>
      <c r="J143" s="20"/>
      <c r="K143" s="56"/>
      <c r="L143" s="56"/>
      <c r="M143" s="56"/>
      <c r="N143" s="56"/>
      <c r="O143" s="56"/>
      <c r="P143" s="56"/>
    </row>
    <row r="144" spans="2:18" ht="13.5" customHeight="1" x14ac:dyDescent="0.2">
      <c r="B144" s="85" t="s">
        <v>591</v>
      </c>
      <c r="C144" s="85" t="s">
        <v>592</v>
      </c>
      <c r="D144" s="85" t="s">
        <v>634</v>
      </c>
      <c r="E144" s="85"/>
      <c r="F144" s="85"/>
      <c r="G144" s="85"/>
      <c r="H144" s="84" t="s">
        <v>681</v>
      </c>
      <c r="I144" s="84" t="s">
        <v>682</v>
      </c>
      <c r="J144" s="84" t="s">
        <v>637</v>
      </c>
      <c r="K144" s="56"/>
      <c r="L144" s="56"/>
      <c r="M144" s="56"/>
      <c r="N144" s="56"/>
      <c r="O144" s="56"/>
      <c r="P144" s="56"/>
    </row>
    <row r="145" spans="2:16" ht="121.5" x14ac:dyDescent="0.2">
      <c r="B145" s="85"/>
      <c r="C145" s="85"/>
      <c r="D145" s="93" t="s">
        <v>638</v>
      </c>
      <c r="E145" s="93" t="s">
        <v>639</v>
      </c>
      <c r="F145" s="93" t="s">
        <v>640</v>
      </c>
      <c r="G145" s="93" t="s">
        <v>670</v>
      </c>
      <c r="H145" s="84"/>
      <c r="I145" s="84"/>
      <c r="J145" s="84"/>
      <c r="K145" s="56"/>
      <c r="L145" s="56"/>
      <c r="M145" s="56"/>
      <c r="N145" s="56"/>
      <c r="O145" s="56"/>
    </row>
    <row r="146" spans="2:16" ht="27" x14ac:dyDescent="0.25">
      <c r="B146" s="90" t="s">
        <v>631</v>
      </c>
      <c r="C146" s="88" t="s">
        <v>683</v>
      </c>
      <c r="D146" s="94">
        <v>500</v>
      </c>
      <c r="E146" s="94">
        <v>9.9405737999999992</v>
      </c>
      <c r="F146" s="95">
        <v>16.00737140547945</v>
      </c>
      <c r="G146" s="94">
        <v>525.94794520547941</v>
      </c>
      <c r="H146" s="8">
        <v>233.40679</v>
      </c>
      <c r="I146" s="8">
        <v>4.01</v>
      </c>
      <c r="J146" s="96">
        <f>H146+I146</f>
        <v>237.41678999999999</v>
      </c>
      <c r="K146" s="56"/>
      <c r="L146" s="56"/>
      <c r="M146" s="56"/>
      <c r="N146" s="56"/>
      <c r="O146" s="56"/>
      <c r="P146" s="56"/>
    </row>
    <row r="147" spans="2:16" x14ac:dyDescent="0.2">
      <c r="J147" s="20"/>
      <c r="P147" s="56"/>
    </row>
    <row r="148" spans="2:16" x14ac:dyDescent="0.2">
      <c r="J148" s="20"/>
      <c r="K148" s="56"/>
      <c r="L148" s="56"/>
      <c r="M148" s="56"/>
      <c r="N148" s="56"/>
      <c r="O148" s="56"/>
      <c r="P148" s="56"/>
    </row>
    <row r="149" spans="2:16" ht="13.5" x14ac:dyDescent="0.25">
      <c r="B149" s="97" t="s">
        <v>621</v>
      </c>
      <c r="J149" s="20"/>
      <c r="K149" s="56"/>
      <c r="L149" s="56"/>
      <c r="M149" s="56"/>
      <c r="N149" s="56"/>
      <c r="O149" s="56"/>
      <c r="P149" s="56"/>
    </row>
    <row r="150" spans="2:16" x14ac:dyDescent="0.2">
      <c r="B150" s="56"/>
      <c r="C150" s="56"/>
      <c r="D150" s="56"/>
      <c r="E150" s="56"/>
      <c r="F150" s="56"/>
      <c r="G150" s="56"/>
      <c r="H150" s="56"/>
      <c r="J150" s="20"/>
      <c r="K150" s="56"/>
      <c r="L150" s="56"/>
      <c r="M150" s="56"/>
      <c r="N150" s="56"/>
      <c r="O150" s="56"/>
      <c r="P150" s="56"/>
    </row>
    <row r="151" spans="2:16" x14ac:dyDescent="0.2">
      <c r="B151" s="98" t="s">
        <v>622</v>
      </c>
      <c r="C151" s="56"/>
      <c r="D151" s="56"/>
      <c r="E151" s="56"/>
      <c r="F151" s="56"/>
      <c r="G151" s="56"/>
      <c r="H151" s="56"/>
      <c r="J151" s="20"/>
      <c r="K151" s="56"/>
      <c r="L151" s="56"/>
      <c r="M151" s="56"/>
      <c r="N151" s="56"/>
      <c r="O151" s="56"/>
      <c r="P151" s="56"/>
    </row>
    <row r="152" spans="2:16" x14ac:dyDescent="0.2">
      <c r="B152" s="56"/>
      <c r="C152" s="56"/>
      <c r="D152" s="56"/>
      <c r="E152" s="56"/>
      <c r="F152" s="56"/>
      <c r="G152" s="56"/>
      <c r="H152" s="56"/>
      <c r="J152" s="20"/>
      <c r="K152" s="56"/>
      <c r="L152" s="56"/>
      <c r="M152" s="56"/>
      <c r="N152" s="56"/>
      <c r="O152" s="56"/>
      <c r="P152" s="56"/>
    </row>
    <row r="153" spans="2:16" x14ac:dyDescent="0.2">
      <c r="B153" s="98" t="s">
        <v>623</v>
      </c>
      <c r="C153" s="56"/>
      <c r="D153" s="56"/>
      <c r="E153" s="56"/>
      <c r="F153" s="56"/>
      <c r="G153" s="56"/>
      <c r="H153" s="56"/>
      <c r="J153" s="20"/>
      <c r="K153" s="56"/>
      <c r="L153" s="56"/>
      <c r="M153" s="56"/>
      <c r="N153" s="56"/>
      <c r="O153" s="56"/>
      <c r="P153" s="56"/>
    </row>
    <row r="154" spans="2:16" x14ac:dyDescent="0.2">
      <c r="J154" s="20"/>
      <c r="K154" s="56"/>
      <c r="L154" s="56"/>
      <c r="M154" s="56"/>
      <c r="N154" s="56"/>
      <c r="O154" s="56"/>
    </row>
    <row r="155" spans="2:16" x14ac:dyDescent="0.2">
      <c r="B155" s="98" t="s">
        <v>624</v>
      </c>
      <c r="J155" s="20"/>
      <c r="K155" s="56"/>
      <c r="L155" s="56"/>
      <c r="M155" s="56"/>
      <c r="N155" s="56"/>
      <c r="O155" s="56"/>
    </row>
    <row r="156" spans="2:16" x14ac:dyDescent="0.2">
      <c r="J156" s="20"/>
    </row>
    <row r="157" spans="2:16" x14ac:dyDescent="0.2">
      <c r="B157" s="74" t="s">
        <v>580</v>
      </c>
    </row>
    <row r="159" spans="2:16" ht="153.75" customHeight="1" x14ac:dyDescent="0.2"/>
    <row r="162" spans="2:10" x14ac:dyDescent="0.2">
      <c r="B162" s="75" t="s">
        <v>581</v>
      </c>
      <c r="C162" s="76"/>
      <c r="D162" s="75"/>
    </row>
    <row r="163" spans="2:10" x14ac:dyDescent="0.2">
      <c r="B163" s="75" t="s">
        <v>684</v>
      </c>
      <c r="D163" s="75"/>
    </row>
    <row r="164" spans="2:10" ht="165" customHeight="1" x14ac:dyDescent="0.2"/>
    <row r="166" spans="2:10" x14ac:dyDescent="0.2">
      <c r="J166" s="20"/>
    </row>
    <row r="167" spans="2:10" x14ac:dyDescent="0.2">
      <c r="J167" s="20"/>
    </row>
    <row r="168" spans="2:10" x14ac:dyDescent="0.2">
      <c r="J168" s="20"/>
    </row>
    <row r="169" spans="2:10" x14ac:dyDescent="0.2">
      <c r="J169" s="20"/>
    </row>
    <row r="170" spans="2:10" x14ac:dyDescent="0.2">
      <c r="J170" s="20"/>
    </row>
    <row r="171" spans="2:10" x14ac:dyDescent="0.2">
      <c r="J171" s="20"/>
    </row>
  </sheetData>
  <mergeCells count="39">
    <mergeCell ref="B104:H104"/>
    <mergeCell ref="B128:C128"/>
    <mergeCell ref="B129:C129"/>
    <mergeCell ref="B106:D106"/>
    <mergeCell ref="B107:C107"/>
    <mergeCell ref="B108:C108"/>
    <mergeCell ref="B109:C109"/>
    <mergeCell ref="B121:C121"/>
    <mergeCell ref="B125:C125"/>
    <mergeCell ref="B123:C123"/>
    <mergeCell ref="B124:C124"/>
    <mergeCell ref="B127:D127"/>
    <mergeCell ref="A1:H1"/>
    <mergeCell ref="A2:H2"/>
    <mergeCell ref="A3:H3"/>
    <mergeCell ref="B102:H102"/>
    <mergeCell ref="B103:H103"/>
    <mergeCell ref="B130:C130"/>
    <mergeCell ref="B131:C131"/>
    <mergeCell ref="B132:C132"/>
    <mergeCell ref="B133:C133"/>
    <mergeCell ref="B134:C134"/>
    <mergeCell ref="B135:C135"/>
    <mergeCell ref="B136:C136"/>
    <mergeCell ref="B137:D137"/>
    <mergeCell ref="B139:H139"/>
    <mergeCell ref="D140:F140"/>
    <mergeCell ref="G140:H140"/>
    <mergeCell ref="D141:F141"/>
    <mergeCell ref="G141:H141"/>
    <mergeCell ref="D142:F142"/>
    <mergeCell ref="G142:H142"/>
    <mergeCell ref="B143:H143"/>
    <mergeCell ref="J144:J145"/>
    <mergeCell ref="B144:B145"/>
    <mergeCell ref="C144:C145"/>
    <mergeCell ref="D144:G144"/>
    <mergeCell ref="H144:H145"/>
    <mergeCell ref="I144:I145"/>
  </mergeCells>
  <hyperlinks>
    <hyperlink ref="I1" location="Index!B2" display="Index" xr:uid="{4B1600F6-E372-44A7-AEF6-E46F0BAF788E}"/>
    <hyperlink ref="B151" r:id="rId1" xr:uid="{CAE72BEA-CE81-420E-A18C-41A3906311DC}"/>
    <hyperlink ref="B153" r:id="rId2" xr:uid="{61C93BA9-D42B-4F8B-9082-2683AD8CF5A9}"/>
    <hyperlink ref="B155" r:id="rId3" xr:uid="{B9675F2C-5FB8-4C35-BF5A-02D2B134F8A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CB11-2EA6-4D15-A12A-38D8933DAEB5}">
  <sheetPr>
    <outlinePr summaryBelow="0" summaryRight="0"/>
  </sheetPr>
  <dimension ref="A1:U118"/>
  <sheetViews>
    <sheetView showGridLines="0" workbookViewId="0">
      <selection sqref="A1:H1"/>
    </sheetView>
  </sheetViews>
  <sheetFormatPr defaultRowHeight="12.75" x14ac:dyDescent="0.2"/>
  <cols>
    <col min="1" max="1" width="5.85546875" style="17" bestFit="1" customWidth="1"/>
    <col min="2" max="2" width="21" style="17" customWidth="1"/>
    <col min="3" max="3" width="44.140625" style="17" customWidth="1"/>
    <col min="4" max="4" width="11" style="17" bestFit="1" customWidth="1"/>
    <col min="5" max="5" width="8.7109375" style="17" bestFit="1" customWidth="1"/>
    <col min="6" max="6" width="10.140625" style="17" bestFit="1" customWidth="1"/>
    <col min="7" max="7" width="14" style="17" bestFit="1" customWidth="1"/>
    <col min="8" max="8" width="8.5703125" style="17" customWidth="1"/>
    <col min="9" max="9" width="5.7109375" style="17" bestFit="1" customWidth="1"/>
    <col min="10" max="16384" width="9.140625" style="17"/>
  </cols>
  <sheetData>
    <row r="1" spans="1:9" ht="15" x14ac:dyDescent="0.2">
      <c r="A1" s="16" t="s">
        <v>0</v>
      </c>
      <c r="B1" s="16"/>
      <c r="C1" s="16"/>
      <c r="D1" s="16"/>
      <c r="E1" s="16"/>
      <c r="F1" s="16"/>
      <c r="G1" s="16"/>
      <c r="H1" s="16"/>
      <c r="I1" s="7" t="s">
        <v>565</v>
      </c>
    </row>
    <row r="2" spans="1:9" ht="15" x14ac:dyDescent="0.2">
      <c r="A2" s="16" t="s">
        <v>546</v>
      </c>
      <c r="B2" s="16"/>
      <c r="C2" s="16"/>
      <c r="D2" s="16"/>
      <c r="E2" s="16"/>
      <c r="F2" s="16"/>
      <c r="G2" s="16"/>
      <c r="H2" s="16"/>
    </row>
    <row r="3" spans="1:9" ht="15" x14ac:dyDescent="0.2">
      <c r="A3" s="16" t="s">
        <v>703</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704</v>
      </c>
    </row>
    <row r="5" spans="1:9" x14ac:dyDescent="0.2">
      <c r="A5" s="21"/>
      <c r="B5" s="21"/>
      <c r="C5" s="22" t="s">
        <v>9</v>
      </c>
      <c r="D5" s="21"/>
      <c r="E5" s="21"/>
      <c r="F5" s="21"/>
      <c r="G5" s="21"/>
      <c r="H5" s="23" t="s">
        <v>12</v>
      </c>
    </row>
    <row r="6" spans="1:9" x14ac:dyDescent="0.2">
      <c r="A6" s="21"/>
      <c r="B6" s="21"/>
      <c r="C6" s="22" t="s">
        <v>10</v>
      </c>
      <c r="D6" s="21"/>
      <c r="E6" s="21"/>
      <c r="F6" s="21"/>
      <c r="G6" s="21"/>
      <c r="H6" s="23" t="s">
        <v>12</v>
      </c>
    </row>
    <row r="7" spans="1:9" x14ac:dyDescent="0.2">
      <c r="A7" s="21"/>
      <c r="B7" s="21"/>
      <c r="C7" s="22" t="s">
        <v>11</v>
      </c>
      <c r="D7" s="21"/>
      <c r="E7" s="21" t="s">
        <v>12</v>
      </c>
      <c r="F7" s="24" t="s">
        <v>13</v>
      </c>
      <c r="G7" s="25">
        <v>0</v>
      </c>
      <c r="H7" s="23" t="s">
        <v>12</v>
      </c>
    </row>
    <row r="8" spans="1:9" x14ac:dyDescent="0.2">
      <c r="A8" s="21"/>
      <c r="B8" s="21"/>
      <c r="C8" s="26"/>
      <c r="D8" s="21"/>
      <c r="E8" s="21"/>
      <c r="F8" s="27"/>
      <c r="G8" s="27"/>
      <c r="H8" s="23" t="s">
        <v>12</v>
      </c>
    </row>
    <row r="9" spans="1:9" x14ac:dyDescent="0.2">
      <c r="A9" s="21"/>
      <c r="B9" s="21"/>
      <c r="C9" s="22" t="s">
        <v>14</v>
      </c>
      <c r="D9" s="21"/>
      <c r="E9" s="21"/>
      <c r="F9" s="21"/>
      <c r="G9" s="21"/>
      <c r="H9" s="23" t="s">
        <v>12</v>
      </c>
    </row>
    <row r="10" spans="1:9" x14ac:dyDescent="0.2">
      <c r="A10" s="21"/>
      <c r="B10" s="21"/>
      <c r="C10" s="22" t="s">
        <v>11</v>
      </c>
      <c r="D10" s="21"/>
      <c r="E10" s="21" t="s">
        <v>12</v>
      </c>
      <c r="F10" s="24" t="s">
        <v>13</v>
      </c>
      <c r="G10" s="25">
        <v>0</v>
      </c>
      <c r="H10" s="23" t="s">
        <v>12</v>
      </c>
    </row>
    <row r="11" spans="1:9" x14ac:dyDescent="0.2">
      <c r="A11" s="21"/>
      <c r="B11" s="21"/>
      <c r="C11" s="26"/>
      <c r="D11" s="21"/>
      <c r="E11" s="21"/>
      <c r="F11" s="27"/>
      <c r="G11" s="27"/>
      <c r="H11" s="23" t="s">
        <v>12</v>
      </c>
    </row>
    <row r="12" spans="1:9" x14ac:dyDescent="0.2">
      <c r="A12" s="21"/>
      <c r="B12" s="21"/>
      <c r="C12" s="22" t="s">
        <v>15</v>
      </c>
      <c r="D12" s="21"/>
      <c r="E12" s="21"/>
      <c r="F12" s="21"/>
      <c r="G12" s="21"/>
      <c r="H12" s="23" t="s">
        <v>12</v>
      </c>
    </row>
    <row r="13" spans="1:9" x14ac:dyDescent="0.2">
      <c r="A13" s="21"/>
      <c r="B13" s="21"/>
      <c r="C13" s="22" t="s">
        <v>11</v>
      </c>
      <c r="D13" s="21"/>
      <c r="E13" s="21" t="s">
        <v>12</v>
      </c>
      <c r="F13" s="24" t="s">
        <v>13</v>
      </c>
      <c r="G13" s="25">
        <v>0</v>
      </c>
      <c r="H13" s="23" t="s">
        <v>12</v>
      </c>
    </row>
    <row r="14" spans="1:9" x14ac:dyDescent="0.2">
      <c r="A14" s="21"/>
      <c r="B14" s="21"/>
      <c r="C14" s="26"/>
      <c r="D14" s="21"/>
      <c r="E14" s="21"/>
      <c r="F14" s="27"/>
      <c r="G14" s="27"/>
      <c r="H14" s="23" t="s">
        <v>12</v>
      </c>
    </row>
    <row r="15" spans="1:9" x14ac:dyDescent="0.2">
      <c r="A15" s="21"/>
      <c r="B15" s="21"/>
      <c r="C15" s="22" t="s">
        <v>16</v>
      </c>
      <c r="D15" s="21"/>
      <c r="E15" s="21"/>
      <c r="F15" s="21"/>
      <c r="G15" s="21"/>
      <c r="H15" s="23" t="s">
        <v>12</v>
      </c>
    </row>
    <row r="16" spans="1:9" x14ac:dyDescent="0.2">
      <c r="A16" s="21"/>
      <c r="B16" s="21"/>
      <c r="C16" s="22" t="s">
        <v>11</v>
      </c>
      <c r="D16" s="21"/>
      <c r="E16" s="21" t="s">
        <v>12</v>
      </c>
      <c r="F16" s="24" t="s">
        <v>13</v>
      </c>
      <c r="G16" s="25">
        <v>0</v>
      </c>
      <c r="H16" s="23" t="s">
        <v>12</v>
      </c>
    </row>
    <row r="17" spans="1:8" x14ac:dyDescent="0.2">
      <c r="A17" s="21"/>
      <c r="B17" s="21"/>
      <c r="C17" s="26"/>
      <c r="D17" s="21"/>
      <c r="E17" s="21"/>
      <c r="F17" s="27"/>
      <c r="G17" s="27"/>
      <c r="H17" s="23" t="s">
        <v>12</v>
      </c>
    </row>
    <row r="18" spans="1:8" x14ac:dyDescent="0.2">
      <c r="A18" s="21"/>
      <c r="B18" s="21"/>
      <c r="C18" s="22" t="s">
        <v>17</v>
      </c>
      <c r="D18" s="21"/>
      <c r="E18" s="21"/>
      <c r="F18" s="27"/>
      <c r="G18" s="27"/>
      <c r="H18" s="23" t="s">
        <v>12</v>
      </c>
    </row>
    <row r="19" spans="1:8" x14ac:dyDescent="0.2">
      <c r="A19" s="21"/>
      <c r="B19" s="21"/>
      <c r="C19" s="22" t="s">
        <v>11</v>
      </c>
      <c r="D19" s="21"/>
      <c r="E19" s="21" t="s">
        <v>12</v>
      </c>
      <c r="F19" s="24" t="s">
        <v>13</v>
      </c>
      <c r="G19" s="25">
        <v>0</v>
      </c>
      <c r="H19" s="23" t="s">
        <v>12</v>
      </c>
    </row>
    <row r="20" spans="1:8" x14ac:dyDescent="0.2">
      <c r="A20" s="21"/>
      <c r="B20" s="21"/>
      <c r="C20" s="26"/>
      <c r="D20" s="21"/>
      <c r="E20" s="21"/>
      <c r="F20" s="27"/>
      <c r="G20" s="27"/>
      <c r="H20" s="23" t="s">
        <v>12</v>
      </c>
    </row>
    <row r="21" spans="1:8" x14ac:dyDescent="0.2">
      <c r="A21" s="21"/>
      <c r="B21" s="21"/>
      <c r="C21" s="22" t="s">
        <v>18</v>
      </c>
      <c r="D21" s="21"/>
      <c r="E21" s="21"/>
      <c r="F21" s="27"/>
      <c r="G21" s="27"/>
      <c r="H21" s="23" t="s">
        <v>12</v>
      </c>
    </row>
    <row r="22" spans="1:8" x14ac:dyDescent="0.2">
      <c r="A22" s="21"/>
      <c r="B22" s="21"/>
      <c r="C22" s="22" t="s">
        <v>11</v>
      </c>
      <c r="D22" s="21"/>
      <c r="E22" s="21" t="s">
        <v>12</v>
      </c>
      <c r="F22" s="24" t="s">
        <v>13</v>
      </c>
      <c r="G22" s="25">
        <v>0</v>
      </c>
      <c r="H22" s="23" t="s">
        <v>12</v>
      </c>
    </row>
    <row r="23" spans="1:8" x14ac:dyDescent="0.2">
      <c r="A23" s="21"/>
      <c r="B23" s="21"/>
      <c r="C23" s="26"/>
      <c r="D23" s="21"/>
      <c r="E23" s="21"/>
      <c r="F23" s="27"/>
      <c r="G23" s="27"/>
      <c r="H23" s="23" t="s">
        <v>12</v>
      </c>
    </row>
    <row r="24" spans="1:8" x14ac:dyDescent="0.2">
      <c r="A24" s="21"/>
      <c r="B24" s="21"/>
      <c r="C24" s="22" t="s">
        <v>19</v>
      </c>
      <c r="D24" s="21"/>
      <c r="E24" s="21"/>
      <c r="F24" s="28">
        <v>0</v>
      </c>
      <c r="G24" s="25">
        <v>0</v>
      </c>
      <c r="H24" s="23" t="s">
        <v>12</v>
      </c>
    </row>
    <row r="25" spans="1:8" x14ac:dyDescent="0.2">
      <c r="A25" s="21"/>
      <c r="B25" s="21"/>
      <c r="C25" s="26"/>
      <c r="D25" s="21"/>
      <c r="E25" s="21"/>
      <c r="F25" s="27"/>
      <c r="G25" s="27"/>
      <c r="H25" s="23" t="s">
        <v>12</v>
      </c>
    </row>
    <row r="26" spans="1:8" x14ac:dyDescent="0.2">
      <c r="A26" s="21"/>
      <c r="B26" s="21"/>
      <c r="C26" s="22" t="s">
        <v>20</v>
      </c>
      <c r="D26" s="21"/>
      <c r="E26" s="21"/>
      <c r="F26" s="27"/>
      <c r="G26" s="27"/>
      <c r="H26" s="23" t="s">
        <v>12</v>
      </c>
    </row>
    <row r="27" spans="1:8" x14ac:dyDescent="0.2">
      <c r="A27" s="21"/>
      <c r="B27" s="21"/>
      <c r="C27" s="22" t="s">
        <v>10</v>
      </c>
      <c r="D27" s="21"/>
      <c r="E27" s="21"/>
      <c r="F27" s="27"/>
      <c r="G27" s="27"/>
      <c r="H27" s="23" t="s">
        <v>12</v>
      </c>
    </row>
    <row r="28" spans="1:8" x14ac:dyDescent="0.2">
      <c r="A28" s="21"/>
      <c r="B28" s="21"/>
      <c r="C28" s="22" t="s">
        <v>11</v>
      </c>
      <c r="D28" s="21"/>
      <c r="E28" s="21" t="s">
        <v>12</v>
      </c>
      <c r="F28" s="24" t="s">
        <v>13</v>
      </c>
      <c r="G28" s="25">
        <v>0</v>
      </c>
      <c r="H28" s="23" t="s">
        <v>12</v>
      </c>
    </row>
    <row r="29" spans="1:8" x14ac:dyDescent="0.2">
      <c r="A29" s="21"/>
      <c r="B29" s="21"/>
      <c r="C29" s="26"/>
      <c r="D29" s="21"/>
      <c r="E29" s="21"/>
      <c r="F29" s="27"/>
      <c r="G29" s="27"/>
      <c r="H29" s="23" t="s">
        <v>12</v>
      </c>
    </row>
    <row r="30" spans="1:8" x14ac:dyDescent="0.2">
      <c r="A30" s="21"/>
      <c r="B30" s="21"/>
      <c r="C30" s="22" t="s">
        <v>74</v>
      </c>
      <c r="D30" s="21"/>
      <c r="E30" s="21"/>
      <c r="F30" s="21"/>
      <c r="G30" s="21"/>
      <c r="H30" s="23" t="s">
        <v>12</v>
      </c>
    </row>
    <row r="31" spans="1:8" x14ac:dyDescent="0.2">
      <c r="A31" s="21"/>
      <c r="B31" s="21"/>
      <c r="C31" s="22" t="s">
        <v>11</v>
      </c>
      <c r="D31" s="21"/>
      <c r="E31" s="21" t="s">
        <v>12</v>
      </c>
      <c r="F31" s="24" t="s">
        <v>13</v>
      </c>
      <c r="G31" s="25">
        <v>0</v>
      </c>
      <c r="H31" s="23" t="s">
        <v>12</v>
      </c>
    </row>
    <row r="32" spans="1:8" x14ac:dyDescent="0.2">
      <c r="A32" s="21"/>
      <c r="B32" s="21"/>
      <c r="C32" s="26"/>
      <c r="D32" s="21"/>
      <c r="E32" s="21"/>
      <c r="F32" s="27"/>
      <c r="G32" s="27"/>
      <c r="H32" s="23" t="s">
        <v>12</v>
      </c>
    </row>
    <row r="33" spans="1:8" x14ac:dyDescent="0.2">
      <c r="A33" s="21"/>
      <c r="B33" s="21"/>
      <c r="C33" s="22" t="s">
        <v>75</v>
      </c>
      <c r="D33" s="21"/>
      <c r="E33" s="21"/>
      <c r="F33" s="21"/>
      <c r="G33" s="21"/>
      <c r="H33" s="23" t="s">
        <v>12</v>
      </c>
    </row>
    <row r="34" spans="1:8" x14ac:dyDescent="0.2">
      <c r="A34" s="21"/>
      <c r="B34" s="21"/>
      <c r="C34" s="22" t="s">
        <v>11</v>
      </c>
      <c r="D34" s="21"/>
      <c r="E34" s="21" t="s">
        <v>12</v>
      </c>
      <c r="F34" s="24" t="s">
        <v>13</v>
      </c>
      <c r="G34" s="25">
        <v>0</v>
      </c>
      <c r="H34" s="23" t="s">
        <v>12</v>
      </c>
    </row>
    <row r="35" spans="1:8" x14ac:dyDescent="0.2">
      <c r="A35" s="21"/>
      <c r="B35" s="21"/>
      <c r="C35" s="26"/>
      <c r="D35" s="21"/>
      <c r="E35" s="21"/>
      <c r="F35" s="27"/>
      <c r="G35" s="27"/>
      <c r="H35" s="23" t="s">
        <v>12</v>
      </c>
    </row>
    <row r="36" spans="1:8" x14ac:dyDescent="0.2">
      <c r="A36" s="21"/>
      <c r="B36" s="21"/>
      <c r="C36" s="22" t="s">
        <v>91</v>
      </c>
      <c r="D36" s="21"/>
      <c r="E36" s="21"/>
      <c r="F36" s="27"/>
      <c r="G36" s="27"/>
      <c r="H36" s="23" t="s">
        <v>12</v>
      </c>
    </row>
    <row r="37" spans="1:8" x14ac:dyDescent="0.2">
      <c r="A37" s="21"/>
      <c r="B37" s="21"/>
      <c r="C37" s="22" t="s">
        <v>11</v>
      </c>
      <c r="D37" s="21"/>
      <c r="E37" s="21" t="s">
        <v>12</v>
      </c>
      <c r="F37" s="24" t="s">
        <v>13</v>
      </c>
      <c r="G37" s="25">
        <v>0</v>
      </c>
      <c r="H37" s="23" t="s">
        <v>12</v>
      </c>
    </row>
    <row r="38" spans="1:8" x14ac:dyDescent="0.2">
      <c r="A38" s="21"/>
      <c r="B38" s="21"/>
      <c r="C38" s="26"/>
      <c r="D38" s="21"/>
      <c r="E38" s="21"/>
      <c r="F38" s="27"/>
      <c r="G38" s="27"/>
      <c r="H38" s="23" t="s">
        <v>12</v>
      </c>
    </row>
    <row r="39" spans="1:8" x14ac:dyDescent="0.2">
      <c r="A39" s="21"/>
      <c r="B39" s="21"/>
      <c r="C39" s="22" t="s">
        <v>92</v>
      </c>
      <c r="D39" s="21"/>
      <c r="E39" s="21"/>
      <c r="F39" s="28">
        <v>0</v>
      </c>
      <c r="G39" s="25">
        <v>0</v>
      </c>
      <c r="H39" s="23" t="s">
        <v>12</v>
      </c>
    </row>
    <row r="40" spans="1:8" x14ac:dyDescent="0.2">
      <c r="A40" s="21"/>
      <c r="B40" s="21"/>
      <c r="C40" s="26"/>
      <c r="D40" s="21"/>
      <c r="E40" s="21"/>
      <c r="F40" s="27"/>
      <c r="G40" s="27"/>
      <c r="H40" s="23" t="s">
        <v>12</v>
      </c>
    </row>
    <row r="41" spans="1:8" x14ac:dyDescent="0.2">
      <c r="A41" s="21"/>
      <c r="B41" s="21"/>
      <c r="C41" s="22" t="s">
        <v>93</v>
      </c>
      <c r="D41" s="21"/>
      <c r="E41" s="21"/>
      <c r="F41" s="27"/>
      <c r="G41" s="27"/>
      <c r="H41" s="23" t="s">
        <v>12</v>
      </c>
    </row>
    <row r="42" spans="1:8" x14ac:dyDescent="0.2">
      <c r="A42" s="21"/>
      <c r="B42" s="21"/>
      <c r="C42" s="22" t="s">
        <v>94</v>
      </c>
      <c r="D42" s="21"/>
      <c r="E42" s="21"/>
      <c r="F42" s="27"/>
      <c r="G42" s="27"/>
      <c r="H42" s="23" t="s">
        <v>12</v>
      </c>
    </row>
    <row r="43" spans="1:8" x14ac:dyDescent="0.2">
      <c r="A43" s="21"/>
      <c r="B43" s="21"/>
      <c r="C43" s="22" t="s">
        <v>11</v>
      </c>
      <c r="D43" s="21"/>
      <c r="E43" s="21" t="s">
        <v>12</v>
      </c>
      <c r="F43" s="24" t="s">
        <v>13</v>
      </c>
      <c r="G43" s="25">
        <v>0</v>
      </c>
      <c r="H43" s="23" t="s">
        <v>12</v>
      </c>
    </row>
    <row r="44" spans="1:8" x14ac:dyDescent="0.2">
      <c r="A44" s="21"/>
      <c r="B44" s="21"/>
      <c r="C44" s="26"/>
      <c r="D44" s="21"/>
      <c r="E44" s="21"/>
      <c r="F44" s="27"/>
      <c r="G44" s="27"/>
      <c r="H44" s="23" t="s">
        <v>12</v>
      </c>
    </row>
    <row r="45" spans="1:8" x14ac:dyDescent="0.2">
      <c r="A45" s="21"/>
      <c r="B45" s="21"/>
      <c r="C45" s="22" t="s">
        <v>95</v>
      </c>
      <c r="D45" s="21"/>
      <c r="E45" s="21"/>
      <c r="F45" s="27"/>
      <c r="G45" s="27"/>
      <c r="H45" s="23" t="s">
        <v>12</v>
      </c>
    </row>
    <row r="46" spans="1:8" x14ac:dyDescent="0.2">
      <c r="A46" s="21"/>
      <c r="B46" s="21"/>
      <c r="C46" s="22" t="s">
        <v>11</v>
      </c>
      <c r="D46" s="21"/>
      <c r="E46" s="21" t="s">
        <v>12</v>
      </c>
      <c r="F46" s="24" t="s">
        <v>13</v>
      </c>
      <c r="G46" s="25">
        <v>0</v>
      </c>
      <c r="H46" s="23" t="s">
        <v>12</v>
      </c>
    </row>
    <row r="47" spans="1:8" x14ac:dyDescent="0.2">
      <c r="A47" s="21"/>
      <c r="B47" s="21"/>
      <c r="C47" s="26"/>
      <c r="D47" s="21"/>
      <c r="E47" s="21"/>
      <c r="F47" s="27"/>
      <c r="G47" s="27"/>
      <c r="H47" s="23" t="s">
        <v>12</v>
      </c>
    </row>
    <row r="48" spans="1:8" x14ac:dyDescent="0.2">
      <c r="A48" s="21"/>
      <c r="B48" s="21"/>
      <c r="C48" s="22" t="s">
        <v>96</v>
      </c>
      <c r="D48" s="21"/>
      <c r="E48" s="21"/>
      <c r="F48" s="27"/>
      <c r="G48" s="27"/>
      <c r="H48" s="23" t="s">
        <v>12</v>
      </c>
    </row>
    <row r="49" spans="1:8" x14ac:dyDescent="0.2">
      <c r="A49" s="29">
        <v>1</v>
      </c>
      <c r="B49" s="30" t="s">
        <v>547</v>
      </c>
      <c r="C49" s="30" t="s">
        <v>548</v>
      </c>
      <c r="D49" s="30" t="s">
        <v>78</v>
      </c>
      <c r="E49" s="31">
        <v>2000000</v>
      </c>
      <c r="F49" s="32">
        <v>1999.672</v>
      </c>
      <c r="G49" s="33">
        <v>2.2102449999999999E-2</v>
      </c>
      <c r="H49" s="23">
        <v>5.9916999999999998</v>
      </c>
    </row>
    <row r="50" spans="1:8" x14ac:dyDescent="0.2">
      <c r="A50" s="29">
        <v>2</v>
      </c>
      <c r="B50" s="30" t="s">
        <v>416</v>
      </c>
      <c r="C50" s="30" t="s">
        <v>417</v>
      </c>
      <c r="D50" s="30" t="s">
        <v>78</v>
      </c>
      <c r="E50" s="31">
        <v>1500000</v>
      </c>
      <c r="F50" s="32">
        <v>1493.1780000000001</v>
      </c>
      <c r="G50" s="33">
        <v>1.6504149999999999E-2</v>
      </c>
      <c r="H50" s="23">
        <v>5.75</v>
      </c>
    </row>
    <row r="51" spans="1:8" x14ac:dyDescent="0.2">
      <c r="A51" s="29">
        <v>3</v>
      </c>
      <c r="B51" s="30" t="s">
        <v>410</v>
      </c>
      <c r="C51" s="30" t="s">
        <v>411</v>
      </c>
      <c r="D51" s="30" t="s">
        <v>78</v>
      </c>
      <c r="E51" s="31">
        <v>500000</v>
      </c>
      <c r="F51" s="32">
        <v>499.34399999999999</v>
      </c>
      <c r="G51" s="33">
        <v>5.5192699999999997E-3</v>
      </c>
      <c r="H51" s="23">
        <v>5.9958999999999998</v>
      </c>
    </row>
    <row r="52" spans="1:8" x14ac:dyDescent="0.2">
      <c r="A52" s="29">
        <v>4</v>
      </c>
      <c r="B52" s="30" t="s">
        <v>549</v>
      </c>
      <c r="C52" s="30" t="s">
        <v>550</v>
      </c>
      <c r="D52" s="30" t="s">
        <v>78</v>
      </c>
      <c r="E52" s="31">
        <v>500000</v>
      </c>
      <c r="F52" s="32">
        <v>498.27300000000002</v>
      </c>
      <c r="G52" s="33">
        <v>5.5074299999999998E-3</v>
      </c>
      <c r="H52" s="23">
        <v>5.75</v>
      </c>
    </row>
    <row r="53" spans="1:8" x14ac:dyDescent="0.2">
      <c r="A53" s="21"/>
      <c r="B53" s="21"/>
      <c r="C53" s="22" t="s">
        <v>11</v>
      </c>
      <c r="D53" s="21"/>
      <c r="E53" s="21" t="s">
        <v>12</v>
      </c>
      <c r="F53" s="28">
        <v>4490.4669999999996</v>
      </c>
      <c r="G53" s="25">
        <v>4.9633299999999998E-2</v>
      </c>
      <c r="H53" s="23" t="s">
        <v>12</v>
      </c>
    </row>
    <row r="54" spans="1:8" x14ac:dyDescent="0.2">
      <c r="A54" s="21"/>
      <c r="B54" s="21"/>
      <c r="C54" s="26"/>
      <c r="D54" s="21"/>
      <c r="E54" s="21"/>
      <c r="F54" s="27"/>
      <c r="G54" s="27"/>
      <c r="H54" s="23" t="s">
        <v>12</v>
      </c>
    </row>
    <row r="55" spans="1:8" x14ac:dyDescent="0.2">
      <c r="A55" s="21"/>
      <c r="B55" s="21"/>
      <c r="C55" s="22" t="s">
        <v>97</v>
      </c>
      <c r="D55" s="21"/>
      <c r="E55" s="21"/>
      <c r="F55" s="27"/>
      <c r="G55" s="27"/>
      <c r="H55" s="23" t="s">
        <v>12</v>
      </c>
    </row>
    <row r="56" spans="1:8" x14ac:dyDescent="0.2">
      <c r="A56" s="29">
        <v>1</v>
      </c>
      <c r="B56" s="30"/>
      <c r="C56" s="30" t="s">
        <v>98</v>
      </c>
      <c r="D56" s="30"/>
      <c r="E56" s="34"/>
      <c r="F56" s="32">
        <v>48795.165002927999</v>
      </c>
      <c r="G56" s="33">
        <v>0.53933474999999997</v>
      </c>
      <c r="H56" s="23">
        <v>5.73</v>
      </c>
    </row>
    <row r="57" spans="1:8" x14ac:dyDescent="0.2">
      <c r="A57" s="29">
        <v>2</v>
      </c>
      <c r="B57" s="30"/>
      <c r="C57" s="30" t="s">
        <v>480</v>
      </c>
      <c r="D57" s="30"/>
      <c r="E57" s="34"/>
      <c r="F57" s="32">
        <v>38235.0784088</v>
      </c>
      <c r="G57" s="33">
        <v>0.42261373000000002</v>
      </c>
      <c r="H57" s="23">
        <v>5.88</v>
      </c>
    </row>
    <row r="58" spans="1:8" x14ac:dyDescent="0.2">
      <c r="A58" s="21"/>
      <c r="B58" s="21"/>
      <c r="C58" s="22" t="s">
        <v>11</v>
      </c>
      <c r="D58" s="21"/>
      <c r="E58" s="21" t="s">
        <v>12</v>
      </c>
      <c r="F58" s="28">
        <v>87030.243411728006</v>
      </c>
      <c r="G58" s="25">
        <v>0.96194847999999999</v>
      </c>
      <c r="H58" s="23" t="s">
        <v>12</v>
      </c>
    </row>
    <row r="59" spans="1:8" x14ac:dyDescent="0.2">
      <c r="A59" s="21"/>
      <c r="B59" s="21"/>
      <c r="C59" s="26"/>
      <c r="D59" s="21"/>
      <c r="E59" s="21"/>
      <c r="F59" s="27"/>
      <c r="G59" s="27"/>
      <c r="H59" s="23" t="s">
        <v>12</v>
      </c>
    </row>
    <row r="60" spans="1:8" x14ac:dyDescent="0.2">
      <c r="A60" s="21"/>
      <c r="B60" s="21"/>
      <c r="C60" s="22" t="s">
        <v>99</v>
      </c>
      <c r="D60" s="21"/>
      <c r="E60" s="21"/>
      <c r="F60" s="28">
        <v>91520.710411727996</v>
      </c>
      <c r="G60" s="25">
        <v>1.01158178</v>
      </c>
      <c r="H60" s="23" t="s">
        <v>12</v>
      </c>
    </row>
    <row r="61" spans="1:8" x14ac:dyDescent="0.2">
      <c r="A61" s="21"/>
      <c r="B61" s="21"/>
      <c r="C61" s="27"/>
      <c r="D61" s="21"/>
      <c r="E61" s="21"/>
      <c r="F61" s="21"/>
      <c r="G61" s="21"/>
      <c r="H61" s="23" t="s">
        <v>12</v>
      </c>
    </row>
    <row r="62" spans="1:8" x14ac:dyDescent="0.2">
      <c r="A62" s="21"/>
      <c r="B62" s="21"/>
      <c r="C62" s="22" t="s">
        <v>100</v>
      </c>
      <c r="D62" s="21"/>
      <c r="E62" s="21"/>
      <c r="F62" s="21"/>
      <c r="G62" s="21"/>
      <c r="H62" s="23" t="s">
        <v>12</v>
      </c>
    </row>
    <row r="63" spans="1:8" x14ac:dyDescent="0.2">
      <c r="A63" s="21"/>
      <c r="B63" s="21"/>
      <c r="C63" s="22" t="s">
        <v>101</v>
      </c>
      <c r="D63" s="21"/>
      <c r="E63" s="21"/>
      <c r="F63" s="21"/>
      <c r="G63" s="21"/>
      <c r="H63" s="23" t="s">
        <v>12</v>
      </c>
    </row>
    <row r="64" spans="1:8" x14ac:dyDescent="0.2">
      <c r="A64" s="21"/>
      <c r="B64" s="21"/>
      <c r="C64" s="22" t="s">
        <v>11</v>
      </c>
      <c r="D64" s="21"/>
      <c r="E64" s="21" t="s">
        <v>12</v>
      </c>
      <c r="F64" s="24" t="s">
        <v>13</v>
      </c>
      <c r="G64" s="25">
        <v>0</v>
      </c>
      <c r="H64" s="23" t="s">
        <v>12</v>
      </c>
    </row>
    <row r="65" spans="1:8" x14ac:dyDescent="0.2">
      <c r="A65" s="21"/>
      <c r="B65" s="21"/>
      <c r="C65" s="26"/>
      <c r="D65" s="21"/>
      <c r="E65" s="21"/>
      <c r="F65" s="27"/>
      <c r="G65" s="27"/>
      <c r="H65" s="23" t="s">
        <v>12</v>
      </c>
    </row>
    <row r="66" spans="1:8" x14ac:dyDescent="0.2">
      <c r="A66" s="21"/>
      <c r="B66" s="21"/>
      <c r="C66" s="22" t="s">
        <v>104</v>
      </c>
      <c r="D66" s="21"/>
      <c r="E66" s="21"/>
      <c r="F66" s="21"/>
      <c r="G66" s="21"/>
      <c r="H66" s="23" t="s">
        <v>12</v>
      </c>
    </row>
    <row r="67" spans="1:8" x14ac:dyDescent="0.2">
      <c r="A67" s="21"/>
      <c r="B67" s="21"/>
      <c r="C67" s="22" t="s">
        <v>105</v>
      </c>
      <c r="D67" s="21"/>
      <c r="E67" s="21"/>
      <c r="F67" s="21"/>
      <c r="G67" s="21"/>
      <c r="H67" s="23" t="s">
        <v>12</v>
      </c>
    </row>
    <row r="68" spans="1:8" x14ac:dyDescent="0.2">
      <c r="A68" s="21"/>
      <c r="B68" s="21"/>
      <c r="C68" s="22" t="s">
        <v>11</v>
      </c>
      <c r="D68" s="21"/>
      <c r="E68" s="21" t="s">
        <v>12</v>
      </c>
      <c r="F68" s="24" t="s">
        <v>13</v>
      </c>
      <c r="G68" s="25">
        <v>0</v>
      </c>
      <c r="H68" s="23" t="s">
        <v>12</v>
      </c>
    </row>
    <row r="69" spans="1:8" x14ac:dyDescent="0.2">
      <c r="A69" s="21"/>
      <c r="B69" s="21"/>
      <c r="C69" s="26"/>
      <c r="D69" s="21"/>
      <c r="E69" s="21"/>
      <c r="F69" s="27"/>
      <c r="G69" s="27"/>
      <c r="H69" s="23" t="s">
        <v>12</v>
      </c>
    </row>
    <row r="70" spans="1:8" x14ac:dyDescent="0.2">
      <c r="A70" s="21"/>
      <c r="B70" s="21"/>
      <c r="C70" s="22" t="s">
        <v>106</v>
      </c>
      <c r="D70" s="21"/>
      <c r="E70" s="21"/>
      <c r="F70" s="27"/>
      <c r="G70" s="27"/>
      <c r="H70" s="23" t="s">
        <v>12</v>
      </c>
    </row>
    <row r="71" spans="1:8" x14ac:dyDescent="0.2">
      <c r="A71" s="21"/>
      <c r="B71" s="21"/>
      <c r="C71" s="22" t="s">
        <v>11</v>
      </c>
      <c r="D71" s="21"/>
      <c r="E71" s="21" t="s">
        <v>12</v>
      </c>
      <c r="F71" s="24" t="s">
        <v>13</v>
      </c>
      <c r="G71" s="25">
        <v>0</v>
      </c>
      <c r="H71" s="23" t="s">
        <v>12</v>
      </c>
    </row>
    <row r="72" spans="1:8" x14ac:dyDescent="0.2">
      <c r="A72" s="21"/>
      <c r="B72" s="21"/>
      <c r="C72" s="26"/>
      <c r="D72" s="21"/>
      <c r="E72" s="21"/>
      <c r="F72" s="27"/>
      <c r="G72" s="27"/>
      <c r="H72" s="23" t="s">
        <v>12</v>
      </c>
    </row>
    <row r="73" spans="1:8" x14ac:dyDescent="0.2">
      <c r="A73" s="34"/>
      <c r="B73" s="30"/>
      <c r="C73" s="30" t="s">
        <v>107</v>
      </c>
      <c r="D73" s="30"/>
      <c r="E73" s="34"/>
      <c r="F73" s="32">
        <f>-1047.83623575+0.0000306319999694824</f>
        <v>-1047.836205118</v>
      </c>
      <c r="G73" s="33">
        <f>F73/F74</f>
        <v>-1.158177204280136E-2</v>
      </c>
      <c r="H73" s="23" t="s">
        <v>12</v>
      </c>
    </row>
    <row r="74" spans="1:8" x14ac:dyDescent="0.2">
      <c r="A74" s="26"/>
      <c r="B74" s="26"/>
      <c r="C74" s="22" t="s">
        <v>108</v>
      </c>
      <c r="D74" s="27"/>
      <c r="E74" s="27"/>
      <c r="F74" s="28">
        <f>90472.874175978+0.0000306319999694824</f>
        <v>90472.874206609995</v>
      </c>
      <c r="G74" s="35">
        <v>1</v>
      </c>
      <c r="H74" s="23" t="s">
        <v>12</v>
      </c>
    </row>
    <row r="75" spans="1:8" x14ac:dyDescent="0.2">
      <c r="A75" s="36"/>
      <c r="B75" s="36"/>
      <c r="C75" s="36"/>
      <c r="D75" s="37"/>
      <c r="E75" s="37"/>
      <c r="F75" s="37"/>
      <c r="G75" s="37"/>
    </row>
    <row r="76" spans="1:8" x14ac:dyDescent="0.2">
      <c r="A76" s="38"/>
      <c r="B76" s="39" t="s">
        <v>567</v>
      </c>
      <c r="C76" s="39"/>
      <c r="D76" s="39"/>
      <c r="E76" s="39"/>
      <c r="F76" s="39"/>
      <c r="G76" s="39"/>
      <c r="H76" s="39"/>
    </row>
    <row r="77" spans="1:8" x14ac:dyDescent="0.2">
      <c r="A77" s="38"/>
      <c r="B77" s="39" t="s">
        <v>568</v>
      </c>
      <c r="C77" s="39"/>
      <c r="D77" s="39"/>
      <c r="E77" s="39"/>
      <c r="F77" s="39"/>
      <c r="G77" s="39"/>
      <c r="H77" s="39"/>
    </row>
    <row r="78" spans="1:8" x14ac:dyDescent="0.2">
      <c r="A78" s="38"/>
      <c r="B78" s="39" t="s">
        <v>569</v>
      </c>
      <c r="C78" s="39"/>
      <c r="D78" s="39"/>
      <c r="E78" s="39"/>
      <c r="F78" s="39"/>
      <c r="G78" s="39"/>
      <c r="H78" s="39"/>
    </row>
    <row r="79" spans="1:8" x14ac:dyDescent="0.2">
      <c r="A79" s="38"/>
      <c r="B79" s="38"/>
      <c r="C79" s="38"/>
      <c r="D79" s="40"/>
      <c r="E79" s="40"/>
      <c r="F79" s="40"/>
      <c r="G79" s="40"/>
    </row>
    <row r="80" spans="1:8" x14ac:dyDescent="0.2">
      <c r="A80" s="38"/>
      <c r="B80" s="41" t="s">
        <v>109</v>
      </c>
      <c r="C80" s="42"/>
      <c r="D80" s="43"/>
      <c r="E80" s="44"/>
      <c r="F80" s="40"/>
      <c r="G80" s="40"/>
    </row>
    <row r="81" spans="1:9" ht="25.5" customHeight="1" x14ac:dyDescent="0.2">
      <c r="A81" s="38"/>
      <c r="B81" s="45" t="s">
        <v>110</v>
      </c>
      <c r="C81" s="46"/>
      <c r="D81" s="22" t="s">
        <v>111</v>
      </c>
      <c r="E81" s="44"/>
      <c r="F81" s="40"/>
      <c r="G81" s="40"/>
    </row>
    <row r="82" spans="1:9" x14ac:dyDescent="0.2">
      <c r="A82" s="38"/>
      <c r="B82" s="45" t="s">
        <v>112</v>
      </c>
      <c r="C82" s="46"/>
      <c r="D82" s="22" t="s">
        <v>111</v>
      </c>
      <c r="E82" s="44"/>
      <c r="F82" s="40"/>
      <c r="G82" s="40"/>
    </row>
    <row r="83" spans="1:9" x14ac:dyDescent="0.2">
      <c r="A83" s="38"/>
      <c r="B83" s="45" t="s">
        <v>113</v>
      </c>
      <c r="C83" s="46"/>
      <c r="D83" s="27" t="s">
        <v>12</v>
      </c>
      <c r="E83" s="44"/>
      <c r="F83" s="40"/>
      <c r="G83" s="40"/>
    </row>
    <row r="84" spans="1:9" x14ac:dyDescent="0.2">
      <c r="A84" s="47"/>
      <c r="B84" s="48" t="s">
        <v>12</v>
      </c>
      <c r="C84" s="48" t="s">
        <v>570</v>
      </c>
      <c r="D84" s="48" t="s">
        <v>114</v>
      </c>
      <c r="E84" s="47"/>
      <c r="F84" s="47"/>
      <c r="G84" s="47"/>
    </row>
    <row r="85" spans="1:9" x14ac:dyDescent="0.2">
      <c r="A85" s="47"/>
      <c r="B85" s="49" t="s">
        <v>115</v>
      </c>
      <c r="C85" s="50">
        <v>45747</v>
      </c>
      <c r="D85" s="50">
        <v>45762</v>
      </c>
      <c r="E85" s="47"/>
      <c r="F85" s="47"/>
      <c r="G85" s="47"/>
    </row>
    <row r="86" spans="1:9" x14ac:dyDescent="0.2">
      <c r="A86" s="47"/>
      <c r="B86" s="30" t="s">
        <v>116</v>
      </c>
      <c r="C86" s="51">
        <v>1356.6215999999999</v>
      </c>
      <c r="D86" s="51">
        <v>1359.9911</v>
      </c>
      <c r="E86" s="47"/>
      <c r="F86" s="52"/>
      <c r="G86" s="53"/>
    </row>
    <row r="87" spans="1:9" ht="25.5" x14ac:dyDescent="0.2">
      <c r="A87" s="47"/>
      <c r="B87" s="30" t="s">
        <v>695</v>
      </c>
      <c r="C87" s="51">
        <v>1044.6505</v>
      </c>
      <c r="D87" s="51">
        <v>1047.2456</v>
      </c>
      <c r="E87" s="47"/>
      <c r="F87" s="52"/>
      <c r="G87" s="53"/>
    </row>
    <row r="88" spans="1:9" x14ac:dyDescent="0.2">
      <c r="A88" s="47"/>
      <c r="B88" s="30" t="s">
        <v>117</v>
      </c>
      <c r="C88" s="51">
        <v>1348.5232000000001</v>
      </c>
      <c r="D88" s="51">
        <v>1351.8275000000001</v>
      </c>
      <c r="E88" s="47"/>
      <c r="F88" s="52"/>
      <c r="G88" s="53"/>
    </row>
    <row r="89" spans="1:9" ht="25.5" x14ac:dyDescent="0.2">
      <c r="A89" s="47"/>
      <c r="B89" s="30" t="s">
        <v>699</v>
      </c>
      <c r="C89" s="51">
        <v>1040.8833999999999</v>
      </c>
      <c r="D89" s="51">
        <v>1043.4336000000001</v>
      </c>
      <c r="E89" s="47"/>
      <c r="F89" s="52"/>
      <c r="G89" s="53"/>
    </row>
    <row r="90" spans="1:9" x14ac:dyDescent="0.2">
      <c r="A90" s="47"/>
      <c r="B90" s="47"/>
      <c r="C90" s="47"/>
      <c r="D90" s="47"/>
      <c r="E90" s="47"/>
      <c r="F90" s="47"/>
      <c r="G90" s="47"/>
    </row>
    <row r="91" spans="1:9" x14ac:dyDescent="0.2">
      <c r="A91" s="47"/>
      <c r="B91" s="45" t="s">
        <v>702</v>
      </c>
      <c r="C91" s="46"/>
      <c r="D91" s="22" t="s">
        <v>111</v>
      </c>
      <c r="E91" s="47"/>
      <c r="F91" s="47"/>
      <c r="G91" s="47"/>
    </row>
    <row r="92" spans="1:9" x14ac:dyDescent="0.2">
      <c r="A92" s="47"/>
      <c r="B92" s="54"/>
      <c r="C92" s="54"/>
      <c r="D92" s="54"/>
      <c r="E92" s="47"/>
      <c r="F92" s="47"/>
      <c r="G92" s="47"/>
    </row>
    <row r="93" spans="1:9" x14ac:dyDescent="0.2">
      <c r="A93" s="47"/>
      <c r="B93" s="45" t="s">
        <v>118</v>
      </c>
      <c r="C93" s="46"/>
      <c r="D93" s="22" t="s">
        <v>111</v>
      </c>
      <c r="E93" s="55"/>
      <c r="F93" s="47"/>
      <c r="G93" s="47"/>
    </row>
    <row r="94" spans="1:9" x14ac:dyDescent="0.2">
      <c r="A94" s="47"/>
      <c r="B94" s="45" t="s">
        <v>119</v>
      </c>
      <c r="C94" s="46"/>
      <c r="D94" s="22" t="s">
        <v>111</v>
      </c>
      <c r="E94" s="55"/>
      <c r="F94" s="47"/>
      <c r="G94" s="47"/>
    </row>
    <row r="95" spans="1:9" x14ac:dyDescent="0.2">
      <c r="A95" s="47"/>
      <c r="B95" s="45" t="s">
        <v>571</v>
      </c>
      <c r="C95" s="46"/>
      <c r="D95" s="22" t="s">
        <v>111</v>
      </c>
      <c r="E95" s="55"/>
      <c r="F95" s="47"/>
      <c r="G95" s="47"/>
      <c r="I95" s="56"/>
    </row>
    <row r="96" spans="1:9" x14ac:dyDescent="0.2">
      <c r="A96" s="54"/>
      <c r="B96" s="54"/>
      <c r="C96" s="54"/>
      <c r="D96" s="54"/>
      <c r="E96" s="54"/>
      <c r="F96" s="54"/>
      <c r="G96" s="54"/>
      <c r="I96" s="56"/>
    </row>
    <row r="97" spans="2:21" s="60" customFormat="1" x14ac:dyDescent="0.2">
      <c r="B97" s="57" t="s">
        <v>572</v>
      </c>
      <c r="C97" s="58"/>
      <c r="D97" s="59"/>
      <c r="I97" s="56"/>
      <c r="J97" s="17"/>
      <c r="K97" s="56"/>
      <c r="L97" s="56"/>
      <c r="M97" s="56"/>
      <c r="N97" s="61"/>
      <c r="Q97" s="17"/>
      <c r="R97" s="17"/>
      <c r="S97" s="17"/>
      <c r="T97" s="17"/>
      <c r="U97" s="17"/>
    </row>
    <row r="98" spans="2:21" s="60" customFormat="1" ht="38.25" x14ac:dyDescent="0.2">
      <c r="B98" s="62" t="s">
        <v>573</v>
      </c>
      <c r="C98" s="62"/>
      <c r="D98" s="63" t="s">
        <v>546</v>
      </c>
      <c r="I98" s="56"/>
      <c r="J98" s="17"/>
      <c r="K98" s="56"/>
      <c r="L98" s="56"/>
      <c r="M98" s="56"/>
      <c r="N98" s="61"/>
      <c r="Q98" s="17"/>
      <c r="R98" s="17"/>
      <c r="S98" s="17"/>
      <c r="T98" s="17"/>
      <c r="U98" s="17"/>
    </row>
    <row r="99" spans="2:21" s="60" customFormat="1" x14ac:dyDescent="0.2">
      <c r="B99" s="64" t="s">
        <v>574</v>
      </c>
      <c r="C99" s="64"/>
      <c r="D99" s="65"/>
      <c r="I99" s="56"/>
      <c r="J99" s="17"/>
      <c r="K99" s="56"/>
      <c r="L99" s="56"/>
      <c r="M99" s="56"/>
      <c r="N99" s="61"/>
    </row>
    <row r="100" spans="2:21" s="60" customFormat="1" x14ac:dyDescent="0.2">
      <c r="B100" s="64"/>
      <c r="C100" s="64"/>
      <c r="D100" s="66"/>
      <c r="I100" s="17"/>
      <c r="J100" s="17"/>
      <c r="K100" s="56"/>
      <c r="L100" s="56"/>
      <c r="M100" s="56"/>
      <c r="N100" s="61"/>
    </row>
    <row r="101" spans="2:21" s="60" customFormat="1" x14ac:dyDescent="0.2">
      <c r="B101" s="64" t="s">
        <v>575</v>
      </c>
      <c r="C101" s="64"/>
      <c r="D101" s="67">
        <v>5.7567065322454516</v>
      </c>
      <c r="I101" s="17"/>
      <c r="J101" s="17"/>
      <c r="K101" s="56"/>
      <c r="L101" s="56"/>
      <c r="M101" s="56"/>
      <c r="N101" s="61"/>
    </row>
    <row r="102" spans="2:21" s="60" customFormat="1" x14ac:dyDescent="0.2">
      <c r="B102" s="64"/>
      <c r="C102" s="64"/>
      <c r="D102" s="66"/>
      <c r="I102" s="17"/>
      <c r="J102" s="17"/>
      <c r="K102" s="56"/>
      <c r="L102" s="56"/>
      <c r="M102" s="56"/>
      <c r="N102" s="61"/>
    </row>
    <row r="103" spans="2:21" s="60" customFormat="1" x14ac:dyDescent="0.2">
      <c r="B103" s="64" t="s">
        <v>685</v>
      </c>
      <c r="C103" s="64"/>
      <c r="D103" s="68">
        <v>1</v>
      </c>
      <c r="I103" s="17"/>
      <c r="J103" s="17"/>
      <c r="K103" s="56"/>
      <c r="L103" s="56"/>
      <c r="M103" s="56"/>
      <c r="N103" s="61"/>
    </row>
    <row r="104" spans="2:21" s="60" customFormat="1" x14ac:dyDescent="0.2">
      <c r="B104" s="64" t="s">
        <v>686</v>
      </c>
      <c r="C104" s="64"/>
      <c r="D104" s="68">
        <v>1</v>
      </c>
      <c r="I104" s="17"/>
      <c r="J104" s="17"/>
      <c r="K104" s="56"/>
      <c r="L104" s="56"/>
      <c r="M104" s="56"/>
      <c r="N104" s="61"/>
    </row>
    <row r="105" spans="2:21" s="60" customFormat="1" x14ac:dyDescent="0.2">
      <c r="B105" s="64"/>
      <c r="C105" s="64"/>
      <c r="D105" s="66"/>
      <c r="I105" s="17"/>
      <c r="J105" s="17"/>
      <c r="K105" s="56"/>
      <c r="L105" s="56"/>
      <c r="M105" s="56"/>
      <c r="N105" s="61"/>
    </row>
    <row r="106" spans="2:21" s="60" customFormat="1" x14ac:dyDescent="0.2">
      <c r="B106" s="64" t="s">
        <v>578</v>
      </c>
      <c r="C106" s="64"/>
      <c r="D106" s="69" t="s">
        <v>690</v>
      </c>
      <c r="I106" s="17"/>
      <c r="J106" s="17"/>
      <c r="K106" s="56"/>
      <c r="L106" s="56"/>
      <c r="M106" s="56"/>
      <c r="N106" s="61"/>
    </row>
    <row r="107" spans="2:21" s="60" customFormat="1" x14ac:dyDescent="0.2">
      <c r="B107" s="70" t="s">
        <v>579</v>
      </c>
      <c r="C107" s="71"/>
      <c r="D107" s="72"/>
      <c r="I107" s="17"/>
      <c r="J107" s="17"/>
      <c r="K107" s="56"/>
      <c r="L107" s="56"/>
      <c r="M107" s="56"/>
      <c r="N107" s="61"/>
    </row>
    <row r="108" spans="2:21" x14ac:dyDescent="0.2">
      <c r="H108" s="73"/>
    </row>
    <row r="109" spans="2:21" x14ac:dyDescent="0.2">
      <c r="B109" s="74" t="s">
        <v>580</v>
      </c>
    </row>
    <row r="110" spans="2:21" ht="7.5" customHeight="1" x14ac:dyDescent="0.2"/>
    <row r="111" spans="2:21" ht="153.75" customHeight="1" x14ac:dyDescent="0.2"/>
    <row r="114" spans="2:10" x14ac:dyDescent="0.2">
      <c r="B114" s="75" t="s">
        <v>581</v>
      </c>
      <c r="C114" s="76"/>
      <c r="D114" s="75"/>
    </row>
    <row r="115" spans="2:10" x14ac:dyDescent="0.2">
      <c r="B115" s="75" t="s">
        <v>687</v>
      </c>
      <c r="D115" s="75"/>
    </row>
    <row r="116" spans="2:10" ht="165" customHeight="1" x14ac:dyDescent="0.2"/>
    <row r="118" spans="2:10" x14ac:dyDescent="0.2">
      <c r="J118" s="20"/>
    </row>
  </sheetData>
  <mergeCells count="25">
    <mergeCell ref="B78:H78"/>
    <mergeCell ref="B98:C98"/>
    <mergeCell ref="B99:C99"/>
    <mergeCell ref="B80:D80"/>
    <mergeCell ref="B81:C81"/>
    <mergeCell ref="B82:C82"/>
    <mergeCell ref="B83:C83"/>
    <mergeCell ref="B91:C91"/>
    <mergeCell ref="B95:C95"/>
    <mergeCell ref="B93:C93"/>
    <mergeCell ref="B94:C94"/>
    <mergeCell ref="B97:D97"/>
    <mergeCell ref="A1:H1"/>
    <mergeCell ref="A2:H2"/>
    <mergeCell ref="A3:H3"/>
    <mergeCell ref="B76:H76"/>
    <mergeCell ref="B77:H77"/>
    <mergeCell ref="B105:C105"/>
    <mergeCell ref="B106:C106"/>
    <mergeCell ref="B107:D107"/>
    <mergeCell ref="B100:C100"/>
    <mergeCell ref="B101:C101"/>
    <mergeCell ref="B102:C102"/>
    <mergeCell ref="B103:C103"/>
    <mergeCell ref="B104:C104"/>
  </mergeCells>
  <hyperlinks>
    <hyperlink ref="I1" location="Index!B2" display="Index" xr:uid="{589C90DB-96A6-4AA6-923A-3E4F508EDB4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2025-04-16T09:22:36Z</dcterms:created>
  <dcterms:modified xsi:type="dcterms:W3CDTF">2025-04-17T13:29:02Z</dcterms:modified>
</cp:coreProperties>
</file>