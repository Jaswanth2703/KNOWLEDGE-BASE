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C:\Users\swapna\AppData\Local\Microsoft\Windows\INetCache\Content.Outlook\7V8DAUCG\"/>
    </mc:Choice>
  </mc:AlternateContent>
  <xr:revisionPtr revIDLastSave="0" documentId="13_ncr:1_{8C6407D0-E6BD-419D-9187-05DE5D528B53}" xr6:coauthVersionLast="47" xr6:coauthVersionMax="47" xr10:uidLastSave="{00000000-0000-0000-0000-000000000000}"/>
  <bookViews>
    <workbookView xWindow="-120" yWindow="-120" windowWidth="20730" windowHeight="11160" tabRatio="708" xr2:uid="{47C32449-0284-413A-BA44-AD54D0D14C9B}"/>
  </bookViews>
  <sheets>
    <sheet name="Index" sheetId="11"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externalReferences>
    <externalReference r:id="rId12"/>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1" i="9" l="1"/>
  <c r="H53" i="10"/>
  <c r="H52" i="10"/>
  <c r="H51" i="10"/>
  <c r="H50" i="10"/>
  <c r="H49" i="10"/>
  <c r="H48" i="10"/>
  <c r="H47" i="10"/>
  <c r="H46" i="10"/>
  <c r="H45" i="10"/>
  <c r="H44" i="10"/>
  <c r="H43" i="10"/>
  <c r="H42" i="10"/>
  <c r="H41" i="10"/>
  <c r="H40" i="10"/>
  <c r="H39" i="10"/>
  <c r="H38" i="10"/>
  <c r="H37" i="10"/>
  <c r="H36" i="10"/>
  <c r="H35" i="10"/>
  <c r="H34" i="10"/>
  <c r="H33" i="10"/>
  <c r="H32" i="10"/>
  <c r="H31" i="10"/>
  <c r="H30" i="10"/>
  <c r="H29" i="10"/>
  <c r="H28" i="10"/>
  <c r="H27" i="10"/>
  <c r="H26" i="10"/>
  <c r="H25" i="10"/>
  <c r="H24" i="10"/>
  <c r="H23" i="10"/>
  <c r="H22" i="10"/>
  <c r="H21" i="10"/>
  <c r="H20" i="10"/>
  <c r="H19" i="10"/>
  <c r="H18" i="10"/>
  <c r="H17" i="10"/>
  <c r="H16" i="10"/>
  <c r="H15" i="10"/>
  <c r="H14" i="10"/>
  <c r="H13" i="10"/>
  <c r="H12" i="10"/>
  <c r="H11" i="10"/>
  <c r="H10" i="10"/>
  <c r="H9" i="10"/>
  <c r="H8" i="10"/>
  <c r="H7" i="10"/>
  <c r="H6" i="10"/>
  <c r="H5" i="10"/>
  <c r="H80" i="9"/>
  <c r="H79" i="9"/>
  <c r="H78" i="9"/>
  <c r="H77" i="9"/>
  <c r="H76" i="9"/>
  <c r="H75" i="9"/>
  <c r="H74" i="9"/>
  <c r="H73" i="9"/>
  <c r="H72" i="9"/>
  <c r="H71" i="9"/>
  <c r="H70" i="9"/>
  <c r="H69" i="9"/>
  <c r="H68" i="9"/>
  <c r="H67" i="9"/>
  <c r="H66" i="9"/>
  <c r="H65" i="9"/>
  <c r="H64" i="9"/>
  <c r="H63" i="9"/>
  <c r="H62" i="9"/>
  <c r="H61" i="9"/>
  <c r="H60" i="9"/>
  <c r="H59" i="9"/>
  <c r="H58" i="9"/>
  <c r="H57" i="9"/>
  <c r="H56" i="9"/>
  <c r="H55" i="9"/>
  <c r="H54" i="9"/>
  <c r="H53" i="9"/>
  <c r="H52" i="9"/>
  <c r="H51" i="9"/>
  <c r="H50" i="9"/>
  <c r="H49" i="9"/>
  <c r="H48" i="9"/>
  <c r="H47" i="9"/>
  <c r="H46" i="9"/>
  <c r="H45" i="9"/>
  <c r="H44" i="9"/>
  <c r="H43" i="9"/>
  <c r="H42" i="9"/>
  <c r="H41" i="9"/>
  <c r="H40" i="9"/>
  <c r="H39" i="9"/>
  <c r="H38" i="9"/>
  <c r="H37" i="9"/>
  <c r="H36" i="9"/>
  <c r="H35" i="9"/>
  <c r="H34" i="9"/>
  <c r="H33" i="9"/>
  <c r="H32" i="9"/>
  <c r="H31" i="9"/>
  <c r="H30" i="9"/>
  <c r="H29" i="9"/>
  <c r="H28" i="9"/>
  <c r="H27" i="9"/>
  <c r="H26" i="9"/>
  <c r="H25" i="9"/>
  <c r="H24" i="9"/>
  <c r="H23" i="9"/>
  <c r="H22" i="9"/>
  <c r="H21" i="9"/>
  <c r="H20" i="9"/>
  <c r="H19" i="9"/>
  <c r="H18" i="9"/>
  <c r="H17" i="9"/>
  <c r="H16" i="9"/>
  <c r="H15" i="9"/>
  <c r="H14" i="9"/>
  <c r="H13" i="9"/>
  <c r="H12" i="9"/>
  <c r="H11" i="9"/>
  <c r="H10" i="9"/>
  <c r="H9" i="9"/>
  <c r="H8" i="9"/>
  <c r="H7" i="9"/>
  <c r="H6" i="9"/>
  <c r="H5" i="9"/>
  <c r="H60" i="8"/>
  <c r="H59" i="8"/>
  <c r="H58" i="8"/>
  <c r="H57" i="8"/>
  <c r="H56" i="8"/>
  <c r="H55" i="8"/>
  <c r="H54" i="8"/>
  <c r="H53" i="8"/>
  <c r="H52" i="8"/>
  <c r="H51" i="8"/>
  <c r="H50" i="8"/>
  <c r="H49" i="8"/>
  <c r="H48" i="8"/>
  <c r="H47" i="8"/>
  <c r="H46" i="8"/>
  <c r="H45" i="8"/>
  <c r="H44" i="8"/>
  <c r="H43" i="8"/>
  <c r="H42" i="8"/>
  <c r="H41" i="8"/>
  <c r="H40" i="8"/>
  <c r="H39" i="8"/>
  <c r="H38" i="8"/>
  <c r="H37" i="8"/>
  <c r="H36" i="8"/>
  <c r="H35" i="8"/>
  <c r="H34" i="8"/>
  <c r="H33" i="8"/>
  <c r="H32" i="8"/>
  <c r="H31" i="8"/>
  <c r="H30" i="8"/>
  <c r="H29" i="8"/>
  <c r="H28" i="8"/>
  <c r="H27" i="8"/>
  <c r="H26" i="8"/>
  <c r="H25" i="8"/>
  <c r="H24" i="8"/>
  <c r="H23" i="8"/>
  <c r="H22" i="8"/>
  <c r="H21" i="8"/>
  <c r="H20" i="8"/>
  <c r="H19" i="8"/>
  <c r="H18" i="8"/>
  <c r="H17" i="8"/>
  <c r="H16" i="8"/>
  <c r="H15" i="8"/>
  <c r="H14" i="8"/>
  <c r="H13" i="8"/>
  <c r="H12" i="8"/>
  <c r="H11" i="8"/>
  <c r="H10" i="8"/>
  <c r="H9" i="8"/>
  <c r="H8" i="8"/>
  <c r="H7" i="8"/>
  <c r="H6" i="8"/>
  <c r="H5" i="8"/>
  <c r="H113" i="7"/>
  <c r="H112" i="7"/>
  <c r="H111" i="7"/>
  <c r="H110" i="7"/>
  <c r="H109" i="7"/>
  <c r="H108" i="7"/>
  <c r="H107" i="7"/>
  <c r="H106" i="7"/>
  <c r="H105" i="7"/>
  <c r="H104" i="7"/>
  <c r="H103" i="7"/>
  <c r="H102" i="7"/>
  <c r="H101" i="7"/>
  <c r="H100" i="7"/>
  <c r="H99" i="7"/>
  <c r="H98" i="7"/>
  <c r="H97" i="7"/>
  <c r="H96" i="7"/>
  <c r="H95" i="7"/>
  <c r="H94" i="7"/>
  <c r="H93" i="7"/>
  <c r="H92" i="7"/>
  <c r="H91" i="7"/>
  <c r="H90" i="7"/>
  <c r="H89" i="7"/>
  <c r="H88" i="7"/>
  <c r="H87" i="7"/>
  <c r="H86" i="7"/>
  <c r="H85" i="7"/>
  <c r="H84" i="7"/>
  <c r="H83" i="7"/>
  <c r="H82" i="7"/>
  <c r="H81" i="7"/>
  <c r="H80" i="7"/>
  <c r="H79" i="7"/>
  <c r="H78" i="7"/>
  <c r="H77" i="7"/>
  <c r="H76" i="7"/>
  <c r="H75" i="7"/>
  <c r="H74" i="7"/>
  <c r="H73" i="7"/>
  <c r="H72" i="7"/>
  <c r="H71" i="7"/>
  <c r="H70" i="7"/>
  <c r="H69" i="7"/>
  <c r="H68" i="7"/>
  <c r="H67" i="7"/>
  <c r="H66" i="7"/>
  <c r="H65" i="7"/>
  <c r="H64" i="7"/>
  <c r="H63" i="7"/>
  <c r="H62" i="7"/>
  <c r="H61" i="7"/>
  <c r="H60" i="7"/>
  <c r="H59" i="7"/>
  <c r="H58" i="7"/>
  <c r="H57" i="7"/>
  <c r="H56" i="7"/>
  <c r="H55" i="7"/>
  <c r="H54" i="7"/>
  <c r="H53" i="7"/>
  <c r="H52" i="7"/>
  <c r="H51" i="7"/>
  <c r="H50" i="7"/>
  <c r="H49" i="7"/>
  <c r="H48" i="7"/>
  <c r="H47" i="7"/>
  <c r="H46" i="7"/>
  <c r="H45" i="7"/>
  <c r="H44" i="7"/>
  <c r="H43" i="7"/>
  <c r="H42" i="7"/>
  <c r="H41" i="7"/>
  <c r="H40" i="7"/>
  <c r="H39" i="7"/>
  <c r="H38" i="7"/>
  <c r="H37" i="7"/>
  <c r="H36" i="7"/>
  <c r="H35" i="7"/>
  <c r="H34" i="7"/>
  <c r="H33" i="7"/>
  <c r="H32" i="7"/>
  <c r="H31" i="7"/>
  <c r="H30" i="7"/>
  <c r="H29" i="7"/>
  <c r="H28" i="7"/>
  <c r="H27" i="7"/>
  <c r="H26" i="7"/>
  <c r="H25" i="7"/>
  <c r="H24" i="7"/>
  <c r="H23" i="7"/>
  <c r="H22" i="7"/>
  <c r="H21" i="7"/>
  <c r="H20" i="7"/>
  <c r="H19" i="7"/>
  <c r="H18" i="7"/>
  <c r="H17" i="7"/>
  <c r="H16" i="7"/>
  <c r="H15" i="7"/>
  <c r="H14" i="7"/>
  <c r="H13" i="7"/>
  <c r="H12" i="7"/>
  <c r="H11" i="7"/>
  <c r="H10" i="7"/>
  <c r="H9" i="7"/>
  <c r="H8" i="7"/>
  <c r="H7" i="7"/>
  <c r="H6" i="7"/>
  <c r="H5" i="7"/>
  <c r="H78" i="6"/>
  <c r="H77" i="6"/>
  <c r="H76" i="6"/>
  <c r="H75" i="6"/>
  <c r="H74" i="6"/>
  <c r="H73" i="6"/>
  <c r="H72" i="6"/>
  <c r="H71" i="6"/>
  <c r="H70" i="6"/>
  <c r="H69" i="6"/>
  <c r="H68" i="6"/>
  <c r="H67" i="6"/>
  <c r="H66" i="6"/>
  <c r="H65" i="6"/>
  <c r="H64" i="6"/>
  <c r="H63" i="6"/>
  <c r="H62" i="6"/>
  <c r="H61" i="6"/>
  <c r="H60" i="6"/>
  <c r="H59" i="6"/>
  <c r="H58" i="6"/>
  <c r="H57" i="6"/>
  <c r="H56" i="6"/>
  <c r="H55" i="6"/>
  <c r="H54" i="6"/>
  <c r="H53" i="6"/>
  <c r="H52" i="6"/>
  <c r="H51" i="6"/>
  <c r="H50" i="6"/>
  <c r="H49" i="6"/>
  <c r="H48" i="6"/>
  <c r="H47" i="6"/>
  <c r="H46" i="6"/>
  <c r="H45" i="6"/>
  <c r="H44" i="6"/>
  <c r="H43" i="6"/>
  <c r="H42" i="6"/>
  <c r="H41" i="6"/>
  <c r="H40" i="6"/>
  <c r="H39" i="6"/>
  <c r="H38" i="6"/>
  <c r="H37" i="6"/>
  <c r="H36" i="6"/>
  <c r="H35" i="6"/>
  <c r="H34" i="6"/>
  <c r="H33" i="6"/>
  <c r="H32" i="6"/>
  <c r="H31" i="6"/>
  <c r="H30" i="6"/>
  <c r="H29" i="6"/>
  <c r="H28" i="6"/>
  <c r="H27" i="6"/>
  <c r="H26" i="6"/>
  <c r="H25" i="6"/>
  <c r="H24" i="6"/>
  <c r="H23" i="6"/>
  <c r="H22" i="6"/>
  <c r="H21" i="6"/>
  <c r="H20" i="6"/>
  <c r="H19" i="6"/>
  <c r="H18" i="6"/>
  <c r="H17" i="6"/>
  <c r="H16" i="6"/>
  <c r="H15" i="6"/>
  <c r="H14" i="6"/>
  <c r="H13" i="6"/>
  <c r="H12" i="6"/>
  <c r="H11" i="6"/>
  <c r="H10" i="6"/>
  <c r="H9" i="6"/>
  <c r="H8" i="6"/>
  <c r="H7" i="6"/>
  <c r="H6" i="6"/>
  <c r="H5" i="6"/>
  <c r="H144" i="5"/>
  <c r="H143" i="5"/>
  <c r="H142" i="5"/>
  <c r="H141" i="5"/>
  <c r="H140" i="5"/>
  <c r="H139" i="5"/>
  <c r="H138" i="5"/>
  <c r="H137" i="5"/>
  <c r="H136" i="5"/>
  <c r="H135" i="5"/>
  <c r="H134" i="5"/>
  <c r="H133" i="5"/>
  <c r="H132" i="5"/>
  <c r="H131" i="5"/>
  <c r="H130" i="5"/>
  <c r="H129" i="5"/>
  <c r="H128" i="5"/>
  <c r="H127" i="5"/>
  <c r="H126" i="5"/>
  <c r="H125" i="5"/>
  <c r="H124" i="5"/>
  <c r="H123" i="5"/>
  <c r="H122" i="5"/>
  <c r="H121" i="5"/>
  <c r="H120" i="5"/>
  <c r="H119" i="5"/>
  <c r="H118" i="5"/>
  <c r="H117" i="5"/>
  <c r="H116" i="5"/>
  <c r="H115" i="5"/>
  <c r="H114" i="5"/>
  <c r="H113" i="5"/>
  <c r="H112" i="5"/>
  <c r="H111" i="5"/>
  <c r="H110" i="5"/>
  <c r="H109" i="5"/>
  <c r="H108" i="5"/>
  <c r="H107" i="5"/>
  <c r="H106" i="5"/>
  <c r="H105" i="5"/>
  <c r="H104" i="5"/>
  <c r="H103" i="5"/>
  <c r="H102" i="5"/>
  <c r="H101" i="5"/>
  <c r="H100" i="5"/>
  <c r="H99" i="5"/>
  <c r="H98" i="5"/>
  <c r="H97" i="5"/>
  <c r="H96" i="5"/>
  <c r="H95" i="5"/>
  <c r="H94" i="5"/>
  <c r="H93" i="5"/>
  <c r="H92" i="5"/>
  <c r="H91" i="5"/>
  <c r="H90" i="5"/>
  <c r="H89" i="5"/>
  <c r="H88" i="5"/>
  <c r="H87" i="5"/>
  <c r="H86" i="5"/>
  <c r="H85" i="5"/>
  <c r="H84" i="5"/>
  <c r="H83" i="5"/>
  <c r="H82" i="5"/>
  <c r="H81" i="5"/>
  <c r="H80" i="5"/>
  <c r="H79" i="5"/>
  <c r="H78" i="5"/>
  <c r="H77" i="5"/>
  <c r="H76" i="5"/>
  <c r="H75" i="5"/>
  <c r="H74" i="5"/>
  <c r="H73" i="5"/>
  <c r="H72" i="5"/>
  <c r="H71" i="5"/>
  <c r="H70" i="5"/>
  <c r="H69" i="5"/>
  <c r="H68" i="5"/>
  <c r="H67" i="5"/>
  <c r="H66" i="5"/>
  <c r="H65" i="5"/>
  <c r="H64" i="5"/>
  <c r="H63" i="5"/>
  <c r="H62" i="5"/>
  <c r="H61" i="5"/>
  <c r="H60" i="5"/>
  <c r="H59" i="5"/>
  <c r="H58" i="5"/>
  <c r="H57" i="5"/>
  <c r="H56" i="5"/>
  <c r="H55" i="5"/>
  <c r="H54" i="5"/>
  <c r="H53" i="5"/>
  <c r="H52" i="5"/>
  <c r="H51" i="5"/>
  <c r="H50" i="5"/>
  <c r="H49" i="5"/>
  <c r="H48" i="5"/>
  <c r="H47" i="5"/>
  <c r="H46" i="5"/>
  <c r="H45" i="5"/>
  <c r="H44" i="5"/>
  <c r="H43" i="5"/>
  <c r="H42" i="5"/>
  <c r="H41" i="5"/>
  <c r="H40" i="5"/>
  <c r="H39" i="5"/>
  <c r="H38" i="5"/>
  <c r="H37"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H8" i="5"/>
  <c r="H7" i="5"/>
  <c r="H6" i="5"/>
  <c r="H5" i="5"/>
  <c r="H86" i="4"/>
  <c r="H85" i="4"/>
  <c r="H84" i="4"/>
  <c r="H83" i="4"/>
  <c r="H82" i="4"/>
  <c r="H81" i="4"/>
  <c r="H80" i="4"/>
  <c r="H79" i="4"/>
  <c r="H78" i="4"/>
  <c r="H77" i="4"/>
  <c r="H76" i="4"/>
  <c r="H75" i="4"/>
  <c r="H74" i="4"/>
  <c r="H73" i="4"/>
  <c r="H72" i="4"/>
  <c r="H71" i="4"/>
  <c r="H70" i="4"/>
  <c r="H69" i="4"/>
  <c r="H68" i="4"/>
  <c r="H67" i="4"/>
  <c r="H66" i="4"/>
  <c r="H65" i="4"/>
  <c r="H64" i="4"/>
  <c r="H63" i="4"/>
  <c r="H62" i="4"/>
  <c r="H61" i="4"/>
  <c r="H60" i="4"/>
  <c r="H59" i="4"/>
  <c r="H58" i="4"/>
  <c r="H57" i="4"/>
  <c r="H56" i="4"/>
  <c r="H55" i="4"/>
  <c r="H54" i="4"/>
  <c r="H53" i="4"/>
  <c r="H52" i="4"/>
  <c r="H51" i="4"/>
  <c r="H50" i="4"/>
  <c r="H49" i="4"/>
  <c r="H48" i="4"/>
  <c r="H47" i="4"/>
  <c r="H46" i="4"/>
  <c r="H45" i="4"/>
  <c r="H44" i="4"/>
  <c r="H43" i="4"/>
  <c r="H42" i="4"/>
  <c r="H41" i="4"/>
  <c r="H40" i="4"/>
  <c r="H39" i="4"/>
  <c r="H38" i="4"/>
  <c r="H37" i="4"/>
  <c r="H36" i="4"/>
  <c r="H35"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H6" i="4"/>
  <c r="H5" i="4"/>
  <c r="H84" i="3"/>
  <c r="H83" i="3"/>
  <c r="H82" i="3"/>
  <c r="H81" i="3"/>
  <c r="H80" i="3"/>
  <c r="H79" i="3"/>
  <c r="H78" i="3"/>
  <c r="H77" i="3"/>
  <c r="H76" i="3"/>
  <c r="H75" i="3"/>
  <c r="H74" i="3"/>
  <c r="H73" i="3"/>
  <c r="H72" i="3"/>
  <c r="H71" i="3"/>
  <c r="H70" i="3"/>
  <c r="H69" i="3"/>
  <c r="H68" i="3"/>
  <c r="H67" i="3"/>
  <c r="H66" i="3"/>
  <c r="H65" i="3"/>
  <c r="H64" i="3"/>
  <c r="H63" i="3"/>
  <c r="H62" i="3"/>
  <c r="H61" i="3"/>
  <c r="H60" i="3"/>
  <c r="H59" i="3"/>
  <c r="H58" i="3"/>
  <c r="H57" i="3"/>
  <c r="H56" i="3"/>
  <c r="H55" i="3"/>
  <c r="H54" i="3"/>
  <c r="H53" i="3"/>
  <c r="H52" i="3"/>
  <c r="H51" i="3"/>
  <c r="H50" i="3"/>
  <c r="H49" i="3"/>
  <c r="H48" i="3"/>
  <c r="H47" i="3"/>
  <c r="H46" i="3"/>
  <c r="H45" i="3"/>
  <c r="H44" i="3"/>
  <c r="H43" i="3"/>
  <c r="H42" i="3"/>
  <c r="H41" i="3"/>
  <c r="H40" i="3"/>
  <c r="H39" i="3"/>
  <c r="H38" i="3"/>
  <c r="H37" i="3"/>
  <c r="H36" i="3"/>
  <c r="H35" i="3"/>
  <c r="H34" i="3"/>
  <c r="H33" i="3"/>
  <c r="H32" i="3"/>
  <c r="H31" i="3"/>
  <c r="H30" i="3"/>
  <c r="H29" i="3"/>
  <c r="H28" i="3"/>
  <c r="H27" i="3"/>
  <c r="H26" i="3"/>
  <c r="H25" i="3"/>
  <c r="H24" i="3"/>
  <c r="H23" i="3"/>
  <c r="H22" i="3"/>
  <c r="H21" i="3"/>
  <c r="H20" i="3"/>
  <c r="H19" i="3"/>
  <c r="H18" i="3"/>
  <c r="H17" i="3"/>
  <c r="H16" i="3"/>
  <c r="H15" i="3"/>
  <c r="H14" i="3"/>
  <c r="H13" i="3"/>
  <c r="H12" i="3"/>
  <c r="H11" i="3"/>
  <c r="H10" i="3"/>
  <c r="H9" i="3"/>
  <c r="H8" i="3"/>
  <c r="H7" i="3"/>
  <c r="H6" i="3"/>
  <c r="H5" i="3"/>
  <c r="H73" i="2"/>
  <c r="H72" i="2"/>
  <c r="H71" i="2"/>
  <c r="H70" i="2"/>
  <c r="H69" i="2"/>
  <c r="H68" i="2"/>
  <c r="H67" i="2"/>
  <c r="H66" i="2"/>
  <c r="H65" i="2"/>
  <c r="H64" i="2"/>
  <c r="H63" i="2"/>
  <c r="H62" i="2"/>
  <c r="H61" i="2"/>
  <c r="H60" i="2"/>
  <c r="H59" i="2"/>
  <c r="H58" i="2"/>
  <c r="H57" i="2"/>
  <c r="H56" i="2"/>
  <c r="H55" i="2"/>
  <c r="H54" i="2"/>
  <c r="H53" i="2"/>
  <c r="H52" i="2"/>
  <c r="H51" i="2"/>
  <c r="H50" i="2"/>
  <c r="H49" i="2"/>
  <c r="H48" i="2"/>
  <c r="H47" i="2"/>
  <c r="H46" i="2"/>
  <c r="H45" i="2"/>
  <c r="H44" i="2"/>
  <c r="H43" i="2"/>
  <c r="H42" i="2"/>
  <c r="H41" i="2"/>
  <c r="H40" i="2"/>
  <c r="H39" i="2"/>
  <c r="H38" i="2"/>
  <c r="H37" i="2"/>
  <c r="H36" i="2"/>
  <c r="H35" i="2"/>
  <c r="H34" i="2"/>
  <c r="H33" i="2"/>
  <c r="H32" i="2"/>
  <c r="H31" i="2"/>
  <c r="H30" i="2"/>
  <c r="H29" i="2"/>
  <c r="H28" i="2"/>
  <c r="H27" i="2"/>
  <c r="H26" i="2"/>
  <c r="H25" i="2"/>
  <c r="H24" i="2"/>
  <c r="H23" i="2"/>
  <c r="H22" i="2"/>
  <c r="H21" i="2"/>
  <c r="H20" i="2"/>
  <c r="H19" i="2"/>
  <c r="H18" i="2"/>
  <c r="H17" i="2"/>
  <c r="H16" i="2"/>
  <c r="H15" i="2"/>
  <c r="H14" i="2"/>
  <c r="H13" i="2"/>
  <c r="H12" i="2"/>
  <c r="H11" i="2"/>
  <c r="H10" i="2"/>
  <c r="H9" i="2"/>
  <c r="H8" i="2"/>
  <c r="H7" i="2"/>
  <c r="H6" i="2"/>
  <c r="H5" i="2"/>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G117" i="8" l="1"/>
  <c r="J148" i="9"/>
  <c r="F34" i="9"/>
  <c r="F51" i="9" s="1"/>
  <c r="I161" i="6"/>
  <c r="J161" i="6" s="1"/>
  <c r="I160" i="6"/>
  <c r="J160" i="6" s="1"/>
  <c r="I159" i="6"/>
  <c r="J159" i="6" s="1"/>
  <c r="G159" i="6"/>
  <c r="I158" i="6"/>
  <c r="J158" i="6" s="1"/>
  <c r="I165" i="4"/>
  <c r="J165" i="4" s="1"/>
  <c r="I164" i="4"/>
  <c r="J164" i="4" s="1"/>
  <c r="I163" i="4"/>
  <c r="J163" i="4" s="1"/>
  <c r="F71" i="10"/>
  <c r="F72" i="10"/>
  <c r="F82" i="8"/>
  <c r="F81" i="8"/>
  <c r="F135" i="7"/>
  <c r="F134" i="7"/>
  <c r="F100" i="6"/>
  <c r="F99" i="6"/>
  <c r="F166" i="5"/>
  <c r="F165" i="5"/>
  <c r="F108" i="4"/>
  <c r="F107" i="4"/>
  <c r="F95" i="2"/>
  <c r="F94" i="2"/>
  <c r="G92" i="9" l="1"/>
  <c r="F92" i="9"/>
  <c r="F102" i="9" s="1"/>
  <c r="G72" i="8"/>
  <c r="F72" i="8"/>
  <c r="G125" i="7"/>
  <c r="F125" i="7"/>
  <c r="G90" i="6"/>
  <c r="F90" i="6"/>
  <c r="G156" i="5"/>
  <c r="F156" i="5"/>
  <c r="G98" i="4"/>
  <c r="F98" i="4"/>
  <c r="G96" i="3"/>
  <c r="F96" i="3"/>
  <c r="G85" i="2"/>
  <c r="F85" i="2"/>
  <c r="G94" i="1"/>
  <c r="F94" i="1"/>
  <c r="G13" i="9" l="1"/>
  <c r="G34" i="9" s="1"/>
  <c r="G51" i="9" s="1"/>
  <c r="G101" i="9"/>
  <c r="G102" i="9" l="1"/>
</calcChain>
</file>

<file path=xl/sharedStrings.xml><?xml version="1.0" encoding="utf-8"?>
<sst xmlns="http://schemas.openxmlformats.org/spreadsheetml/2006/main" count="2783" uniqueCount="734">
  <si>
    <t>SUNDARAM MUTUAL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</si>
  <si>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</si>
  <si>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</si>
  <si>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</si>
  <si>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</si>
  <si>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</si>
  <si>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</si>
  <si>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</si>
  <si>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</si>
  <si>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</si>
  <si>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</si>
  <si>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</si>
  <si>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 xml:space="preserve">0 </t>
  </si>
  <si>
    <t>(b) Overseas Security</t>
  </si>
  <si>
    <t>(c) Privately Placed / Unlisted</t>
  </si>
  <si>
    <t>(d) Preference / Right Shares</t>
  </si>
  <si>
    <t>(e) Warrants</t>
  </si>
  <si>
    <t>f) Derivative</t>
  </si>
  <si>
    <t>Total for Equity &amp; Equity Related</t>
  </si>
  <si>
    <t>B) Debt Instruments</t>
  </si>
  <si>
    <t>INE556F08KL3</t>
  </si>
  <si>
    <t>Small Industries Development Bank of India - 7.83% - 24/11/2028**</t>
  </si>
  <si>
    <t>CRISIL AAA</t>
  </si>
  <si>
    <t>INE053F08411</t>
  </si>
  <si>
    <t>Indian Railway Finance Corporation Ltd - 7.37% - 31/07/2029**</t>
  </si>
  <si>
    <t>INE557F08FS6</t>
  </si>
  <si>
    <t>National Housing Bank - 7.4% - 16/07/2026**</t>
  </si>
  <si>
    <t>INE115A07QJ2</t>
  </si>
  <si>
    <t>LIC Housing Finance Ltd - 7.7% - 16/05/2028**</t>
  </si>
  <si>
    <t>INE134E08NB7</t>
  </si>
  <si>
    <t>Power Finance Corporation Ltd - 7.32% - 15/07/2039**</t>
  </si>
  <si>
    <t>INE040A08930</t>
  </si>
  <si>
    <t>HDFC Bank Ltd (Prev HDFC Ltd) - 7.65% - 25/05/2033**</t>
  </si>
  <si>
    <t>INE261F08EJ7</t>
  </si>
  <si>
    <t>National Bank for Agriculture &amp; Rural Development - 7.64% - 06/12/2029</t>
  </si>
  <si>
    <t>ICRA AAA</t>
  </si>
  <si>
    <t>INE261F08EH1</t>
  </si>
  <si>
    <t>National Bank for Agriculture &amp; Rural Development - 7.62% - 10/05/2029**</t>
  </si>
  <si>
    <t>INE020B08EK4</t>
  </si>
  <si>
    <t>REC LTD - 7.46% - 30/06/2028**</t>
  </si>
  <si>
    <t>INE020B08EL2</t>
  </si>
  <si>
    <t>REC LTD - 7.44% - 30/04/2026**</t>
  </si>
  <si>
    <t>INE053F08304</t>
  </si>
  <si>
    <t>Indian Railway Finance Corporation Ltd - 7.23% - 15/10/2026**</t>
  </si>
  <si>
    <t>INE557F08FR8</t>
  </si>
  <si>
    <t>National Housing Bank - 7.22% - 23/07/2026**</t>
  </si>
  <si>
    <t>INE134E08MX3</t>
  </si>
  <si>
    <t>Power Finance Corporation Ltd - 7.6% - 13/04/2029**</t>
  </si>
  <si>
    <t>INE296A07SV1</t>
  </si>
  <si>
    <t>Bajaj Finance Ltd - 7.82% - 31/01/2034**</t>
  </si>
  <si>
    <t>INE242A08544</t>
  </si>
  <si>
    <t>Indian Oil Corporation Ltd - 7.44% - 25/11/2027**</t>
  </si>
  <si>
    <t>INE040A08666</t>
  </si>
  <si>
    <t>HDFC Bank Ltd (Prev HDFC Ltd) - 7.8% - 03/05/2033**</t>
  </si>
  <si>
    <t>INE020B08EP3</t>
  </si>
  <si>
    <t>REC LTD - 7.77% - 30/09/2026</t>
  </si>
  <si>
    <t>INE261F08DX0</t>
  </si>
  <si>
    <t>National Bank for Agriculture &amp; Rural Development - 7.58% - 31/07/2026</t>
  </si>
  <si>
    <t>INE115A07MW4</t>
  </si>
  <si>
    <t>LIC Housing Finance Ltd - 7.95% - 29/01/2028**</t>
  </si>
  <si>
    <t>INE041007100</t>
  </si>
  <si>
    <t>Embassy Office Parks REIT - 7.77% - 05/06/2025**</t>
  </si>
  <si>
    <t>INE556F08KH1</t>
  </si>
  <si>
    <t>Small Industries Development Bank of India - 7.43% - 31/08/2026</t>
  </si>
  <si>
    <t>INE296A07SU3</t>
  </si>
  <si>
    <t>Bajaj Finance Ltd - 7.87% - 08/02/2034**</t>
  </si>
  <si>
    <t>INE134E08KH0</t>
  </si>
  <si>
    <t>Power Finance Corporation Ltd - 7.42% - 19/11/2024**</t>
  </si>
  <si>
    <t>INE134E08IO0</t>
  </si>
  <si>
    <t>Power Finance Corporation Ltd - 7.23% - 05/01/2027**</t>
  </si>
  <si>
    <t>(b) Privately Placed / Unlisted</t>
  </si>
  <si>
    <t>(c) Govt Security</t>
  </si>
  <si>
    <t>IN0020240019</t>
  </si>
  <si>
    <t>7.10% Central Government Securities 08/04/2034</t>
  </si>
  <si>
    <t>Sovereign</t>
  </si>
  <si>
    <t>IN0020230135</t>
  </si>
  <si>
    <t>7.32% Government Securities-13/11/2030</t>
  </si>
  <si>
    <t>IN0020230051</t>
  </si>
  <si>
    <t>7.30% Government Securities - 19/06/2053</t>
  </si>
  <si>
    <t>IN0020240035</t>
  </si>
  <si>
    <t>7.34% Central Government Securities 22/04/2064</t>
  </si>
  <si>
    <t>IN0020230101</t>
  </si>
  <si>
    <t>7.37% Government Securities-23/10/2028</t>
  </si>
  <si>
    <t>IN0020240027</t>
  </si>
  <si>
    <t>7.23% Central Government Securities 15/04/2039</t>
  </si>
  <si>
    <t>IN0020230077</t>
  </si>
  <si>
    <t>7.18%  Government Securities - 24/07/2037</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</si>
  <si>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</si>
  <si>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</si>
  <si>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</si>
  <si>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</si>
  <si>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</si>
  <si>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</si>
  <si>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</si>
  <si>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</si>
  <si>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</si>
  <si>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</si>
  <si>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</si>
  <si>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INF0RQ622028</t>
  </si>
  <si>
    <t>Corporate Debt Market Development Fund - Class A2</t>
  </si>
  <si>
    <t>E) Others</t>
  </si>
  <si>
    <t>(a) Deposits with Commercial Banks</t>
  </si>
  <si>
    <t>(b) Share Application Money pending Allotment</t>
  </si>
  <si>
    <t>Cash and Other Net Current Assets^</t>
  </si>
  <si>
    <t>Grand Total</t>
  </si>
  <si>
    <t>Notes</t>
  </si>
  <si>
    <t>a) Total securities classified as below investment grade or default provided for and its percentage to NAV</t>
  </si>
  <si>
    <t>Nil</t>
  </si>
  <si>
    <t>b) Total value and percentage of illiquid equity shares</t>
  </si>
  <si>
    <t>c) NAV  per  unit (Rupees per unit)</t>
  </si>
  <si>
    <t>At the end</t>
  </si>
  <si>
    <t>Option</t>
  </si>
  <si>
    <t>Direct Plan - Growth</t>
  </si>
  <si>
    <t>Regular Plan - Growth</t>
  </si>
  <si>
    <t>Individual &amp; HUF</t>
  </si>
  <si>
    <t>Others</t>
  </si>
  <si>
    <t>-</t>
  </si>
  <si>
    <t>e) Total outstanding exposure in derivative instruments at the end of the period</t>
  </si>
  <si>
    <t>f) Total investments in foreign securities /ADR'S/GDR'S at the end of the period</t>
  </si>
  <si>
    <t>Sundaram Banking &amp; PSU Fund</t>
  </si>
  <si>
    <t>INE020B08EA5</t>
  </si>
  <si>
    <t>REC LTD - 7.55% - 31/03/2028**</t>
  </si>
  <si>
    <t>INE040A08955</t>
  </si>
  <si>
    <t>HDFC Bank Ltd - 7.7% - 16/05/2028**</t>
  </si>
  <si>
    <t>INE557F08FY4</t>
  </si>
  <si>
    <t>National Housing Bank - 7.59% - 14/07/2027**</t>
  </si>
  <si>
    <t>INE556F08KF5</t>
  </si>
  <si>
    <t>Small Industries Development Bank of India - 7.54% - 12/01/2026**</t>
  </si>
  <si>
    <t>INE134E08LK2</t>
  </si>
  <si>
    <t>Power Finance Corporation Ltd - 6.09% - 27/08/2026**</t>
  </si>
  <si>
    <t>INE261F08DO9</t>
  </si>
  <si>
    <t>National Bank for Agriculture &amp; Rural Development - 7.4% - 30/01/2026</t>
  </si>
  <si>
    <t>INE752E08734</t>
  </si>
  <si>
    <t>Power Grid Corporation of India Ltd - 7.35% - 12/03/2034**</t>
  </si>
  <si>
    <t>INE0KUG08035</t>
  </si>
  <si>
    <t>National Bank for Financing Infrastructure and Development - 7.43% - 04/07/2034**</t>
  </si>
  <si>
    <t>INE053F08338</t>
  </si>
  <si>
    <t>Indian Railway Finance Corporation Ltd - 7.68% - 24/11/2026**</t>
  </si>
  <si>
    <t>INE556F08KE8</t>
  </si>
  <si>
    <t>Small Industries Development Bank of India - 7.47% - 25/11/2025**</t>
  </si>
  <si>
    <t>Direct Plan - Bonus</t>
  </si>
  <si>
    <t>Regular Plan - Bonus</t>
  </si>
  <si>
    <t>Sundaram Money Market Fund</t>
  </si>
  <si>
    <t>INE160A16OM8</t>
  </si>
  <si>
    <t>Punjab National Bank - 25/02/2025**</t>
  </si>
  <si>
    <t>CRISIL A1+</t>
  </si>
  <si>
    <t>INE556F16AR4</t>
  </si>
  <si>
    <t>INE084A16CN3</t>
  </si>
  <si>
    <t>INE261F16843</t>
  </si>
  <si>
    <t>INE090AD6147</t>
  </si>
  <si>
    <t>ICRA A1+</t>
  </si>
  <si>
    <t>INE028A16GR2</t>
  </si>
  <si>
    <t>IND A1+</t>
  </si>
  <si>
    <t>INE949L16CY1</t>
  </si>
  <si>
    <t>INE092T16XM4</t>
  </si>
  <si>
    <t>INE476A16YB0</t>
  </si>
  <si>
    <t>Canara Bank - 20/03/2025**</t>
  </si>
  <si>
    <t>INE562A16MZ1</t>
  </si>
  <si>
    <t>Indian Bank - 23/05/2025**</t>
  </si>
  <si>
    <t>INE040A16EN1</t>
  </si>
  <si>
    <t>HDFC Bank Ltd - 20/02/2025**</t>
  </si>
  <si>
    <t>INE01GA16228</t>
  </si>
  <si>
    <t>DBS BANK LTD - 07/03/2025**</t>
  </si>
  <si>
    <t>INE090AD6170</t>
  </si>
  <si>
    <t>ICICI Bank Ltd - 25/07/2025**</t>
  </si>
  <si>
    <t>INE092T16WB9</t>
  </si>
  <si>
    <t>IDFC First Bank Ltd - 21/02/2025</t>
  </si>
  <si>
    <t>INE095A16V79</t>
  </si>
  <si>
    <t>IndusInd Bank Ltd - 24/02/2025</t>
  </si>
  <si>
    <t>INE090AD6113</t>
  </si>
  <si>
    <t>ICICI Bank Ltd - 31/01/2025**</t>
  </si>
  <si>
    <t>INE171A16LP4</t>
  </si>
  <si>
    <t>The Federal Bank Ltd - 04/02/2025**</t>
  </si>
  <si>
    <t>INE692A16GZ8</t>
  </si>
  <si>
    <t>Union Bank of India - 27/02/2025**</t>
  </si>
  <si>
    <t>INE028A16GP6</t>
  </si>
  <si>
    <t>Bank of Baroda - 05/05/2025**</t>
  </si>
  <si>
    <t>INE238AD6967</t>
  </si>
  <si>
    <t>Axis Bank Ltd - 19/05/2025</t>
  </si>
  <si>
    <t>INE040A16FA5</t>
  </si>
  <si>
    <t>HDFC Bank Ltd - 24/06/2025**</t>
  </si>
  <si>
    <t>INE040A16FM0</t>
  </si>
  <si>
    <t>HDFC Bank Ltd - 19/09/2025**</t>
  </si>
  <si>
    <t>INE338I14IN8</t>
  </si>
  <si>
    <t>INE121A14WW7</t>
  </si>
  <si>
    <t>INE403D14544</t>
  </si>
  <si>
    <t>Bharti Telecom Ltd - 17/10/2025</t>
  </si>
  <si>
    <t>INE572E14JM1</t>
  </si>
  <si>
    <t>PNB Housing Finance Ltd - 25/09/2025**</t>
  </si>
  <si>
    <t>INE763G14TE7</t>
  </si>
  <si>
    <t>ICICI Securities Ltd - 21/02/2025**</t>
  </si>
  <si>
    <t>INE115A14EX5</t>
  </si>
  <si>
    <t>LIC Housing Finance Ltd - 21/03/2025**</t>
  </si>
  <si>
    <t>INE556F14KH9</t>
  </si>
  <si>
    <t>Small Industries Development Bank of India - 28/05/2025**</t>
  </si>
  <si>
    <t>INE110L14SH6</t>
  </si>
  <si>
    <t>Reliance Jio Infocomm Ltd - 25/11/2024</t>
  </si>
  <si>
    <t>IN002024Y290</t>
  </si>
  <si>
    <t>182 Days - T Bill - 01/05/2025</t>
  </si>
  <si>
    <t>IN002024Y241</t>
  </si>
  <si>
    <t>182 Days - T Bill - 13/03/2025</t>
  </si>
  <si>
    <t>IN002024Z073</t>
  </si>
  <si>
    <t>364 Days - T Bill - 15/05/2025</t>
  </si>
  <si>
    <t>Sundaram Low Duration Fund</t>
  </si>
  <si>
    <t>INE134E08KT5</t>
  </si>
  <si>
    <t>Power Finance Corporation Ltd - 7.17% - 22/05/2025**</t>
  </si>
  <si>
    <t>INE557F08FV0</t>
  </si>
  <si>
    <t>National Housing Bank - 7.78% - 26/04/2027**</t>
  </si>
  <si>
    <t>CARE AAA</t>
  </si>
  <si>
    <t>INE477A07373</t>
  </si>
  <si>
    <t>Can Fin Homes Ltd - 8.45% - 27/05/2026**</t>
  </si>
  <si>
    <t>IND AA+</t>
  </si>
  <si>
    <t>INE115A07OY6</t>
  </si>
  <si>
    <t>LIC Housing Finance Ltd - 5.776% - 11/09/2025**</t>
  </si>
  <si>
    <t>INE403D08181</t>
  </si>
  <si>
    <t>Bharti Telecom Ltd - 8.9% - 04/12/2025</t>
  </si>
  <si>
    <t>CRISIL AA+</t>
  </si>
  <si>
    <t>INE721A07SB0</t>
  </si>
  <si>
    <t>Shriram Finance Ltd - 9.2% - 22/05/2026**</t>
  </si>
  <si>
    <t>INE572E07183</t>
  </si>
  <si>
    <t>PNB Housing Finance Ltd - 8.15% - 29/07/2027**</t>
  </si>
  <si>
    <t>INE020B08ED9</t>
  </si>
  <si>
    <t>REC LTD - 7.56% - 30/06/2026**</t>
  </si>
  <si>
    <t>INE523H07CB9</t>
  </si>
  <si>
    <t>JM Financial Products Ltd - 8.92% - 16/11/2026**</t>
  </si>
  <si>
    <t>CRISIL AA</t>
  </si>
  <si>
    <t>INE261F08DP6</t>
  </si>
  <si>
    <t>National Bank for Agriculture &amp; Rural Development - 7.35% - 08/07/2025**</t>
  </si>
  <si>
    <t>INE414G07HI7</t>
  </si>
  <si>
    <t>Muthoot Finance Ltd - 8.3% - 06/01/2026**</t>
  </si>
  <si>
    <t>INE233A08121</t>
  </si>
  <si>
    <t>Godrej Industries Ltd - 8.36% - 28/08/2026**</t>
  </si>
  <si>
    <t>INE721A07RU2</t>
  </si>
  <si>
    <t>Shriram Finance Ltd - 9.25% - 19/12/2025</t>
  </si>
  <si>
    <t>INE121A07QT9</t>
  </si>
  <si>
    <t>Cholamandalam Investment and Finance Co Ltd - 8.45% - 21/11/2025**</t>
  </si>
  <si>
    <t>ICRA AA+</t>
  </si>
  <si>
    <t>INE020B08FF1</t>
  </si>
  <si>
    <t>REC LTD - 7.56% - 31/08/2027</t>
  </si>
  <si>
    <t>INE721A07RH9</t>
  </si>
  <si>
    <t>Shriram Finance Ltd - 8.75% - 15/06/2026**</t>
  </si>
  <si>
    <t>IN0020220037</t>
  </si>
  <si>
    <t>7.38% Central Government Securities 20/06/2027</t>
  </si>
  <si>
    <t>IN0020240050</t>
  </si>
  <si>
    <t>7.04% Central Government Securities 03/06/2029</t>
  </si>
  <si>
    <t>INE949L16CX3</t>
  </si>
  <si>
    <t>AU Small Finance Bank Ltd - 01/10/2025**</t>
  </si>
  <si>
    <t>INE160A16OP1</t>
  </si>
  <si>
    <t>Punjab National Bank - 11/03/2025</t>
  </si>
  <si>
    <t>INE692A16HP7</t>
  </si>
  <si>
    <t>Union Bank of India - 18/03/2025**</t>
  </si>
  <si>
    <t>INE261F16785</t>
  </si>
  <si>
    <t>National Bank for Agriculture &amp; Rural Development - 07/02/2025**</t>
  </si>
  <si>
    <t>INE261F16819</t>
  </si>
  <si>
    <t>National Bank for Agriculture &amp; Rural Development - 26/02/2025**</t>
  </si>
  <si>
    <t>INE238AD6579</t>
  </si>
  <si>
    <t>Axis Bank Ltd - 29/11/2024**</t>
  </si>
  <si>
    <t>INE466L14DI2</t>
  </si>
  <si>
    <t>360 ONE WAM Ltd (Prev IIFL Wealth Management Ltd) - 14/03/2025**</t>
  </si>
  <si>
    <t>Sundaram Liquid Fund</t>
  </si>
  <si>
    <t>INE557F08FG1</t>
  </si>
  <si>
    <t>National Housing Bank - 7.05% - 18/12/2024**</t>
  </si>
  <si>
    <t>INE115A07OX8</t>
  </si>
  <si>
    <t>LIC Housing Finance Ltd - 5.5315% - 20/12/2024**</t>
  </si>
  <si>
    <t>INE115A07PD7</t>
  </si>
  <si>
    <t>INE572E07118</t>
  </si>
  <si>
    <t>INE040A08682</t>
  </si>
  <si>
    <t>INE261F08DI1</t>
  </si>
  <si>
    <t>INE028A16GJ9</t>
  </si>
  <si>
    <t>Bank of Baroda - 06/12/2024</t>
  </si>
  <si>
    <t>INE040A16FL2</t>
  </si>
  <si>
    <t>HDFC Bank Ltd - 12/12/2024</t>
  </si>
  <si>
    <t>INE062A16549</t>
  </si>
  <si>
    <t>State Bank of India - 27/12/2024**</t>
  </si>
  <si>
    <t>INE476A16ZD3</t>
  </si>
  <si>
    <t>Canara Bank - 09/12/2024**</t>
  </si>
  <si>
    <t>INE556F16AM5</t>
  </si>
  <si>
    <t>Small Industries Development Bank of India - 11/12/2024**</t>
  </si>
  <si>
    <t>INE692A16HV5</t>
  </si>
  <si>
    <t>Union Bank of India - 11/12/2024**</t>
  </si>
  <si>
    <t>INE160A16PY0</t>
  </si>
  <si>
    <t>Punjab National Bank - 23/12/2024**</t>
  </si>
  <si>
    <t>INE457A16LZ6</t>
  </si>
  <si>
    <t>Bank of Maharashtra - 24/12/2024**</t>
  </si>
  <si>
    <t>INE238AD6629</t>
  </si>
  <si>
    <t>Axis Bank Ltd - 10/01/2025**</t>
  </si>
  <si>
    <t>INE476A16XI7</t>
  </si>
  <si>
    <t>INE092T16XJ0</t>
  </si>
  <si>
    <t>INE476A16YV8</t>
  </si>
  <si>
    <t>Canara Bank - 03/02/2025</t>
  </si>
  <si>
    <t>INE040A16EM3</t>
  </si>
  <si>
    <t>INE008A16X32</t>
  </si>
  <si>
    <t>INE028A16EU1</t>
  </si>
  <si>
    <t>INE084A16CP8</t>
  </si>
  <si>
    <t>Bank of India - 09/12/2024</t>
  </si>
  <si>
    <t>INE028A16GL5</t>
  </si>
  <si>
    <t>Bank of Baroda - 11/12/2024</t>
  </si>
  <si>
    <t>INE476A16ZF8</t>
  </si>
  <si>
    <t>Canara Bank - 12/12/2024**</t>
  </si>
  <si>
    <t>INE160A16PX2</t>
  </si>
  <si>
    <t>Punjab National Bank - 20/12/2024**</t>
  </si>
  <si>
    <t>INE160A16PP8</t>
  </si>
  <si>
    <t>Punjab National Bank - 21/11/2024</t>
  </si>
  <si>
    <t>INE171A16LN9</t>
  </si>
  <si>
    <t>The Federal Bank Ltd - 26/11/2024**</t>
  </si>
  <si>
    <t>INE562A16NI5</t>
  </si>
  <si>
    <t>Indian Bank - 05/12/2024**</t>
  </si>
  <si>
    <t>INE090AD6105</t>
  </si>
  <si>
    <t>ICICI Bank Ltd - 06/12/2024**</t>
  </si>
  <si>
    <t>INE692A16HU7</t>
  </si>
  <si>
    <t>INE01GA16210</t>
  </si>
  <si>
    <t>DBS BANK LTD - 12/12/2024**</t>
  </si>
  <si>
    <t>INE476A16YQ8</t>
  </si>
  <si>
    <t>Canara Bank - 13/12/2024**</t>
  </si>
  <si>
    <t>INE476A16YR6</t>
  </si>
  <si>
    <t>Canara Bank - 16/12/2024**</t>
  </si>
  <si>
    <t>INE238AD6926</t>
  </si>
  <si>
    <t>Axis Bank Ltd - 24/12/2024**</t>
  </si>
  <si>
    <t>INE476A16ZJ0</t>
  </si>
  <si>
    <t>Canara Bank - 26/12/2024**</t>
  </si>
  <si>
    <t>INE040A16EJ9</t>
  </si>
  <si>
    <t>HDFC Bank Ltd - 27/12/2024**</t>
  </si>
  <si>
    <t>INE556F16AO1</t>
  </si>
  <si>
    <t>Small Industries Development Bank of India - 10/01/2025**</t>
  </si>
  <si>
    <t>INE028A16GT8</t>
  </si>
  <si>
    <t>INE562A16NL9</t>
  </si>
  <si>
    <t>INE160A16QI1</t>
  </si>
  <si>
    <t>INE476A16YX4</t>
  </si>
  <si>
    <t>INE237A165X0</t>
  </si>
  <si>
    <t>Kotak Mahindra Bank Ltd - 20/12/2024**</t>
  </si>
  <si>
    <t>INE238AD6603</t>
  </si>
  <si>
    <t>Axis Bank Ltd - 26/12/2024**</t>
  </si>
  <si>
    <t>INE261F16769</t>
  </si>
  <si>
    <t>INE556F14KO5</t>
  </si>
  <si>
    <t>Small Industries Development Bank of India - 13/12/2024**</t>
  </si>
  <si>
    <t>INE417C14645</t>
  </si>
  <si>
    <t>INE763G14WD3</t>
  </si>
  <si>
    <t>INE289B14JC9</t>
  </si>
  <si>
    <t>GIC Housing Finance Ltd - 22/11/2024**</t>
  </si>
  <si>
    <t>INE081A14FD8</t>
  </si>
  <si>
    <t>Tata Steel Ltd - 09/12/2024**</t>
  </si>
  <si>
    <t>INE607M14BL7</t>
  </si>
  <si>
    <t>Tata Power Renewable Energy Ltd - 12/12/2024**</t>
  </si>
  <si>
    <t>INE338I14IJ6</t>
  </si>
  <si>
    <t>Motilal Oswal Financial Services Ltd - 11/12/2024**</t>
  </si>
  <si>
    <t>INE721A14DY0</t>
  </si>
  <si>
    <t>Shriram Finance Ltd - 12/12/2024**</t>
  </si>
  <si>
    <t>INE0DZE14115</t>
  </si>
  <si>
    <t>Kisetsu Saison Finance - 12/12/2024**</t>
  </si>
  <si>
    <t>INE115A14EQ9</t>
  </si>
  <si>
    <t>LIC Housing Finance Ltd - 17/12/2024**</t>
  </si>
  <si>
    <t>INE860H144B8</t>
  </si>
  <si>
    <t>Aditya Birla Finance Ltd - 24/12/2024**</t>
  </si>
  <si>
    <t>INE09OL14FX2</t>
  </si>
  <si>
    <t>Birla Group Holdings Pvt Ltd - 27/12/2024**</t>
  </si>
  <si>
    <t>INE514E14RY1</t>
  </si>
  <si>
    <t>INE071G14FV8</t>
  </si>
  <si>
    <t>ICICI Home Finance Company Ltd - 19/11/2024**</t>
  </si>
  <si>
    <t>INE824H14PZ8</t>
  </si>
  <si>
    <t>Julius Baer Capital (India) Private Ltd - 27/11/2024**</t>
  </si>
  <si>
    <t>INE763G14VR5</t>
  </si>
  <si>
    <t>ICICI Securities Ltd - 03/12/2024**</t>
  </si>
  <si>
    <t>INE233A14S61</t>
  </si>
  <si>
    <t>Godrej Industries Ltd - 13/12/2024**</t>
  </si>
  <si>
    <t>INE824H14QJ0</t>
  </si>
  <si>
    <t>Julius Baer Capital (India) Private Ltd - 30/12/2024**</t>
  </si>
  <si>
    <t>INE121A14WX5</t>
  </si>
  <si>
    <t>INE572E14JJ7</t>
  </si>
  <si>
    <t>PNB Housing Finance Ltd - 26/11/2024**</t>
  </si>
  <si>
    <t>INE018A14LB2</t>
  </si>
  <si>
    <t>Larsen &amp; Toubro Ltd - 27/11/2024**</t>
  </si>
  <si>
    <t>INE233A14R62</t>
  </si>
  <si>
    <t>Godrej Industries Ltd - 27/11/2024**</t>
  </si>
  <si>
    <t>INE865C14MA2</t>
  </si>
  <si>
    <t>Aditya Birla Money Ltd - 29/11/2024**</t>
  </si>
  <si>
    <t>INE007N14DW1</t>
  </si>
  <si>
    <t>Fedbank Financial Services Ltd - 02/12/2024**</t>
  </si>
  <si>
    <t>INE850D14SH4</t>
  </si>
  <si>
    <t>Godrej Agrovet Ltd - 06/12/2024**</t>
  </si>
  <si>
    <t>INE146O14CN6</t>
  </si>
  <si>
    <t>Hinduja Leyland Finance Ltd - 06/12/2024**</t>
  </si>
  <si>
    <t>INE870H14TO7</t>
  </si>
  <si>
    <t>Network18 Media &amp; Investments Ltd - 13/12/2024**</t>
  </si>
  <si>
    <t>INE338I14IQ1</t>
  </si>
  <si>
    <t>INE929O14CS4</t>
  </si>
  <si>
    <t>INE700G14MD6</t>
  </si>
  <si>
    <t>INE498L14CV0</t>
  </si>
  <si>
    <t>INE824H14PY1</t>
  </si>
  <si>
    <t>Julius Baer Capital (India) Private Ltd - 22/11/2024**</t>
  </si>
  <si>
    <t>INE514E14SC5</t>
  </si>
  <si>
    <t>Export Import Bank of India - 28/11/2024**</t>
  </si>
  <si>
    <t>INE865C14MH7</t>
  </si>
  <si>
    <t>Aditya Birla Money Ltd - 26/12/2024**</t>
  </si>
  <si>
    <t>INE692Q14BH8</t>
  </si>
  <si>
    <t>INE865C14MJ3</t>
  </si>
  <si>
    <t>IN002024X227</t>
  </si>
  <si>
    <t>91 Days - T Bill - 21/11/2024</t>
  </si>
  <si>
    <t>IN002023Z455</t>
  </si>
  <si>
    <t>364 Days - T Bill - 23/01/2025</t>
  </si>
  <si>
    <t>IN002024Y118</t>
  </si>
  <si>
    <t>182 Days - T Bill - 12/12/2024</t>
  </si>
  <si>
    <t>IN002024X235</t>
  </si>
  <si>
    <t>91 Days - T Bill - 28/11/2024</t>
  </si>
  <si>
    <t>IN002023Z372</t>
  </si>
  <si>
    <t>364 Days - T Bill - 28/11/2024</t>
  </si>
  <si>
    <t>IN002023Z414</t>
  </si>
  <si>
    <t>364 Days - T Bill - 26/12/2024</t>
  </si>
  <si>
    <t>IN002023Z422</t>
  </si>
  <si>
    <t>364 Days -T Bill- 02/01/2025</t>
  </si>
  <si>
    <t>IN002024X276</t>
  </si>
  <si>
    <t>91 Days - T Bill - 09/01/2025</t>
  </si>
  <si>
    <t>IN002024X300</t>
  </si>
  <si>
    <t>91 Days - T Bill - 30/01/2025</t>
  </si>
  <si>
    <t>IN002023Z471</t>
  </si>
  <si>
    <t>364 Days- T Bill-06/02/2025</t>
  </si>
  <si>
    <t>IN002024Y100</t>
  </si>
  <si>
    <t>182 Days - T Bill - 05/12/2024</t>
  </si>
  <si>
    <t>IN002023Z430</t>
  </si>
  <si>
    <t>364 Days -T Bill- 09/01/2025</t>
  </si>
  <si>
    <t>Sundaram Short Duration Fund</t>
  </si>
  <si>
    <t>INE134E08MJ2</t>
  </si>
  <si>
    <t>Power Finance Corporation Ltd - 7.77% - 15/04/2028**</t>
  </si>
  <si>
    <t>INE261F08EF5</t>
  </si>
  <si>
    <t>National Bank for Agriculture &amp; Rural Development - 7.8% - 15/03/2027**</t>
  </si>
  <si>
    <t>INE121A07RZ4</t>
  </si>
  <si>
    <t>Cholamandalam Investment and Finance Co Ltd - 8.54% - 12/04/2029**</t>
  </si>
  <si>
    <t>INE020B08EI8</t>
  </si>
  <si>
    <t>REC LTD - 7.51% - 31/07/2026**</t>
  </si>
  <si>
    <t>INE134E08LP1</t>
  </si>
  <si>
    <t>Power Finance Corporation Ltd - 7.13% - 15/07/2026</t>
  </si>
  <si>
    <t>INE115A07PI6</t>
  </si>
  <si>
    <t>LIC Housing Finance Ltd - 6.17% - 03/09/2026**</t>
  </si>
  <si>
    <t>IN3120230484</t>
  </si>
  <si>
    <t>7.44% Tamil Nadu State Government Securities -20/03/2034</t>
  </si>
  <si>
    <t>IN0020210160</t>
  </si>
  <si>
    <t>Sundaram Ultra Short Duration Fund</t>
  </si>
  <si>
    <t>INE081A08231</t>
  </si>
  <si>
    <t>Tata Steel Ltd - 7.7% - 13/03/2025</t>
  </si>
  <si>
    <t>INE115A07PQ9</t>
  </si>
  <si>
    <t>LIC Housing Finance Ltd - 5.9943% - 12/03/2025**</t>
  </si>
  <si>
    <t>INE572E07134</t>
  </si>
  <si>
    <t>PNB Housing Finance Ltd - 8.43% - 14/03/2025**</t>
  </si>
  <si>
    <t>INE121A07RB5</t>
  </si>
  <si>
    <t>Cholamandalam Investment and Finance Co Ltd - 8.25% - 04/03/2025**</t>
  </si>
  <si>
    <t>INE756I07EI4</t>
  </si>
  <si>
    <t>HDB Financial Services Ltd - 7.5% - 23/09/2025**</t>
  </si>
  <si>
    <t>INE261F08DK7</t>
  </si>
  <si>
    <t>National Bank for Agriculture &amp; Rural Development - 5.7% - 31/07/2025**</t>
  </si>
  <si>
    <t>INE237A164X3</t>
  </si>
  <si>
    <t>Kotak Mahindra Bank Ltd - 13/12/2024**</t>
  </si>
  <si>
    <t>INE238AD6819</t>
  </si>
  <si>
    <t>Axis Bank Ltd - 27/02/2025**</t>
  </si>
  <si>
    <t>INE238AD6942</t>
  </si>
  <si>
    <t>Axis Bank Ltd - 10/10/2025**</t>
  </si>
  <si>
    <t>INE028A16FO1</t>
  </si>
  <si>
    <t>Bank of Baroda - 25/11/2024**</t>
  </si>
  <si>
    <t>INE171A16LK5</t>
  </si>
  <si>
    <t>The Federal Bank Ltd - 29/11/2024**</t>
  </si>
  <si>
    <t>INE237A160W3</t>
  </si>
  <si>
    <t>Kotak Mahindra Bank Ltd - 05/02/2025**</t>
  </si>
  <si>
    <t>INE556F16AQ6</t>
  </si>
  <si>
    <t>Small Industries Development Bank of India - 07/02/2025</t>
  </si>
  <si>
    <t>INE160A16OL0</t>
  </si>
  <si>
    <t>Punjab National Bank - 07/02/2025**</t>
  </si>
  <si>
    <t>INE028A16FL7</t>
  </si>
  <si>
    <t>Bank of Baroda - 10/03/2025**</t>
  </si>
  <si>
    <t>INE476A16XV0</t>
  </si>
  <si>
    <t>Canara Bank - 11/03/2025**</t>
  </si>
  <si>
    <t>INE238AD6884</t>
  </si>
  <si>
    <t>Axis Bank Ltd - 22/08/2025**</t>
  </si>
  <si>
    <t>INE095A16X10</t>
  </si>
  <si>
    <t>IndusInd Bank Ltd - 19/08/2025**</t>
  </si>
  <si>
    <t>INE556F14KG1</t>
  </si>
  <si>
    <t>Small Industries Development Bank of India - 28/02/2025**</t>
  </si>
  <si>
    <t>INE414G14TC1</t>
  </si>
  <si>
    <t>Muthoot Finance Ltd - 25/02/2025**</t>
  </si>
  <si>
    <t>INE477S14CC9</t>
  </si>
  <si>
    <t>Tata Motors Finance Ltd - 11/03/2025**</t>
  </si>
  <si>
    <t>INE144H14GZ0</t>
  </si>
  <si>
    <t>Deutsche Investments India Private Ltd - 09/12/2024**</t>
  </si>
  <si>
    <t>INE790I14EV2</t>
  </si>
  <si>
    <t>HSBC InvestDirect Financial Services India Limited - 24/12/2024**</t>
  </si>
  <si>
    <t>INE115A14EV9</t>
  </si>
  <si>
    <t>LIC Housing Finance Ltd - 04/03/2025**</t>
  </si>
  <si>
    <t>INE417C14710</t>
  </si>
  <si>
    <t>Pilani Investment and Industries Corporation Ltd. - 21/03/2025**</t>
  </si>
  <si>
    <t>INE763G14TX7</t>
  </si>
  <si>
    <t>IN002024Y233</t>
  </si>
  <si>
    <t>182 Days - T Bill - 06/03/2025</t>
  </si>
  <si>
    <t>Sundaram Medium Duration Fund</t>
  </si>
  <si>
    <t>IN0020210186</t>
  </si>
  <si>
    <t>5.74% Central Government Securities 15/11/2026</t>
  </si>
  <si>
    <t>Institutional Plan - Growth</t>
  </si>
  <si>
    <t>Sundaram Conservative Hybrid Fund</t>
  </si>
  <si>
    <t>INE040A01034</t>
  </si>
  <si>
    <t>HDFC Bank Ltd</t>
  </si>
  <si>
    <t>Banks</t>
  </si>
  <si>
    <t>INE090A01021</t>
  </si>
  <si>
    <t>ICICI Bank Ltd</t>
  </si>
  <si>
    <t>INE397D01024</t>
  </si>
  <si>
    <t>Bharti Airtel Ltd</t>
  </si>
  <si>
    <t>Telecom - Services</t>
  </si>
  <si>
    <t>INE002A01018</t>
  </si>
  <si>
    <t>Reliance Industries Ltd</t>
  </si>
  <si>
    <t>Petroleum Products</t>
  </si>
  <si>
    <t>INE860A01027</t>
  </si>
  <si>
    <t>HCL Technologies Ltd</t>
  </si>
  <si>
    <t>It - Software</t>
  </si>
  <si>
    <t>INE009A01021</t>
  </si>
  <si>
    <t>Infosys Ltd</t>
  </si>
  <si>
    <t>INE238A01034</t>
  </si>
  <si>
    <t>Axis Bank Ltd</t>
  </si>
  <si>
    <t>INE018A01030</t>
  </si>
  <si>
    <t>Larsen &amp; Toubro Ltd</t>
  </si>
  <si>
    <t>Construction</t>
  </si>
  <si>
    <t>INE062A01020</t>
  </si>
  <si>
    <t>State Bank of India</t>
  </si>
  <si>
    <t>INE154A01025</t>
  </si>
  <si>
    <t>ITC Ltd</t>
  </si>
  <si>
    <t>Diversified Fmcg</t>
  </si>
  <si>
    <t>INE044A01036</t>
  </si>
  <si>
    <t>Sun Pharmaceutical Industries Ltd</t>
  </si>
  <si>
    <t>Pharmaceuticals &amp; Biotechnology</t>
  </si>
  <si>
    <t>INE917I01010</t>
  </si>
  <si>
    <t>Bajaj Auto Ltd</t>
  </si>
  <si>
    <t>Automobiles</t>
  </si>
  <si>
    <t>INE029A01011</t>
  </si>
  <si>
    <t>Bharat Petroleum Corporation Ltd</t>
  </si>
  <si>
    <t>INE200M01039</t>
  </si>
  <si>
    <t>Varun Beverages Ltd</t>
  </si>
  <si>
    <t>Beverages</t>
  </si>
  <si>
    <t>INE726G01019</t>
  </si>
  <si>
    <t>ICICI Prudential Life Insurance Company Ltd</t>
  </si>
  <si>
    <t>Insurance</t>
  </si>
  <si>
    <t>INE540L01014</t>
  </si>
  <si>
    <t>Alkem Laboratories Ltd</t>
  </si>
  <si>
    <t>INE603J01030</t>
  </si>
  <si>
    <t>PI Industries Ltd</t>
  </si>
  <si>
    <t>Fertilizers &amp; Agrochemicals</t>
  </si>
  <si>
    <t>INE481G01011</t>
  </si>
  <si>
    <t>Ultratech Cement Ltd</t>
  </si>
  <si>
    <t>Cement &amp; Cement Products</t>
  </si>
  <si>
    <t>INE854D01024</t>
  </si>
  <si>
    <t>United Spirits Ltd</t>
  </si>
  <si>
    <t>INE797F01020</t>
  </si>
  <si>
    <t>Jubilant Foodworks Ltd</t>
  </si>
  <si>
    <t>Leisure Services</t>
  </si>
  <si>
    <t>INE196A01026</t>
  </si>
  <si>
    <t>Marico Ltd</t>
  </si>
  <si>
    <t>Agricultural Food &amp; Other Products</t>
  </si>
  <si>
    <t>INE047A01021</t>
  </si>
  <si>
    <t>Grasim Industries Ltd</t>
  </si>
  <si>
    <t>INE585B01010</t>
  </si>
  <si>
    <t>Maruti Suzuki India Ltd</t>
  </si>
  <si>
    <t>INE028A01039</t>
  </si>
  <si>
    <t>Bank of Baroda</t>
  </si>
  <si>
    <t>INE438A01022</t>
  </si>
  <si>
    <t>Apollo Tyres Ltd</t>
  </si>
  <si>
    <t>Auto Components</t>
  </si>
  <si>
    <t>IN9397D01014</t>
  </si>
  <si>
    <t>Sundaram Overnight Fund</t>
  </si>
  <si>
    <t>Reverse Repo</t>
  </si>
  <si>
    <t>Index</t>
  </si>
  <si>
    <t>Scheme Riskometer</t>
  </si>
  <si>
    <t>YTM (%)*</t>
  </si>
  <si>
    <t>S. No.</t>
  </si>
  <si>
    <t>ACRONYM</t>
  </si>
  <si>
    <t>SCHEME NAME</t>
  </si>
  <si>
    <t>SFRLTP</t>
  </si>
  <si>
    <t>Sundaram Corporate Bond Fund</t>
  </si>
  <si>
    <t>SFRSTP</t>
  </si>
  <si>
    <t>SMMF</t>
  </si>
  <si>
    <t>SPLDF</t>
  </si>
  <si>
    <t>SPMON</t>
  </si>
  <si>
    <t>SPSDF</t>
  </si>
  <si>
    <t>SPUSDF</t>
  </si>
  <si>
    <t>SUNBDS</t>
  </si>
  <si>
    <t>SUNMIA</t>
  </si>
  <si>
    <t>SUNONF</t>
  </si>
  <si>
    <t>Fortnightly Portfolio Statement as on 15 November 2024</t>
  </si>
  <si>
    <t>YTM (%)</t>
  </si>
  <si>
    <t>(b) Corporate Debt Market Development Fund</t>
  </si>
  <si>
    <t>**Non Traded Securities - Wherever applicable</t>
  </si>
  <si>
    <t>^ Net current assets includes interest accrued on fixed income securities - Wherever applicable</t>
  </si>
  <si>
    <t># percentage to NAV of security is less than 0.01% - Wherever applicable</t>
  </si>
  <si>
    <t>At the beginning</t>
  </si>
  <si>
    <t>g) Repo in corporate debt</t>
  </si>
  <si>
    <t>Portfolio Information</t>
  </si>
  <si>
    <t>Scheme Name :</t>
  </si>
  <si>
    <t>Description (if any)</t>
  </si>
  <si>
    <t>Annualised Portfolio YTM %* :</t>
  </si>
  <si>
    <t>Macaulay Duration (years)</t>
  </si>
  <si>
    <t>Average Maturity (years)</t>
  </si>
  <si>
    <t xml:space="preserve">As on (Date) </t>
  </si>
  <si>
    <t>* in case of semi annual YTM,  it will be annualised </t>
  </si>
  <si>
    <t>e) Bonus declared during the period (Rupees per unit)</t>
  </si>
  <si>
    <t>f) Total outstanding exposure in derivative instruments at the end of the period</t>
  </si>
  <si>
    <t>g) Total investments in foreign securities /ADR'S/GDR'S at the end of the period</t>
  </si>
  <si>
    <t>h) Repo in corporate debt</t>
  </si>
  <si>
    <t>Refer below point i)</t>
  </si>
  <si>
    <t>Average Maturity  (years)</t>
  </si>
  <si>
    <t xml:space="preserve">ISIN </t>
  </si>
  <si>
    <t>Name of The security</t>
  </si>
  <si>
    <t>VALUE OF THE SECURITY CONSIDERED UNDER NET RECEIVABLES</t>
  </si>
  <si>
    <t>% TO AUM</t>
  </si>
  <si>
    <t>Total Amount (Principal &amp; Interest)  (Rs. Lakh)</t>
  </si>
  <si>
    <t>INE121H14JU3</t>
  </si>
  <si>
    <t xml:space="preserve">IL&amp;FS Financial Services Ltd. 24SEP18 CP </t>
  </si>
  <si>
    <t>ISIN</t>
  </si>
  <si>
    <t>NAME OF THE SECURITY</t>
  </si>
  <si>
    <t>INE202B07IK1</t>
  </si>
  <si>
    <t xml:space="preserve">Dewan Housing Finance Corporation Ltd-9.10%-09/09/2019 </t>
  </si>
  <si>
    <t>INE202B07HQ0</t>
  </si>
  <si>
    <t>9.10%-Dewan Housing Finance Corporation Ltd-16/08/2019</t>
  </si>
  <si>
    <t>INE202B07IJ3</t>
  </si>
  <si>
    <t xml:space="preserve">9.05% Dewan Housing Finance Corporation Ltd-NCD-09/09/2019 </t>
  </si>
  <si>
    <t>TOTAL AMOUNT INCLUDING INTEREST DUE TO AND RECOVERED BY THE SCHEME</t>
  </si>
  <si>
    <t>TOTAL AMOUNT DUE</t>
  </si>
  <si>
    <t>Amount Recovered 30th Sep 2021 (Rs. In Lacs)</t>
  </si>
  <si>
    <t>Further amount received on 31-Aug-2024  (Rs. In Lacs)</t>
  </si>
  <si>
    <t xml:space="preserve">Total settlement till date  ( Rs . In Lacs ) </t>
  </si>
  <si>
    <t>PRINCIPAL (Rs. in Lacs)</t>
  </si>
  <si>
    <t>Interest Accrued till 3rd June 2019
(Rs. in Lacs)</t>
  </si>
  <si>
    <t>Interest not accrued due to category by rating agency as default till maturity (Rs. in Lacs)</t>
  </si>
  <si>
    <t>Total 
(Rs. in Lacs)</t>
  </si>
  <si>
    <t>For Further details please refer the below Links for Rationale</t>
  </si>
  <si>
    <t>https://www.sundarammutual.com/pdf2/2021/Rationale_for_Valuation/DHFL_Valuation_impact_22_Sep_2021.pdf</t>
  </si>
  <si>
    <t>https://www.sundarammutual.com/pdf2/2021/Rationale_for_Valuation/Update_on_DHFL_Recovery_30_sep_2021.pdf</t>
  </si>
  <si>
    <t>https://www.sundarammutual.com/pdf2/2024/Rationale_for_Valuation/Update_on_DHFL_Recovery_31_Aug_2024_V1.pdf</t>
  </si>
  <si>
    <t>Tier I Benchmark Riskometer - NIFTY Low Duration Debt Index A-I</t>
  </si>
  <si>
    <t>Tier II Benchmark Riskometer - NIFTY Low Duration Debt Index</t>
  </si>
  <si>
    <t>Net receivable/ Market value  (Rs. Lakh)</t>
  </si>
  <si>
    <t>% to NAV</t>
  </si>
  <si>
    <t>7.30% Central Government Securities_Floating Rate Bond - 04/10/2028 ~</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</si>
  <si>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</si>
  <si>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9.05% Dewan Housing Finance Corporation Ltd-NCD-09/09/2019</t>
  </si>
  <si>
    <t>Dewan Housing Finance Corporation Ltd-9.10%-09/09/2019</t>
  </si>
  <si>
    <t>INE202B07654</t>
  </si>
  <si>
    <t>11.55%_Prev 11.45%-Dewan Housing Finance Corp Ltd-12/09/2019  ##</t>
  </si>
  <si>
    <t>9.10%-Dewan Housing Finance Corporation Ltd-16/08/2019 ##</t>
  </si>
  <si>
    <t>Further amount received on  31-Aug-2024   (Rs. In Lacs)</t>
  </si>
  <si>
    <t>Total
(Rs. in Lacs)</t>
  </si>
  <si>
    <t>11.55% Prev 11.45%-Dewan Housing Finance Corp Ltd-12/09/2019  ##</t>
  </si>
  <si>
    <t>## Sundaram Short Term Credit Risk Fund has been merged with Sundaram Short Term Debt Fund on 29th Dec 2020. Hence, the above Securities defaulted prior to the merger date have been moved to the Target scheme. Further with effect from 31st Dec 2021, Sundaram Short Term Debt Fund got merged into Principal Short Term Debt Fund and renamed as Sundaram Short Duration Fund.</t>
  </si>
  <si>
    <t>Tier I Benchmark Riskometer - Nifty Short Duration Debt Index A-II</t>
  </si>
  <si>
    <t>Tier II Benchmark Riskometer - NIFTY Short Duration Debt Index</t>
  </si>
  <si>
    <t>Refer below point h)</t>
  </si>
  <si>
    <t>Total Amount(Principal &amp; Interest)  (Rs. Lakh)</t>
  </si>
  <si>
    <t>Regular Plan - Quarterly IDCW</t>
  </si>
  <si>
    <t>d) IDCW declared during the period (Rupees per unit)</t>
  </si>
  <si>
    <t>INE528G08394</t>
  </si>
  <si>
    <t>9%-YES BANK LTD-NCD-Call opt-18/10/2022-Perpetual Bond $</t>
  </si>
  <si>
    <t>TOTAL AMOUNT INCLUDING INTEREST DUE TO THE SCHEME</t>
  </si>
  <si>
    <t>Interest Accrued till 05 Mar 2020
(Rs. in Lacs)</t>
  </si>
  <si>
    <t>$ Yes Bank Limited Reconstruction Scheme 2020” was notified in the Official Gazette on March 13, 2020. Based on that, the Basel III Additional Tier I Bonds (ISIN - INE528G08394) were written down in the scheme along with the Interest accrued.</t>
  </si>
  <si>
    <t>INE0GGX23010</t>
  </si>
  <si>
    <t>Power Grid Infrastructure Investment Trust(InvIT)</t>
  </si>
  <si>
    <t>Power</t>
  </si>
  <si>
    <t>Bharti Airtel Ltd - Partly Paid Right Shares</t>
  </si>
  <si>
    <t>Macaulay Duration - only for Debt portion (years)</t>
  </si>
  <si>
    <t>Average Maturity  - only for Debt portion (years)</t>
  </si>
  <si>
    <t xml:space="preserve">11.55% Prev 11.45%-Dewan Housing Finance Corp Ltd-12/09/2019  </t>
  </si>
  <si>
    <t>Amount Recovered (Rs. In Lacs) 30th Sep 2021</t>
  </si>
  <si>
    <t>Further amount received on 31/08/2024  (Rs. In Lacs)</t>
  </si>
  <si>
    <t xml:space="preserve">11.55%_Prev 11.45%-Dewan Housing Finance Corp Ltd-12/09/2019  </t>
  </si>
  <si>
    <t>Benchmark Riskometer - CRISIL Hybrid 85 Plus 15 - Conservative Index</t>
  </si>
  <si>
    <t>Unclaimed Plan - IDCW beyond three years</t>
  </si>
  <si>
    <t>Unclaimed Plan - IDCW upto three years</t>
  </si>
  <si>
    <t>Unclaimed Plan - Redemption upto three years</t>
  </si>
  <si>
    <t>Unclaimed Plan - Redemption beyond three years</t>
  </si>
  <si>
    <t>Macaulay Duration (Days)</t>
  </si>
  <si>
    <t>Average Maturity (Days)</t>
  </si>
  <si>
    <t>Tier I Benchmark Riskometer - NIFTY 1D Rate Index</t>
  </si>
  <si>
    <t>Tier II Benchmark Riskometer - NIFTY 1D Rate Index</t>
  </si>
  <si>
    <t>Direct Plan - Monthly IDCW</t>
  </si>
  <si>
    <t>Direct Plan - Quarterly IDCW</t>
  </si>
  <si>
    <t>Direct Plan - Halfyearly IDCW</t>
  </si>
  <si>
    <t>Direct Plan - Annual IDCW</t>
  </si>
  <si>
    <t>Regular Plan - Monthly IDCW</t>
  </si>
  <si>
    <t>Regular Plan - Halfyearly IDCW</t>
  </si>
  <si>
    <t>Regular Plan - Annual IDCW</t>
  </si>
  <si>
    <t>15-Nov-2024</t>
  </si>
  <si>
    <t>i) Exposure to securities classified as below investment grade or default as on 15-Nov-2024:-</t>
  </si>
  <si>
    <t>h) Exposure to securities classified as below investment grade or default as on 15-Nov-2024:-</t>
  </si>
  <si>
    <t>% to AUM as on  15-Nov-2024</t>
  </si>
  <si>
    <t>Tier I Benchmark Riskometer - NIFTY Corporate Bond Index A-II</t>
  </si>
  <si>
    <t>Tier II Benchmark Riskometer - NIFTY AAA Short Duration Bond Index</t>
  </si>
  <si>
    <t>Tier I Benchmark Riskometer - NIFTY Banking and PSU Debt Index A-II</t>
  </si>
  <si>
    <t>Tier I Benchmark Riskometer - NIFTY Money Market Index A-I</t>
  </si>
  <si>
    <t>Tier II Benchmark Riskometer - NIFTY Money Market Index</t>
  </si>
  <si>
    <t>Tier I Benchmark Riskometer - NIFTY Liquid Index A-I</t>
  </si>
  <si>
    <t>Tier II Benchmark Riskometer - NIFTY Liquid Index</t>
  </si>
  <si>
    <t>Tier I Benchmark Riskometer - NIFTY Medium Duration Debt Index A-III</t>
  </si>
  <si>
    <t>Tier II Benchmark Riskometer - NIFTY Medium Duration Debt Index</t>
  </si>
  <si>
    <t>Small Industries Development Bank of India - 27/02/2025**</t>
  </si>
  <si>
    <t>Bank of India - 03/03/2025**</t>
  </si>
  <si>
    <t>National Bank for Agriculture &amp; Rural Development - 12/03/2025**</t>
  </si>
  <si>
    <t>ICICI Bank Ltd - 17/03/2025**</t>
  </si>
  <si>
    <t>Bank of Baroda - 15/05/2025**</t>
  </si>
  <si>
    <t>AU Small Finance Bank Ltd - 28/10/2025**</t>
  </si>
  <si>
    <t>IDFC First Bank Ltd - 28/05/2025**</t>
  </si>
  <si>
    <t>Motilal Oswal Financial Services Ltd - 29/01/2025**</t>
  </si>
  <si>
    <t>Cholamandalam Investment and Finance Co Ltd - 10/02/2025**</t>
  </si>
  <si>
    <t>LIC Housing Finance Ltd - 6.4% - 24/01/2025**</t>
  </si>
  <si>
    <t>PNB Housing Finance Ltd - 8.53% - 29/12/2024**</t>
  </si>
  <si>
    <t>HDFC Bank Ltd - 8.4% - 23/01/2025**</t>
  </si>
  <si>
    <t>National Bank for Agriculture &amp; Rural Development - 5.23% - 31/01/2025**</t>
  </si>
  <si>
    <t>Canara Bank - 16/01/2025**</t>
  </si>
  <si>
    <t>IDFC First Bank Ltd - 17/01/2025**</t>
  </si>
  <si>
    <t>HDFC Bank Ltd - 03/02/2025**</t>
  </si>
  <si>
    <t>IDBI Bank Ltd - 04/02/2025**</t>
  </si>
  <si>
    <t>Bank of Baroda - 07/02/2025**</t>
  </si>
  <si>
    <t>Union Bank of India - 10/12/2024**</t>
  </si>
  <si>
    <t>Bank of Baroda - 04/02/2025**</t>
  </si>
  <si>
    <t>Indian Bank - 05/02/2025**</t>
  </si>
  <si>
    <t>Punjab National Bank - 11/02/2025**</t>
  </si>
  <si>
    <t>Canara Bank - 26/11/2024**</t>
  </si>
  <si>
    <t>National Bank for Agriculture &amp; Rural Development - 17/01/2025**</t>
  </si>
  <si>
    <t>Pilani Investment and Industries Corporation Ltd. - 14/01/2025**</t>
  </si>
  <si>
    <t>ICICI Securities Ltd - 11/02/2025**</t>
  </si>
  <si>
    <t>Export Import Bank of India - 24/01/2025**</t>
  </si>
  <si>
    <t>Cholamandalam Investment and Finance Co Ltd - 29/01/2025**</t>
  </si>
  <si>
    <t>Motilal Oswal Financial Services Ltd - 04/02/2025**</t>
  </si>
  <si>
    <t>Reliance Retail Ventures Ltd - 11/02/2025**</t>
  </si>
  <si>
    <t>HDFC Securities Ltd - 12/02/2025**</t>
  </si>
  <si>
    <t>L &amp; T Finance Ltd - 13/02/2025**</t>
  </si>
  <si>
    <t>TOYOTA FINANCIAL SERVICES - 27/01/2025**</t>
  </si>
  <si>
    <t>Aditya Birla Money Ltd - 05/02/2025**</t>
  </si>
  <si>
    <t>ICICI Securities Ltd - 10/03/2025**</t>
  </si>
  <si>
    <t xml:space="preserve">                 Scheme Riskometer</t>
  </si>
  <si>
    <t>Tier I Benchmark Riskometer - NIFTY Ultra Short Duration Debt Index A-I</t>
  </si>
  <si>
    <t>Tier II Benchmark Riskometer - NIFTY Ultra Short Duration Debt Index</t>
  </si>
  <si>
    <t>++ Aggregate Investments by Other schemes of Sundaram Mutual Fund - Rs.6,678.43 Lakhs</t>
  </si>
  <si>
    <t>++ Aggregate Investments by Other schemes of Sundaram Mutual Fund - Rs. 10044.49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</si>
</sst>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_ * #,##0.00_ ;_ * \-#,##0.00_ ;_ * &quot;-&quot;??_ ;_ @_ "/>
    <numFmt numFmtId="165" formatCode="[$-1014009]###0.00%;\(###0.00%\)"/>
    <numFmt numFmtId="166" formatCode="[$-1014009]###0.00;\(###0.00\)"/>
    <numFmt numFmtId="167" formatCode="[$-1014009]General"/>
    <numFmt numFmtId="168" formatCode="[$-1014009]###0;\(###0\)"/>
    <numFmt numFmtId="169" formatCode="[$-1014009]###0.0000;\(###0.0000\)"/>
    <numFmt numFmtId="170" formatCode="[$-1014009]#,##0.00\ %;\(#,##0.00\)"/>
    <numFmt numFmtId="171" formatCode="[$-1014009]#.0000"/>
    <numFmt numFmtId="172" formatCode="[$-1014009]#,##0.000000;\-#,##0.000000"/>
    <numFmt numFmtId="173" formatCode="[$-1014009]#,##0.00;\(#,##0.00\)"/>
    <numFmt numFmtId="174" formatCode="dd\-mmm\-yyyy"/>
    <numFmt numFmtId="175" formatCode="[$-1014009]#,##0;\(#,##0\)"/>
  </numFmts>
  <fonts count="33" x14ac:knownFonts="1">
    <font>
      <sz val="10"/>
      <name val="Arial"/>
      <charset val="1"/>
    </font>
    <font>
      <sz val="11"/>
      <color theme="1"/>
      <name val="Aptos Narrow"/>
      <family val="2"/>
      <scheme val="minor"/>
    </font>
    <font>
      <sz val="10"/>
      <name val="Arial"/>
      <charset val="1"/>
    </font>
    <font>
      <sz val="10"/>
      <color indexed="8"/>
      <name val="Calibri"/>
      <charset val="1"/>
    </font>
    <font>
      <b/>
      <sz val="10"/>
      <color indexed="8"/>
      <name val="Calibri"/>
      <charset val="1"/>
    </font>
    <font>
      <b/>
      <i/>
      <sz val="10"/>
      <color indexed="8"/>
      <name val="Calibri"/>
      <charset val="1"/>
    </font>
    <font>
      <b/>
      <sz val="9"/>
      <color indexed="8"/>
      <name val="Calibri"/>
      <charset val="1"/>
    </font>
    <font>
      <b/>
      <sz val="11"/>
      <color theme="1"/>
      <name val="Aptos Narrow"/>
      <family val="2"/>
      <scheme val="minor"/>
    </font>
    <font>
      <b/>
      <sz val="11"/>
      <color indexed="8"/>
      <name val="Calibri"/>
      <family val="2"/>
    </font>
    <font>
      <u/>
      <sz val="10"/>
      <color theme="10"/>
      <name val="Arial"/>
      <family val="2"/>
    </font>
    <font>
      <u/>
      <sz val="11"/>
      <color rgb="FF002060"/>
      <name val="Aptos Narrow"/>
      <family val="2"/>
      <scheme val="minor"/>
    </font>
    <font>
      <sz val="10"/>
      <name val="Arial"/>
      <family val="2"/>
    </font>
    <font>
      <b/>
      <sz val="11"/>
      <name val="Aptos Narrow"/>
      <family val="2"/>
      <scheme val="minor"/>
    </font>
    <font>
      <b/>
      <sz val="10"/>
      <name val="Arial"/>
      <family val="2"/>
    </font>
    <font>
      <b/>
      <sz val="11"/>
      <color theme="0"/>
      <name val="Aptos Narrow"/>
      <family val="2"/>
      <scheme val="minor"/>
    </font>
    <font>
      <sz val="11"/>
      <color theme="0"/>
      <name val="Aptos Narrow"/>
      <family val="2"/>
      <scheme val="minor"/>
    </font>
    <font>
      <b/>
      <sz val="11"/>
      <color theme="1"/>
      <name val="Calibri"/>
      <family val="2"/>
    </font>
    <font>
      <b/>
      <sz val="11"/>
      <name val="Calibri"/>
      <family val="2"/>
    </font>
    <font>
      <sz val="11"/>
      <color theme="1"/>
      <name val="Calibri"/>
      <family val="2"/>
    </font>
    <font>
      <u/>
      <sz val="11"/>
      <color theme="10"/>
      <name val="Calibri"/>
      <family val="2"/>
    </font>
    <font>
      <sz val="11"/>
      <name val="Calibri"/>
      <family val="2"/>
    </font>
    <font>
      <sz val="10"/>
      <color indexed="8"/>
      <name val="Calibri"/>
      <family val="2"/>
    </font>
    <font>
      <b/>
      <i/>
      <sz val="10"/>
      <color indexed="8"/>
      <name val="Calibri"/>
      <family val="2"/>
    </font>
    <font>
      <b/>
      <sz val="10"/>
      <color indexed="8"/>
      <name val="Calibri"/>
      <family val="2"/>
    </font>
    <font>
      <sz val="10"/>
      <name val="Calibri"/>
      <family val="2"/>
    </font>
    <font>
      <b/>
      <sz val="10"/>
      <name val="Calibri"/>
      <family val="2"/>
    </font>
    <font>
      <b/>
      <sz val="10"/>
      <color theme="1"/>
      <name val="Calibri"/>
      <family val="2"/>
    </font>
    <font>
      <sz val="10"/>
      <color theme="1"/>
      <name val="Calibri"/>
      <family val="2"/>
    </font>
    <font>
      <b/>
      <sz val="10"/>
      <color theme="1"/>
      <name val="Aptos Narrow"/>
      <family val="2"/>
      <scheme val="minor"/>
    </font>
    <font>
      <sz val="10"/>
      <color theme="1"/>
      <name val="Aptos Narrow"/>
      <family val="2"/>
      <scheme val="minor"/>
    </font>
    <font>
      <sz val="11"/>
      <color indexed="8"/>
      <name val="Calibri"/>
      <family val="2"/>
    </font>
    <font>
      <b/>
      <sz val="10"/>
      <name val="Aptos Narrow"/>
      <family val="2"/>
      <scheme val="minor"/>
    </font>
    <font>
      <sz val="11"/>
      <name val="Aptos Narrow"/>
      <family val="2"/>
      <scheme val="minor"/>
    </font>
  </fonts>
  <fills count="2">
    <fill>
      <patternFill patternType="none"/>
    </fill>
    <fill>
      <patternFill patternType="gray125"/>
    </fill>
  </fills>
  <borders count="12">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8"/>
      </right>
      <top style="thin">
        <color indexed="64"/>
      </top>
      <bottom style="thin">
        <color indexed="64"/>
      </bottom>
      <diagonal/>
    </border>
  </borders>
  <cellStyleXfs count="10">
    <xf numFmtId="0" fontId="0" fillId="0" borderId="0">
      <alignment wrapText="1"/>
    </xf>
    <xf numFmtId="43" fontId="2" fillId="0" borderId="0" applyFont="0" applyFill="0" applyBorder="0" applyAlignment="0" applyProtection="0">
      <alignment wrapText="1"/>
    </xf>
    <xf numFmtId="0" fontId="9" fillId="0" borderId="0" applyNumberFormat="0" applyFill="0" applyBorder="0" applyAlignment="0" applyProtection="0">
      <alignment wrapText="1"/>
    </xf>
    <xf numFmtId="0" fontId="11" fillId="0" borderId="0">
      <alignment wrapText="1"/>
    </xf>
    <xf numFmtId="0" fontId="1" fillId="0" borderId="0"/>
    <xf numFmtId="0" fontId="1" fillId="0" borderId="0"/>
    <xf numFmtId="164" fontId="11" fillId="0" borderId="0" applyFont="0" applyFill="0" applyBorder="0" applyAlignment="0" applyProtection="0"/>
    <xf numFmtId="9" fontId="30" fillId="0" borderId="0" applyFont="0" applyFill="0" applyBorder="0" applyAlignment="0" applyProtection="0"/>
    <xf numFmtId="9" fontId="11" fillId="0" borderId="0" applyFont="0" applyFill="0" applyBorder="0" applyAlignment="0" applyProtection="0"/>
    <xf numFmtId="0" fontId="1" fillId="0" borderId="0"/>
  </cellStyleXfs>
  <cellXfs count="182">
    <xf numFmtId="0" fontId="0" fillId="0" borderId="0" xfId="0">
      <alignment wrapText="1"/>
    </xf>
    <xf numFmtId="0" fontId="10" fillId="0" borderId="0" xfId="2" applyFont="1" applyFill="1" applyBorder="1" applyAlignment="1">
      <alignment horizontal="center" vertical="center" wrapText="1"/>
    </xf>
    <xf numFmtId="0" fontId="0" fillId="0" borderId="0" xfId="0" applyAlignment="1">
      <alignment horizontal="center" vertical="center" wrapText="1"/>
    </xf>
    <xf numFmtId="0" fontId="16" fillId="0" borderId="7" xfId="4" applyFont="1" applyBorder="1" applyAlignment="1">
      <alignment horizontal="center"/>
    </xf>
    <xf numFmtId="0" fontId="17" fillId="0" borderId="7" xfId="4" applyFont="1" applyBorder="1" applyAlignment="1">
      <alignment horizontal="center" vertical="center"/>
    </xf>
    <xf numFmtId="0" fontId="18" fillId="0" borderId="0" xfId="5" applyFont="1"/>
    <xf numFmtId="0" fontId="18" fillId="0" borderId="7" xfId="4" applyFont="1" applyBorder="1" applyAlignment="1">
      <alignment horizontal="center"/>
    </xf>
    <xf numFmtId="0" fontId="19" fillId="0" borderId="7" xfId="2" applyFont="1" applyBorder="1" applyAlignment="1">
      <alignment vertical="center"/>
    </xf>
    <xf numFmtId="0" fontId="20" fillId="0" borderId="7" xfId="4" applyFont="1" applyBorder="1" applyAlignment="1">
      <alignment vertical="top"/>
    </xf>
    <xf numFmtId="0" fontId="11" fillId="0" borderId="0" xfId="3">
      <alignment wrapText="1"/>
    </xf>
    <xf numFmtId="0" fontId="24" fillId="0" borderId="0" xfId="0" applyFont="1">
      <alignment wrapText="1"/>
    </xf>
    <xf numFmtId="0" fontId="24" fillId="0" borderId="0" xfId="0" applyFont="1" applyAlignment="1">
      <alignment vertical="center" wrapText="1"/>
    </xf>
    <xf numFmtId="0" fontId="25" fillId="0" borderId="7" xfId="0" applyFont="1" applyBorder="1" applyAlignment="1">
      <alignment horizontal="center" vertical="center" wrapText="1"/>
    </xf>
    <xf numFmtId="0" fontId="24" fillId="0" borderId="7" xfId="0" applyFont="1" applyBorder="1" applyAlignment="1">
      <alignment vertical="center" wrapText="1"/>
    </xf>
    <xf numFmtId="0" fontId="24" fillId="0" borderId="7" xfId="0" applyFont="1" applyBorder="1" applyAlignment="1">
      <alignment horizontal="justify" vertical="center" wrapText="1"/>
    </xf>
    <xf numFmtId="0" fontId="0" fillId="0" borderId="0" xfId="0" applyAlignment="1">
      <alignment vertical="center" wrapText="1"/>
    </xf>
    <xf numFmtId="173" fontId="23" fillId="0" borderId="4" xfId="0" applyNumberFormat="1" applyFont="1" applyBorder="1" applyAlignment="1">
      <alignment horizontal="left" vertical="center" wrapText="1" readingOrder="1"/>
    </xf>
    <xf numFmtId="0" fontId="23" fillId="0" borderId="4" xfId="0" applyFont="1" applyBorder="1" applyAlignment="1">
      <alignment horizontal="left" vertical="center" wrapText="1" readingOrder="1"/>
    </xf>
    <xf numFmtId="0" fontId="21" fillId="0" borderId="0" xfId="0" applyFont="1" applyAlignment="1">
      <alignment horizontal="right" vertical="top" wrapText="1" readingOrder="1"/>
    </xf>
    <xf numFmtId="0" fontId="21" fillId="0" borderId="6" xfId="0" applyFont="1" applyBorder="1" applyAlignment="1">
      <alignment horizontal="right" vertical="top" wrapText="1" readingOrder="1"/>
    </xf>
    <xf numFmtId="0" fontId="0" fillId="0" borderId="0" xfId="0" applyAlignment="1">
      <alignment horizontal="center" vertical="top" readingOrder="1"/>
    </xf>
    <xf numFmtId="164" fontId="24" fillId="0" borderId="7" xfId="6" applyFont="1" applyFill="1" applyBorder="1" applyAlignment="1">
      <alignment vertical="center"/>
    </xf>
    <xf numFmtId="164" fontId="27" fillId="0" borderId="7" xfId="6" applyFont="1" applyFill="1" applyBorder="1" applyAlignment="1">
      <alignment vertical="center"/>
    </xf>
    <xf numFmtId="4" fontId="29" fillId="0" borderId="7" xfId="7" applyNumberFormat="1" applyFont="1" applyFill="1" applyBorder="1"/>
    <xf numFmtId="10" fontId="27" fillId="0" borderId="7" xfId="8" applyNumberFormat="1" applyFont="1" applyFill="1" applyBorder="1" applyAlignment="1">
      <alignment vertical="center"/>
    </xf>
    <xf numFmtId="4" fontId="29" fillId="0" borderId="0" xfId="7" applyNumberFormat="1" applyFont="1" applyFill="1" applyBorder="1"/>
    <xf numFmtId="0" fontId="12" fillId="0" borderId="0" xfId="3" applyFont="1" applyAlignment="1">
      <alignment horizontal="center" vertical="center" wrapText="1"/>
    </xf>
    <xf numFmtId="0" fontId="8" fillId="0" borderId="4" xfId="0" applyFont="1" applyBorder="1" applyAlignment="1">
      <alignment horizontal="center" vertical="center" wrapText="1" readingOrder="1"/>
    </xf>
    <xf numFmtId="43" fontId="8" fillId="0" borderId="7" xfId="1" applyFont="1" applyFill="1" applyBorder="1" applyAlignment="1">
      <alignment horizontal="center" vertical="center" wrapText="1" readingOrder="1"/>
    </xf>
    <xf numFmtId="0" fontId="3" fillId="0" borderId="4" xfId="0" applyFont="1" applyBorder="1" applyAlignment="1">
      <alignment horizontal="right" vertical="top" wrapText="1" readingOrder="1"/>
    </xf>
    <xf numFmtId="0" fontId="4" fillId="0" borderId="4" xfId="0" applyFont="1" applyBorder="1" applyAlignment="1">
      <alignment horizontal="left" vertical="center" wrapText="1" readingOrder="1"/>
    </xf>
    <xf numFmtId="166" fontId="21" fillId="0" borderId="7" xfId="0" applyNumberFormat="1" applyFont="1" applyBorder="1" applyAlignment="1">
      <alignment horizontal="right" vertical="center" wrapText="1" readingOrder="1"/>
    </xf>
    <xf numFmtId="0" fontId="4" fillId="0" borderId="4" xfId="0" applyFont="1" applyBorder="1" applyAlignment="1">
      <alignment horizontal="right" vertical="center" wrapText="1" readingOrder="1"/>
    </xf>
    <xf numFmtId="165" fontId="4" fillId="0" borderId="4" xfId="0" applyNumberFormat="1" applyFont="1" applyBorder="1" applyAlignment="1">
      <alignment horizontal="right" vertical="center" wrapText="1" readingOrder="1"/>
    </xf>
    <xf numFmtId="0" fontId="5" fillId="0" borderId="4" xfId="0" applyFont="1" applyBorder="1" applyAlignment="1">
      <alignment horizontal="left" vertical="center" wrapText="1" readingOrder="1"/>
    </xf>
    <xf numFmtId="0" fontId="5" fillId="0" borderId="4" xfId="0" applyFont="1" applyBorder="1" applyAlignment="1">
      <alignment horizontal="right" vertical="center" wrapText="1" readingOrder="1"/>
    </xf>
    <xf numFmtId="0" fontId="7" fillId="0" borderId="0" xfId="0" applyFont="1" applyAlignment="1">
      <alignment horizontal="center" vertical="center"/>
    </xf>
    <xf numFmtId="0" fontId="13" fillId="0" borderId="0" xfId="0" applyFont="1" applyAlignment="1">
      <alignment horizontal="center" vertical="center" wrapText="1"/>
    </xf>
    <xf numFmtId="166" fontId="4" fillId="0" borderId="4" xfId="0" applyNumberFormat="1" applyFont="1" applyBorder="1" applyAlignment="1">
      <alignment horizontal="right" vertical="center" wrapText="1" readingOrder="1"/>
    </xf>
    <xf numFmtId="167" fontId="3" fillId="0" borderId="4" xfId="0" applyNumberFormat="1" applyFont="1" applyBorder="1" applyAlignment="1">
      <alignment horizontal="right" vertical="center" wrapText="1" readingOrder="1"/>
    </xf>
    <xf numFmtId="0" fontId="3" fillId="0" borderId="4" xfId="0" applyFont="1" applyBorder="1" applyAlignment="1">
      <alignment horizontal="left" vertical="center" wrapText="1" readingOrder="1"/>
    </xf>
    <xf numFmtId="168" fontId="3" fillId="0" borderId="4" xfId="0" applyNumberFormat="1" applyFont="1" applyBorder="1" applyAlignment="1">
      <alignment horizontal="right" vertical="center" wrapText="1" readingOrder="1"/>
    </xf>
    <xf numFmtId="166" fontId="3" fillId="0" borderId="4" xfId="0" applyNumberFormat="1" applyFont="1" applyBorder="1" applyAlignment="1">
      <alignment horizontal="right" vertical="center" wrapText="1" readingOrder="1"/>
    </xf>
    <xf numFmtId="165" fontId="3" fillId="0" borderId="4" xfId="0" applyNumberFormat="1" applyFont="1" applyBorder="1" applyAlignment="1">
      <alignment horizontal="right" vertical="center" wrapText="1" readingOrder="1"/>
    </xf>
    <xf numFmtId="0" fontId="3" fillId="0" borderId="4" xfId="0" applyFont="1" applyBorder="1" applyAlignment="1">
      <alignment horizontal="right" vertical="center" wrapText="1" readingOrder="1"/>
    </xf>
    <xf numFmtId="0" fontId="21" fillId="0" borderId="4" xfId="0" applyFont="1" applyBorder="1" applyAlignment="1">
      <alignment horizontal="right" vertical="top" wrapText="1" readingOrder="1"/>
    </xf>
    <xf numFmtId="0" fontId="22" fillId="0" borderId="4" xfId="0" applyFont="1" applyBorder="1" applyAlignment="1">
      <alignment horizontal="left" vertical="center" wrapText="1" readingOrder="1"/>
    </xf>
    <xf numFmtId="0" fontId="22" fillId="0" borderId="4" xfId="0" applyFont="1" applyBorder="1" applyAlignment="1">
      <alignment horizontal="right" vertical="center" wrapText="1" readingOrder="1"/>
    </xf>
    <xf numFmtId="166" fontId="21" fillId="0" borderId="4" xfId="0" applyNumberFormat="1" applyFont="1" applyBorder="1" applyAlignment="1">
      <alignment horizontal="right" vertical="center" wrapText="1" readingOrder="1"/>
    </xf>
    <xf numFmtId="167" fontId="21" fillId="0" borderId="4" xfId="0" applyNumberFormat="1" applyFont="1" applyBorder="1" applyAlignment="1">
      <alignment horizontal="right" vertical="center" wrapText="1" readingOrder="1"/>
    </xf>
    <xf numFmtId="0" fontId="21" fillId="0" borderId="4" xfId="0" applyFont="1" applyBorder="1" applyAlignment="1">
      <alignment horizontal="left" vertical="center" wrapText="1" readingOrder="1"/>
    </xf>
    <xf numFmtId="169" fontId="21" fillId="0" borderId="4" xfId="0" applyNumberFormat="1" applyFont="1" applyBorder="1" applyAlignment="1">
      <alignment horizontal="right" vertical="center" wrapText="1" readingOrder="1"/>
    </xf>
    <xf numFmtId="165" fontId="21" fillId="0" borderId="4" xfId="0" applyNumberFormat="1" applyFont="1" applyBorder="1" applyAlignment="1">
      <alignment horizontal="right" vertical="center" wrapText="1" readingOrder="1"/>
    </xf>
    <xf numFmtId="166" fontId="23" fillId="0" borderId="4" xfId="0" applyNumberFormat="1" applyFont="1" applyBorder="1" applyAlignment="1">
      <alignment horizontal="right" vertical="center" wrapText="1" readingOrder="1"/>
    </xf>
    <xf numFmtId="165" fontId="23" fillId="0" borderId="4" xfId="0" applyNumberFormat="1" applyFont="1" applyBorder="1" applyAlignment="1">
      <alignment horizontal="right" vertical="center" wrapText="1" readingOrder="1"/>
    </xf>
    <xf numFmtId="170" fontId="4" fillId="0" borderId="4" xfId="0" applyNumberFormat="1" applyFont="1" applyBorder="1" applyAlignment="1">
      <alignment horizontal="right" vertical="center" wrapText="1" readingOrder="1"/>
    </xf>
    <xf numFmtId="0" fontId="5" fillId="0" borderId="5" xfId="0" applyFont="1" applyBorder="1" applyAlignment="1">
      <alignment horizontal="left" vertical="center" wrapText="1" readingOrder="1"/>
    </xf>
    <xf numFmtId="0" fontId="5" fillId="0" borderId="5" xfId="0" applyFont="1" applyBorder="1" applyAlignment="1">
      <alignment horizontal="right" vertical="center" wrapText="1" readingOrder="1"/>
    </xf>
    <xf numFmtId="0" fontId="22" fillId="0" borderId="0" xfId="0" applyFont="1" applyAlignment="1">
      <alignment horizontal="left" vertical="center" wrapText="1" readingOrder="1"/>
    </xf>
    <xf numFmtId="0" fontId="5" fillId="0" borderId="0" xfId="0" applyFont="1" applyAlignment="1">
      <alignment horizontal="left" vertical="center" wrapText="1" readingOrder="1"/>
    </xf>
    <xf numFmtId="0" fontId="5" fillId="0" borderId="0" xfId="0" applyFont="1" applyAlignment="1">
      <alignment horizontal="right" vertical="center" wrapText="1" readingOrder="1"/>
    </xf>
    <xf numFmtId="0" fontId="5" fillId="0" borderId="6" xfId="0" applyFont="1" applyBorder="1" applyAlignment="1">
      <alignment horizontal="right" vertical="center" wrapText="1" readingOrder="1"/>
    </xf>
    <xf numFmtId="0" fontId="23" fillId="0" borderId="4" xfId="0" applyFont="1" applyBorder="1" applyAlignment="1">
      <alignment horizontal="right" vertical="top" wrapText="1" readingOrder="1"/>
    </xf>
    <xf numFmtId="43" fontId="21" fillId="0" borderId="0" xfId="1" applyFont="1" applyFill="1" applyBorder="1" applyAlignment="1">
      <alignment horizontal="right" vertical="top" wrapText="1" readingOrder="1"/>
    </xf>
    <xf numFmtId="0" fontId="3" fillId="0" borderId="0" xfId="0" applyFont="1" applyAlignment="1">
      <alignment horizontal="right" vertical="top" wrapText="1" readingOrder="1"/>
    </xf>
    <xf numFmtId="0" fontId="4" fillId="0" borderId="4" xfId="0" applyFont="1" applyBorder="1" applyAlignment="1">
      <alignment horizontal="left" vertical="top" wrapText="1" readingOrder="1"/>
    </xf>
    <xf numFmtId="174" fontId="23" fillId="0" borderId="4" xfId="0" applyNumberFormat="1" applyFont="1" applyBorder="1" applyAlignment="1">
      <alignment horizontal="right" vertical="top" wrapText="1" readingOrder="1"/>
    </xf>
    <xf numFmtId="171" fontId="3" fillId="0" borderId="4" xfId="0" applyNumberFormat="1" applyFont="1" applyBorder="1" applyAlignment="1">
      <alignment horizontal="right" vertical="center" wrapText="1" readingOrder="1"/>
    </xf>
    <xf numFmtId="0" fontId="3" fillId="0" borderId="0" xfId="0" applyFont="1" applyAlignment="1">
      <alignment horizontal="left" vertical="center" wrapText="1" readingOrder="1"/>
    </xf>
    <xf numFmtId="0" fontId="3" fillId="0" borderId="0" xfId="0" applyFont="1" applyAlignment="1">
      <alignment horizontal="right" vertical="center" wrapText="1" readingOrder="1"/>
    </xf>
    <xf numFmtId="0" fontId="6" fillId="0" borderId="4" xfId="0" applyFont="1" applyBorder="1" applyAlignment="1">
      <alignment horizontal="left" vertical="center" wrapText="1" readingOrder="1"/>
    </xf>
    <xf numFmtId="0" fontId="6" fillId="0" borderId="4" xfId="0" applyFont="1" applyBorder="1" applyAlignment="1">
      <alignment horizontal="right" vertical="center" wrapText="1" readingOrder="1"/>
    </xf>
    <xf numFmtId="172" fontId="3" fillId="0" borderId="4" xfId="0" applyNumberFormat="1" applyFont="1" applyBorder="1" applyAlignment="1">
      <alignment horizontal="right" vertical="center" wrapText="1" readingOrder="1"/>
    </xf>
    <xf numFmtId="0" fontId="3" fillId="0" borderId="5" xfId="0" applyFont="1" applyBorder="1" applyAlignment="1">
      <alignment horizontal="left" vertical="center" wrapText="1" readingOrder="1"/>
    </xf>
    <xf numFmtId="0" fontId="4" fillId="0" borderId="5" xfId="0" applyFont="1" applyBorder="1" applyAlignment="1">
      <alignment horizontal="left" vertical="center" wrapText="1" readingOrder="1"/>
    </xf>
    <xf numFmtId="175" fontId="23" fillId="0" borderId="4" xfId="0" quotePrefix="1" applyNumberFormat="1" applyFont="1" applyBorder="1" applyAlignment="1">
      <alignment horizontal="left" vertical="center" wrapText="1" readingOrder="1"/>
    </xf>
    <xf numFmtId="0" fontId="21" fillId="0" borderId="0" xfId="0" applyFont="1" applyAlignment="1">
      <alignment horizontal="left" vertical="center" wrapText="1" readingOrder="1"/>
    </xf>
    <xf numFmtId="0" fontId="21" fillId="0" borderId="0" xfId="0" applyFont="1" applyAlignment="1">
      <alignment horizontal="right" vertical="center" wrapText="1" readingOrder="1"/>
    </xf>
    <xf numFmtId="0" fontId="23" fillId="0" borderId="0" xfId="0" applyFont="1" applyAlignment="1">
      <alignment horizontal="left" vertical="center" wrapText="1" readingOrder="1"/>
    </xf>
    <xf numFmtId="0" fontId="25" fillId="0" borderId="0" xfId="0" applyFont="1" applyAlignment="1">
      <alignment vertical="center" readingOrder="1"/>
    </xf>
    <xf numFmtId="0" fontId="25" fillId="0" borderId="0" xfId="0" applyFont="1" applyAlignment="1">
      <alignment horizontal="left" vertical="center" readingOrder="1"/>
    </xf>
    <xf numFmtId="0" fontId="26" fillId="0" borderId="0" xfId="0" applyFont="1" applyAlignment="1">
      <alignment vertical="center" wrapText="1"/>
    </xf>
    <xf numFmtId="0" fontId="26" fillId="0" borderId="7" xfId="0" applyFont="1" applyBorder="1" applyAlignment="1">
      <alignment horizontal="center" vertical="center" wrapText="1"/>
    </xf>
    <xf numFmtId="0" fontId="24" fillId="0" borderId="0" xfId="0" applyFont="1" applyAlignment="1">
      <alignment vertical="center"/>
    </xf>
    <xf numFmtId="0" fontId="24" fillId="0" borderId="7" xfId="0" applyFont="1" applyBorder="1" applyAlignment="1">
      <alignment vertical="center"/>
    </xf>
    <xf numFmtId="4" fontId="24" fillId="0" borderId="7" xfId="0" applyNumberFormat="1" applyFont="1" applyBorder="1" applyAlignment="1">
      <alignment vertical="center"/>
    </xf>
    <xf numFmtId="0" fontId="24" fillId="0" borderId="0" xfId="0" applyFont="1" applyAlignment="1">
      <alignment horizontal="center" vertical="center" readingOrder="1"/>
    </xf>
    <xf numFmtId="0" fontId="28" fillId="0" borderId="7" xfId="4" applyFont="1" applyBorder="1" applyAlignment="1">
      <alignment horizontal="center"/>
    </xf>
    <xf numFmtId="0" fontId="29" fillId="0" borderId="7" xfId="4" applyFont="1" applyBorder="1"/>
    <xf numFmtId="0" fontId="29" fillId="0" borderId="7" xfId="4" applyFont="1" applyBorder="1" applyAlignment="1">
      <alignment wrapText="1"/>
    </xf>
    <xf numFmtId="0" fontId="28" fillId="0" borderId="7" xfId="4" applyFont="1" applyBorder="1" applyAlignment="1">
      <alignment horizontal="center" vertical="center" wrapText="1"/>
    </xf>
    <xf numFmtId="4" fontId="29" fillId="0" borderId="7" xfId="4" applyNumberFormat="1" applyFont="1" applyBorder="1"/>
    <xf numFmtId="164" fontId="29" fillId="0" borderId="7" xfId="6" applyFont="1" applyFill="1" applyBorder="1"/>
    <xf numFmtId="43" fontId="29" fillId="0" borderId="7" xfId="4" applyNumberFormat="1" applyFont="1" applyBorder="1"/>
    <xf numFmtId="0" fontId="31" fillId="0" borderId="0" xfId="0" applyFont="1" applyAlignment="1"/>
    <xf numFmtId="0" fontId="9" fillId="0" borderId="0" xfId="2" applyFill="1" applyAlignment="1"/>
    <xf numFmtId="2" fontId="24" fillId="0" borderId="7" xfId="0" applyNumberFormat="1" applyFont="1" applyBorder="1" applyAlignment="1">
      <alignment vertical="center"/>
    </xf>
    <xf numFmtId="0" fontId="22" fillId="0" borderId="0" xfId="4" applyFont="1" applyAlignment="1">
      <alignment horizontal="left" vertical="center" wrapText="1" readingOrder="1"/>
    </xf>
    <xf numFmtId="0" fontId="18" fillId="0" borderId="0" xfId="4" applyFont="1" applyAlignment="1">
      <alignment vertical="center" wrapText="1"/>
    </xf>
    <xf numFmtId="0" fontId="31" fillId="0" borderId="0" xfId="0" applyFont="1" applyAlignment="1">
      <alignment horizontal="left" vertical="top" readingOrder="1"/>
    </xf>
    <xf numFmtId="0" fontId="29" fillId="0" borderId="0" xfId="4" applyFont="1"/>
    <xf numFmtId="0" fontId="29" fillId="0" borderId="0" xfId="4" applyFont="1" applyAlignment="1">
      <alignment wrapText="1"/>
    </xf>
    <xf numFmtId="4" fontId="29" fillId="0" borderId="0" xfId="4" applyNumberFormat="1" applyFont="1"/>
    <xf numFmtId="164" fontId="29" fillId="0" borderId="0" xfId="6" applyFont="1" applyFill="1" applyBorder="1"/>
    <xf numFmtId="43" fontId="29" fillId="0" borderId="0" xfId="4" applyNumberFormat="1" applyFont="1"/>
    <xf numFmtId="0" fontId="26" fillId="0" borderId="7" xfId="0" applyFont="1" applyBorder="1" applyAlignment="1">
      <alignment vertical="center" wrapText="1"/>
    </xf>
    <xf numFmtId="0" fontId="14" fillId="0" borderId="0" xfId="9" applyFont="1" applyAlignment="1">
      <alignment horizontal="center" vertical="center"/>
    </xf>
    <xf numFmtId="0" fontId="1" fillId="0" borderId="0" xfId="9" applyAlignment="1">
      <alignment wrapText="1"/>
    </xf>
    <xf numFmtId="4" fontId="15" fillId="0" borderId="0" xfId="9" applyNumberFormat="1" applyFont="1"/>
    <xf numFmtId="0" fontId="32" fillId="0" borderId="0" xfId="9" applyFont="1" applyAlignment="1">
      <alignment wrapText="1"/>
    </xf>
    <xf numFmtId="0" fontId="26" fillId="0" borderId="7" xfId="9" applyFont="1" applyBorder="1" applyAlignment="1">
      <alignment horizontal="center" vertical="center"/>
    </xf>
    <xf numFmtId="0" fontId="26" fillId="0" borderId="0" xfId="9" applyFont="1" applyAlignment="1">
      <alignment horizontal="center" vertical="center"/>
    </xf>
    <xf numFmtId="0" fontId="27" fillId="0" borderId="7" xfId="9" applyFont="1" applyBorder="1" applyAlignment="1">
      <alignment vertical="center"/>
    </xf>
    <xf numFmtId="0" fontId="27" fillId="0" borderId="7" xfId="9" applyFont="1" applyBorder="1" applyAlignment="1">
      <alignment vertical="center" wrapText="1"/>
    </xf>
    <xf numFmtId="0" fontId="27" fillId="0" borderId="0" xfId="9" applyFont="1" applyAlignment="1">
      <alignment horizontal="center" vertical="center"/>
    </xf>
    <xf numFmtId="0" fontId="26" fillId="0" borderId="7" xfId="9" applyFont="1" applyBorder="1" applyAlignment="1">
      <alignment horizontal="center" vertical="center" wrapText="1"/>
    </xf>
    <xf numFmtId="0" fontId="12" fillId="0" borderId="0" xfId="9" applyFont="1" applyAlignment="1">
      <alignment horizontal="center" vertical="center"/>
    </xf>
    <xf numFmtId="0" fontId="27" fillId="0" borderId="7" xfId="9" applyFont="1" applyBorder="1" applyAlignment="1">
      <alignment horizontal="left" vertical="center"/>
    </xf>
    <xf numFmtId="4" fontId="27" fillId="0" borderId="7" xfId="9" applyNumberFormat="1" applyFont="1" applyBorder="1" applyAlignment="1">
      <alignment horizontal="right" vertical="center"/>
    </xf>
    <xf numFmtId="10" fontId="27" fillId="0" borderId="7" xfId="7" applyNumberFormat="1" applyFont="1" applyFill="1" applyBorder="1" applyAlignment="1">
      <alignment vertical="center"/>
    </xf>
    <xf numFmtId="164" fontId="32" fillId="0" borderId="0" xfId="6" applyFont="1" applyFill="1" applyAlignment="1">
      <alignment vertical="center"/>
    </xf>
    <xf numFmtId="164" fontId="27" fillId="0" borderId="0" xfId="6" applyFont="1" applyFill="1" applyAlignment="1">
      <alignment horizontal="center" vertical="center"/>
    </xf>
    <xf numFmtId="168" fontId="21" fillId="0" borderId="4" xfId="0" applyNumberFormat="1" applyFont="1" applyBorder="1" applyAlignment="1">
      <alignment horizontal="right" vertical="center" wrapText="1" readingOrder="1"/>
    </xf>
    <xf numFmtId="14" fontId="24" fillId="0" borderId="7" xfId="0" quotePrefix="1" applyNumberFormat="1" applyFont="1" applyBorder="1" applyAlignment="1">
      <alignment horizontal="justify" vertical="center" wrapText="1"/>
    </xf>
    <xf numFmtId="0" fontId="29" fillId="0" borderId="7" xfId="4" applyFont="1" applyBorder="1" applyAlignment="1">
      <alignment vertical="center"/>
    </xf>
    <xf numFmtId="2" fontId="29" fillId="0" borderId="7" xfId="4" applyNumberFormat="1" applyFont="1" applyBorder="1"/>
    <xf numFmtId="4" fontId="11" fillId="0" borderId="7" xfId="3" applyNumberFormat="1" applyBorder="1">
      <alignment wrapText="1"/>
    </xf>
    <xf numFmtId="175" fontId="23" fillId="0" borderId="4" xfId="0" applyNumberFormat="1" applyFont="1" applyBorder="1" applyAlignment="1">
      <alignment horizontal="left" vertical="center" wrapText="1" readingOrder="1"/>
    </xf>
    <xf numFmtId="164" fontId="0" fillId="0" borderId="0" xfId="6" applyFont="1" applyFill="1" applyAlignment="1">
      <alignment wrapText="1"/>
    </xf>
    <xf numFmtId="0" fontId="23" fillId="0" borderId="7" xfId="0" applyFont="1" applyBorder="1" applyAlignment="1">
      <alignment horizontal="center" vertical="center" wrapText="1" readingOrder="1"/>
    </xf>
    <xf numFmtId="0" fontId="8" fillId="0" borderId="7" xfId="0" applyFont="1" applyBorder="1" applyAlignment="1">
      <alignment horizontal="center" vertical="center" wrapText="1" readingOrder="1"/>
    </xf>
    <xf numFmtId="0" fontId="4" fillId="0" borderId="1" xfId="0" applyFont="1" applyBorder="1" applyAlignment="1">
      <alignment horizontal="left" vertical="center" wrapText="1" readingOrder="1"/>
    </xf>
    <xf numFmtId="0" fontId="4" fillId="0" borderId="2" xfId="0" applyFont="1" applyBorder="1" applyAlignment="1">
      <alignment horizontal="left" vertical="center" wrapText="1" readingOrder="1"/>
    </xf>
    <xf numFmtId="0" fontId="4" fillId="0" borderId="3" xfId="0" applyFont="1" applyBorder="1" applyAlignment="1">
      <alignment horizontal="left" vertical="center" wrapText="1" readingOrder="1"/>
    </xf>
    <xf numFmtId="0" fontId="3" fillId="0" borderId="1" xfId="0" applyFont="1" applyBorder="1" applyAlignment="1">
      <alignment horizontal="left" vertical="center" wrapText="1" readingOrder="1"/>
    </xf>
    <xf numFmtId="0" fontId="3" fillId="0" borderId="3" xfId="0" applyFont="1" applyBorder="1" applyAlignment="1">
      <alignment horizontal="left" vertical="center" wrapText="1" readingOrder="1"/>
    </xf>
    <xf numFmtId="0" fontId="21" fillId="0" borderId="1" xfId="0" applyFont="1" applyBorder="1" applyAlignment="1">
      <alignment horizontal="left" vertical="center" wrapText="1" readingOrder="1"/>
    </xf>
    <xf numFmtId="0" fontId="21" fillId="0" borderId="3" xfId="0" applyFont="1" applyBorder="1" applyAlignment="1">
      <alignment horizontal="left" vertical="center" wrapText="1" readingOrder="1"/>
    </xf>
    <xf numFmtId="0" fontId="21" fillId="0" borderId="0" xfId="0" applyFont="1" applyAlignment="1">
      <alignment horizontal="left" vertical="center" wrapText="1" readingOrder="1"/>
    </xf>
    <xf numFmtId="0" fontId="25" fillId="0" borderId="8" xfId="0" applyFont="1" applyBorder="1" applyAlignment="1">
      <alignment horizontal="center" vertical="center"/>
    </xf>
    <xf numFmtId="0" fontId="25" fillId="0" borderId="9" xfId="0" applyFont="1" applyBorder="1" applyAlignment="1">
      <alignment horizontal="center" vertical="center"/>
    </xf>
    <xf numFmtId="0" fontId="25" fillId="0" borderId="10" xfId="0" applyFont="1" applyBorder="1" applyAlignment="1">
      <alignment horizontal="center" vertical="center"/>
    </xf>
    <xf numFmtId="0" fontId="21" fillId="0" borderId="7" xfId="0" applyFont="1" applyBorder="1" applyAlignment="1">
      <alignment horizontal="left" vertical="center" wrapText="1" readingOrder="1"/>
    </xf>
    <xf numFmtId="0" fontId="21" fillId="0" borderId="8" xfId="0" applyFont="1" applyBorder="1" applyAlignment="1">
      <alignment horizontal="left" vertical="center" wrapText="1" readingOrder="1"/>
    </xf>
    <xf numFmtId="0" fontId="21" fillId="0" borderId="10" xfId="0" applyFont="1" applyBorder="1" applyAlignment="1">
      <alignment horizontal="left" vertical="center" wrapText="1" readingOrder="1"/>
    </xf>
    <xf numFmtId="0" fontId="21" fillId="0" borderId="9" xfId="0" applyFont="1" applyBorder="1" applyAlignment="1">
      <alignment horizontal="left" vertical="center" wrapText="1" readingOrder="1"/>
    </xf>
    <xf numFmtId="0" fontId="23" fillId="0" borderId="8" xfId="0" applyFont="1" applyBorder="1" applyAlignment="1">
      <alignment horizontal="center" vertical="center" wrapText="1" readingOrder="1"/>
    </xf>
    <xf numFmtId="0" fontId="23" fillId="0" borderId="10" xfId="0" applyFont="1" applyBorder="1" applyAlignment="1">
      <alignment horizontal="center" vertical="center" wrapText="1" readingOrder="1"/>
    </xf>
    <xf numFmtId="0" fontId="21" fillId="0" borderId="0" xfId="0" quotePrefix="1" applyFont="1" applyAlignment="1">
      <alignment horizontal="left" vertical="center" wrapText="1" readingOrder="1"/>
    </xf>
    <xf numFmtId="0" fontId="21" fillId="0" borderId="11" xfId="0" applyFont="1" applyBorder="1" applyAlignment="1">
      <alignment horizontal="left" vertical="center" wrapText="1" readingOrder="1"/>
    </xf>
    <xf numFmtId="0" fontId="28" fillId="0" borderId="7" xfId="4" applyFont="1" applyBorder="1" applyAlignment="1">
      <alignment horizontal="center" wrapText="1"/>
    </xf>
    <xf numFmtId="0" fontId="28" fillId="0" borderId="7" xfId="4" applyFont="1" applyBorder="1" applyAlignment="1">
      <alignment horizontal="center"/>
    </xf>
    <xf numFmtId="164" fontId="29" fillId="0" borderId="7" xfId="6" applyFont="1" applyFill="1" applyBorder="1" applyAlignment="1">
      <alignment horizontal="center"/>
    </xf>
    <xf numFmtId="0" fontId="29" fillId="0" borderId="7" xfId="4" applyFont="1" applyBorder="1" applyAlignment="1">
      <alignment horizontal="center"/>
    </xf>
    <xf numFmtId="0" fontId="28" fillId="0" borderId="7" xfId="4" applyFont="1" applyBorder="1" applyAlignment="1">
      <alignment horizontal="center" vertical="center" wrapText="1"/>
    </xf>
    <xf numFmtId="0" fontId="28" fillId="0" borderId="7" xfId="4" applyFont="1" applyBorder="1" applyAlignment="1">
      <alignment horizontal="center" vertical="center"/>
    </xf>
    <xf numFmtId="0" fontId="21" fillId="0" borderId="0" xfId="0" applyFont="1" applyAlignment="1">
      <alignment horizontal="justify" vertical="top" wrapText="1" readingOrder="1"/>
    </xf>
    <xf numFmtId="0" fontId="31" fillId="0" borderId="0" xfId="0" applyFont="1" applyAlignment="1">
      <alignment horizontal="left" vertical="top" readingOrder="1"/>
    </xf>
    <xf numFmtId="0" fontId="28" fillId="0" borderId="8" xfId="4" applyFont="1" applyBorder="1" applyAlignment="1">
      <alignment horizontal="center" wrapText="1"/>
    </xf>
    <xf numFmtId="0" fontId="28" fillId="0" borderId="9" xfId="4" applyFont="1" applyBorder="1" applyAlignment="1">
      <alignment horizontal="center" wrapText="1"/>
    </xf>
    <xf numFmtId="0" fontId="28" fillId="0" borderId="10" xfId="4" applyFont="1" applyBorder="1" applyAlignment="1">
      <alignment horizontal="center" wrapText="1"/>
    </xf>
    <xf numFmtId="0" fontId="28" fillId="0" borderId="8" xfId="4" applyFont="1" applyBorder="1" applyAlignment="1">
      <alignment horizontal="center"/>
    </xf>
    <xf numFmtId="0" fontId="28" fillId="0" borderId="10" xfId="4" applyFont="1" applyBorder="1" applyAlignment="1">
      <alignment horizontal="center"/>
    </xf>
    <xf numFmtId="164" fontId="29" fillId="0" borderId="8" xfId="6" applyFont="1" applyFill="1" applyBorder="1" applyAlignment="1">
      <alignment horizontal="center"/>
    </xf>
    <xf numFmtId="164" fontId="29" fillId="0" borderId="9" xfId="6" applyFont="1" applyFill="1" applyBorder="1" applyAlignment="1">
      <alignment horizontal="center"/>
    </xf>
    <xf numFmtId="164" fontId="29" fillId="0" borderId="10" xfId="6" applyFont="1" applyFill="1" applyBorder="1" applyAlignment="1">
      <alignment horizontal="center"/>
    </xf>
    <xf numFmtId="0" fontId="29" fillId="0" borderId="0" xfId="4" applyFont="1" applyAlignment="1">
      <alignment horizontal="left" vertical="center" wrapText="1"/>
    </xf>
    <xf numFmtId="0" fontId="25" fillId="0" borderId="8" xfId="0" applyFont="1" applyBorder="1" applyAlignment="1">
      <alignment horizontal="left" vertical="center" readingOrder="1"/>
    </xf>
    <xf numFmtId="0" fontId="25" fillId="0" borderId="9" xfId="0" applyFont="1" applyBorder="1" applyAlignment="1">
      <alignment horizontal="left" vertical="center" readingOrder="1"/>
    </xf>
    <xf numFmtId="0" fontId="25" fillId="0" borderId="10" xfId="0" applyFont="1" applyBorder="1" applyAlignment="1">
      <alignment horizontal="left" vertical="center" readingOrder="1"/>
    </xf>
    <xf numFmtId="0" fontId="26" fillId="0" borderId="8" xfId="9" applyFont="1" applyBorder="1" applyAlignment="1">
      <alignment horizontal="center" vertical="center" wrapText="1"/>
    </xf>
    <xf numFmtId="0" fontId="26" fillId="0" borderId="10" xfId="9" applyFont="1" applyBorder="1" applyAlignment="1">
      <alignment horizontal="center" vertical="center" wrapText="1"/>
    </xf>
    <xf numFmtId="0" fontId="26" fillId="0" borderId="7" xfId="9" applyFont="1" applyBorder="1" applyAlignment="1">
      <alignment horizontal="center" vertical="center"/>
    </xf>
    <xf numFmtId="164" fontId="27" fillId="0" borderId="8" xfId="6" applyFont="1" applyFill="1" applyBorder="1" applyAlignment="1">
      <alignment horizontal="center" vertical="center"/>
    </xf>
    <xf numFmtId="164" fontId="27" fillId="0" borderId="10" xfId="6" applyFont="1" applyFill="1" applyBorder="1" applyAlignment="1">
      <alignment horizontal="center" vertical="center"/>
    </xf>
    <xf numFmtId="0" fontId="26" fillId="0" borderId="8" xfId="9" applyFont="1" applyBorder="1" applyAlignment="1">
      <alignment horizontal="center" vertical="center"/>
    </xf>
    <xf numFmtId="0" fontId="26" fillId="0" borderId="9" xfId="9" applyFont="1" applyBorder="1" applyAlignment="1">
      <alignment horizontal="center" vertical="center"/>
    </xf>
    <xf numFmtId="0" fontId="26" fillId="0" borderId="10" xfId="9" applyFont="1" applyBorder="1" applyAlignment="1">
      <alignment horizontal="center" vertical="center"/>
    </xf>
    <xf numFmtId="0" fontId="27" fillId="0" borderId="8" xfId="9" applyFont="1" applyBorder="1" applyAlignment="1">
      <alignment horizontal="left" vertical="center" wrapText="1"/>
    </xf>
    <xf numFmtId="0" fontId="27" fillId="0" borderId="9" xfId="9" applyFont="1" applyBorder="1" applyAlignment="1">
      <alignment horizontal="left" vertical="center" wrapText="1"/>
    </xf>
    <xf numFmtId="0" fontId="27" fillId="0" borderId="10" xfId="9" applyFont="1" applyBorder="1" applyAlignment="1">
      <alignment horizontal="left" vertical="center" wrapText="1"/>
    </xf>
    <xf numFmtId="0" fontId="31" fillId="0" borderId="7" xfId="0" applyFont="1" applyBorder="1" applyAlignment="1">
      <alignment horizontal="left" vertical="top" readingOrder="1"/>
    </xf>
  </cellXfs>
  <cellStyles count="10">
    <cellStyle name="Comma" xfId="1" builtinId="3"/>
    <cellStyle name="Comma 2" xfId="6" xr:uid="{EFA17988-B15F-49CB-9A24-8A942DB3EA8B}"/>
    <cellStyle name="Hyperlink 2" xfId="2" xr:uid="{9D43C6E1-A288-45FD-8188-3692469ED607}"/>
    <cellStyle name="Normal" xfId="0" builtinId="0"/>
    <cellStyle name="Normal 2 2 2" xfId="4" xr:uid="{301C2FBE-D4BC-4DEE-8251-F5ABCF652A5D}"/>
    <cellStyle name="Normal 2 2 3" xfId="9" xr:uid="{30B6202A-2A78-43DE-83F1-A92D401233A3}"/>
    <cellStyle name="Normal 2 3" xfId="5" xr:uid="{3D1D360E-D8D5-462F-BEA8-71467D165BF6}"/>
    <cellStyle name="Normal 3" xfId="3" xr:uid="{1B282BF1-EA92-4E48-AFDD-9862FDB30870}"/>
    <cellStyle name="Percent 2" xfId="7" xr:uid="{526C5A87-C2A0-4E9B-AE9D-A5DA284D4FBF}"/>
    <cellStyle name="Percent 3" xfId="8" xr:uid="{43576BD7-0F80-4AF5-8529-43812E79B96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4.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jpe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jpe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image" Target="../media/image3.jpe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jpe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9</xdr:col>
      <xdr:colOff>95250</xdr:colOff>
      <xdr:row>15</xdr:row>
      <xdr:rowOff>95249</xdr:rowOff>
    </xdr:from>
    <xdr:to>
      <xdr:col>9</xdr:col>
      <xdr:colOff>3305175</xdr:colOff>
      <xdr:row>25</xdr:row>
      <xdr:rowOff>123825</xdr:rowOff>
    </xdr:to>
    <xdr:pic>
      <xdr:nvPicPr>
        <xdr:cNvPr id="5" name="Picture 4">
          <a:extLst>
            <a:ext uri="{FF2B5EF4-FFF2-40B4-BE49-F238E27FC236}">
              <a16:creationId xmlns:a16="http://schemas.microsoft.com/office/drawing/2014/main" id="{EA69A1F5-2DF2-4131-8848-48B1CEF7C95D}"/>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8143875" y="3019424"/>
          <a:ext cx="3209925" cy="16764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79375</xdr:colOff>
      <xdr:row>2</xdr:row>
      <xdr:rowOff>114300</xdr:rowOff>
    </xdr:from>
    <xdr:to>
      <xdr:col>9</xdr:col>
      <xdr:colOff>3314700</xdr:colOff>
      <xdr:row>13</xdr:row>
      <xdr:rowOff>28575</xdr:rowOff>
    </xdr:to>
    <xdr:pic>
      <xdr:nvPicPr>
        <xdr:cNvPr id="6" name="Picture 5">
          <a:extLst>
            <a:ext uri="{FF2B5EF4-FFF2-40B4-BE49-F238E27FC236}">
              <a16:creationId xmlns:a16="http://schemas.microsoft.com/office/drawing/2014/main" id="{8546E830-6913-452D-AF4A-D9E5277E5BC4}"/>
            </a:ext>
          </a:extLst>
        </xdr:cNvPr>
        <xdr:cNvPicPr preferRelativeResize="0">
          <a:picLocks noChangeAspect="1"/>
        </xdr:cNvPicPr>
      </xdr:nvPicPr>
      <xdr:blipFill>
        <a:blip xmlns:r="http://schemas.openxmlformats.org/officeDocument/2006/relationships" r:embed="rId2"/>
        <a:stretch>
          <a:fillRect/>
        </a:stretch>
      </xdr:blipFill>
      <xdr:spPr>
        <a:xfrm>
          <a:off x="8128000" y="495300"/>
          <a:ext cx="3235325" cy="1971675"/>
        </a:xfrm>
        <a:prstGeom prst="rect">
          <a:avLst/>
        </a:prstGeom>
      </xdr:spPr>
    </xdr:pic>
    <xdr:clientData/>
  </xdr:twoCellAnchor>
  <xdr:twoCellAnchor editAs="oneCell">
    <xdr:from>
      <xdr:col>9</xdr:col>
      <xdr:colOff>66675</xdr:colOff>
      <xdr:row>28</xdr:row>
      <xdr:rowOff>95250</xdr:rowOff>
    </xdr:from>
    <xdr:to>
      <xdr:col>9</xdr:col>
      <xdr:colOff>3298534</xdr:colOff>
      <xdr:row>34</xdr:row>
      <xdr:rowOff>257174</xdr:rowOff>
    </xdr:to>
    <xdr:pic>
      <xdr:nvPicPr>
        <xdr:cNvPr id="7" name="Picture 6">
          <a:extLst>
            <a:ext uri="{FF2B5EF4-FFF2-40B4-BE49-F238E27FC236}">
              <a16:creationId xmlns:a16="http://schemas.microsoft.com/office/drawing/2014/main" id="{43F7C43D-07C0-4D40-900A-E9B32F515F7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115300" y="5314950"/>
          <a:ext cx="3231859" cy="1781174"/>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73316</xdr:colOff>
      <xdr:row>15</xdr:row>
      <xdr:rowOff>57151</xdr:rowOff>
    </xdr:from>
    <xdr:to>
      <xdr:col>9</xdr:col>
      <xdr:colOff>3305175</xdr:colOff>
      <xdr:row>26</xdr:row>
      <xdr:rowOff>28575</xdr:rowOff>
    </xdr:to>
    <xdr:pic>
      <xdr:nvPicPr>
        <xdr:cNvPr id="5" name="Picture 4">
          <a:extLst>
            <a:ext uri="{FF2B5EF4-FFF2-40B4-BE49-F238E27FC236}">
              <a16:creationId xmlns:a16="http://schemas.microsoft.com/office/drawing/2014/main" id="{5525B8DE-796B-441C-8973-2F7CB510E5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55266" y="2981326"/>
          <a:ext cx="3231859" cy="1781174"/>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57150</xdr:colOff>
      <xdr:row>2</xdr:row>
      <xdr:rowOff>95250</xdr:rowOff>
    </xdr:from>
    <xdr:to>
      <xdr:col>9</xdr:col>
      <xdr:colOff>3333750</xdr:colOff>
      <xdr:row>13</xdr:row>
      <xdr:rowOff>57150</xdr:rowOff>
    </xdr:to>
    <xdr:pic>
      <xdr:nvPicPr>
        <xdr:cNvPr id="6" name="Picture 5">
          <a:extLst>
            <a:ext uri="{FF2B5EF4-FFF2-40B4-BE49-F238E27FC236}">
              <a16:creationId xmlns:a16="http://schemas.microsoft.com/office/drawing/2014/main" id="{B4697517-056B-4543-9105-23D8908FFFB5}"/>
            </a:ext>
          </a:extLst>
        </xdr:cNvPr>
        <xdr:cNvPicPr>
          <a:picLocks noChangeAspect="1"/>
        </xdr:cNvPicPr>
      </xdr:nvPicPr>
      <xdr:blipFill>
        <a:blip xmlns:r="http://schemas.openxmlformats.org/officeDocument/2006/relationships" r:embed="rId2"/>
        <a:stretch>
          <a:fillRect/>
        </a:stretch>
      </xdr:blipFill>
      <xdr:spPr>
        <a:xfrm>
          <a:off x="8039100" y="476250"/>
          <a:ext cx="3276600" cy="2019300"/>
        </a:xfrm>
        <a:prstGeom prst="rect">
          <a:avLst/>
        </a:prstGeom>
      </xdr:spPr>
    </xdr:pic>
    <xdr:clientData/>
  </xdr:twoCellAnchor>
  <xdr:twoCellAnchor editAs="oneCell">
    <xdr:from>
      <xdr:col>9</xdr:col>
      <xdr:colOff>35216</xdr:colOff>
      <xdr:row>28</xdr:row>
      <xdr:rowOff>76201</xdr:rowOff>
    </xdr:from>
    <xdr:to>
      <xdr:col>9</xdr:col>
      <xdr:colOff>3295650</xdr:colOff>
      <xdr:row>35</xdr:row>
      <xdr:rowOff>190500</xdr:rowOff>
    </xdr:to>
    <xdr:pic>
      <xdr:nvPicPr>
        <xdr:cNvPr id="7" name="Picture 6">
          <a:extLst>
            <a:ext uri="{FF2B5EF4-FFF2-40B4-BE49-F238E27FC236}">
              <a16:creationId xmlns:a16="http://schemas.microsoft.com/office/drawing/2014/main" id="{822E24C3-AD5A-4676-9C89-4C66882209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17166" y="5295901"/>
          <a:ext cx="3260434" cy="1895474"/>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76200</xdr:colOff>
      <xdr:row>28</xdr:row>
      <xdr:rowOff>66676</xdr:rowOff>
    </xdr:from>
    <xdr:to>
      <xdr:col>9</xdr:col>
      <xdr:colOff>3333750</xdr:colOff>
      <xdr:row>39</xdr:row>
      <xdr:rowOff>38101</xdr:rowOff>
    </xdr:to>
    <xdr:pic>
      <xdr:nvPicPr>
        <xdr:cNvPr id="5" name="Picture 4">
          <a:extLst>
            <a:ext uri="{FF2B5EF4-FFF2-40B4-BE49-F238E27FC236}">
              <a16:creationId xmlns:a16="http://schemas.microsoft.com/office/drawing/2014/main" id="{B1D0E4B7-EB21-409A-B51F-F95BA2059C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77200" y="5286376"/>
          <a:ext cx="3257550"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66674</xdr:colOff>
      <xdr:row>2</xdr:row>
      <xdr:rowOff>104774</xdr:rowOff>
    </xdr:from>
    <xdr:to>
      <xdr:col>9</xdr:col>
      <xdr:colOff>3333750</xdr:colOff>
      <xdr:row>13</xdr:row>
      <xdr:rowOff>95249</xdr:rowOff>
    </xdr:to>
    <xdr:pic>
      <xdr:nvPicPr>
        <xdr:cNvPr id="6" name="Picture 5">
          <a:extLst>
            <a:ext uri="{FF2B5EF4-FFF2-40B4-BE49-F238E27FC236}">
              <a16:creationId xmlns:a16="http://schemas.microsoft.com/office/drawing/2014/main" id="{42A3CEA0-D764-4857-82AC-E33470EA5A83}"/>
            </a:ext>
          </a:extLst>
        </xdr:cNvPr>
        <xdr:cNvPicPr preferRelativeResize="0">
          <a:picLocks noChangeAspect="1"/>
        </xdr:cNvPicPr>
      </xdr:nvPicPr>
      <xdr:blipFill>
        <a:blip xmlns:r="http://schemas.openxmlformats.org/officeDocument/2006/relationships" r:embed="rId2"/>
        <a:stretch>
          <a:fillRect/>
        </a:stretch>
      </xdr:blipFill>
      <xdr:spPr>
        <a:xfrm>
          <a:off x="8067674" y="485774"/>
          <a:ext cx="3267076" cy="2047875"/>
        </a:xfrm>
        <a:prstGeom prst="rect">
          <a:avLst/>
        </a:prstGeom>
      </xdr:spPr>
    </xdr:pic>
    <xdr:clientData/>
  </xdr:twoCellAnchor>
  <xdr:twoCellAnchor editAs="oneCell">
    <xdr:from>
      <xdr:col>9</xdr:col>
      <xdr:colOff>69850</xdr:colOff>
      <xdr:row>15</xdr:row>
      <xdr:rowOff>53975</xdr:rowOff>
    </xdr:from>
    <xdr:to>
      <xdr:col>9</xdr:col>
      <xdr:colOff>3352800</xdr:colOff>
      <xdr:row>26</xdr:row>
      <xdr:rowOff>25399</xdr:rowOff>
    </xdr:to>
    <xdr:pic>
      <xdr:nvPicPr>
        <xdr:cNvPr id="7" name="Picture 2">
          <a:extLst>
            <a:ext uri="{FF2B5EF4-FFF2-40B4-BE49-F238E27FC236}">
              <a16:creationId xmlns:a16="http://schemas.microsoft.com/office/drawing/2014/main" id="{4668C39B-2428-4A92-8B5A-FED1077D6D1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070850" y="2978150"/>
          <a:ext cx="3282950" cy="1781174"/>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76200</xdr:colOff>
      <xdr:row>29</xdr:row>
      <xdr:rowOff>28576</xdr:rowOff>
    </xdr:from>
    <xdr:to>
      <xdr:col>9</xdr:col>
      <xdr:colOff>3314700</xdr:colOff>
      <xdr:row>36</xdr:row>
      <xdr:rowOff>47625</xdr:rowOff>
    </xdr:to>
    <xdr:pic>
      <xdr:nvPicPr>
        <xdr:cNvPr id="5" name="Picture 4">
          <a:extLst>
            <a:ext uri="{FF2B5EF4-FFF2-40B4-BE49-F238E27FC236}">
              <a16:creationId xmlns:a16="http://schemas.microsoft.com/office/drawing/2014/main" id="{914B9AF3-DF05-4AAC-AE50-D716D63972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58275" y="5572126"/>
          <a:ext cx="3238500" cy="16382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76201</xdr:colOff>
      <xdr:row>17</xdr:row>
      <xdr:rowOff>28575</xdr:rowOff>
    </xdr:from>
    <xdr:to>
      <xdr:col>9</xdr:col>
      <xdr:colOff>3324225</xdr:colOff>
      <xdr:row>27</xdr:row>
      <xdr:rowOff>142363</xdr:rowOff>
    </xdr:to>
    <xdr:pic>
      <xdr:nvPicPr>
        <xdr:cNvPr id="6" name="Picture 5">
          <a:extLst>
            <a:ext uri="{FF2B5EF4-FFF2-40B4-BE49-F238E27FC236}">
              <a16:creationId xmlns:a16="http://schemas.microsoft.com/office/drawing/2014/main" id="{47D4F645-BB5E-452A-BA84-66C17F43CA7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058276" y="3276600"/>
          <a:ext cx="3248024" cy="1761613"/>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57151</xdr:colOff>
      <xdr:row>2</xdr:row>
      <xdr:rowOff>85726</xdr:rowOff>
    </xdr:from>
    <xdr:to>
      <xdr:col>9</xdr:col>
      <xdr:colOff>3333751</xdr:colOff>
      <xdr:row>13</xdr:row>
      <xdr:rowOff>60326</xdr:rowOff>
    </xdr:to>
    <xdr:pic>
      <xdr:nvPicPr>
        <xdr:cNvPr id="7" name="Picture 6">
          <a:extLst>
            <a:ext uri="{FF2B5EF4-FFF2-40B4-BE49-F238E27FC236}">
              <a16:creationId xmlns:a16="http://schemas.microsoft.com/office/drawing/2014/main" id="{CB305900-8992-48BB-85B9-C8E519B1DFE4}"/>
            </a:ext>
          </a:extLst>
        </xdr:cNvPr>
        <xdr:cNvPicPr preferRelativeResize="0">
          <a:picLocks noChangeAspect="1"/>
        </xdr:cNvPicPr>
      </xdr:nvPicPr>
      <xdr:blipFill>
        <a:blip xmlns:r="http://schemas.openxmlformats.org/officeDocument/2006/relationships" r:embed="rId3"/>
        <a:stretch>
          <a:fillRect/>
        </a:stretch>
      </xdr:blipFill>
      <xdr:spPr>
        <a:xfrm>
          <a:off x="9039226" y="466726"/>
          <a:ext cx="3276600" cy="2032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66675</xdr:colOff>
      <xdr:row>28</xdr:row>
      <xdr:rowOff>85725</xdr:rowOff>
    </xdr:from>
    <xdr:to>
      <xdr:col>9</xdr:col>
      <xdr:colOff>3343275</xdr:colOff>
      <xdr:row>37</xdr:row>
      <xdr:rowOff>19050</xdr:rowOff>
    </xdr:to>
    <xdr:pic>
      <xdr:nvPicPr>
        <xdr:cNvPr id="5" name="Picture 4">
          <a:extLst>
            <a:ext uri="{FF2B5EF4-FFF2-40B4-BE49-F238E27FC236}">
              <a16:creationId xmlns:a16="http://schemas.microsoft.com/office/drawing/2014/main" id="{0EAFD97D-E787-4B15-AA24-F7820ED293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48650" y="4981575"/>
          <a:ext cx="3276600" cy="1876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15</xdr:row>
      <xdr:rowOff>95251</xdr:rowOff>
    </xdr:from>
    <xdr:to>
      <xdr:col>9</xdr:col>
      <xdr:colOff>3305175</xdr:colOff>
      <xdr:row>26</xdr:row>
      <xdr:rowOff>47114</xdr:rowOff>
    </xdr:to>
    <xdr:pic>
      <xdr:nvPicPr>
        <xdr:cNvPr id="6" name="Picture 5">
          <a:extLst>
            <a:ext uri="{FF2B5EF4-FFF2-40B4-BE49-F238E27FC236}">
              <a16:creationId xmlns:a16="http://schemas.microsoft.com/office/drawing/2014/main" id="{FF3434D8-CF66-430D-B52C-E2A2152FDE0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258175" y="2857501"/>
          <a:ext cx="3228975" cy="1761613"/>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66675</xdr:colOff>
      <xdr:row>2</xdr:row>
      <xdr:rowOff>66675</xdr:rowOff>
    </xdr:from>
    <xdr:to>
      <xdr:col>9</xdr:col>
      <xdr:colOff>3333751</xdr:colOff>
      <xdr:row>13</xdr:row>
      <xdr:rowOff>57150</xdr:rowOff>
    </xdr:to>
    <xdr:pic>
      <xdr:nvPicPr>
        <xdr:cNvPr id="7" name="Picture 6">
          <a:extLst>
            <a:ext uri="{FF2B5EF4-FFF2-40B4-BE49-F238E27FC236}">
              <a16:creationId xmlns:a16="http://schemas.microsoft.com/office/drawing/2014/main" id="{0919FFDB-BD8D-46DD-AB77-9EA882B6E076}"/>
            </a:ext>
          </a:extLst>
        </xdr:cNvPr>
        <xdr:cNvPicPr preferRelativeResize="0">
          <a:picLocks noChangeAspect="1"/>
        </xdr:cNvPicPr>
      </xdr:nvPicPr>
      <xdr:blipFill>
        <a:blip xmlns:r="http://schemas.openxmlformats.org/officeDocument/2006/relationships" r:embed="rId3"/>
        <a:stretch>
          <a:fillRect/>
        </a:stretch>
      </xdr:blipFill>
      <xdr:spPr>
        <a:xfrm>
          <a:off x="8248650" y="447675"/>
          <a:ext cx="3267076" cy="20478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47626</xdr:colOff>
      <xdr:row>2</xdr:row>
      <xdr:rowOff>19050</xdr:rowOff>
    </xdr:from>
    <xdr:to>
      <xdr:col>9</xdr:col>
      <xdr:colOff>3324226</xdr:colOff>
      <xdr:row>12</xdr:row>
      <xdr:rowOff>155575</xdr:rowOff>
    </xdr:to>
    <xdr:pic>
      <xdr:nvPicPr>
        <xdr:cNvPr id="5" name="Picture 4">
          <a:extLst>
            <a:ext uri="{FF2B5EF4-FFF2-40B4-BE49-F238E27FC236}">
              <a16:creationId xmlns:a16="http://schemas.microsoft.com/office/drawing/2014/main" id="{421456E6-2F65-4883-86B2-A03EDFDFEECE}"/>
            </a:ext>
          </a:extLst>
        </xdr:cNvPr>
        <xdr:cNvPicPr preferRelativeResize="0">
          <a:picLocks noChangeAspect="1"/>
        </xdr:cNvPicPr>
      </xdr:nvPicPr>
      <xdr:blipFill>
        <a:blip xmlns:r="http://schemas.openxmlformats.org/officeDocument/2006/relationships" r:embed="rId1"/>
        <a:stretch>
          <a:fillRect/>
        </a:stretch>
      </xdr:blipFill>
      <xdr:spPr>
        <a:xfrm>
          <a:off x="8305801" y="400050"/>
          <a:ext cx="3276600" cy="2032000"/>
        </a:xfrm>
        <a:prstGeom prst="rect">
          <a:avLst/>
        </a:prstGeom>
      </xdr:spPr>
    </xdr:pic>
    <xdr:clientData/>
  </xdr:twoCellAnchor>
  <xdr:twoCellAnchor editAs="oneCell">
    <xdr:from>
      <xdr:col>9</xdr:col>
      <xdr:colOff>38100</xdr:colOff>
      <xdr:row>27</xdr:row>
      <xdr:rowOff>66674</xdr:rowOff>
    </xdr:from>
    <xdr:to>
      <xdr:col>9</xdr:col>
      <xdr:colOff>3333750</xdr:colOff>
      <xdr:row>33</xdr:row>
      <xdr:rowOff>257175</xdr:rowOff>
    </xdr:to>
    <xdr:pic>
      <xdr:nvPicPr>
        <xdr:cNvPr id="6" name="Picture 2">
          <a:extLst>
            <a:ext uri="{FF2B5EF4-FFF2-40B4-BE49-F238E27FC236}">
              <a16:creationId xmlns:a16="http://schemas.microsoft.com/office/drawing/2014/main" id="{8C89A868-662A-4E96-84FD-DF78C2A062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296275" y="5124449"/>
          <a:ext cx="3295650" cy="1809751"/>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47625</xdr:colOff>
      <xdr:row>14</xdr:row>
      <xdr:rowOff>57149</xdr:rowOff>
    </xdr:from>
    <xdr:to>
      <xdr:col>9</xdr:col>
      <xdr:colOff>3324223</xdr:colOff>
      <xdr:row>25</xdr:row>
      <xdr:rowOff>44448</xdr:rowOff>
    </xdr:to>
    <xdr:pic>
      <xdr:nvPicPr>
        <xdr:cNvPr id="7" name="Picture 6">
          <a:extLst>
            <a:ext uri="{FF2B5EF4-FFF2-40B4-BE49-F238E27FC236}">
              <a16:creationId xmlns:a16="http://schemas.microsoft.com/office/drawing/2014/main" id="{F2B1259D-4709-4E6E-A0BB-34A69C4F1B3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305800" y="2819399"/>
          <a:ext cx="3276598" cy="1797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47627</xdr:colOff>
      <xdr:row>30</xdr:row>
      <xdr:rowOff>57150</xdr:rowOff>
    </xdr:from>
    <xdr:to>
      <xdr:col>9</xdr:col>
      <xdr:colOff>3324225</xdr:colOff>
      <xdr:row>36</xdr:row>
      <xdr:rowOff>73024</xdr:rowOff>
    </xdr:to>
    <xdr:pic>
      <xdr:nvPicPr>
        <xdr:cNvPr id="5" name="Picture 4">
          <a:extLst>
            <a:ext uri="{FF2B5EF4-FFF2-40B4-BE49-F238E27FC236}">
              <a16:creationId xmlns:a16="http://schemas.microsoft.com/office/drawing/2014/main" id="{ED6FC549-8464-46D5-9322-CE9F896FD8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96252" y="5762625"/>
          <a:ext cx="3276598" cy="1797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15</xdr:row>
      <xdr:rowOff>9526</xdr:rowOff>
    </xdr:from>
    <xdr:to>
      <xdr:col>9</xdr:col>
      <xdr:colOff>3324225</xdr:colOff>
      <xdr:row>26</xdr:row>
      <xdr:rowOff>28577</xdr:rowOff>
    </xdr:to>
    <xdr:pic>
      <xdr:nvPicPr>
        <xdr:cNvPr id="6" name="Picture 5">
          <a:extLst>
            <a:ext uri="{FF2B5EF4-FFF2-40B4-BE49-F238E27FC236}">
              <a16:creationId xmlns:a16="http://schemas.microsoft.com/office/drawing/2014/main" id="{A9FF4F42-98AF-477D-84DF-84BD160DAD1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24825" y="2933701"/>
          <a:ext cx="3248025" cy="1828801"/>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2</xdr:row>
      <xdr:rowOff>38101</xdr:rowOff>
    </xdr:from>
    <xdr:to>
      <xdr:col>9</xdr:col>
      <xdr:colOff>3343276</xdr:colOff>
      <xdr:row>13</xdr:row>
      <xdr:rowOff>28576</xdr:rowOff>
    </xdr:to>
    <xdr:pic>
      <xdr:nvPicPr>
        <xdr:cNvPr id="7" name="Picture 6">
          <a:extLst>
            <a:ext uri="{FF2B5EF4-FFF2-40B4-BE49-F238E27FC236}">
              <a16:creationId xmlns:a16="http://schemas.microsoft.com/office/drawing/2014/main" id="{5AB7AC72-0747-4923-A4F6-6EBF98F7F820}"/>
            </a:ext>
          </a:extLst>
        </xdr:cNvPr>
        <xdr:cNvPicPr preferRelativeResize="0">
          <a:picLocks noChangeAspect="1"/>
        </xdr:cNvPicPr>
      </xdr:nvPicPr>
      <xdr:blipFill>
        <a:blip xmlns:r="http://schemas.openxmlformats.org/officeDocument/2006/relationships" r:embed="rId3"/>
        <a:stretch>
          <a:fillRect/>
        </a:stretch>
      </xdr:blipFill>
      <xdr:spPr>
        <a:xfrm>
          <a:off x="8124825" y="419101"/>
          <a:ext cx="3267076" cy="20478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47626</xdr:colOff>
      <xdr:row>2</xdr:row>
      <xdr:rowOff>57151</xdr:rowOff>
    </xdr:from>
    <xdr:to>
      <xdr:col>9</xdr:col>
      <xdr:colOff>3352800</xdr:colOff>
      <xdr:row>12</xdr:row>
      <xdr:rowOff>133350</xdr:rowOff>
    </xdr:to>
    <xdr:pic>
      <xdr:nvPicPr>
        <xdr:cNvPr id="5" name="Picture 4">
          <a:extLst>
            <a:ext uri="{FF2B5EF4-FFF2-40B4-BE49-F238E27FC236}">
              <a16:creationId xmlns:a16="http://schemas.microsoft.com/office/drawing/2014/main" id="{C8CF7E74-8AF5-4B13-A2A1-C4BC813A8816}"/>
            </a:ext>
          </a:extLst>
        </xdr:cNvPr>
        <xdr:cNvPicPr>
          <a:picLocks noChangeAspect="1"/>
        </xdr:cNvPicPr>
      </xdr:nvPicPr>
      <xdr:blipFill>
        <a:blip xmlns:r="http://schemas.openxmlformats.org/officeDocument/2006/relationships" r:embed="rId1"/>
        <a:stretch>
          <a:fillRect/>
        </a:stretch>
      </xdr:blipFill>
      <xdr:spPr>
        <a:xfrm>
          <a:off x="8296276" y="438151"/>
          <a:ext cx="3305174" cy="1971674"/>
        </a:xfrm>
        <a:prstGeom prst="rect">
          <a:avLst/>
        </a:prstGeom>
      </xdr:spPr>
    </xdr:pic>
    <xdr:clientData/>
  </xdr:twoCellAnchor>
  <xdr:oneCellAnchor>
    <xdr:from>
      <xdr:col>9</xdr:col>
      <xdr:colOff>66675</xdr:colOff>
      <xdr:row>27</xdr:row>
      <xdr:rowOff>114301</xdr:rowOff>
    </xdr:from>
    <xdr:ext cx="3248025" cy="1838324"/>
    <xdr:pic>
      <xdr:nvPicPr>
        <xdr:cNvPr id="6" name="Picture 5">
          <a:extLst>
            <a:ext uri="{FF2B5EF4-FFF2-40B4-BE49-F238E27FC236}">
              <a16:creationId xmlns:a16="http://schemas.microsoft.com/office/drawing/2014/main" id="{091371C2-8DF2-46C9-9418-35B92D7AA6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15325" y="5172076"/>
          <a:ext cx="3248025" cy="18383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76202</xdr:colOff>
      <xdr:row>14</xdr:row>
      <xdr:rowOff>38100</xdr:rowOff>
    </xdr:from>
    <xdr:ext cx="3276598" cy="1752599"/>
    <xdr:pic>
      <xdr:nvPicPr>
        <xdr:cNvPr id="7" name="Picture 6">
          <a:extLst>
            <a:ext uri="{FF2B5EF4-FFF2-40B4-BE49-F238E27FC236}">
              <a16:creationId xmlns:a16="http://schemas.microsoft.com/office/drawing/2014/main" id="{A6F535A9-E904-4CFA-8433-DA6322B2F2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24852" y="2800350"/>
          <a:ext cx="3276598" cy="17525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9.xml><?xml version="1.0" encoding="utf-8"?>
<xdr:wsDr xmlns:xdr="http://schemas.openxmlformats.org/drawingml/2006/spreadsheetDrawing" xmlns:a="http://schemas.openxmlformats.org/drawingml/2006/main">
  <xdr:twoCellAnchor editAs="oneCell">
    <xdr:from>
      <xdr:col>9</xdr:col>
      <xdr:colOff>47625</xdr:colOff>
      <xdr:row>16</xdr:row>
      <xdr:rowOff>114300</xdr:rowOff>
    </xdr:from>
    <xdr:to>
      <xdr:col>9</xdr:col>
      <xdr:colOff>3314701</xdr:colOff>
      <xdr:row>24</xdr:row>
      <xdr:rowOff>169889</xdr:rowOff>
    </xdr:to>
    <xdr:pic>
      <xdr:nvPicPr>
        <xdr:cNvPr id="7" name="Picture 6">
          <a:extLst>
            <a:ext uri="{FF2B5EF4-FFF2-40B4-BE49-F238E27FC236}">
              <a16:creationId xmlns:a16="http://schemas.microsoft.com/office/drawing/2014/main" id="{EF30EADC-EC1F-4328-8BE1-01D9A08CD2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58275" y="3362325"/>
          <a:ext cx="3267076" cy="18653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47625</xdr:colOff>
      <xdr:row>2</xdr:row>
      <xdr:rowOff>28575</xdr:rowOff>
    </xdr:from>
    <xdr:to>
      <xdr:col>9</xdr:col>
      <xdr:colOff>3314701</xdr:colOff>
      <xdr:row>12</xdr:row>
      <xdr:rowOff>219076</xdr:rowOff>
    </xdr:to>
    <xdr:pic>
      <xdr:nvPicPr>
        <xdr:cNvPr id="8" name="Picture 7">
          <a:extLst>
            <a:ext uri="{FF2B5EF4-FFF2-40B4-BE49-F238E27FC236}">
              <a16:creationId xmlns:a16="http://schemas.microsoft.com/office/drawing/2014/main" id="{AE5FE9E0-AB4E-400D-A93F-77AAC0159538}"/>
            </a:ext>
          </a:extLst>
        </xdr:cNvPr>
        <xdr:cNvPicPr>
          <a:picLocks/>
        </xdr:cNvPicPr>
      </xdr:nvPicPr>
      <xdr:blipFill>
        <a:blip xmlns:r="http://schemas.openxmlformats.org/officeDocument/2006/relationships" r:embed="rId2"/>
        <a:stretch>
          <a:fillRect/>
        </a:stretch>
      </xdr:blipFill>
      <xdr:spPr>
        <a:xfrm>
          <a:off x="9058275" y="409575"/>
          <a:ext cx="3267076" cy="208597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95251</xdr:colOff>
      <xdr:row>15</xdr:row>
      <xdr:rowOff>47625</xdr:rowOff>
    </xdr:from>
    <xdr:to>
      <xdr:col>9</xdr:col>
      <xdr:colOff>3324225</xdr:colOff>
      <xdr:row>26</xdr:row>
      <xdr:rowOff>9525</xdr:rowOff>
    </xdr:to>
    <xdr:pic>
      <xdr:nvPicPr>
        <xdr:cNvPr id="5" name="Picture 4">
          <a:extLst>
            <a:ext uri="{FF2B5EF4-FFF2-40B4-BE49-F238E27FC236}">
              <a16:creationId xmlns:a16="http://schemas.microsoft.com/office/drawing/2014/main" id="{9B7FB021-75E8-459C-85E5-CB8FDC374D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15301" y="2809875"/>
          <a:ext cx="3228974" cy="1771650"/>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57149</xdr:colOff>
      <xdr:row>29</xdr:row>
      <xdr:rowOff>9527</xdr:rowOff>
    </xdr:from>
    <xdr:ext cx="3286125" cy="1657348"/>
    <xdr:pic>
      <xdr:nvPicPr>
        <xdr:cNvPr id="6" name="Picture 5">
          <a:extLst>
            <a:ext uri="{FF2B5EF4-FFF2-40B4-BE49-F238E27FC236}">
              <a16:creationId xmlns:a16="http://schemas.microsoft.com/office/drawing/2014/main" id="{33292AF1-D0A9-4B8C-8C72-1D6E9C02FE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77199" y="5067302"/>
          <a:ext cx="3286125" cy="1657348"/>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57150</xdr:colOff>
      <xdr:row>2</xdr:row>
      <xdr:rowOff>47625</xdr:rowOff>
    </xdr:from>
    <xdr:to>
      <xdr:col>9</xdr:col>
      <xdr:colOff>3333750</xdr:colOff>
      <xdr:row>12</xdr:row>
      <xdr:rowOff>133350</xdr:rowOff>
    </xdr:to>
    <xdr:pic>
      <xdr:nvPicPr>
        <xdr:cNvPr id="7" name="Picture 6">
          <a:extLst>
            <a:ext uri="{FF2B5EF4-FFF2-40B4-BE49-F238E27FC236}">
              <a16:creationId xmlns:a16="http://schemas.microsoft.com/office/drawing/2014/main" id="{8B8B1BD8-9500-4C3E-893D-76EA2B0F86A7}"/>
            </a:ext>
          </a:extLst>
        </xdr:cNvPr>
        <xdr:cNvPicPr>
          <a:picLocks noChangeAspect="1"/>
        </xdr:cNvPicPr>
      </xdr:nvPicPr>
      <xdr:blipFill>
        <a:blip xmlns:r="http://schemas.openxmlformats.org/officeDocument/2006/relationships" r:embed="rId2"/>
        <a:stretch>
          <a:fillRect/>
        </a:stretch>
      </xdr:blipFill>
      <xdr:spPr>
        <a:xfrm>
          <a:off x="8077200" y="428625"/>
          <a:ext cx="3276600" cy="19812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132.201.0.2\fasundaram\DEBT_BACKOFFICE\Debt_Factsheets\2024%20-%20Fornightly%20Portfolio\18.%2015%20Nov%202024\OBIP%20DEBT%20HOLDING%20REPORT-15.11.2024%20-%20Bala.xls" TargetMode="External"/><Relationship Id="rId1" Type="http://schemas.openxmlformats.org/officeDocument/2006/relationships/externalLinkPath" Target="file:///\\132.201.0.2\fasundaram\DEBT_BACKOFFICE\Debt_Factsheets\2024%20-%20Fornightly%20Portfolio\18.%2015%20Nov%202024\OBIP%20DEBT%20HOLDING%20REPORT-15.11.2024%20-%20Bal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ebt Holding Summary"/>
      <sheetName val="Debt Holding Consolidated"/>
      <sheetName val="SFRLTP"/>
      <sheetName val="SFRSTP"/>
      <sheetName val="SMMF"/>
      <sheetName val="SPLDF"/>
      <sheetName val="SPMON"/>
      <sheetName val="SPSDF"/>
      <sheetName val="SPUSDF"/>
      <sheetName val="SUNBDS"/>
      <sheetName val="SUNMIA"/>
      <sheetName val="SUNONF"/>
      <sheetName val="SPESF"/>
      <sheetName val="SPAHF"/>
      <sheetName val="SPARF"/>
      <sheetName val="SPBAF"/>
      <sheetName val="SUNMAF"/>
    </sheetNames>
    <sheetDataSet>
      <sheetData sheetId="0"/>
      <sheetData sheetId="1">
        <row r="1">
          <cell r="AL1" t="str">
            <v>Run Date &amp; Time :</v>
          </cell>
          <cell r="AM1" t="str">
            <v>15-11-2024 07:39 PM</v>
          </cell>
        </row>
        <row r="2">
          <cell r="AL2" t="str">
            <v>User ID         :</v>
          </cell>
          <cell r="AM2" t="str">
            <v>BOOPA1</v>
          </cell>
        </row>
        <row r="3">
          <cell r="AL3" t="str">
            <v>Business Date   :</v>
          </cell>
          <cell r="AM3" t="str">
            <v>16-11-2024</v>
          </cell>
        </row>
        <row r="4">
          <cell r="C4" t="str">
            <v>ISIN_CODE</v>
          </cell>
          <cell r="D4" t="str">
            <v>SECURITY</v>
          </cell>
          <cell r="E4" t="str">
            <v>ASSET_TYPE</v>
          </cell>
          <cell r="F4" t="str">
            <v>ISSUER_NAME</v>
          </cell>
          <cell r="G4" t="str">
            <v>SECURITY_NAME</v>
          </cell>
          <cell r="H4" t="str">
            <v>COUPON</v>
          </cell>
          <cell r="I4" t="str">
            <v>MAT_DATE</v>
          </cell>
          <cell r="J4" t="str">
            <v>RATING</v>
          </cell>
          <cell r="K4" t="str">
            <v>MDUR</v>
          </cell>
          <cell r="L4" t="str">
            <v>FACE_VALUE</v>
          </cell>
          <cell r="M4" t="str">
            <v>UNITS</v>
          </cell>
          <cell r="N4" t="str">
            <v>YIELD</v>
          </cell>
          <cell r="O4" t="str">
            <v>MKT_PRICE</v>
          </cell>
          <cell r="P4" t="str">
            <v>MKT_VAL</v>
          </cell>
          <cell r="Q4" t="str">
            <v>ACCRUED_INTEREST</v>
          </cell>
          <cell r="R4" t="str">
            <v>ACCR_DISC</v>
          </cell>
          <cell r="S4" t="str">
            <v>UR_APP_DEP</v>
          </cell>
          <cell r="T4" t="str">
            <v>DIRTY_VALUE</v>
          </cell>
          <cell r="U4" t="str">
            <v>%TOAUM -MV</v>
          </cell>
          <cell r="V4" t="str">
            <v>%TOAUM -DV</v>
          </cell>
          <cell r="W4" t="str">
            <v>COST_UNITS</v>
          </cell>
          <cell r="X4" t="str">
            <v>BOOK_COST</v>
          </cell>
          <cell r="Y4" t="str">
            <v>NEXT_INT_DATE</v>
          </cell>
          <cell r="Z4" t="str">
            <v>AMFI_SECTOR</v>
          </cell>
          <cell r="AA4" t="str">
            <v>NEXT_PUT_DATE</v>
          </cell>
          <cell r="AB4" t="str">
            <v>NEXT_CALL_DATE</v>
          </cell>
          <cell r="AC4" t="str">
            <v>SEBI_SECTOR_CLASSIFICATION</v>
          </cell>
          <cell r="AD4" t="str">
            <v>Days to Maturity</v>
          </cell>
          <cell r="AE4" t="str">
            <v>Listed (Y/N)</v>
          </cell>
          <cell r="AF4" t="str">
            <v>PREV_INT_DATE</v>
          </cell>
          <cell r="AG4" t="str">
            <v>PREV_YIELD</v>
          </cell>
          <cell r="AH4" t="str">
            <v>PREV UR_APP_DEP</v>
          </cell>
          <cell r="AI4" t="str">
            <v>ISSUER_CODE</v>
          </cell>
          <cell r="AJ4" t="str">
            <v>Short Term Rating</v>
          </cell>
          <cell r="AK4" t="str">
            <v>Long Term Rating(Conservative)</v>
          </cell>
          <cell r="AL4" t="str">
            <v>Liquidity Score</v>
          </cell>
          <cell r="AM4" t="str">
            <v>Credit Score</v>
          </cell>
        </row>
        <row r="5">
          <cell r="C5" t="str">
            <v>INF0RQ622028</v>
          </cell>
          <cell r="D5" t="str">
            <v>CDMDF23</v>
          </cell>
          <cell r="E5" t="str">
            <v>CDMDF</v>
          </cell>
          <cell r="F5" t="str">
            <v>Corporate Debt Market Development Fund</v>
          </cell>
          <cell r="G5" t="str">
            <v>Corporate Debt Market Development Fund - Class A2</v>
          </cell>
          <cell r="H5">
            <v>0</v>
          </cell>
          <cell r="K5">
            <v>0</v>
          </cell>
          <cell r="L5">
            <v>10000</v>
          </cell>
          <cell r="M5">
            <v>2586.3710000000001</v>
          </cell>
          <cell r="N5">
            <v>9.9999999999999995E-7</v>
          </cell>
          <cell r="O5">
            <v>10450.479300000001</v>
          </cell>
          <cell r="P5">
            <v>27028816.600000001</v>
          </cell>
          <cell r="Q5">
            <v>0</v>
          </cell>
          <cell r="R5">
            <v>0</v>
          </cell>
          <cell r="S5">
            <v>1165109.79</v>
          </cell>
          <cell r="T5">
            <v>27028816.600000001</v>
          </cell>
          <cell r="U5">
            <v>0.37</v>
          </cell>
          <cell r="V5">
            <v>0.37</v>
          </cell>
          <cell r="W5">
            <v>9999.9987666115958</v>
          </cell>
          <cell r="X5">
            <v>25863706.809999999</v>
          </cell>
          <cell r="Z5" t="str">
            <v>Financial Services</v>
          </cell>
          <cell r="AE5" t="str">
            <v>N</v>
          </cell>
          <cell r="AG5">
            <v>9.9999999999999995E-7</v>
          </cell>
          <cell r="AH5">
            <v>1162420.22</v>
          </cell>
          <cell r="AI5" t="str">
            <v>CDMDF</v>
          </cell>
        </row>
        <row r="6">
          <cell r="C6" t="str">
            <v>IN0020230051</v>
          </cell>
          <cell r="D6" t="str">
            <v>7.30GSE190653</v>
          </cell>
          <cell r="E6" t="str">
            <v>GSE</v>
          </cell>
          <cell r="F6" t="str">
            <v>Govt. of India - GSec / TBL</v>
          </cell>
          <cell r="G6" t="str">
            <v>7.30% Government Securities - 19/06/2053</v>
          </cell>
          <cell r="H6">
            <v>7.3</v>
          </cell>
          <cell r="I6" t="str">
            <v>19-06-2053</v>
          </cell>
          <cell r="J6" t="str">
            <v>Sovereign</v>
          </cell>
          <cell r="K6">
            <v>12.2509</v>
          </cell>
          <cell r="L6">
            <v>100</v>
          </cell>
          <cell r="M6">
            <v>1500000</v>
          </cell>
          <cell r="N6">
            <v>7.1519000000000004</v>
          </cell>
          <cell r="O6">
            <v>103.3186</v>
          </cell>
          <cell r="P6">
            <v>154977900</v>
          </cell>
          <cell r="Q6">
            <v>4471250</v>
          </cell>
          <cell r="R6">
            <v>0</v>
          </cell>
          <cell r="S6">
            <v>-107100</v>
          </cell>
          <cell r="T6">
            <v>159449150</v>
          </cell>
          <cell r="U6">
            <v>2.11</v>
          </cell>
          <cell r="V6">
            <v>2.17</v>
          </cell>
          <cell r="W6">
            <v>103.39</v>
          </cell>
          <cell r="X6">
            <v>155085000</v>
          </cell>
          <cell r="Y6" t="str">
            <v>19-12-2024</v>
          </cell>
          <cell r="Z6" t="str">
            <v>Exempt - GSECs</v>
          </cell>
          <cell r="AC6" t="str">
            <v>Exempt - GSECs</v>
          </cell>
          <cell r="AD6">
            <v>10443</v>
          </cell>
          <cell r="AE6" t="str">
            <v>Y</v>
          </cell>
          <cell r="AF6" t="str">
            <v>19-06-2024</v>
          </cell>
          <cell r="AG6">
            <v>7.1519000000000004</v>
          </cell>
          <cell r="AH6">
            <v>-107250</v>
          </cell>
          <cell r="AI6" t="str">
            <v>GOVT.</v>
          </cell>
          <cell r="AJ6" t="str">
            <v>Gsec</v>
          </cell>
          <cell r="AK6" t="str">
            <v>Gsec</v>
          </cell>
          <cell r="AL6" t="str">
            <v>1</v>
          </cell>
          <cell r="AM6" t="str">
            <v>1</v>
          </cell>
        </row>
        <row r="7">
          <cell r="C7" t="str">
            <v>IN0020230077</v>
          </cell>
          <cell r="D7" t="str">
            <v>7.18GSE240737</v>
          </cell>
          <cell r="E7" t="str">
            <v>GSE</v>
          </cell>
          <cell r="F7" t="str">
            <v>Govt. of India - GSec / TBL</v>
          </cell>
          <cell r="G7" t="str">
            <v>7.18%  Government Securities - 24/07/2037</v>
          </cell>
          <cell r="H7">
            <v>7.18</v>
          </cell>
          <cell r="I7" t="str">
            <v>24-07-2037</v>
          </cell>
          <cell r="J7" t="str">
            <v>Sovereign</v>
          </cell>
          <cell r="K7">
            <v>8.4002999999999997</v>
          </cell>
          <cell r="L7">
            <v>100</v>
          </cell>
          <cell r="M7">
            <v>500000</v>
          </cell>
          <cell r="N7">
            <v>7.0457000000000001</v>
          </cell>
          <cell r="O7">
            <v>102.10890000000001</v>
          </cell>
          <cell r="P7">
            <v>51054450</v>
          </cell>
          <cell r="Q7">
            <v>1116888.8899999999</v>
          </cell>
          <cell r="R7">
            <v>0</v>
          </cell>
          <cell r="S7">
            <v>-323050</v>
          </cell>
          <cell r="T7">
            <v>52171338.890000001</v>
          </cell>
          <cell r="U7">
            <v>0.69</v>
          </cell>
          <cell r="V7">
            <v>0.71</v>
          </cell>
          <cell r="W7">
            <v>102.755</v>
          </cell>
          <cell r="X7">
            <v>51377500</v>
          </cell>
          <cell r="Y7" t="str">
            <v>24-01-2025</v>
          </cell>
          <cell r="Z7" t="str">
            <v>Exempt - GSECs</v>
          </cell>
          <cell r="AC7" t="str">
            <v>Exempt - GSECs</v>
          </cell>
          <cell r="AD7">
            <v>4634</v>
          </cell>
          <cell r="AE7" t="str">
            <v>Y</v>
          </cell>
          <cell r="AF7" t="str">
            <v>24-07-2024</v>
          </cell>
          <cell r="AG7">
            <v>7.0457000000000001</v>
          </cell>
          <cell r="AH7">
            <v>-322950</v>
          </cell>
          <cell r="AI7" t="str">
            <v>GOVT.</v>
          </cell>
          <cell r="AJ7" t="str">
            <v>Gsec</v>
          </cell>
          <cell r="AK7" t="str">
            <v>Gsec</v>
          </cell>
          <cell r="AL7" t="str">
            <v>1</v>
          </cell>
          <cell r="AM7" t="str">
            <v>1</v>
          </cell>
        </row>
        <row r="8">
          <cell r="C8" t="str">
            <v>IN0020230101</v>
          </cell>
          <cell r="D8" t="str">
            <v>7.37GSE231028</v>
          </cell>
          <cell r="E8" t="str">
            <v>GSE</v>
          </cell>
          <cell r="F8" t="str">
            <v>Govt. of India - GSec / TBL</v>
          </cell>
          <cell r="G8" t="str">
            <v>7.37% Government Securities-23/10/2028</v>
          </cell>
          <cell r="H8">
            <v>7.37</v>
          </cell>
          <cell r="I8" t="str">
            <v>23-10-2028</v>
          </cell>
          <cell r="J8" t="str">
            <v>Sovereign</v>
          </cell>
          <cell r="K8">
            <v>3.4780000000000002</v>
          </cell>
          <cell r="L8">
            <v>100</v>
          </cell>
          <cell r="M8">
            <v>1000000</v>
          </cell>
          <cell r="N8">
            <v>6.8860000000000001</v>
          </cell>
          <cell r="O8">
            <v>102.03149999999999</v>
          </cell>
          <cell r="P8">
            <v>102031500</v>
          </cell>
          <cell r="Q8">
            <v>470861.11</v>
          </cell>
          <cell r="R8">
            <v>0</v>
          </cell>
          <cell r="S8">
            <v>146500</v>
          </cell>
          <cell r="T8">
            <v>102502361.11</v>
          </cell>
          <cell r="U8">
            <v>1.39</v>
          </cell>
          <cell r="V8">
            <v>1.39</v>
          </cell>
          <cell r="W8">
            <v>101.88500000000001</v>
          </cell>
          <cell r="X8">
            <v>101885000</v>
          </cell>
          <cell r="Y8" t="str">
            <v>23-04-2025</v>
          </cell>
          <cell r="Z8" t="str">
            <v>Exempt - GSECs</v>
          </cell>
          <cell r="AC8" t="str">
            <v>Exempt - GSECs</v>
          </cell>
          <cell r="AD8">
            <v>1438</v>
          </cell>
          <cell r="AE8" t="str">
            <v>Y</v>
          </cell>
          <cell r="AF8" t="str">
            <v>23-10-2024</v>
          </cell>
          <cell r="AG8">
            <v>6.8860000000000001</v>
          </cell>
          <cell r="AH8">
            <v>148100</v>
          </cell>
          <cell r="AI8" t="str">
            <v>GOVT.</v>
          </cell>
          <cell r="AJ8" t="str">
            <v>Gsec</v>
          </cell>
          <cell r="AK8" t="str">
            <v>Gsec</v>
          </cell>
          <cell r="AL8" t="str">
            <v>1</v>
          </cell>
          <cell r="AM8" t="str">
            <v>1</v>
          </cell>
        </row>
        <row r="9">
          <cell r="C9" t="str">
            <v>IN0020230135</v>
          </cell>
          <cell r="D9" t="str">
            <v>7.32GSE131130</v>
          </cell>
          <cell r="E9" t="str">
            <v>GSE</v>
          </cell>
          <cell r="F9" t="str">
            <v>Govt. of India - GSec / TBL</v>
          </cell>
          <cell r="G9" t="str">
            <v>7.32% Government Securities-13/11/2030</v>
          </cell>
          <cell r="H9">
            <v>7.32</v>
          </cell>
          <cell r="I9" t="str">
            <v>13-11-2030</v>
          </cell>
          <cell r="J9" t="str">
            <v>Sovereign</v>
          </cell>
          <cell r="K9">
            <v>4.9672999999999998</v>
          </cell>
          <cell r="L9">
            <v>100</v>
          </cell>
          <cell r="M9">
            <v>2000000</v>
          </cell>
          <cell r="N9">
            <v>6.9595000000000002</v>
          </cell>
          <cell r="O9">
            <v>102.3147</v>
          </cell>
          <cell r="P9">
            <v>204629400</v>
          </cell>
          <cell r="Q9">
            <v>122000</v>
          </cell>
          <cell r="R9">
            <v>0</v>
          </cell>
          <cell r="S9">
            <v>2010233.33</v>
          </cell>
          <cell r="T9">
            <v>204751400</v>
          </cell>
          <cell r="U9">
            <v>2.78</v>
          </cell>
          <cell r="V9">
            <v>2.78</v>
          </cell>
          <cell r="W9">
            <v>101.309583335</v>
          </cell>
          <cell r="X9">
            <v>202619166.66999999</v>
          </cell>
          <cell r="Y9" t="str">
            <v>13-05-2025</v>
          </cell>
          <cell r="Z9" t="str">
            <v>Exempt - GSECs</v>
          </cell>
          <cell r="AC9" t="str">
            <v>Exempt - GSECs</v>
          </cell>
          <cell r="AD9">
            <v>2189</v>
          </cell>
          <cell r="AE9" t="str">
            <v>Y</v>
          </cell>
          <cell r="AF9" t="str">
            <v>13-11-2024</v>
          </cell>
          <cell r="AG9">
            <v>6.9595000000000002</v>
          </cell>
          <cell r="AH9">
            <v>2012633.33</v>
          </cell>
          <cell r="AI9" t="str">
            <v>GOVT.</v>
          </cell>
          <cell r="AJ9" t="str">
            <v>Gsec</v>
          </cell>
          <cell r="AK9" t="str">
            <v>Gsec</v>
          </cell>
          <cell r="AL9" t="str">
            <v>1</v>
          </cell>
          <cell r="AM9" t="str">
            <v>1</v>
          </cell>
        </row>
        <row r="10">
          <cell r="C10" t="str">
            <v>IN0020240019</v>
          </cell>
          <cell r="D10" t="str">
            <v>7.10GSE080434</v>
          </cell>
          <cell r="E10" t="str">
            <v>GSE</v>
          </cell>
          <cell r="F10" t="str">
            <v>Govt. of India - GSec / TBL</v>
          </cell>
          <cell r="G10" t="str">
            <v>7.10% Central Government Securities 08/04/2034</v>
          </cell>
          <cell r="H10">
            <v>7.1</v>
          </cell>
          <cell r="I10" t="str">
            <v>08-04-2034</v>
          </cell>
          <cell r="J10" t="str">
            <v>Sovereign</v>
          </cell>
          <cell r="K10">
            <v>6.9844999999999997</v>
          </cell>
          <cell r="L10">
            <v>100</v>
          </cell>
          <cell r="M10">
            <v>11500000</v>
          </cell>
          <cell r="N10">
            <v>6.9813999999999998</v>
          </cell>
          <cell r="O10">
            <v>101.60720000000001</v>
          </cell>
          <cell r="P10">
            <v>1168482800</v>
          </cell>
          <cell r="Q10">
            <v>8618611.1099999994</v>
          </cell>
          <cell r="R10">
            <v>0</v>
          </cell>
          <cell r="S10">
            <v>-6165605.5800000001</v>
          </cell>
          <cell r="T10">
            <v>1177101411.1099999</v>
          </cell>
          <cell r="U10">
            <v>15.88</v>
          </cell>
          <cell r="V10">
            <v>16</v>
          </cell>
          <cell r="W10">
            <v>102.14333961565217</v>
          </cell>
          <cell r="X10">
            <v>1174648405.5799999</v>
          </cell>
          <cell r="Y10" t="str">
            <v>08-04-2025</v>
          </cell>
          <cell r="Z10" t="str">
            <v>Exempt - GSECs</v>
          </cell>
          <cell r="AC10" t="str">
            <v>Exempt - GSECs</v>
          </cell>
          <cell r="AD10">
            <v>3431</v>
          </cell>
          <cell r="AE10" t="str">
            <v>Y</v>
          </cell>
          <cell r="AF10" t="str">
            <v>08-10-2024</v>
          </cell>
          <cell r="AG10">
            <v>6.9813999999999998</v>
          </cell>
          <cell r="AH10">
            <v>-6158705.5800000001</v>
          </cell>
          <cell r="AI10" t="str">
            <v>GOVT.</v>
          </cell>
          <cell r="AJ10" t="str">
            <v>GSEC</v>
          </cell>
          <cell r="AK10" t="str">
            <v>GSEC</v>
          </cell>
          <cell r="AL10" t="str">
            <v>1</v>
          </cell>
          <cell r="AM10" t="str">
            <v>1</v>
          </cell>
        </row>
        <row r="11">
          <cell r="C11" t="str">
            <v>IN0020240027</v>
          </cell>
          <cell r="D11" t="str">
            <v>7.23GSE150439</v>
          </cell>
          <cell r="E11" t="str">
            <v>GSE</v>
          </cell>
          <cell r="F11" t="str">
            <v>Govt. of India - GSec / TBL</v>
          </cell>
          <cell r="G11" t="str">
            <v>7.23% Central Government Securities 15/04/2039</v>
          </cell>
          <cell r="H11">
            <v>7.23</v>
          </cell>
          <cell r="I11" t="str">
            <v>15-04-2039</v>
          </cell>
          <cell r="J11" t="str">
            <v>Sovereign</v>
          </cell>
          <cell r="K11">
            <v>9.2065000000000001</v>
          </cell>
          <cell r="L11">
            <v>100</v>
          </cell>
          <cell r="M11">
            <v>500000</v>
          </cell>
          <cell r="N11">
            <v>7.0387000000000004</v>
          </cell>
          <cell r="O11">
            <v>102.79989999999999</v>
          </cell>
          <cell r="P11">
            <v>51399950</v>
          </cell>
          <cell r="Q11">
            <v>311291.67</v>
          </cell>
          <cell r="R11">
            <v>0</v>
          </cell>
          <cell r="S11">
            <v>-417550</v>
          </cell>
          <cell r="T11">
            <v>51711241.670000002</v>
          </cell>
          <cell r="U11">
            <v>0.7</v>
          </cell>
          <cell r="V11">
            <v>0.7</v>
          </cell>
          <cell r="W11">
            <v>103.63500000000001</v>
          </cell>
          <cell r="X11">
            <v>51817500</v>
          </cell>
          <cell r="Y11" t="str">
            <v>15-04-2025</v>
          </cell>
          <cell r="Z11" t="str">
            <v>Exempt - GSECs</v>
          </cell>
          <cell r="AC11" t="str">
            <v>Exempt - GSECs</v>
          </cell>
          <cell r="AD11">
            <v>5264</v>
          </cell>
          <cell r="AE11" t="str">
            <v>Y</v>
          </cell>
          <cell r="AF11" t="str">
            <v>15-10-2024</v>
          </cell>
          <cell r="AG11">
            <v>7.0387000000000004</v>
          </cell>
          <cell r="AH11">
            <v>-417300</v>
          </cell>
          <cell r="AI11" t="str">
            <v>GOVT.</v>
          </cell>
          <cell r="AJ11" t="str">
            <v>GSEC</v>
          </cell>
          <cell r="AK11" t="str">
            <v>GSEC</v>
          </cell>
          <cell r="AL11" t="str">
            <v>1</v>
          </cell>
          <cell r="AM11" t="str">
            <v>1</v>
          </cell>
        </row>
        <row r="12">
          <cell r="C12" t="str">
            <v>IN0020240035</v>
          </cell>
          <cell r="D12" t="str">
            <v>7.34GSE220464</v>
          </cell>
          <cell r="E12" t="str">
            <v>GSE</v>
          </cell>
          <cell r="F12" t="str">
            <v>Govt. of India - GSec / TBL</v>
          </cell>
          <cell r="G12" t="str">
            <v>7.34% Central Government Securities 22/04/2064</v>
          </cell>
          <cell r="H12">
            <v>7.34</v>
          </cell>
          <cell r="I12" t="str">
            <v>22-04-2064</v>
          </cell>
          <cell r="J12" t="str">
            <v>Sovereign</v>
          </cell>
          <cell r="K12">
            <v>13.5962</v>
          </cell>
          <cell r="L12">
            <v>100</v>
          </cell>
          <cell r="M12">
            <v>1000000</v>
          </cell>
          <cell r="N12">
            <v>7.1776999999999997</v>
          </cell>
          <cell r="O12">
            <v>103.7933</v>
          </cell>
          <cell r="P12">
            <v>103793300</v>
          </cell>
          <cell r="Q12">
            <v>489333.33</v>
          </cell>
          <cell r="R12">
            <v>0</v>
          </cell>
          <cell r="S12">
            <v>-965200</v>
          </cell>
          <cell r="T12">
            <v>104282633.33</v>
          </cell>
          <cell r="U12">
            <v>1.41</v>
          </cell>
          <cell r="V12">
            <v>1.42</v>
          </cell>
          <cell r="W12">
            <v>104.7585</v>
          </cell>
          <cell r="X12">
            <v>104758500</v>
          </cell>
          <cell r="Y12" t="str">
            <v>22-04-2025</v>
          </cell>
          <cell r="Z12" t="str">
            <v>Exempt - GSECs</v>
          </cell>
          <cell r="AC12" t="str">
            <v>Exempt - GSECs</v>
          </cell>
          <cell r="AD12">
            <v>14403</v>
          </cell>
          <cell r="AE12" t="str">
            <v>Y</v>
          </cell>
          <cell r="AF12" t="str">
            <v>22-10-2024</v>
          </cell>
          <cell r="AG12">
            <v>7.1776999999999997</v>
          </cell>
          <cell r="AH12">
            <v>-964900</v>
          </cell>
          <cell r="AI12" t="str">
            <v>GOVT.</v>
          </cell>
          <cell r="AJ12" t="str">
            <v>GSEC</v>
          </cell>
          <cell r="AK12" t="str">
            <v>GSEC</v>
          </cell>
          <cell r="AL12" t="str">
            <v>1</v>
          </cell>
          <cell r="AM12" t="str">
            <v>1</v>
          </cell>
        </row>
        <row r="13">
          <cell r="C13" t="str">
            <v>INE020B08EK4</v>
          </cell>
          <cell r="D13" t="str">
            <v>UT47NC317</v>
          </cell>
          <cell r="E13" t="str">
            <v>NCD</v>
          </cell>
          <cell r="F13" t="str">
            <v>REC LTD</v>
          </cell>
          <cell r="G13" t="str">
            <v>7.46% REC Ltd  NCD  MD 30-06-2028</v>
          </cell>
          <cell r="H13">
            <v>7.46</v>
          </cell>
          <cell r="I13" t="str">
            <v>30-06-2028</v>
          </cell>
          <cell r="J13" t="str">
            <v>CRISIL AAA</v>
          </cell>
          <cell r="K13">
            <v>3.222</v>
          </cell>
          <cell r="L13">
            <v>100000</v>
          </cell>
          <cell r="M13">
            <v>2500</v>
          </cell>
          <cell r="N13">
            <v>7.4050000000000002</v>
          </cell>
          <cell r="O13">
            <v>100106.6</v>
          </cell>
          <cell r="P13">
            <v>250266500</v>
          </cell>
          <cell r="Q13">
            <v>7051232.8799999999</v>
          </cell>
          <cell r="R13">
            <v>0</v>
          </cell>
          <cell r="S13">
            <v>266500</v>
          </cell>
          <cell r="T13">
            <v>257317732.88</v>
          </cell>
          <cell r="U13">
            <v>3.4</v>
          </cell>
          <cell r="V13">
            <v>3.5</v>
          </cell>
          <cell r="W13">
            <v>100000</v>
          </cell>
          <cell r="X13">
            <v>250000000</v>
          </cell>
          <cell r="Y13" t="str">
            <v>30-06-2025</v>
          </cell>
          <cell r="Z13" t="str">
            <v>Financial Services</v>
          </cell>
          <cell r="AC13" t="str">
            <v>Exempt - PFI</v>
          </cell>
          <cell r="AD13">
            <v>1323</v>
          </cell>
          <cell r="AE13" t="str">
            <v>Y</v>
          </cell>
          <cell r="AF13" t="str">
            <v>30-06-2024</v>
          </cell>
          <cell r="AG13">
            <v>7.4050000000000002</v>
          </cell>
          <cell r="AH13">
            <v>267250</v>
          </cell>
          <cell r="AI13" t="str">
            <v>UT47</v>
          </cell>
          <cell r="AJ13" t="str">
            <v>A1+</v>
          </cell>
          <cell r="AK13" t="str">
            <v>AAA</v>
          </cell>
          <cell r="AL13" t="str">
            <v>1</v>
          </cell>
          <cell r="AM13" t="str">
            <v>1</v>
          </cell>
        </row>
        <row r="14">
          <cell r="C14" t="str">
            <v>INE020B08EL2</v>
          </cell>
          <cell r="D14" t="str">
            <v>UT47NC316</v>
          </cell>
          <cell r="E14" t="str">
            <v>NCD</v>
          </cell>
          <cell r="F14" t="str">
            <v>REC LTD</v>
          </cell>
          <cell r="G14" t="str">
            <v>7.44% REC NCD MD  30.04.2026</v>
          </cell>
          <cell r="H14">
            <v>7.44</v>
          </cell>
          <cell r="I14" t="str">
            <v>30-04-2026</v>
          </cell>
          <cell r="J14" t="str">
            <v>CRISIL AAA</v>
          </cell>
          <cell r="K14">
            <v>1.3944000000000001</v>
          </cell>
          <cell r="L14">
            <v>100000</v>
          </cell>
          <cell r="M14">
            <v>2500</v>
          </cell>
          <cell r="N14">
            <v>7.5</v>
          </cell>
          <cell r="O14">
            <v>99891</v>
          </cell>
          <cell r="P14">
            <v>249727500</v>
          </cell>
          <cell r="Q14">
            <v>7032328.7699999996</v>
          </cell>
          <cell r="R14">
            <v>0</v>
          </cell>
          <cell r="S14">
            <v>161000</v>
          </cell>
          <cell r="T14">
            <v>256759828.77000001</v>
          </cell>
          <cell r="U14">
            <v>3.39</v>
          </cell>
          <cell r="V14">
            <v>3.49</v>
          </cell>
          <cell r="W14">
            <v>99826.6</v>
          </cell>
          <cell r="X14">
            <v>249566500</v>
          </cell>
          <cell r="Y14" t="str">
            <v>30-06-2025</v>
          </cell>
          <cell r="Z14" t="str">
            <v>Financial Services</v>
          </cell>
          <cell r="AC14" t="str">
            <v>Exempt - PFI</v>
          </cell>
          <cell r="AD14">
            <v>531</v>
          </cell>
          <cell r="AE14" t="str">
            <v>Y</v>
          </cell>
          <cell r="AF14" t="str">
            <v>30-06-2024</v>
          </cell>
          <cell r="AG14">
            <v>7.5</v>
          </cell>
          <cell r="AH14">
            <v>161000</v>
          </cell>
          <cell r="AI14" t="str">
            <v>UT47</v>
          </cell>
          <cell r="AJ14" t="str">
            <v>A1+</v>
          </cell>
          <cell r="AK14" t="str">
            <v>AAA</v>
          </cell>
          <cell r="AL14" t="str">
            <v>1</v>
          </cell>
          <cell r="AM14" t="str">
            <v>1</v>
          </cell>
        </row>
        <row r="15">
          <cell r="C15" t="str">
            <v>INE020B08EP3</v>
          </cell>
          <cell r="D15" t="str">
            <v>UT47NC318</v>
          </cell>
          <cell r="E15" t="str">
            <v>NCD</v>
          </cell>
          <cell r="F15" t="str">
            <v>REC LTD</v>
          </cell>
          <cell r="G15" t="str">
            <v>7.77% REC NCD MD 30-09-2026</v>
          </cell>
          <cell r="H15">
            <v>7.77</v>
          </cell>
          <cell r="I15" t="str">
            <v>30-09-2026</v>
          </cell>
          <cell r="J15" t="str">
            <v>CRISIL AAA</v>
          </cell>
          <cell r="K15">
            <v>1.7992999999999999</v>
          </cell>
          <cell r="L15">
            <v>100000</v>
          </cell>
          <cell r="M15">
            <v>1500</v>
          </cell>
          <cell r="N15">
            <v>7.5</v>
          </cell>
          <cell r="O15">
            <v>100424.4</v>
          </cell>
          <cell r="P15">
            <v>150636600</v>
          </cell>
          <cell r="Q15">
            <v>1500780.82</v>
          </cell>
          <cell r="R15">
            <v>0</v>
          </cell>
          <cell r="S15">
            <v>636600</v>
          </cell>
          <cell r="T15">
            <v>152137380.81999999</v>
          </cell>
          <cell r="U15">
            <v>2.0499999999999998</v>
          </cell>
          <cell r="V15">
            <v>2.0699999999999998</v>
          </cell>
          <cell r="W15">
            <v>100000</v>
          </cell>
          <cell r="X15">
            <v>150000000</v>
          </cell>
          <cell r="Y15" t="str">
            <v>30-09-2025</v>
          </cell>
          <cell r="Z15" t="str">
            <v>Financial Services</v>
          </cell>
          <cell r="AC15" t="str">
            <v>Exempt - PFI</v>
          </cell>
          <cell r="AD15">
            <v>684</v>
          </cell>
          <cell r="AE15" t="str">
            <v>Y</v>
          </cell>
          <cell r="AF15" t="str">
            <v>30-09-2024</v>
          </cell>
          <cell r="AG15">
            <v>7.5</v>
          </cell>
          <cell r="AH15">
            <v>638400</v>
          </cell>
          <cell r="AI15" t="str">
            <v>UT47</v>
          </cell>
          <cell r="AJ15" t="str">
            <v>A1+</v>
          </cell>
          <cell r="AK15" t="str">
            <v>AAA</v>
          </cell>
          <cell r="AL15" t="str">
            <v>1</v>
          </cell>
          <cell r="AM15" t="str">
            <v>1</v>
          </cell>
        </row>
        <row r="16">
          <cell r="C16" t="str">
            <v>INE040A08666</v>
          </cell>
          <cell r="D16" t="str">
            <v>FI301NC231</v>
          </cell>
          <cell r="E16" t="str">
            <v>NCD</v>
          </cell>
          <cell r="F16" t="str">
            <v>HDFC Bank Ltd (Prev HDFC Ltd)</v>
          </cell>
          <cell r="G16" t="str">
            <v>7.80% HDFC Bank Ltd (Prev HDFC Ltd) NCD MD 03-05-2033</v>
          </cell>
          <cell r="H16">
            <v>7.8</v>
          </cell>
          <cell r="I16" t="str">
            <v>03-05-2033</v>
          </cell>
          <cell r="J16" t="str">
            <v>CRISIL AAA</v>
          </cell>
          <cell r="K16">
            <v>6.2759999999999998</v>
          </cell>
          <cell r="L16">
            <v>100000</v>
          </cell>
          <cell r="M16">
            <v>1500</v>
          </cell>
          <cell r="N16">
            <v>7.47</v>
          </cell>
          <cell r="O16">
            <v>101946.3</v>
          </cell>
          <cell r="P16">
            <v>152919450</v>
          </cell>
          <cell r="Q16">
            <v>6314794.5199999996</v>
          </cell>
          <cell r="R16">
            <v>0</v>
          </cell>
          <cell r="S16">
            <v>2919450</v>
          </cell>
          <cell r="T16">
            <v>159234244.52000001</v>
          </cell>
          <cell r="U16">
            <v>2.08</v>
          </cell>
          <cell r="V16">
            <v>2.16</v>
          </cell>
          <cell r="W16">
            <v>100000</v>
          </cell>
          <cell r="X16">
            <v>150000000</v>
          </cell>
          <cell r="Y16" t="str">
            <v>03-05-2025</v>
          </cell>
          <cell r="Z16" t="str">
            <v>Financial Services</v>
          </cell>
          <cell r="AC16" t="str">
            <v>Financial Services</v>
          </cell>
          <cell r="AD16">
            <v>3091</v>
          </cell>
          <cell r="AE16" t="str">
            <v>Y</v>
          </cell>
          <cell r="AF16" t="str">
            <v>03-05-2024</v>
          </cell>
          <cell r="AG16">
            <v>7.47</v>
          </cell>
          <cell r="AH16">
            <v>2920050</v>
          </cell>
          <cell r="AI16" t="str">
            <v>FI3301</v>
          </cell>
          <cell r="AJ16" t="str">
            <v>A1+</v>
          </cell>
          <cell r="AK16" t="str">
            <v>AAA</v>
          </cell>
          <cell r="AL16" t="str">
            <v>2</v>
          </cell>
          <cell r="AM16" t="str">
            <v>1</v>
          </cell>
        </row>
        <row r="17">
          <cell r="C17" t="str">
            <v>INE040A08930</v>
          </cell>
          <cell r="D17" t="str">
            <v>FI3301NC370</v>
          </cell>
          <cell r="E17" t="str">
            <v>NCD</v>
          </cell>
          <cell r="F17" t="str">
            <v>HDFC Bank Ltd (Prev HDFC Ltd)</v>
          </cell>
          <cell r="G17" t="str">
            <v>7.65% HDFC Bank Ltd (Prev HDFC Ltd) NCD MD 25-05-2033 SERIES US-004- Put 25-05-2026</v>
          </cell>
          <cell r="H17">
            <v>7.65</v>
          </cell>
          <cell r="I17" t="str">
            <v>25-05-2033</v>
          </cell>
          <cell r="J17" t="str">
            <v>CRISIL AAA</v>
          </cell>
          <cell r="K17">
            <v>6.3571999999999997</v>
          </cell>
          <cell r="L17">
            <v>100000</v>
          </cell>
          <cell r="M17">
            <v>2500</v>
          </cell>
          <cell r="N17">
            <v>7.48</v>
          </cell>
          <cell r="O17">
            <v>100974.7</v>
          </cell>
          <cell r="P17">
            <v>252436750</v>
          </cell>
          <cell r="Q17">
            <v>9169520.5500000007</v>
          </cell>
          <cell r="R17">
            <v>0</v>
          </cell>
          <cell r="S17">
            <v>2436750</v>
          </cell>
          <cell r="T17">
            <v>261606270.55000001</v>
          </cell>
          <cell r="U17">
            <v>3.43</v>
          </cell>
          <cell r="V17">
            <v>3.56</v>
          </cell>
          <cell r="W17">
            <v>100000</v>
          </cell>
          <cell r="X17">
            <v>250000000</v>
          </cell>
          <cell r="Y17" t="str">
            <v>25-05-2025</v>
          </cell>
          <cell r="Z17" t="str">
            <v>Financial Services</v>
          </cell>
          <cell r="AA17" t="str">
            <v>25-MAY-26</v>
          </cell>
          <cell r="AC17" t="str">
            <v>Financial Services</v>
          </cell>
          <cell r="AD17">
            <v>3113</v>
          </cell>
          <cell r="AE17" t="str">
            <v>Y</v>
          </cell>
          <cell r="AF17" t="str">
            <v>25-05-2024</v>
          </cell>
          <cell r="AG17">
            <v>7.48</v>
          </cell>
          <cell r="AH17">
            <v>2437500</v>
          </cell>
          <cell r="AI17" t="str">
            <v>FI3301</v>
          </cell>
          <cell r="AJ17" t="str">
            <v>A1+</v>
          </cell>
          <cell r="AK17" t="str">
            <v>AAA</v>
          </cell>
          <cell r="AL17" t="str">
            <v>2</v>
          </cell>
          <cell r="AM17" t="str">
            <v>1</v>
          </cell>
        </row>
        <row r="18">
          <cell r="C18" t="str">
            <v>INE041007100</v>
          </cell>
          <cell r="D18" t="str">
            <v>FI3346NC200</v>
          </cell>
          <cell r="E18" t="str">
            <v>NCD</v>
          </cell>
          <cell r="F18" t="str">
            <v>Embassy Office Parks REIT</v>
          </cell>
          <cell r="G18" t="str">
            <v>7.77% Embassy Office Parks REIT NCD MD 05.06.2025 Series VII NCD Call 05-03-2025</v>
          </cell>
          <cell r="H18">
            <v>7.77</v>
          </cell>
          <cell r="I18" t="str">
            <v>05-06-2025</v>
          </cell>
          <cell r="J18" t="str">
            <v>CRISIL AAA</v>
          </cell>
          <cell r="K18">
            <v>0.53879999999999995</v>
          </cell>
          <cell r="L18">
            <v>100000</v>
          </cell>
          <cell r="M18">
            <v>1000</v>
          </cell>
          <cell r="N18">
            <v>8.0150000000000006</v>
          </cell>
          <cell r="O18">
            <v>99991.2</v>
          </cell>
          <cell r="P18">
            <v>99991200</v>
          </cell>
          <cell r="Q18">
            <v>997786.89</v>
          </cell>
          <cell r="R18">
            <v>0</v>
          </cell>
          <cell r="S18">
            <v>-8800</v>
          </cell>
          <cell r="T18">
            <v>100988986.89</v>
          </cell>
          <cell r="U18">
            <v>1.36</v>
          </cell>
          <cell r="V18">
            <v>1.37</v>
          </cell>
          <cell r="W18">
            <v>100000</v>
          </cell>
          <cell r="X18">
            <v>100000000</v>
          </cell>
          <cell r="Y18" t="str">
            <v>31-12-2024</v>
          </cell>
          <cell r="Z18" t="str">
            <v>Realty</v>
          </cell>
          <cell r="AB18" t="str">
            <v>05-MAR-25</v>
          </cell>
          <cell r="AC18" t="str">
            <v>Realty</v>
          </cell>
          <cell r="AD18">
            <v>202</v>
          </cell>
          <cell r="AE18" t="str">
            <v>Y</v>
          </cell>
          <cell r="AF18" t="str">
            <v>30-09-2024</v>
          </cell>
          <cell r="AG18">
            <v>8.0150000000000006</v>
          </cell>
          <cell r="AH18">
            <v>-8800</v>
          </cell>
          <cell r="AI18" t="str">
            <v>FI3446</v>
          </cell>
          <cell r="AJ18" t="str">
            <v>A1+</v>
          </cell>
          <cell r="AK18" t="str">
            <v>AAA</v>
          </cell>
          <cell r="AL18" t="str">
            <v>2</v>
          </cell>
          <cell r="AM18" t="str">
            <v>1</v>
          </cell>
        </row>
        <row r="19">
          <cell r="C19" t="str">
            <v>INE053F08304</v>
          </cell>
          <cell r="D19" t="str">
            <v>FI3567IRFC248</v>
          </cell>
          <cell r="E19" t="str">
            <v>NCD</v>
          </cell>
          <cell r="F19" t="str">
            <v>Indian Railway Finance Corporation Ltd</v>
          </cell>
          <cell r="G19" t="str">
            <v>7.23% Indian Railway Finance Corporation Ltd NCD 15-10-2026</v>
          </cell>
          <cell r="H19">
            <v>7.23</v>
          </cell>
          <cell r="I19" t="str">
            <v>15-10-2026</v>
          </cell>
          <cell r="J19" t="str">
            <v>CRISIL AAA</v>
          </cell>
          <cell r="K19">
            <v>1.7794000000000001</v>
          </cell>
          <cell r="L19">
            <v>100000</v>
          </cell>
          <cell r="M19">
            <v>2500</v>
          </cell>
          <cell r="N19">
            <v>7.4</v>
          </cell>
          <cell r="O19">
            <v>99700.5</v>
          </cell>
          <cell r="P19">
            <v>249251250</v>
          </cell>
          <cell r="Q19">
            <v>10646917.810000001</v>
          </cell>
          <cell r="R19">
            <v>0</v>
          </cell>
          <cell r="S19">
            <v>-748750</v>
          </cell>
          <cell r="T19">
            <v>259898167.81</v>
          </cell>
          <cell r="U19">
            <v>3.39</v>
          </cell>
          <cell r="V19">
            <v>3.53</v>
          </cell>
          <cell r="W19">
            <v>100000</v>
          </cell>
          <cell r="X19">
            <v>250000000</v>
          </cell>
          <cell r="Y19" t="str">
            <v>15-04-2025</v>
          </cell>
          <cell r="Z19" t="str">
            <v>Financial Services</v>
          </cell>
          <cell r="AC19" t="str">
            <v>Exempt - PFI</v>
          </cell>
          <cell r="AD19">
            <v>699</v>
          </cell>
          <cell r="AE19" t="str">
            <v>Y</v>
          </cell>
          <cell r="AF19" t="str">
            <v>15-04-2024</v>
          </cell>
          <cell r="AG19">
            <v>7.4</v>
          </cell>
          <cell r="AH19">
            <v>-750000</v>
          </cell>
          <cell r="AI19" t="str">
            <v>FI3567</v>
          </cell>
          <cell r="AJ19" t="str">
            <v>A1+</v>
          </cell>
          <cell r="AK19" t="str">
            <v>AAA</v>
          </cell>
          <cell r="AL19" t="str">
            <v>1</v>
          </cell>
          <cell r="AM19" t="str">
            <v>1</v>
          </cell>
        </row>
        <row r="20">
          <cell r="C20" t="str">
            <v>INE053F08411</v>
          </cell>
          <cell r="D20" t="str">
            <v>FI3567IRFC252</v>
          </cell>
          <cell r="E20" t="str">
            <v>NCD</v>
          </cell>
          <cell r="F20" t="str">
            <v>Indian Railway Finance Corporation Ltd</v>
          </cell>
          <cell r="G20" t="str">
            <v>7.37%  Indian Railway Finance Corporation Ltd NCD MD 31-07-2029</v>
          </cell>
          <cell r="H20">
            <v>7.37</v>
          </cell>
          <cell r="I20" t="str">
            <v>31-07-2029</v>
          </cell>
          <cell r="J20" t="str">
            <v>CRISIL AAA</v>
          </cell>
          <cell r="K20">
            <v>4.0503999999999998</v>
          </cell>
          <cell r="L20">
            <v>100000</v>
          </cell>
          <cell r="M20">
            <v>4000</v>
          </cell>
          <cell r="N20">
            <v>7.27</v>
          </cell>
          <cell r="O20">
            <v>100423.8</v>
          </cell>
          <cell r="P20">
            <v>401695200</v>
          </cell>
          <cell r="Q20">
            <v>8722849.3200000003</v>
          </cell>
          <cell r="R20">
            <v>0</v>
          </cell>
          <cell r="S20">
            <v>1695200</v>
          </cell>
          <cell r="T20">
            <v>410418049.31999999</v>
          </cell>
          <cell r="U20">
            <v>5.46</v>
          </cell>
          <cell r="V20">
            <v>5.58</v>
          </cell>
          <cell r="W20">
            <v>100000</v>
          </cell>
          <cell r="X20">
            <v>400000000</v>
          </cell>
          <cell r="Y20" t="str">
            <v>15-04-2025</v>
          </cell>
          <cell r="Z20" t="str">
            <v>Financial Services</v>
          </cell>
          <cell r="AC20" t="str">
            <v>Exempt - PFI</v>
          </cell>
          <cell r="AD20">
            <v>1719</v>
          </cell>
          <cell r="AE20" t="str">
            <v>Y</v>
          </cell>
          <cell r="AF20" t="str">
            <v>31-07-2024</v>
          </cell>
          <cell r="AG20">
            <v>7.27</v>
          </cell>
          <cell r="AH20">
            <v>1697200</v>
          </cell>
          <cell r="AI20" t="str">
            <v>FI3567</v>
          </cell>
          <cell r="AJ20" t="str">
            <v>A1+</v>
          </cell>
          <cell r="AK20" t="str">
            <v>AAA</v>
          </cell>
          <cell r="AL20" t="str">
            <v>1</v>
          </cell>
          <cell r="AM20" t="str">
            <v>1</v>
          </cell>
        </row>
        <row r="21">
          <cell r="C21" t="str">
            <v>INE115A07MW4</v>
          </cell>
          <cell r="D21" t="str">
            <v>FILICNC370</v>
          </cell>
          <cell r="E21" t="str">
            <v>NCD</v>
          </cell>
          <cell r="F21" t="str">
            <v>LIC Housing Finance Ltd</v>
          </cell>
          <cell r="G21" t="str">
            <v>7.95% LIC Housing Finance Ltd NCD 29 01 2028</v>
          </cell>
          <cell r="H21">
            <v>7.95</v>
          </cell>
          <cell r="I21" t="str">
            <v>29-01-2028</v>
          </cell>
          <cell r="J21" t="str">
            <v>CRISIL AAA</v>
          </cell>
          <cell r="K21">
            <v>2.7837999999999998</v>
          </cell>
          <cell r="L21">
            <v>1000000</v>
          </cell>
          <cell r="M21">
            <v>100</v>
          </cell>
          <cell r="N21">
            <v>7.66</v>
          </cell>
          <cell r="O21">
            <v>1007492</v>
          </cell>
          <cell r="P21">
            <v>100749200</v>
          </cell>
          <cell r="Q21">
            <v>6342622.9500000002</v>
          </cell>
          <cell r="R21">
            <v>0</v>
          </cell>
          <cell r="S21">
            <v>110700</v>
          </cell>
          <cell r="T21">
            <v>107091822.95</v>
          </cell>
          <cell r="U21">
            <v>1.37</v>
          </cell>
          <cell r="V21">
            <v>1.46</v>
          </cell>
          <cell r="W21">
            <v>1006385</v>
          </cell>
          <cell r="X21">
            <v>100638500</v>
          </cell>
          <cell r="Y21" t="str">
            <v>29-01-2025</v>
          </cell>
          <cell r="Z21" t="str">
            <v>Financial Services</v>
          </cell>
          <cell r="AC21" t="str">
            <v>HOUSING FINANCE</v>
          </cell>
          <cell r="AD21">
            <v>1170</v>
          </cell>
          <cell r="AE21" t="str">
            <v>Y</v>
          </cell>
          <cell r="AF21" t="str">
            <v>29-01-2024</v>
          </cell>
          <cell r="AG21">
            <v>7.66</v>
          </cell>
          <cell r="AH21">
            <v>110900</v>
          </cell>
          <cell r="AI21" t="str">
            <v>FILIC</v>
          </cell>
          <cell r="AJ21" t="str">
            <v>A1+</v>
          </cell>
          <cell r="AK21" t="str">
            <v>AAA</v>
          </cell>
          <cell r="AL21" t="str">
            <v>2</v>
          </cell>
          <cell r="AM21" t="str">
            <v>1</v>
          </cell>
        </row>
        <row r="22">
          <cell r="C22" t="str">
            <v>INE115A07QJ2</v>
          </cell>
          <cell r="D22" t="str">
            <v>FILICNC369</v>
          </cell>
          <cell r="E22" t="str">
            <v>NCD</v>
          </cell>
          <cell r="F22" t="str">
            <v>LIC Housing Finance Ltd</v>
          </cell>
          <cell r="G22" t="str">
            <v>7.70%  LIC Housing Finance Ltd NCD MD 16-05-2028- 434 OPTION I</v>
          </cell>
          <cell r="H22">
            <v>7.7</v>
          </cell>
          <cell r="I22" t="str">
            <v>16-05-2028</v>
          </cell>
          <cell r="J22" t="str">
            <v>CRISIL AAA</v>
          </cell>
          <cell r="K22">
            <v>3.0872999999999999</v>
          </cell>
          <cell r="L22">
            <v>1000000</v>
          </cell>
          <cell r="M22">
            <v>300</v>
          </cell>
          <cell r="N22">
            <v>7.66</v>
          </cell>
          <cell r="O22">
            <v>1000477</v>
          </cell>
          <cell r="P22">
            <v>300143100</v>
          </cell>
          <cell r="Q22">
            <v>11644931.51</v>
          </cell>
          <cell r="R22">
            <v>0</v>
          </cell>
          <cell r="S22">
            <v>143100</v>
          </cell>
          <cell r="T22">
            <v>311788031.50999999</v>
          </cell>
          <cell r="U22">
            <v>4.08</v>
          </cell>
          <cell r="V22">
            <v>4.24</v>
          </cell>
          <cell r="W22">
            <v>1000000</v>
          </cell>
          <cell r="X22">
            <v>300000000</v>
          </cell>
          <cell r="Y22" t="str">
            <v>16-05-2025</v>
          </cell>
          <cell r="Z22" t="str">
            <v>Financial Services</v>
          </cell>
          <cell r="AC22" t="str">
            <v>HOUSING FINANCE</v>
          </cell>
          <cell r="AD22">
            <v>1278</v>
          </cell>
          <cell r="AE22" t="str">
            <v>Y</v>
          </cell>
          <cell r="AF22" t="str">
            <v>16-05-2024</v>
          </cell>
          <cell r="AG22">
            <v>7.66</v>
          </cell>
          <cell r="AH22">
            <v>143400</v>
          </cell>
          <cell r="AI22" t="str">
            <v>FILIC</v>
          </cell>
          <cell r="AJ22" t="str">
            <v>A1+</v>
          </cell>
          <cell r="AK22" t="str">
            <v>AAA</v>
          </cell>
          <cell r="AL22" t="str">
            <v>2</v>
          </cell>
          <cell r="AM22" t="str">
            <v>1</v>
          </cell>
        </row>
        <row r="23">
          <cell r="C23" t="str">
            <v>INE134E08IO0</v>
          </cell>
          <cell r="D23" t="str">
            <v>FI35PFNC320</v>
          </cell>
          <cell r="E23" t="str">
            <v>NCD</v>
          </cell>
          <cell r="F23" t="str">
            <v>Power Finance Corporation Ltd</v>
          </cell>
          <cell r="G23" t="str">
            <v>7.23%-Power Finance Corporation Ltd-05/01/2027</v>
          </cell>
          <cell r="H23">
            <v>7.23</v>
          </cell>
          <cell r="I23" t="str">
            <v>05-01-2027</v>
          </cell>
          <cell r="J23" t="str">
            <v>ICRA AAA</v>
          </cell>
          <cell r="K23">
            <v>1.9384999999999999</v>
          </cell>
          <cell r="L23">
            <v>1000000</v>
          </cell>
          <cell r="M23">
            <v>50</v>
          </cell>
          <cell r="N23">
            <v>7.4610000000000003</v>
          </cell>
          <cell r="O23">
            <v>995435</v>
          </cell>
          <cell r="P23">
            <v>49771750</v>
          </cell>
          <cell r="Q23">
            <v>3121147.54</v>
          </cell>
          <cell r="R23">
            <v>0</v>
          </cell>
          <cell r="S23">
            <v>146050</v>
          </cell>
          <cell r="T23">
            <v>52892897.539999999</v>
          </cell>
          <cell r="U23">
            <v>0.68</v>
          </cell>
          <cell r="V23">
            <v>0.72</v>
          </cell>
          <cell r="W23">
            <v>992514</v>
          </cell>
          <cell r="X23">
            <v>49625700</v>
          </cell>
          <cell r="Y23" t="str">
            <v>05-01-2025</v>
          </cell>
          <cell r="Z23" t="str">
            <v>Financial Services</v>
          </cell>
          <cell r="AC23" t="str">
            <v>Exempt - PFI</v>
          </cell>
          <cell r="AD23">
            <v>781</v>
          </cell>
          <cell r="AE23" t="str">
            <v>Y</v>
          </cell>
          <cell r="AF23" t="str">
            <v>05-01-2024</v>
          </cell>
          <cell r="AG23">
            <v>7.4610000000000003</v>
          </cell>
          <cell r="AH23">
            <v>145500</v>
          </cell>
          <cell r="AI23" t="str">
            <v>FI35PF</v>
          </cell>
          <cell r="AJ23" t="str">
            <v>A1+</v>
          </cell>
          <cell r="AK23" t="str">
            <v>AAA</v>
          </cell>
          <cell r="AL23" t="str">
            <v>1</v>
          </cell>
          <cell r="AM23" t="str">
            <v>1</v>
          </cell>
        </row>
        <row r="24">
          <cell r="C24" t="str">
            <v>INE134E08KH0</v>
          </cell>
          <cell r="D24" t="str">
            <v>FI35PFCNC373</v>
          </cell>
          <cell r="E24" t="str">
            <v>NCD</v>
          </cell>
          <cell r="F24" t="str">
            <v>Power Finance Corporation Ltd</v>
          </cell>
          <cell r="G24" t="str">
            <v>7.42% Power Finance Corporation Ltd NCD MD 19-11-2024- PFC BOND SERIES-192</v>
          </cell>
          <cell r="H24">
            <v>7.42</v>
          </cell>
          <cell r="I24" t="str">
            <v>19-11-2024</v>
          </cell>
          <cell r="J24" t="str">
            <v>CRISIL AAA</v>
          </cell>
          <cell r="K24">
            <v>8.2000000000000007E-3</v>
          </cell>
          <cell r="L24">
            <v>1000000</v>
          </cell>
          <cell r="M24">
            <v>50</v>
          </cell>
          <cell r="N24">
            <v>7.1130000000000004</v>
          </cell>
          <cell r="O24">
            <v>999982</v>
          </cell>
          <cell r="P24">
            <v>49999100</v>
          </cell>
          <cell r="Q24">
            <v>3679590.16</v>
          </cell>
          <cell r="R24">
            <v>0</v>
          </cell>
          <cell r="S24">
            <v>5350</v>
          </cell>
          <cell r="T24">
            <v>53678690.159999996</v>
          </cell>
          <cell r="U24">
            <v>0.68</v>
          </cell>
          <cell r="V24">
            <v>0.73</v>
          </cell>
          <cell r="W24">
            <v>999875</v>
          </cell>
          <cell r="X24">
            <v>49993750</v>
          </cell>
          <cell r="Y24" t="str">
            <v>19-11-2024</v>
          </cell>
          <cell r="Z24" t="str">
            <v>Financial Services</v>
          </cell>
          <cell r="AC24" t="str">
            <v>Exempt - PFI</v>
          </cell>
          <cell r="AD24">
            <v>4</v>
          </cell>
          <cell r="AE24" t="str">
            <v>Y</v>
          </cell>
          <cell r="AF24" t="str">
            <v>19-11-2023</v>
          </cell>
          <cell r="AG24">
            <v>7.1130000000000004</v>
          </cell>
          <cell r="AH24">
            <v>5100</v>
          </cell>
          <cell r="AI24" t="str">
            <v>FI35PF</v>
          </cell>
          <cell r="AJ24" t="str">
            <v>A1+</v>
          </cell>
          <cell r="AK24" t="str">
            <v>AAA</v>
          </cell>
          <cell r="AL24" t="str">
            <v>1</v>
          </cell>
          <cell r="AM24" t="str">
            <v>1</v>
          </cell>
        </row>
        <row r="25">
          <cell r="C25" t="str">
            <v>INE134E08MX3</v>
          </cell>
          <cell r="D25" t="str">
            <v>FI35PFCNC371</v>
          </cell>
          <cell r="E25" t="str">
            <v>NCD</v>
          </cell>
          <cell r="F25" t="str">
            <v>Power Finance Corporation Ltd</v>
          </cell>
          <cell r="G25" t="str">
            <v>7.60% Power Finance Corporation Limited NCD MD 13-04-2029</v>
          </cell>
          <cell r="H25">
            <v>7.6</v>
          </cell>
          <cell r="I25" t="str">
            <v>13-04-2029</v>
          </cell>
          <cell r="J25" t="str">
            <v>CRISIL AAA</v>
          </cell>
          <cell r="K25">
            <v>3.7084000000000001</v>
          </cell>
          <cell r="L25">
            <v>100000</v>
          </cell>
          <cell r="M25">
            <v>2000</v>
          </cell>
          <cell r="N25">
            <v>7.3669000000000002</v>
          </cell>
          <cell r="O25">
            <v>100820.6</v>
          </cell>
          <cell r="P25">
            <v>201641200</v>
          </cell>
          <cell r="Q25">
            <v>11130054.640000001</v>
          </cell>
          <cell r="R25">
            <v>0</v>
          </cell>
          <cell r="S25">
            <v>1367000</v>
          </cell>
          <cell r="T25">
            <v>212771254.63999999</v>
          </cell>
          <cell r="U25">
            <v>2.74</v>
          </cell>
          <cell r="V25">
            <v>2.89</v>
          </cell>
          <cell r="W25">
            <v>100137.1</v>
          </cell>
          <cell r="X25">
            <v>200274200</v>
          </cell>
          <cell r="Y25" t="str">
            <v>22-02-2025</v>
          </cell>
          <cell r="Z25" t="str">
            <v>Financial Services</v>
          </cell>
          <cell r="AC25" t="str">
            <v>Exempt - PFI</v>
          </cell>
          <cell r="AD25">
            <v>1610</v>
          </cell>
          <cell r="AE25" t="str">
            <v>Y</v>
          </cell>
          <cell r="AF25" t="str">
            <v>22-02-2024</v>
          </cell>
          <cell r="AG25">
            <v>7.3669000000000002</v>
          </cell>
          <cell r="AH25">
            <v>1367200</v>
          </cell>
          <cell r="AI25" t="str">
            <v>FI35PF</v>
          </cell>
          <cell r="AJ25" t="str">
            <v>A1+</v>
          </cell>
          <cell r="AK25" t="str">
            <v>AAA</v>
          </cell>
          <cell r="AL25" t="str">
            <v>1</v>
          </cell>
          <cell r="AM25" t="str">
            <v>1</v>
          </cell>
        </row>
        <row r="26">
          <cell r="C26" t="str">
            <v>INE134E08NB7</v>
          </cell>
          <cell r="D26" t="str">
            <v>FI35PFCNC372</v>
          </cell>
          <cell r="E26" t="str">
            <v>NCD</v>
          </cell>
          <cell r="F26" t="str">
            <v>Power Finance Corporation Ltd</v>
          </cell>
          <cell r="G26" t="str">
            <v>7.32% Power Finance Corporation Ltd NCD MD 15-07-2039</v>
          </cell>
          <cell r="H26">
            <v>7.32</v>
          </cell>
          <cell r="I26" t="str">
            <v>15-07-2039</v>
          </cell>
          <cell r="J26" t="str">
            <v>CRISIL AAA</v>
          </cell>
          <cell r="K26">
            <v>9.359</v>
          </cell>
          <cell r="L26">
            <v>100000</v>
          </cell>
          <cell r="M26">
            <v>2500</v>
          </cell>
          <cell r="N26">
            <v>7.1074999999999999</v>
          </cell>
          <cell r="O26">
            <v>101861</v>
          </cell>
          <cell r="P26">
            <v>254652500</v>
          </cell>
          <cell r="Q26">
            <v>4311780.82</v>
          </cell>
          <cell r="R26">
            <v>0</v>
          </cell>
          <cell r="S26">
            <v>4652500</v>
          </cell>
          <cell r="T26">
            <v>258964280.81999999</v>
          </cell>
          <cell r="U26">
            <v>3.46</v>
          </cell>
          <cell r="V26">
            <v>3.52</v>
          </cell>
          <cell r="W26">
            <v>100000</v>
          </cell>
          <cell r="X26">
            <v>250000000</v>
          </cell>
          <cell r="Y26" t="str">
            <v>22-08-2025</v>
          </cell>
          <cell r="Z26" t="str">
            <v>Financial Services</v>
          </cell>
          <cell r="AC26" t="str">
            <v>Exempt - PFI</v>
          </cell>
          <cell r="AD26">
            <v>5355</v>
          </cell>
          <cell r="AE26" t="str">
            <v>Y</v>
          </cell>
          <cell r="AF26" t="str">
            <v>22-08-2024</v>
          </cell>
          <cell r="AG26">
            <v>7.1074999999999999</v>
          </cell>
          <cell r="AH26">
            <v>4653750</v>
          </cell>
          <cell r="AI26" t="str">
            <v>FI35PF</v>
          </cell>
          <cell r="AJ26" t="str">
            <v>A1+</v>
          </cell>
          <cell r="AK26" t="str">
            <v>AAA</v>
          </cell>
          <cell r="AL26" t="str">
            <v>1</v>
          </cell>
          <cell r="AM26" t="str">
            <v>1</v>
          </cell>
        </row>
        <row r="27">
          <cell r="C27" t="str">
            <v>INE242A08544</v>
          </cell>
          <cell r="D27" t="str">
            <v>OI4309NC207</v>
          </cell>
          <cell r="E27" t="str">
            <v>NCD</v>
          </cell>
          <cell r="F27" t="str">
            <v>Indian Oil Corporation Ltd</v>
          </cell>
          <cell r="G27" t="str">
            <v xml:space="preserve">7.44% Indian Oil Corporation NCD 25/11/2027 (SERIES XXV) </v>
          </cell>
          <cell r="H27">
            <v>7.44</v>
          </cell>
          <cell r="I27" t="str">
            <v>25-11-2027</v>
          </cell>
          <cell r="J27" t="str">
            <v>ICRA AAA</v>
          </cell>
          <cell r="K27">
            <v>2.6295000000000002</v>
          </cell>
          <cell r="L27">
            <v>1000000</v>
          </cell>
          <cell r="M27">
            <v>200</v>
          </cell>
          <cell r="N27">
            <v>7.2324999999999999</v>
          </cell>
          <cell r="O27">
            <v>1005402</v>
          </cell>
          <cell r="P27">
            <v>201080400</v>
          </cell>
          <cell r="Q27">
            <v>14514098.359999999</v>
          </cell>
          <cell r="R27">
            <v>0</v>
          </cell>
          <cell r="S27">
            <v>952000</v>
          </cell>
          <cell r="T27">
            <v>215594498.36000001</v>
          </cell>
          <cell r="U27">
            <v>2.73</v>
          </cell>
          <cell r="V27">
            <v>2.93</v>
          </cell>
          <cell r="W27">
            <v>1000642</v>
          </cell>
          <cell r="X27">
            <v>200128400</v>
          </cell>
          <cell r="Y27" t="str">
            <v>25-11-2024</v>
          </cell>
          <cell r="Z27" t="str">
            <v>Oil, Gas &amp; Consumable Fuels</v>
          </cell>
          <cell r="AC27" t="str">
            <v>Oil, Gas &amp; Consumable Fuels</v>
          </cell>
          <cell r="AD27">
            <v>1105</v>
          </cell>
          <cell r="AE27" t="str">
            <v>Y</v>
          </cell>
          <cell r="AF27" t="str">
            <v>25-11-2023</v>
          </cell>
          <cell r="AG27">
            <v>7.2324999999999999</v>
          </cell>
          <cell r="AH27">
            <v>951400</v>
          </cell>
          <cell r="AI27" t="str">
            <v>OI4309</v>
          </cell>
          <cell r="AJ27" t="str">
            <v>A1+</v>
          </cell>
          <cell r="AK27" t="str">
            <v>AAA</v>
          </cell>
          <cell r="AL27" t="str">
            <v>1</v>
          </cell>
          <cell r="AM27" t="str">
            <v>1</v>
          </cell>
        </row>
        <row r="28">
          <cell r="C28" t="str">
            <v>INE261F08DX0</v>
          </cell>
          <cell r="D28" t="str">
            <v>FI35NANC298</v>
          </cell>
          <cell r="E28" t="str">
            <v>NCD</v>
          </cell>
          <cell r="F28" t="str">
            <v>National Bank for Agriculture &amp; Rural Development</v>
          </cell>
          <cell r="G28" t="str">
            <v>7.58%  NABARD- NCD-31/07/2026 SERIES 23H</v>
          </cell>
          <cell r="H28">
            <v>7.58</v>
          </cell>
          <cell r="I28" t="str">
            <v>31-07-2026</v>
          </cell>
          <cell r="J28" t="str">
            <v>CRISIL AAA</v>
          </cell>
          <cell r="K28">
            <v>1.6336999999999999</v>
          </cell>
          <cell r="L28">
            <v>100000</v>
          </cell>
          <cell r="M28">
            <v>1500</v>
          </cell>
          <cell r="N28">
            <v>7.5593000000000004</v>
          </cell>
          <cell r="O28">
            <v>99974.7</v>
          </cell>
          <cell r="P28">
            <v>149962050</v>
          </cell>
          <cell r="Q28">
            <v>3364273.97</v>
          </cell>
          <cell r="R28">
            <v>0</v>
          </cell>
          <cell r="S28">
            <v>434850</v>
          </cell>
          <cell r="T28">
            <v>153326323.97</v>
          </cell>
          <cell r="U28">
            <v>2.04</v>
          </cell>
          <cell r="V28">
            <v>2.08</v>
          </cell>
          <cell r="W28">
            <v>99684.800000000003</v>
          </cell>
          <cell r="X28">
            <v>149527200</v>
          </cell>
          <cell r="Y28" t="str">
            <v>31-07-2025</v>
          </cell>
          <cell r="Z28" t="str">
            <v>Financial Services</v>
          </cell>
          <cell r="AC28" t="str">
            <v>Exempt - PFI</v>
          </cell>
          <cell r="AD28">
            <v>623</v>
          </cell>
          <cell r="AE28" t="str">
            <v>Y</v>
          </cell>
          <cell r="AF28" t="str">
            <v>31-07-2024</v>
          </cell>
          <cell r="AG28">
            <v>7.5593000000000004</v>
          </cell>
          <cell r="AH28">
            <v>435450</v>
          </cell>
          <cell r="AI28" t="str">
            <v>FI35NA</v>
          </cell>
          <cell r="AJ28" t="str">
            <v>A1+</v>
          </cell>
          <cell r="AK28" t="str">
            <v>AAA</v>
          </cell>
          <cell r="AL28" t="str">
            <v>1</v>
          </cell>
          <cell r="AM28" t="str">
            <v>1</v>
          </cell>
        </row>
        <row r="29">
          <cell r="C29" t="str">
            <v>INE261F08EH1</v>
          </cell>
          <cell r="D29" t="str">
            <v>FI35NANC306</v>
          </cell>
          <cell r="E29" t="str">
            <v>NCD</v>
          </cell>
          <cell r="F29" t="str">
            <v>National Bank for Agriculture &amp; Rural Development</v>
          </cell>
          <cell r="G29" t="str">
            <v>7.62%  NABARD NCD MD 10-05-2029</v>
          </cell>
          <cell r="H29">
            <v>7.62</v>
          </cell>
          <cell r="I29" t="str">
            <v>10-05-2029</v>
          </cell>
          <cell r="J29" t="str">
            <v>CRISIL AAA</v>
          </cell>
          <cell r="K29">
            <v>3.8224</v>
          </cell>
          <cell r="L29">
            <v>100000</v>
          </cell>
          <cell r="M29">
            <v>2500</v>
          </cell>
          <cell r="N29">
            <v>7.44</v>
          </cell>
          <cell r="O29">
            <v>100596.8</v>
          </cell>
          <cell r="P29">
            <v>251492000</v>
          </cell>
          <cell r="Q29">
            <v>9916438.3599999994</v>
          </cell>
          <cell r="R29">
            <v>0</v>
          </cell>
          <cell r="S29">
            <v>2144500</v>
          </cell>
          <cell r="T29">
            <v>261408438.36000001</v>
          </cell>
          <cell r="U29">
            <v>3.42</v>
          </cell>
          <cell r="V29">
            <v>3.55</v>
          </cell>
          <cell r="W29">
            <v>99739</v>
          </cell>
          <cell r="X29">
            <v>249347500</v>
          </cell>
          <cell r="Y29" t="str">
            <v>10-05-2025</v>
          </cell>
          <cell r="Z29" t="str">
            <v>Financial Services</v>
          </cell>
          <cell r="AC29" t="str">
            <v>Exempt - PFI</v>
          </cell>
          <cell r="AD29">
            <v>1637</v>
          </cell>
          <cell r="AE29" t="str">
            <v>Y</v>
          </cell>
          <cell r="AF29" t="str">
            <v>10-05-2024</v>
          </cell>
          <cell r="AG29">
            <v>7.44</v>
          </cell>
          <cell r="AH29">
            <v>2145500</v>
          </cell>
          <cell r="AI29" t="str">
            <v>FI35NA</v>
          </cell>
          <cell r="AJ29" t="str">
            <v>A1+</v>
          </cell>
          <cell r="AK29" t="str">
            <v>AAA</v>
          </cell>
          <cell r="AL29" t="str">
            <v>1</v>
          </cell>
          <cell r="AM29" t="str">
            <v>1</v>
          </cell>
        </row>
        <row r="30">
          <cell r="C30" t="str">
            <v>INE261F08EJ7</v>
          </cell>
          <cell r="D30" t="str">
            <v>FI35NANC307</v>
          </cell>
          <cell r="E30" t="str">
            <v>NCD</v>
          </cell>
          <cell r="F30" t="str">
            <v>National Bank for Agriculture &amp; Rural Development</v>
          </cell>
          <cell r="G30" t="str">
            <v>7.64% NABARD NCD MD 06-12-2029</v>
          </cell>
          <cell r="H30">
            <v>7.64</v>
          </cell>
          <cell r="I30" t="str">
            <v>06-12-2029</v>
          </cell>
          <cell r="J30" t="str">
            <v>ICRA AAA</v>
          </cell>
          <cell r="K30">
            <v>4.2443999999999997</v>
          </cell>
          <cell r="L30">
            <v>100000</v>
          </cell>
          <cell r="M30">
            <v>2500</v>
          </cell>
          <cell r="N30">
            <v>7.4363000000000001</v>
          </cell>
          <cell r="O30">
            <v>100834.6</v>
          </cell>
          <cell r="P30">
            <v>252086500</v>
          </cell>
          <cell r="Q30">
            <v>8110958.9000000004</v>
          </cell>
          <cell r="R30">
            <v>0</v>
          </cell>
          <cell r="S30">
            <v>2086500</v>
          </cell>
          <cell r="T30">
            <v>260197458.90000001</v>
          </cell>
          <cell r="U30">
            <v>3.43</v>
          </cell>
          <cell r="V30">
            <v>3.54</v>
          </cell>
          <cell r="W30">
            <v>100000</v>
          </cell>
          <cell r="X30">
            <v>250000000</v>
          </cell>
          <cell r="Y30" t="str">
            <v>06-12-2024</v>
          </cell>
          <cell r="Z30" t="str">
            <v>Financial Services</v>
          </cell>
          <cell r="AC30" t="str">
            <v>Exempt - PFI</v>
          </cell>
          <cell r="AD30">
            <v>1847</v>
          </cell>
          <cell r="AE30" t="str">
            <v>Y</v>
          </cell>
          <cell r="AF30" t="str">
            <v>14-06-2024</v>
          </cell>
          <cell r="AG30">
            <v>7.4363000000000001</v>
          </cell>
          <cell r="AH30">
            <v>2087500</v>
          </cell>
          <cell r="AI30" t="str">
            <v>FI35NA</v>
          </cell>
          <cell r="AJ30" t="str">
            <v>A1+</v>
          </cell>
          <cell r="AK30" t="str">
            <v>AAA</v>
          </cell>
          <cell r="AL30" t="str">
            <v>1</v>
          </cell>
          <cell r="AM30" t="str">
            <v>1</v>
          </cell>
        </row>
        <row r="31">
          <cell r="C31" t="str">
            <v>INE296A07SU3</v>
          </cell>
          <cell r="D31" t="str">
            <v>FI3505NC241</v>
          </cell>
          <cell r="E31" t="str">
            <v>NCD</v>
          </cell>
          <cell r="F31" t="str">
            <v>Bajaj Finance Ltd</v>
          </cell>
          <cell r="G31" t="str">
            <v>7.87% Bajaj Finance Ltd NCD MD 08-02-2034</v>
          </cell>
          <cell r="H31">
            <v>7.87</v>
          </cell>
          <cell r="I31" t="str">
            <v>08-02-2034</v>
          </cell>
          <cell r="J31" t="str">
            <v>CRISIL AAA</v>
          </cell>
          <cell r="K31">
            <v>6.5273000000000003</v>
          </cell>
          <cell r="L31">
            <v>100000</v>
          </cell>
          <cell r="M31">
            <v>500</v>
          </cell>
          <cell r="N31">
            <v>7.7</v>
          </cell>
          <cell r="O31">
            <v>101042.5</v>
          </cell>
          <cell r="P31">
            <v>50521250</v>
          </cell>
          <cell r="Q31">
            <v>3031885.25</v>
          </cell>
          <cell r="R31">
            <v>0</v>
          </cell>
          <cell r="S31">
            <v>314900</v>
          </cell>
          <cell r="T31">
            <v>53553135.25</v>
          </cell>
          <cell r="U31">
            <v>0.69</v>
          </cell>
          <cell r="V31">
            <v>0.73</v>
          </cell>
          <cell r="W31">
            <v>100412.7</v>
          </cell>
          <cell r="X31">
            <v>50206350</v>
          </cell>
          <cell r="Y31" t="str">
            <v>08-02-2025</v>
          </cell>
          <cell r="Z31" t="str">
            <v>Financial Services</v>
          </cell>
          <cell r="AC31" t="str">
            <v>Financial Services</v>
          </cell>
          <cell r="AD31">
            <v>3372</v>
          </cell>
          <cell r="AE31" t="str">
            <v>Y</v>
          </cell>
          <cell r="AF31" t="str">
            <v>08-02-2024</v>
          </cell>
          <cell r="AG31">
            <v>7.7</v>
          </cell>
          <cell r="AH31">
            <v>314800</v>
          </cell>
          <cell r="AI31" t="str">
            <v>FI3505</v>
          </cell>
          <cell r="AJ31" t="str">
            <v>A1+</v>
          </cell>
          <cell r="AK31" t="str">
            <v>AAA</v>
          </cell>
          <cell r="AL31" t="str">
            <v>2</v>
          </cell>
          <cell r="AM31" t="str">
            <v>1</v>
          </cell>
        </row>
        <row r="32">
          <cell r="C32" t="str">
            <v>INE296A07SV1</v>
          </cell>
          <cell r="D32" t="str">
            <v>FI3505NC240</v>
          </cell>
          <cell r="E32" t="str">
            <v>NCD</v>
          </cell>
          <cell r="F32" t="str">
            <v>Bajaj Finance Ltd</v>
          </cell>
          <cell r="G32" t="str">
            <v>7.82% BAJAJ FINANCE LTD NCD MD 31-01-2034 PUT OPTION 08-02-2027</v>
          </cell>
          <cell r="H32">
            <v>7.82</v>
          </cell>
          <cell r="I32" t="str">
            <v>31-01-2034</v>
          </cell>
          <cell r="J32" t="str">
            <v>CRISIL AAA</v>
          </cell>
          <cell r="K32">
            <v>6.5232999999999999</v>
          </cell>
          <cell r="L32">
            <v>100000</v>
          </cell>
          <cell r="M32">
            <v>2000</v>
          </cell>
          <cell r="N32">
            <v>7.71</v>
          </cell>
          <cell r="O32">
            <v>100658.2</v>
          </cell>
          <cell r="P32">
            <v>201316400</v>
          </cell>
          <cell r="Q32">
            <v>12050491.800000001</v>
          </cell>
          <cell r="R32">
            <v>0</v>
          </cell>
          <cell r="S32">
            <v>3092200</v>
          </cell>
          <cell r="T32">
            <v>213366891.80000001</v>
          </cell>
          <cell r="U32">
            <v>2.74</v>
          </cell>
          <cell r="V32">
            <v>2.9</v>
          </cell>
          <cell r="W32">
            <v>99112.1</v>
          </cell>
          <cell r="X32">
            <v>198224200</v>
          </cell>
          <cell r="Y32" t="str">
            <v>08-02-2025</v>
          </cell>
          <cell r="Z32" t="str">
            <v>Financial Services</v>
          </cell>
          <cell r="AA32" t="str">
            <v>08-FEB-27</v>
          </cell>
          <cell r="AC32" t="str">
            <v>Financial Services</v>
          </cell>
          <cell r="AD32">
            <v>3364</v>
          </cell>
          <cell r="AE32" t="str">
            <v>Y</v>
          </cell>
          <cell r="AF32" t="str">
            <v>08-02-2024</v>
          </cell>
          <cell r="AG32">
            <v>7.71</v>
          </cell>
          <cell r="AH32">
            <v>3091800</v>
          </cell>
          <cell r="AI32" t="str">
            <v>FI3505</v>
          </cell>
          <cell r="AJ32" t="str">
            <v>A1+</v>
          </cell>
          <cell r="AK32" t="str">
            <v>AAA</v>
          </cell>
          <cell r="AL32" t="str">
            <v>2</v>
          </cell>
          <cell r="AM32" t="str">
            <v>1</v>
          </cell>
        </row>
        <row r="33">
          <cell r="C33" t="str">
            <v>INE556F08KH1</v>
          </cell>
          <cell r="D33" t="str">
            <v>FI3405NC236</v>
          </cell>
          <cell r="E33" t="str">
            <v>NCD</v>
          </cell>
          <cell r="F33" t="str">
            <v>Small Industries Development Bank of India</v>
          </cell>
          <cell r="G33" t="str">
            <v>7.43%  Small Industries Development Bank of India NCD MD 31-08-2026 SERIES I</v>
          </cell>
          <cell r="H33">
            <v>7.43</v>
          </cell>
          <cell r="I33" t="str">
            <v>31-08-2026</v>
          </cell>
          <cell r="J33" t="str">
            <v>CRISIL AAA</v>
          </cell>
          <cell r="K33">
            <v>1.7198</v>
          </cell>
          <cell r="L33">
            <v>100000</v>
          </cell>
          <cell r="M33">
            <v>1000</v>
          </cell>
          <cell r="N33">
            <v>7.53</v>
          </cell>
          <cell r="O33">
            <v>99793.7</v>
          </cell>
          <cell r="P33">
            <v>99793700</v>
          </cell>
          <cell r="Q33">
            <v>1567424.66</v>
          </cell>
          <cell r="R33">
            <v>0</v>
          </cell>
          <cell r="S33">
            <v>-206300</v>
          </cell>
          <cell r="T33">
            <v>101361124.66</v>
          </cell>
          <cell r="U33">
            <v>1.36</v>
          </cell>
          <cell r="V33">
            <v>1.38</v>
          </cell>
          <cell r="W33">
            <v>100000</v>
          </cell>
          <cell r="X33">
            <v>100000000</v>
          </cell>
          <cell r="Y33" t="str">
            <v>31-08-2025</v>
          </cell>
          <cell r="Z33" t="str">
            <v>Financial Services</v>
          </cell>
          <cell r="AC33" t="str">
            <v>Exempt - PFI</v>
          </cell>
          <cell r="AD33">
            <v>654</v>
          </cell>
          <cell r="AE33" t="str">
            <v>Y</v>
          </cell>
          <cell r="AF33" t="str">
            <v>31-08-2024</v>
          </cell>
          <cell r="AG33">
            <v>7.53</v>
          </cell>
          <cell r="AH33">
            <v>-206100</v>
          </cell>
          <cell r="AI33" t="str">
            <v>FI3405</v>
          </cell>
          <cell r="AJ33" t="str">
            <v>A1+</v>
          </cell>
          <cell r="AK33" t="str">
            <v>AAA</v>
          </cell>
          <cell r="AL33" t="str">
            <v>1</v>
          </cell>
          <cell r="AM33" t="str">
            <v>1</v>
          </cell>
        </row>
        <row r="34">
          <cell r="C34" t="str">
            <v>INE556F08KL3</v>
          </cell>
          <cell r="D34" t="str">
            <v>FI3405NC238</v>
          </cell>
          <cell r="E34" t="str">
            <v>NCD</v>
          </cell>
          <cell r="F34" t="str">
            <v>Small Industries Development Bank of India</v>
          </cell>
          <cell r="G34" t="str">
            <v>7.83% Small Industries Development Bank of India NCD MD 24-11-2028 SERIES V</v>
          </cell>
          <cell r="H34">
            <v>7.83</v>
          </cell>
          <cell r="I34" t="str">
            <v>24-11-2028</v>
          </cell>
          <cell r="J34" t="str">
            <v>CRISIL AAA</v>
          </cell>
          <cell r="K34">
            <v>3.3519999999999999</v>
          </cell>
          <cell r="L34">
            <v>100000</v>
          </cell>
          <cell r="M34">
            <v>5000</v>
          </cell>
          <cell r="N34">
            <v>7.4649999999999999</v>
          </cell>
          <cell r="O34">
            <v>101223.1</v>
          </cell>
          <cell r="P34">
            <v>506115500</v>
          </cell>
          <cell r="Q34">
            <v>38294262.299999997</v>
          </cell>
          <cell r="R34">
            <v>0</v>
          </cell>
          <cell r="S34">
            <v>2974500</v>
          </cell>
          <cell r="T34">
            <v>544409762.29999995</v>
          </cell>
          <cell r="U34">
            <v>6.88</v>
          </cell>
          <cell r="V34">
            <v>7.4</v>
          </cell>
          <cell r="W34">
            <v>100628.2</v>
          </cell>
          <cell r="X34">
            <v>503141000</v>
          </cell>
          <cell r="Y34" t="str">
            <v>24-11-2024</v>
          </cell>
          <cell r="Z34" t="str">
            <v>Financial Services</v>
          </cell>
          <cell r="AC34" t="str">
            <v>Exempt - PFI</v>
          </cell>
          <cell r="AD34">
            <v>1470</v>
          </cell>
          <cell r="AE34" t="str">
            <v>Y</v>
          </cell>
          <cell r="AF34" t="str">
            <v>24-11-2023</v>
          </cell>
          <cell r="AG34">
            <v>7.4649999999999999</v>
          </cell>
          <cell r="AH34">
            <v>2974500</v>
          </cell>
          <cell r="AI34" t="str">
            <v>FI3405</v>
          </cell>
          <cell r="AJ34" t="str">
            <v>A1+</v>
          </cell>
          <cell r="AK34" t="str">
            <v>AAA</v>
          </cell>
          <cell r="AL34" t="str">
            <v>1</v>
          </cell>
          <cell r="AM34" t="str">
            <v>1</v>
          </cell>
        </row>
        <row r="35">
          <cell r="C35" t="str">
            <v>INE557F08FR8</v>
          </cell>
          <cell r="D35" t="str">
            <v>FI3335NC244</v>
          </cell>
          <cell r="E35" t="str">
            <v>NCD</v>
          </cell>
          <cell r="F35" t="str">
            <v>National Housing Bank</v>
          </cell>
          <cell r="G35" t="str">
            <v>7.22% NATIONAL HOUSING BANK NCD 23-07-2026</v>
          </cell>
          <cell r="H35">
            <v>7.22</v>
          </cell>
          <cell r="I35" t="str">
            <v>23-07-2026</v>
          </cell>
          <cell r="J35" t="str">
            <v>CRISIL AAA</v>
          </cell>
          <cell r="K35">
            <v>1.5940000000000001</v>
          </cell>
          <cell r="L35">
            <v>100000</v>
          </cell>
          <cell r="M35">
            <v>2500</v>
          </cell>
          <cell r="N35">
            <v>7.45</v>
          </cell>
          <cell r="O35">
            <v>99614.3</v>
          </cell>
          <cell r="P35">
            <v>249035750</v>
          </cell>
          <cell r="Q35">
            <v>8604657.5299999993</v>
          </cell>
          <cell r="R35">
            <v>0</v>
          </cell>
          <cell r="S35">
            <v>-964250</v>
          </cell>
          <cell r="T35">
            <v>257640407.53</v>
          </cell>
          <cell r="U35">
            <v>3.38</v>
          </cell>
          <cell r="V35">
            <v>3.5</v>
          </cell>
          <cell r="W35">
            <v>100000</v>
          </cell>
          <cell r="X35">
            <v>250000000</v>
          </cell>
          <cell r="Y35" t="str">
            <v>26-05-2025</v>
          </cell>
          <cell r="Z35" t="str">
            <v>Financial Services</v>
          </cell>
          <cell r="AC35" t="str">
            <v>Exempt - PFI</v>
          </cell>
          <cell r="AD35">
            <v>615</v>
          </cell>
          <cell r="AE35" t="str">
            <v>Y</v>
          </cell>
          <cell r="AF35" t="str">
            <v>26-05-2024</v>
          </cell>
          <cell r="AG35">
            <v>7.45</v>
          </cell>
          <cell r="AH35">
            <v>-965500</v>
          </cell>
          <cell r="AI35" t="str">
            <v>FI3335</v>
          </cell>
          <cell r="AJ35" t="str">
            <v>A1+</v>
          </cell>
          <cell r="AK35" t="str">
            <v>AAA</v>
          </cell>
          <cell r="AL35" t="str">
            <v>1</v>
          </cell>
          <cell r="AM35" t="str">
            <v>1</v>
          </cell>
        </row>
        <row r="36">
          <cell r="C36" t="str">
            <v>INE557F08FS6</v>
          </cell>
          <cell r="D36" t="str">
            <v>FI3335NC245</v>
          </cell>
          <cell r="E36" t="str">
            <v>NCD</v>
          </cell>
          <cell r="F36" t="str">
            <v>National Housing Bank</v>
          </cell>
          <cell r="G36" t="str">
            <v>7.40% National Housing Bank NCD MD 16-07-2026</v>
          </cell>
          <cell r="H36">
            <v>7.4</v>
          </cell>
          <cell r="I36" t="str">
            <v>16-07-2026</v>
          </cell>
          <cell r="J36" t="str">
            <v>CRISIL AAA</v>
          </cell>
          <cell r="K36">
            <v>1.5868</v>
          </cell>
          <cell r="L36">
            <v>100000</v>
          </cell>
          <cell r="M36">
            <v>4000</v>
          </cell>
          <cell r="N36">
            <v>7.45</v>
          </cell>
          <cell r="O36">
            <v>99873.3</v>
          </cell>
          <cell r="P36">
            <v>399493200</v>
          </cell>
          <cell r="Q36">
            <v>11596712.33</v>
          </cell>
          <cell r="R36">
            <v>0</v>
          </cell>
          <cell r="S36">
            <v>-192250</v>
          </cell>
          <cell r="T36">
            <v>411089912.32999998</v>
          </cell>
          <cell r="U36">
            <v>5.43</v>
          </cell>
          <cell r="V36">
            <v>5.59</v>
          </cell>
          <cell r="W36">
            <v>99921.362500000003</v>
          </cell>
          <cell r="X36">
            <v>399685450</v>
          </cell>
          <cell r="Y36" t="str">
            <v>26-06-2025</v>
          </cell>
          <cell r="Z36" t="str">
            <v>Financial Services</v>
          </cell>
          <cell r="AC36" t="str">
            <v>Exempt - PFI</v>
          </cell>
          <cell r="AD36">
            <v>608</v>
          </cell>
          <cell r="AE36" t="str">
            <v>Y</v>
          </cell>
          <cell r="AF36" t="str">
            <v>26-06-2024</v>
          </cell>
          <cell r="AG36">
            <v>7.45</v>
          </cell>
          <cell r="AH36">
            <v>-191850</v>
          </cell>
          <cell r="AI36" t="str">
            <v>FI3335</v>
          </cell>
          <cell r="AJ36" t="str">
            <v>A1+</v>
          </cell>
          <cell r="AK36" t="str">
            <v>AAA</v>
          </cell>
          <cell r="AL36" t="str">
            <v>1</v>
          </cell>
          <cell r="AM36" t="str">
            <v>1</v>
          </cell>
        </row>
        <row r="37">
          <cell r="AF37" t="str">
            <v/>
          </cell>
          <cell r="AG37" t="str">
            <v/>
          </cell>
          <cell r="AH37" t="str">
            <v/>
          </cell>
          <cell r="AI37" t="str">
            <v/>
          </cell>
          <cell r="AJ37" t="str">
            <v/>
          </cell>
          <cell r="AK37" t="str">
            <v/>
          </cell>
          <cell r="AL37" t="str">
            <v/>
          </cell>
          <cell r="AM37" t="str">
            <v/>
          </cell>
        </row>
        <row r="38">
          <cell r="C38" t="str">
            <v>INF0RQ622028</v>
          </cell>
          <cell r="D38" t="str">
            <v>CDMDF23</v>
          </cell>
          <cell r="E38" t="str">
            <v>CDMDF</v>
          </cell>
          <cell r="F38" t="str">
            <v>Corporate Debt Market Development Fund</v>
          </cell>
          <cell r="G38" t="str">
            <v>Corporate Debt Market Development Fund - Class A2</v>
          </cell>
          <cell r="H38">
            <v>0</v>
          </cell>
          <cell r="K38">
            <v>0</v>
          </cell>
          <cell r="L38">
            <v>10000</v>
          </cell>
          <cell r="M38">
            <v>1138.2429999999999</v>
          </cell>
          <cell r="N38">
            <v>9.9999999999999995E-7</v>
          </cell>
          <cell r="O38">
            <v>10450.479300000001</v>
          </cell>
          <cell r="P38">
            <v>11895184.91</v>
          </cell>
          <cell r="Q38">
            <v>0</v>
          </cell>
          <cell r="R38">
            <v>0</v>
          </cell>
          <cell r="S38">
            <v>512754.03</v>
          </cell>
          <cell r="T38">
            <v>11895184.91</v>
          </cell>
          <cell r="U38">
            <v>0.36</v>
          </cell>
          <cell r="V38">
            <v>0.36</v>
          </cell>
          <cell r="W38">
            <v>10000.000773121381</v>
          </cell>
          <cell r="X38">
            <v>11382430.880000001</v>
          </cell>
          <cell r="Z38" t="str">
            <v>Financial Services</v>
          </cell>
          <cell r="AE38" t="str">
            <v>N</v>
          </cell>
          <cell r="AG38">
            <v>9.9999999999999995E-7</v>
          </cell>
          <cell r="AH38">
            <v>511570.37</v>
          </cell>
          <cell r="AI38" t="str">
            <v>CDMDF</v>
          </cell>
        </row>
        <row r="39">
          <cell r="C39" t="str">
            <v>IN0020230051</v>
          </cell>
          <cell r="D39" t="str">
            <v>7.30GSE190653</v>
          </cell>
          <cell r="E39" t="str">
            <v>GSE</v>
          </cell>
          <cell r="F39" t="str">
            <v>Govt. of India - GSec / TBL</v>
          </cell>
          <cell r="G39" t="str">
            <v>7.30% Government Securities - 19/06/2053</v>
          </cell>
          <cell r="H39">
            <v>7.3</v>
          </cell>
          <cell r="I39" t="str">
            <v>19-06-2053</v>
          </cell>
          <cell r="J39" t="str">
            <v>Sovereign</v>
          </cell>
          <cell r="K39">
            <v>12.2509</v>
          </cell>
          <cell r="L39">
            <v>100</v>
          </cell>
          <cell r="M39">
            <v>500000</v>
          </cell>
          <cell r="N39">
            <v>7.1519000000000004</v>
          </cell>
          <cell r="O39">
            <v>103.3186</v>
          </cell>
          <cell r="P39">
            <v>51659300</v>
          </cell>
          <cell r="Q39">
            <v>1490416.67</v>
          </cell>
          <cell r="R39">
            <v>0</v>
          </cell>
          <cell r="S39">
            <v>-35700</v>
          </cell>
          <cell r="T39">
            <v>53149716.670000002</v>
          </cell>
          <cell r="U39">
            <v>1.54</v>
          </cell>
          <cell r="V39">
            <v>1.59</v>
          </cell>
          <cell r="W39">
            <v>103.39</v>
          </cell>
          <cell r="X39">
            <v>51695000</v>
          </cell>
          <cell r="Y39" t="str">
            <v>19-12-2024</v>
          </cell>
          <cell r="Z39" t="str">
            <v>Exempt - GSECs</v>
          </cell>
          <cell r="AC39" t="str">
            <v>Exempt - GSECs</v>
          </cell>
          <cell r="AD39">
            <v>10443</v>
          </cell>
          <cell r="AE39" t="str">
            <v>Y</v>
          </cell>
          <cell r="AF39" t="str">
            <v>19-06-2024</v>
          </cell>
          <cell r="AG39">
            <v>7.1519000000000004</v>
          </cell>
          <cell r="AH39">
            <v>-35750</v>
          </cell>
          <cell r="AI39" t="str">
            <v>GOVT.</v>
          </cell>
          <cell r="AJ39" t="str">
            <v>Gsec</v>
          </cell>
          <cell r="AK39" t="str">
            <v>Gsec</v>
          </cell>
          <cell r="AL39" t="str">
            <v>1</v>
          </cell>
          <cell r="AM39" t="str">
            <v>1</v>
          </cell>
        </row>
        <row r="40">
          <cell r="C40" t="str">
            <v>IN0020230135</v>
          </cell>
          <cell r="D40" t="str">
            <v>7.32GSE131130</v>
          </cell>
          <cell r="E40" t="str">
            <v>GSE</v>
          </cell>
          <cell r="F40" t="str">
            <v>Govt. of India - GSec / TBL</v>
          </cell>
          <cell r="G40" t="str">
            <v>7.32% Government Securities-13/11/2030</v>
          </cell>
          <cell r="H40">
            <v>7.32</v>
          </cell>
          <cell r="I40" t="str">
            <v>13-11-2030</v>
          </cell>
          <cell r="J40" t="str">
            <v>Sovereign</v>
          </cell>
          <cell r="K40">
            <v>4.9672999999999998</v>
          </cell>
          <cell r="L40">
            <v>100</v>
          </cell>
          <cell r="M40">
            <v>1000000</v>
          </cell>
          <cell r="N40">
            <v>6.9595000000000002</v>
          </cell>
          <cell r="O40">
            <v>102.3147</v>
          </cell>
          <cell r="P40">
            <v>102314700</v>
          </cell>
          <cell r="Q40">
            <v>61000</v>
          </cell>
          <cell r="R40">
            <v>0</v>
          </cell>
          <cell r="S40">
            <v>1156700</v>
          </cell>
          <cell r="T40">
            <v>102375700</v>
          </cell>
          <cell r="U40">
            <v>3.06</v>
          </cell>
          <cell r="V40">
            <v>3.06</v>
          </cell>
          <cell r="W40">
            <v>101.158</v>
          </cell>
          <cell r="X40">
            <v>101158000</v>
          </cell>
          <cell r="Y40" t="str">
            <v>13-05-2025</v>
          </cell>
          <cell r="Z40" t="str">
            <v>Exempt - GSECs</v>
          </cell>
          <cell r="AC40" t="str">
            <v>Exempt - GSECs</v>
          </cell>
          <cell r="AD40">
            <v>2189</v>
          </cell>
          <cell r="AE40" t="str">
            <v>Y</v>
          </cell>
          <cell r="AF40" t="str">
            <v>13-11-2024</v>
          </cell>
          <cell r="AG40">
            <v>6.9595000000000002</v>
          </cell>
          <cell r="AH40">
            <v>1157900</v>
          </cell>
          <cell r="AI40" t="str">
            <v>GOVT.</v>
          </cell>
          <cell r="AJ40" t="str">
            <v>Gsec</v>
          </cell>
          <cell r="AK40" t="str">
            <v>Gsec</v>
          </cell>
          <cell r="AL40" t="str">
            <v>1</v>
          </cell>
          <cell r="AM40" t="str">
            <v>1</v>
          </cell>
        </row>
        <row r="41">
          <cell r="C41" t="str">
            <v>IN0020240019</v>
          </cell>
          <cell r="D41" t="str">
            <v>7.10GSE080434</v>
          </cell>
          <cell r="E41" t="str">
            <v>GSE</v>
          </cell>
          <cell r="F41" t="str">
            <v>Govt. of India - GSec / TBL</v>
          </cell>
          <cell r="G41" t="str">
            <v>7.10% Central Government Securities 08/04/2034</v>
          </cell>
          <cell r="H41">
            <v>7.1</v>
          </cell>
          <cell r="I41" t="str">
            <v>08-04-2034</v>
          </cell>
          <cell r="J41" t="str">
            <v>Sovereign</v>
          </cell>
          <cell r="K41">
            <v>6.9844999999999997</v>
          </cell>
          <cell r="L41">
            <v>100</v>
          </cell>
          <cell r="M41">
            <v>4800000</v>
          </cell>
          <cell r="N41">
            <v>6.9813999999999998</v>
          </cell>
          <cell r="O41">
            <v>101.60720000000001</v>
          </cell>
          <cell r="P41">
            <v>487714560</v>
          </cell>
          <cell r="Q41">
            <v>3597333.33</v>
          </cell>
          <cell r="R41">
            <v>0</v>
          </cell>
          <cell r="S41">
            <v>-1819886.31</v>
          </cell>
          <cell r="T41">
            <v>491311893.32999998</v>
          </cell>
          <cell r="U41">
            <v>14.57</v>
          </cell>
          <cell r="V41">
            <v>14.68</v>
          </cell>
          <cell r="W41">
            <v>101.98634298125</v>
          </cell>
          <cell r="X41">
            <v>489534446.31</v>
          </cell>
          <cell r="Y41" t="str">
            <v>08-04-2025</v>
          </cell>
          <cell r="Z41" t="str">
            <v>Exempt - GSECs</v>
          </cell>
          <cell r="AC41" t="str">
            <v>Exempt - GSECs</v>
          </cell>
          <cell r="AD41">
            <v>3431</v>
          </cell>
          <cell r="AE41" t="str">
            <v>Y</v>
          </cell>
          <cell r="AF41" t="str">
            <v>08-10-2024</v>
          </cell>
          <cell r="AG41">
            <v>6.9813999999999998</v>
          </cell>
          <cell r="AH41">
            <v>-1817006.31</v>
          </cell>
          <cell r="AI41" t="str">
            <v>GOVT.</v>
          </cell>
          <cell r="AJ41" t="str">
            <v>GSEC</v>
          </cell>
          <cell r="AK41" t="str">
            <v>GSEC</v>
          </cell>
          <cell r="AL41" t="str">
            <v>1</v>
          </cell>
          <cell r="AM41" t="str">
            <v>1</v>
          </cell>
        </row>
        <row r="42">
          <cell r="C42" t="str">
            <v>IN0020240027</v>
          </cell>
          <cell r="D42" t="str">
            <v>7.23GSE150439</v>
          </cell>
          <cell r="E42" t="str">
            <v>GSE</v>
          </cell>
          <cell r="F42" t="str">
            <v>Govt. of India - GSec / TBL</v>
          </cell>
          <cell r="G42" t="str">
            <v>7.23% Central Government Securities 15/04/2039</v>
          </cell>
          <cell r="H42">
            <v>7.23</v>
          </cell>
          <cell r="I42" t="str">
            <v>15-04-2039</v>
          </cell>
          <cell r="J42" t="str">
            <v>Sovereign</v>
          </cell>
          <cell r="K42">
            <v>9.2065000000000001</v>
          </cell>
          <cell r="L42">
            <v>100</v>
          </cell>
          <cell r="M42">
            <v>500000</v>
          </cell>
          <cell r="N42">
            <v>7.0387000000000004</v>
          </cell>
          <cell r="O42">
            <v>102.79989999999999</v>
          </cell>
          <cell r="P42">
            <v>51399950</v>
          </cell>
          <cell r="Q42">
            <v>311291.67</v>
          </cell>
          <cell r="R42">
            <v>0</v>
          </cell>
          <cell r="S42">
            <v>353700</v>
          </cell>
          <cell r="T42">
            <v>51711241.670000002</v>
          </cell>
          <cell r="U42">
            <v>1.54</v>
          </cell>
          <cell r="V42">
            <v>1.55</v>
          </cell>
          <cell r="W42">
            <v>102.0925</v>
          </cell>
          <cell r="X42">
            <v>51046250</v>
          </cell>
          <cell r="Y42" t="str">
            <v>15-04-2025</v>
          </cell>
          <cell r="Z42" t="str">
            <v>Exempt - GSECs</v>
          </cell>
          <cell r="AC42" t="str">
            <v>Exempt - GSECs</v>
          </cell>
          <cell r="AD42">
            <v>5264</v>
          </cell>
          <cell r="AE42" t="str">
            <v>Y</v>
          </cell>
          <cell r="AF42" t="str">
            <v>15-10-2024</v>
          </cell>
          <cell r="AG42">
            <v>7.0387000000000004</v>
          </cell>
          <cell r="AH42">
            <v>353950</v>
          </cell>
          <cell r="AI42" t="str">
            <v>GOVT.</v>
          </cell>
          <cell r="AJ42" t="str">
            <v>GSEC</v>
          </cell>
          <cell r="AK42" t="str">
            <v>GSEC</v>
          </cell>
          <cell r="AL42" t="str">
            <v>1</v>
          </cell>
          <cell r="AM42" t="str">
            <v>1</v>
          </cell>
        </row>
        <row r="43">
          <cell r="C43" t="str">
            <v>IN0020240035</v>
          </cell>
          <cell r="D43" t="str">
            <v>7.34GSE220464</v>
          </cell>
          <cell r="E43" t="str">
            <v>GSE</v>
          </cell>
          <cell r="F43" t="str">
            <v>Govt. of India - GSec / TBL</v>
          </cell>
          <cell r="G43" t="str">
            <v>7.34% Central Government Securities 22/04/2064</v>
          </cell>
          <cell r="H43">
            <v>7.34</v>
          </cell>
          <cell r="I43" t="str">
            <v>22-04-2064</v>
          </cell>
          <cell r="J43" t="str">
            <v>Sovereign</v>
          </cell>
          <cell r="K43">
            <v>13.5962</v>
          </cell>
          <cell r="L43">
            <v>100</v>
          </cell>
          <cell r="M43">
            <v>500000</v>
          </cell>
          <cell r="N43">
            <v>7.1776999999999997</v>
          </cell>
          <cell r="O43">
            <v>103.7933</v>
          </cell>
          <cell r="P43">
            <v>51896650</v>
          </cell>
          <cell r="Q43">
            <v>244666.67</v>
          </cell>
          <cell r="R43">
            <v>0</v>
          </cell>
          <cell r="S43">
            <v>-713350</v>
          </cell>
          <cell r="T43">
            <v>52141316.670000002</v>
          </cell>
          <cell r="U43">
            <v>1.55</v>
          </cell>
          <cell r="V43">
            <v>1.56</v>
          </cell>
          <cell r="W43">
            <v>105.22</v>
          </cell>
          <cell r="X43">
            <v>52610000</v>
          </cell>
          <cell r="Y43" t="str">
            <v>22-04-2025</v>
          </cell>
          <cell r="Z43" t="str">
            <v>Exempt - GSECs</v>
          </cell>
          <cell r="AC43" t="str">
            <v>Exempt - GSECs</v>
          </cell>
          <cell r="AD43">
            <v>14403</v>
          </cell>
          <cell r="AE43" t="str">
            <v>Y</v>
          </cell>
          <cell r="AF43" t="str">
            <v>22-10-2024</v>
          </cell>
          <cell r="AG43">
            <v>7.1776999999999997</v>
          </cell>
          <cell r="AH43">
            <v>-713200</v>
          </cell>
          <cell r="AI43" t="str">
            <v>GOVT.</v>
          </cell>
          <cell r="AJ43" t="str">
            <v>GSEC</v>
          </cell>
          <cell r="AK43" t="str">
            <v>GSEC</v>
          </cell>
          <cell r="AL43" t="str">
            <v>1</v>
          </cell>
          <cell r="AM43" t="str">
            <v>1</v>
          </cell>
        </row>
        <row r="44">
          <cell r="C44" t="str">
            <v>INE020B08EA5</v>
          </cell>
          <cell r="D44" t="str">
            <v>UT47NC312</v>
          </cell>
          <cell r="E44" t="str">
            <v>NCD</v>
          </cell>
          <cell r="F44" t="str">
            <v>REC LTD</v>
          </cell>
          <cell r="G44" t="str">
            <v>7.55% REC LTD NCD 31/03/2028</v>
          </cell>
          <cell r="H44">
            <v>7.55</v>
          </cell>
          <cell r="I44" t="str">
            <v>31-03-2028</v>
          </cell>
          <cell r="J44" t="str">
            <v>ICRA AAA</v>
          </cell>
          <cell r="K44">
            <v>2.9691000000000001</v>
          </cell>
          <cell r="L44">
            <v>1000000</v>
          </cell>
          <cell r="M44">
            <v>250</v>
          </cell>
          <cell r="N44">
            <v>7.4050000000000002</v>
          </cell>
          <cell r="O44">
            <v>1003559</v>
          </cell>
          <cell r="P44">
            <v>250889750</v>
          </cell>
          <cell r="Q44">
            <v>11893835.619999999</v>
          </cell>
          <cell r="R44">
            <v>0</v>
          </cell>
          <cell r="S44">
            <v>889750</v>
          </cell>
          <cell r="T44">
            <v>262783585.62</v>
          </cell>
          <cell r="U44">
            <v>7.5</v>
          </cell>
          <cell r="V44">
            <v>7.85</v>
          </cell>
          <cell r="W44">
            <v>1000000</v>
          </cell>
          <cell r="X44">
            <v>250000000</v>
          </cell>
          <cell r="Y44" t="str">
            <v>31-03-2025</v>
          </cell>
          <cell r="Z44" t="str">
            <v>Financial Services</v>
          </cell>
          <cell r="AC44" t="str">
            <v>Exempt - PFI</v>
          </cell>
          <cell r="AD44">
            <v>1232</v>
          </cell>
          <cell r="AE44" t="str">
            <v>Y</v>
          </cell>
          <cell r="AF44" t="str">
            <v>31-03-2024</v>
          </cell>
          <cell r="AG44">
            <v>7.4050000000000002</v>
          </cell>
          <cell r="AH44">
            <v>890250</v>
          </cell>
          <cell r="AI44" t="str">
            <v>UT47</v>
          </cell>
          <cell r="AJ44" t="str">
            <v>A1+</v>
          </cell>
          <cell r="AK44" t="str">
            <v>AAA</v>
          </cell>
          <cell r="AL44" t="str">
            <v>1</v>
          </cell>
          <cell r="AM44" t="str">
            <v>1</v>
          </cell>
        </row>
        <row r="45">
          <cell r="C45" t="str">
            <v>INE020B08EP3</v>
          </cell>
          <cell r="D45" t="str">
            <v>UT47NC318</v>
          </cell>
          <cell r="E45" t="str">
            <v>NCD</v>
          </cell>
          <cell r="F45" t="str">
            <v>REC LTD</v>
          </cell>
          <cell r="G45" t="str">
            <v>7.77% REC NCD MD 30-09-2026</v>
          </cell>
          <cell r="H45">
            <v>7.77</v>
          </cell>
          <cell r="I45" t="str">
            <v>30-09-2026</v>
          </cell>
          <cell r="J45" t="str">
            <v>CRISIL AAA</v>
          </cell>
          <cell r="K45">
            <v>1.7992999999999999</v>
          </cell>
          <cell r="L45">
            <v>100000</v>
          </cell>
          <cell r="M45">
            <v>500</v>
          </cell>
          <cell r="N45">
            <v>7.5</v>
          </cell>
          <cell r="O45">
            <v>100424.4</v>
          </cell>
          <cell r="P45">
            <v>50212200</v>
          </cell>
          <cell r="Q45">
            <v>500260.27</v>
          </cell>
          <cell r="R45">
            <v>0</v>
          </cell>
          <cell r="S45">
            <v>212200</v>
          </cell>
          <cell r="T45">
            <v>50712460.270000003</v>
          </cell>
          <cell r="U45">
            <v>1.5</v>
          </cell>
          <cell r="V45">
            <v>1.52</v>
          </cell>
          <cell r="W45">
            <v>100000</v>
          </cell>
          <cell r="X45">
            <v>50000000</v>
          </cell>
          <cell r="Y45" t="str">
            <v>30-09-2025</v>
          </cell>
          <cell r="Z45" t="str">
            <v>Financial Services</v>
          </cell>
          <cell r="AC45" t="str">
            <v>Exempt - PFI</v>
          </cell>
          <cell r="AD45">
            <v>684</v>
          </cell>
          <cell r="AE45" t="str">
            <v>Y</v>
          </cell>
          <cell r="AF45" t="str">
            <v>30-09-2024</v>
          </cell>
          <cell r="AG45">
            <v>7.5</v>
          </cell>
          <cell r="AH45">
            <v>212800</v>
          </cell>
          <cell r="AI45" t="str">
            <v>UT47</v>
          </cell>
          <cell r="AJ45" t="str">
            <v>A1+</v>
          </cell>
          <cell r="AK45" t="str">
            <v>AAA</v>
          </cell>
          <cell r="AL45" t="str">
            <v>1</v>
          </cell>
          <cell r="AM45" t="str">
            <v>1</v>
          </cell>
        </row>
        <row r="46">
          <cell r="C46" t="str">
            <v>INE040A08955</v>
          </cell>
          <cell r="D46" t="str">
            <v>FI3310NC207</v>
          </cell>
          <cell r="E46" t="str">
            <v>NCD</v>
          </cell>
          <cell r="F46" t="str">
            <v>HDFC Bank Ltd</v>
          </cell>
          <cell r="G46" t="str">
            <v>7.70% HDFC Bank Ltd NCD MD 16-05-2028  HDFC Series US-003</v>
          </cell>
          <cell r="H46">
            <v>7.7</v>
          </cell>
          <cell r="I46" t="str">
            <v>16-05-2028</v>
          </cell>
          <cell r="J46" t="str">
            <v>CRISIL AAA</v>
          </cell>
          <cell r="K46">
            <v>3.0872999999999999</v>
          </cell>
          <cell r="L46">
            <v>100000</v>
          </cell>
          <cell r="M46">
            <v>2500</v>
          </cell>
          <cell r="N46">
            <v>7.66</v>
          </cell>
          <cell r="O46">
            <v>100047.8</v>
          </cell>
          <cell r="P46">
            <v>250119500</v>
          </cell>
          <cell r="Q46">
            <v>9704109.5899999999</v>
          </cell>
          <cell r="R46">
            <v>0</v>
          </cell>
          <cell r="S46">
            <v>783000</v>
          </cell>
          <cell r="T46">
            <v>259823609.59</v>
          </cell>
          <cell r="U46">
            <v>7.47</v>
          </cell>
          <cell r="V46">
            <v>7.76</v>
          </cell>
          <cell r="W46">
            <v>99734.6</v>
          </cell>
          <cell r="X46">
            <v>249336500</v>
          </cell>
          <cell r="Y46" t="str">
            <v>16-05-2025</v>
          </cell>
          <cell r="Z46" t="str">
            <v>Financial Services</v>
          </cell>
          <cell r="AC46" t="str">
            <v>Financial Services</v>
          </cell>
          <cell r="AD46">
            <v>1278</v>
          </cell>
          <cell r="AE46" t="str">
            <v>Y</v>
          </cell>
          <cell r="AF46" t="str">
            <v>16-05-2024</v>
          </cell>
          <cell r="AG46">
            <v>7.66</v>
          </cell>
          <cell r="AH46">
            <v>783250</v>
          </cell>
          <cell r="AI46" t="str">
            <v>FI3310</v>
          </cell>
          <cell r="AJ46" t="str">
            <v>A1+</v>
          </cell>
          <cell r="AK46" t="str">
            <v>AAA</v>
          </cell>
          <cell r="AL46" t="str">
            <v>2</v>
          </cell>
          <cell r="AM46" t="str">
            <v>1</v>
          </cell>
        </row>
        <row r="47">
          <cell r="C47" t="str">
            <v>INE053F08304</v>
          </cell>
          <cell r="D47" t="str">
            <v>FI3567IRFC248</v>
          </cell>
          <cell r="E47" t="str">
            <v>NCD</v>
          </cell>
          <cell r="F47" t="str">
            <v>Indian Railway Finance Corporation Ltd</v>
          </cell>
          <cell r="G47" t="str">
            <v>7.23% Indian Railway Finance Corporation Ltd NCD 15-10-2026</v>
          </cell>
          <cell r="H47">
            <v>7.23</v>
          </cell>
          <cell r="I47" t="str">
            <v>15-10-2026</v>
          </cell>
          <cell r="J47" t="str">
            <v>CRISIL AAA</v>
          </cell>
          <cell r="K47">
            <v>1.7794000000000001</v>
          </cell>
          <cell r="L47">
            <v>100000</v>
          </cell>
          <cell r="M47">
            <v>1500</v>
          </cell>
          <cell r="N47">
            <v>7.4</v>
          </cell>
          <cell r="O47">
            <v>99700.5</v>
          </cell>
          <cell r="P47">
            <v>149550750</v>
          </cell>
          <cell r="Q47">
            <v>6388150.6799999997</v>
          </cell>
          <cell r="R47">
            <v>0</v>
          </cell>
          <cell r="S47">
            <v>-449250</v>
          </cell>
          <cell r="T47">
            <v>155938900.68000001</v>
          </cell>
          <cell r="U47">
            <v>4.47</v>
          </cell>
          <cell r="V47">
            <v>4.66</v>
          </cell>
          <cell r="W47">
            <v>100000</v>
          </cell>
          <cell r="X47">
            <v>150000000</v>
          </cell>
          <cell r="Y47" t="str">
            <v>15-04-2025</v>
          </cell>
          <cell r="Z47" t="str">
            <v>Financial Services</v>
          </cell>
          <cell r="AC47" t="str">
            <v>Exempt - PFI</v>
          </cell>
          <cell r="AD47">
            <v>699</v>
          </cell>
          <cell r="AE47" t="str">
            <v>Y</v>
          </cell>
          <cell r="AF47" t="str">
            <v>15-04-2024</v>
          </cell>
          <cell r="AG47">
            <v>7.4</v>
          </cell>
          <cell r="AH47">
            <v>-450000</v>
          </cell>
          <cell r="AI47" t="str">
            <v>FI3567</v>
          </cell>
          <cell r="AJ47" t="str">
            <v>A1+</v>
          </cell>
          <cell r="AK47" t="str">
            <v>AAA</v>
          </cell>
          <cell r="AL47" t="str">
            <v>1</v>
          </cell>
          <cell r="AM47" t="str">
            <v>1</v>
          </cell>
        </row>
        <row r="48">
          <cell r="C48" t="str">
            <v>INE053F08338</v>
          </cell>
          <cell r="D48" t="str">
            <v>FI3567IRFC251</v>
          </cell>
          <cell r="E48" t="str">
            <v>NCD</v>
          </cell>
          <cell r="F48" t="str">
            <v>Indian Railway Finance Corporation Ltd</v>
          </cell>
          <cell r="G48" t="str">
            <v>7.68% Indian Railway Finance Corporation Ltd NCD MD 24-11-2026</v>
          </cell>
          <cell r="H48">
            <v>7.68</v>
          </cell>
          <cell r="I48" t="str">
            <v>24-11-2026</v>
          </cell>
          <cell r="J48" t="str">
            <v>CRISIL AAA</v>
          </cell>
          <cell r="K48">
            <v>1.9358</v>
          </cell>
          <cell r="L48">
            <v>100000</v>
          </cell>
          <cell r="M48">
            <v>500</v>
          </cell>
          <cell r="N48">
            <v>7.4</v>
          </cell>
          <cell r="O48">
            <v>100509.8</v>
          </cell>
          <cell r="P48">
            <v>50254900</v>
          </cell>
          <cell r="Q48">
            <v>336657.53</v>
          </cell>
          <cell r="R48">
            <v>0</v>
          </cell>
          <cell r="S48">
            <v>254900</v>
          </cell>
          <cell r="T48">
            <v>50591557.530000001</v>
          </cell>
          <cell r="U48">
            <v>1.5</v>
          </cell>
          <cell r="V48">
            <v>1.51</v>
          </cell>
          <cell r="W48">
            <v>100000</v>
          </cell>
          <cell r="X48">
            <v>50000000</v>
          </cell>
          <cell r="Y48" t="str">
            <v>15-10-2025</v>
          </cell>
          <cell r="Z48" t="str">
            <v>Financial Services</v>
          </cell>
          <cell r="AC48" t="str">
            <v>Exempt - PFI</v>
          </cell>
          <cell r="AD48">
            <v>739</v>
          </cell>
          <cell r="AE48" t="str">
            <v>Y</v>
          </cell>
          <cell r="AF48" t="str">
            <v>15-10-2024</v>
          </cell>
          <cell r="AG48">
            <v>7.4</v>
          </cell>
          <cell r="AH48">
            <v>255550</v>
          </cell>
          <cell r="AI48" t="str">
            <v>FI3567</v>
          </cell>
          <cell r="AJ48" t="str">
            <v>A1+</v>
          </cell>
          <cell r="AK48" t="str">
            <v>AAA</v>
          </cell>
          <cell r="AL48" t="str">
            <v>1</v>
          </cell>
          <cell r="AM48" t="str">
            <v>1</v>
          </cell>
        </row>
        <row r="49">
          <cell r="C49" t="str">
            <v>INE053F08411</v>
          </cell>
          <cell r="D49" t="str">
            <v>FI3567IRFC252</v>
          </cell>
          <cell r="E49" t="str">
            <v>NCD</v>
          </cell>
          <cell r="F49" t="str">
            <v>Indian Railway Finance Corporation Ltd</v>
          </cell>
          <cell r="G49" t="str">
            <v>7.37%  Indian Railway Finance Corporation Ltd NCD MD 31-07-2029</v>
          </cell>
          <cell r="H49">
            <v>7.37</v>
          </cell>
          <cell r="I49" t="str">
            <v>31-07-2029</v>
          </cell>
          <cell r="J49" t="str">
            <v>CRISIL AAA</v>
          </cell>
          <cell r="K49">
            <v>4.0503999999999998</v>
          </cell>
          <cell r="L49">
            <v>100000</v>
          </cell>
          <cell r="M49">
            <v>1000</v>
          </cell>
          <cell r="N49">
            <v>7.27</v>
          </cell>
          <cell r="O49">
            <v>100423.8</v>
          </cell>
          <cell r="P49">
            <v>100423800</v>
          </cell>
          <cell r="Q49">
            <v>2180712.33</v>
          </cell>
          <cell r="R49">
            <v>0</v>
          </cell>
          <cell r="S49">
            <v>423800</v>
          </cell>
          <cell r="T49">
            <v>102604512.33</v>
          </cell>
          <cell r="U49">
            <v>3</v>
          </cell>
          <cell r="V49">
            <v>3.07</v>
          </cell>
          <cell r="W49">
            <v>100000</v>
          </cell>
          <cell r="X49">
            <v>100000000</v>
          </cell>
          <cell r="Y49" t="str">
            <v>15-04-2025</v>
          </cell>
          <cell r="Z49" t="str">
            <v>Financial Services</v>
          </cell>
          <cell r="AC49" t="str">
            <v>Exempt - PFI</v>
          </cell>
          <cell r="AD49">
            <v>1719</v>
          </cell>
          <cell r="AE49" t="str">
            <v>Y</v>
          </cell>
          <cell r="AF49" t="str">
            <v>31-07-2024</v>
          </cell>
          <cell r="AG49">
            <v>7.27</v>
          </cell>
          <cell r="AH49">
            <v>424300</v>
          </cell>
          <cell r="AI49" t="str">
            <v>FI3567</v>
          </cell>
          <cell r="AJ49" t="str">
            <v>A1+</v>
          </cell>
          <cell r="AK49" t="str">
            <v>AAA</v>
          </cell>
          <cell r="AL49" t="str">
            <v>1</v>
          </cell>
          <cell r="AM49" t="str">
            <v>1</v>
          </cell>
        </row>
        <row r="50">
          <cell r="C50" t="str">
            <v>INE0KUG08035</v>
          </cell>
          <cell r="D50" t="str">
            <v>FI35NBFINCD2</v>
          </cell>
          <cell r="E50" t="str">
            <v>NCD</v>
          </cell>
          <cell r="F50" t="str">
            <v>National Bank for Financing Infrastructure and Development</v>
          </cell>
          <cell r="G50" t="str">
            <v>7.43% National Bank for Financing Infrastructure and Development NCD MD 04-07-2034 PUT DATE 040725</v>
          </cell>
          <cell r="H50">
            <v>7.43</v>
          </cell>
          <cell r="I50" t="str">
            <v>04-07-2034</v>
          </cell>
          <cell r="J50" t="str">
            <v>CRISIL AAA</v>
          </cell>
          <cell r="K50">
            <v>7.048</v>
          </cell>
          <cell r="L50">
            <v>100000</v>
          </cell>
          <cell r="M50">
            <v>500</v>
          </cell>
          <cell r="N50">
            <v>7.2249999999999996</v>
          </cell>
          <cell r="O50">
            <v>101327.9</v>
          </cell>
          <cell r="P50">
            <v>50663950</v>
          </cell>
          <cell r="Q50">
            <v>1374041.1</v>
          </cell>
          <cell r="R50">
            <v>0</v>
          </cell>
          <cell r="S50">
            <v>663950</v>
          </cell>
          <cell r="T50">
            <v>52037991.100000001</v>
          </cell>
          <cell r="U50">
            <v>1.51</v>
          </cell>
          <cell r="V50">
            <v>1.55</v>
          </cell>
          <cell r="W50">
            <v>100000</v>
          </cell>
          <cell r="X50">
            <v>50000000</v>
          </cell>
          <cell r="Y50" t="str">
            <v>04-07-2025</v>
          </cell>
          <cell r="Z50" t="str">
            <v>Financial Services</v>
          </cell>
          <cell r="AA50" t="str">
            <v>04-JUL-25</v>
          </cell>
          <cell r="AC50" t="str">
            <v>Exempt - PFI</v>
          </cell>
          <cell r="AD50">
            <v>3518</v>
          </cell>
          <cell r="AE50" t="str">
            <v>Y</v>
          </cell>
          <cell r="AF50" t="str">
            <v>04-07-2024</v>
          </cell>
          <cell r="AG50">
            <v>7.2249999999999996</v>
          </cell>
          <cell r="AH50">
            <v>664200</v>
          </cell>
          <cell r="AI50" t="str">
            <v>FI35NBFI</v>
          </cell>
          <cell r="AJ50" t="str">
            <v>A1+</v>
          </cell>
          <cell r="AK50" t="str">
            <v>AAA</v>
          </cell>
          <cell r="AL50" t="str">
            <v>1</v>
          </cell>
          <cell r="AM50" t="str">
            <v>1</v>
          </cell>
        </row>
        <row r="51">
          <cell r="C51" t="str">
            <v>INE134E08LK2</v>
          </cell>
          <cell r="D51" t="str">
            <v>FI35PFNC363</v>
          </cell>
          <cell r="E51" t="str">
            <v>NCD</v>
          </cell>
          <cell r="F51" t="str">
            <v>Power Finance Corporation Ltd</v>
          </cell>
          <cell r="G51" t="str">
            <v>6.09% Power Finance Corporation Ltd-NCD-27/08/2026-OPTION A</v>
          </cell>
          <cell r="H51">
            <v>6.09</v>
          </cell>
          <cell r="I51" t="str">
            <v>27-08-2026</v>
          </cell>
          <cell r="J51" t="str">
            <v>ICRA AAA</v>
          </cell>
          <cell r="K51">
            <v>1.72</v>
          </cell>
          <cell r="L51">
            <v>1000000</v>
          </cell>
          <cell r="M51">
            <v>200</v>
          </cell>
          <cell r="N51">
            <v>7.5</v>
          </cell>
          <cell r="O51">
            <v>976937</v>
          </cell>
          <cell r="P51">
            <v>195387400</v>
          </cell>
          <cell r="Q51">
            <v>2702958.9</v>
          </cell>
          <cell r="R51">
            <v>0</v>
          </cell>
          <cell r="S51">
            <v>-4612600</v>
          </cell>
          <cell r="T51">
            <v>198090358.90000001</v>
          </cell>
          <cell r="U51">
            <v>5.84</v>
          </cell>
          <cell r="V51">
            <v>5.92</v>
          </cell>
          <cell r="W51">
            <v>1000000</v>
          </cell>
          <cell r="X51">
            <v>200000000</v>
          </cell>
          <cell r="Y51" t="str">
            <v>27-08-2025</v>
          </cell>
          <cell r="Z51" t="str">
            <v>Financial Services</v>
          </cell>
          <cell r="AC51" t="str">
            <v>Exempt - PFI</v>
          </cell>
          <cell r="AD51">
            <v>650</v>
          </cell>
          <cell r="AE51" t="str">
            <v>Y</v>
          </cell>
          <cell r="AF51" t="str">
            <v>27-08-2024</v>
          </cell>
          <cell r="AG51">
            <v>7.5</v>
          </cell>
          <cell r="AH51">
            <v>-4618600</v>
          </cell>
          <cell r="AI51" t="str">
            <v>FI35PF</v>
          </cell>
          <cell r="AJ51" t="str">
            <v>A1+</v>
          </cell>
          <cell r="AK51" t="str">
            <v>AAA</v>
          </cell>
          <cell r="AL51" t="str">
            <v>1</v>
          </cell>
          <cell r="AM51" t="str">
            <v>1</v>
          </cell>
        </row>
        <row r="52">
          <cell r="C52" t="str">
            <v>INE134E08MX3</v>
          </cell>
          <cell r="D52" t="str">
            <v>FI35PFCNC371</v>
          </cell>
          <cell r="E52" t="str">
            <v>NCD</v>
          </cell>
          <cell r="F52" t="str">
            <v>Power Finance Corporation Ltd</v>
          </cell>
          <cell r="G52" t="str">
            <v>7.60% Power Finance Corporation Limited NCD MD 13-04-2029</v>
          </cell>
          <cell r="H52">
            <v>7.6</v>
          </cell>
          <cell r="I52" t="str">
            <v>13-04-2029</v>
          </cell>
          <cell r="J52" t="str">
            <v>CRISIL AAA</v>
          </cell>
          <cell r="K52">
            <v>3.7084000000000001</v>
          </cell>
          <cell r="L52">
            <v>100000</v>
          </cell>
          <cell r="M52">
            <v>500</v>
          </cell>
          <cell r="N52">
            <v>7.3669000000000002</v>
          </cell>
          <cell r="O52">
            <v>100820.6</v>
          </cell>
          <cell r="P52">
            <v>50410300</v>
          </cell>
          <cell r="Q52">
            <v>2782513.66</v>
          </cell>
          <cell r="R52">
            <v>0</v>
          </cell>
          <cell r="S52">
            <v>341750</v>
          </cell>
          <cell r="T52">
            <v>53192813.659999996</v>
          </cell>
          <cell r="U52">
            <v>1.51</v>
          </cell>
          <cell r="V52">
            <v>1.59</v>
          </cell>
          <cell r="W52">
            <v>100137.1</v>
          </cell>
          <cell r="X52">
            <v>50068550</v>
          </cell>
          <cell r="Y52" t="str">
            <v>22-02-2025</v>
          </cell>
          <cell r="Z52" t="str">
            <v>Financial Services</v>
          </cell>
          <cell r="AC52" t="str">
            <v>Exempt - PFI</v>
          </cell>
          <cell r="AD52">
            <v>1610</v>
          </cell>
          <cell r="AE52" t="str">
            <v>Y</v>
          </cell>
          <cell r="AF52" t="str">
            <v>22-02-2024</v>
          </cell>
          <cell r="AG52">
            <v>7.3669000000000002</v>
          </cell>
          <cell r="AH52">
            <v>341800</v>
          </cell>
          <cell r="AI52" t="str">
            <v>FI35PF</v>
          </cell>
          <cell r="AJ52" t="str">
            <v>A1+</v>
          </cell>
          <cell r="AK52" t="str">
            <v>AAA</v>
          </cell>
          <cell r="AL52" t="str">
            <v>1</v>
          </cell>
          <cell r="AM52" t="str">
            <v>1</v>
          </cell>
        </row>
        <row r="53">
          <cell r="C53" t="str">
            <v>INE134E08NB7</v>
          </cell>
          <cell r="D53" t="str">
            <v>FI35PFCNC372</v>
          </cell>
          <cell r="E53" t="str">
            <v>NCD</v>
          </cell>
          <cell r="F53" t="str">
            <v>Power Finance Corporation Ltd</v>
          </cell>
          <cell r="G53" t="str">
            <v>7.32% Power Finance Corporation Ltd NCD MD 15-07-2039</v>
          </cell>
          <cell r="H53">
            <v>7.32</v>
          </cell>
          <cell r="I53" t="str">
            <v>15-07-2039</v>
          </cell>
          <cell r="J53" t="str">
            <v>CRISIL AAA</v>
          </cell>
          <cell r="K53">
            <v>9.359</v>
          </cell>
          <cell r="L53">
            <v>100000</v>
          </cell>
          <cell r="M53">
            <v>500</v>
          </cell>
          <cell r="N53">
            <v>7.1074999999999999</v>
          </cell>
          <cell r="O53">
            <v>101861</v>
          </cell>
          <cell r="P53">
            <v>50930500</v>
          </cell>
          <cell r="Q53">
            <v>862356.16</v>
          </cell>
          <cell r="R53">
            <v>0</v>
          </cell>
          <cell r="S53">
            <v>930500</v>
          </cell>
          <cell r="T53">
            <v>51792856.159999996</v>
          </cell>
          <cell r="U53">
            <v>1.52</v>
          </cell>
          <cell r="V53">
            <v>1.55</v>
          </cell>
          <cell r="W53">
            <v>100000</v>
          </cell>
          <cell r="X53">
            <v>50000000</v>
          </cell>
          <cell r="Y53" t="str">
            <v>22-08-2025</v>
          </cell>
          <cell r="Z53" t="str">
            <v>Financial Services</v>
          </cell>
          <cell r="AC53" t="str">
            <v>Exempt - PFI</v>
          </cell>
          <cell r="AD53">
            <v>5355</v>
          </cell>
          <cell r="AE53" t="str">
            <v>Y</v>
          </cell>
          <cell r="AF53" t="str">
            <v>22-08-2024</v>
          </cell>
          <cell r="AG53">
            <v>7.1074999999999999</v>
          </cell>
          <cell r="AH53">
            <v>930750</v>
          </cell>
          <cell r="AI53" t="str">
            <v>FI35PF</v>
          </cell>
          <cell r="AJ53" t="str">
            <v>A1+</v>
          </cell>
          <cell r="AK53" t="str">
            <v>AAA</v>
          </cell>
          <cell r="AL53" t="str">
            <v>1</v>
          </cell>
          <cell r="AM53" t="str">
            <v>1</v>
          </cell>
        </row>
        <row r="54">
          <cell r="C54" t="str">
            <v>INE242A08544</v>
          </cell>
          <cell r="D54" t="str">
            <v>OI4309NC207</v>
          </cell>
          <cell r="E54" t="str">
            <v>NCD</v>
          </cell>
          <cell r="F54" t="str">
            <v>Indian Oil Corporation Ltd</v>
          </cell>
          <cell r="G54" t="str">
            <v xml:space="preserve">7.44% Indian Oil Corporation NCD 25/11/2027 (SERIES XXV) </v>
          </cell>
          <cell r="H54">
            <v>7.44</v>
          </cell>
          <cell r="I54" t="str">
            <v>25-11-2027</v>
          </cell>
          <cell r="J54" t="str">
            <v>ICRA AAA</v>
          </cell>
          <cell r="K54">
            <v>2.6295000000000002</v>
          </cell>
          <cell r="L54">
            <v>1000000</v>
          </cell>
          <cell r="M54">
            <v>300</v>
          </cell>
          <cell r="N54">
            <v>7.2324999999999999</v>
          </cell>
          <cell r="O54">
            <v>1005402</v>
          </cell>
          <cell r="P54">
            <v>301620600</v>
          </cell>
          <cell r="Q54">
            <v>21771147.539999999</v>
          </cell>
          <cell r="R54">
            <v>0</v>
          </cell>
          <cell r="S54">
            <v>1268000</v>
          </cell>
          <cell r="T54">
            <v>323391747.54000002</v>
          </cell>
          <cell r="U54">
            <v>9.01</v>
          </cell>
          <cell r="V54">
            <v>9.66</v>
          </cell>
          <cell r="W54">
            <v>1001175.3333333334</v>
          </cell>
          <cell r="X54">
            <v>300352600</v>
          </cell>
          <cell r="Y54" t="str">
            <v>25-11-2024</v>
          </cell>
          <cell r="Z54" t="str">
            <v>Oil, Gas &amp; Consumable Fuels</v>
          </cell>
          <cell r="AC54" t="str">
            <v>Oil, Gas &amp; Consumable Fuels</v>
          </cell>
          <cell r="AD54">
            <v>1105</v>
          </cell>
          <cell r="AE54" t="str">
            <v>Y</v>
          </cell>
          <cell r="AF54" t="str">
            <v>25-11-2023</v>
          </cell>
          <cell r="AG54">
            <v>7.2324999999999999</v>
          </cell>
          <cell r="AH54">
            <v>1267100</v>
          </cell>
          <cell r="AI54" t="str">
            <v>OI4309</v>
          </cell>
          <cell r="AJ54" t="str">
            <v>A1+</v>
          </cell>
          <cell r="AK54" t="str">
            <v>AAA</v>
          </cell>
          <cell r="AL54" t="str">
            <v>1</v>
          </cell>
          <cell r="AM54" t="str">
            <v>1</v>
          </cell>
        </row>
        <row r="55">
          <cell r="C55" t="str">
            <v>INE261F08DO9</v>
          </cell>
          <cell r="D55" t="str">
            <v>FI35NANC296</v>
          </cell>
          <cell r="E55" t="str">
            <v>NCD</v>
          </cell>
          <cell r="F55" t="str">
            <v>National Bank for Agriculture &amp; Rural Development</v>
          </cell>
          <cell r="G55" t="str">
            <v>7.40%  NABARD- NCD 30/01/2026 SERIES 23 A-R1</v>
          </cell>
          <cell r="H55">
            <v>7.4</v>
          </cell>
          <cell r="I55" t="str">
            <v>30-01-2026</v>
          </cell>
          <cell r="J55" t="str">
            <v>ICRA AAA</v>
          </cell>
          <cell r="K55">
            <v>1.1358999999999999</v>
          </cell>
          <cell r="L55">
            <v>1000000</v>
          </cell>
          <cell r="M55">
            <v>150</v>
          </cell>
          <cell r="N55">
            <v>7.6449999999999996</v>
          </cell>
          <cell r="O55">
            <v>996831</v>
          </cell>
          <cell r="P55">
            <v>149524650</v>
          </cell>
          <cell r="Q55">
            <v>8825409.8399999999</v>
          </cell>
          <cell r="R55">
            <v>0</v>
          </cell>
          <cell r="S55">
            <v>-66300</v>
          </cell>
          <cell r="T55">
            <v>158350059.84</v>
          </cell>
          <cell r="U55">
            <v>4.47</v>
          </cell>
          <cell r="V55">
            <v>4.7300000000000004</v>
          </cell>
          <cell r="W55">
            <v>997273</v>
          </cell>
          <cell r="X55">
            <v>149590950</v>
          </cell>
          <cell r="Y55" t="str">
            <v>30-01-2025</v>
          </cell>
          <cell r="Z55" t="str">
            <v>Financial Services</v>
          </cell>
          <cell r="AC55" t="str">
            <v>Exempt - PFI</v>
          </cell>
          <cell r="AD55">
            <v>441</v>
          </cell>
          <cell r="AE55" t="str">
            <v>Y</v>
          </cell>
          <cell r="AF55" t="str">
            <v>30-01-2024</v>
          </cell>
          <cell r="AG55">
            <v>7.6449999999999996</v>
          </cell>
          <cell r="AH55">
            <v>-67950</v>
          </cell>
          <cell r="AI55" t="str">
            <v>FI35NA</v>
          </cell>
          <cell r="AJ55" t="str">
            <v>A1+</v>
          </cell>
          <cell r="AK55" t="str">
            <v>AAA</v>
          </cell>
          <cell r="AL55" t="str">
            <v>1</v>
          </cell>
          <cell r="AM55" t="str">
            <v>1</v>
          </cell>
        </row>
        <row r="56">
          <cell r="C56" t="str">
            <v>INE261F08EH1</v>
          </cell>
          <cell r="D56" t="str">
            <v>FI35NANC306</v>
          </cell>
          <cell r="E56" t="str">
            <v>NCD</v>
          </cell>
          <cell r="F56" t="str">
            <v>National Bank for Agriculture &amp; Rural Development</v>
          </cell>
          <cell r="G56" t="str">
            <v>7.62%  NABARD NCD MD 10-05-2029</v>
          </cell>
          <cell r="H56">
            <v>7.62</v>
          </cell>
          <cell r="I56" t="str">
            <v>10-05-2029</v>
          </cell>
          <cell r="J56" t="str">
            <v>CRISIL AAA</v>
          </cell>
          <cell r="K56">
            <v>3.8224</v>
          </cell>
          <cell r="L56">
            <v>100000</v>
          </cell>
          <cell r="M56">
            <v>1500</v>
          </cell>
          <cell r="N56">
            <v>7.44</v>
          </cell>
          <cell r="O56">
            <v>100596.8</v>
          </cell>
          <cell r="P56">
            <v>150895200</v>
          </cell>
          <cell r="Q56">
            <v>5949863.0099999998</v>
          </cell>
          <cell r="R56">
            <v>0</v>
          </cell>
          <cell r="S56">
            <v>1286700</v>
          </cell>
          <cell r="T56">
            <v>156845063.00999999</v>
          </cell>
          <cell r="U56">
            <v>4.51</v>
          </cell>
          <cell r="V56">
            <v>4.6900000000000004</v>
          </cell>
          <cell r="W56">
            <v>99739</v>
          </cell>
          <cell r="X56">
            <v>149608500</v>
          </cell>
          <cell r="Y56" t="str">
            <v>10-05-2025</v>
          </cell>
          <cell r="Z56" t="str">
            <v>Financial Services</v>
          </cell>
          <cell r="AC56" t="str">
            <v>Exempt - PFI</v>
          </cell>
          <cell r="AD56">
            <v>1637</v>
          </cell>
          <cell r="AE56" t="str">
            <v>Y</v>
          </cell>
          <cell r="AF56" t="str">
            <v>10-05-2024</v>
          </cell>
          <cell r="AG56">
            <v>7.44</v>
          </cell>
          <cell r="AH56">
            <v>1287300</v>
          </cell>
          <cell r="AI56" t="str">
            <v>FI35NA</v>
          </cell>
          <cell r="AJ56" t="str">
            <v>A1+</v>
          </cell>
          <cell r="AK56" t="str">
            <v>AAA</v>
          </cell>
          <cell r="AL56" t="str">
            <v>1</v>
          </cell>
          <cell r="AM56" t="str">
            <v>1</v>
          </cell>
        </row>
        <row r="57">
          <cell r="C57" t="str">
            <v>INE556F08KE8</v>
          </cell>
          <cell r="D57" t="str">
            <v>FI3405NCD200</v>
          </cell>
          <cell r="E57" t="str">
            <v>NCD</v>
          </cell>
          <cell r="F57" t="str">
            <v>Small Industries Development Bank of India</v>
          </cell>
          <cell r="G57" t="str">
            <v>Small Industries Development Bank of India NCD 25 11 2025</v>
          </cell>
          <cell r="H57">
            <v>7.47</v>
          </cell>
          <cell r="I57" t="str">
            <v>25-11-2025</v>
          </cell>
          <cell r="J57" t="str">
            <v>ICRA AAA</v>
          </cell>
          <cell r="K57">
            <v>1.0227999999999999</v>
          </cell>
          <cell r="L57">
            <v>1000000</v>
          </cell>
          <cell r="M57">
            <v>50</v>
          </cell>
          <cell r="N57">
            <v>7.66</v>
          </cell>
          <cell r="O57">
            <v>998253</v>
          </cell>
          <cell r="P57">
            <v>49912650</v>
          </cell>
          <cell r="Q57">
            <v>10232.879999999999</v>
          </cell>
          <cell r="R57">
            <v>0</v>
          </cell>
          <cell r="S57">
            <v>87400</v>
          </cell>
          <cell r="T57">
            <v>49922882.880000003</v>
          </cell>
          <cell r="U57">
            <v>1.49</v>
          </cell>
          <cell r="V57">
            <v>1.49</v>
          </cell>
          <cell r="W57">
            <v>996505</v>
          </cell>
          <cell r="X57">
            <v>49825250</v>
          </cell>
          <cell r="Y57" t="str">
            <v>15-11-2025</v>
          </cell>
          <cell r="Z57" t="str">
            <v>Financial Services</v>
          </cell>
          <cell r="AC57" t="str">
            <v>Exempt - PFI</v>
          </cell>
          <cell r="AD57">
            <v>375</v>
          </cell>
          <cell r="AE57" t="str">
            <v>Y</v>
          </cell>
          <cell r="AF57" t="str">
            <v>15-11-2024</v>
          </cell>
          <cell r="AG57">
            <v>7.66</v>
          </cell>
          <cell r="AH57">
            <v>87550</v>
          </cell>
          <cell r="AI57" t="str">
            <v>FI3405</v>
          </cell>
          <cell r="AJ57" t="str">
            <v>A1+</v>
          </cell>
          <cell r="AK57" t="str">
            <v>AAA</v>
          </cell>
          <cell r="AL57" t="str">
            <v>1</v>
          </cell>
          <cell r="AM57" t="str">
            <v>1</v>
          </cell>
        </row>
        <row r="58">
          <cell r="C58" t="str">
            <v>INE556F08KF5</v>
          </cell>
          <cell r="D58" t="str">
            <v>FI3405NC235</v>
          </cell>
          <cell r="E58" t="str">
            <v>NCD</v>
          </cell>
          <cell r="F58" t="str">
            <v>Small Industries Development Bank of India</v>
          </cell>
          <cell r="G58" t="str">
            <v>7.54%  Small Industries Development Bank of India-NCD 12/01/2026 SER V111</v>
          </cell>
          <cell r="H58">
            <v>7.54</v>
          </cell>
          <cell r="I58" t="str">
            <v>12-01-2026</v>
          </cell>
          <cell r="J58" t="str">
            <v>ICRA AAA</v>
          </cell>
          <cell r="K58">
            <v>1.0707</v>
          </cell>
          <cell r="L58">
            <v>1000000</v>
          </cell>
          <cell r="M58">
            <v>200</v>
          </cell>
          <cell r="N58">
            <v>7.66</v>
          </cell>
          <cell r="O58">
            <v>998854</v>
          </cell>
          <cell r="P58">
            <v>199770800</v>
          </cell>
          <cell r="Q58">
            <v>14338360.66</v>
          </cell>
          <cell r="R58">
            <v>0</v>
          </cell>
          <cell r="S58">
            <v>-229200</v>
          </cell>
          <cell r="T58">
            <v>214109160.66</v>
          </cell>
          <cell r="U58">
            <v>5.97</v>
          </cell>
          <cell r="V58">
            <v>6.4</v>
          </cell>
          <cell r="W58">
            <v>1000000</v>
          </cell>
          <cell r="X58">
            <v>200000000</v>
          </cell>
          <cell r="Y58" t="str">
            <v>02-12-2024</v>
          </cell>
          <cell r="Z58" t="str">
            <v>Financial Services</v>
          </cell>
          <cell r="AC58" t="str">
            <v>Exempt - PFI</v>
          </cell>
          <cell r="AD58">
            <v>423</v>
          </cell>
          <cell r="AE58" t="str">
            <v>Y</v>
          </cell>
          <cell r="AF58" t="str">
            <v>02-12-2023</v>
          </cell>
          <cell r="AG58">
            <v>7.66</v>
          </cell>
          <cell r="AH58">
            <v>-231200</v>
          </cell>
          <cell r="AI58" t="str">
            <v>FI3405</v>
          </cell>
          <cell r="AJ58" t="str">
            <v>A1+</v>
          </cell>
          <cell r="AK58" t="str">
            <v>AAA</v>
          </cell>
          <cell r="AL58" t="str">
            <v>1</v>
          </cell>
          <cell r="AM58" t="str">
            <v>1</v>
          </cell>
        </row>
        <row r="59">
          <cell r="C59" t="str">
            <v>INE557F08FY4</v>
          </cell>
          <cell r="D59" t="str">
            <v>FI3335NC246</v>
          </cell>
          <cell r="E59" t="str">
            <v>NCD</v>
          </cell>
          <cell r="F59" t="str">
            <v>National Housing Bank</v>
          </cell>
          <cell r="G59" t="str">
            <v>7.59% NATIONAL HOUSING BANK NCD MD 14-07-2027</v>
          </cell>
          <cell r="H59">
            <v>7.59</v>
          </cell>
          <cell r="I59" t="str">
            <v>14-07-2027</v>
          </cell>
          <cell r="J59" t="str">
            <v>CRISIL AAA</v>
          </cell>
          <cell r="K59">
            <v>2.4272999999999998</v>
          </cell>
          <cell r="L59">
            <v>100000</v>
          </cell>
          <cell r="M59">
            <v>2000</v>
          </cell>
          <cell r="N59">
            <v>7.37</v>
          </cell>
          <cell r="O59">
            <v>100470.9</v>
          </cell>
          <cell r="P59">
            <v>200941800</v>
          </cell>
          <cell r="Q59">
            <v>7070136.9900000002</v>
          </cell>
          <cell r="R59">
            <v>0</v>
          </cell>
          <cell r="S59">
            <v>941800</v>
          </cell>
          <cell r="T59">
            <v>208011936.99000001</v>
          </cell>
          <cell r="U59">
            <v>6</v>
          </cell>
          <cell r="V59">
            <v>6.22</v>
          </cell>
          <cell r="W59">
            <v>100000</v>
          </cell>
          <cell r="X59">
            <v>200000000</v>
          </cell>
          <cell r="Y59" t="str">
            <v>30-05-2025</v>
          </cell>
          <cell r="Z59" t="str">
            <v>Financial Services</v>
          </cell>
          <cell r="AC59" t="str">
            <v>Exempt - PFI</v>
          </cell>
          <cell r="AD59">
            <v>971</v>
          </cell>
          <cell r="AE59" t="str">
            <v>Y</v>
          </cell>
          <cell r="AF59" t="str">
            <v>30-05-2024</v>
          </cell>
          <cell r="AG59">
            <v>7.37</v>
          </cell>
          <cell r="AH59">
            <v>942800</v>
          </cell>
          <cell r="AI59" t="str">
            <v>FI3335</v>
          </cell>
          <cell r="AJ59" t="str">
            <v>A1+</v>
          </cell>
          <cell r="AK59" t="str">
            <v>AAA</v>
          </cell>
          <cell r="AL59" t="str">
            <v>1</v>
          </cell>
          <cell r="AM59" t="str">
            <v>1</v>
          </cell>
        </row>
        <row r="60">
          <cell r="C60" t="str">
            <v>INE752E08734</v>
          </cell>
          <cell r="D60" t="str">
            <v>UT4716NC267</v>
          </cell>
          <cell r="E60" t="str">
            <v>NCD</v>
          </cell>
          <cell r="F60" t="str">
            <v>Power Grid Corporation of India Ltd</v>
          </cell>
          <cell r="G60" t="str">
            <v>7.35% Power Grid Corporation of India Ltd-NCD-12/03/2034</v>
          </cell>
          <cell r="H60">
            <v>7.35</v>
          </cell>
          <cell r="I60" t="str">
            <v>12-03-2034</v>
          </cell>
          <cell r="J60" t="str">
            <v>CRISIL AAA</v>
          </cell>
          <cell r="K60">
            <v>6.7618999999999998</v>
          </cell>
          <cell r="L60">
            <v>100000</v>
          </cell>
          <cell r="M60">
            <v>1000</v>
          </cell>
          <cell r="N60">
            <v>7.0723000000000003</v>
          </cell>
          <cell r="O60">
            <v>101816.3</v>
          </cell>
          <cell r="P60">
            <v>101816300</v>
          </cell>
          <cell r="Q60">
            <v>5014109.59</v>
          </cell>
          <cell r="R60">
            <v>0</v>
          </cell>
          <cell r="S60">
            <v>1816300</v>
          </cell>
          <cell r="T60">
            <v>106830409.59</v>
          </cell>
          <cell r="U60">
            <v>3.04</v>
          </cell>
          <cell r="V60">
            <v>3.19</v>
          </cell>
          <cell r="W60">
            <v>100000</v>
          </cell>
          <cell r="X60">
            <v>100000000</v>
          </cell>
          <cell r="Y60" t="str">
            <v>12-03-2025</v>
          </cell>
          <cell r="Z60" t="str">
            <v>Power</v>
          </cell>
          <cell r="AC60" t="str">
            <v>Power</v>
          </cell>
          <cell r="AD60">
            <v>3404</v>
          </cell>
          <cell r="AE60" t="str">
            <v>Y</v>
          </cell>
          <cell r="AF60" t="str">
            <v>12-03-2024</v>
          </cell>
          <cell r="AG60">
            <v>7.0723000000000003</v>
          </cell>
          <cell r="AH60">
            <v>1816400</v>
          </cell>
          <cell r="AI60" t="str">
            <v>UT4716</v>
          </cell>
          <cell r="AJ60" t="str">
            <v>A1+</v>
          </cell>
          <cell r="AK60" t="str">
            <v>AAA</v>
          </cell>
          <cell r="AL60" t="str">
            <v>1</v>
          </cell>
          <cell r="AM60" t="str">
            <v>1</v>
          </cell>
        </row>
        <row r="61">
          <cell r="AF61" t="str">
            <v/>
          </cell>
          <cell r="AG61" t="str">
            <v/>
          </cell>
          <cell r="AH61" t="str">
            <v/>
          </cell>
          <cell r="AI61" t="str">
            <v/>
          </cell>
          <cell r="AJ61" t="str">
            <v/>
          </cell>
          <cell r="AK61" t="str">
            <v/>
          </cell>
          <cell r="AL61" t="str">
            <v/>
          </cell>
          <cell r="AM61" t="str">
            <v/>
          </cell>
        </row>
        <row r="62">
          <cell r="C62" t="str">
            <v>IN002024Z057</v>
          </cell>
          <cell r="D62" t="str">
            <v>364TBL020525</v>
          </cell>
          <cell r="E62" t="str">
            <v>TBL</v>
          </cell>
          <cell r="F62" t="str">
            <v>Govt. of India - GSec / TBL</v>
          </cell>
          <cell r="G62" t="str">
            <v>364 Days - T Bill - 02/05/2025</v>
          </cell>
          <cell r="H62">
            <v>0</v>
          </cell>
          <cell r="I62" t="str">
            <v>02-05-2025</v>
          </cell>
          <cell r="J62" t="str">
            <v>Sovereign</v>
          </cell>
          <cell r="K62">
            <v>0.46</v>
          </cell>
          <cell r="L62">
            <v>100</v>
          </cell>
          <cell r="M62">
            <v>2000000</v>
          </cell>
          <cell r="N62">
            <v>6.6040000000000001</v>
          </cell>
          <cell r="O62">
            <v>97.067099999999996</v>
          </cell>
          <cell r="P62">
            <v>194134200</v>
          </cell>
          <cell r="Q62">
            <v>0</v>
          </cell>
          <cell r="R62">
            <v>3822650.28</v>
          </cell>
          <cell r="S62">
            <v>45149.72</v>
          </cell>
          <cell r="T62">
            <v>194134200</v>
          </cell>
          <cell r="U62">
            <v>0.59</v>
          </cell>
          <cell r="V62">
            <v>0.59</v>
          </cell>
          <cell r="W62">
            <v>95.133200000000002</v>
          </cell>
          <cell r="X62">
            <v>190266400</v>
          </cell>
          <cell r="Z62" t="str">
            <v>Exempt - GSECs</v>
          </cell>
          <cell r="AC62" t="str">
            <v>Exempt - GSECs</v>
          </cell>
          <cell r="AD62">
            <v>168</v>
          </cell>
          <cell r="AE62" t="str">
            <v>Y</v>
          </cell>
          <cell r="AG62">
            <v>6.6040000000000001</v>
          </cell>
          <cell r="AH62">
            <v>46544.63</v>
          </cell>
          <cell r="AI62" t="str">
            <v>GOVT.</v>
          </cell>
          <cell r="AJ62" t="str">
            <v>GSEC</v>
          </cell>
          <cell r="AK62" t="str">
            <v>GSEC</v>
          </cell>
          <cell r="AL62" t="str">
            <v>1</v>
          </cell>
          <cell r="AM62" t="str">
            <v>1</v>
          </cell>
        </row>
        <row r="63">
          <cell r="AF63" t="str">
            <v/>
          </cell>
          <cell r="AG63" t="str">
            <v/>
          </cell>
          <cell r="AH63" t="str">
            <v/>
          </cell>
          <cell r="AI63" t="str">
            <v/>
          </cell>
          <cell r="AJ63" t="str">
            <v/>
          </cell>
          <cell r="AK63" t="str">
            <v/>
          </cell>
          <cell r="AL63" t="str">
            <v/>
          </cell>
          <cell r="AM63" t="str">
            <v/>
          </cell>
        </row>
        <row r="64">
          <cell r="C64" t="str">
            <v>INF0RQ622028</v>
          </cell>
          <cell r="D64" t="str">
            <v>CDMDF23</v>
          </cell>
          <cell r="E64" t="str">
            <v>CDMDF</v>
          </cell>
          <cell r="F64" t="str">
            <v>Corporate Debt Market Development Fund</v>
          </cell>
          <cell r="G64" t="str">
            <v>Corporate Debt Market Development Fund - Class A2</v>
          </cell>
          <cell r="H64">
            <v>0</v>
          </cell>
          <cell r="K64">
            <v>0</v>
          </cell>
          <cell r="L64">
            <v>10000</v>
          </cell>
          <cell r="M64">
            <v>649.726</v>
          </cell>
          <cell r="N64">
            <v>9.9999999999999995E-7</v>
          </cell>
          <cell r="O64">
            <v>10450.479300000001</v>
          </cell>
          <cell r="P64">
            <v>6789948.1100000003</v>
          </cell>
          <cell r="Q64">
            <v>0</v>
          </cell>
          <cell r="R64">
            <v>0</v>
          </cell>
          <cell r="S64">
            <v>173278.94</v>
          </cell>
          <cell r="T64">
            <v>6789948.1100000003</v>
          </cell>
          <cell r="U64">
            <v>0.14000000000000001</v>
          </cell>
          <cell r="V64">
            <v>0.14000000000000001</v>
          </cell>
          <cell r="W64">
            <v>10183.783887361749</v>
          </cell>
          <cell r="X64">
            <v>6616669.1699999999</v>
          </cell>
          <cell r="Z64" t="str">
            <v>Financial Services</v>
          </cell>
          <cell r="AE64" t="str">
            <v>N</v>
          </cell>
          <cell r="AG64">
            <v>9.9999999999999995E-7</v>
          </cell>
          <cell r="AH64">
            <v>172603.29</v>
          </cell>
          <cell r="AI64" t="str">
            <v>CDMDF</v>
          </cell>
        </row>
        <row r="65">
          <cell r="C65" t="str">
            <v>INE110L14SH6</v>
          </cell>
          <cell r="D65" t="str">
            <v>TC0107CP282</v>
          </cell>
          <cell r="E65" t="str">
            <v>CMP</v>
          </cell>
          <cell r="F65" t="str">
            <v>Reliance Jio Infocomm Ltd</v>
          </cell>
          <cell r="G65" t="str">
            <v>Reliance Jio Infocomm Ltd CP MD 25-11-2024</v>
          </cell>
          <cell r="H65">
            <v>0</v>
          </cell>
          <cell r="I65" t="str">
            <v>25-11-2024</v>
          </cell>
          <cell r="J65" t="str">
            <v>CRISIL A1+</v>
          </cell>
          <cell r="K65">
            <v>0.03</v>
          </cell>
          <cell r="L65">
            <v>500000</v>
          </cell>
          <cell r="M65">
            <v>100</v>
          </cell>
          <cell r="N65">
            <v>6.8994999999999997</v>
          </cell>
          <cell r="O65">
            <v>499151</v>
          </cell>
          <cell r="P65">
            <v>49915100</v>
          </cell>
          <cell r="Q65">
            <v>0</v>
          </cell>
          <cell r="R65">
            <v>18863.64</v>
          </cell>
          <cell r="S65">
            <v>-13.64</v>
          </cell>
          <cell r="T65">
            <v>49915100</v>
          </cell>
          <cell r="U65">
            <v>1.02</v>
          </cell>
          <cell r="V65">
            <v>1.02</v>
          </cell>
          <cell r="W65">
            <v>498962.5</v>
          </cell>
          <cell r="X65">
            <v>49896250</v>
          </cell>
          <cell r="Z65" t="str">
            <v>Telecommunication</v>
          </cell>
          <cell r="AD65">
            <v>10</v>
          </cell>
          <cell r="AE65" t="str">
            <v>Y</v>
          </cell>
          <cell r="AG65">
            <v>6.8994999999999997</v>
          </cell>
          <cell r="AH65">
            <v>-31.82</v>
          </cell>
          <cell r="AI65" t="str">
            <v>TC0107</v>
          </cell>
        </row>
        <row r="66">
          <cell r="C66" t="str">
            <v>INE115A14EX5</v>
          </cell>
          <cell r="D66" t="str">
            <v>FILICCP235</v>
          </cell>
          <cell r="E66" t="str">
            <v>CMP</v>
          </cell>
          <cell r="F66" t="str">
            <v>LIC Housing Finance Ltd</v>
          </cell>
          <cell r="G66" t="str">
            <v>LIC Housing Finance Ltd CP MD 21-03-2025</v>
          </cell>
          <cell r="H66">
            <v>0</v>
          </cell>
          <cell r="I66" t="str">
            <v>21-03-2025</v>
          </cell>
          <cell r="J66" t="str">
            <v>CRISIL A1+</v>
          </cell>
          <cell r="K66">
            <v>0.35</v>
          </cell>
          <cell r="L66">
            <v>500000</v>
          </cell>
          <cell r="M66">
            <v>200</v>
          </cell>
          <cell r="N66">
            <v>7.2549999999999999</v>
          </cell>
          <cell r="O66">
            <v>487878.5</v>
          </cell>
          <cell r="P66">
            <v>97575700</v>
          </cell>
          <cell r="Q66">
            <v>0</v>
          </cell>
          <cell r="R66">
            <v>4721891.93</v>
          </cell>
          <cell r="S66">
            <v>45308.07</v>
          </cell>
          <cell r="T66">
            <v>97575700</v>
          </cell>
          <cell r="U66">
            <v>2</v>
          </cell>
          <cell r="V66">
            <v>2</v>
          </cell>
          <cell r="W66">
            <v>464042.5</v>
          </cell>
          <cell r="X66">
            <v>92808500</v>
          </cell>
          <cell r="Z66" t="str">
            <v>Financial Services</v>
          </cell>
          <cell r="AC66" t="str">
            <v>HOUSING FINANCE</v>
          </cell>
          <cell r="AD66">
            <v>126</v>
          </cell>
          <cell r="AE66" t="str">
            <v>Y</v>
          </cell>
          <cell r="AG66">
            <v>7.2549999999999999</v>
          </cell>
          <cell r="AH66">
            <v>46164.94</v>
          </cell>
          <cell r="AI66" t="str">
            <v>FILIC</v>
          </cell>
          <cell r="AJ66" t="str">
            <v>A1+</v>
          </cell>
          <cell r="AK66" t="str">
            <v>AAA</v>
          </cell>
          <cell r="AL66" t="str">
            <v>2</v>
          </cell>
          <cell r="AM66" t="str">
            <v>1</v>
          </cell>
        </row>
        <row r="67">
          <cell r="C67" t="str">
            <v>INE121A14WW7</v>
          </cell>
          <cell r="D67" t="str">
            <v>FI3508CP218</v>
          </cell>
          <cell r="E67" t="str">
            <v>CMP</v>
          </cell>
          <cell r="F67" t="str">
            <v>Cholamandalam Investment and Finance Co Ltd</v>
          </cell>
          <cell r="G67" t="str">
            <v>Cholamandalam Investment and Finance Co Ltd CP MD 10-02-2025</v>
          </cell>
          <cell r="H67">
            <v>0</v>
          </cell>
          <cell r="I67" t="str">
            <v>10-02-2025</v>
          </cell>
          <cell r="J67" t="str">
            <v>CRISIL A1+</v>
          </cell>
          <cell r="K67">
            <v>0.24</v>
          </cell>
          <cell r="L67">
            <v>500000</v>
          </cell>
          <cell r="M67">
            <v>500</v>
          </cell>
          <cell r="N67">
            <v>7.55</v>
          </cell>
          <cell r="O67">
            <v>491261</v>
          </cell>
          <cell r="P67">
            <v>245630500</v>
          </cell>
          <cell r="Q67">
            <v>0</v>
          </cell>
          <cell r="R67">
            <v>887548.58</v>
          </cell>
          <cell r="S67">
            <v>120451.42</v>
          </cell>
          <cell r="T67">
            <v>245630500</v>
          </cell>
          <cell r="U67">
            <v>5.04</v>
          </cell>
          <cell r="V67">
            <v>5.04</v>
          </cell>
          <cell r="W67">
            <v>489245</v>
          </cell>
          <cell r="X67">
            <v>244622500</v>
          </cell>
          <cell r="Z67" t="str">
            <v>Financial Services</v>
          </cell>
          <cell r="AC67" t="str">
            <v>Financial Services</v>
          </cell>
          <cell r="AD67">
            <v>87</v>
          </cell>
          <cell r="AE67" t="str">
            <v>Y</v>
          </cell>
          <cell r="AG67">
            <v>7.55</v>
          </cell>
          <cell r="AH67">
            <v>122660.16</v>
          </cell>
          <cell r="AI67" t="str">
            <v>FI3508</v>
          </cell>
          <cell r="AJ67" t="str">
            <v>A1+</v>
          </cell>
          <cell r="AK67" t="str">
            <v>AA+</v>
          </cell>
          <cell r="AL67" t="str">
            <v>3</v>
          </cell>
          <cell r="AM67" t="str">
            <v>2</v>
          </cell>
        </row>
        <row r="68">
          <cell r="C68" t="str">
            <v>INE338I14IN8</v>
          </cell>
          <cell r="D68" t="str">
            <v>FI3435CP216</v>
          </cell>
          <cell r="E68" t="str">
            <v>CMP</v>
          </cell>
          <cell r="F68" t="str">
            <v>Motilal Oswal Financial Services Ltd</v>
          </cell>
          <cell r="G68" t="str">
            <v>Motilal Oswal Financial Services Limited CP MD 29-01-2025</v>
          </cell>
          <cell r="H68">
            <v>0</v>
          </cell>
          <cell r="I68" t="str">
            <v>29-01-2025</v>
          </cell>
          <cell r="J68" t="str">
            <v>CRISIL A1+</v>
          </cell>
          <cell r="K68">
            <v>0.21</v>
          </cell>
          <cell r="L68">
            <v>500000</v>
          </cell>
          <cell r="M68">
            <v>500</v>
          </cell>
          <cell r="N68">
            <v>7.7850000000000001</v>
          </cell>
          <cell r="O68">
            <v>492231</v>
          </cell>
          <cell r="P68">
            <v>246115500</v>
          </cell>
          <cell r="Q68">
            <v>0</v>
          </cell>
          <cell r="R68">
            <v>905436.83</v>
          </cell>
          <cell r="S68">
            <v>56813.17</v>
          </cell>
          <cell r="T68">
            <v>246115500</v>
          </cell>
          <cell r="U68">
            <v>5.05</v>
          </cell>
          <cell r="V68">
            <v>5.05</v>
          </cell>
          <cell r="W68">
            <v>490306.5</v>
          </cell>
          <cell r="X68">
            <v>245153250</v>
          </cell>
          <cell r="Z68" t="str">
            <v>Financial Services</v>
          </cell>
          <cell r="AC68" t="str">
            <v>Financial Services</v>
          </cell>
          <cell r="AD68">
            <v>75</v>
          </cell>
          <cell r="AE68" t="str">
            <v>Y</v>
          </cell>
          <cell r="AG68">
            <v>7.7850000000000001</v>
          </cell>
          <cell r="AH68">
            <v>58574.16</v>
          </cell>
          <cell r="AI68" t="str">
            <v>FI3435</v>
          </cell>
          <cell r="AJ68" t="str">
            <v>A1+</v>
          </cell>
          <cell r="AK68" t="str">
            <v>AA</v>
          </cell>
          <cell r="AL68" t="str">
            <v>4</v>
          </cell>
          <cell r="AM68" t="str">
            <v>3</v>
          </cell>
        </row>
        <row r="69">
          <cell r="C69" t="str">
            <v>INE403D14544</v>
          </cell>
          <cell r="D69" t="str">
            <v>UT4825CP205</v>
          </cell>
          <cell r="E69" t="str">
            <v>CMP</v>
          </cell>
          <cell r="F69" t="str">
            <v>Bharti Telecom Ltd</v>
          </cell>
          <cell r="G69" t="str">
            <v>Bharti Telecom Ltd CP MD 17-10-2025</v>
          </cell>
          <cell r="H69">
            <v>0</v>
          </cell>
          <cell r="I69" t="str">
            <v>17-10-2025</v>
          </cell>
          <cell r="J69" t="str">
            <v>CRISIL A1+</v>
          </cell>
          <cell r="K69">
            <v>0.92</v>
          </cell>
          <cell r="L69">
            <v>500000</v>
          </cell>
          <cell r="M69">
            <v>500</v>
          </cell>
          <cell r="N69">
            <v>8.3000000000000007</v>
          </cell>
          <cell r="O69">
            <v>464607</v>
          </cell>
          <cell r="P69">
            <v>232303500</v>
          </cell>
          <cell r="Q69">
            <v>0</v>
          </cell>
          <cell r="R69">
            <v>105488.14</v>
          </cell>
          <cell r="S69">
            <v>-27238.14</v>
          </cell>
          <cell r="T69">
            <v>232303500</v>
          </cell>
          <cell r="U69">
            <v>4.76</v>
          </cell>
          <cell r="V69">
            <v>4.76</v>
          </cell>
          <cell r="W69">
            <v>464450.5</v>
          </cell>
          <cell r="X69">
            <v>232225250</v>
          </cell>
          <cell r="Z69" t="str">
            <v>Financial Services</v>
          </cell>
          <cell r="AD69">
            <v>336</v>
          </cell>
          <cell r="AE69" t="str">
            <v>Y</v>
          </cell>
          <cell r="AG69">
            <v>8.3000000000000007</v>
          </cell>
          <cell r="AH69">
            <v>-23494.07</v>
          </cell>
          <cell r="AI69" t="str">
            <v>UT4825</v>
          </cell>
        </row>
        <row r="70">
          <cell r="C70" t="str">
            <v>INE556F14KH9</v>
          </cell>
          <cell r="D70" t="str">
            <v>FI3405CP296</v>
          </cell>
          <cell r="E70" t="str">
            <v>CMP</v>
          </cell>
          <cell r="F70" t="str">
            <v>Small Industries Development Bank of India</v>
          </cell>
          <cell r="G70" t="str">
            <v>Small Industries Development Bank of India CMP 28 05 2025</v>
          </cell>
          <cell r="H70">
            <v>0</v>
          </cell>
          <cell r="I70" t="str">
            <v>28-05-2025</v>
          </cell>
          <cell r="J70" t="str">
            <v>CRISIL A1+</v>
          </cell>
          <cell r="K70">
            <v>0.53</v>
          </cell>
          <cell r="L70">
            <v>500000</v>
          </cell>
          <cell r="M70">
            <v>200</v>
          </cell>
          <cell r="N70">
            <v>7.4450000000000003</v>
          </cell>
          <cell r="O70">
            <v>481062.5</v>
          </cell>
          <cell r="P70">
            <v>96212500</v>
          </cell>
          <cell r="Q70">
            <v>0</v>
          </cell>
          <cell r="R70">
            <v>3255357.19</v>
          </cell>
          <cell r="S70">
            <v>-2657.19</v>
          </cell>
          <cell r="T70">
            <v>96212500</v>
          </cell>
          <cell r="U70">
            <v>1.97</v>
          </cell>
          <cell r="V70">
            <v>1.97</v>
          </cell>
          <cell r="W70">
            <v>464799</v>
          </cell>
          <cell r="X70">
            <v>92959800</v>
          </cell>
          <cell r="Z70" t="str">
            <v>Financial Services</v>
          </cell>
          <cell r="AC70" t="str">
            <v>Exempt - PFI</v>
          </cell>
          <cell r="AD70">
            <v>194</v>
          </cell>
          <cell r="AE70" t="str">
            <v>Y</v>
          </cell>
          <cell r="AG70">
            <v>7.4450000000000003</v>
          </cell>
          <cell r="AH70">
            <v>-1946.61</v>
          </cell>
          <cell r="AI70" t="str">
            <v>FI3405</v>
          </cell>
          <cell r="AJ70" t="str">
            <v>A1+</v>
          </cell>
          <cell r="AK70" t="str">
            <v>AAA</v>
          </cell>
          <cell r="AL70" t="str">
            <v>1</v>
          </cell>
          <cell r="AM70" t="str">
            <v>1</v>
          </cell>
        </row>
        <row r="71">
          <cell r="C71" t="str">
            <v>INE572E14JM1</v>
          </cell>
          <cell r="D71" t="str">
            <v>FI3333CP237</v>
          </cell>
          <cell r="E71" t="str">
            <v>CMP</v>
          </cell>
          <cell r="F71" t="str">
            <v>PNB Housing Finance Ltd</v>
          </cell>
          <cell r="G71" t="str">
            <v>PNB Housing Finance CP MD 25-09-2025</v>
          </cell>
          <cell r="H71">
            <v>0</v>
          </cell>
          <cell r="I71" t="str">
            <v>25-09-2025</v>
          </cell>
          <cell r="J71" t="str">
            <v>CRISIL A1+</v>
          </cell>
          <cell r="K71">
            <v>0.86</v>
          </cell>
          <cell r="L71">
            <v>500000</v>
          </cell>
          <cell r="M71">
            <v>300</v>
          </cell>
          <cell r="N71">
            <v>7.75</v>
          </cell>
          <cell r="O71">
            <v>468841.5</v>
          </cell>
          <cell r="P71">
            <v>140652450</v>
          </cell>
          <cell r="Q71">
            <v>0</v>
          </cell>
          <cell r="R71">
            <v>1586626.94</v>
          </cell>
          <cell r="S71">
            <v>202723.06</v>
          </cell>
          <cell r="T71">
            <v>140652450</v>
          </cell>
          <cell r="U71">
            <v>2.88</v>
          </cell>
          <cell r="V71">
            <v>2.88</v>
          </cell>
          <cell r="W71">
            <v>462877</v>
          </cell>
          <cell r="X71">
            <v>138863100</v>
          </cell>
          <cell r="Z71" t="str">
            <v>Financial Services</v>
          </cell>
          <cell r="AC71" t="str">
            <v>Housing Finance</v>
          </cell>
          <cell r="AD71">
            <v>314</v>
          </cell>
          <cell r="AE71" t="str">
            <v>Y</v>
          </cell>
          <cell r="AG71">
            <v>7.75</v>
          </cell>
          <cell r="AH71">
            <v>205185.11</v>
          </cell>
          <cell r="AI71" t="str">
            <v>FI3333</v>
          </cell>
          <cell r="AJ71" t="str">
            <v>A1+</v>
          </cell>
          <cell r="AK71" t="str">
            <v>AA+</v>
          </cell>
          <cell r="AL71" t="str">
            <v>3</v>
          </cell>
          <cell r="AM71" t="str">
            <v>2</v>
          </cell>
        </row>
        <row r="72">
          <cell r="C72" t="str">
            <v>INE763G14TE7</v>
          </cell>
          <cell r="D72" t="str">
            <v>FI3418CP230</v>
          </cell>
          <cell r="E72" t="str">
            <v>CMP</v>
          </cell>
          <cell r="F72" t="str">
            <v>ICICI Securities Ltd</v>
          </cell>
          <cell r="G72" t="str">
            <v>ICICI Securities Ltd CP MD 21-02-2025</v>
          </cell>
          <cell r="H72">
            <v>0</v>
          </cell>
          <cell r="I72" t="str">
            <v>21-02-2025</v>
          </cell>
          <cell r="J72" t="str">
            <v>CRISIL A1+</v>
          </cell>
          <cell r="K72">
            <v>0.27</v>
          </cell>
          <cell r="L72">
            <v>500000</v>
          </cell>
          <cell r="M72">
            <v>200</v>
          </cell>
          <cell r="N72">
            <v>7.61</v>
          </cell>
          <cell r="O72">
            <v>490089</v>
          </cell>
          <cell r="P72">
            <v>98017800</v>
          </cell>
          <cell r="Q72">
            <v>0</v>
          </cell>
          <cell r="R72">
            <v>5753703.1500000004</v>
          </cell>
          <cell r="S72">
            <v>108096.85</v>
          </cell>
          <cell r="T72">
            <v>98017800</v>
          </cell>
          <cell r="U72">
            <v>2.0099999999999998</v>
          </cell>
          <cell r="V72">
            <v>2.0099999999999998</v>
          </cell>
          <cell r="W72">
            <v>460780</v>
          </cell>
          <cell r="X72">
            <v>92156000</v>
          </cell>
          <cell r="Z72" t="str">
            <v>Financial Services</v>
          </cell>
          <cell r="AC72" t="str">
            <v>Financial Services</v>
          </cell>
          <cell r="AD72">
            <v>98</v>
          </cell>
          <cell r="AE72" t="str">
            <v>Y</v>
          </cell>
          <cell r="AG72">
            <v>7.61</v>
          </cell>
          <cell r="AH72">
            <v>109546.3</v>
          </cell>
          <cell r="AI72" t="str">
            <v>FI3418</v>
          </cell>
          <cell r="AJ72" t="str">
            <v>A1+</v>
          </cell>
          <cell r="AK72" t="str">
            <v>AAA</v>
          </cell>
          <cell r="AL72" t="str">
            <v>2</v>
          </cell>
          <cell r="AM72" t="str">
            <v>1</v>
          </cell>
        </row>
        <row r="73">
          <cell r="C73" t="str">
            <v>INE01GA16228</v>
          </cell>
          <cell r="D73" t="str">
            <v>FI3378CD206</v>
          </cell>
          <cell r="E73" t="str">
            <v>COD</v>
          </cell>
          <cell r="F73" t="str">
            <v>DBS BANK LTD</v>
          </cell>
          <cell r="G73" t="str">
            <v>DBS BANK LTD INDIA COD MD 07-03-2025</v>
          </cell>
          <cell r="H73">
            <v>0</v>
          </cell>
          <cell r="I73" t="str">
            <v>07-03-2025</v>
          </cell>
          <cell r="J73" t="str">
            <v>CRISIL A1+</v>
          </cell>
          <cell r="K73">
            <v>0.31</v>
          </cell>
          <cell r="L73">
            <v>500000</v>
          </cell>
          <cell r="M73">
            <v>200</v>
          </cell>
          <cell r="N73">
            <v>7.2652000000000001</v>
          </cell>
          <cell r="O73">
            <v>489192</v>
          </cell>
          <cell r="P73">
            <v>97838400</v>
          </cell>
          <cell r="Q73">
            <v>0</v>
          </cell>
          <cell r="R73">
            <v>5053138.8600000003</v>
          </cell>
          <cell r="S73">
            <v>46661.14</v>
          </cell>
          <cell r="T73">
            <v>97838400</v>
          </cell>
          <cell r="U73">
            <v>2.0099999999999998</v>
          </cell>
          <cell r="V73">
            <v>2.0099999999999998</v>
          </cell>
          <cell r="W73">
            <v>463693</v>
          </cell>
          <cell r="X73">
            <v>92738600</v>
          </cell>
          <cell r="Z73" t="str">
            <v>Financial Services</v>
          </cell>
          <cell r="AC73" t="str">
            <v>CD - EXEMPT</v>
          </cell>
          <cell r="AD73">
            <v>112</v>
          </cell>
          <cell r="AE73" t="str">
            <v>Y</v>
          </cell>
          <cell r="AG73">
            <v>7.2652000000000001</v>
          </cell>
          <cell r="AH73">
            <v>47455.38</v>
          </cell>
          <cell r="AI73" t="str">
            <v>FI3378</v>
          </cell>
          <cell r="AJ73" t="str">
            <v>A1+</v>
          </cell>
          <cell r="AK73" t="str">
            <v>AAA</v>
          </cell>
          <cell r="AL73" t="str">
            <v>2</v>
          </cell>
          <cell r="AM73" t="str">
            <v>1</v>
          </cell>
        </row>
        <row r="74">
          <cell r="C74" t="str">
            <v>INE028A16GP6</v>
          </cell>
          <cell r="D74" t="str">
            <v>FI3369CD296</v>
          </cell>
          <cell r="E74" t="str">
            <v>COD</v>
          </cell>
          <cell r="F74" t="str">
            <v>Bank of Baroda</v>
          </cell>
          <cell r="G74" t="str">
            <v>Bank of Baroda COD MD 05-05-2025</v>
          </cell>
          <cell r="H74">
            <v>0</v>
          </cell>
          <cell r="I74" t="str">
            <v>05-05-2025</v>
          </cell>
          <cell r="J74" t="str">
            <v>IND A1+</v>
          </cell>
          <cell r="K74">
            <v>0.47</v>
          </cell>
          <cell r="L74">
            <v>500000</v>
          </cell>
          <cell r="M74">
            <v>100</v>
          </cell>
          <cell r="N74">
            <v>7.375</v>
          </cell>
          <cell r="O74">
            <v>483396</v>
          </cell>
          <cell r="P74">
            <v>48339600</v>
          </cell>
          <cell r="Q74">
            <v>0</v>
          </cell>
          <cell r="R74">
            <v>301941.55</v>
          </cell>
          <cell r="S74">
            <v>-4591.55</v>
          </cell>
          <cell r="T74">
            <v>48339600</v>
          </cell>
          <cell r="U74">
            <v>0.99</v>
          </cell>
          <cell r="V74">
            <v>0.99</v>
          </cell>
          <cell r="W74">
            <v>480422.5</v>
          </cell>
          <cell r="X74">
            <v>48042250</v>
          </cell>
          <cell r="Z74" t="str">
            <v>Financial Services</v>
          </cell>
          <cell r="AC74" t="str">
            <v>CD - EXEMPT</v>
          </cell>
          <cell r="AD74">
            <v>171</v>
          </cell>
          <cell r="AE74" t="str">
            <v>N</v>
          </cell>
          <cell r="AG74">
            <v>7.375</v>
          </cell>
          <cell r="AH74">
            <v>-4301.5</v>
          </cell>
          <cell r="AI74" t="str">
            <v>FI3369</v>
          </cell>
          <cell r="AJ74" t="str">
            <v>A1+</v>
          </cell>
          <cell r="AK74" t="str">
            <v>AAA</v>
          </cell>
          <cell r="AL74" t="str">
            <v>1</v>
          </cell>
          <cell r="AM74" t="str">
            <v>1</v>
          </cell>
        </row>
        <row r="75">
          <cell r="C75" t="str">
            <v>INE028A16GR2</v>
          </cell>
          <cell r="D75" t="str">
            <v>FI3369CD297</v>
          </cell>
          <cell r="E75" t="str">
            <v>COD</v>
          </cell>
          <cell r="F75" t="str">
            <v>Bank of Baroda</v>
          </cell>
          <cell r="G75" t="str">
            <v>Bank of Baroda COD MD 15-05-2025</v>
          </cell>
          <cell r="H75">
            <v>0</v>
          </cell>
          <cell r="I75" t="str">
            <v>15-05-2025</v>
          </cell>
          <cell r="J75" t="str">
            <v>IND A1+</v>
          </cell>
          <cell r="K75">
            <v>0.5</v>
          </cell>
          <cell r="L75">
            <v>500000</v>
          </cell>
          <cell r="M75">
            <v>500</v>
          </cell>
          <cell r="N75">
            <v>7.375</v>
          </cell>
          <cell r="O75">
            <v>482453.5</v>
          </cell>
          <cell r="P75">
            <v>241226750</v>
          </cell>
          <cell r="Q75">
            <v>0</v>
          </cell>
          <cell r="R75">
            <v>1071192.99</v>
          </cell>
          <cell r="S75">
            <v>-8942.99</v>
          </cell>
          <cell r="T75">
            <v>241226750</v>
          </cell>
          <cell r="U75">
            <v>4.95</v>
          </cell>
          <cell r="V75">
            <v>4.95</v>
          </cell>
          <cell r="W75">
            <v>480329</v>
          </cell>
          <cell r="X75">
            <v>240164500</v>
          </cell>
          <cell r="Z75" t="str">
            <v>Financial Services</v>
          </cell>
          <cell r="AC75" t="str">
            <v>CD - EXEMPT</v>
          </cell>
          <cell r="AD75">
            <v>181</v>
          </cell>
          <cell r="AE75" t="str">
            <v>Y</v>
          </cell>
          <cell r="AG75">
            <v>7.375</v>
          </cell>
          <cell r="AH75">
            <v>-7252.4</v>
          </cell>
          <cell r="AI75" t="str">
            <v>FI3369</v>
          </cell>
          <cell r="AJ75" t="str">
            <v>A1+</v>
          </cell>
          <cell r="AK75" t="str">
            <v>AAA</v>
          </cell>
          <cell r="AL75" t="str">
            <v>1</v>
          </cell>
          <cell r="AM75" t="str">
            <v>1</v>
          </cell>
        </row>
        <row r="76">
          <cell r="C76" t="str">
            <v>INE040A16EN1</v>
          </cell>
          <cell r="D76" t="str">
            <v>FI3310CD279</v>
          </cell>
          <cell r="E76" t="str">
            <v>COD</v>
          </cell>
          <cell r="F76" t="str">
            <v>HDFC Bank Ltd</v>
          </cell>
          <cell r="G76" t="str">
            <v>HDFC BANK LTD CD MD 20-02-2025</v>
          </cell>
          <cell r="H76">
            <v>0</v>
          </cell>
          <cell r="I76" t="str">
            <v>20-02-2025</v>
          </cell>
          <cell r="J76" t="str">
            <v>CRISIL A1+</v>
          </cell>
          <cell r="K76">
            <v>0.27</v>
          </cell>
          <cell r="L76">
            <v>500000</v>
          </cell>
          <cell r="M76">
            <v>200</v>
          </cell>
          <cell r="N76">
            <v>7.1750999999999996</v>
          </cell>
          <cell r="O76">
            <v>490739.5</v>
          </cell>
          <cell r="P76">
            <v>98147900</v>
          </cell>
          <cell r="Q76">
            <v>0</v>
          </cell>
          <cell r="R76">
            <v>5383242.7699999996</v>
          </cell>
          <cell r="S76">
            <v>69057.23</v>
          </cell>
          <cell r="T76">
            <v>98147900</v>
          </cell>
          <cell r="U76">
            <v>2.0099999999999998</v>
          </cell>
          <cell r="V76">
            <v>2.0099999999999998</v>
          </cell>
          <cell r="W76">
            <v>463478</v>
          </cell>
          <cell r="X76">
            <v>92695600</v>
          </cell>
          <cell r="Z76" t="str">
            <v>Financial Services</v>
          </cell>
          <cell r="AC76" t="str">
            <v>CD - EXEMPT</v>
          </cell>
          <cell r="AD76">
            <v>97</v>
          </cell>
          <cell r="AE76" t="str">
            <v>Y</v>
          </cell>
          <cell r="AG76">
            <v>7.1750999999999996</v>
          </cell>
          <cell r="AH76">
            <v>70069.289999999994</v>
          </cell>
          <cell r="AI76" t="str">
            <v>FI3310</v>
          </cell>
          <cell r="AJ76" t="str">
            <v>A1+</v>
          </cell>
          <cell r="AK76" t="str">
            <v>AAA</v>
          </cell>
          <cell r="AL76" t="str">
            <v>2</v>
          </cell>
          <cell r="AM76" t="str">
            <v>1</v>
          </cell>
        </row>
        <row r="77">
          <cell r="C77" t="str">
            <v>INE040A16FA5</v>
          </cell>
          <cell r="D77" t="str">
            <v>FI3310CD285</v>
          </cell>
          <cell r="E77" t="str">
            <v>COD</v>
          </cell>
          <cell r="F77" t="str">
            <v>HDFC Bank Ltd</v>
          </cell>
          <cell r="G77" t="str">
            <v>Hdfc Bank Ltd COD MD 24-06-2025</v>
          </cell>
          <cell r="H77">
            <v>0</v>
          </cell>
          <cell r="I77" t="str">
            <v>24-06-2025</v>
          </cell>
          <cell r="J77" t="str">
            <v>CRISIL A1+</v>
          </cell>
          <cell r="K77">
            <v>0.61</v>
          </cell>
          <cell r="L77">
            <v>500000</v>
          </cell>
          <cell r="M77">
            <v>100</v>
          </cell>
          <cell r="N77">
            <v>7.4225000000000003</v>
          </cell>
          <cell r="O77">
            <v>478589</v>
          </cell>
          <cell r="P77">
            <v>47858900</v>
          </cell>
          <cell r="Q77">
            <v>0</v>
          </cell>
          <cell r="R77">
            <v>1414962.01</v>
          </cell>
          <cell r="S77">
            <v>5737.99</v>
          </cell>
          <cell r="T77">
            <v>47858900</v>
          </cell>
          <cell r="U77">
            <v>0.98</v>
          </cell>
          <cell r="V77">
            <v>0.98</v>
          </cell>
          <cell r="W77">
            <v>464382</v>
          </cell>
          <cell r="X77">
            <v>46438200</v>
          </cell>
          <cell r="Z77" t="str">
            <v>Financial Services</v>
          </cell>
          <cell r="AC77" t="str">
            <v>CD - EXEMPT</v>
          </cell>
          <cell r="AD77">
            <v>221</v>
          </cell>
          <cell r="AE77" t="str">
            <v>Y</v>
          </cell>
          <cell r="AG77">
            <v>7.4225000000000003</v>
          </cell>
          <cell r="AH77">
            <v>6146.34</v>
          </cell>
          <cell r="AI77" t="str">
            <v>FI3310</v>
          </cell>
          <cell r="AJ77" t="str">
            <v>A1+</v>
          </cell>
          <cell r="AK77" t="str">
            <v>AAA</v>
          </cell>
          <cell r="AL77" t="str">
            <v>2</v>
          </cell>
          <cell r="AM77" t="str">
            <v>1</v>
          </cell>
        </row>
        <row r="78">
          <cell r="C78" t="str">
            <v>INE040A16FM0</v>
          </cell>
          <cell r="D78" t="str">
            <v>FI3310CD291</v>
          </cell>
          <cell r="E78" t="str">
            <v>COD</v>
          </cell>
          <cell r="F78" t="str">
            <v>HDFC Bank Ltd</v>
          </cell>
          <cell r="G78" t="str">
            <v>HDFC Bank Ltd COD MD 19-09-2025</v>
          </cell>
          <cell r="H78">
            <v>0</v>
          </cell>
          <cell r="I78" t="str">
            <v>19-09-2025</v>
          </cell>
          <cell r="J78" t="str">
            <v>CRISIL A1+</v>
          </cell>
          <cell r="K78">
            <v>0.84</v>
          </cell>
          <cell r="L78">
            <v>500000</v>
          </cell>
          <cell r="M78">
            <v>100</v>
          </cell>
          <cell r="N78">
            <v>7.51</v>
          </cell>
          <cell r="O78">
            <v>470293.5</v>
          </cell>
          <cell r="P78">
            <v>47029350</v>
          </cell>
          <cell r="Q78">
            <v>0</v>
          </cell>
          <cell r="R78">
            <v>554990.76</v>
          </cell>
          <cell r="S78">
            <v>18509.240000000002</v>
          </cell>
          <cell r="T78">
            <v>47029350</v>
          </cell>
          <cell r="U78">
            <v>0.96</v>
          </cell>
          <cell r="V78">
            <v>0.96</v>
          </cell>
          <cell r="W78">
            <v>464558.5</v>
          </cell>
          <cell r="X78">
            <v>46455850</v>
          </cell>
          <cell r="Z78" t="str">
            <v>Financial Services</v>
          </cell>
          <cell r="AC78" t="str">
            <v>CD - EXEMPT</v>
          </cell>
          <cell r="AD78">
            <v>308</v>
          </cell>
          <cell r="AE78" t="str">
            <v>Y</v>
          </cell>
          <cell r="AG78">
            <v>7.51</v>
          </cell>
          <cell r="AH78">
            <v>19145.919999999998</v>
          </cell>
          <cell r="AI78" t="str">
            <v>FI3310</v>
          </cell>
          <cell r="AJ78" t="str">
            <v>A1+</v>
          </cell>
          <cell r="AK78" t="str">
            <v>AAA</v>
          </cell>
          <cell r="AL78" t="str">
            <v>2</v>
          </cell>
          <cell r="AM78" t="str">
            <v>1</v>
          </cell>
        </row>
        <row r="79">
          <cell r="C79" t="str">
            <v>INE084A16CN3</v>
          </cell>
          <cell r="D79" t="str">
            <v>FI3328CD279</v>
          </cell>
          <cell r="E79" t="str">
            <v>COD</v>
          </cell>
          <cell r="F79" t="str">
            <v>Bank of India</v>
          </cell>
          <cell r="G79" t="str">
            <v>Bank of India COD MD 03-03-2025</v>
          </cell>
          <cell r="H79">
            <v>0</v>
          </cell>
          <cell r="I79" t="str">
            <v>03-03-2025</v>
          </cell>
          <cell r="J79" t="str">
            <v>CRISIL A1+</v>
          </cell>
          <cell r="K79">
            <v>0.3</v>
          </cell>
          <cell r="L79">
            <v>500000</v>
          </cell>
          <cell r="M79">
            <v>500</v>
          </cell>
          <cell r="N79">
            <v>7.2249999999999996</v>
          </cell>
          <cell r="O79">
            <v>489630</v>
          </cell>
          <cell r="P79">
            <v>244815000</v>
          </cell>
          <cell r="Q79">
            <v>0</v>
          </cell>
          <cell r="R79">
            <v>881568</v>
          </cell>
          <cell r="S79">
            <v>55432</v>
          </cell>
          <cell r="T79">
            <v>244815000</v>
          </cell>
          <cell r="U79">
            <v>5.0199999999999996</v>
          </cell>
          <cell r="V79">
            <v>5.0199999999999996</v>
          </cell>
          <cell r="W79">
            <v>487756</v>
          </cell>
          <cell r="X79">
            <v>243878000</v>
          </cell>
          <cell r="Z79" t="str">
            <v>Financial Services</v>
          </cell>
          <cell r="AC79" t="str">
            <v>CD - EXEMPT</v>
          </cell>
          <cell r="AD79">
            <v>108</v>
          </cell>
          <cell r="AE79" t="str">
            <v>N</v>
          </cell>
          <cell r="AG79">
            <v>7.2249999999999996</v>
          </cell>
          <cell r="AH79">
            <v>56908</v>
          </cell>
          <cell r="AI79" t="str">
            <v>FI3328</v>
          </cell>
          <cell r="AJ79" t="str">
            <v>A1+</v>
          </cell>
          <cell r="AK79" t="str">
            <v>AA+</v>
          </cell>
          <cell r="AL79" t="str">
            <v>3</v>
          </cell>
          <cell r="AM79" t="str">
            <v>2</v>
          </cell>
        </row>
        <row r="80">
          <cell r="C80" t="str">
            <v>INE090AD6113</v>
          </cell>
          <cell r="D80" t="str">
            <v>FI3305CD366</v>
          </cell>
          <cell r="E80" t="str">
            <v>COD</v>
          </cell>
          <cell r="F80" t="str">
            <v>ICICI Bank Ltd</v>
          </cell>
          <cell r="G80" t="str">
            <v>ICICI Bank Ltd COD MD 31-01-2025</v>
          </cell>
          <cell r="H80">
            <v>0</v>
          </cell>
          <cell r="I80" t="str">
            <v>31-01-2025</v>
          </cell>
          <cell r="J80" t="str">
            <v>ICRA A1+</v>
          </cell>
          <cell r="K80">
            <v>0.21</v>
          </cell>
          <cell r="L80">
            <v>500000</v>
          </cell>
          <cell r="M80">
            <v>100</v>
          </cell>
          <cell r="N80">
            <v>7.1151</v>
          </cell>
          <cell r="O80">
            <v>492700.5</v>
          </cell>
          <cell r="P80">
            <v>49270050</v>
          </cell>
          <cell r="Q80">
            <v>0</v>
          </cell>
          <cell r="R80">
            <v>2786307.98</v>
          </cell>
          <cell r="S80">
            <v>23642.02</v>
          </cell>
          <cell r="T80">
            <v>49270050</v>
          </cell>
          <cell r="U80">
            <v>1.01</v>
          </cell>
          <cell r="V80">
            <v>1.01</v>
          </cell>
          <cell r="W80">
            <v>464601</v>
          </cell>
          <cell r="X80">
            <v>46460100</v>
          </cell>
          <cell r="Z80" t="str">
            <v>Financial Services</v>
          </cell>
          <cell r="AC80" t="str">
            <v>CD - EXEMPT</v>
          </cell>
          <cell r="AD80">
            <v>77</v>
          </cell>
          <cell r="AE80" t="str">
            <v>Y</v>
          </cell>
          <cell r="AG80">
            <v>7.1151</v>
          </cell>
          <cell r="AH80">
            <v>24107.71</v>
          </cell>
          <cell r="AI80" t="str">
            <v>FI3305</v>
          </cell>
          <cell r="AJ80" t="str">
            <v>A1+</v>
          </cell>
          <cell r="AK80" t="str">
            <v>AAA</v>
          </cell>
          <cell r="AL80" t="str">
            <v>2</v>
          </cell>
          <cell r="AM80" t="str">
            <v>1</v>
          </cell>
        </row>
        <row r="81">
          <cell r="C81" t="str">
            <v>INE090AD6147</v>
          </cell>
          <cell r="D81" t="str">
            <v>FI3305CD372</v>
          </cell>
          <cell r="E81" t="str">
            <v>COD</v>
          </cell>
          <cell r="F81" t="str">
            <v>ICICI Bank Ltd</v>
          </cell>
          <cell r="G81" t="str">
            <v>ICICI Bank Ltd COD MD 17-03-2025</v>
          </cell>
          <cell r="H81">
            <v>0</v>
          </cell>
          <cell r="I81" t="str">
            <v>17-03-2025</v>
          </cell>
          <cell r="J81" t="str">
            <v>ICRA A1+</v>
          </cell>
          <cell r="K81">
            <v>0.33</v>
          </cell>
          <cell r="L81">
            <v>500000</v>
          </cell>
          <cell r="M81">
            <v>500</v>
          </cell>
          <cell r="N81">
            <v>7.1661000000000001</v>
          </cell>
          <cell r="O81">
            <v>488398</v>
          </cell>
          <cell r="P81">
            <v>244199000</v>
          </cell>
          <cell r="Q81">
            <v>0</v>
          </cell>
          <cell r="R81">
            <v>481374.06</v>
          </cell>
          <cell r="S81">
            <v>23625.94</v>
          </cell>
          <cell r="T81">
            <v>244199000</v>
          </cell>
          <cell r="U81">
            <v>5.01</v>
          </cell>
          <cell r="V81">
            <v>5.01</v>
          </cell>
          <cell r="W81">
            <v>487388</v>
          </cell>
          <cell r="X81">
            <v>243694000</v>
          </cell>
          <cell r="Z81" t="str">
            <v>Financial Services</v>
          </cell>
          <cell r="AC81" t="str">
            <v>CD - EXEMPT</v>
          </cell>
          <cell r="AD81">
            <v>122</v>
          </cell>
          <cell r="AE81" t="str">
            <v>N</v>
          </cell>
          <cell r="AG81">
            <v>7.1661000000000001</v>
          </cell>
          <cell r="AH81">
            <v>24763.35</v>
          </cell>
          <cell r="AI81" t="str">
            <v>FI3305</v>
          </cell>
          <cell r="AJ81" t="str">
            <v>A1+</v>
          </cell>
          <cell r="AK81" t="str">
            <v>AAA</v>
          </cell>
          <cell r="AL81" t="str">
            <v>2</v>
          </cell>
          <cell r="AM81" t="str">
            <v>1</v>
          </cell>
        </row>
        <row r="82">
          <cell r="C82" t="str">
            <v>INE090AD6170</v>
          </cell>
          <cell r="D82" t="str">
            <v>FI3305CD371</v>
          </cell>
          <cell r="E82" t="str">
            <v>COD</v>
          </cell>
          <cell r="F82" t="str">
            <v>ICICI Bank Ltd</v>
          </cell>
          <cell r="G82" t="str">
            <v>ICICI Bank Ltd CD 25 07 2025</v>
          </cell>
          <cell r="H82">
            <v>0</v>
          </cell>
          <cell r="I82" t="str">
            <v>25-07-2025</v>
          </cell>
          <cell r="J82" t="str">
            <v>ICRA A1+</v>
          </cell>
          <cell r="K82">
            <v>0.69</v>
          </cell>
          <cell r="L82">
            <v>500000</v>
          </cell>
          <cell r="M82">
            <v>160</v>
          </cell>
          <cell r="N82">
            <v>7.44</v>
          </cell>
          <cell r="O82">
            <v>475664</v>
          </cell>
          <cell r="P82">
            <v>76106240</v>
          </cell>
          <cell r="Q82">
            <v>0</v>
          </cell>
          <cell r="R82">
            <v>1584221.37</v>
          </cell>
          <cell r="S82">
            <v>-33181.370000000003</v>
          </cell>
          <cell r="T82">
            <v>76106240</v>
          </cell>
          <cell r="U82">
            <v>1.56</v>
          </cell>
          <cell r="V82">
            <v>1.56</v>
          </cell>
          <cell r="W82">
            <v>465970</v>
          </cell>
          <cell r="X82">
            <v>74555200</v>
          </cell>
          <cell r="Z82" t="str">
            <v>Financial Services</v>
          </cell>
          <cell r="AC82" t="str">
            <v>CD - EXEMPT</v>
          </cell>
          <cell r="AD82">
            <v>252</v>
          </cell>
          <cell r="AE82" t="str">
            <v>Y</v>
          </cell>
          <cell r="AG82">
            <v>7.44</v>
          </cell>
          <cell r="AH82">
            <v>-32520.58</v>
          </cell>
          <cell r="AI82" t="str">
            <v>FI3305</v>
          </cell>
          <cell r="AJ82" t="str">
            <v>A1+</v>
          </cell>
          <cell r="AK82" t="str">
            <v>AAA</v>
          </cell>
          <cell r="AL82" t="str">
            <v>2</v>
          </cell>
          <cell r="AM82" t="str">
            <v>1</v>
          </cell>
        </row>
        <row r="83">
          <cell r="C83" t="str">
            <v>INE092T16WB9</v>
          </cell>
          <cell r="D83" t="str">
            <v>FI3437CD267</v>
          </cell>
          <cell r="E83" t="str">
            <v>COD</v>
          </cell>
          <cell r="F83" t="str">
            <v>IDFC First Bank Ltd</v>
          </cell>
          <cell r="G83" t="str">
            <v>IDFC FIRST BANK LTD COD MD 21-02-2025</v>
          </cell>
          <cell r="H83">
            <v>0</v>
          </cell>
          <cell r="I83" t="str">
            <v>21-02-2025</v>
          </cell>
          <cell r="J83" t="str">
            <v>CRISIL A1+</v>
          </cell>
          <cell r="K83">
            <v>0.27</v>
          </cell>
          <cell r="L83">
            <v>500000</v>
          </cell>
          <cell r="M83">
            <v>140</v>
          </cell>
          <cell r="N83">
            <v>7.2133000000000003</v>
          </cell>
          <cell r="O83">
            <v>490595.5</v>
          </cell>
          <cell r="P83">
            <v>68683370</v>
          </cell>
          <cell r="Q83">
            <v>0</v>
          </cell>
          <cell r="R83">
            <v>3749809.41</v>
          </cell>
          <cell r="S83">
            <v>45660.59</v>
          </cell>
          <cell r="T83">
            <v>68683370</v>
          </cell>
          <cell r="U83">
            <v>1.41</v>
          </cell>
          <cell r="V83">
            <v>1.41</v>
          </cell>
          <cell r="W83">
            <v>463485</v>
          </cell>
          <cell r="X83">
            <v>64887900</v>
          </cell>
          <cell r="Z83" t="str">
            <v>Financial Services</v>
          </cell>
          <cell r="AC83" t="str">
            <v>CD - EXEMPT</v>
          </cell>
          <cell r="AD83">
            <v>98</v>
          </cell>
          <cell r="AE83" t="str">
            <v>Y</v>
          </cell>
          <cell r="AG83">
            <v>7.2133000000000003</v>
          </cell>
          <cell r="AH83">
            <v>46404.82</v>
          </cell>
          <cell r="AI83" t="str">
            <v>FI3437</v>
          </cell>
          <cell r="AJ83" t="str">
            <v>A1+</v>
          </cell>
          <cell r="AK83" t="str">
            <v>AA+</v>
          </cell>
          <cell r="AL83" t="str">
            <v>3</v>
          </cell>
          <cell r="AM83" t="str">
            <v>2</v>
          </cell>
        </row>
        <row r="84">
          <cell r="C84" t="str">
            <v>INE092T16XM4</v>
          </cell>
          <cell r="D84" t="str">
            <v>FI3437CD271</v>
          </cell>
          <cell r="E84" t="str">
            <v>COD</v>
          </cell>
          <cell r="F84" t="str">
            <v>IDFC First Bank Ltd</v>
          </cell>
          <cell r="G84" t="str">
            <v>IDFC First Bank Ltd COD MD 28-05-2025</v>
          </cell>
          <cell r="H84">
            <v>0</v>
          </cell>
          <cell r="I84" t="str">
            <v>28-05-2025</v>
          </cell>
          <cell r="J84" t="str">
            <v>CRISIL A1+</v>
          </cell>
          <cell r="K84">
            <v>0.53</v>
          </cell>
          <cell r="L84">
            <v>500000</v>
          </cell>
          <cell r="M84">
            <v>400</v>
          </cell>
          <cell r="N84">
            <v>7.5049999999999999</v>
          </cell>
          <cell r="O84">
            <v>480915.5</v>
          </cell>
          <cell r="P84">
            <v>192366200</v>
          </cell>
          <cell r="Q84">
            <v>0</v>
          </cell>
          <cell r="R84">
            <v>753009.52</v>
          </cell>
          <cell r="S84">
            <v>15190.48</v>
          </cell>
          <cell r="T84">
            <v>192366200</v>
          </cell>
          <cell r="U84">
            <v>3.95</v>
          </cell>
          <cell r="V84">
            <v>3.95</v>
          </cell>
          <cell r="W84">
            <v>478995</v>
          </cell>
          <cell r="X84">
            <v>191598000</v>
          </cell>
          <cell r="Z84" t="str">
            <v>Financial Services</v>
          </cell>
          <cell r="AC84" t="str">
            <v>CD - EXEMPT</v>
          </cell>
          <cell r="AD84">
            <v>194</v>
          </cell>
          <cell r="AE84" t="str">
            <v>N</v>
          </cell>
          <cell r="AG84">
            <v>7.5049999999999999</v>
          </cell>
          <cell r="AH84">
            <v>16822.560000000001</v>
          </cell>
          <cell r="AI84" t="str">
            <v>FI3437</v>
          </cell>
          <cell r="AJ84" t="str">
            <v>A1+</v>
          </cell>
          <cell r="AK84" t="str">
            <v>AA+</v>
          </cell>
          <cell r="AL84" t="str">
            <v>3</v>
          </cell>
          <cell r="AM84" t="str">
            <v>2</v>
          </cell>
        </row>
        <row r="85">
          <cell r="C85" t="str">
            <v>INE095A16V79</v>
          </cell>
          <cell r="D85" t="str">
            <v>FI3307CD337</v>
          </cell>
          <cell r="E85" t="str">
            <v>COD</v>
          </cell>
          <cell r="F85" t="str">
            <v>IndusInd Bank Ltd</v>
          </cell>
          <cell r="G85" t="str">
            <v>INDUSIND BANK LTD COD MD 24-02-2025</v>
          </cell>
          <cell r="H85">
            <v>0</v>
          </cell>
          <cell r="I85" t="str">
            <v>24-02-2025</v>
          </cell>
          <cell r="J85" t="str">
            <v>CRISIL A1+</v>
          </cell>
          <cell r="K85">
            <v>0.28000000000000003</v>
          </cell>
          <cell r="L85">
            <v>500000</v>
          </cell>
          <cell r="M85">
            <v>140</v>
          </cell>
          <cell r="N85">
            <v>7.2102000000000004</v>
          </cell>
          <cell r="O85">
            <v>490314.5</v>
          </cell>
          <cell r="P85">
            <v>68644030</v>
          </cell>
          <cell r="Q85">
            <v>0</v>
          </cell>
          <cell r="R85">
            <v>3720724.55</v>
          </cell>
          <cell r="S85">
            <v>53395.45</v>
          </cell>
          <cell r="T85">
            <v>68644030</v>
          </cell>
          <cell r="U85">
            <v>1.41</v>
          </cell>
          <cell r="V85">
            <v>1.41</v>
          </cell>
          <cell r="W85">
            <v>463356.5</v>
          </cell>
          <cell r="X85">
            <v>64869910</v>
          </cell>
          <cell r="Z85" t="str">
            <v>Financial Services</v>
          </cell>
          <cell r="AC85" t="str">
            <v>CD - EXEMPT</v>
          </cell>
          <cell r="AD85">
            <v>101</v>
          </cell>
          <cell r="AE85" t="str">
            <v>Y</v>
          </cell>
          <cell r="AG85">
            <v>7.2102000000000004</v>
          </cell>
          <cell r="AH85">
            <v>54189.1</v>
          </cell>
          <cell r="AI85" t="str">
            <v>FI3307</v>
          </cell>
          <cell r="AJ85" t="str">
            <v>A1+</v>
          </cell>
          <cell r="AK85" t="str">
            <v>AA+</v>
          </cell>
          <cell r="AL85" t="str">
            <v>3</v>
          </cell>
          <cell r="AM85" t="str">
            <v>2</v>
          </cell>
        </row>
        <row r="86">
          <cell r="C86" t="str">
            <v>INE160A16OM8</v>
          </cell>
          <cell r="D86" t="str">
            <v>FI3316CD363</v>
          </cell>
          <cell r="E86" t="str">
            <v>COD</v>
          </cell>
          <cell r="F86" t="str">
            <v>Punjab National Bank</v>
          </cell>
          <cell r="G86" t="str">
            <v>PUNJAB NATIONAL BANK COD MD  25-02-2025</v>
          </cell>
          <cell r="H86">
            <v>0</v>
          </cell>
          <cell r="I86" t="str">
            <v>25-02-2025</v>
          </cell>
          <cell r="J86" t="str">
            <v>CRISIL A1+</v>
          </cell>
          <cell r="K86">
            <v>0.28000000000000003</v>
          </cell>
          <cell r="L86">
            <v>500000</v>
          </cell>
          <cell r="M86">
            <v>900</v>
          </cell>
          <cell r="N86">
            <v>7.19</v>
          </cell>
          <cell r="O86">
            <v>490246</v>
          </cell>
          <cell r="P86">
            <v>441221400</v>
          </cell>
          <cell r="Q86">
            <v>0</v>
          </cell>
          <cell r="R86">
            <v>8047700.7199999997</v>
          </cell>
          <cell r="S86">
            <v>101819.28</v>
          </cell>
          <cell r="T86">
            <v>441221400</v>
          </cell>
          <cell r="U86">
            <v>9.0500000000000007</v>
          </cell>
          <cell r="V86">
            <v>9.0500000000000007</v>
          </cell>
          <cell r="W86">
            <v>481190.97777777782</v>
          </cell>
          <cell r="X86">
            <v>433071880</v>
          </cell>
          <cell r="Z86" t="str">
            <v>Financial Services</v>
          </cell>
          <cell r="AC86" t="str">
            <v>CD - EXEMPT</v>
          </cell>
          <cell r="AD86">
            <v>102</v>
          </cell>
          <cell r="AE86" t="str">
            <v>Y</v>
          </cell>
          <cell r="AG86">
            <v>7.19</v>
          </cell>
          <cell r="AH86">
            <v>104694.22</v>
          </cell>
          <cell r="AI86" t="str">
            <v>FI3316</v>
          </cell>
          <cell r="AJ86" t="str">
            <v>A1+</v>
          </cell>
          <cell r="AK86" t="str">
            <v>AAA</v>
          </cell>
          <cell r="AL86" t="str">
            <v>1</v>
          </cell>
          <cell r="AM86" t="str">
            <v>1</v>
          </cell>
        </row>
        <row r="87">
          <cell r="C87" t="str">
            <v>INE171A16LP4</v>
          </cell>
          <cell r="D87" t="str">
            <v>FI3326CD249</v>
          </cell>
          <cell r="E87" t="str">
            <v>COD</v>
          </cell>
          <cell r="F87" t="str">
            <v>The Federal Bank Ltd</v>
          </cell>
          <cell r="G87" t="str">
            <v>Federal Bank Ltd CD MD 04-02-2025</v>
          </cell>
          <cell r="H87">
            <v>0</v>
          </cell>
          <cell r="I87" t="str">
            <v>04-02-2025</v>
          </cell>
          <cell r="J87" t="str">
            <v>CRISIL A1+</v>
          </cell>
          <cell r="K87">
            <v>0.22</v>
          </cell>
          <cell r="L87">
            <v>500000</v>
          </cell>
          <cell r="M87">
            <v>100</v>
          </cell>
          <cell r="N87">
            <v>7.2449000000000003</v>
          </cell>
          <cell r="O87">
            <v>492184.5</v>
          </cell>
          <cell r="P87">
            <v>49218450</v>
          </cell>
          <cell r="Q87">
            <v>0</v>
          </cell>
          <cell r="R87">
            <v>2881896.84</v>
          </cell>
          <cell r="S87">
            <v>27403.16</v>
          </cell>
          <cell r="T87">
            <v>49218450</v>
          </cell>
          <cell r="U87">
            <v>1.01</v>
          </cell>
          <cell r="V87">
            <v>1.01</v>
          </cell>
          <cell r="W87">
            <v>463091.5</v>
          </cell>
          <cell r="X87">
            <v>46309150</v>
          </cell>
          <cell r="Z87" t="str">
            <v>Financial Services</v>
          </cell>
          <cell r="AC87" t="str">
            <v>CD - EXEMPT</v>
          </cell>
          <cell r="AD87">
            <v>81</v>
          </cell>
          <cell r="AE87" t="str">
            <v>Y</v>
          </cell>
          <cell r="AG87">
            <v>7.2449000000000003</v>
          </cell>
          <cell r="AH87">
            <v>27915.07</v>
          </cell>
          <cell r="AI87" t="str">
            <v>FI3326</v>
          </cell>
          <cell r="AJ87" t="str">
            <v>A1+</v>
          </cell>
          <cell r="AK87" t="str">
            <v>AA+</v>
          </cell>
          <cell r="AL87" t="str">
            <v>3</v>
          </cell>
          <cell r="AM87" t="str">
            <v>2</v>
          </cell>
        </row>
        <row r="88">
          <cell r="C88" t="str">
            <v>INE238AD6967</v>
          </cell>
          <cell r="D88" t="str">
            <v>FI3319CD530</v>
          </cell>
          <cell r="E88" t="str">
            <v>COD</v>
          </cell>
          <cell r="F88" t="str">
            <v>Axis Bank Ltd</v>
          </cell>
          <cell r="G88" t="str">
            <v>Axis Bank Ltd COD MD 19-05-2025</v>
          </cell>
          <cell r="H88">
            <v>0</v>
          </cell>
          <cell r="I88" t="str">
            <v>19-05-2025</v>
          </cell>
          <cell r="J88" t="str">
            <v>CRISIL A1+</v>
          </cell>
          <cell r="K88">
            <v>0.51</v>
          </cell>
          <cell r="L88">
            <v>500000</v>
          </cell>
          <cell r="M88">
            <v>100</v>
          </cell>
          <cell r="N88">
            <v>7.4199000000000002</v>
          </cell>
          <cell r="O88">
            <v>481972</v>
          </cell>
          <cell r="P88">
            <v>48197200</v>
          </cell>
          <cell r="Q88">
            <v>0</v>
          </cell>
          <cell r="R88">
            <v>39211.72</v>
          </cell>
          <cell r="S88">
            <v>938.28</v>
          </cell>
          <cell r="T88">
            <v>48197200</v>
          </cell>
          <cell r="U88">
            <v>0.99</v>
          </cell>
          <cell r="V88">
            <v>0.99</v>
          </cell>
          <cell r="W88">
            <v>481570.5</v>
          </cell>
          <cell r="X88">
            <v>48157050</v>
          </cell>
          <cell r="Z88" t="str">
            <v>Financial Services</v>
          </cell>
          <cell r="AC88" t="str">
            <v>CD - EXEMPT</v>
          </cell>
          <cell r="AD88">
            <v>185</v>
          </cell>
          <cell r="AE88" t="str">
            <v>N</v>
          </cell>
          <cell r="AG88">
            <v>7.4199000000000002</v>
          </cell>
          <cell r="AH88">
            <v>1291.21</v>
          </cell>
          <cell r="AI88" t="str">
            <v>FI3319</v>
          </cell>
          <cell r="AJ88" t="str">
            <v>A1+</v>
          </cell>
          <cell r="AK88" t="str">
            <v>AAA</v>
          </cell>
          <cell r="AL88" t="str">
            <v>2</v>
          </cell>
          <cell r="AM88" t="str">
            <v>1</v>
          </cell>
        </row>
        <row r="89">
          <cell r="C89" t="str">
            <v>INE261F16843</v>
          </cell>
          <cell r="D89" t="str">
            <v>FI35NACD355</v>
          </cell>
          <cell r="E89" t="str">
            <v>COD</v>
          </cell>
          <cell r="F89" t="str">
            <v>National Bank for Agriculture &amp; Rural Development</v>
          </cell>
          <cell r="G89" t="str">
            <v>NABARD COD MD 12-03-2025</v>
          </cell>
          <cell r="H89">
            <v>0</v>
          </cell>
          <cell r="I89" t="str">
            <v>12-03-2025</v>
          </cell>
          <cell r="J89" t="str">
            <v>CRISIL A1+</v>
          </cell>
          <cell r="K89">
            <v>0.32</v>
          </cell>
          <cell r="L89">
            <v>500000</v>
          </cell>
          <cell r="M89">
            <v>500</v>
          </cell>
          <cell r="N89">
            <v>7.2249999999999996</v>
          </cell>
          <cell r="O89">
            <v>488777</v>
          </cell>
          <cell r="P89">
            <v>244388500</v>
          </cell>
          <cell r="Q89">
            <v>0</v>
          </cell>
          <cell r="R89">
            <v>1071902.26</v>
          </cell>
          <cell r="S89">
            <v>40347.74</v>
          </cell>
          <cell r="T89">
            <v>244388500</v>
          </cell>
          <cell r="U89">
            <v>5.01</v>
          </cell>
          <cell r="V89">
            <v>5.01</v>
          </cell>
          <cell r="W89">
            <v>486552.5</v>
          </cell>
          <cell r="X89">
            <v>243276250</v>
          </cell>
          <cell r="Z89" t="str">
            <v>Financial Services</v>
          </cell>
          <cell r="AC89" t="str">
            <v>CD - EXEMPT</v>
          </cell>
          <cell r="AD89">
            <v>117</v>
          </cell>
          <cell r="AE89" t="str">
            <v>N</v>
          </cell>
          <cell r="AG89">
            <v>7.2249999999999996</v>
          </cell>
          <cell r="AH89">
            <v>41820.57</v>
          </cell>
          <cell r="AI89" t="str">
            <v>FI35NA</v>
          </cell>
          <cell r="AJ89" t="str">
            <v>A1+</v>
          </cell>
          <cell r="AK89" t="str">
            <v>AAA</v>
          </cell>
          <cell r="AL89" t="str">
            <v>1</v>
          </cell>
          <cell r="AM89" t="str">
            <v>1</v>
          </cell>
        </row>
        <row r="90">
          <cell r="C90" t="str">
            <v>INE476A16YB0</v>
          </cell>
          <cell r="D90" t="str">
            <v>FI3320CD471</v>
          </cell>
          <cell r="E90" t="str">
            <v>COD</v>
          </cell>
          <cell r="F90" t="str">
            <v>Canara Bank</v>
          </cell>
          <cell r="G90" t="str">
            <v>CANARA BANK COD MD 20-03-2025</v>
          </cell>
          <cell r="H90">
            <v>0</v>
          </cell>
          <cell r="I90" t="str">
            <v>20-03-2025</v>
          </cell>
          <cell r="J90" t="str">
            <v>CRISIL A1+</v>
          </cell>
          <cell r="K90">
            <v>0.34</v>
          </cell>
          <cell r="L90">
            <v>500000</v>
          </cell>
          <cell r="M90">
            <v>300</v>
          </cell>
          <cell r="N90">
            <v>7.1950000000000003</v>
          </cell>
          <cell r="O90">
            <v>488070</v>
          </cell>
          <cell r="P90">
            <v>146421000</v>
          </cell>
          <cell r="Q90">
            <v>0</v>
          </cell>
          <cell r="R90">
            <v>5159289.0599999996</v>
          </cell>
          <cell r="S90">
            <v>15110.94</v>
          </cell>
          <cell r="T90">
            <v>146421000</v>
          </cell>
          <cell r="U90">
            <v>3</v>
          </cell>
          <cell r="V90">
            <v>3</v>
          </cell>
          <cell r="W90">
            <v>470822</v>
          </cell>
          <cell r="X90">
            <v>141246600</v>
          </cell>
          <cell r="Z90" t="str">
            <v>Financial Services</v>
          </cell>
          <cell r="AC90" t="str">
            <v>CD - EXEMPT</v>
          </cell>
          <cell r="AD90">
            <v>125</v>
          </cell>
          <cell r="AE90" t="str">
            <v>Y</v>
          </cell>
          <cell r="AG90">
            <v>7.1950000000000003</v>
          </cell>
          <cell r="AH90">
            <v>16045.71</v>
          </cell>
          <cell r="AI90" t="str">
            <v>FI3320</v>
          </cell>
          <cell r="AJ90" t="str">
            <v>A1+</v>
          </cell>
          <cell r="AK90" t="str">
            <v>AAA</v>
          </cell>
          <cell r="AL90" t="str">
            <v>1</v>
          </cell>
          <cell r="AM90" t="str">
            <v>1</v>
          </cell>
        </row>
        <row r="91">
          <cell r="C91" t="str">
            <v>INE556F16AR4</v>
          </cell>
          <cell r="D91" t="str">
            <v>FI3405CD241</v>
          </cell>
          <cell r="E91" t="str">
            <v>COD</v>
          </cell>
          <cell r="F91" t="str">
            <v>Small Industries Development Bank of India</v>
          </cell>
          <cell r="G91" t="str">
            <v>Small Industries Development Bank of India CD MD 27-02-2025</v>
          </cell>
          <cell r="H91">
            <v>0</v>
          </cell>
          <cell r="I91" t="str">
            <v>27-02-2025</v>
          </cell>
          <cell r="J91" t="str">
            <v>CRISIL A1+</v>
          </cell>
          <cell r="K91">
            <v>0.28000000000000003</v>
          </cell>
          <cell r="L91">
            <v>500000</v>
          </cell>
          <cell r="M91">
            <v>500</v>
          </cell>
          <cell r="N91">
            <v>7.1851000000000003</v>
          </cell>
          <cell r="O91">
            <v>490063.5</v>
          </cell>
          <cell r="P91">
            <v>245031750</v>
          </cell>
          <cell r="Q91">
            <v>0</v>
          </cell>
          <cell r="R91">
            <v>878727.24</v>
          </cell>
          <cell r="S91">
            <v>60022.76</v>
          </cell>
          <cell r="T91">
            <v>245031750</v>
          </cell>
          <cell r="U91">
            <v>5.03</v>
          </cell>
          <cell r="V91">
            <v>5.03</v>
          </cell>
          <cell r="W91">
            <v>488186</v>
          </cell>
          <cell r="X91">
            <v>244093000</v>
          </cell>
          <cell r="Z91" t="str">
            <v>Financial Services</v>
          </cell>
          <cell r="AC91" t="str">
            <v>CD - EXEMPT</v>
          </cell>
          <cell r="AD91">
            <v>104</v>
          </cell>
          <cell r="AE91" t="str">
            <v>N</v>
          </cell>
          <cell r="AG91">
            <v>7.1851000000000003</v>
          </cell>
          <cell r="AH91">
            <v>61840.94</v>
          </cell>
          <cell r="AI91" t="str">
            <v>FI3405</v>
          </cell>
          <cell r="AJ91" t="str">
            <v>A1+</v>
          </cell>
          <cell r="AK91" t="str">
            <v>AAA</v>
          </cell>
          <cell r="AL91" t="str">
            <v>1</v>
          </cell>
          <cell r="AM91" t="str">
            <v>1</v>
          </cell>
        </row>
        <row r="92">
          <cell r="C92" t="str">
            <v>INE562A16MZ1</v>
          </cell>
          <cell r="D92" t="str">
            <v>FI3345CD302</v>
          </cell>
          <cell r="E92" t="str">
            <v>COD</v>
          </cell>
          <cell r="F92" t="str">
            <v>Indian Bank</v>
          </cell>
          <cell r="G92" t="str">
            <v>INDIAN BANK LTD COD MD 23-05-2025</v>
          </cell>
          <cell r="H92">
            <v>0</v>
          </cell>
          <cell r="I92" t="str">
            <v>23-05-2025</v>
          </cell>
          <cell r="J92" t="str">
            <v>CRISIL A1+</v>
          </cell>
          <cell r="K92">
            <v>0.52</v>
          </cell>
          <cell r="L92">
            <v>500000</v>
          </cell>
          <cell r="M92">
            <v>300</v>
          </cell>
          <cell r="N92">
            <v>7.4250999999999996</v>
          </cell>
          <cell r="O92">
            <v>481582.5</v>
          </cell>
          <cell r="P92">
            <v>144474750</v>
          </cell>
          <cell r="Q92">
            <v>0</v>
          </cell>
          <cell r="R92">
            <v>5027990</v>
          </cell>
          <cell r="S92">
            <v>-29540</v>
          </cell>
          <cell r="T92">
            <v>144474750</v>
          </cell>
          <cell r="U92">
            <v>2.96</v>
          </cell>
          <cell r="V92">
            <v>2.96</v>
          </cell>
          <cell r="W92">
            <v>464921</v>
          </cell>
          <cell r="X92">
            <v>139476300</v>
          </cell>
          <cell r="Z92" t="str">
            <v>Financial Services</v>
          </cell>
          <cell r="AC92" t="str">
            <v>CD - EXEMPT</v>
          </cell>
          <cell r="AD92">
            <v>189</v>
          </cell>
          <cell r="AE92" t="str">
            <v>Y</v>
          </cell>
          <cell r="AG92">
            <v>7.4250999999999996</v>
          </cell>
          <cell r="AH92">
            <v>-28657.5</v>
          </cell>
          <cell r="AI92" t="str">
            <v>FI3345</v>
          </cell>
          <cell r="AJ92" t="str">
            <v>A1+</v>
          </cell>
          <cell r="AK92" t="str">
            <v>AA+</v>
          </cell>
          <cell r="AL92" t="str">
            <v>3</v>
          </cell>
          <cell r="AM92" t="str">
            <v>2</v>
          </cell>
        </row>
        <row r="93">
          <cell r="C93" t="str">
            <v>INE692A16GZ8</v>
          </cell>
          <cell r="D93" t="str">
            <v>FI3321CD266</v>
          </cell>
          <cell r="E93" t="str">
            <v>COD</v>
          </cell>
          <cell r="F93" t="str">
            <v>Union Bank of India</v>
          </cell>
          <cell r="G93" t="str">
            <v>UNION BANK OF INDIA COD MD 27-02-2025</v>
          </cell>
          <cell r="H93">
            <v>0</v>
          </cell>
          <cell r="I93" t="str">
            <v>27-02-2025</v>
          </cell>
          <cell r="J93" t="str">
            <v>ICRA A1+</v>
          </cell>
          <cell r="K93">
            <v>0.28000000000000003</v>
          </cell>
          <cell r="L93">
            <v>500000</v>
          </cell>
          <cell r="M93">
            <v>100</v>
          </cell>
          <cell r="N93">
            <v>7.1950000000000003</v>
          </cell>
          <cell r="O93">
            <v>490050.5</v>
          </cell>
          <cell r="P93">
            <v>49005050</v>
          </cell>
          <cell r="Q93">
            <v>0</v>
          </cell>
          <cell r="R93">
            <v>2606287.0499999998</v>
          </cell>
          <cell r="S93">
            <v>25762.95</v>
          </cell>
          <cell r="T93">
            <v>49005050</v>
          </cell>
          <cell r="U93">
            <v>1.01</v>
          </cell>
          <cell r="V93">
            <v>1.01</v>
          </cell>
          <cell r="W93">
            <v>463730</v>
          </cell>
          <cell r="X93">
            <v>46373000</v>
          </cell>
          <cell r="Z93" t="str">
            <v>Financial Services</v>
          </cell>
          <cell r="AC93" t="str">
            <v>CD - EXEMPT</v>
          </cell>
          <cell r="AD93">
            <v>104</v>
          </cell>
          <cell r="AE93" t="str">
            <v>Y</v>
          </cell>
          <cell r="AG93">
            <v>7.1950000000000003</v>
          </cell>
          <cell r="AH93">
            <v>26172.79</v>
          </cell>
          <cell r="AI93" t="str">
            <v>FI3321</v>
          </cell>
          <cell r="AJ93" t="str">
            <v>A1+</v>
          </cell>
          <cell r="AK93" t="str">
            <v>AAA</v>
          </cell>
          <cell r="AL93" t="str">
            <v>1</v>
          </cell>
          <cell r="AM93" t="str">
            <v>1</v>
          </cell>
        </row>
        <row r="94">
          <cell r="C94" t="str">
            <v>INE949L16CY1</v>
          </cell>
          <cell r="D94" t="str">
            <v>FI3391CD202</v>
          </cell>
          <cell r="E94" t="str">
            <v>COD</v>
          </cell>
          <cell r="F94" t="str">
            <v>AU Small Finance Bank Ltd</v>
          </cell>
          <cell r="G94" t="str">
            <v>AU Small Finance Bank Ltd COD MD 28-10-2025</v>
          </cell>
          <cell r="H94">
            <v>0</v>
          </cell>
          <cell r="I94" t="str">
            <v>28-10-2025</v>
          </cell>
          <cell r="J94" t="str">
            <v>CRISIL A1+</v>
          </cell>
          <cell r="K94">
            <v>0.95</v>
          </cell>
          <cell r="L94">
            <v>500000</v>
          </cell>
          <cell r="M94">
            <v>500</v>
          </cell>
          <cell r="N94">
            <v>7.915</v>
          </cell>
          <cell r="O94">
            <v>465103.5</v>
          </cell>
          <cell r="P94">
            <v>232551750</v>
          </cell>
          <cell r="Q94">
            <v>0</v>
          </cell>
          <cell r="R94">
            <v>852856.68</v>
          </cell>
          <cell r="S94">
            <v>-90106.68</v>
          </cell>
          <cell r="T94">
            <v>232551750</v>
          </cell>
          <cell r="U94">
            <v>4.7699999999999996</v>
          </cell>
          <cell r="V94">
            <v>4.7699999999999996</v>
          </cell>
          <cell r="W94">
            <v>463578</v>
          </cell>
          <cell r="X94">
            <v>231789000</v>
          </cell>
          <cell r="Z94" t="str">
            <v>Financial Services</v>
          </cell>
          <cell r="AC94" t="str">
            <v>CD - EXEMPT</v>
          </cell>
          <cell r="AD94">
            <v>347</v>
          </cell>
          <cell r="AE94" t="str">
            <v>N</v>
          </cell>
          <cell r="AG94">
            <v>7.915</v>
          </cell>
          <cell r="AH94">
            <v>-86688.639999999999</v>
          </cell>
          <cell r="AI94" t="str">
            <v>FI3391</v>
          </cell>
          <cell r="AJ94" t="str">
            <v>A1+</v>
          </cell>
          <cell r="AK94" t="str">
            <v>AA</v>
          </cell>
          <cell r="AL94" t="str">
            <v>4</v>
          </cell>
          <cell r="AM94" t="str">
            <v>3</v>
          </cell>
        </row>
        <row r="95">
          <cell r="C95" t="str">
            <v>IN002024Y241</v>
          </cell>
          <cell r="D95" t="str">
            <v>182TBL130325</v>
          </cell>
          <cell r="E95" t="str">
            <v>TBL</v>
          </cell>
          <cell r="F95" t="str">
            <v>Govt. of India - GSec / TBL</v>
          </cell>
          <cell r="G95" t="str">
            <v>182 Days - T Bill - 13/03/2025</v>
          </cell>
          <cell r="H95">
            <v>0</v>
          </cell>
          <cell r="I95" t="str">
            <v>13-03-2025</v>
          </cell>
          <cell r="J95" t="str">
            <v>Sovereign</v>
          </cell>
          <cell r="K95">
            <v>0.32</v>
          </cell>
          <cell r="L95">
            <v>100</v>
          </cell>
          <cell r="M95">
            <v>1000000</v>
          </cell>
          <cell r="N95">
            <v>6.4960000000000004</v>
          </cell>
          <cell r="O95">
            <v>97.960300000000004</v>
          </cell>
          <cell r="P95">
            <v>97960300</v>
          </cell>
          <cell r="Q95">
            <v>0</v>
          </cell>
          <cell r="R95">
            <v>522183.6</v>
          </cell>
          <cell r="S95">
            <v>-3183.6</v>
          </cell>
          <cell r="T95">
            <v>97960300</v>
          </cell>
          <cell r="U95">
            <v>2.0099999999999998</v>
          </cell>
          <cell r="V95">
            <v>2.0099999999999998</v>
          </cell>
          <cell r="W95">
            <v>97.441299999999998</v>
          </cell>
          <cell r="X95">
            <v>97441300</v>
          </cell>
          <cell r="Z95" t="str">
            <v>Exempt - GSECs</v>
          </cell>
          <cell r="AC95" t="str">
            <v>Exempt - GSECs</v>
          </cell>
          <cell r="AD95">
            <v>118</v>
          </cell>
          <cell r="AE95" t="str">
            <v>Y</v>
          </cell>
          <cell r="AG95">
            <v>6.4960000000000004</v>
          </cell>
          <cell r="AH95">
            <v>-2877.48</v>
          </cell>
          <cell r="AI95" t="str">
            <v>GOVT.</v>
          </cell>
          <cell r="AJ95" t="str">
            <v>GSEC</v>
          </cell>
          <cell r="AK95" t="str">
            <v>GSEC</v>
          </cell>
          <cell r="AL95" t="str">
            <v>1</v>
          </cell>
          <cell r="AM95" t="str">
            <v>1</v>
          </cell>
        </row>
        <row r="96">
          <cell r="C96" t="str">
            <v>IN002024Y290</v>
          </cell>
          <cell r="D96" t="str">
            <v>182TBL010525</v>
          </cell>
          <cell r="E96" t="str">
            <v>TBL</v>
          </cell>
          <cell r="F96" t="str">
            <v>Govt. of India - GSec / TBL</v>
          </cell>
          <cell r="G96" t="str">
            <v>182 Days - T Bill - 01/05/2025</v>
          </cell>
          <cell r="H96">
            <v>0</v>
          </cell>
          <cell r="I96" t="str">
            <v>01-05-2025</v>
          </cell>
          <cell r="J96" t="str">
            <v>Sovereign</v>
          </cell>
          <cell r="K96">
            <v>0.46</v>
          </cell>
          <cell r="L96">
            <v>100</v>
          </cell>
          <cell r="M96">
            <v>2500000</v>
          </cell>
          <cell r="N96">
            <v>6.5979000000000001</v>
          </cell>
          <cell r="O96">
            <v>97.086799999999997</v>
          </cell>
          <cell r="P96">
            <v>242717000</v>
          </cell>
          <cell r="Q96">
            <v>0</v>
          </cell>
          <cell r="R96">
            <v>700044</v>
          </cell>
          <cell r="S96">
            <v>-20044</v>
          </cell>
          <cell r="T96">
            <v>242717000</v>
          </cell>
          <cell r="U96">
            <v>4.9800000000000004</v>
          </cell>
          <cell r="V96">
            <v>4.9800000000000004</v>
          </cell>
          <cell r="W96">
            <v>96.814800000000005</v>
          </cell>
          <cell r="X96">
            <v>242037000</v>
          </cell>
          <cell r="Z96" t="str">
            <v>Exempt - GSECs</v>
          </cell>
          <cell r="AC96" t="str">
            <v>Exempt - GSECs</v>
          </cell>
          <cell r="AD96">
            <v>167</v>
          </cell>
          <cell r="AE96" t="str">
            <v>Y</v>
          </cell>
          <cell r="AG96">
            <v>6.5979000000000001</v>
          </cell>
          <cell r="AH96">
            <v>-19041.25</v>
          </cell>
          <cell r="AI96" t="str">
            <v>GOVT.</v>
          </cell>
          <cell r="AJ96" t="str">
            <v>GSEC</v>
          </cell>
          <cell r="AK96" t="str">
            <v>GSEC</v>
          </cell>
          <cell r="AL96" t="str">
            <v>1</v>
          </cell>
          <cell r="AM96" t="str">
            <v>1</v>
          </cell>
        </row>
        <row r="97">
          <cell r="C97" t="str">
            <v>IN002024Z073</v>
          </cell>
          <cell r="D97" t="str">
            <v>364TBL150525</v>
          </cell>
          <cell r="E97" t="str">
            <v>TBL</v>
          </cell>
          <cell r="F97" t="str">
            <v>Govt. of India - GSec / TBL</v>
          </cell>
          <cell r="G97" t="str">
            <v>364 Days - T Bill - 15/05/2025</v>
          </cell>
          <cell r="H97">
            <v>0</v>
          </cell>
          <cell r="I97" t="str">
            <v>15-05-2025</v>
          </cell>
          <cell r="J97" t="str">
            <v>Sovereign</v>
          </cell>
          <cell r="K97">
            <v>0.5</v>
          </cell>
          <cell r="L97">
            <v>100</v>
          </cell>
          <cell r="M97">
            <v>1000000</v>
          </cell>
          <cell r="N97">
            <v>6.6</v>
          </cell>
          <cell r="O97">
            <v>96.847800000000007</v>
          </cell>
          <cell r="P97">
            <v>96847800</v>
          </cell>
          <cell r="Q97">
            <v>0</v>
          </cell>
          <cell r="R97">
            <v>3331057.14</v>
          </cell>
          <cell r="S97">
            <v>106442.86</v>
          </cell>
          <cell r="T97">
            <v>96847800</v>
          </cell>
          <cell r="U97">
            <v>1.99</v>
          </cell>
          <cell r="V97">
            <v>1.99</v>
          </cell>
          <cell r="W97">
            <v>93.410300000000007</v>
          </cell>
          <cell r="X97">
            <v>93410300</v>
          </cell>
          <cell r="Z97" t="str">
            <v>Exempt - GSECs</v>
          </cell>
          <cell r="AC97" t="str">
            <v>Exempt - GSECs</v>
          </cell>
          <cell r="AD97">
            <v>181</v>
          </cell>
          <cell r="AE97" t="str">
            <v>Y</v>
          </cell>
          <cell r="AG97">
            <v>6.6</v>
          </cell>
          <cell r="AH97">
            <v>107546.43</v>
          </cell>
          <cell r="AI97" t="str">
            <v>GOVT.</v>
          </cell>
          <cell r="AJ97" t="str">
            <v>GSEC</v>
          </cell>
          <cell r="AK97" t="str">
            <v>GSEC</v>
          </cell>
          <cell r="AL97" t="str">
            <v>1</v>
          </cell>
          <cell r="AM97" t="str">
            <v>1</v>
          </cell>
        </row>
        <row r="98">
          <cell r="AF98" t="str">
            <v/>
          </cell>
          <cell r="AG98" t="str">
            <v/>
          </cell>
          <cell r="AH98" t="str">
            <v/>
          </cell>
          <cell r="AI98" t="str">
            <v/>
          </cell>
          <cell r="AJ98" t="str">
            <v/>
          </cell>
          <cell r="AK98" t="str">
            <v/>
          </cell>
          <cell r="AL98" t="str">
            <v/>
          </cell>
          <cell r="AM98" t="str">
            <v/>
          </cell>
        </row>
        <row r="99">
          <cell r="C99" t="str">
            <v>INE121A08PJ0</v>
          </cell>
          <cell r="D99" t="str">
            <v>FI3431CCD200</v>
          </cell>
          <cell r="E99" t="str">
            <v>CCD</v>
          </cell>
          <cell r="F99" t="str">
            <v>Cholamandalam Investment and Finance Company Ltd</v>
          </cell>
          <cell r="G99" t="str">
            <v>7.5% Cholamandalam Investment And Company Ltd CCD 30 09 2026</v>
          </cell>
          <cell r="H99">
            <v>7.5</v>
          </cell>
          <cell r="I99" t="str">
            <v>30-09-2026</v>
          </cell>
          <cell r="J99" t="str">
            <v xml:space="preserve"> UNRATED</v>
          </cell>
          <cell r="K99">
            <v>1.778502</v>
          </cell>
          <cell r="L99">
            <v>100000</v>
          </cell>
          <cell r="M99">
            <v>1750</v>
          </cell>
          <cell r="N99">
            <v>8.2899999999999991</v>
          </cell>
          <cell r="O99">
            <v>100609.5961</v>
          </cell>
          <cell r="P99">
            <v>176066793.18000001</v>
          </cell>
          <cell r="Q99">
            <v>1690068.49</v>
          </cell>
          <cell r="R99">
            <v>0</v>
          </cell>
          <cell r="S99">
            <v>1066793.18</v>
          </cell>
          <cell r="T99">
            <v>177756861.66999999</v>
          </cell>
          <cell r="U99">
            <v>0.33</v>
          </cell>
          <cell r="V99">
            <v>0.34</v>
          </cell>
          <cell r="W99">
            <v>100000</v>
          </cell>
          <cell r="X99">
            <v>175000000</v>
          </cell>
          <cell r="Y99" t="str">
            <v>30-03-2025</v>
          </cell>
          <cell r="Z99" t="str">
            <v>Financial Services</v>
          </cell>
          <cell r="AC99" t="str">
            <v>Financial Services</v>
          </cell>
          <cell r="AD99">
            <v>684</v>
          </cell>
          <cell r="AE99" t="str">
            <v>N</v>
          </cell>
          <cell r="AF99" t="str">
            <v>30-09-2024</v>
          </cell>
          <cell r="AG99">
            <v>8.2899999999999991</v>
          </cell>
          <cell r="AH99">
            <v>1063970.08</v>
          </cell>
          <cell r="AI99" t="str">
            <v>FI3431</v>
          </cell>
          <cell r="AJ99" t="str">
            <v>A1+</v>
          </cell>
          <cell r="AK99" t="str">
            <v>AA+</v>
          </cell>
          <cell r="AL99" t="str">
            <v>3</v>
          </cell>
          <cell r="AM99" t="str">
            <v>2</v>
          </cell>
        </row>
        <row r="100">
          <cell r="C100" t="str">
            <v>INE115A14EX5</v>
          </cell>
          <cell r="D100" t="str">
            <v>FILICCP235</v>
          </cell>
          <cell r="E100" t="str">
            <v>CMP</v>
          </cell>
          <cell r="F100" t="str">
            <v>LIC Housing Finance Ltd</v>
          </cell>
          <cell r="G100" t="str">
            <v>LIC Housing Finance Ltd CP MD 21-03-2025</v>
          </cell>
          <cell r="H100">
            <v>0</v>
          </cell>
          <cell r="I100" t="str">
            <v>21-03-2025</v>
          </cell>
          <cell r="J100" t="str">
            <v>CRISIL A1+</v>
          </cell>
          <cell r="K100">
            <v>0.35</v>
          </cell>
          <cell r="L100">
            <v>500000</v>
          </cell>
          <cell r="M100">
            <v>300</v>
          </cell>
          <cell r="N100">
            <v>7.2549999999999999</v>
          </cell>
          <cell r="O100">
            <v>487878.5</v>
          </cell>
          <cell r="P100">
            <v>146363550</v>
          </cell>
          <cell r="Q100">
            <v>0</v>
          </cell>
          <cell r="R100">
            <v>7082836.9400000004</v>
          </cell>
          <cell r="S100">
            <v>67963.06</v>
          </cell>
          <cell r="T100">
            <v>146363550</v>
          </cell>
          <cell r="U100">
            <v>0.28000000000000003</v>
          </cell>
          <cell r="V100">
            <v>0.28000000000000003</v>
          </cell>
          <cell r="W100">
            <v>464042.5</v>
          </cell>
          <cell r="X100">
            <v>139212750</v>
          </cell>
          <cell r="Z100" t="str">
            <v>Financial Services</v>
          </cell>
          <cell r="AC100" t="str">
            <v>HOUSING FINANCE</v>
          </cell>
          <cell r="AD100">
            <v>126</v>
          </cell>
          <cell r="AE100" t="str">
            <v>Y</v>
          </cell>
          <cell r="AG100">
            <v>7.2549999999999999</v>
          </cell>
          <cell r="AH100">
            <v>69248.37</v>
          </cell>
          <cell r="AI100" t="str">
            <v>FILIC</v>
          </cell>
          <cell r="AJ100" t="str">
            <v>A1+</v>
          </cell>
          <cell r="AK100" t="str">
            <v>AAA</v>
          </cell>
          <cell r="AL100" t="str">
            <v>2</v>
          </cell>
          <cell r="AM100" t="str">
            <v>1</v>
          </cell>
        </row>
        <row r="101">
          <cell r="C101" t="str">
            <v>INE040A16FA5</v>
          </cell>
          <cell r="D101" t="str">
            <v>FI3310CD285</v>
          </cell>
          <cell r="E101" t="str">
            <v>COD</v>
          </cell>
          <cell r="F101" t="str">
            <v>HDFC Bank Ltd</v>
          </cell>
          <cell r="G101" t="str">
            <v>Hdfc Bank Ltd COD MD 24-06-2025</v>
          </cell>
          <cell r="H101">
            <v>0</v>
          </cell>
          <cell r="I101" t="str">
            <v>24-06-2025</v>
          </cell>
          <cell r="J101" t="str">
            <v>CRISIL A1+</v>
          </cell>
          <cell r="K101">
            <v>0.61</v>
          </cell>
          <cell r="L101">
            <v>500000</v>
          </cell>
          <cell r="M101">
            <v>400</v>
          </cell>
          <cell r="N101">
            <v>7.4225000000000003</v>
          </cell>
          <cell r="O101">
            <v>478589</v>
          </cell>
          <cell r="P101">
            <v>191435600</v>
          </cell>
          <cell r="Q101">
            <v>0</v>
          </cell>
          <cell r="R101">
            <v>5659846.6100000003</v>
          </cell>
          <cell r="S101">
            <v>22953.39</v>
          </cell>
          <cell r="T101">
            <v>191435600</v>
          </cell>
          <cell r="U101">
            <v>0.36</v>
          </cell>
          <cell r="V101">
            <v>0.36</v>
          </cell>
          <cell r="W101">
            <v>464382</v>
          </cell>
          <cell r="X101">
            <v>185752800</v>
          </cell>
          <cell r="Z101" t="str">
            <v>Financial Services</v>
          </cell>
          <cell r="AC101" t="str">
            <v>CD - EXEMPT</v>
          </cell>
          <cell r="AD101">
            <v>221</v>
          </cell>
          <cell r="AE101" t="str">
            <v>Y</v>
          </cell>
          <cell r="AG101">
            <v>7.4225000000000003</v>
          </cell>
          <cell r="AH101">
            <v>24586.81</v>
          </cell>
          <cell r="AI101" t="str">
            <v>FI3310</v>
          </cell>
          <cell r="AJ101" t="str">
            <v>A1+</v>
          </cell>
          <cell r="AK101" t="str">
            <v>AAA</v>
          </cell>
          <cell r="AL101" t="str">
            <v>2</v>
          </cell>
          <cell r="AM101" t="str">
            <v>1</v>
          </cell>
        </row>
        <row r="102">
          <cell r="C102" t="str">
            <v>IN0020210160</v>
          </cell>
          <cell r="D102" t="str">
            <v>4.04GOI041028</v>
          </cell>
          <cell r="E102" t="str">
            <v>GSE</v>
          </cell>
          <cell r="F102" t="str">
            <v>Govt. of India - GSec / TBL</v>
          </cell>
          <cell r="G102" t="str">
            <v>7.30% Central Government Securities_Floating Rate Bond 04/10/2028 (Previous 7.72)</v>
          </cell>
          <cell r="H102">
            <v>7.3</v>
          </cell>
          <cell r="I102" t="str">
            <v>04-10-2028</v>
          </cell>
          <cell r="J102" t="str">
            <v>Sovereign</v>
          </cell>
          <cell r="K102">
            <v>0</v>
          </cell>
          <cell r="L102">
            <v>100</v>
          </cell>
          <cell r="M102">
            <v>1500000</v>
          </cell>
          <cell r="N102">
            <v>0</v>
          </cell>
          <cell r="O102">
            <v>100.7488</v>
          </cell>
          <cell r="P102">
            <v>151123200</v>
          </cell>
          <cell r="Q102">
            <v>1277500</v>
          </cell>
          <cell r="R102">
            <v>0</v>
          </cell>
          <cell r="S102">
            <v>5610700</v>
          </cell>
          <cell r="T102">
            <v>152400700</v>
          </cell>
          <cell r="U102">
            <v>0.28999999999999998</v>
          </cell>
          <cell r="V102">
            <v>0.28999999999999998</v>
          </cell>
          <cell r="W102">
            <v>97.00833333333334</v>
          </cell>
          <cell r="X102">
            <v>145512500</v>
          </cell>
          <cell r="Y102" t="str">
            <v>04-04-2025</v>
          </cell>
          <cell r="Z102" t="str">
            <v>Exempt - GSECs</v>
          </cell>
          <cell r="AC102" t="str">
            <v>Exempt - Gsecs</v>
          </cell>
          <cell r="AD102">
            <v>1419</v>
          </cell>
          <cell r="AE102" t="str">
            <v>Y</v>
          </cell>
          <cell r="AF102" t="str">
            <v>04-10-2024</v>
          </cell>
          <cell r="AG102">
            <v>0</v>
          </cell>
          <cell r="AH102">
            <v>5611600</v>
          </cell>
          <cell r="AI102" t="str">
            <v>GOVT.</v>
          </cell>
          <cell r="AJ102" t="str">
            <v>Gsec</v>
          </cell>
          <cell r="AK102" t="str">
            <v>Gsec</v>
          </cell>
          <cell r="AL102" t="str">
            <v>1</v>
          </cell>
          <cell r="AM102" t="str">
            <v>1</v>
          </cell>
        </row>
        <row r="103">
          <cell r="C103" t="str">
            <v>IN0020220011</v>
          </cell>
          <cell r="D103" t="str">
            <v>7.10GSE180429</v>
          </cell>
          <cell r="E103" t="str">
            <v>GSE</v>
          </cell>
          <cell r="F103" t="str">
            <v>Govt. of India - GSec / TBL</v>
          </cell>
          <cell r="G103" t="str">
            <v>7.10% Central Government Securities 18/04/2029</v>
          </cell>
          <cell r="H103">
            <v>7.1</v>
          </cell>
          <cell r="I103" t="str">
            <v>18-04-2029</v>
          </cell>
          <cell r="J103" t="str">
            <v>Sovereign</v>
          </cell>
          <cell r="K103">
            <v>3.8557000000000001</v>
          </cell>
          <cell r="L103">
            <v>100</v>
          </cell>
          <cell r="M103">
            <v>2500000</v>
          </cell>
          <cell r="N103">
            <v>6.9310999999999998</v>
          </cell>
          <cell r="O103">
            <v>101.06480000000001</v>
          </cell>
          <cell r="P103">
            <v>252662000</v>
          </cell>
          <cell r="Q103">
            <v>1380555.56</v>
          </cell>
          <cell r="R103">
            <v>0</v>
          </cell>
          <cell r="S103">
            <v>5437000</v>
          </cell>
          <cell r="T103">
            <v>254042555.56</v>
          </cell>
          <cell r="U103">
            <v>0.48</v>
          </cell>
          <cell r="V103">
            <v>0.48</v>
          </cell>
          <cell r="W103">
            <v>98.89</v>
          </cell>
          <cell r="X103">
            <v>247225000</v>
          </cell>
          <cell r="Y103" t="str">
            <v>18-04-2025</v>
          </cell>
          <cell r="Z103" t="str">
            <v>Exempt - GSECs</v>
          </cell>
          <cell r="AC103" t="str">
            <v>Exempt - GSECs</v>
          </cell>
          <cell r="AD103">
            <v>1615</v>
          </cell>
          <cell r="AE103" t="str">
            <v>Y</v>
          </cell>
          <cell r="AF103" t="str">
            <v>18-10-2024</v>
          </cell>
          <cell r="AG103">
            <v>6.9310999999999998</v>
          </cell>
          <cell r="AH103">
            <v>5439000</v>
          </cell>
          <cell r="AI103" t="str">
            <v>GOVT.</v>
          </cell>
          <cell r="AJ103" t="str">
            <v>Gsec</v>
          </cell>
          <cell r="AK103" t="str">
            <v>Gsec</v>
          </cell>
          <cell r="AL103" t="str">
            <v>1</v>
          </cell>
          <cell r="AM103" t="str">
            <v>1</v>
          </cell>
        </row>
        <row r="104">
          <cell r="C104" t="str">
            <v>IN0020230051</v>
          </cell>
          <cell r="D104" t="str">
            <v>7.30GSE190653</v>
          </cell>
          <cell r="E104" t="str">
            <v>GSE</v>
          </cell>
          <cell r="F104" t="str">
            <v>Govt. of India - GSec / TBL</v>
          </cell>
          <cell r="G104" t="str">
            <v>7.30% Government Securities - 19/06/2053</v>
          </cell>
          <cell r="H104">
            <v>7.3</v>
          </cell>
          <cell r="I104" t="str">
            <v>19-06-2053</v>
          </cell>
          <cell r="J104" t="str">
            <v>Sovereign</v>
          </cell>
          <cell r="K104">
            <v>12.2509</v>
          </cell>
          <cell r="L104">
            <v>100</v>
          </cell>
          <cell r="M104">
            <v>2500000</v>
          </cell>
          <cell r="N104">
            <v>7.1519000000000004</v>
          </cell>
          <cell r="O104">
            <v>103.3186</v>
          </cell>
          <cell r="P104">
            <v>258296500</v>
          </cell>
          <cell r="Q104">
            <v>7452083.3300000001</v>
          </cell>
          <cell r="R104">
            <v>0</v>
          </cell>
          <cell r="S104">
            <v>1494000</v>
          </cell>
          <cell r="T104">
            <v>265748583.33000001</v>
          </cell>
          <cell r="U104">
            <v>0.49</v>
          </cell>
          <cell r="V104">
            <v>0.5</v>
          </cell>
          <cell r="W104">
            <v>102.721</v>
          </cell>
          <cell r="X104">
            <v>256802500</v>
          </cell>
          <cell r="Y104" t="str">
            <v>19-12-2024</v>
          </cell>
          <cell r="Z104" t="str">
            <v>Exempt - GSECs</v>
          </cell>
          <cell r="AC104" t="str">
            <v>Exempt - GSECs</v>
          </cell>
          <cell r="AD104">
            <v>10443</v>
          </cell>
          <cell r="AE104" t="str">
            <v>Y</v>
          </cell>
          <cell r="AF104" t="str">
            <v>19-06-2024</v>
          </cell>
          <cell r="AG104">
            <v>7.1519000000000004</v>
          </cell>
          <cell r="AH104">
            <v>1493750</v>
          </cell>
          <cell r="AI104" t="str">
            <v>GOVT.</v>
          </cell>
          <cell r="AJ104" t="str">
            <v>Gsec</v>
          </cell>
          <cell r="AK104" t="str">
            <v>Gsec</v>
          </cell>
          <cell r="AL104" t="str">
            <v>1</v>
          </cell>
          <cell r="AM104" t="str">
            <v>1</v>
          </cell>
        </row>
        <row r="105">
          <cell r="C105" t="str">
            <v>IN0020230077</v>
          </cell>
          <cell r="D105" t="str">
            <v>7.18GSE240737</v>
          </cell>
          <cell r="E105" t="str">
            <v>GSE</v>
          </cell>
          <cell r="F105" t="str">
            <v>Govt. of India - GSec / TBL</v>
          </cell>
          <cell r="G105" t="str">
            <v>7.18%  Government Securities - 24/07/2037</v>
          </cell>
          <cell r="H105">
            <v>7.18</v>
          </cell>
          <cell r="I105" t="str">
            <v>24-07-2037</v>
          </cell>
          <cell r="J105" t="str">
            <v>Sovereign</v>
          </cell>
          <cell r="K105">
            <v>8.4002999999999997</v>
          </cell>
          <cell r="L105">
            <v>100</v>
          </cell>
          <cell r="M105">
            <v>3000000</v>
          </cell>
          <cell r="N105">
            <v>7.0457000000000001</v>
          </cell>
          <cell r="O105">
            <v>102.10890000000001</v>
          </cell>
          <cell r="P105">
            <v>306326700</v>
          </cell>
          <cell r="Q105">
            <v>6701333.3300000001</v>
          </cell>
          <cell r="R105">
            <v>0</v>
          </cell>
          <cell r="S105">
            <v>6551700</v>
          </cell>
          <cell r="T105">
            <v>313028033.32999998</v>
          </cell>
          <cell r="U105">
            <v>0.57999999999999996</v>
          </cell>
          <cell r="V105">
            <v>0.59</v>
          </cell>
          <cell r="W105">
            <v>99.924999999999997</v>
          </cell>
          <cell r="X105">
            <v>299775000</v>
          </cell>
          <cell r="Y105" t="str">
            <v>24-01-2025</v>
          </cell>
          <cell r="Z105" t="str">
            <v>Exempt - GSECs</v>
          </cell>
          <cell r="AC105" t="str">
            <v>Exempt - GSECs</v>
          </cell>
          <cell r="AD105">
            <v>4634</v>
          </cell>
          <cell r="AE105" t="str">
            <v>Y</v>
          </cell>
          <cell r="AF105" t="str">
            <v>24-07-2024</v>
          </cell>
          <cell r="AG105">
            <v>7.0457000000000001</v>
          </cell>
          <cell r="AH105">
            <v>6552300</v>
          </cell>
          <cell r="AI105" t="str">
            <v>GOVT.</v>
          </cell>
          <cell r="AJ105" t="str">
            <v>Gsec</v>
          </cell>
          <cell r="AK105" t="str">
            <v>Gsec</v>
          </cell>
          <cell r="AL105" t="str">
            <v>1</v>
          </cell>
          <cell r="AM105" t="str">
            <v>1</v>
          </cell>
        </row>
        <row r="106">
          <cell r="C106" t="str">
            <v>IN0020240019</v>
          </cell>
          <cell r="D106" t="str">
            <v>7.10GSE080434</v>
          </cell>
          <cell r="E106" t="str">
            <v>GSE</v>
          </cell>
          <cell r="F106" t="str">
            <v>Govt. of India - GSec / TBL</v>
          </cell>
          <cell r="G106" t="str">
            <v>7.10% Central Government Securities 08/04/2034</v>
          </cell>
          <cell r="H106">
            <v>7.1</v>
          </cell>
          <cell r="I106" t="str">
            <v>08-04-2034</v>
          </cell>
          <cell r="J106" t="str">
            <v>Sovereign</v>
          </cell>
          <cell r="K106">
            <v>6.9844999999999997</v>
          </cell>
          <cell r="L106">
            <v>100</v>
          </cell>
          <cell r="M106">
            <v>30500000</v>
          </cell>
          <cell r="N106">
            <v>6.9813999999999998</v>
          </cell>
          <cell r="O106">
            <v>101.60720000000001</v>
          </cell>
          <cell r="P106">
            <v>3099019600</v>
          </cell>
          <cell r="Q106">
            <v>22858055.559999999</v>
          </cell>
          <cell r="R106">
            <v>0</v>
          </cell>
          <cell r="S106">
            <v>-4599606.6100000003</v>
          </cell>
          <cell r="T106">
            <v>3121877655.5599999</v>
          </cell>
          <cell r="U106">
            <v>5.86</v>
          </cell>
          <cell r="V106">
            <v>5.9</v>
          </cell>
          <cell r="W106">
            <v>101.75800677409836</v>
          </cell>
          <cell r="X106">
            <v>3103619206.6100001</v>
          </cell>
          <cell r="Y106" t="str">
            <v>08-04-2025</v>
          </cell>
          <cell r="Z106" t="str">
            <v>Exempt - GSECs</v>
          </cell>
          <cell r="AC106" t="str">
            <v>Exempt - GSECs</v>
          </cell>
          <cell r="AD106">
            <v>3431</v>
          </cell>
          <cell r="AE106" t="str">
            <v>Y</v>
          </cell>
          <cell r="AF106" t="str">
            <v>08-10-2024</v>
          </cell>
          <cell r="AG106">
            <v>6.9813999999999998</v>
          </cell>
          <cell r="AH106">
            <v>-4581306.6100000003</v>
          </cell>
          <cell r="AI106" t="str">
            <v>GOVT.</v>
          </cell>
          <cell r="AJ106" t="str">
            <v>GSEC</v>
          </cell>
          <cell r="AK106" t="str">
            <v>GSEC</v>
          </cell>
          <cell r="AL106" t="str">
            <v>1</v>
          </cell>
          <cell r="AM106" t="str">
            <v>1</v>
          </cell>
        </row>
        <row r="107">
          <cell r="C107" t="str">
            <v>IN0020240027</v>
          </cell>
          <cell r="D107" t="str">
            <v>7.23GSE150439</v>
          </cell>
          <cell r="E107" t="str">
            <v>GSE</v>
          </cell>
          <cell r="F107" t="str">
            <v>Govt. of India - GSec / TBL</v>
          </cell>
          <cell r="G107" t="str">
            <v>7.23% Central Government Securities 15/04/2039</v>
          </cell>
          <cell r="H107">
            <v>7.23</v>
          </cell>
          <cell r="I107" t="str">
            <v>15-04-2039</v>
          </cell>
          <cell r="J107" t="str">
            <v>Sovereign</v>
          </cell>
          <cell r="K107">
            <v>9.2065000000000001</v>
          </cell>
          <cell r="L107">
            <v>100</v>
          </cell>
          <cell r="M107">
            <v>10000000</v>
          </cell>
          <cell r="N107">
            <v>7.0387000000000004</v>
          </cell>
          <cell r="O107">
            <v>102.79989999999999</v>
          </cell>
          <cell r="P107">
            <v>1027999000</v>
          </cell>
          <cell r="Q107">
            <v>6225833.3300000001</v>
          </cell>
          <cell r="R107">
            <v>0</v>
          </cell>
          <cell r="S107">
            <v>20632732.5</v>
          </cell>
          <cell r="T107">
            <v>1034224833.33</v>
          </cell>
          <cell r="U107">
            <v>1.94</v>
          </cell>
          <cell r="V107">
            <v>1.96</v>
          </cell>
          <cell r="W107">
            <v>100.73662675</v>
          </cell>
          <cell r="X107">
            <v>1007366267.5</v>
          </cell>
          <cell r="Y107" t="str">
            <v>15-04-2025</v>
          </cell>
          <cell r="Z107" t="str">
            <v>Exempt - GSECs</v>
          </cell>
          <cell r="AC107" t="str">
            <v>Exempt - GSECs</v>
          </cell>
          <cell r="AD107">
            <v>5264</v>
          </cell>
          <cell r="AE107" t="str">
            <v>Y</v>
          </cell>
          <cell r="AF107" t="str">
            <v>15-10-2024</v>
          </cell>
          <cell r="AG107">
            <v>7.0387000000000004</v>
          </cell>
          <cell r="AH107">
            <v>20637732.5</v>
          </cell>
          <cell r="AI107" t="str">
            <v>GOVT.</v>
          </cell>
          <cell r="AJ107" t="str">
            <v>GSEC</v>
          </cell>
          <cell r="AK107" t="str">
            <v>GSEC</v>
          </cell>
          <cell r="AL107" t="str">
            <v>1</v>
          </cell>
          <cell r="AM107" t="str">
            <v>1</v>
          </cell>
        </row>
        <row r="108">
          <cell r="C108" t="str">
            <v>IN0020240035</v>
          </cell>
          <cell r="D108" t="str">
            <v>7.34GSE220464</v>
          </cell>
          <cell r="E108" t="str">
            <v>GSE</v>
          </cell>
          <cell r="F108" t="str">
            <v>Govt. of India - GSec / TBL</v>
          </cell>
          <cell r="G108" t="str">
            <v>7.34% Central Government Securities 22/04/2064</v>
          </cell>
          <cell r="H108">
            <v>7.34</v>
          </cell>
          <cell r="I108" t="str">
            <v>22-04-2064</v>
          </cell>
          <cell r="J108" t="str">
            <v>Sovereign</v>
          </cell>
          <cell r="K108">
            <v>13.5962</v>
          </cell>
          <cell r="L108">
            <v>100</v>
          </cell>
          <cell r="M108">
            <v>2500000</v>
          </cell>
          <cell r="N108">
            <v>7.1776999999999997</v>
          </cell>
          <cell r="O108">
            <v>103.7933</v>
          </cell>
          <cell r="P108">
            <v>259483250</v>
          </cell>
          <cell r="Q108">
            <v>1223333.33</v>
          </cell>
          <cell r="R108">
            <v>0</v>
          </cell>
          <cell r="S108">
            <v>-1962750</v>
          </cell>
          <cell r="T108">
            <v>260706583.33000001</v>
          </cell>
          <cell r="U108">
            <v>0.49</v>
          </cell>
          <cell r="V108">
            <v>0.49</v>
          </cell>
          <cell r="W108">
            <v>104.5784</v>
          </cell>
          <cell r="X108">
            <v>261446000</v>
          </cell>
          <cell r="Y108" t="str">
            <v>22-04-2025</v>
          </cell>
          <cell r="Z108" t="str">
            <v>Exempt - GSECs</v>
          </cell>
          <cell r="AC108" t="str">
            <v>Exempt - GSECs</v>
          </cell>
          <cell r="AD108">
            <v>14403</v>
          </cell>
          <cell r="AE108" t="str">
            <v>Y</v>
          </cell>
          <cell r="AF108" t="str">
            <v>22-10-2024</v>
          </cell>
          <cell r="AG108">
            <v>7.1776999999999997</v>
          </cell>
          <cell r="AH108">
            <v>-1962000</v>
          </cell>
          <cell r="AI108" t="str">
            <v>GOVT.</v>
          </cell>
          <cell r="AJ108" t="str">
            <v>GSEC</v>
          </cell>
          <cell r="AK108" t="str">
            <v>GSEC</v>
          </cell>
          <cell r="AL108" t="str">
            <v>1</v>
          </cell>
          <cell r="AM108" t="str">
            <v>1</v>
          </cell>
        </row>
        <row r="109">
          <cell r="C109" t="str">
            <v>IN0020240076</v>
          </cell>
          <cell r="D109" t="str">
            <v>7.02GSE180631</v>
          </cell>
          <cell r="E109" t="str">
            <v>GSE</v>
          </cell>
          <cell r="F109" t="str">
            <v>Govt. of India - GSec / TBL</v>
          </cell>
          <cell r="G109" t="str">
            <v>7.02% Central Government Securities 18/06/2031</v>
          </cell>
          <cell r="H109">
            <v>7.02</v>
          </cell>
          <cell r="I109" t="str">
            <v>18-06-2031</v>
          </cell>
          <cell r="J109" t="str">
            <v>Sovereign</v>
          </cell>
          <cell r="K109">
            <v>5.2443</v>
          </cell>
          <cell r="L109">
            <v>100</v>
          </cell>
          <cell r="M109">
            <v>1500000</v>
          </cell>
          <cell r="N109">
            <v>6.968</v>
          </cell>
          <cell r="O109">
            <v>100.8771</v>
          </cell>
          <cell r="P109">
            <v>151315650</v>
          </cell>
          <cell r="Q109">
            <v>4329000</v>
          </cell>
          <cell r="R109">
            <v>0</v>
          </cell>
          <cell r="S109">
            <v>-769350</v>
          </cell>
          <cell r="T109">
            <v>155644650</v>
          </cell>
          <cell r="U109">
            <v>0.28999999999999998</v>
          </cell>
          <cell r="V109">
            <v>0.28999999999999998</v>
          </cell>
          <cell r="W109">
            <v>101.39</v>
          </cell>
          <cell r="X109">
            <v>152085000</v>
          </cell>
          <cell r="Y109" t="str">
            <v>18-12-2024</v>
          </cell>
          <cell r="Z109" t="str">
            <v>Exempt - GSECs</v>
          </cell>
          <cell r="AC109" t="str">
            <v>Exempt - GSECs</v>
          </cell>
          <cell r="AD109">
            <v>2406</v>
          </cell>
          <cell r="AE109" t="str">
            <v>Y</v>
          </cell>
          <cell r="AF109" t="str">
            <v>18-06-2024</v>
          </cell>
          <cell r="AG109">
            <v>6.968</v>
          </cell>
          <cell r="AH109">
            <v>-769200</v>
          </cell>
          <cell r="AI109" t="str">
            <v>GOVT.</v>
          </cell>
          <cell r="AJ109" t="str">
            <v>GSEC</v>
          </cell>
          <cell r="AK109" t="str">
            <v>GSEC</v>
          </cell>
          <cell r="AL109" t="str">
            <v>1</v>
          </cell>
          <cell r="AM109" t="str">
            <v>1</v>
          </cell>
        </row>
        <row r="110">
          <cell r="C110" t="str">
            <v>IN3120230484</v>
          </cell>
          <cell r="D110" t="str">
            <v>7.44TNSG20034</v>
          </cell>
          <cell r="E110" t="str">
            <v>GSE</v>
          </cell>
          <cell r="F110" t="str">
            <v>Govt. of India - GSec / TBL</v>
          </cell>
          <cell r="G110" t="str">
            <v>7.44% Tamil Nadu State Government Securities -20/03/2034</v>
          </cell>
          <cell r="H110">
            <v>7.44</v>
          </cell>
          <cell r="I110" t="str">
            <v>20-03-2034</v>
          </cell>
          <cell r="J110" t="str">
            <v>Sovereign</v>
          </cell>
          <cell r="K110">
            <v>6.8524000000000003</v>
          </cell>
          <cell r="L110">
            <v>100</v>
          </cell>
          <cell r="M110">
            <v>1270000</v>
          </cell>
          <cell r="N110">
            <v>7.2363</v>
          </cell>
          <cell r="O110">
            <v>102.2122</v>
          </cell>
          <cell r="P110">
            <v>129809494</v>
          </cell>
          <cell r="Q110">
            <v>1469813.33</v>
          </cell>
          <cell r="R110">
            <v>0</v>
          </cell>
          <cell r="S110">
            <v>2790539</v>
          </cell>
          <cell r="T110">
            <v>131279307.33</v>
          </cell>
          <cell r="U110">
            <v>0.25</v>
          </cell>
          <cell r="V110">
            <v>0.25</v>
          </cell>
          <cell r="W110">
            <v>100.0149251968504</v>
          </cell>
          <cell r="X110">
            <v>127018955</v>
          </cell>
          <cell r="Y110" t="str">
            <v>20-03-2025</v>
          </cell>
          <cell r="Z110" t="str">
            <v>Exempt - GSECs</v>
          </cell>
          <cell r="AC110" t="str">
            <v>Exempt - GSECs</v>
          </cell>
          <cell r="AD110">
            <v>3412</v>
          </cell>
          <cell r="AE110" t="str">
            <v>Y</v>
          </cell>
          <cell r="AF110" t="str">
            <v>20-09-2024</v>
          </cell>
          <cell r="AG110">
            <v>7.2363</v>
          </cell>
          <cell r="AH110">
            <v>2791301</v>
          </cell>
          <cell r="AI110" t="str">
            <v>GOVT.</v>
          </cell>
          <cell r="AJ110" t="str">
            <v>GSEC</v>
          </cell>
          <cell r="AK110" t="str">
            <v>GSEC</v>
          </cell>
          <cell r="AL110" t="str">
            <v>1</v>
          </cell>
          <cell r="AM110" t="str">
            <v>1</v>
          </cell>
        </row>
        <row r="111">
          <cell r="C111" t="str">
            <v>INE020B08EI8</v>
          </cell>
          <cell r="D111" t="str">
            <v>UT47NC314</v>
          </cell>
          <cell r="E111" t="str">
            <v>NCD</v>
          </cell>
          <cell r="F111" t="str">
            <v>REC LTD</v>
          </cell>
          <cell r="G111" t="str">
            <v>7.51% REC LTD NCD MD 31-07-2026</v>
          </cell>
          <cell r="H111">
            <v>7.51</v>
          </cell>
          <cell r="I111" t="str">
            <v>31-07-2026</v>
          </cell>
          <cell r="J111" t="str">
            <v>CRISIL AAA</v>
          </cell>
          <cell r="K111">
            <v>1.6343000000000001</v>
          </cell>
          <cell r="L111">
            <v>100000</v>
          </cell>
          <cell r="M111">
            <v>1000</v>
          </cell>
          <cell r="N111">
            <v>7.5</v>
          </cell>
          <cell r="O111">
            <v>99959.2</v>
          </cell>
          <cell r="P111">
            <v>99959200</v>
          </cell>
          <cell r="Q111">
            <v>2222136.9900000002</v>
          </cell>
          <cell r="R111">
            <v>0</v>
          </cell>
          <cell r="S111">
            <v>-40800</v>
          </cell>
          <cell r="T111">
            <v>102181336.98999999</v>
          </cell>
          <cell r="U111">
            <v>0.19</v>
          </cell>
          <cell r="V111">
            <v>0.19</v>
          </cell>
          <cell r="W111">
            <v>100000</v>
          </cell>
          <cell r="X111">
            <v>100000000</v>
          </cell>
          <cell r="Y111" t="str">
            <v>31-07-2025</v>
          </cell>
          <cell r="Z111" t="str">
            <v>Financial Services</v>
          </cell>
          <cell r="AC111" t="str">
            <v>Exempt - PFI</v>
          </cell>
          <cell r="AD111">
            <v>623</v>
          </cell>
          <cell r="AE111" t="str">
            <v>Y</v>
          </cell>
          <cell r="AF111" t="str">
            <v>31-07-2024</v>
          </cell>
          <cell r="AG111">
            <v>7.5</v>
          </cell>
          <cell r="AH111">
            <v>-40500</v>
          </cell>
          <cell r="AI111" t="str">
            <v>UT47</v>
          </cell>
          <cell r="AJ111" t="str">
            <v>A1+</v>
          </cell>
          <cell r="AK111" t="str">
            <v>AAA</v>
          </cell>
          <cell r="AL111" t="str">
            <v>1</v>
          </cell>
          <cell r="AM111" t="str">
            <v>1</v>
          </cell>
        </row>
        <row r="112">
          <cell r="C112" t="str">
            <v>INE020B08EL2</v>
          </cell>
          <cell r="D112" t="str">
            <v>UT47NC316</v>
          </cell>
          <cell r="E112" t="str">
            <v>NCD</v>
          </cell>
          <cell r="F112" t="str">
            <v>REC LTD</v>
          </cell>
          <cell r="G112" t="str">
            <v>7.44% REC NCD MD  30.04.2026</v>
          </cell>
          <cell r="H112">
            <v>7.44</v>
          </cell>
          <cell r="I112" t="str">
            <v>30-04-2026</v>
          </cell>
          <cell r="J112" t="str">
            <v>CRISIL AAA</v>
          </cell>
          <cell r="K112">
            <v>1.3944000000000001</v>
          </cell>
          <cell r="L112">
            <v>100000</v>
          </cell>
          <cell r="M112">
            <v>1000</v>
          </cell>
          <cell r="N112">
            <v>7.5</v>
          </cell>
          <cell r="O112">
            <v>99891</v>
          </cell>
          <cell r="P112">
            <v>99891000</v>
          </cell>
          <cell r="Q112">
            <v>2812931.51</v>
          </cell>
          <cell r="R112">
            <v>0</v>
          </cell>
          <cell r="S112">
            <v>180000</v>
          </cell>
          <cell r="T112">
            <v>102703931.51000001</v>
          </cell>
          <cell r="U112">
            <v>0.19</v>
          </cell>
          <cell r="V112">
            <v>0.19</v>
          </cell>
          <cell r="W112">
            <v>99711</v>
          </cell>
          <cell r="X112">
            <v>99711000</v>
          </cell>
          <cell r="Y112" t="str">
            <v>30-06-2025</v>
          </cell>
          <cell r="Z112" t="str">
            <v>Financial Services</v>
          </cell>
          <cell r="AC112" t="str">
            <v>Exempt - PFI</v>
          </cell>
          <cell r="AD112">
            <v>531</v>
          </cell>
          <cell r="AE112" t="str">
            <v>Y</v>
          </cell>
          <cell r="AF112" t="str">
            <v>30-06-2024</v>
          </cell>
          <cell r="AG112">
            <v>7.5</v>
          </cell>
          <cell r="AH112">
            <v>180000</v>
          </cell>
          <cell r="AI112" t="str">
            <v>UT47</v>
          </cell>
          <cell r="AJ112" t="str">
            <v>A1+</v>
          </cell>
          <cell r="AK112" t="str">
            <v>AAA</v>
          </cell>
          <cell r="AL112" t="str">
            <v>1</v>
          </cell>
          <cell r="AM112" t="str">
            <v>1</v>
          </cell>
        </row>
        <row r="113">
          <cell r="C113" t="str">
            <v>INE020B08FF1</v>
          </cell>
          <cell r="D113" t="str">
            <v>UT47NC321</v>
          </cell>
          <cell r="E113" t="str">
            <v>NCD</v>
          </cell>
          <cell r="F113" t="str">
            <v>REC LTD</v>
          </cell>
          <cell r="G113" t="str">
            <v>7.56% REC LTD NCD MD 31-08-2027  236-B</v>
          </cell>
          <cell r="H113">
            <v>7.56</v>
          </cell>
          <cell r="I113" t="str">
            <v>31-08-2027</v>
          </cell>
          <cell r="J113" t="str">
            <v>ICRA AAA</v>
          </cell>
          <cell r="K113">
            <v>2.5832999999999999</v>
          </cell>
          <cell r="L113">
            <v>100000</v>
          </cell>
          <cell r="M113">
            <v>2000</v>
          </cell>
          <cell r="N113">
            <v>7.4966999999999997</v>
          </cell>
          <cell r="O113">
            <v>100109</v>
          </cell>
          <cell r="P113">
            <v>200218000</v>
          </cell>
          <cell r="Q113">
            <v>3189698.63</v>
          </cell>
          <cell r="R113">
            <v>0</v>
          </cell>
          <cell r="S113">
            <v>218000</v>
          </cell>
          <cell r="T113">
            <v>203407698.63</v>
          </cell>
          <cell r="U113">
            <v>0.38</v>
          </cell>
          <cell r="V113">
            <v>0.38</v>
          </cell>
          <cell r="W113">
            <v>100000</v>
          </cell>
          <cell r="X113">
            <v>200000000</v>
          </cell>
          <cell r="Y113" t="str">
            <v>31-08-2025</v>
          </cell>
          <cell r="Z113" t="str">
            <v>Financial Services</v>
          </cell>
          <cell r="AC113" t="str">
            <v>Exempt - PFI</v>
          </cell>
          <cell r="AD113">
            <v>1019</v>
          </cell>
          <cell r="AE113" t="str">
            <v>Y</v>
          </cell>
          <cell r="AF113" t="str">
            <v>31-08-2024</v>
          </cell>
          <cell r="AG113">
            <v>7.4966999999999997</v>
          </cell>
          <cell r="AH113">
            <v>219200</v>
          </cell>
          <cell r="AI113" t="str">
            <v>UT47</v>
          </cell>
          <cell r="AJ113" t="str">
            <v>A1+</v>
          </cell>
          <cell r="AK113" t="str">
            <v>AAA</v>
          </cell>
          <cell r="AL113" t="str">
            <v>1</v>
          </cell>
          <cell r="AM113" t="str">
            <v>1</v>
          </cell>
        </row>
        <row r="114">
          <cell r="C114" t="str">
            <v>INE040A08666</v>
          </cell>
          <cell r="D114" t="str">
            <v>FI301NC231</v>
          </cell>
          <cell r="E114" t="str">
            <v>NCD</v>
          </cell>
          <cell r="F114" t="str">
            <v>HDFC Bank Ltd (Prev HDFC Ltd)</v>
          </cell>
          <cell r="G114" t="str">
            <v>7.80% HDFC Bank Ltd (Prev HDFC Ltd) NCD MD 03-05-2033</v>
          </cell>
          <cell r="H114">
            <v>7.8</v>
          </cell>
          <cell r="I114" t="str">
            <v>03-05-2033</v>
          </cell>
          <cell r="J114" t="str">
            <v>CRISIL AAA</v>
          </cell>
          <cell r="K114">
            <v>6.2759999999999998</v>
          </cell>
          <cell r="L114">
            <v>100000</v>
          </cell>
          <cell r="M114">
            <v>1500</v>
          </cell>
          <cell r="N114">
            <v>7.47</v>
          </cell>
          <cell r="O114">
            <v>101946.3</v>
          </cell>
          <cell r="P114">
            <v>152919450</v>
          </cell>
          <cell r="Q114">
            <v>6314794.5199999996</v>
          </cell>
          <cell r="R114">
            <v>0</v>
          </cell>
          <cell r="S114">
            <v>2919450</v>
          </cell>
          <cell r="T114">
            <v>159234244.52000001</v>
          </cell>
          <cell r="U114">
            <v>0.28999999999999998</v>
          </cell>
          <cell r="V114">
            <v>0.3</v>
          </cell>
          <cell r="W114">
            <v>100000</v>
          </cell>
          <cell r="X114">
            <v>150000000</v>
          </cell>
          <cell r="Y114" t="str">
            <v>03-05-2025</v>
          </cell>
          <cell r="Z114" t="str">
            <v>Financial Services</v>
          </cell>
          <cell r="AC114" t="str">
            <v>Financial Services</v>
          </cell>
          <cell r="AD114">
            <v>3091</v>
          </cell>
          <cell r="AE114" t="str">
            <v>Y</v>
          </cell>
          <cell r="AF114" t="str">
            <v>03-05-2024</v>
          </cell>
          <cell r="AG114">
            <v>7.47</v>
          </cell>
          <cell r="AH114">
            <v>2920050</v>
          </cell>
          <cell r="AI114" t="str">
            <v>FI3301</v>
          </cell>
          <cell r="AJ114" t="str">
            <v>A1+</v>
          </cell>
          <cell r="AK114" t="str">
            <v>AAA</v>
          </cell>
          <cell r="AL114" t="str">
            <v>2</v>
          </cell>
          <cell r="AM114" t="str">
            <v>1</v>
          </cell>
        </row>
        <row r="115">
          <cell r="C115" t="str">
            <v>INE040A08955</v>
          </cell>
          <cell r="D115" t="str">
            <v>FI3310NC207</v>
          </cell>
          <cell r="E115" t="str">
            <v>NCD</v>
          </cell>
          <cell r="F115" t="str">
            <v>HDFC Bank Ltd</v>
          </cell>
          <cell r="G115" t="str">
            <v>7.70% HDFC Bank Ltd NCD MD 16-05-2028  HDFC Series US-003</v>
          </cell>
          <cell r="H115">
            <v>7.7</v>
          </cell>
          <cell r="I115" t="str">
            <v>16-05-2028</v>
          </cell>
          <cell r="J115" t="str">
            <v>CRISIL AAA</v>
          </cell>
          <cell r="K115">
            <v>3.0872999999999999</v>
          </cell>
          <cell r="L115">
            <v>100000</v>
          </cell>
          <cell r="M115">
            <v>2500</v>
          </cell>
          <cell r="N115">
            <v>7.66</v>
          </cell>
          <cell r="O115">
            <v>100047.8</v>
          </cell>
          <cell r="P115">
            <v>250119500</v>
          </cell>
          <cell r="Q115">
            <v>9704109.5899999999</v>
          </cell>
          <cell r="R115">
            <v>0</v>
          </cell>
          <cell r="S115">
            <v>783000</v>
          </cell>
          <cell r="T115">
            <v>259823609.59</v>
          </cell>
          <cell r="U115">
            <v>0.47</v>
          </cell>
          <cell r="V115">
            <v>0.49</v>
          </cell>
          <cell r="W115">
            <v>99734.6</v>
          </cell>
          <cell r="X115">
            <v>249336500</v>
          </cell>
          <cell r="Y115" t="str">
            <v>16-05-2025</v>
          </cell>
          <cell r="Z115" t="str">
            <v>Financial Services</v>
          </cell>
          <cell r="AC115" t="str">
            <v>Financial Services</v>
          </cell>
          <cell r="AD115">
            <v>1278</v>
          </cell>
          <cell r="AE115" t="str">
            <v>Y</v>
          </cell>
          <cell r="AF115" t="str">
            <v>16-05-2024</v>
          </cell>
          <cell r="AG115">
            <v>7.66</v>
          </cell>
          <cell r="AH115">
            <v>783250</v>
          </cell>
          <cell r="AI115" t="str">
            <v>FI3310</v>
          </cell>
          <cell r="AJ115" t="str">
            <v>A1+</v>
          </cell>
          <cell r="AK115" t="str">
            <v>AAA</v>
          </cell>
          <cell r="AL115" t="str">
            <v>2</v>
          </cell>
          <cell r="AM115" t="str">
            <v>1</v>
          </cell>
        </row>
        <row r="116">
          <cell r="C116" t="str">
            <v>INE040A08989</v>
          </cell>
          <cell r="D116" t="str">
            <v>FI3301NC363</v>
          </cell>
          <cell r="E116" t="str">
            <v>NCD</v>
          </cell>
          <cell r="F116" t="str">
            <v>HDFC Bank Ltd (Prev HDFC Ltd)</v>
          </cell>
          <cell r="G116" t="str">
            <v>7.35% HDFC Bank Ltd (Prev HDFC Ltd) (Sr W-008) 10FEB25 NCD</v>
          </cell>
          <cell r="H116">
            <v>7.35</v>
          </cell>
          <cell r="I116" t="str">
            <v>10-02-2025</v>
          </cell>
          <cell r="J116" t="str">
            <v>ICRA AAA</v>
          </cell>
          <cell r="K116">
            <v>0.23499999999999999</v>
          </cell>
          <cell r="L116">
            <v>1000000</v>
          </cell>
          <cell r="M116">
            <v>150</v>
          </cell>
          <cell r="N116">
            <v>7.4950000000000001</v>
          </cell>
          <cell r="O116">
            <v>998693</v>
          </cell>
          <cell r="P116">
            <v>149803950</v>
          </cell>
          <cell r="Q116">
            <v>8434426.2300000004</v>
          </cell>
          <cell r="R116">
            <v>0</v>
          </cell>
          <cell r="S116">
            <v>-1650537.59</v>
          </cell>
          <cell r="T116">
            <v>158238376.22999999</v>
          </cell>
          <cell r="U116">
            <v>0.28000000000000003</v>
          </cell>
          <cell r="V116">
            <v>0.3</v>
          </cell>
          <cell r="W116">
            <v>1009696.5839333333</v>
          </cell>
          <cell r="X116">
            <v>151454487.59</v>
          </cell>
          <cell r="Y116" t="str">
            <v>10-02-2025</v>
          </cell>
          <cell r="Z116" t="str">
            <v>Financial Services</v>
          </cell>
          <cell r="AC116" t="str">
            <v>Financial Services</v>
          </cell>
          <cell r="AD116">
            <v>87</v>
          </cell>
          <cell r="AE116" t="str">
            <v>Y</v>
          </cell>
          <cell r="AF116" t="str">
            <v>10-02-2024</v>
          </cell>
          <cell r="AG116">
            <v>7.4950000000000001</v>
          </cell>
          <cell r="AH116">
            <v>-1652337.59</v>
          </cell>
          <cell r="AI116" t="str">
            <v>FI3301</v>
          </cell>
          <cell r="AJ116" t="str">
            <v>A1+</v>
          </cell>
          <cell r="AK116" t="str">
            <v>AAA</v>
          </cell>
          <cell r="AL116" t="str">
            <v>2</v>
          </cell>
          <cell r="AM116" t="str">
            <v>1</v>
          </cell>
        </row>
        <row r="117">
          <cell r="C117" t="str">
            <v>INE041007100</v>
          </cell>
          <cell r="D117" t="str">
            <v>FI3346NC200</v>
          </cell>
          <cell r="E117" t="str">
            <v>NCD</v>
          </cell>
          <cell r="F117" t="str">
            <v>Embassy Office Parks REIT</v>
          </cell>
          <cell r="G117" t="str">
            <v>7.77% Embassy Office Parks REIT NCD MD 05.06.2025 Series VII NCD Call 05-03-2025</v>
          </cell>
          <cell r="H117">
            <v>7.77</v>
          </cell>
          <cell r="I117" t="str">
            <v>05-06-2025</v>
          </cell>
          <cell r="J117" t="str">
            <v>CRISIL AAA</v>
          </cell>
          <cell r="K117">
            <v>0.53879999999999995</v>
          </cell>
          <cell r="L117">
            <v>100000</v>
          </cell>
          <cell r="M117">
            <v>1500</v>
          </cell>
          <cell r="N117">
            <v>8.0150000000000006</v>
          </cell>
          <cell r="O117">
            <v>99991.2</v>
          </cell>
          <cell r="P117">
            <v>149986800</v>
          </cell>
          <cell r="Q117">
            <v>1496680.33</v>
          </cell>
          <cell r="R117">
            <v>0</v>
          </cell>
          <cell r="S117">
            <v>-13200</v>
          </cell>
          <cell r="T117">
            <v>151483480.33000001</v>
          </cell>
          <cell r="U117">
            <v>0.28000000000000003</v>
          </cell>
          <cell r="V117">
            <v>0.28999999999999998</v>
          </cell>
          <cell r="W117">
            <v>100000</v>
          </cell>
          <cell r="X117">
            <v>150000000</v>
          </cell>
          <cell r="Y117" t="str">
            <v>31-12-2024</v>
          </cell>
          <cell r="Z117" t="str">
            <v>Realty</v>
          </cell>
          <cell r="AB117" t="str">
            <v>05-MAR-25</v>
          </cell>
          <cell r="AC117" t="str">
            <v>Realty</v>
          </cell>
          <cell r="AD117">
            <v>202</v>
          </cell>
          <cell r="AE117" t="str">
            <v>Y</v>
          </cell>
          <cell r="AF117" t="str">
            <v>30-09-2024</v>
          </cell>
          <cell r="AG117">
            <v>8.0150000000000006</v>
          </cell>
          <cell r="AH117">
            <v>-13200</v>
          </cell>
          <cell r="AI117" t="str">
            <v>FI3446</v>
          </cell>
          <cell r="AJ117" t="str">
            <v>A1+</v>
          </cell>
          <cell r="AK117" t="str">
            <v>AAA</v>
          </cell>
          <cell r="AL117" t="str">
            <v>2</v>
          </cell>
          <cell r="AM117" t="str">
            <v>1</v>
          </cell>
        </row>
        <row r="118">
          <cell r="C118" t="str">
            <v>INE053F08296</v>
          </cell>
          <cell r="D118" t="str">
            <v>FIIRFCNC213</v>
          </cell>
          <cell r="E118" t="str">
            <v>NCD</v>
          </cell>
          <cell r="F118" t="str">
            <v>Indian Railway Finance Corporation Ltd</v>
          </cell>
          <cell r="G118" t="str">
            <v>7.74%  Indian Railway Finance Corporation Ltd NCD MD 15.04.2038  BOND SERIES 170B 2038</v>
          </cell>
          <cell r="H118">
            <v>7.74</v>
          </cell>
          <cell r="I118" t="str">
            <v>15-04-2038</v>
          </cell>
          <cell r="J118" t="str">
            <v>CRISIL AAA</v>
          </cell>
          <cell r="K118">
            <v>8.8585999999999991</v>
          </cell>
          <cell r="L118">
            <v>100000</v>
          </cell>
          <cell r="M118">
            <v>1500</v>
          </cell>
          <cell r="N118">
            <v>7.1550000000000002</v>
          </cell>
          <cell r="O118">
            <v>104945.1</v>
          </cell>
          <cell r="P118">
            <v>157417650</v>
          </cell>
          <cell r="Q118">
            <v>1017863.01</v>
          </cell>
          <cell r="R118">
            <v>0</v>
          </cell>
          <cell r="S118">
            <v>7417650</v>
          </cell>
          <cell r="T118">
            <v>158435513.00999999</v>
          </cell>
          <cell r="U118">
            <v>0.3</v>
          </cell>
          <cell r="V118">
            <v>0.3</v>
          </cell>
          <cell r="W118">
            <v>100000</v>
          </cell>
          <cell r="X118">
            <v>150000000</v>
          </cell>
          <cell r="Y118" t="str">
            <v>15-10-2025</v>
          </cell>
          <cell r="Z118" t="str">
            <v>Financial Services</v>
          </cell>
          <cell r="AC118" t="str">
            <v>Exempt - PFI</v>
          </cell>
          <cell r="AD118">
            <v>4899</v>
          </cell>
          <cell r="AE118" t="str">
            <v>Y</v>
          </cell>
          <cell r="AF118" t="str">
            <v>15-10-2024</v>
          </cell>
          <cell r="AG118">
            <v>7.1550000000000002</v>
          </cell>
          <cell r="AH118">
            <v>7419450</v>
          </cell>
          <cell r="AI118" t="str">
            <v>IRFC</v>
          </cell>
          <cell r="AJ118" t="str">
            <v>A1+</v>
          </cell>
          <cell r="AK118" t="str">
            <v>AAA</v>
          </cell>
          <cell r="AL118" t="str">
            <v>1</v>
          </cell>
          <cell r="AM118" t="str">
            <v>1</v>
          </cell>
        </row>
        <row r="119">
          <cell r="C119" t="str">
            <v>INE053F08338</v>
          </cell>
          <cell r="D119" t="str">
            <v>FI3567IRFC251</v>
          </cell>
          <cell r="E119" t="str">
            <v>NCD</v>
          </cell>
          <cell r="F119" t="str">
            <v>Indian Railway Finance Corporation Ltd</v>
          </cell>
          <cell r="G119" t="str">
            <v>7.68% Indian Railway Finance Corporation Ltd NCD MD 24-11-2026</v>
          </cell>
          <cell r="H119">
            <v>7.68</v>
          </cell>
          <cell r="I119" t="str">
            <v>24-11-2026</v>
          </cell>
          <cell r="J119" t="str">
            <v>CRISIL AAA</v>
          </cell>
          <cell r="K119">
            <v>1.9358</v>
          </cell>
          <cell r="L119">
            <v>100000</v>
          </cell>
          <cell r="M119">
            <v>2000</v>
          </cell>
          <cell r="N119">
            <v>7.4</v>
          </cell>
          <cell r="O119">
            <v>100509.8</v>
          </cell>
          <cell r="P119">
            <v>201019600</v>
          </cell>
          <cell r="Q119">
            <v>1346630.14</v>
          </cell>
          <cell r="R119">
            <v>0</v>
          </cell>
          <cell r="S119">
            <v>1019600</v>
          </cell>
          <cell r="T119">
            <v>202366230.13999999</v>
          </cell>
          <cell r="U119">
            <v>0.38</v>
          </cell>
          <cell r="V119">
            <v>0.38</v>
          </cell>
          <cell r="W119">
            <v>100000</v>
          </cell>
          <cell r="X119">
            <v>200000000</v>
          </cell>
          <cell r="Y119" t="str">
            <v>15-10-2025</v>
          </cell>
          <cell r="Z119" t="str">
            <v>Financial Services</v>
          </cell>
          <cell r="AC119" t="str">
            <v>Exempt - PFI</v>
          </cell>
          <cell r="AD119">
            <v>739</v>
          </cell>
          <cell r="AE119" t="str">
            <v>Y</v>
          </cell>
          <cell r="AF119" t="str">
            <v>15-10-2024</v>
          </cell>
          <cell r="AG119">
            <v>7.4</v>
          </cell>
          <cell r="AH119">
            <v>1022200</v>
          </cell>
          <cell r="AI119" t="str">
            <v>FI3567</v>
          </cell>
          <cell r="AJ119" t="str">
            <v>A1+</v>
          </cell>
          <cell r="AK119" t="str">
            <v>AAA</v>
          </cell>
          <cell r="AL119" t="str">
            <v>1</v>
          </cell>
          <cell r="AM119" t="str">
            <v>1</v>
          </cell>
        </row>
        <row r="120">
          <cell r="C120" t="str">
            <v>INE0KUG08027</v>
          </cell>
          <cell r="D120" t="str">
            <v>FI35NBFINCD1</v>
          </cell>
          <cell r="E120" t="str">
            <v>NCD</v>
          </cell>
          <cell r="F120" t="str">
            <v>National Bank for Financing Infrastructure and Development</v>
          </cell>
          <cell r="G120" t="str">
            <v>7.65% National Bank for Financing Infrastructure and Development NCD 22-12-2038</v>
          </cell>
          <cell r="H120">
            <v>7.65</v>
          </cell>
          <cell r="I120" t="str">
            <v>22-12-2038</v>
          </cell>
          <cell r="J120" t="str">
            <v>CRISIL AAA</v>
          </cell>
          <cell r="K120">
            <v>8.6378000000000004</v>
          </cell>
          <cell r="L120">
            <v>100000</v>
          </cell>
          <cell r="M120">
            <v>2500</v>
          </cell>
          <cell r="N120">
            <v>7.1550000000000002</v>
          </cell>
          <cell r="O120">
            <v>104283.4</v>
          </cell>
          <cell r="P120">
            <v>260708500</v>
          </cell>
          <cell r="Q120">
            <v>17243852.460000001</v>
          </cell>
          <cell r="R120">
            <v>0</v>
          </cell>
          <cell r="S120">
            <v>10708500</v>
          </cell>
          <cell r="T120">
            <v>277952352.45999998</v>
          </cell>
          <cell r="U120">
            <v>0.49</v>
          </cell>
          <cell r="V120">
            <v>0.53</v>
          </cell>
          <cell r="W120">
            <v>100000</v>
          </cell>
          <cell r="X120">
            <v>250000000</v>
          </cell>
          <cell r="Y120" t="str">
            <v>22-12-2024</v>
          </cell>
          <cell r="Z120" t="str">
            <v>Financial Services</v>
          </cell>
          <cell r="AC120" t="str">
            <v>Exempt - PFI</v>
          </cell>
          <cell r="AD120">
            <v>5150</v>
          </cell>
          <cell r="AE120" t="str">
            <v>Y</v>
          </cell>
          <cell r="AF120" t="str">
            <v>22-12-2023</v>
          </cell>
          <cell r="AG120">
            <v>7.1550000000000002</v>
          </cell>
          <cell r="AH120">
            <v>10708250</v>
          </cell>
          <cell r="AI120" t="str">
            <v>FI35NBFI</v>
          </cell>
          <cell r="AJ120" t="str">
            <v>A1+</v>
          </cell>
          <cell r="AK120" t="str">
            <v>AAA</v>
          </cell>
          <cell r="AL120" t="str">
            <v>1</v>
          </cell>
          <cell r="AM120" t="str">
            <v>1</v>
          </cell>
        </row>
        <row r="121">
          <cell r="C121" t="str">
            <v>INE0KUG08035</v>
          </cell>
          <cell r="D121" t="str">
            <v>FI35NBFINCD2</v>
          </cell>
          <cell r="E121" t="str">
            <v>NCD</v>
          </cell>
          <cell r="F121" t="str">
            <v>National Bank for Financing Infrastructure and Development</v>
          </cell>
          <cell r="G121" t="str">
            <v>7.43% National Bank for Financing Infrastructure and Development NCD MD 04-07-2034 PUT DATE 040725</v>
          </cell>
          <cell r="H121">
            <v>7.43</v>
          </cell>
          <cell r="I121" t="str">
            <v>04-07-2034</v>
          </cell>
          <cell r="J121" t="str">
            <v>CRISIL AAA</v>
          </cell>
          <cell r="K121">
            <v>7.048</v>
          </cell>
          <cell r="L121">
            <v>100000</v>
          </cell>
          <cell r="M121">
            <v>2000</v>
          </cell>
          <cell r="N121">
            <v>7.2249999999999996</v>
          </cell>
          <cell r="O121">
            <v>101327.9</v>
          </cell>
          <cell r="P121">
            <v>202655800</v>
          </cell>
          <cell r="Q121">
            <v>5496164.3799999999</v>
          </cell>
          <cell r="R121">
            <v>0</v>
          </cell>
          <cell r="S121">
            <v>2655800</v>
          </cell>
          <cell r="T121">
            <v>208151964.38</v>
          </cell>
          <cell r="U121">
            <v>0.38</v>
          </cell>
          <cell r="V121">
            <v>0.39</v>
          </cell>
          <cell r="W121">
            <v>100000</v>
          </cell>
          <cell r="X121">
            <v>200000000</v>
          </cell>
          <cell r="Y121" t="str">
            <v>04-07-2025</v>
          </cell>
          <cell r="Z121" t="str">
            <v>Financial Services</v>
          </cell>
          <cell r="AA121" t="str">
            <v>04-JUL-25</v>
          </cell>
          <cell r="AC121" t="str">
            <v>Exempt - PFI</v>
          </cell>
          <cell r="AD121">
            <v>3518</v>
          </cell>
          <cell r="AE121" t="str">
            <v>Y</v>
          </cell>
          <cell r="AF121" t="str">
            <v>04-07-2024</v>
          </cell>
          <cell r="AG121">
            <v>7.2249999999999996</v>
          </cell>
          <cell r="AH121">
            <v>2656800</v>
          </cell>
          <cell r="AI121" t="str">
            <v>FI35NBFI</v>
          </cell>
          <cell r="AJ121" t="str">
            <v>A1+</v>
          </cell>
          <cell r="AK121" t="str">
            <v>AAA</v>
          </cell>
          <cell r="AL121" t="str">
            <v>1</v>
          </cell>
          <cell r="AM121" t="str">
            <v>1</v>
          </cell>
        </row>
        <row r="122">
          <cell r="C122" t="str">
            <v>INE115A07PI6</v>
          </cell>
          <cell r="D122" t="str">
            <v>FILICNC363</v>
          </cell>
          <cell r="E122" t="str">
            <v>NCD</v>
          </cell>
          <cell r="F122" t="str">
            <v>LIC Housing Finance Ltd</v>
          </cell>
          <cell r="G122" t="str">
            <v>6.17% LIC Housing Finance Ltd-NCD-03/09/2026</v>
          </cell>
          <cell r="H122">
            <v>6.17</v>
          </cell>
          <cell r="I122" t="str">
            <v>03-09-2026</v>
          </cell>
          <cell r="J122" t="str">
            <v>CRISIL AAA</v>
          </cell>
          <cell r="K122">
            <v>1.7383999999999999</v>
          </cell>
          <cell r="L122">
            <v>1000000</v>
          </cell>
          <cell r="M122">
            <v>150</v>
          </cell>
          <cell r="N122">
            <v>7.7</v>
          </cell>
          <cell r="O122">
            <v>974832</v>
          </cell>
          <cell r="P122">
            <v>146224800</v>
          </cell>
          <cell r="Q122">
            <v>1876356.16</v>
          </cell>
          <cell r="R122">
            <v>0</v>
          </cell>
          <cell r="S122">
            <v>1721400</v>
          </cell>
          <cell r="T122">
            <v>148101156.16</v>
          </cell>
          <cell r="U122">
            <v>0.28000000000000003</v>
          </cell>
          <cell r="V122">
            <v>0.28000000000000003</v>
          </cell>
          <cell r="W122">
            <v>963356</v>
          </cell>
          <cell r="X122">
            <v>144503400</v>
          </cell>
          <cell r="Y122" t="str">
            <v>03-09-2025</v>
          </cell>
          <cell r="Z122" t="str">
            <v>Financial Services</v>
          </cell>
          <cell r="AC122" t="str">
            <v>HOUSING FINANCE</v>
          </cell>
          <cell r="AD122">
            <v>657</v>
          </cell>
          <cell r="AE122" t="str">
            <v>Y</v>
          </cell>
          <cell r="AF122" t="str">
            <v>03-09-2024</v>
          </cell>
          <cell r="AG122">
            <v>7.7</v>
          </cell>
          <cell r="AH122">
            <v>1716600</v>
          </cell>
          <cell r="AI122" t="str">
            <v>FILIC</v>
          </cell>
          <cell r="AJ122" t="str">
            <v>A1+</v>
          </cell>
          <cell r="AK122" t="str">
            <v>AAA</v>
          </cell>
          <cell r="AL122" t="str">
            <v>2</v>
          </cell>
          <cell r="AM122" t="str">
            <v>1</v>
          </cell>
        </row>
        <row r="123">
          <cell r="C123" t="str">
            <v>INE115A07QH6</v>
          </cell>
          <cell r="D123" t="str">
            <v>FI35LICNC368</v>
          </cell>
          <cell r="E123" t="str">
            <v>NCD</v>
          </cell>
          <cell r="F123" t="str">
            <v>LIC Housing Finance Ltd</v>
          </cell>
          <cell r="G123" t="str">
            <v>8.0250% LIC Housing Finance Ltd- NCD 23-03-2033</v>
          </cell>
          <cell r="H123">
            <v>8.0250000000000004</v>
          </cell>
          <cell r="I123" t="str">
            <v>23-03-2033</v>
          </cell>
          <cell r="J123" t="str">
            <v>CRISIL AAA</v>
          </cell>
          <cell r="K123">
            <v>6.1292</v>
          </cell>
          <cell r="L123">
            <v>1000000</v>
          </cell>
          <cell r="M123">
            <v>250</v>
          </cell>
          <cell r="N123">
            <v>7.5049999999999999</v>
          </cell>
          <cell r="O123">
            <v>1030757</v>
          </cell>
          <cell r="P123">
            <v>257689250</v>
          </cell>
          <cell r="Q123">
            <v>13081849.32</v>
          </cell>
          <cell r="R123">
            <v>0</v>
          </cell>
          <cell r="S123">
            <v>7689250</v>
          </cell>
          <cell r="T123">
            <v>270771099.31999999</v>
          </cell>
          <cell r="U123">
            <v>0.49</v>
          </cell>
          <cell r="V123">
            <v>0.51</v>
          </cell>
          <cell r="W123">
            <v>1000000</v>
          </cell>
          <cell r="X123">
            <v>250000000</v>
          </cell>
          <cell r="Y123" t="str">
            <v>23-03-2025</v>
          </cell>
          <cell r="Z123" t="str">
            <v>Financial Services</v>
          </cell>
          <cell r="AC123" t="str">
            <v>HOUSING FINANCE</v>
          </cell>
          <cell r="AD123">
            <v>3050</v>
          </cell>
          <cell r="AE123" t="str">
            <v>Y</v>
          </cell>
          <cell r="AF123" t="str">
            <v>23-03-2024</v>
          </cell>
          <cell r="AG123">
            <v>7.5049999999999999</v>
          </cell>
          <cell r="AH123">
            <v>7690500</v>
          </cell>
          <cell r="AI123" t="str">
            <v>FILIC</v>
          </cell>
          <cell r="AJ123" t="str">
            <v>A1+</v>
          </cell>
          <cell r="AK123" t="str">
            <v>AAA</v>
          </cell>
          <cell r="AL123" t="str">
            <v>2</v>
          </cell>
          <cell r="AM123" t="str">
            <v>1</v>
          </cell>
        </row>
        <row r="124">
          <cell r="C124" t="str">
            <v>INE121A07RZ4</v>
          </cell>
          <cell r="D124" t="str">
            <v>FI3508NC224</v>
          </cell>
          <cell r="E124" t="str">
            <v>NCD</v>
          </cell>
          <cell r="F124" t="str">
            <v>Cholamandalam Investment and Finance Co Ltd</v>
          </cell>
          <cell r="G124" t="str">
            <v>8.54% Cholamandalam Investment and Finance Co Ltd NCD MD 12-04-2029 SERIES 639</v>
          </cell>
          <cell r="H124">
            <v>8.5399999999999991</v>
          </cell>
          <cell r="I124" t="str">
            <v>12-04-2029</v>
          </cell>
          <cell r="J124" t="str">
            <v>ICRA AA+</v>
          </cell>
          <cell r="K124">
            <v>3.6781999999999999</v>
          </cell>
          <cell r="L124">
            <v>100000</v>
          </cell>
          <cell r="M124">
            <v>3000</v>
          </cell>
          <cell r="N124">
            <v>8.3650000000000002</v>
          </cell>
          <cell r="O124">
            <v>100540.6</v>
          </cell>
          <cell r="P124">
            <v>301621800</v>
          </cell>
          <cell r="Q124">
            <v>15301808.220000001</v>
          </cell>
          <cell r="R124">
            <v>0</v>
          </cell>
          <cell r="S124">
            <v>-881600</v>
          </cell>
          <cell r="T124">
            <v>316923608.22000003</v>
          </cell>
          <cell r="U124">
            <v>0.56999999999999995</v>
          </cell>
          <cell r="V124">
            <v>0.6</v>
          </cell>
          <cell r="W124">
            <v>100834.46666666667</v>
          </cell>
          <cell r="X124">
            <v>302503400</v>
          </cell>
          <cell r="Y124" t="str">
            <v>12-04-2025</v>
          </cell>
          <cell r="Z124" t="str">
            <v>Financial Services</v>
          </cell>
          <cell r="AC124" t="str">
            <v>Financial Services</v>
          </cell>
          <cell r="AD124">
            <v>1609</v>
          </cell>
          <cell r="AE124" t="str">
            <v>Y</v>
          </cell>
          <cell r="AF124" t="str">
            <v>12-04-2024</v>
          </cell>
          <cell r="AG124">
            <v>8.3650000000000002</v>
          </cell>
          <cell r="AH124">
            <v>-881300</v>
          </cell>
          <cell r="AI124" t="str">
            <v>FI3508</v>
          </cell>
          <cell r="AJ124" t="str">
            <v>A1+</v>
          </cell>
          <cell r="AK124" t="str">
            <v>AA+</v>
          </cell>
          <cell r="AL124" t="str">
            <v>3</v>
          </cell>
          <cell r="AM124" t="str">
            <v>2</v>
          </cell>
        </row>
        <row r="125">
          <cell r="C125" t="str">
            <v>INE134E08MB9</v>
          </cell>
          <cell r="D125" t="str">
            <v>FI35PFNC366</v>
          </cell>
          <cell r="E125" t="str">
            <v>NCD</v>
          </cell>
          <cell r="F125" t="str">
            <v>Power Finance Corporation Ltd</v>
          </cell>
          <cell r="G125" t="str">
            <v>7.82% Power Finance Corporation Ltd NCD 06-03-2038</v>
          </cell>
          <cell r="H125">
            <v>7.82</v>
          </cell>
          <cell r="I125" t="str">
            <v>06-03-2038</v>
          </cell>
          <cell r="J125" t="str">
            <v>CRISIL AAA</v>
          </cell>
          <cell r="K125">
            <v>8.4367000000000001</v>
          </cell>
          <cell r="L125">
            <v>100000</v>
          </cell>
          <cell r="M125">
            <v>2500</v>
          </cell>
          <cell r="N125">
            <v>7.1174999999999997</v>
          </cell>
          <cell r="O125">
            <v>105858.6</v>
          </cell>
          <cell r="P125">
            <v>264646500</v>
          </cell>
          <cell r="Q125">
            <v>13658219.18</v>
          </cell>
          <cell r="R125">
            <v>0</v>
          </cell>
          <cell r="S125">
            <v>14646500</v>
          </cell>
          <cell r="T125">
            <v>278304719.18000001</v>
          </cell>
          <cell r="U125">
            <v>0.5</v>
          </cell>
          <cell r="V125">
            <v>0.53</v>
          </cell>
          <cell r="W125">
            <v>100000</v>
          </cell>
          <cell r="X125">
            <v>250000000</v>
          </cell>
          <cell r="Y125" t="str">
            <v>06-03-2025</v>
          </cell>
          <cell r="Z125" t="str">
            <v>Financial Services</v>
          </cell>
          <cell r="AC125" t="str">
            <v>Exempt - PFI</v>
          </cell>
          <cell r="AD125">
            <v>4859</v>
          </cell>
          <cell r="AE125" t="str">
            <v>Y</v>
          </cell>
          <cell r="AF125" t="str">
            <v>06-03-2024</v>
          </cell>
          <cell r="AG125">
            <v>7.1174999999999997</v>
          </cell>
          <cell r="AH125">
            <v>14647500</v>
          </cell>
          <cell r="AI125" t="str">
            <v>FI35PF</v>
          </cell>
          <cell r="AJ125" t="str">
            <v>A1+</v>
          </cell>
          <cell r="AK125" t="str">
            <v>AAA</v>
          </cell>
          <cell r="AL125" t="str">
            <v>1</v>
          </cell>
          <cell r="AM125" t="str">
            <v>1</v>
          </cell>
        </row>
        <row r="126">
          <cell r="C126" t="str">
            <v>INE134E08MC7</v>
          </cell>
          <cell r="D126" t="str">
            <v>FI35PFCNC360</v>
          </cell>
          <cell r="E126" t="str">
            <v>NCD</v>
          </cell>
          <cell r="F126" t="str">
            <v>Power Finance Corporation Ltd</v>
          </cell>
          <cell r="G126" t="str">
            <v>7.77%  Power Finance Corporation Ltd NCD 15/07/2026</v>
          </cell>
          <cell r="H126">
            <v>7.77</v>
          </cell>
          <cell r="I126" t="str">
            <v>15-07-2026</v>
          </cell>
          <cell r="J126" t="str">
            <v>CRISIL AAA</v>
          </cell>
          <cell r="K126">
            <v>1.5412999999999999</v>
          </cell>
          <cell r="L126">
            <v>100000</v>
          </cell>
          <cell r="M126">
            <v>1500</v>
          </cell>
          <cell r="N126">
            <v>7.5</v>
          </cell>
          <cell r="O126">
            <v>100401.5</v>
          </cell>
          <cell r="P126">
            <v>150602250</v>
          </cell>
          <cell r="Q126">
            <v>7919013.7000000002</v>
          </cell>
          <cell r="R126">
            <v>0</v>
          </cell>
          <cell r="S126">
            <v>602250</v>
          </cell>
          <cell r="T126">
            <v>158521263.69999999</v>
          </cell>
          <cell r="U126">
            <v>0.28000000000000003</v>
          </cell>
          <cell r="V126">
            <v>0.3</v>
          </cell>
          <cell r="W126">
            <v>100000</v>
          </cell>
          <cell r="X126">
            <v>150000000</v>
          </cell>
          <cell r="Y126" t="str">
            <v>13-03-2025</v>
          </cell>
          <cell r="Z126" t="str">
            <v>Financial Services</v>
          </cell>
          <cell r="AC126" t="str">
            <v>Exempt - PFI</v>
          </cell>
          <cell r="AD126">
            <v>607</v>
          </cell>
          <cell r="AE126" t="str">
            <v>Y</v>
          </cell>
          <cell r="AF126" t="str">
            <v>13-03-2024</v>
          </cell>
          <cell r="AG126">
            <v>7.5</v>
          </cell>
          <cell r="AH126">
            <v>602850</v>
          </cell>
          <cell r="AI126" t="str">
            <v>FI35PF</v>
          </cell>
          <cell r="AJ126" t="str">
            <v>A1+</v>
          </cell>
          <cell r="AK126" t="str">
            <v>AAA</v>
          </cell>
          <cell r="AL126" t="str">
            <v>1</v>
          </cell>
          <cell r="AM126" t="str">
            <v>1</v>
          </cell>
        </row>
        <row r="127">
          <cell r="C127" t="str">
            <v>INE134E08MJ2</v>
          </cell>
          <cell r="D127" t="str">
            <v>FI35PFNC367</v>
          </cell>
          <cell r="E127" t="str">
            <v>NCD</v>
          </cell>
          <cell r="F127" t="str">
            <v>Power Finance Corporation Ltd</v>
          </cell>
          <cell r="G127" t="str">
            <v>7.77% Power Finance Corporation Limited NCD MD 15/04/2028</v>
          </cell>
          <cell r="H127">
            <v>7.77</v>
          </cell>
          <cell r="I127" t="str">
            <v>15-04-2028</v>
          </cell>
          <cell r="J127" t="str">
            <v>CRISIL AAA</v>
          </cell>
          <cell r="K127">
            <v>2.9908999999999999</v>
          </cell>
          <cell r="L127">
            <v>100000</v>
          </cell>
          <cell r="M127">
            <v>1500</v>
          </cell>
          <cell r="N127">
            <v>7.4160000000000004</v>
          </cell>
          <cell r="O127">
            <v>100977.1</v>
          </cell>
          <cell r="P127">
            <v>151465650</v>
          </cell>
          <cell r="Q127">
            <v>7312315.0700000003</v>
          </cell>
          <cell r="R127">
            <v>0</v>
          </cell>
          <cell r="S127">
            <v>1465650</v>
          </cell>
          <cell r="T127">
            <v>158777965.06999999</v>
          </cell>
          <cell r="U127">
            <v>0.28999999999999998</v>
          </cell>
          <cell r="V127">
            <v>0.3</v>
          </cell>
          <cell r="W127">
            <v>100000</v>
          </cell>
          <cell r="X127">
            <v>150000000</v>
          </cell>
          <cell r="Y127" t="str">
            <v>31-03-2025</v>
          </cell>
          <cell r="Z127" t="str">
            <v>Financial Services</v>
          </cell>
          <cell r="AC127" t="str">
            <v>Exempt - PFI</v>
          </cell>
          <cell r="AD127">
            <v>1247</v>
          </cell>
          <cell r="AE127" t="str">
            <v>Y</v>
          </cell>
          <cell r="AF127" t="str">
            <v>31-03-2024</v>
          </cell>
          <cell r="AG127">
            <v>7.4160000000000004</v>
          </cell>
          <cell r="AH127">
            <v>1466400</v>
          </cell>
          <cell r="AI127" t="str">
            <v>FI35PF</v>
          </cell>
          <cell r="AJ127" t="str">
            <v>A1+</v>
          </cell>
          <cell r="AK127" t="str">
            <v>AAA</v>
          </cell>
          <cell r="AL127" t="str">
            <v>1</v>
          </cell>
          <cell r="AM127" t="str">
            <v>1</v>
          </cell>
        </row>
        <row r="128">
          <cell r="C128" t="str">
            <v>INE134E08MX3</v>
          </cell>
          <cell r="D128" t="str">
            <v>FI35PFCNC371</v>
          </cell>
          <cell r="E128" t="str">
            <v>NCD</v>
          </cell>
          <cell r="F128" t="str">
            <v>Power Finance Corporation Ltd</v>
          </cell>
          <cell r="G128" t="str">
            <v>7.60% Power Finance Corporation Limited NCD MD 13-04-2029</v>
          </cell>
          <cell r="H128">
            <v>7.6</v>
          </cell>
          <cell r="I128" t="str">
            <v>13-04-2029</v>
          </cell>
          <cell r="J128" t="str">
            <v>CRISIL AAA</v>
          </cell>
          <cell r="K128">
            <v>3.7084000000000001</v>
          </cell>
          <cell r="L128">
            <v>100000</v>
          </cell>
          <cell r="M128">
            <v>2500</v>
          </cell>
          <cell r="N128">
            <v>7.3669000000000002</v>
          </cell>
          <cell r="O128">
            <v>100820.6</v>
          </cell>
          <cell r="P128">
            <v>252051500</v>
          </cell>
          <cell r="Q128">
            <v>13912568.310000001</v>
          </cell>
          <cell r="R128">
            <v>0</v>
          </cell>
          <cell r="S128">
            <v>2051500</v>
          </cell>
          <cell r="T128">
            <v>265964068.31</v>
          </cell>
          <cell r="U128">
            <v>0.48</v>
          </cell>
          <cell r="V128">
            <v>0.5</v>
          </cell>
          <cell r="W128">
            <v>100000</v>
          </cell>
          <cell r="X128">
            <v>250000000</v>
          </cell>
          <cell r="Y128" t="str">
            <v>22-02-2025</v>
          </cell>
          <cell r="Z128" t="str">
            <v>Financial Services</v>
          </cell>
          <cell r="AC128" t="str">
            <v>Exempt - PFI</v>
          </cell>
          <cell r="AD128">
            <v>1610</v>
          </cell>
          <cell r="AE128" t="str">
            <v>Y</v>
          </cell>
          <cell r="AF128" t="str">
            <v>22-02-2024</v>
          </cell>
          <cell r="AG128">
            <v>7.3669000000000002</v>
          </cell>
          <cell r="AH128">
            <v>2051750</v>
          </cell>
          <cell r="AI128" t="str">
            <v>FI35PF</v>
          </cell>
          <cell r="AJ128" t="str">
            <v>A1+</v>
          </cell>
          <cell r="AK128" t="str">
            <v>AAA</v>
          </cell>
          <cell r="AL128" t="str">
            <v>1</v>
          </cell>
          <cell r="AM128" t="str">
            <v>1</v>
          </cell>
        </row>
        <row r="129">
          <cell r="C129" t="str">
            <v>INE134E08NB7</v>
          </cell>
          <cell r="D129" t="str">
            <v>FI35PFCNC372</v>
          </cell>
          <cell r="E129" t="str">
            <v>NCD</v>
          </cell>
          <cell r="F129" t="str">
            <v>Power Finance Corporation Ltd</v>
          </cell>
          <cell r="G129" t="str">
            <v>7.32% Power Finance Corporation Ltd NCD MD 15-07-2039</v>
          </cell>
          <cell r="H129">
            <v>7.32</v>
          </cell>
          <cell r="I129" t="str">
            <v>15-07-2039</v>
          </cell>
          <cell r="J129" t="str">
            <v>CRISIL AAA</v>
          </cell>
          <cell r="K129">
            <v>9.359</v>
          </cell>
          <cell r="L129">
            <v>100000</v>
          </cell>
          <cell r="M129">
            <v>2500</v>
          </cell>
          <cell r="N129">
            <v>7.1074999999999999</v>
          </cell>
          <cell r="O129">
            <v>101861</v>
          </cell>
          <cell r="P129">
            <v>254652500</v>
          </cell>
          <cell r="Q129">
            <v>4311780.82</v>
          </cell>
          <cell r="R129">
            <v>0</v>
          </cell>
          <cell r="S129">
            <v>4652500</v>
          </cell>
          <cell r="T129">
            <v>258964280.81999999</v>
          </cell>
          <cell r="U129">
            <v>0.48</v>
          </cell>
          <cell r="V129">
            <v>0.49</v>
          </cell>
          <cell r="W129">
            <v>100000</v>
          </cell>
          <cell r="X129">
            <v>250000000</v>
          </cell>
          <cell r="Y129" t="str">
            <v>22-08-2025</v>
          </cell>
          <cell r="Z129" t="str">
            <v>Financial Services</v>
          </cell>
          <cell r="AC129" t="str">
            <v>Exempt - PFI</v>
          </cell>
          <cell r="AD129">
            <v>5355</v>
          </cell>
          <cell r="AE129" t="str">
            <v>Y</v>
          </cell>
          <cell r="AF129" t="str">
            <v>22-08-2024</v>
          </cell>
          <cell r="AG129">
            <v>7.1074999999999999</v>
          </cell>
          <cell r="AH129">
            <v>4653750</v>
          </cell>
          <cell r="AI129" t="str">
            <v>FI35PF</v>
          </cell>
          <cell r="AJ129" t="str">
            <v>A1+</v>
          </cell>
          <cell r="AK129" t="str">
            <v>AAA</v>
          </cell>
          <cell r="AL129" t="str">
            <v>1</v>
          </cell>
          <cell r="AM129" t="str">
            <v>1</v>
          </cell>
        </row>
        <row r="130">
          <cell r="C130" t="str">
            <v>INE261F08DP6</v>
          </cell>
          <cell r="D130" t="str">
            <v>FI35NANC302</v>
          </cell>
          <cell r="E130" t="str">
            <v>NCD</v>
          </cell>
          <cell r="F130" t="str">
            <v>National Bank for Agriculture &amp; Rural Development</v>
          </cell>
          <cell r="G130" t="str">
            <v>7.35% NABARD NCD 08-07-2025 BOND SERIES 23B</v>
          </cell>
          <cell r="H130">
            <v>7.35</v>
          </cell>
          <cell r="I130" t="str">
            <v>08-07-2025</v>
          </cell>
          <cell r="J130" t="str">
            <v>CRISIL AAA</v>
          </cell>
          <cell r="K130">
            <v>0.6411</v>
          </cell>
          <cell r="L130">
            <v>1000000</v>
          </cell>
          <cell r="M130">
            <v>150</v>
          </cell>
          <cell r="N130">
            <v>7.63</v>
          </cell>
          <cell r="O130">
            <v>996974</v>
          </cell>
          <cell r="P130">
            <v>149546100</v>
          </cell>
          <cell r="Q130">
            <v>4228767.12</v>
          </cell>
          <cell r="R130">
            <v>0</v>
          </cell>
          <cell r="S130">
            <v>734550</v>
          </cell>
          <cell r="T130">
            <v>153774867.12</v>
          </cell>
          <cell r="U130">
            <v>0.28000000000000003</v>
          </cell>
          <cell r="V130">
            <v>0.28999999999999998</v>
          </cell>
          <cell r="W130">
            <v>992077</v>
          </cell>
          <cell r="X130">
            <v>148811550</v>
          </cell>
          <cell r="Y130" t="str">
            <v>08-07-2025</v>
          </cell>
          <cell r="Z130" t="str">
            <v>Financial Services</v>
          </cell>
          <cell r="AC130" t="str">
            <v>Exempt - PFI</v>
          </cell>
          <cell r="AD130">
            <v>235</v>
          </cell>
          <cell r="AE130" t="str">
            <v>Y</v>
          </cell>
          <cell r="AF130" t="str">
            <v>29-06-2024</v>
          </cell>
          <cell r="AG130">
            <v>7.63</v>
          </cell>
          <cell r="AH130">
            <v>734100</v>
          </cell>
          <cell r="AI130" t="str">
            <v>FI35NA</v>
          </cell>
          <cell r="AJ130" t="str">
            <v>A1+</v>
          </cell>
          <cell r="AK130" t="str">
            <v>AAA</v>
          </cell>
          <cell r="AL130" t="str">
            <v>1</v>
          </cell>
          <cell r="AM130" t="str">
            <v>1</v>
          </cell>
        </row>
        <row r="131">
          <cell r="C131" t="str">
            <v>INE261F08DV4</v>
          </cell>
          <cell r="D131" t="str">
            <v>FI35NANC297</v>
          </cell>
          <cell r="E131" t="str">
            <v>NCD</v>
          </cell>
          <cell r="F131" t="str">
            <v>National Bank for Agriculture &amp; Rural Development</v>
          </cell>
          <cell r="G131" t="str">
            <v>7.62 NABARD NCD 31 01 2028</v>
          </cell>
          <cell r="H131">
            <v>7.62</v>
          </cell>
          <cell r="I131" t="str">
            <v>31-01-2028</v>
          </cell>
          <cell r="J131" t="str">
            <v>ICRA AAA</v>
          </cell>
          <cell r="K131">
            <v>2.7953999999999999</v>
          </cell>
          <cell r="L131">
            <v>100000</v>
          </cell>
          <cell r="M131">
            <v>2500</v>
          </cell>
          <cell r="N131">
            <v>7.5015999999999998</v>
          </cell>
          <cell r="O131">
            <v>100278.8</v>
          </cell>
          <cell r="P131">
            <v>250697000</v>
          </cell>
          <cell r="Q131">
            <v>15875000</v>
          </cell>
          <cell r="R131">
            <v>0</v>
          </cell>
          <cell r="S131">
            <v>1260150</v>
          </cell>
          <cell r="T131">
            <v>266572000</v>
          </cell>
          <cell r="U131">
            <v>0.47</v>
          </cell>
          <cell r="V131">
            <v>0.5</v>
          </cell>
          <cell r="W131">
            <v>99774.74</v>
          </cell>
          <cell r="X131">
            <v>249436850</v>
          </cell>
          <cell r="Y131" t="str">
            <v>16-01-2025</v>
          </cell>
          <cell r="Z131" t="str">
            <v>Financial Services</v>
          </cell>
          <cell r="AC131" t="str">
            <v>Exempt - PFI</v>
          </cell>
          <cell r="AD131">
            <v>1172</v>
          </cell>
          <cell r="AE131" t="str">
            <v>Y</v>
          </cell>
          <cell r="AF131" t="str">
            <v>16-01-2024</v>
          </cell>
          <cell r="AG131">
            <v>7.5015999999999998</v>
          </cell>
          <cell r="AH131">
            <v>1259650</v>
          </cell>
          <cell r="AI131" t="str">
            <v>FI35NA</v>
          </cell>
          <cell r="AJ131" t="str">
            <v>A1+</v>
          </cell>
          <cell r="AK131" t="str">
            <v>AAA</v>
          </cell>
          <cell r="AL131" t="str">
            <v>1</v>
          </cell>
          <cell r="AM131" t="str">
            <v>1</v>
          </cell>
        </row>
        <row r="132">
          <cell r="C132" t="str">
            <v>INE261F08DX0</v>
          </cell>
          <cell r="D132" t="str">
            <v>FI35NANC298</v>
          </cell>
          <cell r="E132" t="str">
            <v>NCD</v>
          </cell>
          <cell r="F132" t="str">
            <v>National Bank for Agriculture &amp; Rural Development</v>
          </cell>
          <cell r="G132" t="str">
            <v>7.58%  NABARD- NCD-31/07/2026 SERIES 23H</v>
          </cell>
          <cell r="H132">
            <v>7.58</v>
          </cell>
          <cell r="I132" t="str">
            <v>31-07-2026</v>
          </cell>
          <cell r="J132" t="str">
            <v>CRISIL AAA</v>
          </cell>
          <cell r="K132">
            <v>1.6336999999999999</v>
          </cell>
          <cell r="L132">
            <v>100000</v>
          </cell>
          <cell r="M132">
            <v>3500</v>
          </cell>
          <cell r="N132">
            <v>7.5593000000000004</v>
          </cell>
          <cell r="O132">
            <v>99974.7</v>
          </cell>
          <cell r="P132">
            <v>349911450</v>
          </cell>
          <cell r="Q132">
            <v>7849972.5999999996</v>
          </cell>
          <cell r="R132">
            <v>0</v>
          </cell>
          <cell r="S132">
            <v>920050</v>
          </cell>
          <cell r="T132">
            <v>357761422.60000002</v>
          </cell>
          <cell r="U132">
            <v>0.66</v>
          </cell>
          <cell r="V132">
            <v>0.68</v>
          </cell>
          <cell r="W132">
            <v>99711.828571428559</v>
          </cell>
          <cell r="X132">
            <v>348991400</v>
          </cell>
          <cell r="Y132" t="str">
            <v>31-07-2025</v>
          </cell>
          <cell r="Z132" t="str">
            <v>Financial Services</v>
          </cell>
          <cell r="AC132" t="str">
            <v>Exempt - PFI</v>
          </cell>
          <cell r="AD132">
            <v>623</v>
          </cell>
          <cell r="AE132" t="str">
            <v>Y</v>
          </cell>
          <cell r="AF132" t="str">
            <v>31-07-2024</v>
          </cell>
          <cell r="AG132">
            <v>7.5593000000000004</v>
          </cell>
          <cell r="AH132">
            <v>921450</v>
          </cell>
          <cell r="AI132" t="str">
            <v>FI35NA</v>
          </cell>
          <cell r="AJ132" t="str">
            <v>A1+</v>
          </cell>
          <cell r="AK132" t="str">
            <v>AAA</v>
          </cell>
          <cell r="AL132" t="str">
            <v>1</v>
          </cell>
          <cell r="AM132" t="str">
            <v>1</v>
          </cell>
        </row>
        <row r="133">
          <cell r="C133" t="str">
            <v>INE261F08EF5</v>
          </cell>
          <cell r="D133" t="str">
            <v>FI35NANC304</v>
          </cell>
          <cell r="E133" t="str">
            <v>NCD</v>
          </cell>
          <cell r="F133" t="str">
            <v>National Bank for Agriculture &amp; Rural Development</v>
          </cell>
          <cell r="G133" t="str">
            <v>7.80% NABARD NCD MD 15-03-2027 Bonds Series 24E</v>
          </cell>
          <cell r="H133">
            <v>7.8</v>
          </cell>
          <cell r="I133" t="str">
            <v>15-03-2027</v>
          </cell>
          <cell r="J133" t="str">
            <v>ICRA AAA</v>
          </cell>
          <cell r="K133">
            <v>2.1151</v>
          </cell>
          <cell r="L133">
            <v>100000</v>
          </cell>
          <cell r="M133">
            <v>4500</v>
          </cell>
          <cell r="N133">
            <v>7.5</v>
          </cell>
          <cell r="O133">
            <v>100557.1</v>
          </cell>
          <cell r="P133">
            <v>452506950</v>
          </cell>
          <cell r="Q133">
            <v>23656438.359999999</v>
          </cell>
          <cell r="R133">
            <v>0</v>
          </cell>
          <cell r="S133">
            <v>1280100</v>
          </cell>
          <cell r="T133">
            <v>476163388.36000001</v>
          </cell>
          <cell r="U133">
            <v>0.86</v>
          </cell>
          <cell r="V133">
            <v>0.9</v>
          </cell>
          <cell r="W133">
            <v>100272.63333333333</v>
          </cell>
          <cell r="X133">
            <v>451226850</v>
          </cell>
          <cell r="Y133" t="str">
            <v>15-03-2025</v>
          </cell>
          <cell r="Z133" t="str">
            <v>Financial Services</v>
          </cell>
          <cell r="AC133" t="str">
            <v>Exempt - PFI</v>
          </cell>
          <cell r="AD133">
            <v>850</v>
          </cell>
          <cell r="AE133" t="str">
            <v>Y</v>
          </cell>
          <cell r="AF133" t="str">
            <v>15-03-2024</v>
          </cell>
          <cell r="AG133">
            <v>7.5</v>
          </cell>
          <cell r="AH133">
            <v>1281900</v>
          </cell>
          <cell r="AI133" t="str">
            <v>FI35NA</v>
          </cell>
          <cell r="AJ133" t="str">
            <v>A1+</v>
          </cell>
          <cell r="AK133" t="str">
            <v>AAA</v>
          </cell>
          <cell r="AL133" t="str">
            <v>1</v>
          </cell>
          <cell r="AM133" t="str">
            <v>1</v>
          </cell>
        </row>
        <row r="134">
          <cell r="C134" t="str">
            <v>INE296A07SU3</v>
          </cell>
          <cell r="D134" t="str">
            <v>FI3505NC241</v>
          </cell>
          <cell r="E134" t="str">
            <v>NCD</v>
          </cell>
          <cell r="F134" t="str">
            <v>Bajaj Finance Ltd</v>
          </cell>
          <cell r="G134" t="str">
            <v>7.87% Bajaj Finance Ltd NCD MD 08-02-2034</v>
          </cell>
          <cell r="H134">
            <v>7.87</v>
          </cell>
          <cell r="I134" t="str">
            <v>08-02-2034</v>
          </cell>
          <cell r="J134" t="str">
            <v>CRISIL AAA</v>
          </cell>
          <cell r="K134">
            <v>6.5273000000000003</v>
          </cell>
          <cell r="L134">
            <v>100000</v>
          </cell>
          <cell r="M134">
            <v>2000</v>
          </cell>
          <cell r="N134">
            <v>7.7</v>
          </cell>
          <cell r="O134">
            <v>101042.5</v>
          </cell>
          <cell r="P134">
            <v>202085000</v>
          </cell>
          <cell r="Q134">
            <v>12127540.98</v>
          </cell>
          <cell r="R134">
            <v>0</v>
          </cell>
          <cell r="S134">
            <v>1259600</v>
          </cell>
          <cell r="T134">
            <v>214212540.97999999</v>
          </cell>
          <cell r="U134">
            <v>0.38</v>
          </cell>
          <cell r="V134">
            <v>0.41</v>
          </cell>
          <cell r="W134">
            <v>100412.7</v>
          </cell>
          <cell r="X134">
            <v>200825400</v>
          </cell>
          <cell r="Y134" t="str">
            <v>08-02-2025</v>
          </cell>
          <cell r="Z134" t="str">
            <v>Financial Services</v>
          </cell>
          <cell r="AC134" t="str">
            <v>Financial Services</v>
          </cell>
          <cell r="AD134">
            <v>3372</v>
          </cell>
          <cell r="AE134" t="str">
            <v>Y</v>
          </cell>
          <cell r="AF134" t="str">
            <v>08-02-2024</v>
          </cell>
          <cell r="AG134">
            <v>7.7</v>
          </cell>
          <cell r="AH134">
            <v>1259200</v>
          </cell>
          <cell r="AI134" t="str">
            <v>FI3505</v>
          </cell>
          <cell r="AJ134" t="str">
            <v>A1+</v>
          </cell>
          <cell r="AK134" t="str">
            <v>AAA</v>
          </cell>
          <cell r="AL134" t="str">
            <v>2</v>
          </cell>
          <cell r="AM134" t="str">
            <v>1</v>
          </cell>
        </row>
        <row r="135">
          <cell r="C135" t="str">
            <v>INE296A07SV1</v>
          </cell>
          <cell r="D135" t="str">
            <v>FI3505NC240</v>
          </cell>
          <cell r="E135" t="str">
            <v>NCD</v>
          </cell>
          <cell r="F135" t="str">
            <v>Bajaj Finance Ltd</v>
          </cell>
          <cell r="G135" t="str">
            <v>7.82% BAJAJ FINANCE LTD NCD MD 31-01-2034 PUT OPTION 08-02-2027</v>
          </cell>
          <cell r="H135">
            <v>7.82</v>
          </cell>
          <cell r="I135" t="str">
            <v>31-01-2034</v>
          </cell>
          <cell r="J135" t="str">
            <v>CRISIL AAA</v>
          </cell>
          <cell r="K135">
            <v>6.5232999999999999</v>
          </cell>
          <cell r="L135">
            <v>100000</v>
          </cell>
          <cell r="M135">
            <v>3000</v>
          </cell>
          <cell r="N135">
            <v>7.71</v>
          </cell>
          <cell r="O135">
            <v>100658.2</v>
          </cell>
          <cell r="P135">
            <v>301974600</v>
          </cell>
          <cell r="Q135">
            <v>18075737.699999999</v>
          </cell>
          <cell r="R135">
            <v>0</v>
          </cell>
          <cell r="S135">
            <v>4638300</v>
          </cell>
          <cell r="T135">
            <v>320050337.69999999</v>
          </cell>
          <cell r="U135">
            <v>0.56999999999999995</v>
          </cell>
          <cell r="V135">
            <v>0.61</v>
          </cell>
          <cell r="W135">
            <v>99112.1</v>
          </cell>
          <cell r="X135">
            <v>297336300</v>
          </cell>
          <cell r="Y135" t="str">
            <v>08-02-2025</v>
          </cell>
          <cell r="Z135" t="str">
            <v>Financial Services</v>
          </cell>
          <cell r="AA135" t="str">
            <v>08-FEB-27</v>
          </cell>
          <cell r="AC135" t="str">
            <v>Financial Services</v>
          </cell>
          <cell r="AD135">
            <v>3364</v>
          </cell>
          <cell r="AE135" t="str">
            <v>Y</v>
          </cell>
          <cell r="AF135" t="str">
            <v>08-02-2024</v>
          </cell>
          <cell r="AG135">
            <v>7.71</v>
          </cell>
          <cell r="AH135">
            <v>4637700</v>
          </cell>
          <cell r="AI135" t="str">
            <v>FI3505</v>
          </cell>
          <cell r="AJ135" t="str">
            <v>A1+</v>
          </cell>
          <cell r="AK135" t="str">
            <v>AAA</v>
          </cell>
          <cell r="AL135" t="str">
            <v>2</v>
          </cell>
          <cell r="AM135" t="str">
            <v>1</v>
          </cell>
        </row>
        <row r="136">
          <cell r="C136" t="str">
            <v>INE556F08KE8</v>
          </cell>
          <cell r="D136" t="str">
            <v>FI3405NCD200</v>
          </cell>
          <cell r="E136" t="str">
            <v>NCD</v>
          </cell>
          <cell r="F136" t="str">
            <v>Small Industries Development Bank of India</v>
          </cell>
          <cell r="G136" t="str">
            <v>Small Industries Development Bank of India NCD 25 11 2025</v>
          </cell>
          <cell r="H136">
            <v>7.47</v>
          </cell>
          <cell r="I136" t="str">
            <v>25-11-2025</v>
          </cell>
          <cell r="J136" t="str">
            <v>ICRA AAA</v>
          </cell>
          <cell r="K136">
            <v>1.0227999999999999</v>
          </cell>
          <cell r="L136">
            <v>1000000</v>
          </cell>
          <cell r="M136">
            <v>100</v>
          </cell>
          <cell r="N136">
            <v>7.66</v>
          </cell>
          <cell r="O136">
            <v>998253</v>
          </cell>
          <cell r="P136">
            <v>99825300</v>
          </cell>
          <cell r="Q136">
            <v>20465.75</v>
          </cell>
          <cell r="R136">
            <v>0</v>
          </cell>
          <cell r="S136">
            <v>174800</v>
          </cell>
          <cell r="T136">
            <v>99845765.75</v>
          </cell>
          <cell r="U136">
            <v>0.19</v>
          </cell>
          <cell r="V136">
            <v>0.19</v>
          </cell>
          <cell r="W136">
            <v>996505</v>
          </cell>
          <cell r="X136">
            <v>99650500</v>
          </cell>
          <cell r="Y136" t="str">
            <v>15-11-2025</v>
          </cell>
          <cell r="Z136" t="str">
            <v>Financial Services</v>
          </cell>
          <cell r="AC136" t="str">
            <v>Exempt - PFI</v>
          </cell>
          <cell r="AD136">
            <v>375</v>
          </cell>
          <cell r="AE136" t="str">
            <v>Y</v>
          </cell>
          <cell r="AF136" t="str">
            <v>15-11-2024</v>
          </cell>
          <cell r="AG136">
            <v>7.66</v>
          </cell>
          <cell r="AH136">
            <v>175100</v>
          </cell>
          <cell r="AI136" t="str">
            <v>FI3405</v>
          </cell>
          <cell r="AJ136" t="str">
            <v>A1+</v>
          </cell>
          <cell r="AK136" t="str">
            <v>AAA</v>
          </cell>
          <cell r="AL136" t="str">
            <v>1</v>
          </cell>
          <cell r="AM136" t="str">
            <v>1</v>
          </cell>
        </row>
        <row r="137">
          <cell r="C137" t="str">
            <v>INE556F08KH1</v>
          </cell>
          <cell r="D137" t="str">
            <v>FI3405NC236</v>
          </cell>
          <cell r="E137" t="str">
            <v>NCD</v>
          </cell>
          <cell r="F137" t="str">
            <v>Small Industries Development Bank of India</v>
          </cell>
          <cell r="G137" t="str">
            <v>7.43%  Small Industries Development Bank of India NCD MD 31-08-2026 SERIES I</v>
          </cell>
          <cell r="H137">
            <v>7.43</v>
          </cell>
          <cell r="I137" t="str">
            <v>31-08-2026</v>
          </cell>
          <cell r="J137" t="str">
            <v>CRISIL AAA</v>
          </cell>
          <cell r="K137">
            <v>1.7198</v>
          </cell>
          <cell r="L137">
            <v>100000</v>
          </cell>
          <cell r="M137">
            <v>2500</v>
          </cell>
          <cell r="N137">
            <v>7.53</v>
          </cell>
          <cell r="O137">
            <v>99793.7</v>
          </cell>
          <cell r="P137">
            <v>249484250</v>
          </cell>
          <cell r="Q137">
            <v>3918561.64</v>
          </cell>
          <cell r="R137">
            <v>0</v>
          </cell>
          <cell r="S137">
            <v>-515750</v>
          </cell>
          <cell r="T137">
            <v>253402811.63999999</v>
          </cell>
          <cell r="U137">
            <v>0.47</v>
          </cell>
          <cell r="V137">
            <v>0.48</v>
          </cell>
          <cell r="W137">
            <v>100000</v>
          </cell>
          <cell r="X137">
            <v>250000000</v>
          </cell>
          <cell r="Y137" t="str">
            <v>31-08-2025</v>
          </cell>
          <cell r="Z137" t="str">
            <v>Financial Services</v>
          </cell>
          <cell r="AC137" t="str">
            <v>Exempt - PFI</v>
          </cell>
          <cell r="AD137">
            <v>654</v>
          </cell>
          <cell r="AE137" t="str">
            <v>Y</v>
          </cell>
          <cell r="AF137" t="str">
            <v>31-08-2024</v>
          </cell>
          <cell r="AG137">
            <v>7.53</v>
          </cell>
          <cell r="AH137">
            <v>-515250</v>
          </cell>
          <cell r="AI137" t="str">
            <v>FI3405</v>
          </cell>
          <cell r="AJ137" t="str">
            <v>A1+</v>
          </cell>
          <cell r="AK137" t="str">
            <v>AAA</v>
          </cell>
          <cell r="AL137" t="str">
            <v>1</v>
          </cell>
          <cell r="AM137" t="str">
            <v>1</v>
          </cell>
        </row>
        <row r="138">
          <cell r="C138" t="str">
            <v>INE556F08KM1</v>
          </cell>
          <cell r="D138" t="str">
            <v>FI3405NCD201</v>
          </cell>
          <cell r="E138" t="str">
            <v>NCD</v>
          </cell>
          <cell r="F138" t="str">
            <v>Small Industries Development Bank of India</v>
          </cell>
          <cell r="G138" t="str">
            <v>7.79% Small Industries Development Bank of India NCD 14-05-2027</v>
          </cell>
          <cell r="H138">
            <v>7.79</v>
          </cell>
          <cell r="I138" t="str">
            <v>14-05-2027</v>
          </cell>
          <cell r="J138" t="str">
            <v>CRISIL AAA</v>
          </cell>
          <cell r="K138">
            <v>2.2010999999999998</v>
          </cell>
          <cell r="L138">
            <v>100000</v>
          </cell>
          <cell r="M138">
            <v>2500</v>
          </cell>
          <cell r="N138">
            <v>7.48</v>
          </cell>
          <cell r="O138">
            <v>100712</v>
          </cell>
          <cell r="P138">
            <v>251780000</v>
          </cell>
          <cell r="Q138">
            <v>17559426.23</v>
          </cell>
          <cell r="R138">
            <v>0</v>
          </cell>
          <cell r="S138">
            <v>1780000</v>
          </cell>
          <cell r="T138">
            <v>269339426.23000002</v>
          </cell>
          <cell r="U138">
            <v>0.48</v>
          </cell>
          <cell r="V138">
            <v>0.51</v>
          </cell>
          <cell r="W138">
            <v>100000</v>
          </cell>
          <cell r="X138">
            <v>250000000</v>
          </cell>
          <cell r="Y138" t="str">
            <v>22-12-2024</v>
          </cell>
          <cell r="Z138" t="str">
            <v>Financial Services</v>
          </cell>
          <cell r="AC138" t="str">
            <v>Exempt - PFI</v>
          </cell>
          <cell r="AD138">
            <v>910</v>
          </cell>
          <cell r="AE138" t="str">
            <v>Y</v>
          </cell>
          <cell r="AF138" t="str">
            <v>22-12-2023</v>
          </cell>
          <cell r="AG138">
            <v>7.48</v>
          </cell>
          <cell r="AH138">
            <v>1780250</v>
          </cell>
          <cell r="AI138" t="str">
            <v>FI3405</v>
          </cell>
          <cell r="AJ138" t="str">
            <v>A1+</v>
          </cell>
          <cell r="AK138" t="str">
            <v>AAA</v>
          </cell>
          <cell r="AL138" t="str">
            <v>1</v>
          </cell>
          <cell r="AM138" t="str">
            <v>1</v>
          </cell>
        </row>
        <row r="139">
          <cell r="C139" t="str">
            <v>INE557F08FS6</v>
          </cell>
          <cell r="D139" t="str">
            <v>FI3335NC245</v>
          </cell>
          <cell r="E139" t="str">
            <v>NCD</v>
          </cell>
          <cell r="F139" t="str">
            <v>National Housing Bank</v>
          </cell>
          <cell r="G139" t="str">
            <v>7.40% National Housing Bank NCD MD 16-07-2026</v>
          </cell>
          <cell r="H139">
            <v>7.4</v>
          </cell>
          <cell r="I139" t="str">
            <v>16-07-2026</v>
          </cell>
          <cell r="J139" t="str">
            <v>CRISIL AAA</v>
          </cell>
          <cell r="K139">
            <v>1.5868</v>
          </cell>
          <cell r="L139">
            <v>100000</v>
          </cell>
          <cell r="M139">
            <v>1000</v>
          </cell>
          <cell r="N139">
            <v>7.45</v>
          </cell>
          <cell r="O139">
            <v>99873.3</v>
          </cell>
          <cell r="P139">
            <v>99873300</v>
          </cell>
          <cell r="Q139">
            <v>2899178.08</v>
          </cell>
          <cell r="R139">
            <v>0</v>
          </cell>
          <cell r="S139">
            <v>83000</v>
          </cell>
          <cell r="T139">
            <v>102772478.08</v>
          </cell>
          <cell r="U139">
            <v>0.19</v>
          </cell>
          <cell r="V139">
            <v>0.19</v>
          </cell>
          <cell r="W139">
            <v>99790.3</v>
          </cell>
          <cell r="X139">
            <v>99790300</v>
          </cell>
          <cell r="Y139" t="str">
            <v>26-06-2025</v>
          </cell>
          <cell r="Z139" t="str">
            <v>Financial Services</v>
          </cell>
          <cell r="AC139" t="str">
            <v>Exempt - PFI</v>
          </cell>
          <cell r="AD139">
            <v>608</v>
          </cell>
          <cell r="AE139" t="str">
            <v>Y</v>
          </cell>
          <cell r="AF139" t="str">
            <v>26-06-2024</v>
          </cell>
          <cell r="AG139">
            <v>7.45</v>
          </cell>
          <cell r="AH139">
            <v>83100</v>
          </cell>
          <cell r="AI139" t="str">
            <v>FI3335</v>
          </cell>
          <cell r="AJ139" t="str">
            <v>A1+</v>
          </cell>
          <cell r="AK139" t="str">
            <v>AAA</v>
          </cell>
          <cell r="AL139" t="str">
            <v>1</v>
          </cell>
          <cell r="AM139" t="str">
            <v>1</v>
          </cell>
        </row>
        <row r="140">
          <cell r="C140" t="str">
            <v>INE572E07183</v>
          </cell>
          <cell r="D140" t="str">
            <v>FI3333NC205</v>
          </cell>
          <cell r="E140" t="str">
            <v>NCD</v>
          </cell>
          <cell r="F140" t="str">
            <v>PNB Housing Finance Ltd</v>
          </cell>
          <cell r="G140" t="str">
            <v>8.15% PNB Housing Finance Ltd NCD MD 29-07-2027  Series LXV</v>
          </cell>
          <cell r="H140">
            <v>8.15</v>
          </cell>
          <cell r="I140" t="str">
            <v>29-07-2027</v>
          </cell>
          <cell r="J140" t="str">
            <v>IND AA+</v>
          </cell>
          <cell r="K140">
            <v>2.5070999999999999</v>
          </cell>
          <cell r="L140">
            <v>100000</v>
          </cell>
          <cell r="M140">
            <v>1000</v>
          </cell>
          <cell r="N140">
            <v>8.1232000000000006</v>
          </cell>
          <cell r="O140">
            <v>100087.5</v>
          </cell>
          <cell r="P140">
            <v>100087500</v>
          </cell>
          <cell r="Q140">
            <v>736849.32</v>
          </cell>
          <cell r="R140">
            <v>0</v>
          </cell>
          <cell r="S140">
            <v>87500</v>
          </cell>
          <cell r="T140">
            <v>100824349.31999999</v>
          </cell>
          <cell r="U140">
            <v>0.19</v>
          </cell>
          <cell r="V140">
            <v>0.19</v>
          </cell>
          <cell r="W140">
            <v>100000</v>
          </cell>
          <cell r="X140">
            <v>100000000</v>
          </cell>
          <cell r="Y140" t="str">
            <v>29-07-2025</v>
          </cell>
          <cell r="Z140" t="str">
            <v>Financial Services</v>
          </cell>
          <cell r="AC140" t="str">
            <v>Housing Finance</v>
          </cell>
          <cell r="AD140">
            <v>986</v>
          </cell>
          <cell r="AE140" t="str">
            <v>Y</v>
          </cell>
          <cell r="AF140" t="str">
            <v>11-10-2024</v>
          </cell>
          <cell r="AG140">
            <v>8.1232000000000006</v>
          </cell>
          <cell r="AH140">
            <v>88300</v>
          </cell>
          <cell r="AI140" t="str">
            <v>FI3333</v>
          </cell>
          <cell r="AJ140" t="str">
            <v>A1+</v>
          </cell>
          <cell r="AK140" t="str">
            <v>AA+</v>
          </cell>
          <cell r="AL140" t="str">
            <v>3</v>
          </cell>
          <cell r="AM140" t="str">
            <v>2</v>
          </cell>
        </row>
        <row r="141">
          <cell r="C141" t="str">
            <v>INE721A07RH9</v>
          </cell>
          <cell r="D141" t="str">
            <v>FI3539NC203</v>
          </cell>
          <cell r="E141" t="str">
            <v>NCD</v>
          </cell>
          <cell r="F141" t="str">
            <v>Shriram Finance Ltd</v>
          </cell>
          <cell r="G141" t="str">
            <v>8.75% Shriram Finance Limited NCD MD 15-06-2026 Series STFCL PPD-V 2022-23</v>
          </cell>
          <cell r="H141">
            <v>8.75</v>
          </cell>
          <cell r="I141" t="str">
            <v>15-06-2026</v>
          </cell>
          <cell r="J141" t="str">
            <v>CRISIL AA+</v>
          </cell>
          <cell r="K141">
            <v>1.4585999999999999</v>
          </cell>
          <cell r="L141">
            <v>100000</v>
          </cell>
          <cell r="M141">
            <v>3000</v>
          </cell>
          <cell r="N141">
            <v>8.8800000000000008</v>
          </cell>
          <cell r="O141">
            <v>99794.8</v>
          </cell>
          <cell r="P141">
            <v>299384400</v>
          </cell>
          <cell r="Q141">
            <v>17691780.82</v>
          </cell>
          <cell r="R141">
            <v>0</v>
          </cell>
          <cell r="S141">
            <v>829650</v>
          </cell>
          <cell r="T141">
            <v>317076180.81999999</v>
          </cell>
          <cell r="U141">
            <v>0.56999999999999995</v>
          </cell>
          <cell r="V141">
            <v>0.6</v>
          </cell>
          <cell r="W141">
            <v>99518.25</v>
          </cell>
          <cell r="X141">
            <v>298554750</v>
          </cell>
          <cell r="Y141" t="str">
            <v>15-03-2025</v>
          </cell>
          <cell r="Z141" t="str">
            <v>Financial Services</v>
          </cell>
          <cell r="AC141" t="str">
            <v>Financial Services</v>
          </cell>
          <cell r="AD141">
            <v>577</v>
          </cell>
          <cell r="AE141" t="str">
            <v>Y</v>
          </cell>
          <cell r="AF141" t="str">
            <v>15-03-2024</v>
          </cell>
          <cell r="AG141">
            <v>8.8800000000000008</v>
          </cell>
          <cell r="AH141">
            <v>827850</v>
          </cell>
          <cell r="AI141" t="str">
            <v>FI3539</v>
          </cell>
          <cell r="AJ141" t="str">
            <v>A1+</v>
          </cell>
          <cell r="AK141" t="str">
            <v>AA+</v>
          </cell>
          <cell r="AL141" t="str">
            <v>3</v>
          </cell>
          <cell r="AM141" t="str">
            <v>2</v>
          </cell>
        </row>
        <row r="142">
          <cell r="C142" t="str">
            <v>INE752E08734</v>
          </cell>
          <cell r="D142" t="str">
            <v>UT4716NC267</v>
          </cell>
          <cell r="E142" t="str">
            <v>NCD</v>
          </cell>
          <cell r="F142" t="str">
            <v>Power Grid Corporation of India Ltd</v>
          </cell>
          <cell r="G142" t="str">
            <v>7.35% Power Grid Corporation of India Ltd-NCD-12/03/2034</v>
          </cell>
          <cell r="H142">
            <v>7.35</v>
          </cell>
          <cell r="I142" t="str">
            <v>12-03-2034</v>
          </cell>
          <cell r="J142" t="str">
            <v>CRISIL AAA</v>
          </cell>
          <cell r="K142">
            <v>6.7618999999999998</v>
          </cell>
          <cell r="L142">
            <v>100000</v>
          </cell>
          <cell r="M142">
            <v>1500</v>
          </cell>
          <cell r="N142">
            <v>7.0723000000000003</v>
          </cell>
          <cell r="O142">
            <v>101816.3</v>
          </cell>
          <cell r="P142">
            <v>152724450</v>
          </cell>
          <cell r="Q142">
            <v>7521164.3799999999</v>
          </cell>
          <cell r="R142">
            <v>0</v>
          </cell>
          <cell r="S142">
            <v>2724450</v>
          </cell>
          <cell r="T142">
            <v>160245614.38</v>
          </cell>
          <cell r="U142">
            <v>0.28999999999999998</v>
          </cell>
          <cell r="V142">
            <v>0.3</v>
          </cell>
          <cell r="W142">
            <v>100000</v>
          </cell>
          <cell r="X142">
            <v>150000000</v>
          </cell>
          <cell r="Y142" t="str">
            <v>12-03-2025</v>
          </cell>
          <cell r="Z142" t="str">
            <v>Power</v>
          </cell>
          <cell r="AC142" t="str">
            <v>Power</v>
          </cell>
          <cell r="AD142">
            <v>3404</v>
          </cell>
          <cell r="AE142" t="str">
            <v>Y</v>
          </cell>
          <cell r="AF142" t="str">
            <v>12-03-2024</v>
          </cell>
          <cell r="AG142">
            <v>7.0723000000000003</v>
          </cell>
          <cell r="AH142">
            <v>2724600</v>
          </cell>
          <cell r="AI142" t="str">
            <v>UT4716</v>
          </cell>
          <cell r="AJ142" t="str">
            <v>A1+</v>
          </cell>
          <cell r="AK142" t="str">
            <v>AAA</v>
          </cell>
          <cell r="AL142" t="str">
            <v>1</v>
          </cell>
          <cell r="AM142" t="str">
            <v>1</v>
          </cell>
        </row>
        <row r="143">
          <cell r="AF143" t="str">
            <v/>
          </cell>
          <cell r="AG143" t="str">
            <v/>
          </cell>
          <cell r="AH143" t="str">
            <v/>
          </cell>
          <cell r="AI143" t="str">
            <v/>
          </cell>
          <cell r="AJ143" t="str">
            <v/>
          </cell>
          <cell r="AK143" t="str">
            <v/>
          </cell>
          <cell r="AL143" t="str">
            <v/>
          </cell>
          <cell r="AM143" t="str">
            <v/>
          </cell>
        </row>
        <row r="144">
          <cell r="C144" t="str">
            <v>IN0020220037</v>
          </cell>
          <cell r="D144" t="str">
            <v>7.38GSEC200627</v>
          </cell>
          <cell r="E144" t="str">
            <v>GSE</v>
          </cell>
          <cell r="F144" t="str">
            <v>Govt. of India - GSec / TBL</v>
          </cell>
          <cell r="G144" t="str">
            <v>7.38% Central Government Securities 20/06/2027</v>
          </cell>
          <cell r="H144">
            <v>7.38</v>
          </cell>
          <cell r="I144" t="str">
            <v>20-06-2027</v>
          </cell>
          <cell r="J144" t="str">
            <v>Sovereign</v>
          </cell>
          <cell r="K144">
            <v>2.3424</v>
          </cell>
          <cell r="L144">
            <v>100</v>
          </cell>
          <cell r="M144">
            <v>1000000</v>
          </cell>
          <cell r="N144">
            <v>6.8573000000000004</v>
          </cell>
          <cell r="O144">
            <v>101.4824</v>
          </cell>
          <cell r="P144">
            <v>101482400</v>
          </cell>
          <cell r="Q144">
            <v>2993000</v>
          </cell>
          <cell r="R144">
            <v>0</v>
          </cell>
          <cell r="S144">
            <v>142400</v>
          </cell>
          <cell r="T144">
            <v>104475400</v>
          </cell>
          <cell r="U144">
            <v>4.45</v>
          </cell>
          <cell r="V144">
            <v>4.58</v>
          </cell>
          <cell r="W144">
            <v>101.34</v>
          </cell>
          <cell r="X144">
            <v>101340000</v>
          </cell>
          <cell r="Y144" t="str">
            <v>20-12-2024</v>
          </cell>
          <cell r="Z144" t="str">
            <v>Exempt - GSECs</v>
          </cell>
          <cell r="AC144" t="str">
            <v>Exempt - GSECs</v>
          </cell>
          <cell r="AD144">
            <v>947</v>
          </cell>
          <cell r="AE144" t="str">
            <v>Y</v>
          </cell>
          <cell r="AF144" t="str">
            <v>20-06-2024</v>
          </cell>
          <cell r="AG144">
            <v>6.8573000000000004</v>
          </cell>
          <cell r="AH144">
            <v>143700</v>
          </cell>
          <cell r="AI144" t="str">
            <v>GOVT.</v>
          </cell>
          <cell r="AJ144" t="str">
            <v>Gsec</v>
          </cell>
          <cell r="AK144" t="str">
            <v>Gsec</v>
          </cell>
          <cell r="AL144" t="str">
            <v>1</v>
          </cell>
          <cell r="AM144" t="str">
            <v>1</v>
          </cell>
        </row>
        <row r="145">
          <cell r="C145" t="str">
            <v>IN002023Z489</v>
          </cell>
          <cell r="D145" t="str">
            <v>364TBL130225</v>
          </cell>
          <cell r="E145" t="str">
            <v>TBL</v>
          </cell>
          <cell r="F145" t="str">
            <v>Govt. of India - GSec / TBL</v>
          </cell>
          <cell r="G145" t="str">
            <v>364 Days- T Bill-13/02/2025</v>
          </cell>
          <cell r="H145">
            <v>0</v>
          </cell>
          <cell r="I145" t="str">
            <v>13-02-2025</v>
          </cell>
          <cell r="J145" t="str">
            <v>Sovereign</v>
          </cell>
          <cell r="K145">
            <v>0.25</v>
          </cell>
          <cell r="L145">
            <v>100</v>
          </cell>
          <cell r="M145">
            <v>500000</v>
          </cell>
          <cell r="N145">
            <v>6.4424999999999999</v>
          </cell>
          <cell r="O145">
            <v>98.453400000000002</v>
          </cell>
          <cell r="P145">
            <v>49226700</v>
          </cell>
          <cell r="Q145">
            <v>0</v>
          </cell>
          <cell r="R145">
            <v>435755.5</v>
          </cell>
          <cell r="S145">
            <v>2344.5</v>
          </cell>
          <cell r="T145">
            <v>49226700</v>
          </cell>
          <cell r="U145">
            <v>2.16</v>
          </cell>
          <cell r="V145">
            <v>2.16</v>
          </cell>
          <cell r="W145">
            <v>97.577200000000005</v>
          </cell>
          <cell r="X145">
            <v>48788600</v>
          </cell>
          <cell r="Z145" t="str">
            <v>Exempt - GSECs</v>
          </cell>
          <cell r="AC145" t="str">
            <v>Exempt - GSECs</v>
          </cell>
          <cell r="AD145">
            <v>90</v>
          </cell>
          <cell r="AE145" t="str">
            <v>Y</v>
          </cell>
          <cell r="AG145">
            <v>6.4424999999999999</v>
          </cell>
          <cell r="AH145">
            <v>2509.61</v>
          </cell>
          <cell r="AI145" t="str">
            <v>GOVT.</v>
          </cell>
          <cell r="AJ145" t="str">
            <v>GSEC</v>
          </cell>
          <cell r="AK145" t="str">
            <v>GSEC</v>
          </cell>
          <cell r="AL145" t="str">
            <v>1</v>
          </cell>
          <cell r="AM145" t="str">
            <v>1</v>
          </cell>
        </row>
        <row r="146">
          <cell r="C146" t="str">
            <v>IN002024Z032</v>
          </cell>
          <cell r="D146" t="str">
            <v>364TBL180425</v>
          </cell>
          <cell r="E146" t="str">
            <v>TBL</v>
          </cell>
          <cell r="F146" t="str">
            <v>Govt. of India - GSec / TBL</v>
          </cell>
          <cell r="G146" t="str">
            <v>364 Days - T Bill - 18/04/2025</v>
          </cell>
          <cell r="H146">
            <v>0</v>
          </cell>
          <cell r="I146" t="str">
            <v>18-04-2025</v>
          </cell>
          <cell r="J146" t="str">
            <v>Sovereign</v>
          </cell>
          <cell r="K146">
            <v>0.42</v>
          </cell>
          <cell r="L146">
            <v>100</v>
          </cell>
          <cell r="M146">
            <v>500000</v>
          </cell>
          <cell r="N146">
            <v>6.59</v>
          </cell>
          <cell r="O146">
            <v>97.311899999999994</v>
          </cell>
          <cell r="P146">
            <v>48655950</v>
          </cell>
          <cell r="Q146">
            <v>0</v>
          </cell>
          <cell r="R146">
            <v>661644.75</v>
          </cell>
          <cell r="S146">
            <v>5705.25</v>
          </cell>
          <cell r="T146">
            <v>48655950</v>
          </cell>
          <cell r="U146">
            <v>2.13</v>
          </cell>
          <cell r="V146">
            <v>2.13</v>
          </cell>
          <cell r="W146">
            <v>95.977199999999996</v>
          </cell>
          <cell r="X146">
            <v>47988600</v>
          </cell>
          <cell r="Z146" t="str">
            <v>Exempt - GSECs</v>
          </cell>
          <cell r="AC146" t="str">
            <v>Exempt - GSECs</v>
          </cell>
          <cell r="AD146">
            <v>154</v>
          </cell>
          <cell r="AE146" t="str">
            <v>Y</v>
          </cell>
          <cell r="AG146">
            <v>6.59</v>
          </cell>
          <cell r="AH146">
            <v>5977.18</v>
          </cell>
          <cell r="AI146" t="str">
            <v>GOVT.</v>
          </cell>
          <cell r="AJ146" t="str">
            <v>GSEC</v>
          </cell>
          <cell r="AK146" t="str">
            <v>GSEC</v>
          </cell>
          <cell r="AL146" t="str">
            <v>1</v>
          </cell>
          <cell r="AM146" t="str">
            <v>1</v>
          </cell>
        </row>
        <row r="147">
          <cell r="C147" t="str">
            <v>IN002024Z040</v>
          </cell>
          <cell r="D147" t="str">
            <v>364TBL240425</v>
          </cell>
          <cell r="E147" t="str">
            <v>TBL</v>
          </cell>
          <cell r="F147" t="str">
            <v>Govt. of India - GSec / TBL</v>
          </cell>
          <cell r="G147" t="str">
            <v>364 Days - T Bill - 24/04/2025</v>
          </cell>
          <cell r="H147">
            <v>0</v>
          </cell>
          <cell r="I147" t="str">
            <v>24-04-2025</v>
          </cell>
          <cell r="J147" t="str">
            <v>Sovereign</v>
          </cell>
          <cell r="K147">
            <v>0.44</v>
          </cell>
          <cell r="L147">
            <v>100</v>
          </cell>
          <cell r="M147">
            <v>500000</v>
          </cell>
          <cell r="N147">
            <v>6.59</v>
          </cell>
          <cell r="O147">
            <v>97.209400000000002</v>
          </cell>
          <cell r="P147">
            <v>48604700</v>
          </cell>
          <cell r="Q147">
            <v>0</v>
          </cell>
          <cell r="R147">
            <v>432416.41</v>
          </cell>
          <cell r="S147">
            <v>-20216.41</v>
          </cell>
          <cell r="T147">
            <v>48604700</v>
          </cell>
          <cell r="U147">
            <v>2.13</v>
          </cell>
          <cell r="V147">
            <v>2.13</v>
          </cell>
          <cell r="W147">
            <v>96.385000000000005</v>
          </cell>
          <cell r="X147">
            <v>48192500</v>
          </cell>
          <cell r="Z147" t="str">
            <v>Exempt - GSECs</v>
          </cell>
          <cell r="AC147" t="str">
            <v>Exempt - GSECs</v>
          </cell>
          <cell r="AD147">
            <v>160</v>
          </cell>
          <cell r="AE147" t="str">
            <v>Y</v>
          </cell>
          <cell r="AG147">
            <v>6.59</v>
          </cell>
          <cell r="AH147">
            <v>-20118.080000000002</v>
          </cell>
          <cell r="AI147" t="str">
            <v>GOVT.</v>
          </cell>
          <cell r="AJ147" t="str">
            <v>GSEC</v>
          </cell>
          <cell r="AK147" t="str">
            <v>GSEC</v>
          </cell>
          <cell r="AL147" t="str">
            <v>1</v>
          </cell>
          <cell r="AM147" t="str">
            <v>1</v>
          </cell>
        </row>
        <row r="148">
          <cell r="C148" t="str">
            <v>IN002024Z057</v>
          </cell>
          <cell r="D148" t="str">
            <v>364TBL020525</v>
          </cell>
          <cell r="E148" t="str">
            <v>TBL</v>
          </cell>
          <cell r="F148" t="str">
            <v>Govt. of India - GSec / TBL</v>
          </cell>
          <cell r="G148" t="str">
            <v>364 Days - T Bill - 02/05/2025</v>
          </cell>
          <cell r="H148">
            <v>0</v>
          </cell>
          <cell r="I148" t="str">
            <v>02-05-2025</v>
          </cell>
          <cell r="J148" t="str">
            <v>Sovereign</v>
          </cell>
          <cell r="K148">
            <v>0.46</v>
          </cell>
          <cell r="L148">
            <v>100</v>
          </cell>
          <cell r="M148">
            <v>500000</v>
          </cell>
          <cell r="N148">
            <v>6.6040000000000001</v>
          </cell>
          <cell r="O148">
            <v>97.067099999999996</v>
          </cell>
          <cell r="P148">
            <v>48533550</v>
          </cell>
          <cell r="Q148">
            <v>0</v>
          </cell>
          <cell r="R148">
            <v>955662.84</v>
          </cell>
          <cell r="S148">
            <v>11287.16</v>
          </cell>
          <cell r="T148">
            <v>48533550</v>
          </cell>
          <cell r="U148">
            <v>2.13</v>
          </cell>
          <cell r="V148">
            <v>2.13</v>
          </cell>
          <cell r="W148">
            <v>95.133200000000002</v>
          </cell>
          <cell r="X148">
            <v>47566600</v>
          </cell>
          <cell r="Z148" t="str">
            <v>Exempt - GSECs</v>
          </cell>
          <cell r="AC148" t="str">
            <v>Exempt - GSECs</v>
          </cell>
          <cell r="AD148">
            <v>168</v>
          </cell>
          <cell r="AE148" t="str">
            <v>Y</v>
          </cell>
          <cell r="AG148">
            <v>6.6040000000000001</v>
          </cell>
          <cell r="AH148">
            <v>11635.89</v>
          </cell>
          <cell r="AI148" t="str">
            <v>GOVT.</v>
          </cell>
          <cell r="AJ148" t="str">
            <v>GSEC</v>
          </cell>
          <cell r="AK148" t="str">
            <v>GSEC</v>
          </cell>
          <cell r="AL148" t="str">
            <v>1</v>
          </cell>
          <cell r="AM148" t="str">
            <v>1</v>
          </cell>
        </row>
        <row r="149">
          <cell r="C149" t="str">
            <v>IN002024Z248</v>
          </cell>
          <cell r="D149" t="str">
            <v>364TBL110925</v>
          </cell>
          <cell r="E149" t="str">
            <v>TBL</v>
          </cell>
          <cell r="F149" t="str">
            <v>Govt. of India - GSec / TBL</v>
          </cell>
          <cell r="G149" t="str">
            <v>364 Days - T Bill - 11/09/2025</v>
          </cell>
          <cell r="H149">
            <v>0</v>
          </cell>
          <cell r="I149" t="str">
            <v>11-09-2025</v>
          </cell>
          <cell r="J149" t="str">
            <v>Sovereign</v>
          </cell>
          <cell r="K149">
            <v>0.82</v>
          </cell>
          <cell r="L149">
            <v>100</v>
          </cell>
          <cell r="M149">
            <v>500000</v>
          </cell>
          <cell r="N149">
            <v>6.58</v>
          </cell>
          <cell r="O149">
            <v>94.885499999999993</v>
          </cell>
          <cell r="P149">
            <v>47442750</v>
          </cell>
          <cell r="Q149">
            <v>0</v>
          </cell>
          <cell r="R149">
            <v>329682.59999999998</v>
          </cell>
          <cell r="S149">
            <v>-29682.6</v>
          </cell>
          <cell r="T149">
            <v>47442750</v>
          </cell>
          <cell r="U149">
            <v>2.08</v>
          </cell>
          <cell r="V149">
            <v>2.08</v>
          </cell>
          <cell r="W149">
            <v>94.285499999999999</v>
          </cell>
          <cell r="X149">
            <v>47142750</v>
          </cell>
          <cell r="Z149" t="str">
            <v>Exempt - GSECs</v>
          </cell>
          <cell r="AC149" t="str">
            <v>Exempt - GSECs</v>
          </cell>
          <cell r="AD149">
            <v>300</v>
          </cell>
          <cell r="AE149" t="str">
            <v>Y</v>
          </cell>
          <cell r="AG149">
            <v>6.58</v>
          </cell>
          <cell r="AH149">
            <v>-29329.200000000001</v>
          </cell>
          <cell r="AI149" t="str">
            <v>GOVT.</v>
          </cell>
          <cell r="AJ149" t="str">
            <v>GSEC</v>
          </cell>
          <cell r="AK149" t="str">
            <v>GSEC</v>
          </cell>
          <cell r="AL149" t="str">
            <v>1</v>
          </cell>
          <cell r="AM149" t="str">
            <v>1</v>
          </cell>
        </row>
        <row r="150">
          <cell r="AF150" t="str">
            <v/>
          </cell>
          <cell r="AG150" t="str">
            <v/>
          </cell>
          <cell r="AH150" t="str">
            <v/>
          </cell>
          <cell r="AI150" t="str">
            <v/>
          </cell>
          <cell r="AJ150" t="str">
            <v/>
          </cell>
          <cell r="AK150" t="str">
            <v/>
          </cell>
          <cell r="AL150" t="str">
            <v/>
          </cell>
          <cell r="AM150" t="str">
            <v/>
          </cell>
        </row>
        <row r="151">
          <cell r="C151" t="str">
            <v>INE121A08PJ0</v>
          </cell>
          <cell r="D151" t="str">
            <v>FI3431CCD200</v>
          </cell>
          <cell r="E151" t="str">
            <v>CCD</v>
          </cell>
          <cell r="F151" t="str">
            <v>Cholamandalam Investment and Finance Company Ltd</v>
          </cell>
          <cell r="G151" t="str">
            <v>7.5% Cholamandalam Investment And Company Ltd CCD 30 09 2026</v>
          </cell>
          <cell r="H151">
            <v>7.5</v>
          </cell>
          <cell r="I151" t="str">
            <v>30-09-2026</v>
          </cell>
          <cell r="J151" t="str">
            <v xml:space="preserve"> UNRATED</v>
          </cell>
          <cell r="K151">
            <v>1.778502</v>
          </cell>
          <cell r="L151">
            <v>100000</v>
          </cell>
          <cell r="M151">
            <v>750</v>
          </cell>
          <cell r="N151">
            <v>8.2899999999999991</v>
          </cell>
          <cell r="O151">
            <v>100609.5961</v>
          </cell>
          <cell r="P151">
            <v>75457197.079999998</v>
          </cell>
          <cell r="Q151">
            <v>724315.07</v>
          </cell>
          <cell r="R151">
            <v>0</v>
          </cell>
          <cell r="S151">
            <v>457197.08</v>
          </cell>
          <cell r="T151">
            <v>76181512.150000006</v>
          </cell>
          <cell r="U151">
            <v>0.5</v>
          </cell>
          <cell r="V151">
            <v>0.51</v>
          </cell>
          <cell r="W151">
            <v>100000</v>
          </cell>
          <cell r="X151">
            <v>75000000</v>
          </cell>
          <cell r="Y151" t="str">
            <v>30-03-2025</v>
          </cell>
          <cell r="Z151" t="str">
            <v>Financial Services</v>
          </cell>
          <cell r="AC151" t="str">
            <v>Financial Services</v>
          </cell>
          <cell r="AD151">
            <v>684</v>
          </cell>
          <cell r="AE151" t="str">
            <v>N</v>
          </cell>
          <cell r="AF151" t="str">
            <v>30-09-2024</v>
          </cell>
          <cell r="AG151">
            <v>8.2899999999999991</v>
          </cell>
          <cell r="AH151">
            <v>455987.18</v>
          </cell>
          <cell r="AI151" t="str">
            <v>FI3431</v>
          </cell>
          <cell r="AJ151" t="str">
            <v>A1+</v>
          </cell>
          <cell r="AK151" t="str">
            <v>AA+</v>
          </cell>
          <cell r="AL151" t="str">
            <v>3</v>
          </cell>
          <cell r="AM151" t="str">
            <v>2</v>
          </cell>
        </row>
        <row r="152">
          <cell r="C152" t="str">
            <v>IN0020210160</v>
          </cell>
          <cell r="D152" t="str">
            <v>4.04GOI041028</v>
          </cell>
          <cell r="E152" t="str">
            <v>GSE</v>
          </cell>
          <cell r="F152" t="str">
            <v>Govt. of India - GSec / TBL</v>
          </cell>
          <cell r="G152" t="str">
            <v>7.30% Central Government Securities_Floating Rate Bond 04/10/2028 (Previous 7.72)</v>
          </cell>
          <cell r="H152">
            <v>7.3</v>
          </cell>
          <cell r="I152" t="str">
            <v>04-10-2028</v>
          </cell>
          <cell r="J152" t="str">
            <v>Sovereign</v>
          </cell>
          <cell r="K152">
            <v>0</v>
          </cell>
          <cell r="L152">
            <v>100</v>
          </cell>
          <cell r="M152">
            <v>500000</v>
          </cell>
          <cell r="N152">
            <v>0</v>
          </cell>
          <cell r="O152">
            <v>100.7488</v>
          </cell>
          <cell r="P152">
            <v>50374400</v>
          </cell>
          <cell r="Q152">
            <v>425833.33</v>
          </cell>
          <cell r="R152">
            <v>0</v>
          </cell>
          <cell r="S152">
            <v>1871900</v>
          </cell>
          <cell r="T152">
            <v>50800233.329999998</v>
          </cell>
          <cell r="U152">
            <v>0.33</v>
          </cell>
          <cell r="V152">
            <v>0.34</v>
          </cell>
          <cell r="W152">
            <v>97.004999999999995</v>
          </cell>
          <cell r="X152">
            <v>48502500</v>
          </cell>
          <cell r="Y152" t="str">
            <v>04-04-2025</v>
          </cell>
          <cell r="Z152" t="str">
            <v>Exempt - GSECs</v>
          </cell>
          <cell r="AC152" t="str">
            <v>Exempt - Gsecs</v>
          </cell>
          <cell r="AD152">
            <v>1419</v>
          </cell>
          <cell r="AE152" t="str">
            <v>Y</v>
          </cell>
          <cell r="AF152" t="str">
            <v>04-10-2024</v>
          </cell>
          <cell r="AG152">
            <v>0</v>
          </cell>
          <cell r="AH152">
            <v>1872200</v>
          </cell>
          <cell r="AI152" t="str">
            <v>GOVT.</v>
          </cell>
          <cell r="AJ152" t="str">
            <v>Gsec</v>
          </cell>
          <cell r="AK152" t="str">
            <v>Gsec</v>
          </cell>
          <cell r="AL152" t="str">
            <v>1</v>
          </cell>
          <cell r="AM152" t="str">
            <v>1</v>
          </cell>
        </row>
        <row r="153">
          <cell r="C153" t="str">
            <v>IN0020220037</v>
          </cell>
          <cell r="D153" t="str">
            <v>7.38GSEC200627</v>
          </cell>
          <cell r="E153" t="str">
            <v>GSE</v>
          </cell>
          <cell r="F153" t="str">
            <v>Govt. of India - GSec / TBL</v>
          </cell>
          <cell r="G153" t="str">
            <v>7.38% Central Government Securities 20/06/2027</v>
          </cell>
          <cell r="H153">
            <v>7.38</v>
          </cell>
          <cell r="I153" t="str">
            <v>20-06-2027</v>
          </cell>
          <cell r="J153" t="str">
            <v>Sovereign</v>
          </cell>
          <cell r="K153">
            <v>2.3424</v>
          </cell>
          <cell r="L153">
            <v>100</v>
          </cell>
          <cell r="M153">
            <v>3000000</v>
          </cell>
          <cell r="N153">
            <v>6.8573000000000004</v>
          </cell>
          <cell r="O153">
            <v>101.4824</v>
          </cell>
          <cell r="P153">
            <v>304447200</v>
          </cell>
          <cell r="Q153">
            <v>8979000</v>
          </cell>
          <cell r="R153">
            <v>0</v>
          </cell>
          <cell r="S153">
            <v>3303918.75</v>
          </cell>
          <cell r="T153">
            <v>313426200</v>
          </cell>
          <cell r="U153">
            <v>2.02</v>
          </cell>
          <cell r="V153">
            <v>2.08</v>
          </cell>
          <cell r="W153">
            <v>100.38109375000001</v>
          </cell>
          <cell r="X153">
            <v>301143281.25</v>
          </cell>
          <cell r="Y153" t="str">
            <v>20-12-2024</v>
          </cell>
          <cell r="Z153" t="str">
            <v>Exempt - GSECs</v>
          </cell>
          <cell r="AC153" t="str">
            <v>Exempt - GSECs</v>
          </cell>
          <cell r="AD153">
            <v>947</v>
          </cell>
          <cell r="AE153" t="str">
            <v>Y</v>
          </cell>
          <cell r="AF153" t="str">
            <v>20-06-2024</v>
          </cell>
          <cell r="AG153">
            <v>6.8573000000000004</v>
          </cell>
          <cell r="AH153">
            <v>3307818.75</v>
          </cell>
          <cell r="AI153" t="str">
            <v>GOVT.</v>
          </cell>
          <cell r="AJ153" t="str">
            <v>Gsec</v>
          </cell>
          <cell r="AK153" t="str">
            <v>Gsec</v>
          </cell>
          <cell r="AL153" t="str">
            <v>1</v>
          </cell>
          <cell r="AM153" t="str">
            <v>1</v>
          </cell>
        </row>
        <row r="154">
          <cell r="C154" t="str">
            <v>IN0020230036</v>
          </cell>
          <cell r="D154" t="str">
            <v>7.17GSE170430</v>
          </cell>
          <cell r="E154" t="str">
            <v>GSE</v>
          </cell>
          <cell r="F154" t="str">
            <v>Govt. of India - GSec / TBL</v>
          </cell>
          <cell r="G154" t="str">
            <v>7.17% Government Securities - 17/04/20230</v>
          </cell>
          <cell r="H154">
            <v>7.17</v>
          </cell>
          <cell r="I154" t="str">
            <v>17-04-2030</v>
          </cell>
          <cell r="J154" t="str">
            <v>Sovereign</v>
          </cell>
          <cell r="K154">
            <v>4.5674000000000001</v>
          </cell>
          <cell r="L154">
            <v>100</v>
          </cell>
          <cell r="M154">
            <v>1000000</v>
          </cell>
          <cell r="N154">
            <v>6.9608999999999996</v>
          </cell>
          <cell r="O154">
            <v>101.44840000000001</v>
          </cell>
          <cell r="P154">
            <v>101448400</v>
          </cell>
          <cell r="Q154">
            <v>577583.32999999996</v>
          </cell>
          <cell r="R154">
            <v>0</v>
          </cell>
          <cell r="S154">
            <v>419650</v>
          </cell>
          <cell r="T154">
            <v>102025983.33</v>
          </cell>
          <cell r="U154">
            <v>0.67</v>
          </cell>
          <cell r="V154">
            <v>0.68</v>
          </cell>
          <cell r="W154">
            <v>101.02875</v>
          </cell>
          <cell r="X154">
            <v>101028750</v>
          </cell>
          <cell r="Y154" t="str">
            <v>17-04-2025</v>
          </cell>
          <cell r="Z154" t="str">
            <v>Exempt - GSECs</v>
          </cell>
          <cell r="AC154" t="str">
            <v>Exempt - GSECs</v>
          </cell>
          <cell r="AD154">
            <v>1979</v>
          </cell>
          <cell r="AE154" t="str">
            <v>Y</v>
          </cell>
          <cell r="AF154" t="str">
            <v>17-10-2024</v>
          </cell>
          <cell r="AG154">
            <v>6.9608999999999996</v>
          </cell>
          <cell r="AH154">
            <v>420550</v>
          </cell>
          <cell r="AI154" t="str">
            <v>GOVT.</v>
          </cell>
          <cell r="AJ154" t="str">
            <v>Gsec</v>
          </cell>
          <cell r="AK154" t="str">
            <v>Gsec</v>
          </cell>
          <cell r="AL154" t="str">
            <v>1</v>
          </cell>
          <cell r="AM154" t="str">
            <v>1</v>
          </cell>
        </row>
        <row r="155">
          <cell r="C155" t="str">
            <v>IN0020230085</v>
          </cell>
          <cell r="D155" t="str">
            <v>7.18GSE140833</v>
          </cell>
          <cell r="E155" t="str">
            <v>GSE</v>
          </cell>
          <cell r="F155" t="str">
            <v>Govt. of India - GSec / TBL</v>
          </cell>
          <cell r="G155" t="str">
            <v>7.18%  Government Securities - 14/08/2033</v>
          </cell>
          <cell r="H155">
            <v>7.18</v>
          </cell>
          <cell r="I155" t="str">
            <v>14-08-2033</v>
          </cell>
          <cell r="J155" t="str">
            <v>Sovereign</v>
          </cell>
          <cell r="K155">
            <v>6.5488999999999997</v>
          </cell>
          <cell r="L155">
            <v>100</v>
          </cell>
          <cell r="M155">
            <v>1400000</v>
          </cell>
          <cell r="N155">
            <v>7.016</v>
          </cell>
          <cell r="O155">
            <v>101.81950000000001</v>
          </cell>
          <cell r="P155">
            <v>142547300</v>
          </cell>
          <cell r="Q155">
            <v>2568844.44</v>
          </cell>
          <cell r="R155">
            <v>0</v>
          </cell>
          <cell r="S155">
            <v>2315027.2799999998</v>
          </cell>
          <cell r="T155">
            <v>145116144.44</v>
          </cell>
          <cell r="U155">
            <v>0.95</v>
          </cell>
          <cell r="V155">
            <v>0.96</v>
          </cell>
          <cell r="W155">
            <v>100.16590908571429</v>
          </cell>
          <cell r="X155">
            <v>140232272.72</v>
          </cell>
          <cell r="Y155" t="str">
            <v>14-02-2025</v>
          </cell>
          <cell r="Z155" t="str">
            <v>Exempt - GSECs</v>
          </cell>
          <cell r="AC155" t="str">
            <v>Exempt - GSECs</v>
          </cell>
          <cell r="AD155">
            <v>3194</v>
          </cell>
          <cell r="AE155" t="str">
            <v>Y</v>
          </cell>
          <cell r="AF155" t="str">
            <v>14-08-2024</v>
          </cell>
          <cell r="AG155">
            <v>7.016</v>
          </cell>
          <cell r="AH155">
            <v>2315587.2799999998</v>
          </cell>
          <cell r="AI155" t="str">
            <v>GOVT.</v>
          </cell>
          <cell r="AJ155" t="str">
            <v>Gsec</v>
          </cell>
          <cell r="AK155" t="str">
            <v>Gsec</v>
          </cell>
          <cell r="AL155" t="str">
            <v>1</v>
          </cell>
          <cell r="AM155" t="str">
            <v>1</v>
          </cell>
        </row>
        <row r="156">
          <cell r="C156" t="str">
            <v>IN0020230135</v>
          </cell>
          <cell r="D156" t="str">
            <v>7.32GSE131130</v>
          </cell>
          <cell r="E156" t="str">
            <v>GSE</v>
          </cell>
          <cell r="F156" t="str">
            <v>Govt. of India - GSec / TBL</v>
          </cell>
          <cell r="G156" t="str">
            <v>7.32% Government Securities-13/11/2030</v>
          </cell>
          <cell r="H156">
            <v>7.32</v>
          </cell>
          <cell r="I156" t="str">
            <v>13-11-2030</v>
          </cell>
          <cell r="J156" t="str">
            <v>Sovereign</v>
          </cell>
          <cell r="K156">
            <v>4.9672999999999998</v>
          </cell>
          <cell r="L156">
            <v>100</v>
          </cell>
          <cell r="M156">
            <v>3000000</v>
          </cell>
          <cell r="N156">
            <v>6.9595000000000002</v>
          </cell>
          <cell r="O156">
            <v>102.3147</v>
          </cell>
          <cell r="P156">
            <v>306944100</v>
          </cell>
          <cell r="Q156">
            <v>183000</v>
          </cell>
          <cell r="R156">
            <v>0</v>
          </cell>
          <cell r="S156">
            <v>3734100</v>
          </cell>
          <cell r="T156">
            <v>307127100</v>
          </cell>
          <cell r="U156">
            <v>2.04</v>
          </cell>
          <cell r="V156">
            <v>2.04</v>
          </cell>
          <cell r="W156">
            <v>101.07</v>
          </cell>
          <cell r="X156">
            <v>303210000</v>
          </cell>
          <cell r="Y156" t="str">
            <v>13-05-2025</v>
          </cell>
          <cell r="Z156" t="str">
            <v>Exempt - GSECs</v>
          </cell>
          <cell r="AC156" t="str">
            <v>Exempt - GSECs</v>
          </cell>
          <cell r="AD156">
            <v>2189</v>
          </cell>
          <cell r="AE156" t="str">
            <v>Y</v>
          </cell>
          <cell r="AF156" t="str">
            <v>13-11-2024</v>
          </cell>
          <cell r="AG156">
            <v>6.9595000000000002</v>
          </cell>
          <cell r="AH156">
            <v>3737700</v>
          </cell>
          <cell r="AI156" t="str">
            <v>GOVT.</v>
          </cell>
          <cell r="AJ156" t="str">
            <v>Gsec</v>
          </cell>
          <cell r="AK156" t="str">
            <v>Gsec</v>
          </cell>
          <cell r="AL156" t="str">
            <v>1</v>
          </cell>
          <cell r="AM156" t="str">
            <v>1</v>
          </cell>
        </row>
        <row r="157">
          <cell r="C157" t="str">
            <v>IN0020240019</v>
          </cell>
          <cell r="D157" t="str">
            <v>7.10GSE080434</v>
          </cell>
          <cell r="E157" t="str">
            <v>GSE</v>
          </cell>
          <cell r="F157" t="str">
            <v>Govt. of India - GSec / TBL</v>
          </cell>
          <cell r="G157" t="str">
            <v>7.10% Central Government Securities 08/04/2034</v>
          </cell>
          <cell r="H157">
            <v>7.1</v>
          </cell>
          <cell r="I157" t="str">
            <v>08-04-2034</v>
          </cell>
          <cell r="J157" t="str">
            <v>Sovereign</v>
          </cell>
          <cell r="K157">
            <v>6.9844999999999997</v>
          </cell>
          <cell r="L157">
            <v>100</v>
          </cell>
          <cell r="M157">
            <v>7100000</v>
          </cell>
          <cell r="N157">
            <v>6.9813999999999998</v>
          </cell>
          <cell r="O157">
            <v>101.60720000000001</v>
          </cell>
          <cell r="P157">
            <v>721411120</v>
          </cell>
          <cell r="Q157">
            <v>5321055.5599999996</v>
          </cell>
          <cell r="R157">
            <v>0</v>
          </cell>
          <cell r="S157">
            <v>-494255</v>
          </cell>
          <cell r="T157">
            <v>726732175.55999994</v>
          </cell>
          <cell r="U157">
            <v>4.79</v>
          </cell>
          <cell r="V157">
            <v>4.83</v>
          </cell>
          <cell r="W157">
            <v>101.67681338028169</v>
          </cell>
          <cell r="X157">
            <v>721905375</v>
          </cell>
          <cell r="Y157" t="str">
            <v>08-04-2025</v>
          </cell>
          <cell r="Z157" t="str">
            <v>Exempt - GSECs</v>
          </cell>
          <cell r="AC157" t="str">
            <v>Exempt - GSECs</v>
          </cell>
          <cell r="AD157">
            <v>3431</v>
          </cell>
          <cell r="AE157" t="str">
            <v>Y</v>
          </cell>
          <cell r="AF157" t="str">
            <v>08-10-2024</v>
          </cell>
          <cell r="AG157">
            <v>6.9813999999999998</v>
          </cell>
          <cell r="AH157">
            <v>-489995</v>
          </cell>
          <cell r="AI157" t="str">
            <v>GOVT.</v>
          </cell>
          <cell r="AJ157" t="str">
            <v>GSEC</v>
          </cell>
          <cell r="AK157" t="str">
            <v>GSEC</v>
          </cell>
          <cell r="AL157" t="str">
            <v>1</v>
          </cell>
          <cell r="AM157" t="str">
            <v>1</v>
          </cell>
        </row>
        <row r="158">
          <cell r="C158" t="str">
            <v>IN0020240027</v>
          </cell>
          <cell r="D158" t="str">
            <v>7.23GSE150439</v>
          </cell>
          <cell r="E158" t="str">
            <v>GSE</v>
          </cell>
          <cell r="F158" t="str">
            <v>Govt. of India - GSec / TBL</v>
          </cell>
          <cell r="G158" t="str">
            <v>7.23% Central Government Securities 15/04/2039</v>
          </cell>
          <cell r="H158">
            <v>7.23</v>
          </cell>
          <cell r="I158" t="str">
            <v>15-04-2039</v>
          </cell>
          <cell r="J158" t="str">
            <v>Sovereign</v>
          </cell>
          <cell r="K158">
            <v>9.2065000000000001</v>
          </cell>
          <cell r="L158">
            <v>100</v>
          </cell>
          <cell r="M158">
            <v>3000000</v>
          </cell>
          <cell r="N158">
            <v>7.0387000000000004</v>
          </cell>
          <cell r="O158">
            <v>102.79989999999999</v>
          </cell>
          <cell r="P158">
            <v>308399700</v>
          </cell>
          <cell r="Q158">
            <v>1867750</v>
          </cell>
          <cell r="R158">
            <v>0</v>
          </cell>
          <cell r="S158">
            <v>6775967.5</v>
          </cell>
          <cell r="T158">
            <v>310267450</v>
          </cell>
          <cell r="U158">
            <v>2.0499999999999998</v>
          </cell>
          <cell r="V158">
            <v>2.06</v>
          </cell>
          <cell r="W158">
            <v>100.54124416666666</v>
          </cell>
          <cell r="X158">
            <v>301623732.5</v>
          </cell>
          <cell r="Y158" t="str">
            <v>15-04-2025</v>
          </cell>
          <cell r="Z158" t="str">
            <v>Exempt - GSECs</v>
          </cell>
          <cell r="AC158" t="str">
            <v>Exempt - GSECs</v>
          </cell>
          <cell r="AD158">
            <v>5264</v>
          </cell>
          <cell r="AE158" t="str">
            <v>Y</v>
          </cell>
          <cell r="AF158" t="str">
            <v>15-10-2024</v>
          </cell>
          <cell r="AG158">
            <v>7.0387000000000004</v>
          </cell>
          <cell r="AH158">
            <v>6777467.5</v>
          </cell>
          <cell r="AI158" t="str">
            <v>GOVT.</v>
          </cell>
          <cell r="AJ158" t="str">
            <v>GSEC</v>
          </cell>
          <cell r="AK158" t="str">
            <v>GSEC</v>
          </cell>
          <cell r="AL158" t="str">
            <v>1</v>
          </cell>
          <cell r="AM158" t="str">
            <v>1</v>
          </cell>
        </row>
        <row r="159">
          <cell r="C159" t="str">
            <v>IN0020240035</v>
          </cell>
          <cell r="D159" t="str">
            <v>7.34GSE220464</v>
          </cell>
          <cell r="E159" t="str">
            <v>GSE</v>
          </cell>
          <cell r="F159" t="str">
            <v>Govt. of India - GSec / TBL</v>
          </cell>
          <cell r="G159" t="str">
            <v>7.34% Central Government Securities 22/04/2064</v>
          </cell>
          <cell r="H159">
            <v>7.34</v>
          </cell>
          <cell r="I159" t="str">
            <v>22-04-2064</v>
          </cell>
          <cell r="J159" t="str">
            <v>Sovereign</v>
          </cell>
          <cell r="K159">
            <v>13.5962</v>
          </cell>
          <cell r="L159">
            <v>100</v>
          </cell>
          <cell r="M159">
            <v>1500000</v>
          </cell>
          <cell r="N159">
            <v>7.1776999999999997</v>
          </cell>
          <cell r="O159">
            <v>103.7933</v>
          </cell>
          <cell r="P159">
            <v>155689950</v>
          </cell>
          <cell r="Q159">
            <v>734000</v>
          </cell>
          <cell r="R159">
            <v>0</v>
          </cell>
          <cell r="S159">
            <v>-1558050</v>
          </cell>
          <cell r="T159">
            <v>156423950</v>
          </cell>
          <cell r="U159">
            <v>1.03</v>
          </cell>
          <cell r="V159">
            <v>1.04</v>
          </cell>
          <cell r="W159">
            <v>104.83199999999999</v>
          </cell>
          <cell r="X159">
            <v>157248000</v>
          </cell>
          <cell r="Y159" t="str">
            <v>22-04-2025</v>
          </cell>
          <cell r="Z159" t="str">
            <v>Exempt - GSECs</v>
          </cell>
          <cell r="AC159" t="str">
            <v>Exempt - GSECs</v>
          </cell>
          <cell r="AD159">
            <v>14403</v>
          </cell>
          <cell r="AE159" t="str">
            <v>Y</v>
          </cell>
          <cell r="AF159" t="str">
            <v>22-10-2024</v>
          </cell>
          <cell r="AG159">
            <v>7.1776999999999997</v>
          </cell>
          <cell r="AH159">
            <v>-1557600</v>
          </cell>
          <cell r="AI159" t="str">
            <v>GOVT.</v>
          </cell>
          <cell r="AJ159" t="str">
            <v>GSEC</v>
          </cell>
          <cell r="AK159" t="str">
            <v>GSEC</v>
          </cell>
          <cell r="AL159" t="str">
            <v>1</v>
          </cell>
          <cell r="AM159" t="str">
            <v>1</v>
          </cell>
        </row>
        <row r="160">
          <cell r="C160" t="str">
            <v>IN3120230484</v>
          </cell>
          <cell r="D160" t="str">
            <v>7.44TNSG20034</v>
          </cell>
          <cell r="E160" t="str">
            <v>GSE</v>
          </cell>
          <cell r="F160" t="str">
            <v>Govt. of India - GSec / TBL</v>
          </cell>
          <cell r="G160" t="str">
            <v>7.44% Tamil Nadu State Government Securities -20/03/2034</v>
          </cell>
          <cell r="H160">
            <v>7.44</v>
          </cell>
          <cell r="I160" t="str">
            <v>20-03-2034</v>
          </cell>
          <cell r="J160" t="str">
            <v>Sovereign</v>
          </cell>
          <cell r="K160">
            <v>6.8524000000000003</v>
          </cell>
          <cell r="L160">
            <v>100</v>
          </cell>
          <cell r="M160">
            <v>500000</v>
          </cell>
          <cell r="N160">
            <v>7.2363</v>
          </cell>
          <cell r="O160">
            <v>102.2122</v>
          </cell>
          <cell r="P160">
            <v>51106100</v>
          </cell>
          <cell r="Q160">
            <v>578666.67000000004</v>
          </cell>
          <cell r="R160">
            <v>0</v>
          </cell>
          <cell r="S160">
            <v>1100150</v>
          </cell>
          <cell r="T160">
            <v>51684766.670000002</v>
          </cell>
          <cell r="U160">
            <v>0.34</v>
          </cell>
          <cell r="V160">
            <v>0.34</v>
          </cell>
          <cell r="W160">
            <v>100.0119</v>
          </cell>
          <cell r="X160">
            <v>50005950</v>
          </cell>
          <cell r="Y160" t="str">
            <v>20-03-2025</v>
          </cell>
          <cell r="Z160" t="str">
            <v>Exempt - GSECs</v>
          </cell>
          <cell r="AC160" t="str">
            <v>Exempt - GSECs</v>
          </cell>
          <cell r="AD160">
            <v>3412</v>
          </cell>
          <cell r="AE160" t="str">
            <v>Y</v>
          </cell>
          <cell r="AF160" t="str">
            <v>20-09-2024</v>
          </cell>
          <cell r="AG160">
            <v>7.2363</v>
          </cell>
          <cell r="AH160">
            <v>1100450</v>
          </cell>
          <cell r="AI160" t="str">
            <v>GOVT.</v>
          </cell>
          <cell r="AJ160" t="str">
            <v>GSEC</v>
          </cell>
          <cell r="AK160" t="str">
            <v>GSEC</v>
          </cell>
          <cell r="AL160" t="str">
            <v>1</v>
          </cell>
          <cell r="AM160" t="str">
            <v>1</v>
          </cell>
        </row>
        <row r="161">
          <cell r="C161" t="str">
            <v>INE020B08EI8</v>
          </cell>
          <cell r="D161" t="str">
            <v>UT47NC314</v>
          </cell>
          <cell r="E161" t="str">
            <v>NCD</v>
          </cell>
          <cell r="F161" t="str">
            <v>REC LTD</v>
          </cell>
          <cell r="G161" t="str">
            <v>7.51% REC LTD NCD MD 31-07-2026</v>
          </cell>
          <cell r="H161">
            <v>7.51</v>
          </cell>
          <cell r="I161" t="str">
            <v>31-07-2026</v>
          </cell>
          <cell r="J161" t="str">
            <v>CRISIL AAA</v>
          </cell>
          <cell r="K161">
            <v>1.6343000000000001</v>
          </cell>
          <cell r="L161">
            <v>100000</v>
          </cell>
          <cell r="M161">
            <v>1000</v>
          </cell>
          <cell r="N161">
            <v>7.5</v>
          </cell>
          <cell r="O161">
            <v>99959.2</v>
          </cell>
          <cell r="P161">
            <v>99959200</v>
          </cell>
          <cell r="Q161">
            <v>2222136.9900000002</v>
          </cell>
          <cell r="R161">
            <v>0</v>
          </cell>
          <cell r="S161">
            <v>-40800</v>
          </cell>
          <cell r="T161">
            <v>102181336.98999999</v>
          </cell>
          <cell r="U161">
            <v>0.66</v>
          </cell>
          <cell r="V161">
            <v>0.68</v>
          </cell>
          <cell r="W161">
            <v>100000</v>
          </cell>
          <cell r="X161">
            <v>100000000</v>
          </cell>
          <cell r="Y161" t="str">
            <v>31-07-2025</v>
          </cell>
          <cell r="Z161" t="str">
            <v>Financial Services</v>
          </cell>
          <cell r="AC161" t="str">
            <v>Exempt - PFI</v>
          </cell>
          <cell r="AD161">
            <v>623</v>
          </cell>
          <cell r="AE161" t="str">
            <v>Y</v>
          </cell>
          <cell r="AF161" t="str">
            <v>31-07-2024</v>
          </cell>
          <cell r="AG161">
            <v>7.5</v>
          </cell>
          <cell r="AH161">
            <v>-40500</v>
          </cell>
          <cell r="AI161" t="str">
            <v>UT47</v>
          </cell>
          <cell r="AJ161" t="str">
            <v>A1+</v>
          </cell>
          <cell r="AK161" t="str">
            <v>AAA</v>
          </cell>
          <cell r="AL161" t="str">
            <v>1</v>
          </cell>
          <cell r="AM161" t="str">
            <v>1</v>
          </cell>
        </row>
        <row r="162">
          <cell r="C162" t="str">
            <v>INE020B08FD6</v>
          </cell>
          <cell r="D162" t="str">
            <v>UT47NC320</v>
          </cell>
          <cell r="E162" t="str">
            <v>NCD</v>
          </cell>
          <cell r="F162" t="str">
            <v>REC LTD</v>
          </cell>
          <cell r="G162" t="str">
            <v>7.58% REC NCD MD 31-05-2029- 234 SERIES B</v>
          </cell>
          <cell r="H162">
            <v>7.58</v>
          </cell>
          <cell r="I162" t="str">
            <v>31-05-2029</v>
          </cell>
          <cell r="J162" t="str">
            <v>ICRA AAA</v>
          </cell>
          <cell r="K162">
            <v>3.8826000000000001</v>
          </cell>
          <cell r="L162">
            <v>100000</v>
          </cell>
          <cell r="M162">
            <v>2500</v>
          </cell>
          <cell r="N162">
            <v>7.335</v>
          </cell>
          <cell r="O162">
            <v>100849.3</v>
          </cell>
          <cell r="P162">
            <v>252123250</v>
          </cell>
          <cell r="Q162">
            <v>8877945.2100000009</v>
          </cell>
          <cell r="R162">
            <v>0</v>
          </cell>
          <cell r="S162">
            <v>2123250</v>
          </cell>
          <cell r="T162">
            <v>261001195.21000001</v>
          </cell>
          <cell r="U162">
            <v>1.67</v>
          </cell>
          <cell r="V162">
            <v>1.73</v>
          </cell>
          <cell r="W162">
            <v>100000</v>
          </cell>
          <cell r="X162">
            <v>250000000</v>
          </cell>
          <cell r="Y162" t="str">
            <v>31-05-2025</v>
          </cell>
          <cell r="Z162" t="str">
            <v>Financial Services</v>
          </cell>
          <cell r="AC162" t="str">
            <v>Exempt - PFI</v>
          </cell>
          <cell r="AD162">
            <v>1658</v>
          </cell>
          <cell r="AE162" t="str">
            <v>Y</v>
          </cell>
          <cell r="AF162" t="str">
            <v>29-05-2024</v>
          </cell>
          <cell r="AG162">
            <v>7.335</v>
          </cell>
          <cell r="AH162">
            <v>2124500</v>
          </cell>
          <cell r="AI162" t="str">
            <v>UT47</v>
          </cell>
          <cell r="AJ162" t="str">
            <v>A1+</v>
          </cell>
          <cell r="AK162" t="str">
            <v>AAA</v>
          </cell>
          <cell r="AL162" t="str">
            <v>1</v>
          </cell>
          <cell r="AM162" t="str">
            <v>1</v>
          </cell>
        </row>
        <row r="163">
          <cell r="C163" t="str">
            <v>INE040A08666</v>
          </cell>
          <cell r="D163" t="str">
            <v>FI301NC231</v>
          </cell>
          <cell r="E163" t="str">
            <v>NCD</v>
          </cell>
          <cell r="F163" t="str">
            <v>HDFC Bank Ltd (Prev HDFC Ltd)</v>
          </cell>
          <cell r="G163" t="str">
            <v>7.80% HDFC Bank Ltd (Prev HDFC Ltd) NCD MD 03-05-2033</v>
          </cell>
          <cell r="H163">
            <v>7.8</v>
          </cell>
          <cell r="I163" t="str">
            <v>03-05-2033</v>
          </cell>
          <cell r="J163" t="str">
            <v>CRISIL AAA</v>
          </cell>
          <cell r="K163">
            <v>6.2759999999999998</v>
          </cell>
          <cell r="L163">
            <v>100000</v>
          </cell>
          <cell r="M163">
            <v>1000</v>
          </cell>
          <cell r="N163">
            <v>7.47</v>
          </cell>
          <cell r="O163">
            <v>101946.3</v>
          </cell>
          <cell r="P163">
            <v>101946300</v>
          </cell>
          <cell r="Q163">
            <v>4209863.01</v>
          </cell>
          <cell r="R163">
            <v>0</v>
          </cell>
          <cell r="S163">
            <v>1946300</v>
          </cell>
          <cell r="T163">
            <v>106156163.01000001</v>
          </cell>
          <cell r="U163">
            <v>0.68</v>
          </cell>
          <cell r="V163">
            <v>0.7</v>
          </cell>
          <cell r="W163">
            <v>100000</v>
          </cell>
          <cell r="X163">
            <v>100000000</v>
          </cell>
          <cell r="Y163" t="str">
            <v>03-05-2025</v>
          </cell>
          <cell r="Z163" t="str">
            <v>Financial Services</v>
          </cell>
          <cell r="AC163" t="str">
            <v>Financial Services</v>
          </cell>
          <cell r="AD163">
            <v>3091</v>
          </cell>
          <cell r="AE163" t="str">
            <v>Y</v>
          </cell>
          <cell r="AF163" t="str">
            <v>03-05-2024</v>
          </cell>
          <cell r="AG163">
            <v>7.47</v>
          </cell>
          <cell r="AH163">
            <v>1946700</v>
          </cell>
          <cell r="AI163" t="str">
            <v>FI3301</v>
          </cell>
          <cell r="AJ163" t="str">
            <v>A1+</v>
          </cell>
          <cell r="AK163" t="str">
            <v>AAA</v>
          </cell>
          <cell r="AL163" t="str">
            <v>2</v>
          </cell>
          <cell r="AM163" t="str">
            <v>1</v>
          </cell>
        </row>
        <row r="164">
          <cell r="C164" t="str">
            <v>INE053F08296</v>
          </cell>
          <cell r="D164" t="str">
            <v>FIIRFCNC213</v>
          </cell>
          <cell r="E164" t="str">
            <v>NCD</v>
          </cell>
          <cell r="F164" t="str">
            <v>Indian Railway Finance Corporation Ltd</v>
          </cell>
          <cell r="G164" t="str">
            <v>7.74%  Indian Railway Finance Corporation Ltd NCD MD 15.04.2038  BOND SERIES 170B 2038</v>
          </cell>
          <cell r="H164">
            <v>7.74</v>
          </cell>
          <cell r="I164" t="str">
            <v>15-04-2038</v>
          </cell>
          <cell r="J164" t="str">
            <v>CRISIL AAA</v>
          </cell>
          <cell r="K164">
            <v>8.8585999999999991</v>
          </cell>
          <cell r="L164">
            <v>100000</v>
          </cell>
          <cell r="M164">
            <v>1000</v>
          </cell>
          <cell r="N164">
            <v>7.1550000000000002</v>
          </cell>
          <cell r="O164">
            <v>104945.1</v>
          </cell>
          <cell r="P164">
            <v>104945100</v>
          </cell>
          <cell r="Q164">
            <v>678575.34</v>
          </cell>
          <cell r="R164">
            <v>0</v>
          </cell>
          <cell r="S164">
            <v>4945100</v>
          </cell>
          <cell r="T164">
            <v>105623675.34</v>
          </cell>
          <cell r="U164">
            <v>0.7</v>
          </cell>
          <cell r="V164">
            <v>0.7</v>
          </cell>
          <cell r="W164">
            <v>100000</v>
          </cell>
          <cell r="X164">
            <v>100000000</v>
          </cell>
          <cell r="Y164" t="str">
            <v>15-10-2025</v>
          </cell>
          <cell r="Z164" t="str">
            <v>Financial Services</v>
          </cell>
          <cell r="AC164" t="str">
            <v>Exempt - PFI</v>
          </cell>
          <cell r="AD164">
            <v>4899</v>
          </cell>
          <cell r="AE164" t="str">
            <v>Y</v>
          </cell>
          <cell r="AF164" t="str">
            <v>15-10-2024</v>
          </cell>
          <cell r="AG164">
            <v>7.1550000000000002</v>
          </cell>
          <cell r="AH164">
            <v>4946300</v>
          </cell>
          <cell r="AI164" t="str">
            <v>IRFC</v>
          </cell>
          <cell r="AJ164" t="str">
            <v>A1+</v>
          </cell>
          <cell r="AK164" t="str">
            <v>AAA</v>
          </cell>
          <cell r="AL164" t="str">
            <v>1</v>
          </cell>
          <cell r="AM164" t="str">
            <v>1</v>
          </cell>
        </row>
        <row r="165">
          <cell r="C165" t="str">
            <v>INE115A07PI6</v>
          </cell>
          <cell r="D165" t="str">
            <v>FILICNC363</v>
          </cell>
          <cell r="E165" t="str">
            <v>NCD</v>
          </cell>
          <cell r="F165" t="str">
            <v>LIC Housing Finance Ltd</v>
          </cell>
          <cell r="G165" t="str">
            <v>6.17% LIC Housing Finance Ltd-NCD-03/09/2026</v>
          </cell>
          <cell r="H165">
            <v>6.17</v>
          </cell>
          <cell r="I165" t="str">
            <v>03-09-2026</v>
          </cell>
          <cell r="J165" t="str">
            <v>CRISIL AAA</v>
          </cell>
          <cell r="K165">
            <v>1.7383999999999999</v>
          </cell>
          <cell r="L165">
            <v>1000000</v>
          </cell>
          <cell r="M165">
            <v>50</v>
          </cell>
          <cell r="N165">
            <v>7.7</v>
          </cell>
          <cell r="O165">
            <v>974832</v>
          </cell>
          <cell r="P165">
            <v>48741600</v>
          </cell>
          <cell r="Q165">
            <v>625452.05000000005</v>
          </cell>
          <cell r="R165">
            <v>0</v>
          </cell>
          <cell r="S165">
            <v>573800</v>
          </cell>
          <cell r="T165">
            <v>49367052.049999997</v>
          </cell>
          <cell r="U165">
            <v>0.32</v>
          </cell>
          <cell r="V165">
            <v>0.33</v>
          </cell>
          <cell r="W165">
            <v>963356</v>
          </cell>
          <cell r="X165">
            <v>48167800</v>
          </cell>
          <cell r="Y165" t="str">
            <v>03-09-2025</v>
          </cell>
          <cell r="Z165" t="str">
            <v>Financial Services</v>
          </cell>
          <cell r="AC165" t="str">
            <v>HOUSING FINANCE</v>
          </cell>
          <cell r="AD165">
            <v>657</v>
          </cell>
          <cell r="AE165" t="str">
            <v>Y</v>
          </cell>
          <cell r="AF165" t="str">
            <v>03-09-2024</v>
          </cell>
          <cell r="AG165">
            <v>7.7</v>
          </cell>
          <cell r="AH165">
            <v>572200</v>
          </cell>
          <cell r="AI165" t="str">
            <v>FILIC</v>
          </cell>
          <cell r="AJ165" t="str">
            <v>A1+</v>
          </cell>
          <cell r="AK165" t="str">
            <v>AAA</v>
          </cell>
          <cell r="AL165" t="str">
            <v>2</v>
          </cell>
          <cell r="AM165" t="str">
            <v>1</v>
          </cell>
        </row>
        <row r="166">
          <cell r="C166" t="str">
            <v>INE115A07QD5</v>
          </cell>
          <cell r="D166" t="str">
            <v>FI35LICNC11</v>
          </cell>
          <cell r="E166" t="str">
            <v>NCD</v>
          </cell>
          <cell r="F166" t="str">
            <v>LIC Housing Finance Ltd</v>
          </cell>
          <cell r="G166" t="str">
            <v>7.82% LIC Housing Finance Ltd NCD 28 11 2025 (Trench 428 Reissue 2)</v>
          </cell>
          <cell r="H166">
            <v>7.82</v>
          </cell>
          <cell r="I166" t="str">
            <v>28-11-2025</v>
          </cell>
          <cell r="J166" t="str">
            <v>CRISIL AAA</v>
          </cell>
          <cell r="K166">
            <v>0.96030000000000004</v>
          </cell>
          <cell r="L166">
            <v>1000000</v>
          </cell>
          <cell r="M166">
            <v>100</v>
          </cell>
          <cell r="N166">
            <v>7.7</v>
          </cell>
          <cell r="O166">
            <v>1001056</v>
          </cell>
          <cell r="P166">
            <v>100105600</v>
          </cell>
          <cell r="Q166">
            <v>7563606.5599999996</v>
          </cell>
          <cell r="R166">
            <v>0</v>
          </cell>
          <cell r="S166">
            <v>-171800</v>
          </cell>
          <cell r="T166">
            <v>107669206.56</v>
          </cell>
          <cell r="U166">
            <v>0.66</v>
          </cell>
          <cell r="V166">
            <v>0.71</v>
          </cell>
          <cell r="W166">
            <v>1002774</v>
          </cell>
          <cell r="X166">
            <v>100277400</v>
          </cell>
          <cell r="Y166" t="str">
            <v>28-11-2024</v>
          </cell>
          <cell r="Z166" t="str">
            <v>Financial Services</v>
          </cell>
          <cell r="AC166" t="str">
            <v>HOUSING FINANCE</v>
          </cell>
          <cell r="AD166">
            <v>378</v>
          </cell>
          <cell r="AE166" t="str">
            <v>Y</v>
          </cell>
          <cell r="AF166" t="str">
            <v>28-11-2023</v>
          </cell>
          <cell r="AG166">
            <v>7.7</v>
          </cell>
          <cell r="AH166">
            <v>-172200</v>
          </cell>
          <cell r="AI166" t="str">
            <v>FILIC</v>
          </cell>
          <cell r="AJ166" t="str">
            <v>A1+</v>
          </cell>
          <cell r="AK166" t="str">
            <v>AAA</v>
          </cell>
          <cell r="AL166" t="str">
            <v>2</v>
          </cell>
          <cell r="AM166" t="str">
            <v>1</v>
          </cell>
        </row>
        <row r="167">
          <cell r="C167" t="str">
            <v>INE115A07QH6</v>
          </cell>
          <cell r="D167" t="str">
            <v>FI35LICNC368</v>
          </cell>
          <cell r="E167" t="str">
            <v>NCD</v>
          </cell>
          <cell r="F167" t="str">
            <v>LIC Housing Finance Ltd</v>
          </cell>
          <cell r="G167" t="str">
            <v>8.0250% LIC Housing Finance Ltd- NCD 23-03-2033</v>
          </cell>
          <cell r="H167">
            <v>8.0250000000000004</v>
          </cell>
          <cell r="I167" t="str">
            <v>23-03-2033</v>
          </cell>
          <cell r="J167" t="str">
            <v>CRISIL AAA</v>
          </cell>
          <cell r="K167">
            <v>6.1292</v>
          </cell>
          <cell r="L167">
            <v>1000000</v>
          </cell>
          <cell r="M167">
            <v>150</v>
          </cell>
          <cell r="N167">
            <v>7.5049999999999999</v>
          </cell>
          <cell r="O167">
            <v>1030757</v>
          </cell>
          <cell r="P167">
            <v>154613550</v>
          </cell>
          <cell r="Q167">
            <v>7849109.5899999999</v>
          </cell>
          <cell r="R167">
            <v>0</v>
          </cell>
          <cell r="S167">
            <v>4613550</v>
          </cell>
          <cell r="T167">
            <v>162462659.59</v>
          </cell>
          <cell r="U167">
            <v>1.03</v>
          </cell>
          <cell r="V167">
            <v>1.08</v>
          </cell>
          <cell r="W167">
            <v>1000000</v>
          </cell>
          <cell r="X167">
            <v>150000000</v>
          </cell>
          <cell r="Y167" t="str">
            <v>23-03-2025</v>
          </cell>
          <cell r="Z167" t="str">
            <v>Financial Services</v>
          </cell>
          <cell r="AC167" t="str">
            <v>HOUSING FINANCE</v>
          </cell>
          <cell r="AD167">
            <v>3050</v>
          </cell>
          <cell r="AE167" t="str">
            <v>Y</v>
          </cell>
          <cell r="AF167" t="str">
            <v>23-03-2024</v>
          </cell>
          <cell r="AG167">
            <v>7.5049999999999999</v>
          </cell>
          <cell r="AH167">
            <v>4614300</v>
          </cell>
          <cell r="AI167" t="str">
            <v>FILIC</v>
          </cell>
          <cell r="AJ167" t="str">
            <v>A1+</v>
          </cell>
          <cell r="AK167" t="str">
            <v>AAA</v>
          </cell>
          <cell r="AL167" t="str">
            <v>2</v>
          </cell>
          <cell r="AM167" t="str">
            <v>1</v>
          </cell>
        </row>
        <row r="168">
          <cell r="C168" t="str">
            <v>INE261F08DV4</v>
          </cell>
          <cell r="D168" t="str">
            <v>FI35NANC297</v>
          </cell>
          <cell r="E168" t="str">
            <v>NCD</v>
          </cell>
          <cell r="F168" t="str">
            <v>National Bank for Agriculture &amp; Rural Development</v>
          </cell>
          <cell r="G168" t="str">
            <v>7.62 NABARD NCD 31 01 2028</v>
          </cell>
          <cell r="H168">
            <v>7.62</v>
          </cell>
          <cell r="I168" t="str">
            <v>31-01-2028</v>
          </cell>
          <cell r="J168" t="str">
            <v>ICRA AAA</v>
          </cell>
          <cell r="K168">
            <v>2.7953999999999999</v>
          </cell>
          <cell r="L168">
            <v>100000</v>
          </cell>
          <cell r="M168">
            <v>1500</v>
          </cell>
          <cell r="N168">
            <v>7.5015999999999998</v>
          </cell>
          <cell r="O168">
            <v>100278.8</v>
          </cell>
          <cell r="P168">
            <v>150418200</v>
          </cell>
          <cell r="Q168">
            <v>9525000</v>
          </cell>
          <cell r="R168">
            <v>0</v>
          </cell>
          <cell r="S168">
            <v>1544500</v>
          </cell>
          <cell r="T168">
            <v>159943200</v>
          </cell>
          <cell r="U168">
            <v>1</v>
          </cell>
          <cell r="V168">
            <v>1.06</v>
          </cell>
          <cell r="W168">
            <v>99249.133333333331</v>
          </cell>
          <cell r="X168">
            <v>148873700</v>
          </cell>
          <cell r="Y168" t="str">
            <v>16-01-2025</v>
          </cell>
          <cell r="Z168" t="str">
            <v>Financial Services</v>
          </cell>
          <cell r="AC168" t="str">
            <v>Exempt - PFI</v>
          </cell>
          <cell r="AD168">
            <v>1172</v>
          </cell>
          <cell r="AE168" t="str">
            <v>Y</v>
          </cell>
          <cell r="AF168" t="str">
            <v>16-01-2024</v>
          </cell>
          <cell r="AG168">
            <v>7.5015999999999998</v>
          </cell>
          <cell r="AH168">
            <v>1544200</v>
          </cell>
          <cell r="AI168" t="str">
            <v>FI35NA</v>
          </cell>
          <cell r="AJ168" t="str">
            <v>A1+</v>
          </cell>
          <cell r="AK168" t="str">
            <v>AAA</v>
          </cell>
          <cell r="AL168" t="str">
            <v>1</v>
          </cell>
          <cell r="AM168" t="str">
            <v>1</v>
          </cell>
        </row>
        <row r="169">
          <cell r="C169" t="str">
            <v>INE261F08DX0</v>
          </cell>
          <cell r="D169" t="str">
            <v>FI35NANC298</v>
          </cell>
          <cell r="E169" t="str">
            <v>NCD</v>
          </cell>
          <cell r="F169" t="str">
            <v>National Bank for Agriculture &amp; Rural Development</v>
          </cell>
          <cell r="G169" t="str">
            <v>7.58%  NABARD- NCD-31/07/2026 SERIES 23H</v>
          </cell>
          <cell r="H169">
            <v>7.58</v>
          </cell>
          <cell r="I169" t="str">
            <v>31-07-2026</v>
          </cell>
          <cell r="J169" t="str">
            <v>CRISIL AAA</v>
          </cell>
          <cell r="K169">
            <v>1.6336999999999999</v>
          </cell>
          <cell r="L169">
            <v>100000</v>
          </cell>
          <cell r="M169">
            <v>1500</v>
          </cell>
          <cell r="N169">
            <v>7.5593000000000004</v>
          </cell>
          <cell r="O169">
            <v>99974.7</v>
          </cell>
          <cell r="P169">
            <v>149962050</v>
          </cell>
          <cell r="Q169">
            <v>3364273.97</v>
          </cell>
          <cell r="R169">
            <v>0</v>
          </cell>
          <cell r="S169">
            <v>308750</v>
          </cell>
          <cell r="T169">
            <v>153326323.97</v>
          </cell>
          <cell r="U169">
            <v>1</v>
          </cell>
          <cell r="V169">
            <v>1.02</v>
          </cell>
          <cell r="W169">
            <v>99768.866666666669</v>
          </cell>
          <cell r="X169">
            <v>149653300</v>
          </cell>
          <cell r="Y169" t="str">
            <v>31-07-2025</v>
          </cell>
          <cell r="Z169" t="str">
            <v>Financial Services</v>
          </cell>
          <cell r="AC169" t="str">
            <v>Exempt - PFI</v>
          </cell>
          <cell r="AD169">
            <v>623</v>
          </cell>
          <cell r="AE169" t="str">
            <v>Y</v>
          </cell>
          <cell r="AF169" t="str">
            <v>31-07-2024</v>
          </cell>
          <cell r="AG169">
            <v>7.5593000000000004</v>
          </cell>
          <cell r="AH169">
            <v>309350</v>
          </cell>
          <cell r="AI169" t="str">
            <v>FI35NA</v>
          </cell>
          <cell r="AJ169" t="str">
            <v>A1+</v>
          </cell>
          <cell r="AK169" t="str">
            <v>AAA</v>
          </cell>
          <cell r="AL169" t="str">
            <v>1</v>
          </cell>
          <cell r="AM169" t="str">
            <v>1</v>
          </cell>
        </row>
        <row r="170">
          <cell r="AF170" t="str">
            <v/>
          </cell>
          <cell r="AG170" t="str">
            <v/>
          </cell>
          <cell r="AH170" t="str">
            <v/>
          </cell>
          <cell r="AI170" t="str">
            <v/>
          </cell>
          <cell r="AJ170" t="str">
            <v/>
          </cell>
          <cell r="AK170" t="str">
            <v/>
          </cell>
          <cell r="AL170" t="str">
            <v/>
          </cell>
          <cell r="AM170" t="str">
            <v/>
          </cell>
        </row>
        <row r="171">
          <cell r="C171" t="str">
            <v>INE028A16GJ9</v>
          </cell>
          <cell r="D171" t="str">
            <v>FI3369CD294</v>
          </cell>
          <cell r="E171" t="str">
            <v>COD</v>
          </cell>
          <cell r="F171" t="str">
            <v>Bank of Baroda</v>
          </cell>
          <cell r="G171" t="str">
            <v>Bank of Baroda COD MD 06-12-2024</v>
          </cell>
          <cell r="H171">
            <v>0</v>
          </cell>
          <cell r="I171" t="str">
            <v>06-12-2024</v>
          </cell>
          <cell r="J171" t="str">
            <v>IND A1+</v>
          </cell>
          <cell r="K171">
            <v>0.06</v>
          </cell>
          <cell r="L171">
            <v>500000</v>
          </cell>
          <cell r="M171">
            <v>1000</v>
          </cell>
          <cell r="N171">
            <v>6.8002000000000002</v>
          </cell>
          <cell r="O171">
            <v>498144</v>
          </cell>
          <cell r="P171">
            <v>498144000</v>
          </cell>
          <cell r="Q171">
            <v>0</v>
          </cell>
          <cell r="R171">
            <v>1627864.91</v>
          </cell>
          <cell r="S171">
            <v>59135.09</v>
          </cell>
          <cell r="T171">
            <v>498144000</v>
          </cell>
          <cell r="U171">
            <v>5.01</v>
          </cell>
          <cell r="V171">
            <v>5.01</v>
          </cell>
          <cell r="W171">
            <v>496457</v>
          </cell>
          <cell r="X171">
            <v>496457000</v>
          </cell>
          <cell r="Z171" t="str">
            <v>Financial Services</v>
          </cell>
          <cell r="AC171" t="str">
            <v>CD - EXEMPT</v>
          </cell>
          <cell r="AD171">
            <v>21</v>
          </cell>
          <cell r="AE171" t="str">
            <v>Y</v>
          </cell>
          <cell r="AG171">
            <v>6.8002000000000002</v>
          </cell>
          <cell r="AH171">
            <v>62391.839999999997</v>
          </cell>
          <cell r="AI171" t="str">
            <v>FI3369</v>
          </cell>
          <cell r="AJ171" t="str">
            <v>A1+</v>
          </cell>
          <cell r="AK171" t="str">
            <v>AAA</v>
          </cell>
          <cell r="AL171" t="str">
            <v>1</v>
          </cell>
          <cell r="AM171" t="str">
            <v>1</v>
          </cell>
        </row>
        <row r="172">
          <cell r="C172" t="str">
            <v>INE160A16PX2</v>
          </cell>
          <cell r="D172" t="str">
            <v>FI3316CD378</v>
          </cell>
          <cell r="E172" t="str">
            <v>COD</v>
          </cell>
          <cell r="F172" t="str">
            <v>Punjab National Bank</v>
          </cell>
          <cell r="G172" t="str">
            <v>Punjab National Bank COD MD 20-12-2024</v>
          </cell>
          <cell r="H172">
            <v>0</v>
          </cell>
          <cell r="I172" t="str">
            <v>20-12-2024</v>
          </cell>
          <cell r="J172" t="str">
            <v>CRISIL A1+</v>
          </cell>
          <cell r="K172">
            <v>0.1</v>
          </cell>
          <cell r="L172">
            <v>500000</v>
          </cell>
          <cell r="M172">
            <v>1000</v>
          </cell>
          <cell r="N172">
            <v>6.8552999999999997</v>
          </cell>
          <cell r="O172">
            <v>496827.5</v>
          </cell>
          <cell r="P172">
            <v>496827500</v>
          </cell>
          <cell r="Q172">
            <v>0</v>
          </cell>
          <cell r="R172">
            <v>1532640</v>
          </cell>
          <cell r="S172">
            <v>84360</v>
          </cell>
          <cell r="T172">
            <v>496827500</v>
          </cell>
          <cell r="U172">
            <v>4.99</v>
          </cell>
          <cell r="V172">
            <v>4.99</v>
          </cell>
          <cell r="W172">
            <v>495210.5</v>
          </cell>
          <cell r="X172">
            <v>495210500</v>
          </cell>
          <cell r="Z172" t="str">
            <v>Financial Services</v>
          </cell>
          <cell r="AC172" t="str">
            <v>CD - EXEMPT</v>
          </cell>
          <cell r="AD172">
            <v>35</v>
          </cell>
          <cell r="AE172" t="str">
            <v>N</v>
          </cell>
          <cell r="AG172">
            <v>6.8552999999999997</v>
          </cell>
          <cell r="AH172">
            <v>87650</v>
          </cell>
          <cell r="AI172" t="str">
            <v>FI3316</v>
          </cell>
          <cell r="AJ172" t="str">
            <v>A1+</v>
          </cell>
          <cell r="AK172" t="str">
            <v>AAA</v>
          </cell>
          <cell r="AL172" t="str">
            <v>1</v>
          </cell>
          <cell r="AM172" t="str">
            <v>1</v>
          </cell>
        </row>
        <row r="173">
          <cell r="C173" t="str">
            <v>INE476A16YR6</v>
          </cell>
          <cell r="D173" t="str">
            <v>FI3320CD479</v>
          </cell>
          <cell r="E173" t="str">
            <v>COD</v>
          </cell>
          <cell r="F173" t="str">
            <v>Canara Bank</v>
          </cell>
          <cell r="G173" t="str">
            <v>Canara Bank COD MD 16-12-2024</v>
          </cell>
          <cell r="H173">
            <v>0</v>
          </cell>
          <cell r="I173" t="str">
            <v>16-12-2024</v>
          </cell>
          <cell r="J173" t="str">
            <v>CRISIL A1+</v>
          </cell>
          <cell r="K173">
            <v>0.08</v>
          </cell>
          <cell r="L173">
            <v>500000</v>
          </cell>
          <cell r="M173">
            <v>500</v>
          </cell>
          <cell r="N173">
            <v>6.8451000000000004</v>
          </cell>
          <cell r="O173">
            <v>497203</v>
          </cell>
          <cell r="P173">
            <v>248601500</v>
          </cell>
          <cell r="Q173">
            <v>0</v>
          </cell>
          <cell r="R173">
            <v>765826.08</v>
          </cell>
          <cell r="S173">
            <v>37423.919999999998</v>
          </cell>
          <cell r="T173">
            <v>248601500</v>
          </cell>
          <cell r="U173">
            <v>2.5</v>
          </cell>
          <cell r="V173">
            <v>2.5</v>
          </cell>
          <cell r="W173">
            <v>495596.5</v>
          </cell>
          <cell r="X173">
            <v>247798250</v>
          </cell>
          <cell r="Z173" t="str">
            <v>Financial Services</v>
          </cell>
          <cell r="AC173" t="str">
            <v>CD - EXEMPT</v>
          </cell>
          <cell r="AD173">
            <v>31</v>
          </cell>
          <cell r="AE173" t="str">
            <v>Y</v>
          </cell>
          <cell r="AG173">
            <v>6.8451000000000004</v>
          </cell>
          <cell r="AH173">
            <v>38788.050000000003</v>
          </cell>
          <cell r="AI173" t="str">
            <v>FI3320</v>
          </cell>
          <cell r="AJ173" t="str">
            <v>A1+</v>
          </cell>
          <cell r="AK173" t="str">
            <v>AAA</v>
          </cell>
          <cell r="AL173" t="str">
            <v>1</v>
          </cell>
          <cell r="AM173" t="str">
            <v>1</v>
          </cell>
        </row>
        <row r="174">
          <cell r="C174" t="str">
            <v>IN0020230101</v>
          </cell>
          <cell r="D174" t="str">
            <v>7.37GSE231028</v>
          </cell>
          <cell r="E174" t="str">
            <v>GSE</v>
          </cell>
          <cell r="F174" t="str">
            <v>Govt. of India - GSec / TBL</v>
          </cell>
          <cell r="G174" t="str">
            <v>7.37% Government Securities-23/10/2028</v>
          </cell>
          <cell r="H174">
            <v>7.37</v>
          </cell>
          <cell r="I174" t="str">
            <v>23-10-2028</v>
          </cell>
          <cell r="J174" t="str">
            <v>Sovereign</v>
          </cell>
          <cell r="K174">
            <v>3.4780000000000002</v>
          </cell>
          <cell r="L174">
            <v>100</v>
          </cell>
          <cell r="M174">
            <v>1500000</v>
          </cell>
          <cell r="N174">
            <v>6.8860000000000001</v>
          </cell>
          <cell r="O174">
            <v>102.03149999999999</v>
          </cell>
          <cell r="P174">
            <v>153047250</v>
          </cell>
          <cell r="Q174">
            <v>706291.67</v>
          </cell>
          <cell r="R174">
            <v>0</v>
          </cell>
          <cell r="S174">
            <v>1177250</v>
          </cell>
          <cell r="T174">
            <v>153753541.66999999</v>
          </cell>
          <cell r="U174">
            <v>1.54</v>
          </cell>
          <cell r="V174">
            <v>1.54</v>
          </cell>
          <cell r="W174">
            <v>101.24666666666666</v>
          </cell>
          <cell r="X174">
            <v>151870000</v>
          </cell>
          <cell r="Y174" t="str">
            <v>23-04-2025</v>
          </cell>
          <cell r="Z174" t="str">
            <v>Exempt - GSECs</v>
          </cell>
          <cell r="AC174" t="str">
            <v>Exempt - GSECs</v>
          </cell>
          <cell r="AD174">
            <v>1438</v>
          </cell>
          <cell r="AE174" t="str">
            <v>Y</v>
          </cell>
          <cell r="AF174" t="str">
            <v>23-10-2024</v>
          </cell>
          <cell r="AG174">
            <v>6.8860000000000001</v>
          </cell>
          <cell r="AH174">
            <v>1179650</v>
          </cell>
          <cell r="AI174" t="str">
            <v>GOVT.</v>
          </cell>
          <cell r="AJ174" t="str">
            <v>Gsec</v>
          </cell>
          <cell r="AK174" t="str">
            <v>Gsec</v>
          </cell>
          <cell r="AL174" t="str">
            <v>1</v>
          </cell>
          <cell r="AM174" t="str">
            <v>1</v>
          </cell>
        </row>
        <row r="175">
          <cell r="C175" t="str">
            <v>IN0020240019</v>
          </cell>
          <cell r="D175" t="str">
            <v>7.10GSE080434</v>
          </cell>
          <cell r="E175" t="str">
            <v>GSE</v>
          </cell>
          <cell r="F175" t="str">
            <v>Govt. of India - GSec / TBL</v>
          </cell>
          <cell r="G175" t="str">
            <v>7.10% Central Government Securities 08/04/2034</v>
          </cell>
          <cell r="H175">
            <v>7.1</v>
          </cell>
          <cell r="I175" t="str">
            <v>08-04-2034</v>
          </cell>
          <cell r="J175" t="str">
            <v>Sovereign</v>
          </cell>
          <cell r="K175">
            <v>6.9844999999999997</v>
          </cell>
          <cell r="L175">
            <v>100</v>
          </cell>
          <cell r="M175">
            <v>6500000</v>
          </cell>
          <cell r="N175">
            <v>6.9813999999999998</v>
          </cell>
          <cell r="O175">
            <v>101.60720000000001</v>
          </cell>
          <cell r="P175">
            <v>660446800</v>
          </cell>
          <cell r="Q175">
            <v>4871388.8899999997</v>
          </cell>
          <cell r="R175">
            <v>0</v>
          </cell>
          <cell r="S175">
            <v>-1156602.78</v>
          </cell>
          <cell r="T175">
            <v>665318188.88999999</v>
          </cell>
          <cell r="U175">
            <v>6.64</v>
          </cell>
          <cell r="V175">
            <v>6.69</v>
          </cell>
          <cell r="W175">
            <v>101.78513888923077</v>
          </cell>
          <cell r="X175">
            <v>661603402.77999997</v>
          </cell>
          <cell r="Y175" t="str">
            <v>08-04-2025</v>
          </cell>
          <cell r="Z175" t="str">
            <v>Exempt - GSECs</v>
          </cell>
          <cell r="AC175" t="str">
            <v>Exempt - GSECs</v>
          </cell>
          <cell r="AD175">
            <v>3431</v>
          </cell>
          <cell r="AE175" t="str">
            <v>Y</v>
          </cell>
          <cell r="AF175" t="str">
            <v>08-10-2024</v>
          </cell>
          <cell r="AG175">
            <v>6.9813999999999998</v>
          </cell>
          <cell r="AH175">
            <v>-1152702.78</v>
          </cell>
          <cell r="AI175" t="str">
            <v>GOVT.</v>
          </cell>
          <cell r="AJ175" t="str">
            <v>GSEC</v>
          </cell>
          <cell r="AK175" t="str">
            <v>GSEC</v>
          </cell>
          <cell r="AL175" t="str">
            <v>1</v>
          </cell>
          <cell r="AM175" t="str">
            <v>1</v>
          </cell>
        </row>
        <row r="176">
          <cell r="C176" t="str">
            <v>IN0020240027</v>
          </cell>
          <cell r="D176" t="str">
            <v>7.23GSE150439</v>
          </cell>
          <cell r="E176" t="str">
            <v>GSE</v>
          </cell>
          <cell r="F176" t="str">
            <v>Govt. of India - GSec / TBL</v>
          </cell>
          <cell r="G176" t="str">
            <v>7.23% Central Government Securities 15/04/2039</v>
          </cell>
          <cell r="H176">
            <v>7.23</v>
          </cell>
          <cell r="I176" t="str">
            <v>15-04-2039</v>
          </cell>
          <cell r="J176" t="str">
            <v>Sovereign</v>
          </cell>
          <cell r="K176">
            <v>9.2065000000000001</v>
          </cell>
          <cell r="L176">
            <v>100</v>
          </cell>
          <cell r="M176">
            <v>1500000</v>
          </cell>
          <cell r="N176">
            <v>7.0387000000000004</v>
          </cell>
          <cell r="O176">
            <v>102.79989999999999</v>
          </cell>
          <cell r="P176">
            <v>154199850</v>
          </cell>
          <cell r="Q176">
            <v>933875</v>
          </cell>
          <cell r="R176">
            <v>0</v>
          </cell>
          <cell r="S176">
            <v>-142650</v>
          </cell>
          <cell r="T176">
            <v>155133725</v>
          </cell>
          <cell r="U176">
            <v>1.55</v>
          </cell>
          <cell r="V176">
            <v>1.56</v>
          </cell>
          <cell r="W176">
            <v>102.895</v>
          </cell>
          <cell r="X176">
            <v>154342500</v>
          </cell>
          <cell r="Y176" t="str">
            <v>15-04-2025</v>
          </cell>
          <cell r="Z176" t="str">
            <v>Exempt - GSECs</v>
          </cell>
          <cell r="AC176" t="str">
            <v>Exempt - GSECs</v>
          </cell>
          <cell r="AD176">
            <v>5264</v>
          </cell>
          <cell r="AE176" t="str">
            <v>Y</v>
          </cell>
          <cell r="AF176" t="str">
            <v>15-10-2024</v>
          </cell>
          <cell r="AG176">
            <v>7.0387000000000004</v>
          </cell>
          <cell r="AH176">
            <v>-141900</v>
          </cell>
          <cell r="AI176" t="str">
            <v>GOVT.</v>
          </cell>
          <cell r="AJ176" t="str">
            <v>GSEC</v>
          </cell>
          <cell r="AK176" t="str">
            <v>GSEC</v>
          </cell>
          <cell r="AL176" t="str">
            <v>1</v>
          </cell>
          <cell r="AM176" t="str">
            <v>1</v>
          </cell>
        </row>
        <row r="177">
          <cell r="C177" t="str">
            <v>INE134E08NB7</v>
          </cell>
          <cell r="D177" t="str">
            <v>FI35PFCNC372</v>
          </cell>
          <cell r="E177" t="str">
            <v>NCD</v>
          </cell>
          <cell r="F177" t="str">
            <v>Power Finance Corporation Ltd</v>
          </cell>
          <cell r="G177" t="str">
            <v>7.32% Power Finance Corporation Ltd NCD MD 15-07-2039</v>
          </cell>
          <cell r="H177">
            <v>7.32</v>
          </cell>
          <cell r="I177" t="str">
            <v>15-07-2039</v>
          </cell>
          <cell r="J177" t="str">
            <v>CRISIL AAA</v>
          </cell>
          <cell r="K177">
            <v>9.359</v>
          </cell>
          <cell r="L177">
            <v>100000</v>
          </cell>
          <cell r="M177">
            <v>1000</v>
          </cell>
          <cell r="N177">
            <v>7.1074999999999999</v>
          </cell>
          <cell r="O177">
            <v>101861</v>
          </cell>
          <cell r="P177">
            <v>101861000</v>
          </cell>
          <cell r="Q177">
            <v>1724712.33</v>
          </cell>
          <cell r="R177">
            <v>0</v>
          </cell>
          <cell r="S177">
            <v>1861000</v>
          </cell>
          <cell r="T177">
            <v>103585712.33</v>
          </cell>
          <cell r="U177">
            <v>1.02</v>
          </cell>
          <cell r="V177">
            <v>1.04</v>
          </cell>
          <cell r="W177">
            <v>100000</v>
          </cell>
          <cell r="X177">
            <v>100000000</v>
          </cell>
          <cell r="Y177" t="str">
            <v>22-08-2025</v>
          </cell>
          <cell r="Z177" t="str">
            <v>Financial Services</v>
          </cell>
          <cell r="AC177" t="str">
            <v>Exempt - PFI</v>
          </cell>
          <cell r="AD177">
            <v>5355</v>
          </cell>
          <cell r="AE177" t="str">
            <v>Y</v>
          </cell>
          <cell r="AF177" t="str">
            <v>22-08-2024</v>
          </cell>
          <cell r="AG177">
            <v>7.1074999999999999</v>
          </cell>
          <cell r="AH177">
            <v>1861500</v>
          </cell>
          <cell r="AI177" t="str">
            <v>FI35PF</v>
          </cell>
          <cell r="AJ177" t="str">
            <v>A1+</v>
          </cell>
          <cell r="AK177" t="str">
            <v>AAA</v>
          </cell>
          <cell r="AL177" t="str">
            <v>1</v>
          </cell>
          <cell r="AM177" t="str">
            <v>1</v>
          </cell>
        </row>
        <row r="178">
          <cell r="C178" t="str">
            <v>INE261F08EA6</v>
          </cell>
          <cell r="D178" t="str">
            <v>FI35NANC300</v>
          </cell>
          <cell r="E178" t="str">
            <v>NCD</v>
          </cell>
          <cell r="F178" t="str">
            <v>National Bank for Agriculture &amp; Rural Development</v>
          </cell>
          <cell r="G178" t="str">
            <v>7.50% NABARD NCD 31-08-2026 SERIES 24A</v>
          </cell>
          <cell r="H178">
            <v>7.5</v>
          </cell>
          <cell r="I178" t="str">
            <v>31-08-2026</v>
          </cell>
          <cell r="J178" t="str">
            <v>CRISIL AAA</v>
          </cell>
          <cell r="K178">
            <v>1.7192000000000001</v>
          </cell>
          <cell r="L178">
            <v>100000</v>
          </cell>
          <cell r="M178">
            <v>1000</v>
          </cell>
          <cell r="N178">
            <v>7.5582000000000003</v>
          </cell>
          <cell r="O178">
            <v>99860.7</v>
          </cell>
          <cell r="P178">
            <v>99860700</v>
          </cell>
          <cell r="Q178">
            <v>1582191.78</v>
          </cell>
          <cell r="R178">
            <v>0</v>
          </cell>
          <cell r="S178">
            <v>-139300</v>
          </cell>
          <cell r="T178">
            <v>101442891.78</v>
          </cell>
          <cell r="U178">
            <v>1</v>
          </cell>
          <cell r="V178">
            <v>1.02</v>
          </cell>
          <cell r="W178">
            <v>100000</v>
          </cell>
          <cell r="X178">
            <v>100000000</v>
          </cell>
          <cell r="Y178" t="str">
            <v>31-08-2025</v>
          </cell>
          <cell r="Z178" t="str">
            <v>Financial Services</v>
          </cell>
          <cell r="AC178" t="str">
            <v>Exempt - PFI</v>
          </cell>
          <cell r="AD178">
            <v>654</v>
          </cell>
          <cell r="AE178" t="str">
            <v>Y</v>
          </cell>
          <cell r="AF178" t="str">
            <v>31-08-2024</v>
          </cell>
          <cell r="AG178">
            <v>7.5582000000000003</v>
          </cell>
          <cell r="AH178">
            <v>-139000</v>
          </cell>
          <cell r="AI178" t="str">
            <v>FI35NA</v>
          </cell>
          <cell r="AJ178" t="str">
            <v>A1+</v>
          </cell>
          <cell r="AK178" t="str">
            <v>AAA</v>
          </cell>
          <cell r="AL178" t="str">
            <v>1</v>
          </cell>
          <cell r="AM178" t="str">
            <v>1</v>
          </cell>
        </row>
        <row r="179">
          <cell r="C179" t="str">
            <v>INE261F08EF5</v>
          </cell>
          <cell r="D179" t="str">
            <v>FI35NANC304</v>
          </cell>
          <cell r="E179" t="str">
            <v>NCD</v>
          </cell>
          <cell r="F179" t="str">
            <v>National Bank for Agriculture &amp; Rural Development</v>
          </cell>
          <cell r="G179" t="str">
            <v>7.80% NABARD NCD MD 15-03-2027 Bonds Series 24E</v>
          </cell>
          <cell r="H179">
            <v>7.8</v>
          </cell>
          <cell r="I179" t="str">
            <v>15-03-2027</v>
          </cell>
          <cell r="J179" t="str">
            <v>ICRA AAA</v>
          </cell>
          <cell r="K179">
            <v>2.1151</v>
          </cell>
          <cell r="L179">
            <v>100000</v>
          </cell>
          <cell r="M179">
            <v>1000</v>
          </cell>
          <cell r="N179">
            <v>7.5</v>
          </cell>
          <cell r="O179">
            <v>100557.1</v>
          </cell>
          <cell r="P179">
            <v>100557100</v>
          </cell>
          <cell r="Q179">
            <v>5256986.3</v>
          </cell>
          <cell r="R179">
            <v>0</v>
          </cell>
          <cell r="S179">
            <v>445400</v>
          </cell>
          <cell r="T179">
            <v>105814086.3</v>
          </cell>
          <cell r="U179">
            <v>1.01</v>
          </cell>
          <cell r="V179">
            <v>1.06</v>
          </cell>
          <cell r="W179">
            <v>100111.7</v>
          </cell>
          <cell r="X179">
            <v>100111700</v>
          </cell>
          <cell r="Y179" t="str">
            <v>15-03-2025</v>
          </cell>
          <cell r="Z179" t="str">
            <v>Financial Services</v>
          </cell>
          <cell r="AC179" t="str">
            <v>Exempt - PFI</v>
          </cell>
          <cell r="AD179">
            <v>850</v>
          </cell>
          <cell r="AE179" t="str">
            <v>Y</v>
          </cell>
          <cell r="AF179" t="str">
            <v>15-03-2024</v>
          </cell>
          <cell r="AG179">
            <v>7.5</v>
          </cell>
          <cell r="AH179">
            <v>445800</v>
          </cell>
          <cell r="AI179" t="str">
            <v>FI35NA</v>
          </cell>
          <cell r="AJ179" t="str">
            <v>A1+</v>
          </cell>
          <cell r="AK179" t="str">
            <v>AAA</v>
          </cell>
          <cell r="AL179" t="str">
            <v>1</v>
          </cell>
          <cell r="AM179" t="str">
            <v>1</v>
          </cell>
        </row>
        <row r="180">
          <cell r="C180" t="str">
            <v>INE556F08KH1</v>
          </cell>
          <cell r="D180" t="str">
            <v>FI3405NC236</v>
          </cell>
          <cell r="E180" t="str">
            <v>NCD</v>
          </cell>
          <cell r="F180" t="str">
            <v>Small Industries Development Bank of India</v>
          </cell>
          <cell r="G180" t="str">
            <v>7.43%  Small Industries Development Bank of India NCD MD 31-08-2026 SERIES I</v>
          </cell>
          <cell r="H180">
            <v>7.43</v>
          </cell>
          <cell r="I180" t="str">
            <v>31-08-2026</v>
          </cell>
          <cell r="J180" t="str">
            <v>CRISIL AAA</v>
          </cell>
          <cell r="K180">
            <v>1.7198</v>
          </cell>
          <cell r="L180">
            <v>100000</v>
          </cell>
          <cell r="M180">
            <v>1500</v>
          </cell>
          <cell r="N180">
            <v>7.53</v>
          </cell>
          <cell r="O180">
            <v>99793.7</v>
          </cell>
          <cell r="P180">
            <v>149690550</v>
          </cell>
          <cell r="Q180">
            <v>2351136.9900000002</v>
          </cell>
          <cell r="R180">
            <v>0</v>
          </cell>
          <cell r="S180">
            <v>-309450</v>
          </cell>
          <cell r="T180">
            <v>152041686.99000001</v>
          </cell>
          <cell r="U180">
            <v>1.5</v>
          </cell>
          <cell r="V180">
            <v>1.53</v>
          </cell>
          <cell r="W180">
            <v>100000</v>
          </cell>
          <cell r="X180">
            <v>150000000</v>
          </cell>
          <cell r="Y180" t="str">
            <v>31-08-2025</v>
          </cell>
          <cell r="Z180" t="str">
            <v>Financial Services</v>
          </cell>
          <cell r="AC180" t="str">
            <v>Exempt - PFI</v>
          </cell>
          <cell r="AD180">
            <v>654</v>
          </cell>
          <cell r="AE180" t="str">
            <v>Y</v>
          </cell>
          <cell r="AF180" t="str">
            <v>31-08-2024</v>
          </cell>
          <cell r="AG180">
            <v>7.53</v>
          </cell>
          <cell r="AH180">
            <v>-309150</v>
          </cell>
          <cell r="AI180" t="str">
            <v>FI3405</v>
          </cell>
          <cell r="AJ180" t="str">
            <v>A1+</v>
          </cell>
          <cell r="AK180" t="str">
            <v>AAA</v>
          </cell>
          <cell r="AL180" t="str">
            <v>1</v>
          </cell>
          <cell r="AM180" t="str">
            <v>1</v>
          </cell>
        </row>
        <row r="181">
          <cell r="AF181" t="str">
            <v/>
          </cell>
          <cell r="AG181" t="str">
            <v/>
          </cell>
          <cell r="AH181" t="str">
            <v/>
          </cell>
          <cell r="AI181" t="str">
            <v/>
          </cell>
          <cell r="AJ181" t="str">
            <v/>
          </cell>
          <cell r="AK181" t="str">
            <v/>
          </cell>
          <cell r="AL181" t="str">
            <v/>
          </cell>
          <cell r="AM181" t="str">
            <v/>
          </cell>
        </row>
        <row r="182">
          <cell r="C182" t="str">
            <v>INF0RQ622028</v>
          </cell>
          <cell r="D182" t="str">
            <v>CDMDF23</v>
          </cell>
          <cell r="E182" t="str">
            <v>CDMDF</v>
          </cell>
          <cell r="F182" t="str">
            <v>Corporate Debt Market Development Fund</v>
          </cell>
          <cell r="G182" t="str">
            <v>Corporate Debt Market Development Fund - Class A2</v>
          </cell>
          <cell r="H182">
            <v>0</v>
          </cell>
          <cell r="K182">
            <v>0</v>
          </cell>
          <cell r="L182">
            <v>10000</v>
          </cell>
          <cell r="M182">
            <v>1043.4449999999999</v>
          </cell>
          <cell r="N182">
            <v>9.9999999999999995E-7</v>
          </cell>
          <cell r="O182">
            <v>10450.479300000001</v>
          </cell>
          <cell r="P182">
            <v>10904500.369999999</v>
          </cell>
          <cell r="Q182">
            <v>0</v>
          </cell>
          <cell r="R182">
            <v>0</v>
          </cell>
          <cell r="S182">
            <v>460022.6</v>
          </cell>
          <cell r="T182">
            <v>10904500.369999999</v>
          </cell>
          <cell r="U182">
            <v>0.26</v>
          </cell>
          <cell r="V182">
            <v>0.26</v>
          </cell>
          <cell r="W182">
            <v>10009.6102525768</v>
          </cell>
          <cell r="X182">
            <v>10444477.77</v>
          </cell>
          <cell r="Z182" t="str">
            <v>Financial Services</v>
          </cell>
          <cell r="AE182" t="str">
            <v>N</v>
          </cell>
          <cell r="AG182">
            <v>9.9999999999999995E-7</v>
          </cell>
          <cell r="AH182">
            <v>458937.52</v>
          </cell>
          <cell r="AI182" t="str">
            <v>CDMDF</v>
          </cell>
        </row>
        <row r="183">
          <cell r="C183" t="str">
            <v>INE466L14DI2</v>
          </cell>
          <cell r="D183" t="str">
            <v>FI3582CP241</v>
          </cell>
          <cell r="E183" t="str">
            <v>CMP</v>
          </cell>
          <cell r="F183" t="str">
            <v>360 ONE WAM Ltd (Prev IIFL Wealth Management Ltd)</v>
          </cell>
          <cell r="G183" t="str">
            <v>360 ONE WAM LIMITED CP MD 14-03-2025</v>
          </cell>
          <cell r="H183">
            <v>0</v>
          </cell>
          <cell r="I183" t="str">
            <v>14-03-2025</v>
          </cell>
          <cell r="J183" t="str">
            <v>CRISIL A1+</v>
          </cell>
          <cell r="K183">
            <v>0.33</v>
          </cell>
          <cell r="L183">
            <v>500000</v>
          </cell>
          <cell r="M183">
            <v>300</v>
          </cell>
          <cell r="N183">
            <v>8.4175000000000004</v>
          </cell>
          <cell r="O183">
            <v>486754.5</v>
          </cell>
          <cell r="P183">
            <v>146026350</v>
          </cell>
          <cell r="Q183">
            <v>0</v>
          </cell>
          <cell r="R183">
            <v>5952930.3700000001</v>
          </cell>
          <cell r="S183">
            <v>134219.63</v>
          </cell>
          <cell r="T183">
            <v>146026350</v>
          </cell>
          <cell r="U183">
            <v>3.51</v>
          </cell>
          <cell r="V183">
            <v>3.51</v>
          </cell>
          <cell r="W183">
            <v>466464</v>
          </cell>
          <cell r="X183">
            <v>139939200</v>
          </cell>
          <cell r="Z183" t="str">
            <v>Financial Services</v>
          </cell>
          <cell r="AC183" t="str">
            <v>Financial Services</v>
          </cell>
          <cell r="AD183">
            <v>119</v>
          </cell>
          <cell r="AE183" t="str">
            <v>Y</v>
          </cell>
          <cell r="AG183">
            <v>8.4175000000000004</v>
          </cell>
          <cell r="AH183">
            <v>136182.07999999999</v>
          </cell>
          <cell r="AI183" t="str">
            <v>FI3582</v>
          </cell>
          <cell r="AJ183" t="str">
            <v>A1+</v>
          </cell>
          <cell r="AK183" t="str">
            <v>AA</v>
          </cell>
          <cell r="AL183" t="str">
            <v>5</v>
          </cell>
          <cell r="AM183" t="str">
            <v>3</v>
          </cell>
        </row>
        <row r="184">
          <cell r="C184" t="str">
            <v>INE040A16FM0</v>
          </cell>
          <cell r="D184" t="str">
            <v>FI3310CD291</v>
          </cell>
          <cell r="E184" t="str">
            <v>COD</v>
          </cell>
          <cell r="F184" t="str">
            <v>HDFC Bank Ltd</v>
          </cell>
          <cell r="G184" t="str">
            <v>HDFC Bank Ltd COD MD 19-09-2025</v>
          </cell>
          <cell r="H184">
            <v>0</v>
          </cell>
          <cell r="I184" t="str">
            <v>19-09-2025</v>
          </cell>
          <cell r="J184" t="str">
            <v>CRISIL A1+</v>
          </cell>
          <cell r="K184">
            <v>0.84</v>
          </cell>
          <cell r="L184">
            <v>500000</v>
          </cell>
          <cell r="M184">
            <v>200</v>
          </cell>
          <cell r="N184">
            <v>7.51</v>
          </cell>
          <cell r="O184">
            <v>470293.5</v>
          </cell>
          <cell r="P184">
            <v>94058700</v>
          </cell>
          <cell r="Q184">
            <v>0</v>
          </cell>
          <cell r="R184">
            <v>1109980.95</v>
          </cell>
          <cell r="S184">
            <v>37019.050000000003</v>
          </cell>
          <cell r="T184">
            <v>94058700</v>
          </cell>
          <cell r="U184">
            <v>2.2599999999999998</v>
          </cell>
          <cell r="V184">
            <v>2.2599999999999998</v>
          </cell>
          <cell r="W184">
            <v>464558.5</v>
          </cell>
          <cell r="X184">
            <v>92911700</v>
          </cell>
          <cell r="Z184" t="str">
            <v>Financial Services</v>
          </cell>
          <cell r="AC184" t="str">
            <v>CD - EXEMPT</v>
          </cell>
          <cell r="AD184">
            <v>308</v>
          </cell>
          <cell r="AE184" t="str">
            <v>Y</v>
          </cell>
          <cell r="AG184">
            <v>7.51</v>
          </cell>
          <cell r="AH184">
            <v>38292.400000000001</v>
          </cell>
          <cell r="AI184" t="str">
            <v>FI3310</v>
          </cell>
          <cell r="AJ184" t="str">
            <v>A1+</v>
          </cell>
          <cell r="AK184" t="str">
            <v>AAA</v>
          </cell>
          <cell r="AL184" t="str">
            <v>2</v>
          </cell>
          <cell r="AM184" t="str">
            <v>1</v>
          </cell>
        </row>
        <row r="185">
          <cell r="C185" t="str">
            <v>INE090AD6113</v>
          </cell>
          <cell r="D185" t="str">
            <v>FI3305CD366</v>
          </cell>
          <cell r="E185" t="str">
            <v>COD</v>
          </cell>
          <cell r="F185" t="str">
            <v>ICICI Bank Ltd</v>
          </cell>
          <cell r="G185" t="str">
            <v>ICICI Bank Ltd COD MD 31-01-2025</v>
          </cell>
          <cell r="H185">
            <v>0</v>
          </cell>
          <cell r="I185" t="str">
            <v>31-01-2025</v>
          </cell>
          <cell r="J185" t="str">
            <v>ICRA A1+</v>
          </cell>
          <cell r="K185">
            <v>0.21</v>
          </cell>
          <cell r="L185">
            <v>500000</v>
          </cell>
          <cell r="M185">
            <v>200</v>
          </cell>
          <cell r="N185">
            <v>7.1151</v>
          </cell>
          <cell r="O185">
            <v>492700.5</v>
          </cell>
          <cell r="P185">
            <v>98540100</v>
          </cell>
          <cell r="Q185">
            <v>0</v>
          </cell>
          <cell r="R185">
            <v>5572615.54</v>
          </cell>
          <cell r="S185">
            <v>47284.46</v>
          </cell>
          <cell r="T185">
            <v>98540100</v>
          </cell>
          <cell r="U185">
            <v>2.37</v>
          </cell>
          <cell r="V185">
            <v>2.37</v>
          </cell>
          <cell r="W185">
            <v>464601</v>
          </cell>
          <cell r="X185">
            <v>92920200</v>
          </cell>
          <cell r="Z185" t="str">
            <v>Financial Services</v>
          </cell>
          <cell r="AC185" t="str">
            <v>CD - EXEMPT</v>
          </cell>
          <cell r="AD185">
            <v>77</v>
          </cell>
          <cell r="AE185" t="str">
            <v>Y</v>
          </cell>
          <cell r="AG185">
            <v>7.1151</v>
          </cell>
          <cell r="AH185">
            <v>48215.839999999997</v>
          </cell>
          <cell r="AI185" t="str">
            <v>FI3305</v>
          </cell>
          <cell r="AJ185" t="str">
            <v>A1+</v>
          </cell>
          <cell r="AK185" t="str">
            <v>AAA</v>
          </cell>
          <cell r="AL185" t="str">
            <v>2</v>
          </cell>
          <cell r="AM185" t="str">
            <v>1</v>
          </cell>
        </row>
        <row r="186">
          <cell r="C186" t="str">
            <v>INE092T16WB9</v>
          </cell>
          <cell r="D186" t="str">
            <v>FI3437CD267</v>
          </cell>
          <cell r="E186" t="str">
            <v>COD</v>
          </cell>
          <cell r="F186" t="str">
            <v>IDFC First Bank Ltd</v>
          </cell>
          <cell r="G186" t="str">
            <v>IDFC FIRST BANK LTD COD MD 21-02-2025</v>
          </cell>
          <cell r="H186">
            <v>0</v>
          </cell>
          <cell r="I186" t="str">
            <v>21-02-2025</v>
          </cell>
          <cell r="J186" t="str">
            <v>CRISIL A1+</v>
          </cell>
          <cell r="K186">
            <v>0.27</v>
          </cell>
          <cell r="L186">
            <v>500000</v>
          </cell>
          <cell r="M186">
            <v>200</v>
          </cell>
          <cell r="N186">
            <v>7.2133000000000003</v>
          </cell>
          <cell r="O186">
            <v>490595.5</v>
          </cell>
          <cell r="P186">
            <v>98119100</v>
          </cell>
          <cell r="Q186">
            <v>0</v>
          </cell>
          <cell r="R186">
            <v>5356871.0999999996</v>
          </cell>
          <cell r="S186">
            <v>65228.9</v>
          </cell>
          <cell r="T186">
            <v>98119100</v>
          </cell>
          <cell r="U186">
            <v>2.36</v>
          </cell>
          <cell r="V186">
            <v>2.36</v>
          </cell>
          <cell r="W186">
            <v>463485</v>
          </cell>
          <cell r="X186">
            <v>92697000</v>
          </cell>
          <cell r="Z186" t="str">
            <v>Financial Services</v>
          </cell>
          <cell r="AC186" t="str">
            <v>CD - EXEMPT</v>
          </cell>
          <cell r="AD186">
            <v>98</v>
          </cell>
          <cell r="AE186" t="str">
            <v>Y</v>
          </cell>
          <cell r="AG186">
            <v>7.2133000000000003</v>
          </cell>
          <cell r="AH186">
            <v>66292.08</v>
          </cell>
          <cell r="AI186" t="str">
            <v>FI3437</v>
          </cell>
          <cell r="AJ186" t="str">
            <v>A1+</v>
          </cell>
          <cell r="AK186" t="str">
            <v>AA+</v>
          </cell>
          <cell r="AL186" t="str">
            <v>3</v>
          </cell>
          <cell r="AM186" t="str">
            <v>2</v>
          </cell>
        </row>
        <row r="187">
          <cell r="C187" t="str">
            <v>INE095A16V79</v>
          </cell>
          <cell r="D187" t="str">
            <v>FI3307CD337</v>
          </cell>
          <cell r="E187" t="str">
            <v>COD</v>
          </cell>
          <cell r="F187" t="str">
            <v>IndusInd Bank Ltd</v>
          </cell>
          <cell r="G187" t="str">
            <v>INDUSIND BANK LTD COD MD 24-02-2025</v>
          </cell>
          <cell r="H187">
            <v>0</v>
          </cell>
          <cell r="I187" t="str">
            <v>24-02-2025</v>
          </cell>
          <cell r="J187" t="str">
            <v>CRISIL A1+</v>
          </cell>
          <cell r="K187">
            <v>0.28000000000000003</v>
          </cell>
          <cell r="L187">
            <v>500000</v>
          </cell>
          <cell r="M187">
            <v>200</v>
          </cell>
          <cell r="N187">
            <v>7.2102000000000004</v>
          </cell>
          <cell r="O187">
            <v>490314.5</v>
          </cell>
          <cell r="P187">
            <v>98062900</v>
          </cell>
          <cell r="Q187">
            <v>0</v>
          </cell>
          <cell r="R187">
            <v>5315320.5599999996</v>
          </cell>
          <cell r="S187">
            <v>76279.44</v>
          </cell>
          <cell r="T187">
            <v>98062900</v>
          </cell>
          <cell r="U187">
            <v>2.36</v>
          </cell>
          <cell r="V187">
            <v>2.36</v>
          </cell>
          <cell r="W187">
            <v>463356.5</v>
          </cell>
          <cell r="X187">
            <v>92671300</v>
          </cell>
          <cell r="Z187" t="str">
            <v>Financial Services</v>
          </cell>
          <cell r="AC187" t="str">
            <v>CD - EXEMPT</v>
          </cell>
          <cell r="AD187">
            <v>101</v>
          </cell>
          <cell r="AE187" t="str">
            <v>Y</v>
          </cell>
          <cell r="AG187">
            <v>7.2102000000000004</v>
          </cell>
          <cell r="AH187">
            <v>77413.23</v>
          </cell>
          <cell r="AI187" t="str">
            <v>FI3307</v>
          </cell>
          <cell r="AJ187" t="str">
            <v>A1+</v>
          </cell>
          <cell r="AK187" t="str">
            <v>AA+</v>
          </cell>
          <cell r="AL187" t="str">
            <v>3</v>
          </cell>
          <cell r="AM187" t="str">
            <v>2</v>
          </cell>
        </row>
        <row r="188">
          <cell r="C188" t="str">
            <v>INE160A16OP1</v>
          </cell>
          <cell r="D188" t="str">
            <v>FI3316CD366</v>
          </cell>
          <cell r="E188" t="str">
            <v>COD</v>
          </cell>
          <cell r="F188" t="str">
            <v>Punjab National Bank</v>
          </cell>
          <cell r="G188" t="str">
            <v>Punjab National Bank CD MD 11-03-2025</v>
          </cell>
          <cell r="H188">
            <v>0</v>
          </cell>
          <cell r="I188" t="str">
            <v>11-03-2025</v>
          </cell>
          <cell r="J188" t="str">
            <v>CRISIL A1+</v>
          </cell>
          <cell r="K188">
            <v>0.32</v>
          </cell>
          <cell r="L188">
            <v>500000</v>
          </cell>
          <cell r="M188">
            <v>400</v>
          </cell>
          <cell r="N188">
            <v>7.1898999999999997</v>
          </cell>
          <cell r="O188">
            <v>488924.5</v>
          </cell>
          <cell r="P188">
            <v>195569800</v>
          </cell>
          <cell r="Q188">
            <v>0</v>
          </cell>
          <cell r="R188">
            <v>1974606</v>
          </cell>
          <cell r="S188">
            <v>111394</v>
          </cell>
          <cell r="T188">
            <v>195569800</v>
          </cell>
          <cell r="U188">
            <v>4.71</v>
          </cell>
          <cell r="V188">
            <v>4.71</v>
          </cell>
          <cell r="W188">
            <v>483709.5</v>
          </cell>
          <cell r="X188">
            <v>193483800</v>
          </cell>
          <cell r="Z188" t="str">
            <v>Financial Services</v>
          </cell>
          <cell r="AC188" t="str">
            <v>CD - EXEMPT</v>
          </cell>
          <cell r="AD188">
            <v>116</v>
          </cell>
          <cell r="AE188" t="str">
            <v>N</v>
          </cell>
          <cell r="AG188">
            <v>7.1898999999999997</v>
          </cell>
          <cell r="AH188">
            <v>113086.12</v>
          </cell>
          <cell r="AI188" t="str">
            <v>FI3316</v>
          </cell>
          <cell r="AJ188" t="str">
            <v>A1+</v>
          </cell>
          <cell r="AK188" t="str">
            <v>AAA</v>
          </cell>
          <cell r="AL188" t="str">
            <v>1</v>
          </cell>
          <cell r="AM188" t="str">
            <v>1</v>
          </cell>
        </row>
        <row r="189">
          <cell r="C189" t="str">
            <v>INE238AD6579</v>
          </cell>
          <cell r="D189" t="str">
            <v>FI3319CD521</v>
          </cell>
          <cell r="E189" t="str">
            <v>COD</v>
          </cell>
          <cell r="F189" t="str">
            <v>Axis Bank Ltd</v>
          </cell>
          <cell r="G189" t="str">
            <v>AXIS Bank Ltd CD 29 11 2024</v>
          </cell>
          <cell r="H189">
            <v>0</v>
          </cell>
          <cell r="I189" t="str">
            <v>29-11-2024</v>
          </cell>
          <cell r="J189" t="str">
            <v>CRISIL A1+</v>
          </cell>
          <cell r="K189">
            <v>0.04</v>
          </cell>
          <cell r="L189">
            <v>500000</v>
          </cell>
          <cell r="M189">
            <v>100</v>
          </cell>
          <cell r="N189">
            <v>6.7998000000000003</v>
          </cell>
          <cell r="O189">
            <v>498792</v>
          </cell>
          <cell r="P189">
            <v>49879200</v>
          </cell>
          <cell r="Q189">
            <v>0</v>
          </cell>
          <cell r="R189">
            <v>1624535.83</v>
          </cell>
          <cell r="S189">
            <v>8764.17</v>
          </cell>
          <cell r="T189">
            <v>49879200</v>
          </cell>
          <cell r="U189">
            <v>1.2</v>
          </cell>
          <cell r="V189">
            <v>1.2</v>
          </cell>
          <cell r="W189">
            <v>482459</v>
          </cell>
          <cell r="X189">
            <v>48245900</v>
          </cell>
          <cell r="Z189" t="str">
            <v>Financial Services</v>
          </cell>
          <cell r="AC189" t="str">
            <v>CD - EXEMPT</v>
          </cell>
          <cell r="AD189">
            <v>14</v>
          </cell>
          <cell r="AE189" t="str">
            <v>Y</v>
          </cell>
          <cell r="AG189">
            <v>6.7998000000000003</v>
          </cell>
          <cell r="AH189">
            <v>9480.64</v>
          </cell>
          <cell r="AI189" t="str">
            <v>FI3319</v>
          </cell>
          <cell r="AJ189" t="str">
            <v>A1+</v>
          </cell>
          <cell r="AK189" t="str">
            <v>AAA</v>
          </cell>
          <cell r="AL189" t="str">
            <v>2</v>
          </cell>
          <cell r="AM189" t="str">
            <v>1</v>
          </cell>
        </row>
        <row r="190">
          <cell r="C190" t="str">
            <v>INE261F16785</v>
          </cell>
          <cell r="D190" t="str">
            <v>FI35NACD352</v>
          </cell>
          <cell r="E190" t="str">
            <v>COD</v>
          </cell>
          <cell r="F190" t="str">
            <v>National Bank for Agriculture &amp; Rural Development</v>
          </cell>
          <cell r="G190" t="str">
            <v>NABARD CD MD 07.02.2025</v>
          </cell>
          <cell r="H190">
            <v>0</v>
          </cell>
          <cell r="I190" t="str">
            <v>07-02-2025</v>
          </cell>
          <cell r="J190" t="str">
            <v>CRISIL A1+</v>
          </cell>
          <cell r="K190">
            <v>0.23</v>
          </cell>
          <cell r="L190">
            <v>500000</v>
          </cell>
          <cell r="M190">
            <v>200</v>
          </cell>
          <cell r="N190">
            <v>7.16</v>
          </cell>
          <cell r="O190">
            <v>491989.5</v>
          </cell>
          <cell r="P190">
            <v>98397900</v>
          </cell>
          <cell r="Q190">
            <v>0</v>
          </cell>
          <cell r="R190">
            <v>5642292.9400000004</v>
          </cell>
          <cell r="S190">
            <v>52707.06</v>
          </cell>
          <cell r="T190">
            <v>98397900</v>
          </cell>
          <cell r="U190">
            <v>2.37</v>
          </cell>
          <cell r="V190">
            <v>2.37</v>
          </cell>
          <cell r="W190">
            <v>463514.5</v>
          </cell>
          <cell r="X190">
            <v>92702900</v>
          </cell>
          <cell r="Z190" t="str">
            <v>Financial Services</v>
          </cell>
          <cell r="AC190" t="str">
            <v>CD - EXEMPT</v>
          </cell>
          <cell r="AD190">
            <v>84</v>
          </cell>
          <cell r="AE190" t="str">
            <v>Y</v>
          </cell>
          <cell r="AG190">
            <v>7.16</v>
          </cell>
          <cell r="AH190">
            <v>53644.5</v>
          </cell>
          <cell r="AI190" t="str">
            <v>FI35NA</v>
          </cell>
          <cell r="AJ190" t="str">
            <v>A1+</v>
          </cell>
          <cell r="AK190" t="str">
            <v>AAA</v>
          </cell>
          <cell r="AL190" t="str">
            <v>1</v>
          </cell>
          <cell r="AM190" t="str">
            <v>1</v>
          </cell>
        </row>
        <row r="191">
          <cell r="C191" t="str">
            <v>INE261F16819</v>
          </cell>
          <cell r="D191" t="str">
            <v>FI35NACD354</v>
          </cell>
          <cell r="E191" t="str">
            <v>COD</v>
          </cell>
          <cell r="F191" t="str">
            <v>National Bank for Agriculture &amp; Rural Development</v>
          </cell>
          <cell r="G191" t="str">
            <v>NABARD COD MD 26-02-2025</v>
          </cell>
          <cell r="H191">
            <v>0</v>
          </cell>
          <cell r="I191" t="str">
            <v>26-02-2025</v>
          </cell>
          <cell r="J191" t="str">
            <v>CRISIL A1+</v>
          </cell>
          <cell r="K191">
            <v>0.28000000000000003</v>
          </cell>
          <cell r="L191">
            <v>500000</v>
          </cell>
          <cell r="M191">
            <v>200</v>
          </cell>
          <cell r="N191">
            <v>7.2</v>
          </cell>
          <cell r="O191">
            <v>490138.5</v>
          </cell>
          <cell r="P191">
            <v>98027700</v>
          </cell>
          <cell r="Q191">
            <v>0</v>
          </cell>
          <cell r="R191">
            <v>5263481.68</v>
          </cell>
          <cell r="S191">
            <v>61318.32</v>
          </cell>
          <cell r="T191">
            <v>98027700</v>
          </cell>
          <cell r="U191">
            <v>2.36</v>
          </cell>
          <cell r="V191">
            <v>2.36</v>
          </cell>
          <cell r="W191">
            <v>463514.5</v>
          </cell>
          <cell r="X191">
            <v>92702900</v>
          </cell>
          <cell r="Z191" t="str">
            <v>Financial Services</v>
          </cell>
          <cell r="AC191" t="str">
            <v>CD - EXEMPT</v>
          </cell>
          <cell r="AD191">
            <v>103</v>
          </cell>
          <cell r="AE191" t="str">
            <v>Y</v>
          </cell>
          <cell r="AG191">
            <v>7.2</v>
          </cell>
          <cell r="AH191">
            <v>62255.75</v>
          </cell>
          <cell r="AI191" t="str">
            <v>FI35NA</v>
          </cell>
          <cell r="AJ191" t="str">
            <v>A1+</v>
          </cell>
          <cell r="AK191" t="str">
            <v>AAA</v>
          </cell>
          <cell r="AL191" t="str">
            <v>1</v>
          </cell>
          <cell r="AM191" t="str">
            <v>1</v>
          </cell>
        </row>
        <row r="192">
          <cell r="C192" t="str">
            <v>INE476A16YB0</v>
          </cell>
          <cell r="D192" t="str">
            <v>FI3320CD471</v>
          </cell>
          <cell r="E192" t="str">
            <v>COD</v>
          </cell>
          <cell r="F192" t="str">
            <v>Canara Bank</v>
          </cell>
          <cell r="G192" t="str">
            <v>CANARA BANK COD MD 20-03-2025</v>
          </cell>
          <cell r="H192">
            <v>0</v>
          </cell>
          <cell r="I192" t="str">
            <v>20-03-2025</v>
          </cell>
          <cell r="J192" t="str">
            <v>CRISIL A1+</v>
          </cell>
          <cell r="K192">
            <v>0.34</v>
          </cell>
          <cell r="L192">
            <v>500000</v>
          </cell>
          <cell r="M192">
            <v>200</v>
          </cell>
          <cell r="N192">
            <v>7.1950000000000003</v>
          </cell>
          <cell r="O192">
            <v>488070</v>
          </cell>
          <cell r="P192">
            <v>97614000</v>
          </cell>
          <cell r="Q192">
            <v>0</v>
          </cell>
          <cell r="R192">
            <v>3439526.04</v>
          </cell>
          <cell r="S192">
            <v>10073.959999999999</v>
          </cell>
          <cell r="T192">
            <v>97614000</v>
          </cell>
          <cell r="U192">
            <v>2.35</v>
          </cell>
          <cell r="V192">
            <v>2.35</v>
          </cell>
          <cell r="W192">
            <v>470822</v>
          </cell>
          <cell r="X192">
            <v>94164400</v>
          </cell>
          <cell r="Z192" t="str">
            <v>Financial Services</v>
          </cell>
          <cell r="AC192" t="str">
            <v>CD - EXEMPT</v>
          </cell>
          <cell r="AD192">
            <v>125</v>
          </cell>
          <cell r="AE192" t="str">
            <v>Y</v>
          </cell>
          <cell r="AG192">
            <v>7.1950000000000003</v>
          </cell>
          <cell r="AH192">
            <v>10697.14</v>
          </cell>
          <cell r="AI192" t="str">
            <v>FI3320</v>
          </cell>
          <cell r="AJ192" t="str">
            <v>A1+</v>
          </cell>
          <cell r="AK192" t="str">
            <v>AAA</v>
          </cell>
          <cell r="AL192" t="str">
            <v>1</v>
          </cell>
          <cell r="AM192" t="str">
            <v>1</v>
          </cell>
        </row>
        <row r="193">
          <cell r="C193" t="str">
            <v>INE562A16MZ1</v>
          </cell>
          <cell r="D193" t="str">
            <v>FI3345CD302</v>
          </cell>
          <cell r="E193" t="str">
            <v>COD</v>
          </cell>
          <cell r="F193" t="str">
            <v>Indian Bank</v>
          </cell>
          <cell r="G193" t="str">
            <v>INDIAN BANK LTD COD MD 23-05-2025</v>
          </cell>
          <cell r="H193">
            <v>0</v>
          </cell>
          <cell r="I193" t="str">
            <v>23-05-2025</v>
          </cell>
          <cell r="J193" t="str">
            <v>CRISIL A1+</v>
          </cell>
          <cell r="K193">
            <v>0.52</v>
          </cell>
          <cell r="L193">
            <v>500000</v>
          </cell>
          <cell r="M193">
            <v>200</v>
          </cell>
          <cell r="N193">
            <v>7.4250999999999996</v>
          </cell>
          <cell r="O193">
            <v>481582.5</v>
          </cell>
          <cell r="P193">
            <v>96316500</v>
          </cell>
          <cell r="Q193">
            <v>0</v>
          </cell>
          <cell r="R193">
            <v>3351993.11</v>
          </cell>
          <cell r="S193">
            <v>-19693.11</v>
          </cell>
          <cell r="T193">
            <v>96316500</v>
          </cell>
          <cell r="U193">
            <v>2.3199999999999998</v>
          </cell>
          <cell r="V193">
            <v>2.3199999999999998</v>
          </cell>
          <cell r="W193">
            <v>464921</v>
          </cell>
          <cell r="X193">
            <v>92984200</v>
          </cell>
          <cell r="Z193" t="str">
            <v>Financial Services</v>
          </cell>
          <cell r="AC193" t="str">
            <v>CD - EXEMPT</v>
          </cell>
          <cell r="AD193">
            <v>189</v>
          </cell>
          <cell r="AE193" t="str">
            <v>Y</v>
          </cell>
          <cell r="AG193">
            <v>7.4250999999999996</v>
          </cell>
          <cell r="AH193">
            <v>-19104.78</v>
          </cell>
          <cell r="AI193" t="str">
            <v>FI3345</v>
          </cell>
          <cell r="AJ193" t="str">
            <v>A1+</v>
          </cell>
          <cell r="AK193" t="str">
            <v>AA+</v>
          </cell>
          <cell r="AL193" t="str">
            <v>3</v>
          </cell>
          <cell r="AM193" t="str">
            <v>2</v>
          </cell>
        </row>
        <row r="194">
          <cell r="C194" t="str">
            <v>INE692A16HP7</v>
          </cell>
          <cell r="D194" t="str">
            <v>FI3321CD273</v>
          </cell>
          <cell r="E194" t="str">
            <v>COD</v>
          </cell>
          <cell r="F194" t="str">
            <v>Union Bank of India</v>
          </cell>
          <cell r="G194" t="str">
            <v>Union Bank of India COD MD 18-03-2025</v>
          </cell>
          <cell r="H194">
            <v>0</v>
          </cell>
          <cell r="I194" t="str">
            <v>18-03-2025</v>
          </cell>
          <cell r="J194" t="str">
            <v>ICRA A1+</v>
          </cell>
          <cell r="K194">
            <v>0.34</v>
          </cell>
          <cell r="L194">
            <v>500000</v>
          </cell>
          <cell r="M194">
            <v>300</v>
          </cell>
          <cell r="N194">
            <v>7.2050000000000001</v>
          </cell>
          <cell r="O194">
            <v>488242</v>
          </cell>
          <cell r="P194">
            <v>146472600</v>
          </cell>
          <cell r="Q194">
            <v>0</v>
          </cell>
          <cell r="R194">
            <v>1545431.16</v>
          </cell>
          <cell r="S194">
            <v>98418.84</v>
          </cell>
          <cell r="T194">
            <v>146472600</v>
          </cell>
          <cell r="U194">
            <v>3.52</v>
          </cell>
          <cell r="V194">
            <v>3.52</v>
          </cell>
          <cell r="W194">
            <v>482762.5</v>
          </cell>
          <cell r="X194">
            <v>144828750</v>
          </cell>
          <cell r="Z194" t="str">
            <v>Financial Services</v>
          </cell>
          <cell r="AC194" t="str">
            <v>CD - EXEMPT</v>
          </cell>
          <cell r="AD194">
            <v>123</v>
          </cell>
          <cell r="AE194" t="str">
            <v>Y</v>
          </cell>
          <cell r="AG194">
            <v>7.2050000000000001</v>
          </cell>
          <cell r="AH194">
            <v>99938.67</v>
          </cell>
          <cell r="AI194" t="str">
            <v>FI3321</v>
          </cell>
          <cell r="AJ194" t="str">
            <v>A1+</v>
          </cell>
          <cell r="AK194" t="str">
            <v>AAA</v>
          </cell>
          <cell r="AL194" t="str">
            <v>1</v>
          </cell>
          <cell r="AM194" t="str">
            <v>1</v>
          </cell>
        </row>
        <row r="195">
          <cell r="C195" t="str">
            <v>INE949L16CX3</v>
          </cell>
          <cell r="D195" t="str">
            <v>FI3391CD201</v>
          </cell>
          <cell r="E195" t="str">
            <v>COD</v>
          </cell>
          <cell r="F195" t="str">
            <v>AU Small Finance Bank Ltd</v>
          </cell>
          <cell r="G195" t="str">
            <v>AU Small Finance Bank Ltd COD MD 01-10-2025</v>
          </cell>
          <cell r="H195">
            <v>0</v>
          </cell>
          <cell r="I195" t="str">
            <v>01-10-2025</v>
          </cell>
          <cell r="J195" t="str">
            <v>CRISIL A1+</v>
          </cell>
          <cell r="K195">
            <v>0.88</v>
          </cell>
          <cell r="L195">
            <v>500000</v>
          </cell>
          <cell r="M195">
            <v>500</v>
          </cell>
          <cell r="N195">
            <v>7.915</v>
          </cell>
          <cell r="O195">
            <v>467650.5</v>
          </cell>
          <cell r="P195">
            <v>233825250</v>
          </cell>
          <cell r="Q195">
            <v>0</v>
          </cell>
          <cell r="R195">
            <v>2228090.92</v>
          </cell>
          <cell r="S195">
            <v>-21090.92</v>
          </cell>
          <cell r="T195">
            <v>233825250</v>
          </cell>
          <cell r="U195">
            <v>5.63</v>
          </cell>
          <cell r="V195">
            <v>5.63</v>
          </cell>
          <cell r="W195">
            <v>463236.5</v>
          </cell>
          <cell r="X195">
            <v>231618250</v>
          </cell>
          <cell r="Z195" t="str">
            <v>Financial Services</v>
          </cell>
          <cell r="AC195" t="str">
            <v>CD - EXEMPT</v>
          </cell>
          <cell r="AD195">
            <v>320</v>
          </cell>
          <cell r="AE195" t="str">
            <v>Y</v>
          </cell>
          <cell r="AG195">
            <v>7.915</v>
          </cell>
          <cell r="AH195">
            <v>-17952.490000000002</v>
          </cell>
          <cell r="AI195" t="str">
            <v>FI3391</v>
          </cell>
          <cell r="AJ195" t="str">
            <v>A1+</v>
          </cell>
          <cell r="AK195" t="str">
            <v>AA</v>
          </cell>
          <cell r="AL195" t="str">
            <v>4</v>
          </cell>
          <cell r="AM195" t="str">
            <v>3</v>
          </cell>
        </row>
        <row r="196">
          <cell r="C196" t="str">
            <v>IN0020220037</v>
          </cell>
          <cell r="D196" t="str">
            <v>7.38GSEC200627</v>
          </cell>
          <cell r="E196" t="str">
            <v>GSE</v>
          </cell>
          <cell r="F196" t="str">
            <v>Govt. of India - GSec / TBL</v>
          </cell>
          <cell r="G196" t="str">
            <v>7.38% Central Government Securities 20/06/2027</v>
          </cell>
          <cell r="H196">
            <v>7.38</v>
          </cell>
          <cell r="I196" t="str">
            <v>20-06-2027</v>
          </cell>
          <cell r="J196" t="str">
            <v>Sovereign</v>
          </cell>
          <cell r="K196">
            <v>2.3424</v>
          </cell>
          <cell r="L196">
            <v>100</v>
          </cell>
          <cell r="M196">
            <v>1000000</v>
          </cell>
          <cell r="N196">
            <v>6.8573000000000004</v>
          </cell>
          <cell r="O196">
            <v>101.4824</v>
          </cell>
          <cell r="P196">
            <v>101482400</v>
          </cell>
          <cell r="Q196">
            <v>2993000</v>
          </cell>
          <cell r="R196">
            <v>0</v>
          </cell>
          <cell r="S196">
            <v>556150</v>
          </cell>
          <cell r="T196">
            <v>104475400</v>
          </cell>
          <cell r="U196">
            <v>2.44</v>
          </cell>
          <cell r="V196">
            <v>2.5099999999999998</v>
          </cell>
          <cell r="W196">
            <v>100.92625</v>
          </cell>
          <cell r="X196">
            <v>100926250</v>
          </cell>
          <cell r="Y196" t="str">
            <v>20-12-2024</v>
          </cell>
          <cell r="Z196" t="str">
            <v>Exempt - GSECs</v>
          </cell>
          <cell r="AC196" t="str">
            <v>Exempt - GSECs</v>
          </cell>
          <cell r="AD196">
            <v>947</v>
          </cell>
          <cell r="AE196" t="str">
            <v>Y</v>
          </cell>
          <cell r="AF196" t="str">
            <v>20-06-2024</v>
          </cell>
          <cell r="AG196">
            <v>6.8573000000000004</v>
          </cell>
          <cell r="AH196">
            <v>557450</v>
          </cell>
          <cell r="AI196" t="str">
            <v>GOVT.</v>
          </cell>
          <cell r="AJ196" t="str">
            <v>Gsec</v>
          </cell>
          <cell r="AK196" t="str">
            <v>Gsec</v>
          </cell>
          <cell r="AL196" t="str">
            <v>1</v>
          </cell>
          <cell r="AM196" t="str">
            <v>1</v>
          </cell>
        </row>
        <row r="197">
          <cell r="C197" t="str">
            <v>IN0020230135</v>
          </cell>
          <cell r="D197" t="str">
            <v>7.32GSE131130</v>
          </cell>
          <cell r="E197" t="str">
            <v>GSE</v>
          </cell>
          <cell r="F197" t="str">
            <v>Govt. of India - GSec / TBL</v>
          </cell>
          <cell r="G197" t="str">
            <v>7.32% Government Securities-13/11/2030</v>
          </cell>
          <cell r="H197">
            <v>7.32</v>
          </cell>
          <cell r="I197" t="str">
            <v>13-11-2030</v>
          </cell>
          <cell r="J197" t="str">
            <v>Sovereign</v>
          </cell>
          <cell r="K197">
            <v>4.9672999999999998</v>
          </cell>
          <cell r="L197">
            <v>100</v>
          </cell>
          <cell r="M197">
            <v>500000</v>
          </cell>
          <cell r="N197">
            <v>6.9595000000000002</v>
          </cell>
          <cell r="O197">
            <v>102.3147</v>
          </cell>
          <cell r="P197">
            <v>51157350</v>
          </cell>
          <cell r="Q197">
            <v>30500</v>
          </cell>
          <cell r="R197">
            <v>0</v>
          </cell>
          <cell r="S197">
            <v>-397650</v>
          </cell>
          <cell r="T197">
            <v>51187850</v>
          </cell>
          <cell r="U197">
            <v>1.23</v>
          </cell>
          <cell r="V197">
            <v>1.23</v>
          </cell>
          <cell r="W197">
            <v>103.11</v>
          </cell>
          <cell r="X197">
            <v>51555000</v>
          </cell>
          <cell r="Y197" t="str">
            <v>13-05-2025</v>
          </cell>
          <cell r="Z197" t="str">
            <v>Exempt - GSECs</v>
          </cell>
          <cell r="AC197" t="str">
            <v>Exempt - GSECs</v>
          </cell>
          <cell r="AD197">
            <v>2189</v>
          </cell>
          <cell r="AE197" t="str">
            <v>Y</v>
          </cell>
          <cell r="AF197" t="str">
            <v>13-11-2024</v>
          </cell>
          <cell r="AG197">
            <v>6.9595000000000002</v>
          </cell>
          <cell r="AH197">
            <v>-397050</v>
          </cell>
          <cell r="AI197" t="str">
            <v>GOVT.</v>
          </cell>
          <cell r="AJ197" t="str">
            <v>Gsec</v>
          </cell>
          <cell r="AK197" t="str">
            <v>Gsec</v>
          </cell>
          <cell r="AL197" t="str">
            <v>1</v>
          </cell>
          <cell r="AM197" t="str">
            <v>1</v>
          </cell>
        </row>
        <row r="198">
          <cell r="C198" t="str">
            <v>IN0020240050</v>
          </cell>
          <cell r="D198" t="str">
            <v>7.05GSE220464</v>
          </cell>
          <cell r="E198" t="str">
            <v>GSE</v>
          </cell>
          <cell r="F198" t="str">
            <v>Govt. of India - GSec / TBL</v>
          </cell>
          <cell r="G198" t="str">
            <v>7.04% Central Government Securities 03/06/2029</v>
          </cell>
          <cell r="H198">
            <v>7.04</v>
          </cell>
          <cell r="I198" t="str">
            <v>03-06-2029</v>
          </cell>
          <cell r="J198" t="str">
            <v>Sovereign</v>
          </cell>
          <cell r="K198">
            <v>3.8515999999999999</v>
          </cell>
          <cell r="L198">
            <v>100</v>
          </cell>
          <cell r="M198">
            <v>400000</v>
          </cell>
          <cell r="N198">
            <v>6.9227999999999996</v>
          </cell>
          <cell r="O198">
            <v>100.89319999999999</v>
          </cell>
          <cell r="P198">
            <v>40357280</v>
          </cell>
          <cell r="Q198">
            <v>1275022.22</v>
          </cell>
          <cell r="R198">
            <v>0</v>
          </cell>
          <cell r="S198">
            <v>-190720</v>
          </cell>
          <cell r="T198">
            <v>41632302.219999999</v>
          </cell>
          <cell r="U198">
            <v>0.97</v>
          </cell>
          <cell r="V198">
            <v>1</v>
          </cell>
          <cell r="W198">
            <v>101.37</v>
          </cell>
          <cell r="X198">
            <v>40548000</v>
          </cell>
          <cell r="Y198" t="str">
            <v>03-12-2024</v>
          </cell>
          <cell r="Z198" t="str">
            <v>Exempt - GSECs</v>
          </cell>
          <cell r="AC198" t="str">
            <v>Exempt - GSECs</v>
          </cell>
          <cell r="AD198">
            <v>1661</v>
          </cell>
          <cell r="AE198" t="str">
            <v>Y</v>
          </cell>
          <cell r="AF198" t="str">
            <v>03-06-2024</v>
          </cell>
          <cell r="AG198">
            <v>6.9227999999999996</v>
          </cell>
          <cell r="AH198">
            <v>-190640</v>
          </cell>
          <cell r="AI198" t="str">
            <v>GOVT.</v>
          </cell>
          <cell r="AJ198" t="str">
            <v>GSEC</v>
          </cell>
          <cell r="AK198" t="str">
            <v>GSEC</v>
          </cell>
          <cell r="AL198" t="str">
            <v>1</v>
          </cell>
          <cell r="AM198" t="str">
            <v>1</v>
          </cell>
        </row>
        <row r="199">
          <cell r="C199" t="str">
            <v>INE020B08ED9</v>
          </cell>
          <cell r="D199" t="str">
            <v>UT47NC322</v>
          </cell>
          <cell r="E199" t="str">
            <v>NCD</v>
          </cell>
          <cell r="F199" t="str">
            <v>REC LTD</v>
          </cell>
          <cell r="G199" t="str">
            <v>7.56% REC Ltd NCD MD 30-06-2026  SERIES  218-A</v>
          </cell>
          <cell r="H199">
            <v>7.56</v>
          </cell>
          <cell r="I199" t="str">
            <v>30-06-2026</v>
          </cell>
          <cell r="J199" t="str">
            <v>CRISIL AAA</v>
          </cell>
          <cell r="K199">
            <v>1.5488999999999999</v>
          </cell>
          <cell r="L199">
            <v>100000</v>
          </cell>
          <cell r="M199">
            <v>1000</v>
          </cell>
          <cell r="N199">
            <v>7.5</v>
          </cell>
          <cell r="O199">
            <v>100024.1</v>
          </cell>
          <cell r="P199">
            <v>100024100</v>
          </cell>
          <cell r="Q199">
            <v>2879013.7</v>
          </cell>
          <cell r="R199">
            <v>0</v>
          </cell>
          <cell r="S199">
            <v>133800</v>
          </cell>
          <cell r="T199">
            <v>102903113.7</v>
          </cell>
          <cell r="U199">
            <v>2.41</v>
          </cell>
          <cell r="V199">
            <v>2.48</v>
          </cell>
          <cell r="W199">
            <v>99890.3</v>
          </cell>
          <cell r="X199">
            <v>99890300</v>
          </cell>
          <cell r="Y199" t="str">
            <v>30-06-2025</v>
          </cell>
          <cell r="Z199" t="str">
            <v>Financial Services</v>
          </cell>
          <cell r="AC199" t="str">
            <v>Exempt - PFI</v>
          </cell>
          <cell r="AD199">
            <v>592</v>
          </cell>
          <cell r="AE199" t="str">
            <v>Y</v>
          </cell>
          <cell r="AF199" t="str">
            <v>30-06-2024</v>
          </cell>
          <cell r="AG199">
            <v>7.5</v>
          </cell>
          <cell r="AH199">
            <v>134200</v>
          </cell>
          <cell r="AI199" t="str">
            <v>UT47</v>
          </cell>
          <cell r="AJ199" t="str">
            <v>A1+</v>
          </cell>
          <cell r="AK199" t="str">
            <v>AAA</v>
          </cell>
          <cell r="AL199" t="str">
            <v>1</v>
          </cell>
          <cell r="AM199" t="str">
            <v>1</v>
          </cell>
        </row>
        <row r="200">
          <cell r="C200" t="str">
            <v>INE020B08EP3</v>
          </cell>
          <cell r="D200" t="str">
            <v>UT47NC318</v>
          </cell>
          <cell r="E200" t="str">
            <v>NCD</v>
          </cell>
          <cell r="F200" t="str">
            <v>REC LTD</v>
          </cell>
          <cell r="G200" t="str">
            <v>7.77% REC NCD MD 30-09-2026</v>
          </cell>
          <cell r="H200">
            <v>7.77</v>
          </cell>
          <cell r="I200" t="str">
            <v>30-09-2026</v>
          </cell>
          <cell r="J200" t="str">
            <v>CRISIL AAA</v>
          </cell>
          <cell r="K200">
            <v>1.7992999999999999</v>
          </cell>
          <cell r="L200">
            <v>100000</v>
          </cell>
          <cell r="M200">
            <v>500</v>
          </cell>
          <cell r="N200">
            <v>7.5</v>
          </cell>
          <cell r="O200">
            <v>100424.4</v>
          </cell>
          <cell r="P200">
            <v>50212200</v>
          </cell>
          <cell r="Q200">
            <v>500260.27</v>
          </cell>
          <cell r="R200">
            <v>0</v>
          </cell>
          <cell r="S200">
            <v>212200</v>
          </cell>
          <cell r="T200">
            <v>50712460.270000003</v>
          </cell>
          <cell r="U200">
            <v>1.21</v>
          </cell>
          <cell r="V200">
            <v>1.22</v>
          </cell>
          <cell r="W200">
            <v>100000</v>
          </cell>
          <cell r="X200">
            <v>50000000</v>
          </cell>
          <cell r="Y200" t="str">
            <v>30-09-2025</v>
          </cell>
          <cell r="Z200" t="str">
            <v>Financial Services</v>
          </cell>
          <cell r="AC200" t="str">
            <v>Exempt - PFI</v>
          </cell>
          <cell r="AD200">
            <v>684</v>
          </cell>
          <cell r="AE200" t="str">
            <v>Y</v>
          </cell>
          <cell r="AF200" t="str">
            <v>30-09-2024</v>
          </cell>
          <cell r="AG200">
            <v>7.5</v>
          </cell>
          <cell r="AH200">
            <v>212800</v>
          </cell>
          <cell r="AI200" t="str">
            <v>UT47</v>
          </cell>
          <cell r="AJ200" t="str">
            <v>A1+</v>
          </cell>
          <cell r="AK200" t="str">
            <v>AAA</v>
          </cell>
          <cell r="AL200" t="str">
            <v>1</v>
          </cell>
          <cell r="AM200" t="str">
            <v>1</v>
          </cell>
        </row>
        <row r="201">
          <cell r="C201" t="str">
            <v>INE020B08FF1</v>
          </cell>
          <cell r="D201" t="str">
            <v>UT47NC321</v>
          </cell>
          <cell r="E201" t="str">
            <v>NCD</v>
          </cell>
          <cell r="F201" t="str">
            <v>REC LTD</v>
          </cell>
          <cell r="G201" t="str">
            <v>7.56% REC LTD NCD MD 31-08-2027  236-B</v>
          </cell>
          <cell r="H201">
            <v>7.56</v>
          </cell>
          <cell r="I201" t="str">
            <v>31-08-2027</v>
          </cell>
          <cell r="J201" t="str">
            <v>ICRA AAA</v>
          </cell>
          <cell r="K201">
            <v>2.5832999999999999</v>
          </cell>
          <cell r="L201">
            <v>100000</v>
          </cell>
          <cell r="M201">
            <v>500</v>
          </cell>
          <cell r="N201">
            <v>7.4966999999999997</v>
          </cell>
          <cell r="O201">
            <v>100109</v>
          </cell>
          <cell r="P201">
            <v>50054500</v>
          </cell>
          <cell r="Q201">
            <v>797424.66</v>
          </cell>
          <cell r="R201">
            <v>0</v>
          </cell>
          <cell r="S201">
            <v>54500</v>
          </cell>
          <cell r="T201">
            <v>50851924.659999996</v>
          </cell>
          <cell r="U201">
            <v>1.2</v>
          </cell>
          <cell r="V201">
            <v>1.22</v>
          </cell>
          <cell r="W201">
            <v>100000</v>
          </cell>
          <cell r="X201">
            <v>50000000</v>
          </cell>
          <cell r="Y201" t="str">
            <v>31-08-2025</v>
          </cell>
          <cell r="Z201" t="str">
            <v>Financial Services</v>
          </cell>
          <cell r="AC201" t="str">
            <v>Exempt - PFI</v>
          </cell>
          <cell r="AD201">
            <v>1019</v>
          </cell>
          <cell r="AE201" t="str">
            <v>Y</v>
          </cell>
          <cell r="AF201" t="str">
            <v>31-08-2024</v>
          </cell>
          <cell r="AG201">
            <v>7.4966999999999997</v>
          </cell>
          <cell r="AH201">
            <v>54800</v>
          </cell>
          <cell r="AI201" t="str">
            <v>UT47</v>
          </cell>
          <cell r="AJ201" t="str">
            <v>A1+</v>
          </cell>
          <cell r="AK201" t="str">
            <v>AAA</v>
          </cell>
          <cell r="AL201" t="str">
            <v>1</v>
          </cell>
          <cell r="AM201" t="str">
            <v>1</v>
          </cell>
        </row>
        <row r="202">
          <cell r="C202" t="str">
            <v>INE041007100</v>
          </cell>
          <cell r="D202" t="str">
            <v>FI3346NC200</v>
          </cell>
          <cell r="E202" t="str">
            <v>NCD</v>
          </cell>
          <cell r="F202" t="str">
            <v>Embassy Office Parks REIT</v>
          </cell>
          <cell r="G202" t="str">
            <v>7.77% Embassy Office Parks REIT NCD MD 05.06.2025 Series VII NCD Call 05-03-2025</v>
          </cell>
          <cell r="H202">
            <v>7.77</v>
          </cell>
          <cell r="I202" t="str">
            <v>05-06-2025</v>
          </cell>
          <cell r="J202" t="str">
            <v>CRISIL AAA</v>
          </cell>
          <cell r="K202">
            <v>0.53879999999999995</v>
          </cell>
          <cell r="L202">
            <v>100000</v>
          </cell>
          <cell r="M202">
            <v>500</v>
          </cell>
          <cell r="N202">
            <v>8.0150000000000006</v>
          </cell>
          <cell r="O202">
            <v>99991.2</v>
          </cell>
          <cell r="P202">
            <v>49995600</v>
          </cell>
          <cell r="Q202">
            <v>498893.44</v>
          </cell>
          <cell r="R202">
            <v>0</v>
          </cell>
          <cell r="S202">
            <v>-4400</v>
          </cell>
          <cell r="T202">
            <v>50494493.439999998</v>
          </cell>
          <cell r="U202">
            <v>1.2</v>
          </cell>
          <cell r="V202">
            <v>1.21</v>
          </cell>
          <cell r="W202">
            <v>100000</v>
          </cell>
          <cell r="X202">
            <v>50000000</v>
          </cell>
          <cell r="Y202" t="str">
            <v>31-12-2024</v>
          </cell>
          <cell r="Z202" t="str">
            <v>Realty</v>
          </cell>
          <cell r="AB202" t="str">
            <v>05-MAR-25</v>
          </cell>
          <cell r="AC202" t="str">
            <v>Realty</v>
          </cell>
          <cell r="AD202">
            <v>202</v>
          </cell>
          <cell r="AE202" t="str">
            <v>Y</v>
          </cell>
          <cell r="AF202" t="str">
            <v>30-09-2024</v>
          </cell>
          <cell r="AG202">
            <v>8.0150000000000006</v>
          </cell>
          <cell r="AH202">
            <v>-4400</v>
          </cell>
          <cell r="AI202" t="str">
            <v>FI3446</v>
          </cell>
          <cell r="AJ202" t="str">
            <v>A1+</v>
          </cell>
          <cell r="AK202" t="str">
            <v>AAA</v>
          </cell>
          <cell r="AL202" t="str">
            <v>2</v>
          </cell>
          <cell r="AM202" t="str">
            <v>1</v>
          </cell>
        </row>
        <row r="203">
          <cell r="C203" t="str">
            <v>INE053F08304</v>
          </cell>
          <cell r="D203" t="str">
            <v>FI3567IRFC248</v>
          </cell>
          <cell r="E203" t="str">
            <v>NCD</v>
          </cell>
          <cell r="F203" t="str">
            <v>Indian Railway Finance Corporation Ltd</v>
          </cell>
          <cell r="G203" t="str">
            <v>7.23% Indian Railway Finance Corporation Ltd NCD 15-10-2026</v>
          </cell>
          <cell r="H203">
            <v>7.23</v>
          </cell>
          <cell r="I203" t="str">
            <v>15-10-2026</v>
          </cell>
          <cell r="J203" t="str">
            <v>CRISIL AAA</v>
          </cell>
          <cell r="K203">
            <v>1.7794000000000001</v>
          </cell>
          <cell r="L203">
            <v>100000</v>
          </cell>
          <cell r="M203">
            <v>1000</v>
          </cell>
          <cell r="N203">
            <v>7.4</v>
          </cell>
          <cell r="O203">
            <v>99700.5</v>
          </cell>
          <cell r="P203">
            <v>99700500</v>
          </cell>
          <cell r="Q203">
            <v>4258767.12</v>
          </cell>
          <cell r="R203">
            <v>0</v>
          </cell>
          <cell r="S203">
            <v>633400</v>
          </cell>
          <cell r="T203">
            <v>103959267.12</v>
          </cell>
          <cell r="U203">
            <v>2.4</v>
          </cell>
          <cell r="V203">
            <v>2.5</v>
          </cell>
          <cell r="W203">
            <v>99067.1</v>
          </cell>
          <cell r="X203">
            <v>99067100</v>
          </cell>
          <cell r="Y203" t="str">
            <v>15-04-2025</v>
          </cell>
          <cell r="Z203" t="str">
            <v>Financial Services</v>
          </cell>
          <cell r="AC203" t="str">
            <v>Exempt - PFI</v>
          </cell>
          <cell r="AD203">
            <v>699</v>
          </cell>
          <cell r="AE203" t="str">
            <v>Y</v>
          </cell>
          <cell r="AF203" t="str">
            <v>15-04-2024</v>
          </cell>
          <cell r="AG203">
            <v>7.4</v>
          </cell>
          <cell r="AH203">
            <v>632900</v>
          </cell>
          <cell r="AI203" t="str">
            <v>FI3567</v>
          </cell>
          <cell r="AJ203" t="str">
            <v>A1+</v>
          </cell>
          <cell r="AK203" t="str">
            <v>AAA</v>
          </cell>
          <cell r="AL203" t="str">
            <v>1</v>
          </cell>
          <cell r="AM203" t="str">
            <v>1</v>
          </cell>
        </row>
        <row r="204">
          <cell r="C204" t="str">
            <v>INE115A07OY6</v>
          </cell>
          <cell r="D204" t="str">
            <v>FILICNC376</v>
          </cell>
          <cell r="E204" t="str">
            <v>NCD</v>
          </cell>
          <cell r="F204" t="str">
            <v>LIC Housing Finance Ltd</v>
          </cell>
          <cell r="G204" t="str">
            <v>5.7760% LIC Housing Finance Ltd NCD MD 11-09-2025</v>
          </cell>
          <cell r="H204">
            <v>5.7759999999999998</v>
          </cell>
          <cell r="I204" t="str">
            <v>11-09-2025</v>
          </cell>
          <cell r="J204" t="str">
            <v>CRISIL AAA</v>
          </cell>
          <cell r="K204">
            <v>0.81920000000000004</v>
          </cell>
          <cell r="L204">
            <v>1000000</v>
          </cell>
          <cell r="M204">
            <v>140</v>
          </cell>
          <cell r="N204">
            <v>7.68</v>
          </cell>
          <cell r="O204">
            <v>984708</v>
          </cell>
          <cell r="P204">
            <v>137859120</v>
          </cell>
          <cell r="Q204">
            <v>1462198.36</v>
          </cell>
          <cell r="R204">
            <v>0</v>
          </cell>
          <cell r="S204">
            <v>857500</v>
          </cell>
          <cell r="T204">
            <v>139321318.36000001</v>
          </cell>
          <cell r="U204">
            <v>3.32</v>
          </cell>
          <cell r="V204">
            <v>3.35</v>
          </cell>
          <cell r="W204">
            <v>978583</v>
          </cell>
          <cell r="X204">
            <v>137001620</v>
          </cell>
          <cell r="Y204" t="str">
            <v>11-09-2025</v>
          </cell>
          <cell r="Z204" t="str">
            <v>Financial Services</v>
          </cell>
          <cell r="AC204" t="str">
            <v>HOUSING FINANCE</v>
          </cell>
          <cell r="AD204">
            <v>300</v>
          </cell>
          <cell r="AE204" t="str">
            <v>Y</v>
          </cell>
          <cell r="AF204" t="str">
            <v>11-09-2024</v>
          </cell>
          <cell r="AG204">
            <v>7.68</v>
          </cell>
          <cell r="AH204">
            <v>852040</v>
          </cell>
          <cell r="AI204" t="str">
            <v>FILIC</v>
          </cell>
          <cell r="AJ204" t="str">
            <v>A1+</v>
          </cell>
          <cell r="AK204" t="str">
            <v>AAA</v>
          </cell>
          <cell r="AL204" t="str">
            <v>2</v>
          </cell>
          <cell r="AM204" t="str">
            <v>1</v>
          </cell>
        </row>
        <row r="205">
          <cell r="C205" t="str">
            <v>INE121A07QT9</v>
          </cell>
          <cell r="D205" t="str">
            <v>FI3508NC223</v>
          </cell>
          <cell r="E205" t="str">
            <v>NCD</v>
          </cell>
          <cell r="F205" t="str">
            <v>Cholamandalam Investment and Finance Co Ltd</v>
          </cell>
          <cell r="G205" t="str">
            <v>8.45% Cholamandalam Investment and Finance Co Ltd NCD MD 21-11-2025 (CICFL_Series 630_November 2025)</v>
          </cell>
          <cell r="H205">
            <v>8.4499999999999993</v>
          </cell>
          <cell r="I205" t="str">
            <v>21-11-2025</v>
          </cell>
          <cell r="J205" t="str">
            <v>ICRA AA+</v>
          </cell>
          <cell r="K205">
            <v>0.93589999999999995</v>
          </cell>
          <cell r="L205">
            <v>1000000</v>
          </cell>
          <cell r="M205">
            <v>50</v>
          </cell>
          <cell r="N205">
            <v>8.25</v>
          </cell>
          <cell r="O205">
            <v>1001826</v>
          </cell>
          <cell r="P205">
            <v>50091300</v>
          </cell>
          <cell r="Q205">
            <v>4167281.42</v>
          </cell>
          <cell r="R205">
            <v>0</v>
          </cell>
          <cell r="S205">
            <v>269600</v>
          </cell>
          <cell r="T205">
            <v>54258581.420000002</v>
          </cell>
          <cell r="U205">
            <v>1.21</v>
          </cell>
          <cell r="V205">
            <v>1.31</v>
          </cell>
          <cell r="W205">
            <v>996434</v>
          </cell>
          <cell r="X205">
            <v>49821700</v>
          </cell>
          <cell r="Y205" t="str">
            <v>21-11-2024</v>
          </cell>
          <cell r="Z205" t="str">
            <v>Financial Services</v>
          </cell>
          <cell r="AC205" t="str">
            <v>Financial Services</v>
          </cell>
          <cell r="AD205">
            <v>371</v>
          </cell>
          <cell r="AE205" t="str">
            <v>Y</v>
          </cell>
          <cell r="AF205" t="str">
            <v>21-11-2023</v>
          </cell>
          <cell r="AG205">
            <v>8.25</v>
          </cell>
          <cell r="AH205">
            <v>269400</v>
          </cell>
          <cell r="AI205" t="str">
            <v>FI3508</v>
          </cell>
          <cell r="AJ205" t="str">
            <v>A1+</v>
          </cell>
          <cell r="AK205" t="str">
            <v>AA+</v>
          </cell>
          <cell r="AL205" t="str">
            <v>3</v>
          </cell>
          <cell r="AM205" t="str">
            <v>2</v>
          </cell>
        </row>
        <row r="206">
          <cell r="C206" t="str">
            <v>INE134E08KT5</v>
          </cell>
          <cell r="D206" t="str">
            <v>FI35PFCNC370</v>
          </cell>
          <cell r="E206" t="str">
            <v>NCD</v>
          </cell>
          <cell r="F206" t="str">
            <v>Power Finance Corporation Ltd</v>
          </cell>
          <cell r="G206" t="str">
            <v>7.17% Power Finance Corporation Limited NCD MD 22-05-2025  (BS 202B (R-1)</v>
          </cell>
          <cell r="H206">
            <v>7.17</v>
          </cell>
          <cell r="I206" t="str">
            <v>22-05-2025</v>
          </cell>
          <cell r="J206" t="str">
            <v>CRISIL AAA</v>
          </cell>
          <cell r="K206">
            <v>0.51229999999999998</v>
          </cell>
          <cell r="L206">
            <v>1000000</v>
          </cell>
          <cell r="M206">
            <v>250</v>
          </cell>
          <cell r="N206">
            <v>7.4950000000000001</v>
          </cell>
          <cell r="O206">
            <v>997104</v>
          </cell>
          <cell r="P206">
            <v>249276000</v>
          </cell>
          <cell r="Q206">
            <v>8741506.8499999996</v>
          </cell>
          <cell r="R206">
            <v>0</v>
          </cell>
          <cell r="S206">
            <v>1335050</v>
          </cell>
          <cell r="T206">
            <v>258017506.84999999</v>
          </cell>
          <cell r="U206">
            <v>6</v>
          </cell>
          <cell r="V206">
            <v>6.21</v>
          </cell>
          <cell r="W206">
            <v>991763.8</v>
          </cell>
          <cell r="X206">
            <v>247940950</v>
          </cell>
          <cell r="Y206" t="str">
            <v>22-05-2025</v>
          </cell>
          <cell r="Z206" t="str">
            <v>Financial Services</v>
          </cell>
          <cell r="AC206" t="str">
            <v>Exempt - PFI</v>
          </cell>
          <cell r="AD206">
            <v>188</v>
          </cell>
          <cell r="AE206" t="str">
            <v>Y</v>
          </cell>
          <cell r="AF206" t="str">
            <v>22-05-2024</v>
          </cell>
          <cell r="AG206">
            <v>7.4950000000000001</v>
          </cell>
          <cell r="AH206">
            <v>1333050</v>
          </cell>
          <cell r="AI206" t="str">
            <v>FI35PF</v>
          </cell>
          <cell r="AJ206" t="str">
            <v>A1+</v>
          </cell>
          <cell r="AK206" t="str">
            <v>AAA</v>
          </cell>
          <cell r="AL206" t="str">
            <v>1</v>
          </cell>
          <cell r="AM206" t="str">
            <v>1</v>
          </cell>
        </row>
        <row r="207">
          <cell r="C207" t="str">
            <v>INE233A08121</v>
          </cell>
          <cell r="D207" t="str">
            <v>CH2208BNC200</v>
          </cell>
          <cell r="E207" t="str">
            <v>NCD</v>
          </cell>
          <cell r="F207" t="str">
            <v>Godrej Industries Ltd</v>
          </cell>
          <cell r="G207" t="str">
            <v>8.36% GODREJ INDUSTRIES LTD NCD MD 28-08-2026</v>
          </cell>
          <cell r="H207">
            <v>8.36</v>
          </cell>
          <cell r="I207" t="str">
            <v>28-08-2026</v>
          </cell>
          <cell r="J207" t="str">
            <v>CRISIL AA+</v>
          </cell>
          <cell r="K207">
            <v>1.704</v>
          </cell>
          <cell r="L207">
            <v>100000</v>
          </cell>
          <cell r="M207">
            <v>900</v>
          </cell>
          <cell r="N207">
            <v>8.125</v>
          </cell>
          <cell r="O207">
            <v>100321.5</v>
          </cell>
          <cell r="P207">
            <v>90289350</v>
          </cell>
          <cell r="Q207">
            <v>1628482.19</v>
          </cell>
          <cell r="R207">
            <v>0</v>
          </cell>
          <cell r="S207">
            <v>289350</v>
          </cell>
          <cell r="T207">
            <v>91917832.189999998</v>
          </cell>
          <cell r="U207">
            <v>2.17</v>
          </cell>
          <cell r="V207">
            <v>2.21</v>
          </cell>
          <cell r="W207">
            <v>100000</v>
          </cell>
          <cell r="X207">
            <v>90000000</v>
          </cell>
          <cell r="Y207" t="str">
            <v>29-08-2025</v>
          </cell>
          <cell r="Z207" t="str">
            <v>Diversified</v>
          </cell>
          <cell r="AC207" t="str">
            <v>Diversified</v>
          </cell>
          <cell r="AD207">
            <v>651</v>
          </cell>
          <cell r="AE207" t="str">
            <v>Y</v>
          </cell>
          <cell r="AF207" t="str">
            <v>29-08-2024</v>
          </cell>
          <cell r="AG207">
            <v>8.125</v>
          </cell>
          <cell r="AH207">
            <v>290340</v>
          </cell>
          <cell r="AI207" t="str">
            <v>CH2208</v>
          </cell>
          <cell r="AJ207" t="str">
            <v>A1+</v>
          </cell>
          <cell r="AK207" t="str">
            <v>AA+</v>
          </cell>
          <cell r="AL207" t="str">
            <v>3</v>
          </cell>
          <cell r="AM207" t="str">
            <v>2</v>
          </cell>
        </row>
        <row r="208">
          <cell r="C208" t="str">
            <v>INE261F08DP6</v>
          </cell>
          <cell r="D208" t="str">
            <v>FI35NANC302</v>
          </cell>
          <cell r="E208" t="str">
            <v>NCD</v>
          </cell>
          <cell r="F208" t="str">
            <v>National Bank for Agriculture &amp; Rural Development</v>
          </cell>
          <cell r="G208" t="str">
            <v>7.35% NABARD NCD 08-07-2025 BOND SERIES 23B</v>
          </cell>
          <cell r="H208">
            <v>7.35</v>
          </cell>
          <cell r="I208" t="str">
            <v>08-07-2025</v>
          </cell>
          <cell r="J208" t="str">
            <v>CRISIL AAA</v>
          </cell>
          <cell r="K208">
            <v>0.6411</v>
          </cell>
          <cell r="L208">
            <v>1000000</v>
          </cell>
          <cell r="M208">
            <v>100</v>
          </cell>
          <cell r="N208">
            <v>7.63</v>
          </cell>
          <cell r="O208">
            <v>996974</v>
          </cell>
          <cell r="P208">
            <v>99697400</v>
          </cell>
          <cell r="Q208">
            <v>2819178.08</v>
          </cell>
          <cell r="R208">
            <v>0</v>
          </cell>
          <cell r="S208">
            <v>489700</v>
          </cell>
          <cell r="T208">
            <v>102516578.08</v>
          </cell>
          <cell r="U208">
            <v>2.4</v>
          </cell>
          <cell r="V208">
            <v>2.4700000000000002</v>
          </cell>
          <cell r="W208">
            <v>992077</v>
          </cell>
          <cell r="X208">
            <v>99207700</v>
          </cell>
          <cell r="Y208" t="str">
            <v>08-07-2025</v>
          </cell>
          <cell r="Z208" t="str">
            <v>Financial Services</v>
          </cell>
          <cell r="AC208" t="str">
            <v>Exempt - PFI</v>
          </cell>
          <cell r="AD208">
            <v>235</v>
          </cell>
          <cell r="AE208" t="str">
            <v>Y</v>
          </cell>
          <cell r="AF208" t="str">
            <v>29-06-2024</v>
          </cell>
          <cell r="AG208">
            <v>7.63</v>
          </cell>
          <cell r="AH208">
            <v>489400</v>
          </cell>
          <cell r="AI208" t="str">
            <v>FI35NA</v>
          </cell>
          <cell r="AJ208" t="str">
            <v>A1+</v>
          </cell>
          <cell r="AK208" t="str">
            <v>AAA</v>
          </cell>
          <cell r="AL208" t="str">
            <v>1</v>
          </cell>
          <cell r="AM208" t="str">
            <v>1</v>
          </cell>
        </row>
        <row r="209">
          <cell r="C209" t="str">
            <v>INE403D08181</v>
          </cell>
          <cell r="D209" t="str">
            <v>UT4825NC200</v>
          </cell>
          <cell r="E209" t="str">
            <v>NCD</v>
          </cell>
          <cell r="F209" t="str">
            <v>Bharti Telecom Ltd</v>
          </cell>
          <cell r="G209" t="str">
            <v>8.90% Bharti Telecom Ltd NCD MD 04-12-2025 SERIES XVI</v>
          </cell>
          <cell r="H209">
            <v>8.9</v>
          </cell>
          <cell r="I209" t="str">
            <v>04-12-2025</v>
          </cell>
          <cell r="J209" t="str">
            <v>CRISIL AA+</v>
          </cell>
          <cell r="K209">
            <v>0.9677</v>
          </cell>
          <cell r="L209">
            <v>100000</v>
          </cell>
          <cell r="M209">
            <v>1200</v>
          </cell>
          <cell r="N209">
            <v>8.5</v>
          </cell>
          <cell r="O209">
            <v>100368.8</v>
          </cell>
          <cell r="P209">
            <v>120442560</v>
          </cell>
          <cell r="Q209">
            <v>10154754.1</v>
          </cell>
          <cell r="R209">
            <v>0</v>
          </cell>
          <cell r="S209">
            <v>455548.24</v>
          </cell>
          <cell r="T209">
            <v>130597314.09999999</v>
          </cell>
          <cell r="U209">
            <v>2.9</v>
          </cell>
          <cell r="V209">
            <v>3.14</v>
          </cell>
          <cell r="W209">
            <v>99989.176466666671</v>
          </cell>
          <cell r="X209">
            <v>119987011.76000001</v>
          </cell>
          <cell r="Y209" t="str">
            <v>04-12-2024</v>
          </cell>
          <cell r="Z209" t="str">
            <v>Financial Services</v>
          </cell>
          <cell r="AC209" t="str">
            <v>Financial Services</v>
          </cell>
          <cell r="AD209">
            <v>384</v>
          </cell>
          <cell r="AE209" t="str">
            <v>Y</v>
          </cell>
          <cell r="AF209" t="str">
            <v>04-12-2023</v>
          </cell>
          <cell r="AG209">
            <v>8.5</v>
          </cell>
          <cell r="AH209">
            <v>455668.24</v>
          </cell>
          <cell r="AI209" t="str">
            <v>UT4825</v>
          </cell>
          <cell r="AJ209" t="str">
            <v>A1+</v>
          </cell>
          <cell r="AK209" t="str">
            <v>AA+</v>
          </cell>
          <cell r="AL209" t="str">
            <v>3</v>
          </cell>
          <cell r="AM209" t="str">
            <v>2</v>
          </cell>
        </row>
        <row r="210">
          <cell r="C210" t="str">
            <v>INE414G07HI7</v>
          </cell>
          <cell r="D210" t="str">
            <v>FI3545NC202</v>
          </cell>
          <cell r="E210" t="str">
            <v>NCD</v>
          </cell>
          <cell r="F210" t="str">
            <v>Muthoot Finance Ltd</v>
          </cell>
          <cell r="G210" t="str">
            <v>8.30% Muthoot Finance Ltd NCD MD 06-01-2026 SERIES 23 A OPTION 1</v>
          </cell>
          <cell r="H210">
            <v>8.3000000000000007</v>
          </cell>
          <cell r="I210" t="str">
            <v>06-01-2026</v>
          </cell>
          <cell r="J210" t="str">
            <v>CRISIL AA+</v>
          </cell>
          <cell r="K210">
            <v>1.0625</v>
          </cell>
          <cell r="L210">
            <v>1000000</v>
          </cell>
          <cell r="M210">
            <v>100</v>
          </cell>
          <cell r="N210">
            <v>8.6300000000000008</v>
          </cell>
          <cell r="O210">
            <v>996143</v>
          </cell>
          <cell r="P210">
            <v>99614300</v>
          </cell>
          <cell r="Q210">
            <v>7143442.6200000001</v>
          </cell>
          <cell r="R210">
            <v>0</v>
          </cell>
          <cell r="S210">
            <v>412800</v>
          </cell>
          <cell r="T210">
            <v>106757742.62</v>
          </cell>
          <cell r="U210">
            <v>2.4</v>
          </cell>
          <cell r="V210">
            <v>2.57</v>
          </cell>
          <cell r="W210">
            <v>992015</v>
          </cell>
          <cell r="X210">
            <v>99201500</v>
          </cell>
          <cell r="Y210" t="str">
            <v>06-01-2025</v>
          </cell>
          <cell r="Z210" t="str">
            <v>Financial Services</v>
          </cell>
          <cell r="AC210" t="str">
            <v>Financial Services</v>
          </cell>
          <cell r="AD210">
            <v>417</v>
          </cell>
          <cell r="AE210" t="str">
            <v>Y</v>
          </cell>
          <cell r="AF210" t="str">
            <v>06-01-2024</v>
          </cell>
          <cell r="AG210">
            <v>8.6300000000000008</v>
          </cell>
          <cell r="AH210">
            <v>411300</v>
          </cell>
          <cell r="AI210" t="str">
            <v>FI3545</v>
          </cell>
          <cell r="AJ210" t="str">
            <v>A1+</v>
          </cell>
          <cell r="AK210" t="str">
            <v>AA+</v>
          </cell>
          <cell r="AL210" t="str">
            <v>3</v>
          </cell>
          <cell r="AM210" t="str">
            <v>2</v>
          </cell>
        </row>
        <row r="211">
          <cell r="C211" t="str">
            <v>INE477A07373</v>
          </cell>
          <cell r="D211" t="str">
            <v>FI3427NC200</v>
          </cell>
          <cell r="E211" t="str">
            <v>NCD</v>
          </cell>
          <cell r="F211" t="str">
            <v>Can Fin Homes Ltd</v>
          </cell>
          <cell r="G211" t="str">
            <v>8.45% Can Fin Homes Ltd NCD MD 27-05-2026</v>
          </cell>
          <cell r="H211">
            <v>8.4499999999999993</v>
          </cell>
          <cell r="I211" t="str">
            <v>27-05-2026</v>
          </cell>
          <cell r="J211" t="str">
            <v>IND AA+</v>
          </cell>
          <cell r="K211">
            <v>1.4114</v>
          </cell>
          <cell r="L211">
            <v>100000</v>
          </cell>
          <cell r="M211">
            <v>1500</v>
          </cell>
          <cell r="N211">
            <v>7.9950000000000001</v>
          </cell>
          <cell r="O211">
            <v>100616.8</v>
          </cell>
          <cell r="P211">
            <v>150925200</v>
          </cell>
          <cell r="Q211">
            <v>9107991.8000000007</v>
          </cell>
          <cell r="R211">
            <v>0</v>
          </cell>
          <cell r="S211">
            <v>274950</v>
          </cell>
          <cell r="T211">
            <v>160033191.80000001</v>
          </cell>
          <cell r="U211">
            <v>3.63</v>
          </cell>
          <cell r="V211">
            <v>3.85</v>
          </cell>
          <cell r="W211">
            <v>100433.5</v>
          </cell>
          <cell r="X211">
            <v>150650250</v>
          </cell>
          <cell r="Y211" t="str">
            <v>27-02-2025</v>
          </cell>
          <cell r="Z211" t="str">
            <v>Financial Services</v>
          </cell>
          <cell r="AC211" t="str">
            <v>HOUSING FINANCE</v>
          </cell>
          <cell r="AD211">
            <v>558</v>
          </cell>
          <cell r="AE211" t="str">
            <v>Y</v>
          </cell>
          <cell r="AF211" t="str">
            <v>27-02-2024</v>
          </cell>
          <cell r="AG211">
            <v>7.9950000000000001</v>
          </cell>
          <cell r="AH211">
            <v>276000</v>
          </cell>
          <cell r="AI211" t="str">
            <v>FI3427</v>
          </cell>
          <cell r="AJ211" t="str">
            <v>A1+</v>
          </cell>
          <cell r="AK211" t="str">
            <v>AA+</v>
          </cell>
          <cell r="AL211" t="str">
            <v>3</v>
          </cell>
          <cell r="AM211" t="str">
            <v>2</v>
          </cell>
        </row>
        <row r="212">
          <cell r="C212" t="str">
            <v>INE523H07CB9</v>
          </cell>
          <cell r="D212" t="str">
            <v>FI3529NC207</v>
          </cell>
          <cell r="E212" t="str">
            <v>NCD</v>
          </cell>
          <cell r="F212" t="str">
            <v>JM Financial Products Ltd</v>
          </cell>
          <cell r="G212" t="str">
            <v>8.92% JM Financial Products Ltd NCD MD 16-11-2026</v>
          </cell>
          <cell r="H212">
            <v>8.92</v>
          </cell>
          <cell r="I212" t="str">
            <v>16-11-2026</v>
          </cell>
          <cell r="J212" t="str">
            <v>CRISIL AA</v>
          </cell>
          <cell r="K212">
            <v>1.5992999999999999</v>
          </cell>
          <cell r="L212">
            <v>100000</v>
          </cell>
          <cell r="M212">
            <v>1000</v>
          </cell>
          <cell r="N212">
            <v>9.36</v>
          </cell>
          <cell r="O212">
            <v>99801.2</v>
          </cell>
          <cell r="P212">
            <v>99801200</v>
          </cell>
          <cell r="Q212">
            <v>2248328.77</v>
          </cell>
          <cell r="R212">
            <v>0</v>
          </cell>
          <cell r="S212">
            <v>998400</v>
          </cell>
          <cell r="T212">
            <v>102049528.77</v>
          </cell>
          <cell r="U212">
            <v>2.4</v>
          </cell>
          <cell r="V212">
            <v>2.46</v>
          </cell>
          <cell r="W212">
            <v>98802.8</v>
          </cell>
          <cell r="X212">
            <v>98802800</v>
          </cell>
          <cell r="Y212" t="str">
            <v>16-02-2025</v>
          </cell>
          <cell r="Z212" t="str">
            <v>Financial Services</v>
          </cell>
          <cell r="AC212" t="str">
            <v>Financial Services</v>
          </cell>
          <cell r="AD212">
            <v>731</v>
          </cell>
          <cell r="AE212" t="str">
            <v>Y</v>
          </cell>
          <cell r="AF212" t="str">
            <v>16-11-2024</v>
          </cell>
          <cell r="AG212">
            <v>9.36</v>
          </cell>
          <cell r="AH212">
            <v>997900</v>
          </cell>
          <cell r="AI212" t="str">
            <v>FI3529</v>
          </cell>
          <cell r="AJ212" t="str">
            <v>A1+</v>
          </cell>
          <cell r="AK212" t="str">
            <v>AA</v>
          </cell>
          <cell r="AL212" t="str">
            <v>4</v>
          </cell>
          <cell r="AM212" t="str">
            <v>3</v>
          </cell>
        </row>
        <row r="213">
          <cell r="C213" t="str">
            <v>INE557F08FV0</v>
          </cell>
          <cell r="D213" t="str">
            <v>FI3335NCD200</v>
          </cell>
          <cell r="E213" t="str">
            <v>NCD</v>
          </cell>
          <cell r="F213" t="str">
            <v>National Housing Bank</v>
          </cell>
          <cell r="G213" t="str">
            <v>7.78% National Housing Bank NCD 26 04 2027 P/C 17 03 2025</v>
          </cell>
          <cell r="H213">
            <v>7.78</v>
          </cell>
          <cell r="I213" t="str">
            <v>26-04-2027</v>
          </cell>
          <cell r="J213" t="str">
            <v>CARE AAA</v>
          </cell>
          <cell r="K213">
            <v>0.33029999999999998</v>
          </cell>
          <cell r="L213">
            <v>100000</v>
          </cell>
          <cell r="M213">
            <v>2000</v>
          </cell>
          <cell r="N213">
            <v>7.3250000000000002</v>
          </cell>
          <cell r="O213">
            <v>100088.6</v>
          </cell>
          <cell r="P213">
            <v>200177200</v>
          </cell>
          <cell r="Q213">
            <v>10657534.25</v>
          </cell>
          <cell r="R213">
            <v>0</v>
          </cell>
          <cell r="S213">
            <v>177200</v>
          </cell>
          <cell r="T213">
            <v>210834734.25</v>
          </cell>
          <cell r="U213">
            <v>4.82</v>
          </cell>
          <cell r="V213">
            <v>5.07</v>
          </cell>
          <cell r="W213">
            <v>100000</v>
          </cell>
          <cell r="X213">
            <v>200000000</v>
          </cell>
          <cell r="Y213" t="str">
            <v>11-03-2025</v>
          </cell>
          <cell r="Z213" t="str">
            <v>Financial Services</v>
          </cell>
          <cell r="AA213" t="str">
            <v>17-MAR-25</v>
          </cell>
          <cell r="AB213" t="str">
            <v>17-MAR-25</v>
          </cell>
          <cell r="AC213" t="str">
            <v>Exempt - PFI</v>
          </cell>
          <cell r="AD213">
            <v>892</v>
          </cell>
          <cell r="AE213" t="str">
            <v>Y</v>
          </cell>
          <cell r="AF213" t="str">
            <v>11-03-2024</v>
          </cell>
          <cell r="AG213">
            <v>7.3250000000000002</v>
          </cell>
          <cell r="AH213">
            <v>179000</v>
          </cell>
          <cell r="AI213" t="str">
            <v>FI3335</v>
          </cell>
          <cell r="AJ213" t="str">
            <v>A1+</v>
          </cell>
          <cell r="AK213" t="str">
            <v>AAA</v>
          </cell>
          <cell r="AL213" t="str">
            <v>1</v>
          </cell>
          <cell r="AM213" t="str">
            <v>1</v>
          </cell>
        </row>
        <row r="214">
          <cell r="C214" t="str">
            <v>INE572E07183</v>
          </cell>
          <cell r="D214" t="str">
            <v>FI3333NC205</v>
          </cell>
          <cell r="E214" t="str">
            <v>NCD</v>
          </cell>
          <cell r="F214" t="str">
            <v>PNB Housing Finance Ltd</v>
          </cell>
          <cell r="G214" t="str">
            <v>8.15% PNB Housing Finance Ltd NCD MD 29-07-2027  Series LXV</v>
          </cell>
          <cell r="H214">
            <v>8.15</v>
          </cell>
          <cell r="I214" t="str">
            <v>29-07-2027</v>
          </cell>
          <cell r="J214" t="str">
            <v>IND AA+</v>
          </cell>
          <cell r="K214">
            <v>2.5070999999999999</v>
          </cell>
          <cell r="L214">
            <v>100000</v>
          </cell>
          <cell r="M214">
            <v>1000</v>
          </cell>
          <cell r="N214">
            <v>8.1232000000000006</v>
          </cell>
          <cell r="O214">
            <v>100087.5</v>
          </cell>
          <cell r="P214">
            <v>100087500</v>
          </cell>
          <cell r="Q214">
            <v>736849.32</v>
          </cell>
          <cell r="R214">
            <v>0</v>
          </cell>
          <cell r="S214">
            <v>87500</v>
          </cell>
          <cell r="T214">
            <v>100824349.31999999</v>
          </cell>
          <cell r="U214">
            <v>2.41</v>
          </cell>
          <cell r="V214">
            <v>2.4300000000000002</v>
          </cell>
          <cell r="W214">
            <v>100000</v>
          </cell>
          <cell r="X214">
            <v>100000000</v>
          </cell>
          <cell r="Y214" t="str">
            <v>29-07-2025</v>
          </cell>
          <cell r="Z214" t="str">
            <v>Financial Services</v>
          </cell>
          <cell r="AC214" t="str">
            <v>Housing Finance</v>
          </cell>
          <cell r="AD214">
            <v>986</v>
          </cell>
          <cell r="AE214" t="str">
            <v>Y</v>
          </cell>
          <cell r="AF214" t="str">
            <v>11-10-2024</v>
          </cell>
          <cell r="AG214">
            <v>8.1232000000000006</v>
          </cell>
          <cell r="AH214">
            <v>88300</v>
          </cell>
          <cell r="AI214" t="str">
            <v>FI3333</v>
          </cell>
          <cell r="AJ214" t="str">
            <v>A1+</v>
          </cell>
          <cell r="AK214" t="str">
            <v>AA+</v>
          </cell>
          <cell r="AL214" t="str">
            <v>3</v>
          </cell>
          <cell r="AM214" t="str">
            <v>2</v>
          </cell>
        </row>
        <row r="215">
          <cell r="C215" t="str">
            <v>INE721A07RH9</v>
          </cell>
          <cell r="D215" t="str">
            <v>FI3539NC203</v>
          </cell>
          <cell r="E215" t="str">
            <v>NCD</v>
          </cell>
          <cell r="F215" t="str">
            <v>Shriram Finance Ltd</v>
          </cell>
          <cell r="G215" t="str">
            <v>8.75% Shriram Finance Limited NCD MD 15-06-2026 Series STFCL PPD-V 2022-23</v>
          </cell>
          <cell r="H215">
            <v>8.75</v>
          </cell>
          <cell r="I215" t="str">
            <v>15-06-2026</v>
          </cell>
          <cell r="J215" t="str">
            <v>CRISIL AA+</v>
          </cell>
          <cell r="K215">
            <v>1.4585999999999999</v>
          </cell>
          <cell r="L215">
            <v>100000</v>
          </cell>
          <cell r="M215">
            <v>500</v>
          </cell>
          <cell r="N215">
            <v>8.8800000000000008</v>
          </cell>
          <cell r="O215">
            <v>99794.8</v>
          </cell>
          <cell r="P215">
            <v>49897400</v>
          </cell>
          <cell r="Q215">
            <v>2948630.14</v>
          </cell>
          <cell r="R215">
            <v>0</v>
          </cell>
          <cell r="S215">
            <v>138900</v>
          </cell>
          <cell r="T215">
            <v>52846030.140000001</v>
          </cell>
          <cell r="U215">
            <v>1.2</v>
          </cell>
          <cell r="V215">
            <v>1.27</v>
          </cell>
          <cell r="W215">
            <v>99517</v>
          </cell>
          <cell r="X215">
            <v>49758500</v>
          </cell>
          <cell r="Y215" t="str">
            <v>15-03-2025</v>
          </cell>
          <cell r="Z215" t="str">
            <v>Financial Services</v>
          </cell>
          <cell r="AC215" t="str">
            <v>Financial Services</v>
          </cell>
          <cell r="AD215">
            <v>577</v>
          </cell>
          <cell r="AE215" t="str">
            <v>Y</v>
          </cell>
          <cell r="AF215" t="str">
            <v>15-03-2024</v>
          </cell>
          <cell r="AG215">
            <v>8.8800000000000008</v>
          </cell>
          <cell r="AH215">
            <v>138600</v>
          </cell>
          <cell r="AI215" t="str">
            <v>FI3539</v>
          </cell>
          <cell r="AJ215" t="str">
            <v>A1+</v>
          </cell>
          <cell r="AK215" t="str">
            <v>AA+</v>
          </cell>
          <cell r="AL215" t="str">
            <v>3</v>
          </cell>
          <cell r="AM215" t="str">
            <v>2</v>
          </cell>
        </row>
        <row r="216">
          <cell r="C216" t="str">
            <v>INE721A07RU2</v>
          </cell>
          <cell r="D216" t="str">
            <v>FI3539NC201</v>
          </cell>
          <cell r="E216" t="str">
            <v>NCD</v>
          </cell>
          <cell r="F216" t="str">
            <v>Shriram Finance Ltd</v>
          </cell>
          <cell r="G216" t="str">
            <v>9.25%  Shriram Finance Ltd  NCD MD 19-12-2025 Series PPD XV 23-24 Option 1</v>
          </cell>
          <cell r="H216">
            <v>9.25</v>
          </cell>
          <cell r="I216" t="str">
            <v>19-12-2025</v>
          </cell>
          <cell r="J216" t="str">
            <v>CRISIL AA+</v>
          </cell>
          <cell r="K216">
            <v>1.0057</v>
          </cell>
          <cell r="L216">
            <v>100000</v>
          </cell>
          <cell r="M216">
            <v>500</v>
          </cell>
          <cell r="N216">
            <v>8.9499999999999993</v>
          </cell>
          <cell r="O216">
            <v>100266.1</v>
          </cell>
          <cell r="P216">
            <v>50133050</v>
          </cell>
          <cell r="Q216">
            <v>4207991.8</v>
          </cell>
          <cell r="R216">
            <v>0</v>
          </cell>
          <cell r="S216">
            <v>41650</v>
          </cell>
          <cell r="T216">
            <v>54341041.799999997</v>
          </cell>
          <cell r="U216">
            <v>1.21</v>
          </cell>
          <cell r="V216">
            <v>1.31</v>
          </cell>
          <cell r="W216">
            <v>100182.8</v>
          </cell>
          <cell r="X216">
            <v>50091400</v>
          </cell>
          <cell r="Y216" t="str">
            <v>19-12-2024</v>
          </cell>
          <cell r="Z216" t="str">
            <v>Financial Services</v>
          </cell>
          <cell r="AC216" t="str">
            <v>Financial Services</v>
          </cell>
          <cell r="AD216">
            <v>399</v>
          </cell>
          <cell r="AE216" t="str">
            <v>Y</v>
          </cell>
          <cell r="AF216" t="str">
            <v>19-12-2023</v>
          </cell>
          <cell r="AG216">
            <v>8.9499999999999993</v>
          </cell>
          <cell r="AH216">
            <v>41600</v>
          </cell>
          <cell r="AI216" t="str">
            <v>FI3539</v>
          </cell>
          <cell r="AJ216" t="str">
            <v>A1+</v>
          </cell>
          <cell r="AK216" t="str">
            <v>AA+</v>
          </cell>
          <cell r="AL216" t="str">
            <v>3</v>
          </cell>
          <cell r="AM216" t="str">
            <v>2</v>
          </cell>
        </row>
        <row r="217">
          <cell r="C217" t="str">
            <v>INE721A07SB0</v>
          </cell>
          <cell r="D217" t="str">
            <v>FI3539NC202</v>
          </cell>
          <cell r="E217" t="str">
            <v>NCD</v>
          </cell>
          <cell r="F217" t="str">
            <v>Shriram Finance Ltd</v>
          </cell>
          <cell r="G217" t="str">
            <v>9.20% Shriram Finance Limited NCD MD 22-05-2026 Series/Tranche: Series PPD XXI 24-25 Option 2</v>
          </cell>
          <cell r="H217">
            <v>9.1999999999999993</v>
          </cell>
          <cell r="I217" t="str">
            <v>22-05-2026</v>
          </cell>
          <cell r="J217" t="str">
            <v>CRISIL AA+</v>
          </cell>
          <cell r="K217">
            <v>1.4282999999999999</v>
          </cell>
          <cell r="L217">
            <v>100000</v>
          </cell>
          <cell r="M217">
            <v>1000</v>
          </cell>
          <cell r="N217">
            <v>8.8800000000000008</v>
          </cell>
          <cell r="O217">
            <v>100337.3</v>
          </cell>
          <cell r="P217">
            <v>100337300</v>
          </cell>
          <cell r="Q217">
            <v>4486575.34</v>
          </cell>
          <cell r="R217">
            <v>0</v>
          </cell>
          <cell r="S217">
            <v>337300</v>
          </cell>
          <cell r="T217">
            <v>104823875.34</v>
          </cell>
          <cell r="U217">
            <v>2.41</v>
          </cell>
          <cell r="V217">
            <v>2.52</v>
          </cell>
          <cell r="W217">
            <v>100000</v>
          </cell>
          <cell r="X217">
            <v>100000000</v>
          </cell>
          <cell r="Y217" t="str">
            <v>22-05-2025</v>
          </cell>
          <cell r="Z217" t="str">
            <v>Financial Services</v>
          </cell>
          <cell r="AC217" t="str">
            <v>Financial Services</v>
          </cell>
          <cell r="AD217">
            <v>553</v>
          </cell>
          <cell r="AE217" t="str">
            <v>Y</v>
          </cell>
          <cell r="AF217" t="str">
            <v>22-05-2024</v>
          </cell>
          <cell r="AG217">
            <v>8.8800000000000008</v>
          </cell>
          <cell r="AH217">
            <v>338200</v>
          </cell>
          <cell r="AI217" t="str">
            <v>FI3539</v>
          </cell>
          <cell r="AJ217" t="str">
            <v>A1+</v>
          </cell>
          <cell r="AK217" t="str">
            <v>AA+</v>
          </cell>
          <cell r="AL217" t="str">
            <v>3</v>
          </cell>
          <cell r="AM217" t="str">
            <v>2</v>
          </cell>
        </row>
        <row r="218">
          <cell r="AF218" t="str">
            <v/>
          </cell>
          <cell r="AG218" t="str">
            <v/>
          </cell>
          <cell r="AH218" t="str">
            <v/>
          </cell>
          <cell r="AI218" t="str">
            <v/>
          </cell>
          <cell r="AJ218" t="str">
            <v/>
          </cell>
          <cell r="AK218" t="str">
            <v/>
          </cell>
          <cell r="AL218" t="str">
            <v/>
          </cell>
          <cell r="AM218" t="str">
            <v/>
          </cell>
        </row>
        <row r="219">
          <cell r="C219" t="str">
            <v>INF0RQ622028</v>
          </cell>
          <cell r="D219" t="str">
            <v>CDMDF23</v>
          </cell>
          <cell r="E219" t="str">
            <v>CDMDF</v>
          </cell>
          <cell r="F219" t="str">
            <v>Corporate Debt Market Development Fund</v>
          </cell>
          <cell r="G219" t="str">
            <v>Corporate Debt Market Development Fund - Class A2</v>
          </cell>
          <cell r="H219">
            <v>0</v>
          </cell>
          <cell r="K219">
            <v>0</v>
          </cell>
          <cell r="L219">
            <v>10000</v>
          </cell>
          <cell r="M219">
            <v>13479.374400000001</v>
          </cell>
          <cell r="N219">
            <v>9.9999999999999995E-7</v>
          </cell>
          <cell r="O219">
            <v>10450.479300000001</v>
          </cell>
          <cell r="P219">
            <v>140865923.13999999</v>
          </cell>
          <cell r="Q219">
            <v>0</v>
          </cell>
          <cell r="R219">
            <v>0</v>
          </cell>
          <cell r="S219">
            <v>4384747.2</v>
          </cell>
          <cell r="T219">
            <v>140865923.13999999</v>
          </cell>
          <cell r="U219">
            <v>0.19</v>
          </cell>
          <cell r="V219">
            <v>0.19</v>
          </cell>
          <cell r="W219">
            <v>10125.186220808586</v>
          </cell>
          <cell r="X219">
            <v>136481175.94</v>
          </cell>
          <cell r="Z219" t="str">
            <v>Financial Services</v>
          </cell>
          <cell r="AE219" t="str">
            <v>N</v>
          </cell>
          <cell r="AG219">
            <v>9.9999999999999995E-7</v>
          </cell>
          <cell r="AH219">
            <v>4370730</v>
          </cell>
          <cell r="AI219" t="str">
            <v>CDMDF</v>
          </cell>
        </row>
        <row r="220">
          <cell r="C220" t="str">
            <v>INE007N14DW1</v>
          </cell>
          <cell r="D220" t="str">
            <v>FI3447CP201</v>
          </cell>
          <cell r="E220" t="str">
            <v>CMP</v>
          </cell>
          <cell r="F220" t="str">
            <v>Fedbank Financial Services Ltd</v>
          </cell>
          <cell r="G220" t="str">
            <v>Fedbank Financial Services Ltd CP MD 02-12-2024</v>
          </cell>
          <cell r="H220">
            <v>0</v>
          </cell>
          <cell r="I220" t="str">
            <v>02-12-2024</v>
          </cell>
          <cell r="J220" t="str">
            <v>CRISIL A1+</v>
          </cell>
          <cell r="K220">
            <v>0.05</v>
          </cell>
          <cell r="L220">
            <v>500000</v>
          </cell>
          <cell r="M220">
            <v>1000</v>
          </cell>
          <cell r="N220">
            <v>7.68</v>
          </cell>
          <cell r="O220">
            <v>498322.5</v>
          </cell>
          <cell r="P220">
            <v>498322500</v>
          </cell>
          <cell r="Q220">
            <v>0</v>
          </cell>
          <cell r="R220">
            <v>8028708.75</v>
          </cell>
          <cell r="S220">
            <v>35291.25</v>
          </cell>
          <cell r="T220">
            <v>498322500</v>
          </cell>
          <cell r="U220">
            <v>0.66</v>
          </cell>
          <cell r="V220">
            <v>0.66</v>
          </cell>
          <cell r="W220">
            <v>490258.5</v>
          </cell>
          <cell r="X220">
            <v>490258500</v>
          </cell>
          <cell r="Z220" t="str">
            <v>Financial Services</v>
          </cell>
          <cell r="AC220" t="str">
            <v>Financial Services</v>
          </cell>
          <cell r="AD220">
            <v>17</v>
          </cell>
          <cell r="AE220" t="str">
            <v>Y</v>
          </cell>
          <cell r="AG220">
            <v>7.68</v>
          </cell>
          <cell r="AH220">
            <v>37840.699999999997</v>
          </cell>
          <cell r="AI220" t="str">
            <v>FI3447</v>
          </cell>
          <cell r="AJ220" t="str">
            <v>A1+</v>
          </cell>
          <cell r="AK220" t="str">
            <v>AA+</v>
          </cell>
          <cell r="AL220" t="str">
            <v>4</v>
          </cell>
          <cell r="AM220" t="str">
            <v>2</v>
          </cell>
        </row>
        <row r="221">
          <cell r="C221" t="str">
            <v>INE018A14LB2</v>
          </cell>
          <cell r="D221" t="str">
            <v>CN2206CP251</v>
          </cell>
          <cell r="E221" t="str">
            <v>CMP</v>
          </cell>
          <cell r="F221" t="str">
            <v>Larsen &amp; Toubro Ltd</v>
          </cell>
          <cell r="G221" t="str">
            <v>Larsen &amp; Toubro Ltd CP MD 27-11-2024</v>
          </cell>
          <cell r="H221">
            <v>0</v>
          </cell>
          <cell r="I221" t="str">
            <v>27-11-2024</v>
          </cell>
          <cell r="J221" t="str">
            <v>CRISIL A1+</v>
          </cell>
          <cell r="K221">
            <v>0.03</v>
          </cell>
          <cell r="L221">
            <v>500000</v>
          </cell>
          <cell r="M221">
            <v>1000</v>
          </cell>
          <cell r="N221">
            <v>6.8905000000000003</v>
          </cell>
          <cell r="O221">
            <v>498964</v>
          </cell>
          <cell r="P221">
            <v>498964000</v>
          </cell>
          <cell r="Q221">
            <v>0</v>
          </cell>
          <cell r="R221">
            <v>7782857.1399999997</v>
          </cell>
          <cell r="S221">
            <v>34142.86</v>
          </cell>
          <cell r="T221">
            <v>498964000</v>
          </cell>
          <cell r="U221">
            <v>0.66</v>
          </cell>
          <cell r="V221">
            <v>0.66</v>
          </cell>
          <cell r="W221">
            <v>491147</v>
          </cell>
          <cell r="X221">
            <v>491147000</v>
          </cell>
          <cell r="Z221" t="str">
            <v>Construction</v>
          </cell>
          <cell r="AC221" t="str">
            <v>Construction</v>
          </cell>
          <cell r="AD221">
            <v>12</v>
          </cell>
          <cell r="AE221" t="str">
            <v>Y</v>
          </cell>
          <cell r="AG221">
            <v>6.8905000000000003</v>
          </cell>
          <cell r="AH221">
            <v>37428.57</v>
          </cell>
          <cell r="AI221" t="str">
            <v>CN2206</v>
          </cell>
          <cell r="AJ221" t="str">
            <v>A1+</v>
          </cell>
          <cell r="AK221" t="str">
            <v>AAA</v>
          </cell>
          <cell r="AL221" t="str">
            <v>2</v>
          </cell>
          <cell r="AM221" t="str">
            <v>1</v>
          </cell>
        </row>
        <row r="222">
          <cell r="C222" t="str">
            <v>INE071G14FV8</v>
          </cell>
          <cell r="D222" t="str">
            <v>ICH01CP209</v>
          </cell>
          <cell r="E222" t="str">
            <v>CMP</v>
          </cell>
          <cell r="F222" t="str">
            <v>ICICI Home Finance Company Ltd</v>
          </cell>
          <cell r="G222" t="str">
            <v>ICICI Home Finance Co Ltd CP MD 19-11-2024</v>
          </cell>
          <cell r="H222">
            <v>0</v>
          </cell>
          <cell r="I222" t="str">
            <v>19-11-2024</v>
          </cell>
          <cell r="J222" t="str">
            <v>ICRA A1+</v>
          </cell>
          <cell r="K222">
            <v>0.01</v>
          </cell>
          <cell r="L222">
            <v>500000</v>
          </cell>
          <cell r="M222">
            <v>1500</v>
          </cell>
          <cell r="N222">
            <v>6.95</v>
          </cell>
          <cell r="O222">
            <v>499714.5</v>
          </cell>
          <cell r="P222">
            <v>749571750</v>
          </cell>
          <cell r="Q222">
            <v>0</v>
          </cell>
          <cell r="R222">
            <v>12929472.529999999</v>
          </cell>
          <cell r="S222">
            <v>12527.47</v>
          </cell>
          <cell r="T222">
            <v>749571750</v>
          </cell>
          <cell r="U222">
            <v>0.99</v>
          </cell>
          <cell r="V222">
            <v>0.99</v>
          </cell>
          <cell r="W222">
            <v>491086.5</v>
          </cell>
          <cell r="X222">
            <v>736629750</v>
          </cell>
          <cell r="Z222" t="str">
            <v>Financial Services</v>
          </cell>
          <cell r="AC222" t="str">
            <v>HOUSING FINANCE</v>
          </cell>
          <cell r="AD222">
            <v>4</v>
          </cell>
          <cell r="AE222" t="str">
            <v>Y</v>
          </cell>
          <cell r="AG222">
            <v>6.95</v>
          </cell>
          <cell r="AH222">
            <v>16953.3</v>
          </cell>
          <cell r="AI222" t="str">
            <v>ICH01</v>
          </cell>
          <cell r="AJ222" t="str">
            <v>A1+</v>
          </cell>
          <cell r="AK222" t="str">
            <v>AAA</v>
          </cell>
          <cell r="AL222" t="str">
            <v>2</v>
          </cell>
          <cell r="AM222" t="str">
            <v>1</v>
          </cell>
        </row>
        <row r="223">
          <cell r="C223" t="str">
            <v>INE081A14FD8</v>
          </cell>
          <cell r="D223" t="str">
            <v>BA1209CP218</v>
          </cell>
          <cell r="E223" t="str">
            <v>CMP</v>
          </cell>
          <cell r="F223" t="str">
            <v>Tata Steel Ltd</v>
          </cell>
          <cell r="G223" t="str">
            <v>Tata Steel Ltd CP MD 09-12-2024</v>
          </cell>
          <cell r="H223">
            <v>0</v>
          </cell>
          <cell r="I223" t="str">
            <v>09-12-2024</v>
          </cell>
          <cell r="J223" t="str">
            <v>ICRA A1+</v>
          </cell>
          <cell r="K223">
            <v>7.0000000000000007E-2</v>
          </cell>
          <cell r="L223">
            <v>500000</v>
          </cell>
          <cell r="M223">
            <v>2000</v>
          </cell>
          <cell r="N223">
            <v>7.0149999999999997</v>
          </cell>
          <cell r="O223">
            <v>497799.5</v>
          </cell>
          <cell r="P223">
            <v>995599000</v>
          </cell>
          <cell r="Q223">
            <v>0</v>
          </cell>
          <cell r="R223">
            <v>13500615.32</v>
          </cell>
          <cell r="S223">
            <v>165384.68</v>
          </cell>
          <cell r="T223">
            <v>995599000</v>
          </cell>
          <cell r="U223">
            <v>1.32</v>
          </cell>
          <cell r="V223">
            <v>1.32</v>
          </cell>
          <cell r="W223">
            <v>490966.5</v>
          </cell>
          <cell r="X223">
            <v>981933000</v>
          </cell>
          <cell r="Z223" t="str">
            <v>Metals &amp; Mining</v>
          </cell>
          <cell r="AC223" t="str">
            <v>Metals &amp; Mining</v>
          </cell>
          <cell r="AD223">
            <v>24</v>
          </cell>
          <cell r="AE223" t="str">
            <v>Y</v>
          </cell>
          <cell r="AG223">
            <v>7.0149999999999997</v>
          </cell>
          <cell r="AH223">
            <v>173923.15</v>
          </cell>
          <cell r="AI223" t="str">
            <v>BA1209</v>
          </cell>
          <cell r="AJ223" t="str">
            <v>A1+</v>
          </cell>
          <cell r="AK223" t="str">
            <v>AA+</v>
          </cell>
          <cell r="AL223" t="str">
            <v>3</v>
          </cell>
          <cell r="AM223" t="str">
            <v>2</v>
          </cell>
        </row>
        <row r="224">
          <cell r="C224" t="str">
            <v>INE09OL14FX2</v>
          </cell>
          <cell r="D224" t="str">
            <v>FI35109CP238</v>
          </cell>
          <cell r="E224" t="str">
            <v>CMP</v>
          </cell>
          <cell r="F224" t="str">
            <v>Birla Group Holdings Pvt Ltd</v>
          </cell>
          <cell r="G224" t="str">
            <v>Birla Group Holdings Private Ltd CP MD 27-12-2024</v>
          </cell>
          <cell r="H224">
            <v>0</v>
          </cell>
          <cell r="I224" t="str">
            <v>27-12-2024</v>
          </cell>
          <cell r="J224" t="str">
            <v>CRISIL A1+</v>
          </cell>
          <cell r="K224">
            <v>0.12</v>
          </cell>
          <cell r="L224">
            <v>500000</v>
          </cell>
          <cell r="M224">
            <v>2000</v>
          </cell>
          <cell r="N224">
            <v>7.4745999999999997</v>
          </cell>
          <cell r="O224">
            <v>495837</v>
          </cell>
          <cell r="P224">
            <v>991674000</v>
          </cell>
          <cell r="Q224">
            <v>0</v>
          </cell>
          <cell r="R224">
            <v>10468131.99</v>
          </cell>
          <cell r="S224">
            <v>257868.01</v>
          </cell>
          <cell r="T224">
            <v>991674000</v>
          </cell>
          <cell r="U224">
            <v>1.31</v>
          </cell>
          <cell r="V224">
            <v>1.31</v>
          </cell>
          <cell r="W224">
            <v>490474</v>
          </cell>
          <cell r="X224">
            <v>980948000</v>
          </cell>
          <cell r="Z224" t="str">
            <v>Financial Services</v>
          </cell>
          <cell r="AC224" t="str">
            <v>Financial Services</v>
          </cell>
          <cell r="AD224">
            <v>42</v>
          </cell>
          <cell r="AE224" t="str">
            <v>Y</v>
          </cell>
          <cell r="AG224">
            <v>7.4745999999999997</v>
          </cell>
          <cell r="AH224">
            <v>266230.65000000002</v>
          </cell>
          <cell r="AI224" t="str">
            <v>FI35109</v>
          </cell>
          <cell r="AJ224" t="str">
            <v>A1+</v>
          </cell>
          <cell r="AK224" t="str">
            <v>AA+</v>
          </cell>
          <cell r="AL224" t="str">
            <v>3</v>
          </cell>
          <cell r="AM224" t="str">
            <v>2</v>
          </cell>
        </row>
        <row r="225">
          <cell r="C225" t="str">
            <v>INE0DZE14115</v>
          </cell>
          <cell r="D225" t="str">
            <v>FI33100CP201</v>
          </cell>
          <cell r="E225" t="str">
            <v>CMP</v>
          </cell>
          <cell r="F225" t="str">
            <v>Kisetsu Saison Finance</v>
          </cell>
          <cell r="G225" t="str">
            <v>Kisetsu Saison Finance India Private Ltd CP MD 12-12-2024</v>
          </cell>
          <cell r="H225">
            <v>0</v>
          </cell>
          <cell r="I225" t="str">
            <v>12-12-2024</v>
          </cell>
          <cell r="J225" t="str">
            <v>CRISIL A1+</v>
          </cell>
          <cell r="K225">
            <v>7.0000000000000007E-2</v>
          </cell>
          <cell r="L225">
            <v>500000</v>
          </cell>
          <cell r="M225">
            <v>2000</v>
          </cell>
          <cell r="N225">
            <v>7.53</v>
          </cell>
          <cell r="O225">
            <v>497332.5</v>
          </cell>
          <cell r="P225">
            <v>994665000</v>
          </cell>
          <cell r="Q225">
            <v>0</v>
          </cell>
          <cell r="R225">
            <v>13503288.960000001</v>
          </cell>
          <cell r="S225">
            <v>150711.04000000001</v>
          </cell>
          <cell r="T225">
            <v>994665000</v>
          </cell>
          <cell r="U225">
            <v>1.31</v>
          </cell>
          <cell r="V225">
            <v>1.31</v>
          </cell>
          <cell r="W225">
            <v>490505.5</v>
          </cell>
          <cell r="X225">
            <v>981011000</v>
          </cell>
          <cell r="Z225" t="str">
            <v>Financial Services</v>
          </cell>
          <cell r="AC225" t="str">
            <v>Financial Services</v>
          </cell>
          <cell r="AD225">
            <v>27</v>
          </cell>
          <cell r="AE225" t="str">
            <v>Y</v>
          </cell>
          <cell r="AG225">
            <v>7.53</v>
          </cell>
          <cell r="AH225">
            <v>157699.93</v>
          </cell>
          <cell r="AI225" t="str">
            <v>FI33100</v>
          </cell>
          <cell r="AJ225" t="str">
            <v>A1+</v>
          </cell>
          <cell r="AK225" t="str">
            <v>AAA</v>
          </cell>
          <cell r="AL225" t="str">
            <v>3</v>
          </cell>
          <cell r="AM225" t="str">
            <v>1</v>
          </cell>
        </row>
        <row r="226">
          <cell r="C226" t="str">
            <v>INE110L14SH6</v>
          </cell>
          <cell r="D226" t="str">
            <v>TC0107CP282</v>
          </cell>
          <cell r="E226" t="str">
            <v>CMP</v>
          </cell>
          <cell r="F226" t="str">
            <v>Reliance Jio Infocomm Ltd</v>
          </cell>
          <cell r="G226" t="str">
            <v>Reliance Jio Infocomm Ltd CP MD 25-11-2024</v>
          </cell>
          <cell r="H226">
            <v>0</v>
          </cell>
          <cell r="I226" t="str">
            <v>25-11-2024</v>
          </cell>
          <cell r="J226" t="str">
            <v>CRISIL A1+</v>
          </cell>
          <cell r="K226">
            <v>0.03</v>
          </cell>
          <cell r="L226">
            <v>500000</v>
          </cell>
          <cell r="M226">
            <v>1900</v>
          </cell>
          <cell r="N226">
            <v>6.8994999999999997</v>
          </cell>
          <cell r="O226">
            <v>499151</v>
          </cell>
          <cell r="P226">
            <v>948386900</v>
          </cell>
          <cell r="Q226">
            <v>0</v>
          </cell>
          <cell r="R226">
            <v>358409.1</v>
          </cell>
          <cell r="S226">
            <v>-259.10000000000002</v>
          </cell>
          <cell r="T226">
            <v>948386900</v>
          </cell>
          <cell r="U226">
            <v>1.25</v>
          </cell>
          <cell r="V226">
            <v>1.25</v>
          </cell>
          <cell r="W226">
            <v>498962.5</v>
          </cell>
          <cell r="X226">
            <v>948028750</v>
          </cell>
          <cell r="Z226" t="str">
            <v>Telecommunication</v>
          </cell>
          <cell r="AD226">
            <v>10</v>
          </cell>
          <cell r="AE226" t="str">
            <v>Y</v>
          </cell>
          <cell r="AG226">
            <v>6.8994999999999997</v>
          </cell>
          <cell r="AH226">
            <v>-604.54999999999995</v>
          </cell>
          <cell r="AI226" t="str">
            <v>TC0107</v>
          </cell>
        </row>
        <row r="227">
          <cell r="C227" t="str">
            <v>INE115A14EQ9</v>
          </cell>
          <cell r="D227" t="str">
            <v>FILICCP236</v>
          </cell>
          <cell r="E227" t="str">
            <v>CMP</v>
          </cell>
          <cell r="F227" t="str">
            <v>LIC Housing Finance Ltd</v>
          </cell>
          <cell r="G227" t="str">
            <v>LIC Housing Finance Ltd CP MD 17-12-2024</v>
          </cell>
          <cell r="H227">
            <v>0</v>
          </cell>
          <cell r="I227" t="str">
            <v>17-12-2024</v>
          </cell>
          <cell r="J227" t="str">
            <v>CRISIL A1+</v>
          </cell>
          <cell r="K227">
            <v>0.09</v>
          </cell>
          <cell r="L227">
            <v>500000</v>
          </cell>
          <cell r="M227">
            <v>2000</v>
          </cell>
          <cell r="N227">
            <v>7.1</v>
          </cell>
          <cell r="O227">
            <v>497003</v>
          </cell>
          <cell r="P227">
            <v>994006000</v>
          </cell>
          <cell r="Q227">
            <v>0</v>
          </cell>
          <cell r="R227">
            <v>8889350.6099999994</v>
          </cell>
          <cell r="S227">
            <v>-3350.61</v>
          </cell>
          <cell r="T227">
            <v>994006000</v>
          </cell>
          <cell r="U227">
            <v>1.31</v>
          </cell>
          <cell r="V227">
            <v>1.31</v>
          </cell>
          <cell r="W227">
            <v>492560</v>
          </cell>
          <cell r="X227">
            <v>985120000</v>
          </cell>
          <cell r="Z227" t="str">
            <v>Financial Services</v>
          </cell>
          <cell r="AC227" t="str">
            <v>Housing Finance</v>
          </cell>
          <cell r="AD227">
            <v>32</v>
          </cell>
          <cell r="AE227" t="str">
            <v>Y</v>
          </cell>
          <cell r="AG227">
            <v>7.1</v>
          </cell>
          <cell r="AH227">
            <v>-2103.86</v>
          </cell>
          <cell r="AI227" t="str">
            <v>FILIC</v>
          </cell>
          <cell r="AJ227" t="str">
            <v>A1+</v>
          </cell>
          <cell r="AK227" t="str">
            <v>AAA</v>
          </cell>
          <cell r="AL227" t="str">
            <v>2</v>
          </cell>
          <cell r="AM227" t="str">
            <v>1</v>
          </cell>
        </row>
        <row r="228">
          <cell r="C228" t="str">
            <v>INE121A14WX5</v>
          </cell>
          <cell r="D228" t="str">
            <v>FI3508CP219</v>
          </cell>
          <cell r="E228" t="str">
            <v>CMP</v>
          </cell>
          <cell r="F228" t="str">
            <v>Cholamandalam Investment and Finance Co Ltd</v>
          </cell>
          <cell r="G228" t="str">
            <v>Cholamandalam Investment and Finance Co Ltd CP MD 29-01-2025</v>
          </cell>
          <cell r="H228">
            <v>0</v>
          </cell>
          <cell r="I228" t="str">
            <v>29-01-2025</v>
          </cell>
          <cell r="J228" t="str">
            <v>CRISIL A1+</v>
          </cell>
          <cell r="K228">
            <v>0.21</v>
          </cell>
          <cell r="L228">
            <v>500000</v>
          </cell>
          <cell r="M228">
            <v>1500</v>
          </cell>
          <cell r="N228">
            <v>7.55</v>
          </cell>
          <cell r="O228">
            <v>492462</v>
          </cell>
          <cell r="P228">
            <v>738693000</v>
          </cell>
          <cell r="Q228">
            <v>0</v>
          </cell>
          <cell r="R228">
            <v>2484400</v>
          </cell>
          <cell r="S228">
            <v>183350</v>
          </cell>
          <cell r="T228">
            <v>738693000</v>
          </cell>
          <cell r="U228">
            <v>0.98</v>
          </cell>
          <cell r="V228">
            <v>0.98</v>
          </cell>
          <cell r="W228">
            <v>490683.5</v>
          </cell>
          <cell r="X228">
            <v>736025250</v>
          </cell>
          <cell r="Z228" t="str">
            <v>Financial Services</v>
          </cell>
          <cell r="AC228" t="str">
            <v>Financial Services</v>
          </cell>
          <cell r="AD228">
            <v>75</v>
          </cell>
          <cell r="AE228" t="str">
            <v>Y</v>
          </cell>
          <cell r="AG228">
            <v>7.55</v>
          </cell>
          <cell r="AH228">
            <v>187875</v>
          </cell>
          <cell r="AI228" t="str">
            <v>FI3508</v>
          </cell>
          <cell r="AJ228" t="str">
            <v>A1+</v>
          </cell>
          <cell r="AK228" t="str">
            <v>AA+</v>
          </cell>
          <cell r="AL228" t="str">
            <v>3</v>
          </cell>
          <cell r="AM228" t="str">
            <v>2</v>
          </cell>
        </row>
        <row r="229">
          <cell r="C229" t="str">
            <v>INE146O14CN6</v>
          </cell>
          <cell r="D229" t="str">
            <v>FI3580CP209</v>
          </cell>
          <cell r="E229" t="str">
            <v>CMP</v>
          </cell>
          <cell r="F229" t="str">
            <v>Hinduja Leyland Finance Ltd</v>
          </cell>
          <cell r="G229" t="str">
            <v>Hinduja Leyland Finance Ltd CP MD 06-12-2024</v>
          </cell>
          <cell r="H229">
            <v>0</v>
          </cell>
          <cell r="I229" t="str">
            <v>06-12-2024</v>
          </cell>
          <cell r="J229" t="str">
            <v>CRISIL A1+</v>
          </cell>
          <cell r="K229">
            <v>0.06</v>
          </cell>
          <cell r="L229">
            <v>500000</v>
          </cell>
          <cell r="M229">
            <v>1000</v>
          </cell>
          <cell r="N229">
            <v>7.6851000000000003</v>
          </cell>
          <cell r="O229">
            <v>497903.5</v>
          </cell>
          <cell r="P229">
            <v>497903500</v>
          </cell>
          <cell r="Q229">
            <v>0</v>
          </cell>
          <cell r="R229">
            <v>6878476.1600000001</v>
          </cell>
          <cell r="S229">
            <v>53023.839999999997</v>
          </cell>
          <cell r="T229">
            <v>497903500</v>
          </cell>
          <cell r="U229">
            <v>0.66</v>
          </cell>
          <cell r="V229">
            <v>0.66</v>
          </cell>
          <cell r="W229">
            <v>490972</v>
          </cell>
          <cell r="X229">
            <v>490972000</v>
          </cell>
          <cell r="Z229" t="str">
            <v>Financial Services</v>
          </cell>
          <cell r="AC229" t="str">
            <v>Financial Services</v>
          </cell>
          <cell r="AD229">
            <v>21</v>
          </cell>
          <cell r="AE229" t="str">
            <v>Y</v>
          </cell>
          <cell r="AG229">
            <v>7.6851000000000003</v>
          </cell>
          <cell r="AH229">
            <v>56000.03</v>
          </cell>
          <cell r="AI229" t="str">
            <v>FI3580</v>
          </cell>
          <cell r="AJ229" t="str">
            <v>A1+</v>
          </cell>
          <cell r="AK229" t="str">
            <v>AA+</v>
          </cell>
          <cell r="AL229" t="str">
            <v>4</v>
          </cell>
          <cell r="AM229" t="str">
            <v>2</v>
          </cell>
        </row>
        <row r="230">
          <cell r="C230" t="str">
            <v>INE233A14R62</v>
          </cell>
          <cell r="D230" t="str">
            <v>CH2208CP242</v>
          </cell>
          <cell r="E230" t="str">
            <v>CMP</v>
          </cell>
          <cell r="F230" t="str">
            <v>Godrej Industries Ltd</v>
          </cell>
          <cell r="G230" t="str">
            <v>Godrej Industries Ltd CP MD 27-11-2024</v>
          </cell>
          <cell r="H230">
            <v>0</v>
          </cell>
          <cell r="I230" t="str">
            <v>27-11-2024</v>
          </cell>
          <cell r="J230" t="str">
            <v>CRISIL A1+</v>
          </cell>
          <cell r="K230">
            <v>0.03</v>
          </cell>
          <cell r="L230">
            <v>500000</v>
          </cell>
          <cell r="M230">
            <v>1000</v>
          </cell>
          <cell r="N230">
            <v>6.9749999999999996</v>
          </cell>
          <cell r="O230">
            <v>498951.5</v>
          </cell>
          <cell r="P230">
            <v>498951500</v>
          </cell>
          <cell r="Q230">
            <v>0</v>
          </cell>
          <cell r="R230">
            <v>7867692.2999999998</v>
          </cell>
          <cell r="S230">
            <v>33307.699999999997</v>
          </cell>
          <cell r="T230">
            <v>498951500</v>
          </cell>
          <cell r="U230">
            <v>0.66</v>
          </cell>
          <cell r="V230">
            <v>0.66</v>
          </cell>
          <cell r="W230">
            <v>491050.5</v>
          </cell>
          <cell r="X230">
            <v>491050500</v>
          </cell>
          <cell r="Z230" t="str">
            <v>Diversified</v>
          </cell>
          <cell r="AC230" t="str">
            <v>Diversified</v>
          </cell>
          <cell r="AD230">
            <v>12</v>
          </cell>
          <cell r="AE230" t="str">
            <v>Y</v>
          </cell>
          <cell r="AG230">
            <v>6.9749999999999996</v>
          </cell>
          <cell r="AH230">
            <v>36153.85</v>
          </cell>
          <cell r="AI230" t="str">
            <v>CH2208</v>
          </cell>
          <cell r="AJ230" t="str">
            <v>A1+</v>
          </cell>
          <cell r="AK230" t="str">
            <v>AA+</v>
          </cell>
          <cell r="AL230" t="str">
            <v>3</v>
          </cell>
          <cell r="AM230" t="str">
            <v>2</v>
          </cell>
        </row>
        <row r="231">
          <cell r="C231" t="str">
            <v>INE233A14S61</v>
          </cell>
          <cell r="D231" t="str">
            <v>CH2208CP243</v>
          </cell>
          <cell r="E231" t="str">
            <v>CMP</v>
          </cell>
          <cell r="F231" t="str">
            <v>Godrej Industries Ltd</v>
          </cell>
          <cell r="G231" t="str">
            <v>Godrej Industries Ltd CP MD 13-12-2024</v>
          </cell>
          <cell r="H231">
            <v>0</v>
          </cell>
          <cell r="I231" t="str">
            <v>13-12-2024</v>
          </cell>
          <cell r="J231" t="str">
            <v>CRISIL A1+</v>
          </cell>
          <cell r="K231">
            <v>0.08</v>
          </cell>
          <cell r="L231">
            <v>500000</v>
          </cell>
          <cell r="M231">
            <v>1500</v>
          </cell>
          <cell r="N231">
            <v>7.01</v>
          </cell>
          <cell r="O231">
            <v>497421</v>
          </cell>
          <cell r="P231">
            <v>746131500</v>
          </cell>
          <cell r="Q231">
            <v>0</v>
          </cell>
          <cell r="R231">
            <v>9517186.8000000007</v>
          </cell>
          <cell r="S231">
            <v>146563.20000000001</v>
          </cell>
          <cell r="T231">
            <v>746131500</v>
          </cell>
          <cell r="U231">
            <v>0.99</v>
          </cell>
          <cell r="V231">
            <v>0.99</v>
          </cell>
          <cell r="W231">
            <v>490978.5</v>
          </cell>
          <cell r="X231">
            <v>736467750</v>
          </cell>
          <cell r="Z231" t="str">
            <v>Diversified</v>
          </cell>
          <cell r="AC231" t="str">
            <v>Diversified</v>
          </cell>
          <cell r="AD231">
            <v>28</v>
          </cell>
          <cell r="AE231" t="str">
            <v>Y</v>
          </cell>
          <cell r="AG231">
            <v>7.01</v>
          </cell>
          <cell r="AH231">
            <v>152769.25</v>
          </cell>
          <cell r="AI231" t="str">
            <v>CH2208</v>
          </cell>
          <cell r="AJ231" t="str">
            <v>A1+</v>
          </cell>
          <cell r="AK231" t="str">
            <v>AA+</v>
          </cell>
          <cell r="AL231" t="str">
            <v>4</v>
          </cell>
          <cell r="AM231" t="str">
            <v>2</v>
          </cell>
        </row>
        <row r="232">
          <cell r="C232" t="str">
            <v>INE289B14JC9</v>
          </cell>
          <cell r="D232" t="str">
            <v>FI3559CP215</v>
          </cell>
          <cell r="E232" t="str">
            <v>CMP</v>
          </cell>
          <cell r="F232" t="str">
            <v>GIC Housing Finance Ltd</v>
          </cell>
          <cell r="G232" t="str">
            <v>GIC Housing Finance Ltd CP MD 22-11-2024</v>
          </cell>
          <cell r="H232">
            <v>0</v>
          </cell>
          <cell r="I232" t="str">
            <v>22-11-2024</v>
          </cell>
          <cell r="J232" t="str">
            <v>CRISIL A1+</v>
          </cell>
          <cell r="K232">
            <v>0.02</v>
          </cell>
          <cell r="L232">
            <v>500000</v>
          </cell>
          <cell r="M232">
            <v>2000</v>
          </cell>
          <cell r="N232">
            <v>7.05</v>
          </cell>
          <cell r="O232">
            <v>499421</v>
          </cell>
          <cell r="P232">
            <v>998842000</v>
          </cell>
          <cell r="Q232">
            <v>0</v>
          </cell>
          <cell r="R232">
            <v>15507142.85</v>
          </cell>
          <cell r="S232">
            <v>34857.15</v>
          </cell>
          <cell r="T232">
            <v>998842000</v>
          </cell>
          <cell r="U232">
            <v>1.32</v>
          </cell>
          <cell r="V232">
            <v>1.32</v>
          </cell>
          <cell r="W232">
            <v>491650</v>
          </cell>
          <cell r="X232">
            <v>983300000</v>
          </cell>
          <cell r="Z232" t="str">
            <v>Financial Services</v>
          </cell>
          <cell r="AC232" t="str">
            <v>Housing Finance</v>
          </cell>
          <cell r="AD232">
            <v>7</v>
          </cell>
          <cell r="AE232" t="str">
            <v>Y</v>
          </cell>
          <cell r="AG232">
            <v>7.05</v>
          </cell>
          <cell r="AH232">
            <v>41666.67</v>
          </cell>
          <cell r="AI232" t="str">
            <v>FI3559</v>
          </cell>
          <cell r="AJ232" t="str">
            <v>A1+</v>
          </cell>
          <cell r="AK232" t="str">
            <v>AA+</v>
          </cell>
          <cell r="AL232" t="str">
            <v>4</v>
          </cell>
          <cell r="AM232" t="str">
            <v>2</v>
          </cell>
        </row>
        <row r="233">
          <cell r="C233" t="str">
            <v>INE338I14IJ6</v>
          </cell>
          <cell r="D233" t="str">
            <v>FI3435CP214</v>
          </cell>
          <cell r="E233" t="str">
            <v>CMP</v>
          </cell>
          <cell r="F233" t="str">
            <v>Motilal Oswal Financial Services Ltd</v>
          </cell>
          <cell r="G233" t="str">
            <v>Motilal Oswal Financial Services Ltd CMP 11 12 2024</v>
          </cell>
          <cell r="H233">
            <v>0</v>
          </cell>
          <cell r="I233" t="str">
            <v>11-12-2024</v>
          </cell>
          <cell r="J233" t="str">
            <v>CRISIL A1+</v>
          </cell>
          <cell r="K233">
            <v>7.0000000000000007E-2</v>
          </cell>
          <cell r="L233">
            <v>500000</v>
          </cell>
          <cell r="M233">
            <v>2000</v>
          </cell>
          <cell r="N233">
            <v>7.5655000000000001</v>
          </cell>
          <cell r="O233">
            <v>497422.5</v>
          </cell>
          <cell r="P233">
            <v>994845000</v>
          </cell>
          <cell r="Q233">
            <v>0</v>
          </cell>
          <cell r="R233">
            <v>14200153.890000001</v>
          </cell>
          <cell r="S233">
            <v>223846.11</v>
          </cell>
          <cell r="T233">
            <v>994845000</v>
          </cell>
          <cell r="U233">
            <v>1.31</v>
          </cell>
          <cell r="V233">
            <v>1.31</v>
          </cell>
          <cell r="W233">
            <v>490210.5</v>
          </cell>
          <cell r="X233">
            <v>980421000</v>
          </cell>
          <cell r="Z233" t="str">
            <v>Financial Services</v>
          </cell>
          <cell r="AC233" t="str">
            <v>Financial Services</v>
          </cell>
          <cell r="AD233">
            <v>26</v>
          </cell>
          <cell r="AE233" t="str">
            <v>Y</v>
          </cell>
          <cell r="AG233">
            <v>7.5655000000000001</v>
          </cell>
          <cell r="AH233">
            <v>233999.96</v>
          </cell>
          <cell r="AI233" t="str">
            <v>FI3435</v>
          </cell>
          <cell r="AJ233" t="str">
            <v>A1+</v>
          </cell>
          <cell r="AK233" t="str">
            <v>AA</v>
          </cell>
          <cell r="AL233" t="str">
            <v>4</v>
          </cell>
          <cell r="AM233" t="str">
            <v>3</v>
          </cell>
        </row>
        <row r="234">
          <cell r="C234" t="str">
            <v>INE338I14IQ1</v>
          </cell>
          <cell r="D234" t="str">
            <v>FI3435CP217</v>
          </cell>
          <cell r="E234" t="str">
            <v>CMP</v>
          </cell>
          <cell r="F234" t="str">
            <v>Motilal Oswal Financial Services Ltd</v>
          </cell>
          <cell r="G234" t="str">
            <v>Motilal Oswal Financial Services Limited CP MD 04-02-2025</v>
          </cell>
          <cell r="H234">
            <v>0</v>
          </cell>
          <cell r="I234" t="str">
            <v>04-02-2025</v>
          </cell>
          <cell r="J234" t="str">
            <v>CRISIL A1+</v>
          </cell>
          <cell r="K234">
            <v>0.22</v>
          </cell>
          <cell r="L234">
            <v>500000</v>
          </cell>
          <cell r="M234">
            <v>1000</v>
          </cell>
          <cell r="N234">
            <v>7.7850000000000001</v>
          </cell>
          <cell r="O234">
            <v>491611.5</v>
          </cell>
          <cell r="P234">
            <v>491611500</v>
          </cell>
          <cell r="Q234">
            <v>0</v>
          </cell>
          <cell r="R234">
            <v>1167390.07</v>
          </cell>
          <cell r="S234">
            <v>101609.93</v>
          </cell>
          <cell r="T234">
            <v>491611500</v>
          </cell>
          <cell r="U234">
            <v>0.65</v>
          </cell>
          <cell r="V234">
            <v>0.65</v>
          </cell>
          <cell r="W234">
            <v>490342.5</v>
          </cell>
          <cell r="X234">
            <v>490342500</v>
          </cell>
          <cell r="Z234" t="str">
            <v>Financial Services</v>
          </cell>
          <cell r="AC234" t="str">
            <v>Financial Services</v>
          </cell>
          <cell r="AD234">
            <v>81</v>
          </cell>
          <cell r="AE234" t="str">
            <v>Y</v>
          </cell>
          <cell r="AG234">
            <v>7.7850000000000001</v>
          </cell>
          <cell r="AH234">
            <v>104736.3</v>
          </cell>
          <cell r="AI234" t="str">
            <v>FI3435</v>
          </cell>
          <cell r="AJ234" t="str">
            <v>A1+</v>
          </cell>
          <cell r="AK234" t="str">
            <v>AA</v>
          </cell>
          <cell r="AL234" t="str">
            <v>4</v>
          </cell>
          <cell r="AM234" t="str">
            <v>3</v>
          </cell>
        </row>
        <row r="235">
          <cell r="C235" t="str">
            <v>INE417C14645</v>
          </cell>
          <cell r="D235" t="str">
            <v>FI35119CP203</v>
          </cell>
          <cell r="E235" t="str">
            <v>CMP</v>
          </cell>
          <cell r="F235" t="str">
            <v>Pilani Investment and Industries Corporation Ltd.</v>
          </cell>
          <cell r="G235" t="str">
            <v>Pilani Investment &amp; Industries Corpn Ltd CMP 14 01 2025</v>
          </cell>
          <cell r="H235">
            <v>0</v>
          </cell>
          <cell r="I235" t="str">
            <v>14-01-2025</v>
          </cell>
          <cell r="J235" t="str">
            <v>CRISIL A1+</v>
          </cell>
          <cell r="K235">
            <v>0.16</v>
          </cell>
          <cell r="L235">
            <v>500000</v>
          </cell>
          <cell r="M235">
            <v>2500</v>
          </cell>
          <cell r="N235">
            <v>7.7050000000000001</v>
          </cell>
          <cell r="O235">
            <v>493849.5</v>
          </cell>
          <cell r="P235">
            <v>1234623750</v>
          </cell>
          <cell r="Q235">
            <v>0</v>
          </cell>
          <cell r="R235">
            <v>8022541.7699999996</v>
          </cell>
          <cell r="S235">
            <v>-107541.77</v>
          </cell>
          <cell r="T235">
            <v>1234623750</v>
          </cell>
          <cell r="U235">
            <v>1.63</v>
          </cell>
          <cell r="V235">
            <v>1.63</v>
          </cell>
          <cell r="W235">
            <v>490683.5</v>
          </cell>
          <cell r="X235">
            <v>1226708750</v>
          </cell>
          <cell r="Z235" t="str">
            <v>Financial Services</v>
          </cell>
          <cell r="AC235" t="str">
            <v>Financial Services</v>
          </cell>
          <cell r="AD235">
            <v>60</v>
          </cell>
          <cell r="AE235" t="str">
            <v>Y</v>
          </cell>
          <cell r="AG235">
            <v>7.7050000000000001</v>
          </cell>
          <cell r="AH235">
            <v>-106250.1</v>
          </cell>
          <cell r="AI235" t="str">
            <v>FI35119</v>
          </cell>
          <cell r="AJ235" t="str">
            <v>A1+</v>
          </cell>
          <cell r="AK235" t="str">
            <v>AA+</v>
          </cell>
          <cell r="AL235" t="str">
            <v>3</v>
          </cell>
          <cell r="AM235" t="str">
            <v>2</v>
          </cell>
        </row>
        <row r="236">
          <cell r="C236" t="str">
            <v>INE498L14CV0</v>
          </cell>
          <cell r="D236" t="str">
            <v>FI35LTCP271</v>
          </cell>
          <cell r="E236" t="str">
            <v>CMP</v>
          </cell>
          <cell r="F236" t="str">
            <v>L &amp; T Finance Ltd</v>
          </cell>
          <cell r="G236" t="str">
            <v>L &amp; T Finance Ltd CP MD 13-02-2025</v>
          </cell>
          <cell r="H236">
            <v>0</v>
          </cell>
          <cell r="I236" t="str">
            <v>13-02-2025</v>
          </cell>
          <cell r="J236" t="str">
            <v>CRISIL A1+</v>
          </cell>
          <cell r="K236">
            <v>0.25</v>
          </cell>
          <cell r="L236">
            <v>500000</v>
          </cell>
          <cell r="M236">
            <v>1000</v>
          </cell>
          <cell r="N236">
            <v>7.43</v>
          </cell>
          <cell r="O236">
            <v>491102.5</v>
          </cell>
          <cell r="P236">
            <v>491102500</v>
          </cell>
          <cell r="Q236">
            <v>0</v>
          </cell>
          <cell r="R236">
            <v>199857.14</v>
          </cell>
          <cell r="S236">
            <v>-3857.14</v>
          </cell>
          <cell r="T236">
            <v>491102500</v>
          </cell>
          <cell r="U236">
            <v>0.65</v>
          </cell>
          <cell r="V236">
            <v>0.65</v>
          </cell>
          <cell r="W236">
            <v>490906.5</v>
          </cell>
          <cell r="X236">
            <v>490906500</v>
          </cell>
          <cell r="Z236" t="str">
            <v>Financial Services</v>
          </cell>
          <cell r="AD236">
            <v>90</v>
          </cell>
          <cell r="AE236" t="str">
            <v>Y</v>
          </cell>
          <cell r="AG236">
            <v>7.43</v>
          </cell>
          <cell r="AH236">
            <v>-1928.57</v>
          </cell>
          <cell r="AI236" t="str">
            <v>FI35LT</v>
          </cell>
        </row>
        <row r="237">
          <cell r="C237" t="str">
            <v>INE514E14RY1</v>
          </cell>
          <cell r="D237" t="str">
            <v>FI35EXCP305</v>
          </cell>
          <cell r="E237" t="str">
            <v>CMP</v>
          </cell>
          <cell r="F237" t="str">
            <v>Export Import Bank of India</v>
          </cell>
          <cell r="G237" t="str">
            <v>Export and Import Bank of India CP MD 24-01-2025</v>
          </cell>
          <cell r="H237">
            <v>0</v>
          </cell>
          <cell r="I237" t="str">
            <v>24-01-2025</v>
          </cell>
          <cell r="J237" t="str">
            <v>CRISIL A1+</v>
          </cell>
          <cell r="K237">
            <v>0.19</v>
          </cell>
          <cell r="L237">
            <v>500000</v>
          </cell>
          <cell r="M237">
            <v>2000</v>
          </cell>
          <cell r="N237">
            <v>7.1550000000000002</v>
          </cell>
          <cell r="O237">
            <v>493327.5</v>
          </cell>
          <cell r="P237">
            <v>986655000</v>
          </cell>
          <cell r="Q237">
            <v>0</v>
          </cell>
          <cell r="R237">
            <v>3095717.6</v>
          </cell>
          <cell r="S237">
            <v>5282.4</v>
          </cell>
          <cell r="T237">
            <v>986655000</v>
          </cell>
          <cell r="U237">
            <v>1.3</v>
          </cell>
          <cell r="V237">
            <v>1.3</v>
          </cell>
          <cell r="W237">
            <v>491777</v>
          </cell>
          <cell r="X237">
            <v>983554000</v>
          </cell>
          <cell r="Z237" t="str">
            <v>Financial Services</v>
          </cell>
          <cell r="AC237" t="str">
            <v>Exempt - PFI</v>
          </cell>
          <cell r="AD237">
            <v>70</v>
          </cell>
          <cell r="AE237" t="str">
            <v>Y</v>
          </cell>
          <cell r="AG237">
            <v>7.1550000000000002</v>
          </cell>
          <cell r="AH237">
            <v>7764.75</v>
          </cell>
          <cell r="AI237" t="str">
            <v>EXIM</v>
          </cell>
          <cell r="AJ237" t="str">
            <v>A1+</v>
          </cell>
          <cell r="AK237" t="str">
            <v>AAA</v>
          </cell>
          <cell r="AL237" t="str">
            <v>1</v>
          </cell>
          <cell r="AM237" t="str">
            <v>1</v>
          </cell>
        </row>
        <row r="238">
          <cell r="C238" t="str">
            <v>INE514E14SC5</v>
          </cell>
          <cell r="D238" t="str">
            <v>FI35EXCP304</v>
          </cell>
          <cell r="E238" t="str">
            <v>CMP</v>
          </cell>
          <cell r="F238" t="str">
            <v>Export Import Bank of India</v>
          </cell>
          <cell r="G238" t="str">
            <v>Export and Import bank of india CMP MD 28-11-2024</v>
          </cell>
          <cell r="H238">
            <v>0</v>
          </cell>
          <cell r="I238" t="str">
            <v>28-11-2024</v>
          </cell>
          <cell r="J238" t="str">
            <v>CRISIL A1+</v>
          </cell>
          <cell r="K238">
            <v>0.04</v>
          </cell>
          <cell r="L238">
            <v>500000</v>
          </cell>
          <cell r="M238">
            <v>500</v>
          </cell>
          <cell r="N238">
            <v>6.7496999999999998</v>
          </cell>
          <cell r="O238">
            <v>498893</v>
          </cell>
          <cell r="P238">
            <v>249446500</v>
          </cell>
          <cell r="Q238">
            <v>0</v>
          </cell>
          <cell r="R238">
            <v>3463816.27</v>
          </cell>
          <cell r="S238">
            <v>31933.73</v>
          </cell>
          <cell r="T238">
            <v>249446500</v>
          </cell>
          <cell r="U238">
            <v>0.33</v>
          </cell>
          <cell r="V238">
            <v>0.33</v>
          </cell>
          <cell r="W238">
            <v>491901.5</v>
          </cell>
          <cell r="X238">
            <v>245950750</v>
          </cell>
          <cell r="Z238" t="str">
            <v>Financial Services</v>
          </cell>
          <cell r="AC238" t="str">
            <v>Exempt - PFI</v>
          </cell>
          <cell r="AD238">
            <v>13</v>
          </cell>
          <cell r="AE238" t="str">
            <v>Y</v>
          </cell>
          <cell r="AG238">
            <v>6.7496999999999998</v>
          </cell>
          <cell r="AH238">
            <v>34719.879999999997</v>
          </cell>
          <cell r="AI238" t="str">
            <v>EXIM</v>
          </cell>
          <cell r="AJ238" t="str">
            <v>A1+</v>
          </cell>
          <cell r="AK238" t="str">
            <v>AAA</v>
          </cell>
          <cell r="AL238" t="str">
            <v>1</v>
          </cell>
          <cell r="AM238" t="str">
            <v>1</v>
          </cell>
        </row>
        <row r="239">
          <cell r="C239" t="str">
            <v>INE556F14KO5</v>
          </cell>
          <cell r="D239" t="str">
            <v>FI3405CP300</v>
          </cell>
          <cell r="E239" t="str">
            <v>CMP</v>
          </cell>
          <cell r="F239" t="str">
            <v>Small Industries Development Bank of India</v>
          </cell>
          <cell r="G239" t="str">
            <v>Small Industries Development Bank of India CP MD 13-12-2024</v>
          </cell>
          <cell r="H239">
            <v>0</v>
          </cell>
          <cell r="I239" t="str">
            <v>13-12-2024</v>
          </cell>
          <cell r="J239" t="str">
            <v>CRISIL A1+</v>
          </cell>
          <cell r="K239">
            <v>0.08</v>
          </cell>
          <cell r="L239">
            <v>500000</v>
          </cell>
          <cell r="M239">
            <v>2500</v>
          </cell>
          <cell r="N239">
            <v>6.8299000000000003</v>
          </cell>
          <cell r="O239">
            <v>497487</v>
          </cell>
          <cell r="P239">
            <v>1243717500</v>
          </cell>
          <cell r="Q239">
            <v>0</v>
          </cell>
          <cell r="R239">
            <v>15735384.619999999</v>
          </cell>
          <cell r="S239">
            <v>355865.38</v>
          </cell>
          <cell r="T239">
            <v>1243717500</v>
          </cell>
          <cell r="U239">
            <v>1.64</v>
          </cell>
          <cell r="V239">
            <v>1.64</v>
          </cell>
          <cell r="W239">
            <v>491050.5</v>
          </cell>
          <cell r="X239">
            <v>1227626250</v>
          </cell>
          <cell r="Z239" t="str">
            <v>Financial Services</v>
          </cell>
          <cell r="AC239" t="str">
            <v>Exempt - PFI</v>
          </cell>
          <cell r="AD239">
            <v>28</v>
          </cell>
          <cell r="AE239" t="str">
            <v>Y</v>
          </cell>
          <cell r="AG239">
            <v>6.8299000000000003</v>
          </cell>
          <cell r="AH239">
            <v>369230.77</v>
          </cell>
          <cell r="AI239" t="str">
            <v>FI3405</v>
          </cell>
          <cell r="AJ239" t="str">
            <v>A1+</v>
          </cell>
          <cell r="AK239" t="str">
            <v>AAA</v>
          </cell>
          <cell r="AL239" t="str">
            <v>1</v>
          </cell>
          <cell r="AM239" t="str">
            <v>1</v>
          </cell>
        </row>
        <row r="240">
          <cell r="C240" t="str">
            <v>INE572E14JJ7</v>
          </cell>
          <cell r="D240" t="str">
            <v>FI3333CP236</v>
          </cell>
          <cell r="E240" t="str">
            <v>CMP</v>
          </cell>
          <cell r="F240" t="str">
            <v>PNB Housing Finance Ltd</v>
          </cell>
          <cell r="G240" t="str">
            <v>PNB Housing Finance Ltd CMP 26 11 2024</v>
          </cell>
          <cell r="H240">
            <v>0</v>
          </cell>
          <cell r="I240" t="str">
            <v>26-11-2024</v>
          </cell>
          <cell r="J240" t="str">
            <v>CRISIL A1+</v>
          </cell>
          <cell r="K240">
            <v>0.03</v>
          </cell>
          <cell r="L240">
            <v>500000</v>
          </cell>
          <cell r="M240">
            <v>1000</v>
          </cell>
          <cell r="N240">
            <v>7.0149999999999997</v>
          </cell>
          <cell r="O240">
            <v>499041</v>
          </cell>
          <cell r="P240">
            <v>499041000</v>
          </cell>
          <cell r="Q240">
            <v>0</v>
          </cell>
          <cell r="R240">
            <v>7966038.46</v>
          </cell>
          <cell r="S240">
            <v>24461.54</v>
          </cell>
          <cell r="T240">
            <v>499041000</v>
          </cell>
          <cell r="U240">
            <v>0.66</v>
          </cell>
          <cell r="V240">
            <v>0.66</v>
          </cell>
          <cell r="W240">
            <v>491050.5</v>
          </cell>
          <cell r="X240">
            <v>491050500</v>
          </cell>
          <cell r="Z240" t="str">
            <v>Financial Services</v>
          </cell>
          <cell r="AC240" t="str">
            <v>Housing Finance</v>
          </cell>
          <cell r="AD240">
            <v>11</v>
          </cell>
          <cell r="AE240" t="str">
            <v>Y</v>
          </cell>
          <cell r="AG240">
            <v>7.0149999999999997</v>
          </cell>
          <cell r="AH240">
            <v>27307.7</v>
          </cell>
          <cell r="AI240" t="str">
            <v>FI3333</v>
          </cell>
          <cell r="AJ240" t="str">
            <v>A1+</v>
          </cell>
          <cell r="AK240" t="str">
            <v>AA+</v>
          </cell>
          <cell r="AL240" t="str">
            <v>3</v>
          </cell>
          <cell r="AM240" t="str">
            <v>2</v>
          </cell>
        </row>
        <row r="241">
          <cell r="C241" t="str">
            <v>INE607M14BL7</v>
          </cell>
          <cell r="D241" t="str">
            <v>UT4746CP238</v>
          </cell>
          <cell r="E241" t="str">
            <v>CMP</v>
          </cell>
          <cell r="F241" t="str">
            <v>Tata Power Renewable Energy Ltd</v>
          </cell>
          <cell r="G241" t="str">
            <v>TATA Power Renewable Energy Ltd CP MD 12-12-2024</v>
          </cell>
          <cell r="H241">
            <v>0</v>
          </cell>
          <cell r="I241" t="str">
            <v>12-12-2024</v>
          </cell>
          <cell r="J241" t="str">
            <v>CRISIL A1+</v>
          </cell>
          <cell r="K241">
            <v>7.0000000000000007E-2</v>
          </cell>
          <cell r="L241">
            <v>500000</v>
          </cell>
          <cell r="M241">
            <v>2000</v>
          </cell>
          <cell r="N241">
            <v>7.1150000000000002</v>
          </cell>
          <cell r="O241">
            <v>497479</v>
          </cell>
          <cell r="P241">
            <v>994958000</v>
          </cell>
          <cell r="Q241">
            <v>0</v>
          </cell>
          <cell r="R241">
            <v>12743111.039999999</v>
          </cell>
          <cell r="S241">
            <v>134888.95999999999</v>
          </cell>
          <cell r="T241">
            <v>994958000</v>
          </cell>
          <cell r="U241">
            <v>1.31</v>
          </cell>
          <cell r="V241">
            <v>1.31</v>
          </cell>
          <cell r="W241">
            <v>491040</v>
          </cell>
          <cell r="X241">
            <v>982080000</v>
          </cell>
          <cell r="Z241" t="str">
            <v>Power</v>
          </cell>
          <cell r="AC241" t="str">
            <v>Power</v>
          </cell>
          <cell r="AD241">
            <v>27</v>
          </cell>
          <cell r="AE241" t="str">
            <v>Y</v>
          </cell>
          <cell r="AG241">
            <v>7.1150000000000002</v>
          </cell>
          <cell r="AH241">
            <v>141000.07</v>
          </cell>
          <cell r="AI241" t="str">
            <v>UT4746</v>
          </cell>
          <cell r="AJ241" t="str">
            <v>A1+</v>
          </cell>
          <cell r="AK241" t="str">
            <v>AA+</v>
          </cell>
          <cell r="AL241" t="str">
            <v>3</v>
          </cell>
          <cell r="AM241" t="str">
            <v>2</v>
          </cell>
        </row>
        <row r="242">
          <cell r="C242" t="str">
            <v>INE692Q14BH8</v>
          </cell>
          <cell r="D242" t="str">
            <v>FI35T0CP203</v>
          </cell>
          <cell r="E242" t="str">
            <v>CMP</v>
          </cell>
          <cell r="F242" t="str">
            <v>TOYOTA FINANCIAL SERVICES</v>
          </cell>
          <cell r="G242" t="str">
            <v>Toyota Financial Services India Limited CP MD 27-01-2025</v>
          </cell>
          <cell r="H242">
            <v>0</v>
          </cell>
          <cell r="I242" t="str">
            <v>27-01-2025</v>
          </cell>
          <cell r="J242" t="str">
            <v>CRISIL A1+</v>
          </cell>
          <cell r="K242">
            <v>0.2</v>
          </cell>
          <cell r="L242">
            <v>500000</v>
          </cell>
          <cell r="M242">
            <v>500</v>
          </cell>
          <cell r="N242">
            <v>7.48</v>
          </cell>
          <cell r="O242">
            <v>492729.5</v>
          </cell>
          <cell r="P242">
            <v>246364750</v>
          </cell>
          <cell r="Q242">
            <v>0</v>
          </cell>
          <cell r="R242">
            <v>826363.68</v>
          </cell>
          <cell r="S242">
            <v>83386.320000000007</v>
          </cell>
          <cell r="T242">
            <v>246364750</v>
          </cell>
          <cell r="U242">
            <v>0.33</v>
          </cell>
          <cell r="V242">
            <v>0.33</v>
          </cell>
          <cell r="W242">
            <v>490910</v>
          </cell>
          <cell r="X242">
            <v>245455000</v>
          </cell>
          <cell r="Z242" t="str">
            <v>Financial Services</v>
          </cell>
          <cell r="AC242" t="str">
            <v>Financial Services</v>
          </cell>
          <cell r="AD242">
            <v>73</v>
          </cell>
          <cell r="AE242" t="str">
            <v>Y</v>
          </cell>
          <cell r="AG242">
            <v>7.48</v>
          </cell>
          <cell r="AH242">
            <v>85534.05</v>
          </cell>
          <cell r="AI242" t="str">
            <v>FI35TO</v>
          </cell>
          <cell r="AJ242" t="str">
            <v>A1+</v>
          </cell>
          <cell r="AK242" t="str">
            <v>AAA</v>
          </cell>
          <cell r="AL242" t="str">
            <v>2</v>
          </cell>
          <cell r="AM242" t="str">
            <v>1</v>
          </cell>
        </row>
        <row r="243">
          <cell r="C243" t="str">
            <v>INE700G14MD6</v>
          </cell>
          <cell r="D243" t="str">
            <v>FI3601CP219</v>
          </cell>
          <cell r="E243" t="str">
            <v>CMP</v>
          </cell>
          <cell r="F243" t="str">
            <v>HDFC Securities Ltd</v>
          </cell>
          <cell r="G243" t="str">
            <v>HDFC Securities Ltd CP MD 12-02-2025</v>
          </cell>
          <cell r="H243">
            <v>0</v>
          </cell>
          <cell r="I243" t="str">
            <v>12-02-2025</v>
          </cell>
          <cell r="J243" t="str">
            <v>CRISIL A1+</v>
          </cell>
          <cell r="K243">
            <v>0.24</v>
          </cell>
          <cell r="L243">
            <v>500000</v>
          </cell>
          <cell r="M243">
            <v>1000</v>
          </cell>
          <cell r="N243">
            <v>7.51</v>
          </cell>
          <cell r="O243">
            <v>491108</v>
          </cell>
          <cell r="P243">
            <v>491108000</v>
          </cell>
          <cell r="Q243">
            <v>0</v>
          </cell>
          <cell r="R243">
            <v>303346.15999999997</v>
          </cell>
          <cell r="S243">
            <v>6153.84</v>
          </cell>
          <cell r="T243">
            <v>491108000</v>
          </cell>
          <cell r="U243">
            <v>0.65</v>
          </cell>
          <cell r="V243">
            <v>0.65</v>
          </cell>
          <cell r="W243">
            <v>490798.5</v>
          </cell>
          <cell r="X243">
            <v>490798500</v>
          </cell>
          <cell r="Z243" t="str">
            <v>Financial Services</v>
          </cell>
          <cell r="AC243" t="str">
            <v>Financial Services</v>
          </cell>
          <cell r="AD243">
            <v>89</v>
          </cell>
          <cell r="AE243" t="str">
            <v>Y</v>
          </cell>
          <cell r="AG243">
            <v>7.51</v>
          </cell>
          <cell r="AH243">
            <v>7769.22</v>
          </cell>
          <cell r="AI243" t="str">
            <v>FI3601</v>
          </cell>
          <cell r="AJ243" t="str">
            <v>A1+</v>
          </cell>
          <cell r="AK243" t="str">
            <v>AAA</v>
          </cell>
          <cell r="AL243" t="str">
            <v>2</v>
          </cell>
          <cell r="AM243" t="str">
            <v>1</v>
          </cell>
        </row>
        <row r="244">
          <cell r="C244" t="str">
            <v>INE721A14DY0</v>
          </cell>
          <cell r="D244" t="str">
            <v>FI3539CP203</v>
          </cell>
          <cell r="E244" t="str">
            <v>CMP</v>
          </cell>
          <cell r="F244" t="str">
            <v>Shriram Finance Ltd</v>
          </cell>
          <cell r="G244" t="str">
            <v>Shriram Finance Limited CP MD 12-12-2024</v>
          </cell>
          <cell r="H244">
            <v>0</v>
          </cell>
          <cell r="I244" t="str">
            <v>12-12-2024</v>
          </cell>
          <cell r="J244" t="str">
            <v>IND A1+</v>
          </cell>
          <cell r="K244">
            <v>7.0000000000000007E-2</v>
          </cell>
          <cell r="L244">
            <v>500000</v>
          </cell>
          <cell r="M244">
            <v>2000</v>
          </cell>
          <cell r="N244">
            <v>7.53</v>
          </cell>
          <cell r="O244">
            <v>497332.5</v>
          </cell>
          <cell r="P244">
            <v>994665000</v>
          </cell>
          <cell r="Q244">
            <v>0</v>
          </cell>
          <cell r="R244">
            <v>13711428.58</v>
          </cell>
          <cell r="S244">
            <v>149571.42000000001</v>
          </cell>
          <cell r="T244">
            <v>994665000</v>
          </cell>
          <cell r="U244">
            <v>1.31</v>
          </cell>
          <cell r="V244">
            <v>1.31</v>
          </cell>
          <cell r="W244">
            <v>490402</v>
          </cell>
          <cell r="X244">
            <v>980804000</v>
          </cell>
          <cell r="Z244" t="str">
            <v>Financial Services</v>
          </cell>
          <cell r="AC244" t="str">
            <v>Financial Services</v>
          </cell>
          <cell r="AD244">
            <v>27</v>
          </cell>
          <cell r="AE244" t="str">
            <v>Y</v>
          </cell>
          <cell r="AG244">
            <v>7.53</v>
          </cell>
          <cell r="AH244">
            <v>156516.47</v>
          </cell>
          <cell r="AI244" t="str">
            <v>FI3539</v>
          </cell>
          <cell r="AJ244" t="str">
            <v>A1+</v>
          </cell>
          <cell r="AK244" t="str">
            <v>AA+</v>
          </cell>
          <cell r="AL244" t="str">
            <v>3</v>
          </cell>
          <cell r="AM244" t="str">
            <v>2</v>
          </cell>
        </row>
        <row r="245">
          <cell r="C245" t="str">
            <v>INE763G14VR5</v>
          </cell>
          <cell r="D245" t="str">
            <v>FI3418CP242</v>
          </cell>
          <cell r="E245" t="str">
            <v>CMP</v>
          </cell>
          <cell r="F245" t="str">
            <v>ICICI Securities Ltd</v>
          </cell>
          <cell r="G245" t="str">
            <v>ICICI Securities Ltd CP MD 03-12-2024</v>
          </cell>
          <cell r="H245">
            <v>0</v>
          </cell>
          <cell r="I245" t="str">
            <v>03-12-2024</v>
          </cell>
          <cell r="J245" t="str">
            <v>CRISIL A1+</v>
          </cell>
          <cell r="K245">
            <v>0.05</v>
          </cell>
          <cell r="L245">
            <v>500000</v>
          </cell>
          <cell r="M245">
            <v>1500</v>
          </cell>
          <cell r="N245">
            <v>7.3804999999999996</v>
          </cell>
          <cell r="O245">
            <v>498287</v>
          </cell>
          <cell r="P245">
            <v>747430500</v>
          </cell>
          <cell r="Q245">
            <v>0</v>
          </cell>
          <cell r="R245">
            <v>11561076.98</v>
          </cell>
          <cell r="S245">
            <v>86423.02</v>
          </cell>
          <cell r="T245">
            <v>747430500</v>
          </cell>
          <cell r="U245">
            <v>0.99</v>
          </cell>
          <cell r="V245">
            <v>0.99</v>
          </cell>
          <cell r="W245">
            <v>490522</v>
          </cell>
          <cell r="X245">
            <v>735783000</v>
          </cell>
          <cell r="Z245" t="str">
            <v>Financial Services</v>
          </cell>
          <cell r="AC245" t="str">
            <v>Financial Services</v>
          </cell>
          <cell r="AD245">
            <v>18</v>
          </cell>
          <cell r="AE245" t="str">
            <v>Y</v>
          </cell>
          <cell r="AG245">
            <v>7.3804999999999996</v>
          </cell>
          <cell r="AH245">
            <v>92653.79</v>
          </cell>
          <cell r="AI245" t="str">
            <v>FI3418</v>
          </cell>
          <cell r="AJ245" t="str">
            <v>A1+</v>
          </cell>
          <cell r="AK245" t="str">
            <v>AAA</v>
          </cell>
          <cell r="AL245" t="str">
            <v>2</v>
          </cell>
          <cell r="AM245" t="str">
            <v>1</v>
          </cell>
        </row>
        <row r="246">
          <cell r="C246" t="str">
            <v>INE763G14WD3</v>
          </cell>
          <cell r="D246" t="str">
            <v>FI3418CP244</v>
          </cell>
          <cell r="E246" t="str">
            <v>CMP</v>
          </cell>
          <cell r="F246" t="str">
            <v>ICICI Securities Ltd</v>
          </cell>
          <cell r="G246" t="str">
            <v>ICICI Securities Ltd CP MD 11-02-2025</v>
          </cell>
          <cell r="H246">
            <v>0</v>
          </cell>
          <cell r="I246" t="str">
            <v>11-02-2025</v>
          </cell>
          <cell r="J246" t="str">
            <v>CRISIL A1+</v>
          </cell>
          <cell r="K246">
            <v>0.24</v>
          </cell>
          <cell r="L246">
            <v>500000</v>
          </cell>
          <cell r="M246">
            <v>2500</v>
          </cell>
          <cell r="N246">
            <v>7.5060000000000002</v>
          </cell>
          <cell r="O246">
            <v>491211.5</v>
          </cell>
          <cell r="P246">
            <v>1228028750</v>
          </cell>
          <cell r="Q246">
            <v>0</v>
          </cell>
          <cell r="R246">
            <v>1012472.52</v>
          </cell>
          <cell r="S246">
            <v>50027.48</v>
          </cell>
          <cell r="T246">
            <v>1228028750</v>
          </cell>
          <cell r="U246">
            <v>1.62</v>
          </cell>
          <cell r="V246">
            <v>1.62</v>
          </cell>
          <cell r="W246">
            <v>490786.5</v>
          </cell>
          <cell r="X246">
            <v>1226966250</v>
          </cell>
          <cell r="Z246" t="str">
            <v>Financial Services</v>
          </cell>
          <cell r="AC246" t="str">
            <v>Financial Services</v>
          </cell>
          <cell r="AD246">
            <v>88</v>
          </cell>
          <cell r="AE246" t="str">
            <v>Y</v>
          </cell>
          <cell r="AG246">
            <v>7.5060000000000002</v>
          </cell>
          <cell r="AH246">
            <v>55645.61</v>
          </cell>
          <cell r="AI246" t="str">
            <v>FI3418</v>
          </cell>
          <cell r="AJ246" t="str">
            <v>A1+</v>
          </cell>
          <cell r="AK246" t="str">
            <v>AAA</v>
          </cell>
          <cell r="AL246" t="str">
            <v>2</v>
          </cell>
          <cell r="AM246" t="str">
            <v>1</v>
          </cell>
        </row>
        <row r="247">
          <cell r="C247" t="str">
            <v>INE824H14PY1</v>
          </cell>
          <cell r="D247" t="str">
            <v>FI3398CP234</v>
          </cell>
          <cell r="E247" t="str">
            <v>CMP</v>
          </cell>
          <cell r="F247" t="str">
            <v>Julius Baer Capital (India) Private Ltd</v>
          </cell>
          <cell r="G247" t="str">
            <v>Julius Baer Capital India Private Ltd CMP 22 11 2024</v>
          </cell>
          <cell r="H247">
            <v>0</v>
          </cell>
          <cell r="I247" t="str">
            <v>22-11-2024</v>
          </cell>
          <cell r="J247" t="str">
            <v>CRISIL A1+</v>
          </cell>
          <cell r="K247">
            <v>0.02</v>
          </cell>
          <cell r="L247">
            <v>500000</v>
          </cell>
          <cell r="M247">
            <v>800</v>
          </cell>
          <cell r="N247">
            <v>7.4649999999999999</v>
          </cell>
          <cell r="O247">
            <v>499387.5</v>
          </cell>
          <cell r="P247">
            <v>399510000</v>
          </cell>
          <cell r="Q247">
            <v>0</v>
          </cell>
          <cell r="R247">
            <v>7234527.4900000002</v>
          </cell>
          <cell r="S247">
            <v>20672.509999999998</v>
          </cell>
          <cell r="T247">
            <v>399510000</v>
          </cell>
          <cell r="U247">
            <v>0.53</v>
          </cell>
          <cell r="V247">
            <v>0.53</v>
          </cell>
          <cell r="W247">
            <v>490318.5</v>
          </cell>
          <cell r="X247">
            <v>392254800</v>
          </cell>
          <cell r="Z247" t="str">
            <v>Financial Services</v>
          </cell>
          <cell r="AC247" t="str">
            <v>Financial Services</v>
          </cell>
          <cell r="AD247">
            <v>7</v>
          </cell>
          <cell r="AE247" t="str">
            <v>Y</v>
          </cell>
          <cell r="AG247">
            <v>7.4649999999999999</v>
          </cell>
          <cell r="AH247">
            <v>24184.59</v>
          </cell>
          <cell r="AI247" t="str">
            <v>FI3398</v>
          </cell>
          <cell r="AJ247" t="str">
            <v>A1+</v>
          </cell>
          <cell r="AK247" t="str">
            <v>AA+</v>
          </cell>
          <cell r="AL247" t="str">
            <v>3</v>
          </cell>
          <cell r="AM247" t="str">
            <v>2</v>
          </cell>
        </row>
        <row r="248">
          <cell r="C248" t="str">
            <v>INE824H14PZ8</v>
          </cell>
          <cell r="D248" t="str">
            <v>FI3398CP235</v>
          </cell>
          <cell r="E248" t="str">
            <v>CMP</v>
          </cell>
          <cell r="F248" t="str">
            <v>Julius Baer Capital (India) Private Ltd</v>
          </cell>
          <cell r="G248" t="str">
            <v>Julius Baer Capital India Private Ltd CP MD 27-11-2024</v>
          </cell>
          <cell r="H248">
            <v>0</v>
          </cell>
          <cell r="I248" t="str">
            <v>27-11-2024</v>
          </cell>
          <cell r="J248" t="str">
            <v>CRISIL A1+</v>
          </cell>
          <cell r="K248">
            <v>0.03</v>
          </cell>
          <cell r="L248">
            <v>500000</v>
          </cell>
          <cell r="M248">
            <v>1500</v>
          </cell>
          <cell r="N248">
            <v>7.49</v>
          </cell>
          <cell r="O248">
            <v>498874</v>
          </cell>
          <cell r="P248">
            <v>748311000</v>
          </cell>
          <cell r="Q248">
            <v>0</v>
          </cell>
          <cell r="R248">
            <v>12766813.189999999</v>
          </cell>
          <cell r="S248">
            <v>66436.81</v>
          </cell>
          <cell r="T248">
            <v>748311000</v>
          </cell>
          <cell r="U248">
            <v>0.99</v>
          </cell>
          <cell r="V248">
            <v>0.99</v>
          </cell>
          <cell r="W248">
            <v>490318.5</v>
          </cell>
          <cell r="X248">
            <v>735477750</v>
          </cell>
          <cell r="Z248" t="str">
            <v>Financial Services</v>
          </cell>
          <cell r="AC248" t="str">
            <v>Financial Services</v>
          </cell>
          <cell r="AD248">
            <v>12</v>
          </cell>
          <cell r="AE248" t="str">
            <v>Y</v>
          </cell>
          <cell r="AG248">
            <v>7.49</v>
          </cell>
          <cell r="AH248">
            <v>73021.97</v>
          </cell>
          <cell r="AI248" t="str">
            <v>FI3398</v>
          </cell>
          <cell r="AJ248" t="str">
            <v>A1+</v>
          </cell>
          <cell r="AK248" t="str">
            <v>AA+</v>
          </cell>
          <cell r="AL248" t="str">
            <v>3</v>
          </cell>
          <cell r="AM248" t="str">
            <v>2</v>
          </cell>
        </row>
        <row r="249">
          <cell r="C249" t="str">
            <v>INE824H14QJ0</v>
          </cell>
          <cell r="D249" t="str">
            <v>FI3398CP237</v>
          </cell>
          <cell r="E249" t="str">
            <v>CMP</v>
          </cell>
          <cell r="F249" t="str">
            <v>Julius Baer Capital (India) Private Ltd</v>
          </cell>
          <cell r="G249" t="str">
            <v>Julius Baer Capital India Private Ltd CP MD 30-12-2024</v>
          </cell>
          <cell r="H249">
            <v>0</v>
          </cell>
          <cell r="I249" t="str">
            <v>30-12-2024</v>
          </cell>
          <cell r="J249" t="str">
            <v>CRISIL A1+</v>
          </cell>
          <cell r="K249">
            <v>0.12</v>
          </cell>
          <cell r="L249">
            <v>500000</v>
          </cell>
          <cell r="M249">
            <v>1500</v>
          </cell>
          <cell r="N249">
            <v>7.6050000000000004</v>
          </cell>
          <cell r="O249">
            <v>495458</v>
          </cell>
          <cell r="P249">
            <v>743187000</v>
          </cell>
          <cell r="Q249">
            <v>0</v>
          </cell>
          <cell r="R249">
            <v>6663888.0199999996</v>
          </cell>
          <cell r="S249">
            <v>5861.98</v>
          </cell>
          <cell r="T249">
            <v>743187000</v>
          </cell>
          <cell r="U249">
            <v>0.98</v>
          </cell>
          <cell r="V249">
            <v>0.98</v>
          </cell>
          <cell r="W249">
            <v>491011.5</v>
          </cell>
          <cell r="X249">
            <v>736517250</v>
          </cell>
          <cell r="Z249" t="str">
            <v>Financial Services</v>
          </cell>
          <cell r="AC249" t="str">
            <v>Financial Services</v>
          </cell>
          <cell r="AD249">
            <v>45</v>
          </cell>
          <cell r="AE249" t="str">
            <v>Y</v>
          </cell>
          <cell r="AG249">
            <v>7.6050000000000004</v>
          </cell>
          <cell r="AH249">
            <v>7086.12</v>
          </cell>
          <cell r="AI249" t="str">
            <v>FI3398</v>
          </cell>
          <cell r="AJ249" t="str">
            <v>A1+</v>
          </cell>
          <cell r="AK249" t="str">
            <v>AA+</v>
          </cell>
          <cell r="AL249" t="str">
            <v>4</v>
          </cell>
          <cell r="AM249" t="str">
            <v>2</v>
          </cell>
        </row>
        <row r="250">
          <cell r="C250" t="str">
            <v>INE850D14SH4</v>
          </cell>
          <cell r="D250" t="str">
            <v>AG0211CP224</v>
          </cell>
          <cell r="E250" t="str">
            <v>CMP</v>
          </cell>
          <cell r="F250" t="str">
            <v>Godrej Agrovet Ltd</v>
          </cell>
          <cell r="G250" t="str">
            <v>Godrej Agrovet Ltd CP MD 06-12-2024</v>
          </cell>
          <cell r="H250">
            <v>0</v>
          </cell>
          <cell r="I250" t="str">
            <v>06-12-2024</v>
          </cell>
          <cell r="J250" t="str">
            <v>CRISIL A1+</v>
          </cell>
          <cell r="K250">
            <v>0.06</v>
          </cell>
          <cell r="L250">
            <v>500000</v>
          </cell>
          <cell r="M250">
            <v>1000</v>
          </cell>
          <cell r="N250">
            <v>7.0810000000000004</v>
          </cell>
          <cell r="O250">
            <v>498067.5</v>
          </cell>
          <cell r="P250">
            <v>498067500</v>
          </cell>
          <cell r="Q250">
            <v>0</v>
          </cell>
          <cell r="R250">
            <v>7020027.5099999998</v>
          </cell>
          <cell r="S250">
            <v>44972.49</v>
          </cell>
          <cell r="T250">
            <v>498067500</v>
          </cell>
          <cell r="U250">
            <v>0.66</v>
          </cell>
          <cell r="V250">
            <v>0.66</v>
          </cell>
          <cell r="W250">
            <v>491002.5</v>
          </cell>
          <cell r="X250">
            <v>491002500</v>
          </cell>
          <cell r="Z250" t="str">
            <v>Fast Moving Consumer Goods</v>
          </cell>
          <cell r="AC250" t="str">
            <v>Fast Moving Consumer Goods</v>
          </cell>
          <cell r="AD250">
            <v>21</v>
          </cell>
          <cell r="AE250" t="str">
            <v>Y</v>
          </cell>
          <cell r="AG250">
            <v>7.0810000000000004</v>
          </cell>
          <cell r="AH250">
            <v>47846.11</v>
          </cell>
          <cell r="AI250" t="str">
            <v>AG0211</v>
          </cell>
          <cell r="AJ250" t="str">
            <v>A1+</v>
          </cell>
          <cell r="AK250" t="str">
            <v>AA</v>
          </cell>
          <cell r="AL250" t="str">
            <v>5</v>
          </cell>
          <cell r="AM250" t="str">
            <v>3</v>
          </cell>
        </row>
        <row r="251">
          <cell r="C251" t="str">
            <v>INE860H144B8</v>
          </cell>
          <cell r="D251" t="str">
            <v>FI3506CP302</v>
          </cell>
          <cell r="E251" t="str">
            <v>CMP</v>
          </cell>
          <cell r="F251" t="str">
            <v>Aditya Birla Finance Ltd</v>
          </cell>
          <cell r="G251" t="str">
            <v>Aditya Birla Finance Ltd CP MD 24-12-2024</v>
          </cell>
          <cell r="H251">
            <v>0</v>
          </cell>
          <cell r="I251" t="str">
            <v>24-12-2024</v>
          </cell>
          <cell r="J251" t="str">
            <v>CRISIL A1+</v>
          </cell>
          <cell r="K251">
            <v>0.11</v>
          </cell>
          <cell r="L251">
            <v>500000</v>
          </cell>
          <cell r="M251">
            <v>2000</v>
          </cell>
          <cell r="N251">
            <v>7.34</v>
          </cell>
          <cell r="O251">
            <v>496208</v>
          </cell>
          <cell r="P251">
            <v>992416000</v>
          </cell>
          <cell r="Q251">
            <v>0</v>
          </cell>
          <cell r="R251">
            <v>9279404.7400000002</v>
          </cell>
          <cell r="S251">
            <v>81595.259999999995</v>
          </cell>
          <cell r="T251">
            <v>992416000</v>
          </cell>
          <cell r="U251">
            <v>1.31</v>
          </cell>
          <cell r="V251">
            <v>1.31</v>
          </cell>
          <cell r="W251">
            <v>491527.5</v>
          </cell>
          <cell r="X251">
            <v>983055000</v>
          </cell>
          <cell r="Z251" t="str">
            <v>Financial Services</v>
          </cell>
          <cell r="AC251" t="str">
            <v>Financial Services</v>
          </cell>
          <cell r="AD251">
            <v>39</v>
          </cell>
          <cell r="AE251" t="str">
            <v>Y</v>
          </cell>
          <cell r="AG251">
            <v>7.34</v>
          </cell>
          <cell r="AH251">
            <v>85321.45</v>
          </cell>
          <cell r="AI251" t="str">
            <v>FI3506</v>
          </cell>
          <cell r="AJ251" t="str">
            <v>A1+</v>
          </cell>
          <cell r="AK251" t="str">
            <v>AAA</v>
          </cell>
          <cell r="AL251" t="str">
            <v>2</v>
          </cell>
          <cell r="AM251" t="str">
            <v>1</v>
          </cell>
        </row>
        <row r="252">
          <cell r="C252" t="str">
            <v>INE865C14MA2</v>
          </cell>
          <cell r="D252" t="str">
            <v>FI3597CP227</v>
          </cell>
          <cell r="E252" t="str">
            <v>CMP</v>
          </cell>
          <cell r="F252" t="str">
            <v>Aditya Birla Money Ltd</v>
          </cell>
          <cell r="G252" t="str">
            <v>Aditya Birla Money Ltd CP MD 29-11-2024</v>
          </cell>
          <cell r="H252">
            <v>0</v>
          </cell>
          <cell r="I252" t="str">
            <v>29-11-2024</v>
          </cell>
          <cell r="J252" t="str">
            <v>CRISIL A1+</v>
          </cell>
          <cell r="K252">
            <v>0.04</v>
          </cell>
          <cell r="L252">
            <v>500000</v>
          </cell>
          <cell r="M252">
            <v>1000</v>
          </cell>
          <cell r="N252">
            <v>7.47</v>
          </cell>
          <cell r="O252">
            <v>498673.5</v>
          </cell>
          <cell r="P252">
            <v>498673500</v>
          </cell>
          <cell r="Q252">
            <v>0</v>
          </cell>
          <cell r="R252">
            <v>8226857.1799999997</v>
          </cell>
          <cell r="S252">
            <v>44642.82</v>
          </cell>
          <cell r="T252">
            <v>498673500</v>
          </cell>
          <cell r="U252">
            <v>0.66</v>
          </cell>
          <cell r="V252">
            <v>0.66</v>
          </cell>
          <cell r="W252">
            <v>490402</v>
          </cell>
          <cell r="X252">
            <v>490402000</v>
          </cell>
          <cell r="Z252" t="str">
            <v>Financial Services</v>
          </cell>
          <cell r="AC252" t="str">
            <v>Financial Services</v>
          </cell>
          <cell r="AD252">
            <v>14</v>
          </cell>
          <cell r="AE252" t="str">
            <v>Y</v>
          </cell>
          <cell r="AG252">
            <v>7.47</v>
          </cell>
          <cell r="AH252">
            <v>48115.34</v>
          </cell>
          <cell r="AI252" t="str">
            <v>FI3597</v>
          </cell>
          <cell r="AJ252" t="str">
            <v>A1+</v>
          </cell>
          <cell r="AK252" t="str">
            <v>AA+</v>
          </cell>
          <cell r="AL252" t="str">
            <v>3</v>
          </cell>
          <cell r="AM252" t="str">
            <v>2</v>
          </cell>
        </row>
        <row r="253">
          <cell r="C253" t="str">
            <v>INE865C14MH7</v>
          </cell>
          <cell r="D253" t="str">
            <v>FI3597CP229</v>
          </cell>
          <cell r="E253" t="str">
            <v>CMP</v>
          </cell>
          <cell r="F253" t="str">
            <v>Aditya Birla Money Ltd</v>
          </cell>
          <cell r="G253" t="str">
            <v>Aditya Birla Money Ltd CP MD 26-12-2024</v>
          </cell>
          <cell r="H253">
            <v>0</v>
          </cell>
          <cell r="I253" t="str">
            <v>26-12-2024</v>
          </cell>
          <cell r="J253" t="str">
            <v>CRISIL A1+</v>
          </cell>
          <cell r="K253">
            <v>0.11</v>
          </cell>
          <cell r="L253">
            <v>500000</v>
          </cell>
          <cell r="M253">
            <v>500</v>
          </cell>
          <cell r="N253">
            <v>7.6</v>
          </cell>
          <cell r="O253">
            <v>495870</v>
          </cell>
          <cell r="P253">
            <v>247935000</v>
          </cell>
          <cell r="Q253">
            <v>0</v>
          </cell>
          <cell r="R253">
            <v>2630694.5</v>
          </cell>
          <cell r="S253">
            <v>39555.5</v>
          </cell>
          <cell r="T253">
            <v>247935000</v>
          </cell>
          <cell r="U253">
            <v>0.33</v>
          </cell>
          <cell r="V253">
            <v>0.33</v>
          </cell>
          <cell r="W253">
            <v>490529.5</v>
          </cell>
          <cell r="X253">
            <v>245264750</v>
          </cell>
          <cell r="Z253" t="str">
            <v>Financial Services</v>
          </cell>
          <cell r="AC253" t="str">
            <v>Financial Services</v>
          </cell>
          <cell r="AD253">
            <v>41</v>
          </cell>
          <cell r="AE253" t="str">
            <v>Y</v>
          </cell>
          <cell r="AG253">
            <v>7.6</v>
          </cell>
          <cell r="AH253">
            <v>40919.39</v>
          </cell>
          <cell r="AI253" t="str">
            <v>FI3597</v>
          </cell>
          <cell r="AJ253" t="str">
            <v>A1+</v>
          </cell>
          <cell r="AK253" t="str">
            <v>AA+</v>
          </cell>
          <cell r="AL253" t="str">
            <v>4</v>
          </cell>
          <cell r="AM253" t="str">
            <v>2</v>
          </cell>
        </row>
        <row r="254">
          <cell r="C254" t="str">
            <v>INE865C14MJ3</v>
          </cell>
          <cell r="D254" t="str">
            <v>FI3597CP230</v>
          </cell>
          <cell r="E254" t="str">
            <v>CMP</v>
          </cell>
          <cell r="F254" t="str">
            <v>Aditya Birla Money Ltd</v>
          </cell>
          <cell r="G254" t="str">
            <v>Aditya Birla Money CP VD 05-02-2025</v>
          </cell>
          <cell r="H254">
            <v>0</v>
          </cell>
          <cell r="I254" t="str">
            <v>05-02-2025</v>
          </cell>
          <cell r="J254" t="str">
            <v>CRISIL A1+</v>
          </cell>
          <cell r="K254">
            <v>0.22</v>
          </cell>
          <cell r="L254">
            <v>500000</v>
          </cell>
          <cell r="M254">
            <v>500</v>
          </cell>
          <cell r="N254">
            <v>7.67</v>
          </cell>
          <cell r="O254">
            <v>491632</v>
          </cell>
          <cell r="P254">
            <v>245816000</v>
          </cell>
          <cell r="Q254">
            <v>0</v>
          </cell>
          <cell r="R254">
            <v>524725.30000000005</v>
          </cell>
          <cell r="S254">
            <v>66274.7</v>
          </cell>
          <cell r="T254">
            <v>245816000</v>
          </cell>
          <cell r="U254">
            <v>0.32</v>
          </cell>
          <cell r="V254">
            <v>0.32</v>
          </cell>
          <cell r="W254">
            <v>490450</v>
          </cell>
          <cell r="X254">
            <v>245225000</v>
          </cell>
          <cell r="Z254" t="str">
            <v>Financial Services</v>
          </cell>
          <cell r="AC254" t="str">
            <v>Financial Services</v>
          </cell>
          <cell r="AD254">
            <v>82</v>
          </cell>
          <cell r="AE254" t="str">
            <v>Y</v>
          </cell>
          <cell r="AG254">
            <v>7.67</v>
          </cell>
          <cell r="AH254">
            <v>67997.23</v>
          </cell>
          <cell r="AI254" t="str">
            <v>FI3597</v>
          </cell>
          <cell r="AJ254" t="str">
            <v>A1+</v>
          </cell>
          <cell r="AK254" t="str">
            <v>AA+</v>
          </cell>
          <cell r="AL254" t="str">
            <v>3</v>
          </cell>
          <cell r="AM254" t="str">
            <v>2</v>
          </cell>
        </row>
        <row r="255">
          <cell r="C255" t="str">
            <v>INE870H14TO7</v>
          </cell>
          <cell r="D255" t="str">
            <v>MI4029CP208</v>
          </cell>
          <cell r="E255" t="str">
            <v>CMP</v>
          </cell>
          <cell r="F255" t="str">
            <v>Network18 Media &amp; Investments Ltd</v>
          </cell>
          <cell r="G255" t="str">
            <v>NETWORK 18 MEDIA &amp; INVESTMENT LTD CP MD 13-12-2024</v>
          </cell>
          <cell r="H255">
            <v>0</v>
          </cell>
          <cell r="I255" t="str">
            <v>13-12-2024</v>
          </cell>
          <cell r="J255" t="str">
            <v>ICRA A1+</v>
          </cell>
          <cell r="K255">
            <v>0.08</v>
          </cell>
          <cell r="L255">
            <v>500000</v>
          </cell>
          <cell r="M255">
            <v>1000</v>
          </cell>
          <cell r="N255">
            <v>6.9840999999999998</v>
          </cell>
          <cell r="O255">
            <v>497430</v>
          </cell>
          <cell r="P255">
            <v>497430000</v>
          </cell>
          <cell r="Q255">
            <v>0</v>
          </cell>
          <cell r="R255">
            <v>5042134.62</v>
          </cell>
          <cell r="S255">
            <v>99365.38</v>
          </cell>
          <cell r="T255">
            <v>497430000</v>
          </cell>
          <cell r="U255">
            <v>0.66</v>
          </cell>
          <cell r="V255">
            <v>0.66</v>
          </cell>
          <cell r="W255">
            <v>492288.5</v>
          </cell>
          <cell r="X255">
            <v>492288500</v>
          </cell>
          <cell r="Z255" t="str">
            <v>Media, Entertainment &amp; Publication</v>
          </cell>
          <cell r="AC255" t="str">
            <v>Media, Entertainment &amp; Publication</v>
          </cell>
          <cell r="AD255">
            <v>28</v>
          </cell>
          <cell r="AE255" t="str">
            <v>Y</v>
          </cell>
          <cell r="AG255">
            <v>6.9840999999999998</v>
          </cell>
          <cell r="AH255">
            <v>103730.77</v>
          </cell>
          <cell r="AI255" t="str">
            <v>MI4029</v>
          </cell>
          <cell r="AJ255" t="str">
            <v>A1+</v>
          </cell>
          <cell r="AK255" t="str">
            <v>AAA</v>
          </cell>
          <cell r="AL255" t="str">
            <v>2</v>
          </cell>
          <cell r="AM255" t="str">
            <v>1</v>
          </cell>
        </row>
        <row r="256">
          <cell r="C256" t="str">
            <v>INE929O14CS4</v>
          </cell>
          <cell r="D256" t="str">
            <v>CR2823CP223</v>
          </cell>
          <cell r="E256" t="str">
            <v>CMP</v>
          </cell>
          <cell r="F256" t="str">
            <v>Reliance Retail Ventures Ltd</v>
          </cell>
          <cell r="G256" t="str">
            <v>Reliane Retail Ventures CP MD 11-02-2025</v>
          </cell>
          <cell r="H256">
            <v>0</v>
          </cell>
          <cell r="I256" t="str">
            <v>11-02-2025</v>
          </cell>
          <cell r="J256" t="str">
            <v>CRISIL A1+</v>
          </cell>
          <cell r="K256">
            <v>0.24</v>
          </cell>
          <cell r="L256">
            <v>500000</v>
          </cell>
          <cell r="M256">
            <v>1000</v>
          </cell>
          <cell r="N256">
            <v>7.21</v>
          </cell>
          <cell r="O256">
            <v>491552.5</v>
          </cell>
          <cell r="P256">
            <v>491552500</v>
          </cell>
          <cell r="Q256">
            <v>0</v>
          </cell>
          <cell r="R256">
            <v>387560.44</v>
          </cell>
          <cell r="S256">
            <v>-18060.439999999999</v>
          </cell>
          <cell r="T256">
            <v>491552500</v>
          </cell>
          <cell r="U256">
            <v>0.65</v>
          </cell>
          <cell r="V256">
            <v>0.65</v>
          </cell>
          <cell r="W256">
            <v>491183</v>
          </cell>
          <cell r="X256">
            <v>491183000</v>
          </cell>
          <cell r="Z256" t="str">
            <v>Consumer Services</v>
          </cell>
          <cell r="AC256" t="str">
            <v>Consumer Services</v>
          </cell>
          <cell r="AD256">
            <v>88</v>
          </cell>
          <cell r="AE256" t="str">
            <v>Y</v>
          </cell>
          <cell r="AG256">
            <v>7.21</v>
          </cell>
          <cell r="AH256">
            <v>-16670.330000000002</v>
          </cell>
          <cell r="AI256" t="str">
            <v>CR2823</v>
          </cell>
          <cell r="AJ256" t="str">
            <v>A1+</v>
          </cell>
          <cell r="AK256" t="str">
            <v>AAA</v>
          </cell>
          <cell r="AL256" t="str">
            <v>2</v>
          </cell>
          <cell r="AM256" t="str">
            <v>1</v>
          </cell>
        </row>
        <row r="257">
          <cell r="C257" t="str">
            <v>INE008A16X32</v>
          </cell>
          <cell r="D257" t="str">
            <v>FI3408CD374</v>
          </cell>
          <cell r="E257" t="str">
            <v>COD</v>
          </cell>
          <cell r="F257" t="str">
            <v>IDBI Bank Ltd</v>
          </cell>
          <cell r="G257" t="str">
            <v>IDBI Bank Ltd CD 04 02 2025</v>
          </cell>
          <cell r="H257">
            <v>0</v>
          </cell>
          <cell r="I257" t="str">
            <v>04-02-2025</v>
          </cell>
          <cell r="J257" t="str">
            <v>CRISIL A1+</v>
          </cell>
          <cell r="K257">
            <v>0.22</v>
          </cell>
          <cell r="L257">
            <v>500000</v>
          </cell>
          <cell r="M257">
            <v>2000</v>
          </cell>
          <cell r="N257">
            <v>7.2149999999999999</v>
          </cell>
          <cell r="O257">
            <v>492216.5</v>
          </cell>
          <cell r="P257">
            <v>984433000</v>
          </cell>
          <cell r="Q257">
            <v>0</v>
          </cell>
          <cell r="R257">
            <v>2146087.9</v>
          </cell>
          <cell r="S257">
            <v>40912.1</v>
          </cell>
          <cell r="T257">
            <v>984433000</v>
          </cell>
          <cell r="U257">
            <v>1.3</v>
          </cell>
          <cell r="V257">
            <v>1.3</v>
          </cell>
          <cell r="W257">
            <v>491123</v>
          </cell>
          <cell r="X257">
            <v>982246000</v>
          </cell>
          <cell r="Z257" t="str">
            <v>Financial Services</v>
          </cell>
          <cell r="AC257" t="str">
            <v>CD - EXEMPT</v>
          </cell>
          <cell r="AD257">
            <v>81</v>
          </cell>
          <cell r="AE257" t="str">
            <v>N</v>
          </cell>
          <cell r="AG257">
            <v>7.2149999999999999</v>
          </cell>
          <cell r="AH257">
            <v>44011</v>
          </cell>
          <cell r="AI257" t="str">
            <v>FI3408</v>
          </cell>
          <cell r="AJ257" t="str">
            <v>A1+</v>
          </cell>
          <cell r="AK257" t="str">
            <v>AA</v>
          </cell>
          <cell r="AL257" t="str">
            <v>4</v>
          </cell>
          <cell r="AM257" t="str">
            <v>3</v>
          </cell>
        </row>
        <row r="258">
          <cell r="C258" t="str">
            <v>INE01GA16210</v>
          </cell>
          <cell r="D258" t="str">
            <v>FI3378CD207</v>
          </cell>
          <cell r="E258" t="str">
            <v>COD</v>
          </cell>
          <cell r="F258" t="str">
            <v>DBS BANK LTD</v>
          </cell>
          <cell r="G258" t="str">
            <v>DBS Bank India Ltd CD 12 12 2024</v>
          </cell>
          <cell r="H258">
            <v>0</v>
          </cell>
          <cell r="I258" t="str">
            <v>12-12-2024</v>
          </cell>
          <cell r="J258" t="str">
            <v>CRISIL A1+</v>
          </cell>
          <cell r="K258">
            <v>7.0000000000000007E-2</v>
          </cell>
          <cell r="L258">
            <v>500000</v>
          </cell>
          <cell r="M258">
            <v>1000</v>
          </cell>
          <cell r="N258">
            <v>6.9001999999999999</v>
          </cell>
          <cell r="O258">
            <v>497554.5</v>
          </cell>
          <cell r="P258">
            <v>497554500</v>
          </cell>
          <cell r="Q258">
            <v>0</v>
          </cell>
          <cell r="R258">
            <v>6401071.3600000003</v>
          </cell>
          <cell r="S258">
            <v>114928.64</v>
          </cell>
          <cell r="T258">
            <v>497554500</v>
          </cell>
          <cell r="U258">
            <v>0.66</v>
          </cell>
          <cell r="V258">
            <v>0.66</v>
          </cell>
          <cell r="W258">
            <v>491038.5</v>
          </cell>
          <cell r="X258">
            <v>491038500</v>
          </cell>
          <cell r="Z258" t="str">
            <v>Financial Services</v>
          </cell>
          <cell r="AC258" t="str">
            <v>CD - EXEMPT</v>
          </cell>
          <cell r="AD258">
            <v>27</v>
          </cell>
          <cell r="AE258" t="str">
            <v>N</v>
          </cell>
          <cell r="AG258">
            <v>6.9001999999999999</v>
          </cell>
          <cell r="AH258">
            <v>119906.66</v>
          </cell>
          <cell r="AI258" t="str">
            <v>FI3378</v>
          </cell>
          <cell r="AJ258" t="str">
            <v>A1+</v>
          </cell>
          <cell r="AK258" t="str">
            <v>AAA</v>
          </cell>
          <cell r="AL258" t="str">
            <v>2</v>
          </cell>
          <cell r="AM258" t="str">
            <v>1</v>
          </cell>
        </row>
        <row r="259">
          <cell r="C259" t="str">
            <v>INE028A16EU1</v>
          </cell>
          <cell r="D259" t="str">
            <v>FI3369CD299</v>
          </cell>
          <cell r="E259" t="str">
            <v>COD</v>
          </cell>
          <cell r="F259" t="str">
            <v>Bank of Baroda</v>
          </cell>
          <cell r="G259" t="str">
            <v>Bank of Baroda COD MD 07-02-2025</v>
          </cell>
          <cell r="H259">
            <v>0</v>
          </cell>
          <cell r="I259" t="str">
            <v>07-02-2025</v>
          </cell>
          <cell r="J259" t="str">
            <v>IND A1+</v>
          </cell>
          <cell r="K259">
            <v>0.23</v>
          </cell>
          <cell r="L259">
            <v>500000</v>
          </cell>
          <cell r="M259">
            <v>2000</v>
          </cell>
          <cell r="N259">
            <v>7.1424000000000003</v>
          </cell>
          <cell r="O259">
            <v>492009</v>
          </cell>
          <cell r="P259">
            <v>984018000</v>
          </cell>
          <cell r="Q259">
            <v>0</v>
          </cell>
          <cell r="R259">
            <v>674319.65</v>
          </cell>
          <cell r="S259">
            <v>8430.35</v>
          </cell>
          <cell r="T259">
            <v>984018000</v>
          </cell>
          <cell r="U259">
            <v>1.3</v>
          </cell>
          <cell r="V259">
            <v>1.3</v>
          </cell>
          <cell r="W259">
            <v>491667.625</v>
          </cell>
          <cell r="X259">
            <v>983335250</v>
          </cell>
          <cell r="Z259" t="str">
            <v>Financial Services</v>
          </cell>
          <cell r="AC259" t="str">
            <v>CD - EXEMPT</v>
          </cell>
          <cell r="AD259">
            <v>84</v>
          </cell>
          <cell r="AE259" t="str">
            <v>N</v>
          </cell>
          <cell r="AG259">
            <v>7.1424000000000003</v>
          </cell>
          <cell r="AH259">
            <v>12086.14</v>
          </cell>
          <cell r="AI259" t="str">
            <v>FI3369</v>
          </cell>
          <cell r="AJ259" t="str">
            <v>A1+</v>
          </cell>
          <cell r="AK259" t="str">
            <v>AAA</v>
          </cell>
          <cell r="AL259" t="str">
            <v>1</v>
          </cell>
          <cell r="AM259" t="str">
            <v>1</v>
          </cell>
        </row>
        <row r="260">
          <cell r="C260" t="str">
            <v>INE028A16GJ9</v>
          </cell>
          <cell r="D260" t="str">
            <v>FI3369CD294</v>
          </cell>
          <cell r="E260" t="str">
            <v>COD</v>
          </cell>
          <cell r="F260" t="str">
            <v>Bank of Baroda</v>
          </cell>
          <cell r="G260" t="str">
            <v>Bank of Baroda COD MD 06-12-2024</v>
          </cell>
          <cell r="H260">
            <v>0</v>
          </cell>
          <cell r="I260" t="str">
            <v>06-12-2024</v>
          </cell>
          <cell r="J260" t="str">
            <v>IND A1+</v>
          </cell>
          <cell r="K260">
            <v>0.06</v>
          </cell>
          <cell r="L260">
            <v>500000</v>
          </cell>
          <cell r="M260">
            <v>3000</v>
          </cell>
          <cell r="N260">
            <v>6.8002000000000002</v>
          </cell>
          <cell r="O260">
            <v>498144</v>
          </cell>
          <cell r="P260">
            <v>1494432000</v>
          </cell>
          <cell r="Q260">
            <v>0</v>
          </cell>
          <cell r="R260">
            <v>15461161.550000001</v>
          </cell>
          <cell r="S260">
            <v>243838.45</v>
          </cell>
          <cell r="T260">
            <v>1494432000</v>
          </cell>
          <cell r="U260">
            <v>1.97</v>
          </cell>
          <cell r="V260">
            <v>1.97</v>
          </cell>
          <cell r="W260">
            <v>492909</v>
          </cell>
          <cell r="X260">
            <v>1478727000</v>
          </cell>
          <cell r="Z260" t="str">
            <v>Financial Services</v>
          </cell>
          <cell r="AC260" t="str">
            <v>CD - EXEMPT</v>
          </cell>
          <cell r="AD260">
            <v>21</v>
          </cell>
          <cell r="AE260" t="str">
            <v>Y</v>
          </cell>
          <cell r="AG260">
            <v>6.8002000000000002</v>
          </cell>
          <cell r="AH260">
            <v>256930.37</v>
          </cell>
          <cell r="AI260" t="str">
            <v>FI3369</v>
          </cell>
          <cell r="AJ260" t="str">
            <v>A1+</v>
          </cell>
          <cell r="AK260" t="str">
            <v>AAA</v>
          </cell>
          <cell r="AL260" t="str">
            <v>1</v>
          </cell>
          <cell r="AM260" t="str">
            <v>1</v>
          </cell>
        </row>
        <row r="261">
          <cell r="C261" t="str">
            <v>INE028A16GL5</v>
          </cell>
          <cell r="D261" t="str">
            <v>FI3369CD295</v>
          </cell>
          <cell r="E261" t="str">
            <v>COD</v>
          </cell>
          <cell r="F261" t="str">
            <v>Bank of Baroda</v>
          </cell>
          <cell r="G261" t="str">
            <v>Bank of Baroda COD MD 11-12-2024</v>
          </cell>
          <cell r="H261">
            <v>0</v>
          </cell>
          <cell r="I261" t="str">
            <v>11-12-2024</v>
          </cell>
          <cell r="J261" t="str">
            <v>IND A1+</v>
          </cell>
          <cell r="K261">
            <v>7.0000000000000007E-2</v>
          </cell>
          <cell r="L261">
            <v>500000</v>
          </cell>
          <cell r="M261">
            <v>1500</v>
          </cell>
          <cell r="N261">
            <v>6.8000999999999996</v>
          </cell>
          <cell r="O261">
            <v>497682</v>
          </cell>
          <cell r="P261">
            <v>746523000</v>
          </cell>
          <cell r="Q261">
            <v>0</v>
          </cell>
          <cell r="R261">
            <v>9697104.3900000006</v>
          </cell>
          <cell r="S261">
            <v>196145.61</v>
          </cell>
          <cell r="T261">
            <v>746523000</v>
          </cell>
          <cell r="U261">
            <v>0.99</v>
          </cell>
          <cell r="V261">
            <v>0.99</v>
          </cell>
          <cell r="W261">
            <v>491086.5</v>
          </cell>
          <cell r="X261">
            <v>736629750</v>
          </cell>
          <cell r="Z261" t="str">
            <v>Financial Services</v>
          </cell>
          <cell r="AC261" t="str">
            <v>CD - EXEMPT</v>
          </cell>
          <cell r="AD261">
            <v>26</v>
          </cell>
          <cell r="AE261" t="str">
            <v>Y</v>
          </cell>
          <cell r="AG261">
            <v>6.8000999999999996</v>
          </cell>
          <cell r="AH261">
            <v>204321.44</v>
          </cell>
          <cell r="AI261" t="str">
            <v>FI3369</v>
          </cell>
          <cell r="AJ261" t="str">
            <v>A1+</v>
          </cell>
          <cell r="AK261" t="str">
            <v>AAA</v>
          </cell>
          <cell r="AL261" t="str">
            <v>1</v>
          </cell>
          <cell r="AM261" t="str">
            <v>1</v>
          </cell>
        </row>
        <row r="262">
          <cell r="C262" t="str">
            <v>INE028A16GT8</v>
          </cell>
          <cell r="D262" t="str">
            <v>FI3369CD298</v>
          </cell>
          <cell r="E262" t="str">
            <v>COD</v>
          </cell>
          <cell r="F262" t="str">
            <v>Bank of Baroda</v>
          </cell>
          <cell r="G262" t="str">
            <v>Bank Of Baroda Ltd COD 04 02 2025</v>
          </cell>
          <cell r="H262">
            <v>0</v>
          </cell>
          <cell r="I262" t="str">
            <v>04-02-2025</v>
          </cell>
          <cell r="J262" t="str">
            <v>IND A1+</v>
          </cell>
          <cell r="K262">
            <v>0.22</v>
          </cell>
          <cell r="L262">
            <v>500000</v>
          </cell>
          <cell r="M262">
            <v>1000</v>
          </cell>
          <cell r="N262">
            <v>7.1424000000000003</v>
          </cell>
          <cell r="O262">
            <v>492293.5</v>
          </cell>
          <cell r="P262">
            <v>492293500</v>
          </cell>
          <cell r="Q262">
            <v>0</v>
          </cell>
          <cell r="R262">
            <v>1059989.04</v>
          </cell>
          <cell r="S262">
            <v>2510.96</v>
          </cell>
          <cell r="T262">
            <v>492293500</v>
          </cell>
          <cell r="U262">
            <v>0.65</v>
          </cell>
          <cell r="V262">
            <v>0.65</v>
          </cell>
          <cell r="W262">
            <v>491231</v>
          </cell>
          <cell r="X262">
            <v>491231000</v>
          </cell>
          <cell r="Z262" t="str">
            <v>Financial Services</v>
          </cell>
          <cell r="AC262" t="str">
            <v>CD - EXEMPT</v>
          </cell>
          <cell r="AD262">
            <v>81</v>
          </cell>
          <cell r="AE262" t="str">
            <v>N</v>
          </cell>
          <cell r="AG262">
            <v>7.1424000000000003</v>
          </cell>
          <cell r="AH262">
            <v>3873.6</v>
          </cell>
          <cell r="AI262" t="str">
            <v>FI3369</v>
          </cell>
          <cell r="AJ262" t="str">
            <v>A1+</v>
          </cell>
          <cell r="AK262" t="str">
            <v>AAA</v>
          </cell>
          <cell r="AL262" t="str">
            <v>1</v>
          </cell>
          <cell r="AM262" t="str">
            <v>1</v>
          </cell>
        </row>
        <row r="263">
          <cell r="C263" t="str">
            <v>INE040A16EJ9</v>
          </cell>
          <cell r="D263" t="str">
            <v>FI3310CD292</v>
          </cell>
          <cell r="E263" t="str">
            <v>COD</v>
          </cell>
          <cell r="F263" t="str">
            <v>HDFC Bank Ltd</v>
          </cell>
          <cell r="G263" t="str">
            <v>HDFC Bank Ltd COD MD 27-12-2024</v>
          </cell>
          <cell r="H263">
            <v>0</v>
          </cell>
          <cell r="I263" t="str">
            <v>27-12-2024</v>
          </cell>
          <cell r="J263" t="str">
            <v>CRISIL A1+</v>
          </cell>
          <cell r="K263">
            <v>0.12</v>
          </cell>
          <cell r="L263">
            <v>500000</v>
          </cell>
          <cell r="M263">
            <v>1000</v>
          </cell>
          <cell r="N263">
            <v>6.8703000000000003</v>
          </cell>
          <cell r="O263">
            <v>496171</v>
          </cell>
          <cell r="P263">
            <v>496171000</v>
          </cell>
          <cell r="Q263">
            <v>0</v>
          </cell>
          <cell r="R263">
            <v>4192423.47</v>
          </cell>
          <cell r="S263">
            <v>77576.53</v>
          </cell>
          <cell r="T263">
            <v>496171000</v>
          </cell>
          <cell r="U263">
            <v>0.66</v>
          </cell>
          <cell r="V263">
            <v>0.66</v>
          </cell>
          <cell r="W263">
            <v>491901</v>
          </cell>
          <cell r="X263">
            <v>491901000</v>
          </cell>
          <cell r="Z263" t="str">
            <v>Financial Services</v>
          </cell>
          <cell r="AC263" t="str">
            <v>CD - EXEMPT</v>
          </cell>
          <cell r="AD263">
            <v>42</v>
          </cell>
          <cell r="AE263" t="str">
            <v>Y</v>
          </cell>
          <cell r="AG263">
            <v>6.8703000000000003</v>
          </cell>
          <cell r="AH263">
            <v>80358.89</v>
          </cell>
          <cell r="AI263" t="str">
            <v>FI3310</v>
          </cell>
          <cell r="AJ263" t="str">
            <v>A1+</v>
          </cell>
          <cell r="AK263" t="str">
            <v>AAA</v>
          </cell>
          <cell r="AL263" t="str">
            <v>2</v>
          </cell>
          <cell r="AM263" t="str">
            <v>1</v>
          </cell>
        </row>
        <row r="264">
          <cell r="C264" t="str">
            <v>INE040A16EM3</v>
          </cell>
          <cell r="D264" t="str">
            <v>FI3310CD293</v>
          </cell>
          <cell r="E264" t="str">
            <v>COD</v>
          </cell>
          <cell r="F264" t="str">
            <v>HDFC Bank Ltd</v>
          </cell>
          <cell r="G264" t="str">
            <v>HDFC Bank Ltd CD 03 02 2025</v>
          </cell>
          <cell r="H264">
            <v>0</v>
          </cell>
          <cell r="I264" t="str">
            <v>03-02-2025</v>
          </cell>
          <cell r="J264" t="str">
            <v>CRISIL A1+</v>
          </cell>
          <cell r="K264">
            <v>0.22</v>
          </cell>
          <cell r="L264">
            <v>500000</v>
          </cell>
          <cell r="M264">
            <v>2000</v>
          </cell>
          <cell r="N264">
            <v>7.1501000000000001</v>
          </cell>
          <cell r="O264">
            <v>492380</v>
          </cell>
          <cell r="P264">
            <v>984760000</v>
          </cell>
          <cell r="Q264">
            <v>0</v>
          </cell>
          <cell r="R264">
            <v>2316659.39</v>
          </cell>
          <cell r="S264">
            <v>11340.61</v>
          </cell>
          <cell r="T264">
            <v>984760000</v>
          </cell>
          <cell r="U264">
            <v>1.3</v>
          </cell>
          <cell r="V264">
            <v>1.3</v>
          </cell>
          <cell r="W264">
            <v>491216</v>
          </cell>
          <cell r="X264">
            <v>982432000</v>
          </cell>
          <cell r="Z264" t="str">
            <v>Financial Services</v>
          </cell>
          <cell r="AC264" t="str">
            <v>CD - EXEMPT</v>
          </cell>
          <cell r="AD264">
            <v>80</v>
          </cell>
          <cell r="AE264" t="str">
            <v>N</v>
          </cell>
          <cell r="AG264">
            <v>7.1501000000000001</v>
          </cell>
          <cell r="AH264">
            <v>15395.56</v>
          </cell>
          <cell r="AI264" t="str">
            <v>FI3310</v>
          </cell>
          <cell r="AJ264" t="str">
            <v>A1+</v>
          </cell>
          <cell r="AK264" t="str">
            <v>AAA</v>
          </cell>
          <cell r="AL264" t="str">
            <v>2</v>
          </cell>
          <cell r="AM264" t="str">
            <v>1</v>
          </cell>
        </row>
        <row r="265">
          <cell r="C265" t="str">
            <v>INE040A16FL2</v>
          </cell>
          <cell r="D265" t="str">
            <v>FI3310CD290</v>
          </cell>
          <cell r="E265" t="str">
            <v>COD</v>
          </cell>
          <cell r="F265" t="str">
            <v>HDFC Bank Ltd</v>
          </cell>
          <cell r="G265" t="str">
            <v>HDFC Bank Ltd COD MD 12-12-2024</v>
          </cell>
          <cell r="H265">
            <v>0</v>
          </cell>
          <cell r="I265" t="str">
            <v>12-12-2024</v>
          </cell>
          <cell r="J265" t="str">
            <v>CRISIL A1+</v>
          </cell>
          <cell r="K265">
            <v>7.0000000000000007E-2</v>
          </cell>
          <cell r="L265">
            <v>500000</v>
          </cell>
          <cell r="M265">
            <v>3000</v>
          </cell>
          <cell r="N265">
            <v>6.7995000000000001</v>
          </cell>
          <cell r="O265">
            <v>497590</v>
          </cell>
          <cell r="P265">
            <v>1492770000</v>
          </cell>
          <cell r="Q265">
            <v>0</v>
          </cell>
          <cell r="R265">
            <v>19126071.379999999</v>
          </cell>
          <cell r="S265">
            <v>420428.62</v>
          </cell>
          <cell r="T265">
            <v>1492770000</v>
          </cell>
          <cell r="U265">
            <v>1.97</v>
          </cell>
          <cell r="V265">
            <v>1.97</v>
          </cell>
          <cell r="W265">
            <v>491074.5</v>
          </cell>
          <cell r="X265">
            <v>1473223500</v>
          </cell>
          <cell r="Z265" t="str">
            <v>Financial Services</v>
          </cell>
          <cell r="AC265" t="str">
            <v>CD - EXEMPT</v>
          </cell>
          <cell r="AD265">
            <v>27</v>
          </cell>
          <cell r="AE265" t="str">
            <v>Y</v>
          </cell>
          <cell r="AG265">
            <v>6.7995000000000001</v>
          </cell>
          <cell r="AH265">
            <v>437175.87</v>
          </cell>
          <cell r="AI265" t="str">
            <v>FI3310</v>
          </cell>
          <cell r="AJ265" t="str">
            <v>A1+</v>
          </cell>
          <cell r="AK265" t="str">
            <v>AAA</v>
          </cell>
          <cell r="AL265" t="str">
            <v>2</v>
          </cell>
          <cell r="AM265" t="str">
            <v>1</v>
          </cell>
        </row>
        <row r="266">
          <cell r="C266" t="str">
            <v>INE062A16549</v>
          </cell>
          <cell r="D266" t="str">
            <v>FI3302CD213</v>
          </cell>
          <cell r="E266" t="str">
            <v>COD</v>
          </cell>
          <cell r="F266" t="str">
            <v>State Bank of India</v>
          </cell>
          <cell r="G266" t="str">
            <v>State Bank of India COD MD 27.12.2024</v>
          </cell>
          <cell r="H266">
            <v>0</v>
          </cell>
          <cell r="I266" t="str">
            <v>27-12-2024</v>
          </cell>
          <cell r="J266" t="str">
            <v>IND A1+</v>
          </cell>
          <cell r="K266">
            <v>0.12</v>
          </cell>
          <cell r="L266">
            <v>500000</v>
          </cell>
          <cell r="M266">
            <v>3000</v>
          </cell>
          <cell r="N266">
            <v>6.8</v>
          </cell>
          <cell r="O266">
            <v>496210</v>
          </cell>
          <cell r="P266">
            <v>1488630000</v>
          </cell>
          <cell r="Q266">
            <v>0</v>
          </cell>
          <cell r="R266">
            <v>14493956</v>
          </cell>
          <cell r="S266">
            <v>515044</v>
          </cell>
          <cell r="T266">
            <v>1488630000</v>
          </cell>
          <cell r="U266">
            <v>1.97</v>
          </cell>
          <cell r="V266">
            <v>1.97</v>
          </cell>
          <cell r="W266">
            <v>491207</v>
          </cell>
          <cell r="X266">
            <v>1473621000</v>
          </cell>
          <cell r="Z266" t="str">
            <v>Financial Services</v>
          </cell>
          <cell r="AC266" t="str">
            <v>CD - EXEMPT</v>
          </cell>
          <cell r="AD266">
            <v>42</v>
          </cell>
          <cell r="AE266" t="str">
            <v>Y</v>
          </cell>
          <cell r="AG266">
            <v>6.8</v>
          </cell>
          <cell r="AH266">
            <v>528923.12</v>
          </cell>
          <cell r="AI266" t="str">
            <v>FI3302</v>
          </cell>
          <cell r="AJ266" t="str">
            <v>A1+</v>
          </cell>
          <cell r="AK266" t="str">
            <v>AAA</v>
          </cell>
          <cell r="AL266" t="str">
            <v>1</v>
          </cell>
          <cell r="AM266" t="str">
            <v>1</v>
          </cell>
        </row>
        <row r="267">
          <cell r="C267" t="str">
            <v>INE084A16CP8</v>
          </cell>
          <cell r="D267" t="str">
            <v>FI3328CD278</v>
          </cell>
          <cell r="E267" t="str">
            <v>COD</v>
          </cell>
          <cell r="F267" t="str">
            <v>Bank of India</v>
          </cell>
          <cell r="G267" t="str">
            <v>Bank of India COD MD 09-12-2024</v>
          </cell>
          <cell r="H267">
            <v>0</v>
          </cell>
          <cell r="I267" t="str">
            <v>09-12-2024</v>
          </cell>
          <cell r="J267" t="str">
            <v>CRISIL A1+</v>
          </cell>
          <cell r="K267">
            <v>7.0000000000000007E-2</v>
          </cell>
          <cell r="L267">
            <v>500000</v>
          </cell>
          <cell r="M267">
            <v>1500</v>
          </cell>
          <cell r="N267">
            <v>6.8506999999999998</v>
          </cell>
          <cell r="O267">
            <v>497851</v>
          </cell>
          <cell r="P267">
            <v>746776500</v>
          </cell>
          <cell r="Q267">
            <v>0</v>
          </cell>
          <cell r="R267">
            <v>9977505.4399999995</v>
          </cell>
          <cell r="S267">
            <v>151244.56</v>
          </cell>
          <cell r="T267">
            <v>746776500</v>
          </cell>
          <cell r="U267">
            <v>0.99</v>
          </cell>
          <cell r="V267">
            <v>0.99</v>
          </cell>
          <cell r="W267">
            <v>491098.5</v>
          </cell>
          <cell r="X267">
            <v>736647750</v>
          </cell>
          <cell r="Z267" t="str">
            <v>Financial Services</v>
          </cell>
          <cell r="AC267" t="str">
            <v>CD - EXEMPT</v>
          </cell>
          <cell r="AD267">
            <v>24</v>
          </cell>
          <cell r="AE267" t="str">
            <v>N</v>
          </cell>
          <cell r="AG267">
            <v>6.8506999999999998</v>
          </cell>
          <cell r="AH267">
            <v>158472.59</v>
          </cell>
          <cell r="AI267" t="str">
            <v>FI3328</v>
          </cell>
          <cell r="AJ267" t="str">
            <v>A1+</v>
          </cell>
          <cell r="AK267" t="str">
            <v>AA+</v>
          </cell>
          <cell r="AL267" t="str">
            <v>3</v>
          </cell>
          <cell r="AM267" t="str">
            <v>2</v>
          </cell>
        </row>
        <row r="268">
          <cell r="C268" t="str">
            <v>INE090AD6105</v>
          </cell>
          <cell r="D268" t="str">
            <v>FI3305CD367</v>
          </cell>
          <cell r="E268" t="str">
            <v>COD</v>
          </cell>
          <cell r="F268" t="str">
            <v>ICICI Bank Ltd</v>
          </cell>
          <cell r="G268" t="str">
            <v>ICICI Bank Ltd COD MD 06-12-2024</v>
          </cell>
          <cell r="H268">
            <v>0</v>
          </cell>
          <cell r="I268" t="str">
            <v>06-12-2024</v>
          </cell>
          <cell r="J268" t="str">
            <v>ICRA A1+</v>
          </cell>
          <cell r="K268">
            <v>0.06</v>
          </cell>
          <cell r="L268">
            <v>500000</v>
          </cell>
          <cell r="M268">
            <v>1000</v>
          </cell>
          <cell r="N268">
            <v>6.7701000000000002</v>
          </cell>
          <cell r="O268">
            <v>498152</v>
          </cell>
          <cell r="P268">
            <v>498152000</v>
          </cell>
          <cell r="Q268">
            <v>0</v>
          </cell>
          <cell r="R268">
            <v>5560461.1100000003</v>
          </cell>
          <cell r="S268">
            <v>103038.89</v>
          </cell>
          <cell r="T268">
            <v>498152000</v>
          </cell>
          <cell r="U268">
            <v>0.66</v>
          </cell>
          <cell r="V268">
            <v>0.66</v>
          </cell>
          <cell r="W268">
            <v>492488.5</v>
          </cell>
          <cell r="X268">
            <v>492488500</v>
          </cell>
          <cell r="Z268" t="str">
            <v>Financial Services</v>
          </cell>
          <cell r="AC268" t="str">
            <v>CD - EXEMPT</v>
          </cell>
          <cell r="AD268">
            <v>21</v>
          </cell>
          <cell r="AE268" t="str">
            <v>Y</v>
          </cell>
          <cell r="AG268">
            <v>6.7701000000000002</v>
          </cell>
          <cell r="AH268">
            <v>108590.83</v>
          </cell>
          <cell r="AI268" t="str">
            <v>FI3305</v>
          </cell>
          <cell r="AJ268" t="str">
            <v>A1+</v>
          </cell>
          <cell r="AK268" t="str">
            <v>AAA</v>
          </cell>
          <cell r="AL268" t="str">
            <v>2</v>
          </cell>
          <cell r="AM268" t="str">
            <v>1</v>
          </cell>
        </row>
        <row r="269">
          <cell r="C269" t="str">
            <v>INE092T16XJ0</v>
          </cell>
          <cell r="D269" t="str">
            <v>FI3437CD270</v>
          </cell>
          <cell r="E269" t="str">
            <v>COD</v>
          </cell>
          <cell r="F269" t="str">
            <v>IDFC First Bank Ltd</v>
          </cell>
          <cell r="G269" t="str">
            <v>IDFC First Bank Ltd COD MD 17-01-2025</v>
          </cell>
          <cell r="H269">
            <v>0</v>
          </cell>
          <cell r="I269" t="str">
            <v>17-01-2025</v>
          </cell>
          <cell r="J269" t="str">
            <v>CRISIL A1+</v>
          </cell>
          <cell r="K269">
            <v>0.17</v>
          </cell>
          <cell r="L269">
            <v>500000</v>
          </cell>
          <cell r="M269">
            <v>2000</v>
          </cell>
          <cell r="N269">
            <v>7.1942000000000004</v>
          </cell>
          <cell r="O269">
            <v>493963.5</v>
          </cell>
          <cell r="P269">
            <v>987927000</v>
          </cell>
          <cell r="Q269">
            <v>0</v>
          </cell>
          <cell r="R269">
            <v>4017020.08</v>
          </cell>
          <cell r="S269">
            <v>84479.92</v>
          </cell>
          <cell r="T269">
            <v>987927000</v>
          </cell>
          <cell r="U269">
            <v>1.31</v>
          </cell>
          <cell r="V269">
            <v>1.31</v>
          </cell>
          <cell r="W269">
            <v>491912.75</v>
          </cell>
          <cell r="X269">
            <v>983825500</v>
          </cell>
          <cell r="Z269" t="str">
            <v>Financial Services</v>
          </cell>
          <cell r="AC269" t="str">
            <v>CD - EXEMPT</v>
          </cell>
          <cell r="AD269">
            <v>63</v>
          </cell>
          <cell r="AE269" t="str">
            <v>N</v>
          </cell>
          <cell r="AG269">
            <v>7.1942000000000004</v>
          </cell>
          <cell r="AH269">
            <v>88568.31</v>
          </cell>
          <cell r="AI269" t="str">
            <v>FI3437</v>
          </cell>
          <cell r="AJ269" t="str">
            <v>A1+</v>
          </cell>
          <cell r="AK269" t="str">
            <v>AA+</v>
          </cell>
          <cell r="AL269" t="str">
            <v>3</v>
          </cell>
          <cell r="AM269" t="str">
            <v>2</v>
          </cell>
        </row>
        <row r="270">
          <cell r="C270" t="str">
            <v>INE160A16PP8</v>
          </cell>
          <cell r="D270" t="str">
            <v>FI3316CD375</v>
          </cell>
          <cell r="E270" t="str">
            <v>COD</v>
          </cell>
          <cell r="F270" t="str">
            <v>Punjab National Bank</v>
          </cell>
          <cell r="G270" t="str">
            <v>Punjab National Bank COD MD 21-11-2024</v>
          </cell>
          <cell r="H270">
            <v>0</v>
          </cell>
          <cell r="I270" t="str">
            <v>21-11-2024</v>
          </cell>
          <cell r="J270" t="str">
            <v>CRISIL A1+</v>
          </cell>
          <cell r="K270">
            <v>0.02</v>
          </cell>
          <cell r="L270">
            <v>500000</v>
          </cell>
          <cell r="M270">
            <v>1000</v>
          </cell>
          <cell r="N270">
            <v>6.7613000000000003</v>
          </cell>
          <cell r="O270">
            <v>499537.5</v>
          </cell>
          <cell r="P270">
            <v>499537500</v>
          </cell>
          <cell r="Q270">
            <v>0</v>
          </cell>
          <cell r="R270">
            <v>8332549.46</v>
          </cell>
          <cell r="S270">
            <v>21950.54</v>
          </cell>
          <cell r="T270">
            <v>499537500</v>
          </cell>
          <cell r="U270">
            <v>0.66</v>
          </cell>
          <cell r="V270">
            <v>0.66</v>
          </cell>
          <cell r="W270">
            <v>491183</v>
          </cell>
          <cell r="X270">
            <v>491183000</v>
          </cell>
          <cell r="Z270" t="str">
            <v>Financial Services</v>
          </cell>
          <cell r="AC270" t="str">
            <v>CD - EXEMPT</v>
          </cell>
          <cell r="AD270">
            <v>6</v>
          </cell>
          <cell r="AE270" t="str">
            <v>Y</v>
          </cell>
          <cell r="AG270">
            <v>6.7613000000000003</v>
          </cell>
          <cell r="AH270">
            <v>26340.65</v>
          </cell>
          <cell r="AI270" t="str">
            <v>FI3316</v>
          </cell>
          <cell r="AJ270" t="str">
            <v>A1+</v>
          </cell>
          <cell r="AK270" t="str">
            <v>AAA</v>
          </cell>
          <cell r="AL270" t="str">
            <v>1</v>
          </cell>
          <cell r="AM270" t="str">
            <v>1</v>
          </cell>
        </row>
        <row r="271">
          <cell r="C271" t="str">
            <v>INE160A16PX2</v>
          </cell>
          <cell r="D271" t="str">
            <v>FI3316CD378</v>
          </cell>
          <cell r="E271" t="str">
            <v>COD</v>
          </cell>
          <cell r="F271" t="str">
            <v>Punjab National Bank</v>
          </cell>
          <cell r="G271" t="str">
            <v>Punjab National Bank COD MD 20-12-2024</v>
          </cell>
          <cell r="H271">
            <v>0</v>
          </cell>
          <cell r="I271" t="str">
            <v>20-12-2024</v>
          </cell>
          <cell r="J271" t="str">
            <v>CRISIL A1+</v>
          </cell>
          <cell r="K271">
            <v>0.1</v>
          </cell>
          <cell r="L271">
            <v>500000</v>
          </cell>
          <cell r="M271">
            <v>1500</v>
          </cell>
          <cell r="N271">
            <v>6.8552999999999997</v>
          </cell>
          <cell r="O271">
            <v>496827.5</v>
          </cell>
          <cell r="P271">
            <v>745241250</v>
          </cell>
          <cell r="Q271">
            <v>0</v>
          </cell>
          <cell r="R271">
            <v>5109557.09</v>
          </cell>
          <cell r="S271">
            <v>66942.91</v>
          </cell>
          <cell r="T271">
            <v>745241250</v>
          </cell>
          <cell r="U271">
            <v>0.98</v>
          </cell>
          <cell r="V271">
            <v>0.98</v>
          </cell>
          <cell r="W271">
            <v>493376.5</v>
          </cell>
          <cell r="X271">
            <v>740064750</v>
          </cell>
          <cell r="Z271" t="str">
            <v>Financial Services</v>
          </cell>
          <cell r="AC271" t="str">
            <v>CD - EXEMPT</v>
          </cell>
          <cell r="AD271">
            <v>35</v>
          </cell>
          <cell r="AE271" t="str">
            <v>N</v>
          </cell>
          <cell r="AG271">
            <v>6.8552999999999997</v>
          </cell>
          <cell r="AH271">
            <v>70125.06</v>
          </cell>
          <cell r="AI271" t="str">
            <v>FI3316</v>
          </cell>
          <cell r="AJ271" t="str">
            <v>A1+</v>
          </cell>
          <cell r="AK271" t="str">
            <v>AAA</v>
          </cell>
          <cell r="AL271" t="str">
            <v>1</v>
          </cell>
          <cell r="AM271" t="str">
            <v>1</v>
          </cell>
        </row>
        <row r="272">
          <cell r="C272" t="str">
            <v>INE160A16PY0</v>
          </cell>
          <cell r="D272" t="str">
            <v>FI3316CD377</v>
          </cell>
          <cell r="E272" t="str">
            <v>COD</v>
          </cell>
          <cell r="F272" t="str">
            <v>Punjab National Bank</v>
          </cell>
          <cell r="G272" t="str">
            <v>Punjab National Bank COD MD 23-12-2024</v>
          </cell>
          <cell r="H272">
            <v>0</v>
          </cell>
          <cell r="I272" t="str">
            <v>23-12-2024</v>
          </cell>
          <cell r="J272" t="str">
            <v>CRISIL A1+</v>
          </cell>
          <cell r="K272">
            <v>0.1</v>
          </cell>
          <cell r="L272">
            <v>500000</v>
          </cell>
          <cell r="M272">
            <v>2000</v>
          </cell>
          <cell r="N272">
            <v>6.8552999999999997</v>
          </cell>
          <cell r="O272">
            <v>496549.5</v>
          </cell>
          <cell r="P272">
            <v>993099000</v>
          </cell>
          <cell r="Q272">
            <v>0</v>
          </cell>
          <cell r="R272">
            <v>10149348.34</v>
          </cell>
          <cell r="S272">
            <v>320651.65999999997</v>
          </cell>
          <cell r="T272">
            <v>993099000</v>
          </cell>
          <cell r="U272">
            <v>1.31</v>
          </cell>
          <cell r="V272">
            <v>1.31</v>
          </cell>
          <cell r="W272">
            <v>491314.5</v>
          </cell>
          <cell r="X272">
            <v>982629000</v>
          </cell>
          <cell r="Z272" t="str">
            <v>Financial Services</v>
          </cell>
          <cell r="AC272" t="str">
            <v>CD - EXEMPT</v>
          </cell>
          <cell r="AD272">
            <v>38</v>
          </cell>
          <cell r="AE272" t="str">
            <v>Y</v>
          </cell>
          <cell r="AG272">
            <v>6.8552999999999997</v>
          </cell>
          <cell r="AH272">
            <v>330831.43</v>
          </cell>
          <cell r="AI272" t="str">
            <v>FI3316</v>
          </cell>
          <cell r="AJ272" t="str">
            <v>A1+</v>
          </cell>
          <cell r="AK272" t="str">
            <v>AAA</v>
          </cell>
          <cell r="AL272" t="str">
            <v>1</v>
          </cell>
          <cell r="AM272" t="str">
            <v>1</v>
          </cell>
        </row>
        <row r="273">
          <cell r="C273" t="str">
            <v>INE160A16QI1</v>
          </cell>
          <cell r="D273" t="str">
            <v>FI3316CD379</v>
          </cell>
          <cell r="E273" t="str">
            <v>COD</v>
          </cell>
          <cell r="F273" t="str">
            <v>Punjab National Bank</v>
          </cell>
          <cell r="G273" t="str">
            <v>Punjab National Bank COD MD 11-02-2025</v>
          </cell>
          <cell r="H273">
            <v>0</v>
          </cell>
          <cell r="I273" t="str">
            <v>11-02-2025</v>
          </cell>
          <cell r="J273" t="str">
            <v>CRISIL A1+</v>
          </cell>
          <cell r="K273">
            <v>0.24</v>
          </cell>
          <cell r="L273">
            <v>500000</v>
          </cell>
          <cell r="M273">
            <v>1000</v>
          </cell>
          <cell r="N273">
            <v>7.1650999999999998</v>
          </cell>
          <cell r="O273">
            <v>491604.5</v>
          </cell>
          <cell r="P273">
            <v>491604500</v>
          </cell>
          <cell r="Q273">
            <v>0</v>
          </cell>
          <cell r="R273">
            <v>289933.33</v>
          </cell>
          <cell r="S273">
            <v>12566.67</v>
          </cell>
          <cell r="T273">
            <v>491604500</v>
          </cell>
          <cell r="U273">
            <v>0.65</v>
          </cell>
          <cell r="V273">
            <v>0.65</v>
          </cell>
          <cell r="W273">
            <v>491302</v>
          </cell>
          <cell r="X273">
            <v>491302000</v>
          </cell>
          <cell r="Z273" t="str">
            <v>Financial Services</v>
          </cell>
          <cell r="AC273" t="str">
            <v>CD - EXEMPT</v>
          </cell>
          <cell r="AD273">
            <v>88</v>
          </cell>
          <cell r="AE273" t="str">
            <v>N</v>
          </cell>
          <cell r="AG273">
            <v>7.1650999999999998</v>
          </cell>
          <cell r="AH273">
            <v>14211.12</v>
          </cell>
          <cell r="AI273" t="str">
            <v>FI3316</v>
          </cell>
          <cell r="AJ273" t="str">
            <v>A1+</v>
          </cell>
          <cell r="AK273" t="str">
            <v>AAA</v>
          </cell>
          <cell r="AL273" t="str">
            <v>1</v>
          </cell>
          <cell r="AM273" t="str">
            <v>1</v>
          </cell>
        </row>
        <row r="274">
          <cell r="C274" t="str">
            <v>INE171A16LN9</v>
          </cell>
          <cell r="D274" t="str">
            <v>FI3326CD251</v>
          </cell>
          <cell r="E274" t="str">
            <v>COD</v>
          </cell>
          <cell r="F274" t="str">
            <v>The Federal Bank Ltd</v>
          </cell>
          <cell r="G274" t="str">
            <v>Federal Bank Ltd COD MD 26-11-2024</v>
          </cell>
          <cell r="H274">
            <v>0</v>
          </cell>
          <cell r="I274" t="str">
            <v>26-11-2024</v>
          </cell>
          <cell r="J274" t="str">
            <v>IND A1+</v>
          </cell>
          <cell r="K274">
            <v>0.03</v>
          </cell>
          <cell r="L274">
            <v>500000</v>
          </cell>
          <cell r="M274">
            <v>1000</v>
          </cell>
          <cell r="N274">
            <v>6.7995999999999999</v>
          </cell>
          <cell r="O274">
            <v>499070.5</v>
          </cell>
          <cell r="P274">
            <v>499070500</v>
          </cell>
          <cell r="Q274">
            <v>0</v>
          </cell>
          <cell r="R274">
            <v>7923313.1600000001</v>
          </cell>
          <cell r="S274">
            <v>48686.84</v>
          </cell>
          <cell r="T274">
            <v>499070500</v>
          </cell>
          <cell r="U274">
            <v>0.66</v>
          </cell>
          <cell r="V274">
            <v>0.66</v>
          </cell>
          <cell r="W274">
            <v>491098.5</v>
          </cell>
          <cell r="X274">
            <v>491098500</v>
          </cell>
          <cell r="Z274" t="str">
            <v>Financial Services</v>
          </cell>
          <cell r="AC274" t="str">
            <v>CD - EXEMPT</v>
          </cell>
          <cell r="AD274">
            <v>11</v>
          </cell>
          <cell r="AE274" t="str">
            <v>Y</v>
          </cell>
          <cell r="AG274">
            <v>6.7995999999999999</v>
          </cell>
          <cell r="AH274">
            <v>53505.53</v>
          </cell>
          <cell r="AI274" t="str">
            <v>FI3326</v>
          </cell>
          <cell r="AJ274" t="str">
            <v>A1+</v>
          </cell>
          <cell r="AK274" t="str">
            <v>AA+</v>
          </cell>
          <cell r="AL274" t="str">
            <v>3</v>
          </cell>
          <cell r="AM274" t="str">
            <v>2</v>
          </cell>
        </row>
        <row r="275">
          <cell r="C275" t="str">
            <v>INE237A165X0</v>
          </cell>
          <cell r="D275" t="str">
            <v>FI3332CD275</v>
          </cell>
          <cell r="E275" t="str">
            <v>COD</v>
          </cell>
          <cell r="F275" t="str">
            <v>Kotak Mahindra Bank Ltd</v>
          </cell>
          <cell r="G275" t="str">
            <v>Kotak Mahindra Bank COD MD 20-12-2024</v>
          </cell>
          <cell r="H275">
            <v>0</v>
          </cell>
          <cell r="I275" t="str">
            <v>20-12-2024</v>
          </cell>
          <cell r="J275" t="str">
            <v>CRISIL A1+</v>
          </cell>
          <cell r="K275">
            <v>0.1</v>
          </cell>
          <cell r="L275">
            <v>500000</v>
          </cell>
          <cell r="M275">
            <v>500</v>
          </cell>
          <cell r="N275">
            <v>6.8449999999999998</v>
          </cell>
          <cell r="O275">
            <v>496832.5</v>
          </cell>
          <cell r="P275">
            <v>248416250</v>
          </cell>
          <cell r="Q275">
            <v>0</v>
          </cell>
          <cell r="R275">
            <v>2490449.9500000002</v>
          </cell>
          <cell r="S275">
            <v>76550.05</v>
          </cell>
          <cell r="T275">
            <v>248416250</v>
          </cell>
          <cell r="U275">
            <v>0.33</v>
          </cell>
          <cell r="V275">
            <v>0.33</v>
          </cell>
          <cell r="W275">
            <v>491698.5</v>
          </cell>
          <cell r="X275">
            <v>245849250</v>
          </cell>
          <cell r="Z275" t="str">
            <v>Financial Services</v>
          </cell>
          <cell r="AC275" t="str">
            <v>CD - EXEMPT</v>
          </cell>
          <cell r="AD275">
            <v>35</v>
          </cell>
          <cell r="AE275" t="str">
            <v>Y</v>
          </cell>
          <cell r="AG275">
            <v>6.8449999999999998</v>
          </cell>
          <cell r="AH275">
            <v>78882.41</v>
          </cell>
          <cell r="AI275" t="str">
            <v>FI3332</v>
          </cell>
          <cell r="AJ275" t="str">
            <v>A1+</v>
          </cell>
          <cell r="AK275" t="str">
            <v>AAA</v>
          </cell>
          <cell r="AL275" t="str">
            <v>2</v>
          </cell>
          <cell r="AM275" t="str">
            <v>1</v>
          </cell>
        </row>
        <row r="276">
          <cell r="C276" t="str">
            <v>INE238AD6603</v>
          </cell>
          <cell r="D276" t="str">
            <v>FI3319CD528</v>
          </cell>
          <cell r="E276" t="str">
            <v>COD</v>
          </cell>
          <cell r="F276" t="str">
            <v>Axis Bank Ltd</v>
          </cell>
          <cell r="G276" t="str">
            <v>Axis Bank Ltd CD MD 26-12-2024</v>
          </cell>
          <cell r="H276">
            <v>0</v>
          </cell>
          <cell r="I276" t="str">
            <v>26-12-2024</v>
          </cell>
          <cell r="J276" t="str">
            <v>CRISIL A1+</v>
          </cell>
          <cell r="K276">
            <v>0.11</v>
          </cell>
          <cell r="L276">
            <v>500000</v>
          </cell>
          <cell r="M276">
            <v>500</v>
          </cell>
          <cell r="N276">
            <v>6.8799000000000001</v>
          </cell>
          <cell r="O276">
            <v>496258.5</v>
          </cell>
          <cell r="P276">
            <v>248129250</v>
          </cell>
          <cell r="Q276">
            <v>0</v>
          </cell>
          <cell r="R276">
            <v>2487511.02</v>
          </cell>
          <cell r="S276">
            <v>80238.98</v>
          </cell>
          <cell r="T276">
            <v>248129250</v>
          </cell>
          <cell r="U276">
            <v>0.33</v>
          </cell>
          <cell r="V276">
            <v>0.33</v>
          </cell>
          <cell r="W276">
            <v>491123</v>
          </cell>
          <cell r="X276">
            <v>245561500</v>
          </cell>
          <cell r="Z276" t="str">
            <v>Financial Services</v>
          </cell>
          <cell r="AC276" t="str">
            <v>CD - EXEMPT</v>
          </cell>
          <cell r="AD276">
            <v>41</v>
          </cell>
          <cell r="AE276" t="str">
            <v>Y</v>
          </cell>
          <cell r="AG276">
            <v>6.8799000000000001</v>
          </cell>
          <cell r="AH276">
            <v>82513.7</v>
          </cell>
          <cell r="AI276" t="str">
            <v>FI3319</v>
          </cell>
          <cell r="AJ276" t="str">
            <v>A1+</v>
          </cell>
          <cell r="AK276" t="str">
            <v>AAA</v>
          </cell>
          <cell r="AL276" t="str">
            <v>2</v>
          </cell>
          <cell r="AM276" t="str">
            <v>1</v>
          </cell>
        </row>
        <row r="277">
          <cell r="C277" t="str">
            <v>INE238AD6629</v>
          </cell>
          <cell r="D277" t="str">
            <v>FI3319CD515</v>
          </cell>
          <cell r="E277" t="str">
            <v>COD</v>
          </cell>
          <cell r="F277" t="str">
            <v>Axis Bank Ltd</v>
          </cell>
          <cell r="G277" t="str">
            <v>AXIS BANK LTD CD MD 10-01-2025</v>
          </cell>
          <cell r="H277">
            <v>0</v>
          </cell>
          <cell r="I277" t="str">
            <v>10-01-2025</v>
          </cell>
          <cell r="J277" t="str">
            <v>CRISIL A1+</v>
          </cell>
          <cell r="K277">
            <v>0.15</v>
          </cell>
          <cell r="L277">
            <v>500000</v>
          </cell>
          <cell r="M277">
            <v>2000</v>
          </cell>
          <cell r="N277">
            <v>7.1498999999999997</v>
          </cell>
          <cell r="O277">
            <v>494670.5</v>
          </cell>
          <cell r="P277">
            <v>989341000</v>
          </cell>
          <cell r="Q277">
            <v>0</v>
          </cell>
          <cell r="R277">
            <v>6676345.9199999999</v>
          </cell>
          <cell r="S277">
            <v>-89095.92</v>
          </cell>
          <cell r="T277">
            <v>989341000</v>
          </cell>
          <cell r="U277">
            <v>1.31</v>
          </cell>
          <cell r="V277">
            <v>1.31</v>
          </cell>
          <cell r="W277">
            <v>491376.875</v>
          </cell>
          <cell r="X277">
            <v>982753750</v>
          </cell>
          <cell r="Z277" t="str">
            <v>Financial Services</v>
          </cell>
          <cell r="AC277" t="str">
            <v>CD - EXEMPT</v>
          </cell>
          <cell r="AD277">
            <v>56</v>
          </cell>
          <cell r="AE277" t="str">
            <v>Y</v>
          </cell>
          <cell r="AG277">
            <v>7.1498999999999997</v>
          </cell>
          <cell r="AH277">
            <v>-88915.85</v>
          </cell>
          <cell r="AI277" t="str">
            <v>FI3319</v>
          </cell>
          <cell r="AJ277" t="str">
            <v>A1+</v>
          </cell>
          <cell r="AK277" t="str">
            <v>AAA</v>
          </cell>
          <cell r="AL277" t="str">
            <v>2</v>
          </cell>
          <cell r="AM277" t="str">
            <v>1</v>
          </cell>
        </row>
        <row r="278">
          <cell r="C278" t="str">
            <v>INE238AD6926</v>
          </cell>
          <cell r="D278" t="str">
            <v>FI3319CD527</v>
          </cell>
          <cell r="E278" t="str">
            <v>COD</v>
          </cell>
          <cell r="F278" t="str">
            <v>Axis Bank Ltd</v>
          </cell>
          <cell r="G278" t="str">
            <v>Axis Bank Ltd COD MD 24-12-2024</v>
          </cell>
          <cell r="H278">
            <v>0</v>
          </cell>
          <cell r="I278" t="str">
            <v>24-12-2024</v>
          </cell>
          <cell r="J278" t="str">
            <v>CRISIL A1+</v>
          </cell>
          <cell r="K278">
            <v>0.11</v>
          </cell>
          <cell r="L278">
            <v>500000</v>
          </cell>
          <cell r="M278">
            <v>1000</v>
          </cell>
          <cell r="N278">
            <v>6.8799000000000001</v>
          </cell>
          <cell r="O278">
            <v>496444.5</v>
          </cell>
          <cell r="P278">
            <v>496444500</v>
          </cell>
          <cell r="Q278">
            <v>0</v>
          </cell>
          <cell r="R278">
            <v>5073755.47</v>
          </cell>
          <cell r="S278">
            <v>152244.53</v>
          </cell>
          <cell r="T278">
            <v>496444500</v>
          </cell>
          <cell r="U278">
            <v>0.66</v>
          </cell>
          <cell r="V278">
            <v>0.66</v>
          </cell>
          <cell r="W278">
            <v>491218.5</v>
          </cell>
          <cell r="X278">
            <v>491218500</v>
          </cell>
          <cell r="Z278" t="str">
            <v>Financial Services</v>
          </cell>
          <cell r="AC278" t="str">
            <v>CD - EXEMPT</v>
          </cell>
          <cell r="AD278">
            <v>39</v>
          </cell>
          <cell r="AE278" t="str">
            <v>Y</v>
          </cell>
          <cell r="AG278">
            <v>6.8799000000000001</v>
          </cell>
          <cell r="AH278">
            <v>156816.75</v>
          </cell>
          <cell r="AI278" t="str">
            <v>FI3319</v>
          </cell>
          <cell r="AJ278" t="str">
            <v>A1+</v>
          </cell>
          <cell r="AK278" t="str">
            <v>AAA</v>
          </cell>
          <cell r="AL278" t="str">
            <v>2</v>
          </cell>
          <cell r="AM278" t="str">
            <v>1</v>
          </cell>
        </row>
        <row r="279">
          <cell r="C279" t="str">
            <v>INE261F16769</v>
          </cell>
          <cell r="D279" t="str">
            <v>FI35NACD356</v>
          </cell>
          <cell r="E279" t="str">
            <v>COD</v>
          </cell>
          <cell r="F279" t="str">
            <v>National Bank for Agriculture &amp; Rural Development</v>
          </cell>
          <cell r="G279" t="str">
            <v>NABARD COD MD 17-01-2025</v>
          </cell>
          <cell r="H279">
            <v>0</v>
          </cell>
          <cell r="I279" t="str">
            <v>17-01-2025</v>
          </cell>
          <cell r="J279" t="str">
            <v>CRISIL A1+</v>
          </cell>
          <cell r="K279">
            <v>0.17</v>
          </cell>
          <cell r="L279">
            <v>500000</v>
          </cell>
          <cell r="M279">
            <v>500</v>
          </cell>
          <cell r="N279">
            <v>7.16</v>
          </cell>
          <cell r="O279">
            <v>493992</v>
          </cell>
          <cell r="P279">
            <v>246996000</v>
          </cell>
          <cell r="Q279">
            <v>0</v>
          </cell>
          <cell r="R279">
            <v>774974.4</v>
          </cell>
          <cell r="S279">
            <v>-974.4</v>
          </cell>
          <cell r="T279">
            <v>246996000</v>
          </cell>
          <cell r="U279">
            <v>0.33</v>
          </cell>
          <cell r="V279">
            <v>0.33</v>
          </cell>
          <cell r="W279">
            <v>492444</v>
          </cell>
          <cell r="X279">
            <v>246222000</v>
          </cell>
          <cell r="Z279" t="str">
            <v>Financial Services</v>
          </cell>
          <cell r="AC279" t="str">
            <v>CD - EXEMPT</v>
          </cell>
          <cell r="AD279">
            <v>63</v>
          </cell>
          <cell r="AE279" t="str">
            <v>N</v>
          </cell>
          <cell r="AG279">
            <v>7.16</v>
          </cell>
          <cell r="AH279">
            <v>-288.5</v>
          </cell>
          <cell r="AI279" t="str">
            <v>FI35NA</v>
          </cell>
          <cell r="AJ279" t="str">
            <v>A1+</v>
          </cell>
          <cell r="AK279" t="str">
            <v>AAA</v>
          </cell>
          <cell r="AL279" t="str">
            <v>1</v>
          </cell>
          <cell r="AM279" t="str">
            <v>1</v>
          </cell>
        </row>
        <row r="280">
          <cell r="C280" t="str">
            <v>INE457A16LZ6</v>
          </cell>
          <cell r="D280" t="str">
            <v>FI3340CD266</v>
          </cell>
          <cell r="E280" t="str">
            <v>COD</v>
          </cell>
          <cell r="F280" t="str">
            <v>Bank of Maharashtra</v>
          </cell>
          <cell r="G280" t="str">
            <v>Bank of Maharashtra COD MD 24-12-2024</v>
          </cell>
          <cell r="H280">
            <v>0</v>
          </cell>
          <cell r="I280" t="str">
            <v>24-12-2024</v>
          </cell>
          <cell r="J280" t="str">
            <v>CRISIL A1+</v>
          </cell>
          <cell r="K280">
            <v>0.11</v>
          </cell>
          <cell r="L280">
            <v>500000</v>
          </cell>
          <cell r="M280">
            <v>2000</v>
          </cell>
          <cell r="N280">
            <v>6.95</v>
          </cell>
          <cell r="O280">
            <v>496408.5</v>
          </cell>
          <cell r="P280">
            <v>992817000</v>
          </cell>
          <cell r="Q280">
            <v>0</v>
          </cell>
          <cell r="R280">
            <v>10216266.75</v>
          </cell>
          <cell r="S280">
            <v>282733.25</v>
          </cell>
          <cell r="T280">
            <v>992817000</v>
          </cell>
          <cell r="U280">
            <v>1.31</v>
          </cell>
          <cell r="V280">
            <v>1.31</v>
          </cell>
          <cell r="W280">
            <v>491159</v>
          </cell>
          <cell r="X280">
            <v>982318000</v>
          </cell>
          <cell r="Z280" t="str">
            <v>Financial Services</v>
          </cell>
          <cell r="AC280" t="str">
            <v>CD - EXEMPT</v>
          </cell>
          <cell r="AD280">
            <v>39</v>
          </cell>
          <cell r="AE280" t="str">
            <v>Y</v>
          </cell>
          <cell r="AG280">
            <v>6.95</v>
          </cell>
          <cell r="AH280">
            <v>291199.90999999997</v>
          </cell>
          <cell r="AI280" t="str">
            <v>FI3340</v>
          </cell>
          <cell r="AJ280" t="str">
            <v>A1+</v>
          </cell>
          <cell r="AK280" t="str">
            <v>AA+</v>
          </cell>
          <cell r="AL280" t="str">
            <v>3</v>
          </cell>
          <cell r="AM280" t="str">
            <v>2</v>
          </cell>
        </row>
        <row r="281">
          <cell r="C281" t="str">
            <v>INE476A16XI7</v>
          </cell>
          <cell r="D281" t="str">
            <v>FI3320CD484</v>
          </cell>
          <cell r="E281" t="str">
            <v>COD</v>
          </cell>
          <cell r="F281" t="str">
            <v>Canara Bank</v>
          </cell>
          <cell r="G281" t="str">
            <v>Canara Bank COD MD 16-01-2025</v>
          </cell>
          <cell r="H281">
            <v>0</v>
          </cell>
          <cell r="I281" t="str">
            <v>16-01-2025</v>
          </cell>
          <cell r="J281" t="str">
            <v>CRISIL A1+</v>
          </cell>
          <cell r="K281">
            <v>0.17</v>
          </cell>
          <cell r="L281">
            <v>500000</v>
          </cell>
          <cell r="M281">
            <v>2000</v>
          </cell>
          <cell r="N281">
            <v>7.1401000000000003</v>
          </cell>
          <cell r="O281">
            <v>494104</v>
          </cell>
          <cell r="P281">
            <v>988208000</v>
          </cell>
          <cell r="Q281">
            <v>0</v>
          </cell>
          <cell r="R281">
            <v>3293641.03</v>
          </cell>
          <cell r="S281">
            <v>26358.97</v>
          </cell>
          <cell r="T281">
            <v>988208000</v>
          </cell>
          <cell r="U281">
            <v>1.31</v>
          </cell>
          <cell r="V281">
            <v>1.31</v>
          </cell>
          <cell r="W281">
            <v>492444</v>
          </cell>
          <cell r="X281">
            <v>984888000</v>
          </cell>
          <cell r="Z281" t="str">
            <v>Financial Services</v>
          </cell>
          <cell r="AC281" t="str">
            <v>CD - EXEMPT</v>
          </cell>
          <cell r="AD281">
            <v>62</v>
          </cell>
          <cell r="AE281" t="str">
            <v>N</v>
          </cell>
          <cell r="AG281">
            <v>7.1401000000000003</v>
          </cell>
          <cell r="AH281">
            <v>29102.560000000001</v>
          </cell>
          <cell r="AI281" t="str">
            <v>FI3320</v>
          </cell>
          <cell r="AJ281" t="str">
            <v>A1+</v>
          </cell>
          <cell r="AK281" t="str">
            <v>AAA</v>
          </cell>
          <cell r="AL281" t="str">
            <v>1</v>
          </cell>
          <cell r="AM281" t="str">
            <v>1</v>
          </cell>
        </row>
        <row r="282">
          <cell r="C282" t="str">
            <v>INE476A16YQ8</v>
          </cell>
          <cell r="D282" t="str">
            <v>FI3320CD483</v>
          </cell>
          <cell r="E282" t="str">
            <v>COD</v>
          </cell>
          <cell r="F282" t="str">
            <v>Canara Bank</v>
          </cell>
          <cell r="G282" t="str">
            <v>Canara Bank COD MD 13-12-2024</v>
          </cell>
          <cell r="H282">
            <v>0</v>
          </cell>
          <cell r="I282" t="str">
            <v>13-12-2024</v>
          </cell>
          <cell r="J282" t="str">
            <v>CRISIL A1+</v>
          </cell>
          <cell r="K282">
            <v>0.08</v>
          </cell>
          <cell r="L282">
            <v>500000</v>
          </cell>
          <cell r="M282">
            <v>1000</v>
          </cell>
          <cell r="N282">
            <v>6.8000999999999996</v>
          </cell>
          <cell r="O282">
            <v>497497.5</v>
          </cell>
          <cell r="P282">
            <v>497497500</v>
          </cell>
          <cell r="Q282">
            <v>0</v>
          </cell>
          <cell r="R282">
            <v>4994403.92</v>
          </cell>
          <cell r="S282">
            <v>141596.07999999999</v>
          </cell>
          <cell r="T282">
            <v>497497500</v>
          </cell>
          <cell r="U282">
            <v>0.66</v>
          </cell>
          <cell r="V282">
            <v>0.66</v>
          </cell>
          <cell r="W282">
            <v>492361.5</v>
          </cell>
          <cell r="X282">
            <v>492361500</v>
          </cell>
          <cell r="Z282" t="str">
            <v>Financial Services</v>
          </cell>
          <cell r="AC282" t="str">
            <v>CD - EXEMPT</v>
          </cell>
          <cell r="AD282">
            <v>28</v>
          </cell>
          <cell r="AE282" t="str">
            <v>Y</v>
          </cell>
          <cell r="AG282">
            <v>6.8000999999999996</v>
          </cell>
          <cell r="AH282">
            <v>147525.57</v>
          </cell>
          <cell r="AI282" t="str">
            <v>FI3320</v>
          </cell>
          <cell r="AJ282" t="str">
            <v>A1+</v>
          </cell>
          <cell r="AK282" t="str">
            <v>AAA</v>
          </cell>
          <cell r="AL282" t="str">
            <v>1</v>
          </cell>
          <cell r="AM282" t="str">
            <v>1</v>
          </cell>
        </row>
        <row r="283">
          <cell r="C283" t="str">
            <v>INE476A16YR6</v>
          </cell>
          <cell r="D283" t="str">
            <v>FI3320CD479</v>
          </cell>
          <cell r="E283" t="str">
            <v>COD</v>
          </cell>
          <cell r="F283" t="str">
            <v>Canara Bank</v>
          </cell>
          <cell r="G283" t="str">
            <v>Canara Bank COD MD 16-12-2024</v>
          </cell>
          <cell r="H283">
            <v>0</v>
          </cell>
          <cell r="I283" t="str">
            <v>16-12-2024</v>
          </cell>
          <cell r="J283" t="str">
            <v>CRISIL A1+</v>
          </cell>
          <cell r="K283">
            <v>0.08</v>
          </cell>
          <cell r="L283">
            <v>500000</v>
          </cell>
          <cell r="M283">
            <v>1000</v>
          </cell>
          <cell r="N283">
            <v>6.8451000000000004</v>
          </cell>
          <cell r="O283">
            <v>497203</v>
          </cell>
          <cell r="P283">
            <v>497203000</v>
          </cell>
          <cell r="Q283">
            <v>0</v>
          </cell>
          <cell r="R283">
            <v>4414789.47</v>
          </cell>
          <cell r="S283">
            <v>82210.53</v>
          </cell>
          <cell r="T283">
            <v>497203000</v>
          </cell>
          <cell r="U283">
            <v>0.66</v>
          </cell>
          <cell r="V283">
            <v>0.66</v>
          </cell>
          <cell r="W283">
            <v>492706</v>
          </cell>
          <cell r="X283">
            <v>492706000</v>
          </cell>
          <cell r="Z283" t="str">
            <v>Financial Services</v>
          </cell>
          <cell r="AC283" t="str">
            <v>CD - EXEMPT</v>
          </cell>
          <cell r="AD283">
            <v>31</v>
          </cell>
          <cell r="AE283" t="str">
            <v>Y</v>
          </cell>
          <cell r="AG283">
            <v>6.8451000000000004</v>
          </cell>
          <cell r="AH283">
            <v>85184.22</v>
          </cell>
          <cell r="AI283" t="str">
            <v>FI3320</v>
          </cell>
          <cell r="AJ283" t="str">
            <v>A1+</v>
          </cell>
          <cell r="AK283" t="str">
            <v>AAA</v>
          </cell>
          <cell r="AL283" t="str">
            <v>1</v>
          </cell>
          <cell r="AM283" t="str">
            <v>1</v>
          </cell>
        </row>
        <row r="284">
          <cell r="C284" t="str">
            <v>INE476A16YV8</v>
          </cell>
          <cell r="D284" t="str">
            <v>FI3320CD485</v>
          </cell>
          <cell r="E284" t="str">
            <v>COD</v>
          </cell>
          <cell r="F284" t="str">
            <v>Canara Bank</v>
          </cell>
          <cell r="G284" t="str">
            <v>Canara Bank COD MD 03-02-2025</v>
          </cell>
          <cell r="H284">
            <v>0</v>
          </cell>
          <cell r="I284" t="str">
            <v>03-02-2025</v>
          </cell>
          <cell r="J284" t="str">
            <v>CRISIL A1+</v>
          </cell>
          <cell r="K284">
            <v>0.22</v>
          </cell>
          <cell r="L284">
            <v>500000</v>
          </cell>
          <cell r="M284">
            <v>2000</v>
          </cell>
          <cell r="N284">
            <v>7.1401000000000003</v>
          </cell>
          <cell r="O284">
            <v>492390.5</v>
          </cell>
          <cell r="P284">
            <v>984781000</v>
          </cell>
          <cell r="Q284">
            <v>0</v>
          </cell>
          <cell r="R284">
            <v>964285.7</v>
          </cell>
          <cell r="S284">
            <v>16714.3</v>
          </cell>
          <cell r="T284">
            <v>984781000</v>
          </cell>
          <cell r="U284">
            <v>1.3</v>
          </cell>
          <cell r="V284">
            <v>1.3</v>
          </cell>
          <cell r="W284">
            <v>491900</v>
          </cell>
          <cell r="X284">
            <v>983800000</v>
          </cell>
          <cell r="Z284" t="str">
            <v>Financial Services</v>
          </cell>
          <cell r="AC284" t="str">
            <v>CD - EXEMPT</v>
          </cell>
          <cell r="AD284">
            <v>80</v>
          </cell>
          <cell r="AE284" t="str">
            <v>N</v>
          </cell>
          <cell r="AG284">
            <v>7.1401000000000003</v>
          </cell>
          <cell r="AH284">
            <v>20571.439999999999</v>
          </cell>
          <cell r="AI284" t="str">
            <v>FI3320</v>
          </cell>
          <cell r="AJ284" t="str">
            <v>A1+</v>
          </cell>
          <cell r="AK284" t="str">
            <v>AAA</v>
          </cell>
          <cell r="AL284" t="str">
            <v>1</v>
          </cell>
          <cell r="AM284" t="str">
            <v>1</v>
          </cell>
        </row>
        <row r="285">
          <cell r="C285" t="str">
            <v>INE476A16YX4</v>
          </cell>
          <cell r="D285" t="str">
            <v>FI3320CD486</v>
          </cell>
          <cell r="E285" t="str">
            <v>COD</v>
          </cell>
          <cell r="F285" t="str">
            <v>Canara Bank</v>
          </cell>
          <cell r="G285" t="str">
            <v>Canara Bank COD MD 26-11-2024</v>
          </cell>
          <cell r="H285">
            <v>0</v>
          </cell>
          <cell r="I285" t="str">
            <v>26-11-2024</v>
          </cell>
          <cell r="J285" t="str">
            <v>CRISIL A1+</v>
          </cell>
          <cell r="K285">
            <v>0.03</v>
          </cell>
          <cell r="L285">
            <v>500000</v>
          </cell>
          <cell r="M285">
            <v>500</v>
          </cell>
          <cell r="N285">
            <v>6.7549999999999999</v>
          </cell>
          <cell r="O285">
            <v>499076.5</v>
          </cell>
          <cell r="P285">
            <v>249538250</v>
          </cell>
          <cell r="Q285">
            <v>0</v>
          </cell>
          <cell r="R285">
            <v>139788.46</v>
          </cell>
          <cell r="S285">
            <v>4211.54</v>
          </cell>
          <cell r="T285">
            <v>249538250</v>
          </cell>
          <cell r="U285">
            <v>0.33</v>
          </cell>
          <cell r="V285">
            <v>0.33</v>
          </cell>
          <cell r="W285">
            <v>498788.5</v>
          </cell>
          <cell r="X285">
            <v>249394250</v>
          </cell>
          <cell r="Z285" t="str">
            <v>Financial Services</v>
          </cell>
          <cell r="AC285" t="str">
            <v>CD - EXEMPT</v>
          </cell>
          <cell r="AD285">
            <v>11</v>
          </cell>
          <cell r="AE285" t="str">
            <v>N</v>
          </cell>
          <cell r="AG285">
            <v>6.7549999999999999</v>
          </cell>
          <cell r="AH285">
            <v>4807.7</v>
          </cell>
          <cell r="AI285" t="str">
            <v>FI3320</v>
          </cell>
        </row>
        <row r="286">
          <cell r="C286" t="str">
            <v>INE476A16ZD3</v>
          </cell>
          <cell r="D286" t="str">
            <v>FI3320CD480</v>
          </cell>
          <cell r="E286" t="str">
            <v>COD</v>
          </cell>
          <cell r="F286" t="str">
            <v>Canara Bank</v>
          </cell>
          <cell r="G286" t="str">
            <v>Canara Bank COD MD 09-12-2024</v>
          </cell>
          <cell r="H286">
            <v>0</v>
          </cell>
          <cell r="I286" t="str">
            <v>09-12-2024</v>
          </cell>
          <cell r="J286" t="str">
            <v>CRISIL A1+</v>
          </cell>
          <cell r="K286">
            <v>7.0000000000000007E-2</v>
          </cell>
          <cell r="L286">
            <v>500000</v>
          </cell>
          <cell r="M286">
            <v>2000</v>
          </cell>
          <cell r="N286">
            <v>6.8000999999999996</v>
          </cell>
          <cell r="O286">
            <v>497866.5</v>
          </cell>
          <cell r="P286">
            <v>995733000</v>
          </cell>
          <cell r="Q286">
            <v>0</v>
          </cell>
          <cell r="R286">
            <v>13248791.220000001</v>
          </cell>
          <cell r="S286">
            <v>214208.78</v>
          </cell>
          <cell r="T286">
            <v>995733000</v>
          </cell>
          <cell r="U286">
            <v>1.32</v>
          </cell>
          <cell r="V286">
            <v>1.32</v>
          </cell>
          <cell r="W286">
            <v>491135</v>
          </cell>
          <cell r="X286">
            <v>982270000</v>
          </cell>
          <cell r="Z286" t="str">
            <v>Financial Services</v>
          </cell>
          <cell r="AC286" t="str">
            <v>CD - EXEMPT</v>
          </cell>
          <cell r="AD286">
            <v>24</v>
          </cell>
          <cell r="AE286" t="str">
            <v>Y</v>
          </cell>
          <cell r="AG286">
            <v>6.8000999999999996</v>
          </cell>
          <cell r="AH286">
            <v>225043.95</v>
          </cell>
          <cell r="AI286" t="str">
            <v>FI3320</v>
          </cell>
          <cell r="AJ286" t="str">
            <v>A1+</v>
          </cell>
          <cell r="AK286" t="str">
            <v>AAA</v>
          </cell>
          <cell r="AL286" t="str">
            <v>2</v>
          </cell>
          <cell r="AM286" t="str">
            <v>1</v>
          </cell>
        </row>
        <row r="287">
          <cell r="C287" t="str">
            <v>INE476A16ZF8</v>
          </cell>
          <cell r="D287" t="str">
            <v>FI3320CD481</v>
          </cell>
          <cell r="E287" t="str">
            <v>COD</v>
          </cell>
          <cell r="F287" t="str">
            <v>Canara Bank</v>
          </cell>
          <cell r="G287" t="str">
            <v>Canara Bank COD MD 12-12-2024</v>
          </cell>
          <cell r="H287">
            <v>0</v>
          </cell>
          <cell r="I287" t="str">
            <v>12-12-2024</v>
          </cell>
          <cell r="J287" t="str">
            <v>CRISIL A1+</v>
          </cell>
          <cell r="K287">
            <v>7.0000000000000007E-2</v>
          </cell>
          <cell r="L287">
            <v>500000</v>
          </cell>
          <cell r="M287">
            <v>1500</v>
          </cell>
          <cell r="N287">
            <v>6.8000999999999996</v>
          </cell>
          <cell r="O287">
            <v>497590</v>
          </cell>
          <cell r="P287">
            <v>746385000</v>
          </cell>
          <cell r="Q287">
            <v>0</v>
          </cell>
          <cell r="R287">
            <v>9550178.5600000005</v>
          </cell>
          <cell r="S287">
            <v>205071.44</v>
          </cell>
          <cell r="T287">
            <v>746385000</v>
          </cell>
          <cell r="U287">
            <v>0.99</v>
          </cell>
          <cell r="V287">
            <v>0.99</v>
          </cell>
          <cell r="W287">
            <v>491086.5</v>
          </cell>
          <cell r="X287">
            <v>736629750</v>
          </cell>
          <cell r="Z287" t="str">
            <v>Financial Services</v>
          </cell>
          <cell r="AC287" t="str">
            <v>CD - EXEMPT</v>
          </cell>
          <cell r="AD287">
            <v>27</v>
          </cell>
          <cell r="AE287" t="str">
            <v>Y</v>
          </cell>
          <cell r="AG287">
            <v>6.8000999999999996</v>
          </cell>
          <cell r="AH287">
            <v>213247.26</v>
          </cell>
          <cell r="AI287" t="str">
            <v>FI3320</v>
          </cell>
          <cell r="AJ287" t="str">
            <v>A1+</v>
          </cell>
          <cell r="AK287" t="str">
            <v>AAA</v>
          </cell>
          <cell r="AL287" t="str">
            <v>1</v>
          </cell>
          <cell r="AM287" t="str">
            <v>1</v>
          </cell>
        </row>
        <row r="288">
          <cell r="C288" t="str">
            <v>INE476A16ZJ0</v>
          </cell>
          <cell r="D288" t="str">
            <v>FI3320CD482</v>
          </cell>
          <cell r="E288" t="str">
            <v>COD</v>
          </cell>
          <cell r="F288" t="str">
            <v>Canara Bank</v>
          </cell>
          <cell r="G288" t="str">
            <v>Canara Bank COD MD 26-12-2024</v>
          </cell>
          <cell r="H288">
            <v>0</v>
          </cell>
          <cell r="I288" t="str">
            <v>26-12-2024</v>
          </cell>
          <cell r="J288" t="str">
            <v>CRISIL A1+</v>
          </cell>
          <cell r="K288">
            <v>0.11</v>
          </cell>
          <cell r="L288">
            <v>500000</v>
          </cell>
          <cell r="M288">
            <v>1000</v>
          </cell>
          <cell r="N288">
            <v>6.8451000000000004</v>
          </cell>
          <cell r="O288">
            <v>496277.5</v>
          </cell>
          <cell r="P288">
            <v>496277500</v>
          </cell>
          <cell r="Q288">
            <v>0</v>
          </cell>
          <cell r="R288">
            <v>4975021.95</v>
          </cell>
          <cell r="S288">
            <v>179478.05</v>
          </cell>
          <cell r="T288">
            <v>496277500</v>
          </cell>
          <cell r="U288">
            <v>0.66</v>
          </cell>
          <cell r="V288">
            <v>0.66</v>
          </cell>
          <cell r="W288">
            <v>491123</v>
          </cell>
          <cell r="X288">
            <v>491123000</v>
          </cell>
          <cell r="Z288" t="str">
            <v>Financial Services</v>
          </cell>
          <cell r="AC288" t="str">
            <v>CD - EXEMPT</v>
          </cell>
          <cell r="AD288">
            <v>41</v>
          </cell>
          <cell r="AE288" t="str">
            <v>Y</v>
          </cell>
          <cell r="AG288">
            <v>6.8451000000000004</v>
          </cell>
          <cell r="AH288">
            <v>184527.5</v>
          </cell>
          <cell r="AI288" t="str">
            <v>FI3320</v>
          </cell>
          <cell r="AJ288" t="str">
            <v>A1+</v>
          </cell>
          <cell r="AK288" t="str">
            <v>AAA</v>
          </cell>
          <cell r="AL288" t="str">
            <v>1</v>
          </cell>
          <cell r="AM288" t="str">
            <v>1</v>
          </cell>
        </row>
        <row r="289">
          <cell r="C289" t="str">
            <v>INE556F16AM5</v>
          </cell>
          <cell r="D289" t="str">
            <v>FI3405CD238</v>
          </cell>
          <cell r="E289" t="str">
            <v>COD</v>
          </cell>
          <cell r="F289" t="str">
            <v>Small Industries Development Bank of India</v>
          </cell>
          <cell r="G289" t="str">
            <v>Small Industries Development Bank of India COD  MD 11-12-2024</v>
          </cell>
          <cell r="H289">
            <v>0</v>
          </cell>
          <cell r="I289" t="str">
            <v>11-12-2024</v>
          </cell>
          <cell r="J289" t="str">
            <v>CRISIL A1+</v>
          </cell>
          <cell r="K289">
            <v>7.0000000000000007E-2</v>
          </cell>
          <cell r="L289">
            <v>500000</v>
          </cell>
          <cell r="M289">
            <v>2000</v>
          </cell>
          <cell r="N289">
            <v>6.8048999999999999</v>
          </cell>
          <cell r="O289">
            <v>497680.5</v>
          </cell>
          <cell r="P289">
            <v>995361000</v>
          </cell>
          <cell r="Q289">
            <v>0</v>
          </cell>
          <cell r="R289">
            <v>12981692.390000001</v>
          </cell>
          <cell r="S289">
            <v>278307.61</v>
          </cell>
          <cell r="T289">
            <v>995361000</v>
          </cell>
          <cell r="U289">
            <v>1.32</v>
          </cell>
          <cell r="V289">
            <v>1.32</v>
          </cell>
          <cell r="W289">
            <v>491050.5</v>
          </cell>
          <cell r="X289">
            <v>982101000</v>
          </cell>
          <cell r="Z289" t="str">
            <v>Financial Services</v>
          </cell>
          <cell r="AC289" t="str">
            <v>CD - EXEMPT</v>
          </cell>
          <cell r="AD289">
            <v>26</v>
          </cell>
          <cell r="AE289" t="str">
            <v>Y</v>
          </cell>
          <cell r="AG289">
            <v>6.8048999999999999</v>
          </cell>
          <cell r="AH289">
            <v>290999.92</v>
          </cell>
          <cell r="AI289" t="str">
            <v>FI3405</v>
          </cell>
          <cell r="AJ289" t="str">
            <v>A1+</v>
          </cell>
          <cell r="AK289" t="str">
            <v>AAA</v>
          </cell>
          <cell r="AL289" t="str">
            <v>1</v>
          </cell>
          <cell r="AM289" t="str">
            <v>1</v>
          </cell>
        </row>
        <row r="290">
          <cell r="C290" t="str">
            <v>INE556F16AO1</v>
          </cell>
          <cell r="D290" t="str">
            <v>FI3405CD240</v>
          </cell>
          <cell r="E290" t="str">
            <v>COD</v>
          </cell>
          <cell r="F290" t="str">
            <v>Small Industries Development Bank of India</v>
          </cell>
          <cell r="G290" t="str">
            <v>Small Industries Development Bank of India CD 10 01 2025</v>
          </cell>
          <cell r="H290">
            <v>0</v>
          </cell>
          <cell r="I290" t="str">
            <v>10-01-2025</v>
          </cell>
          <cell r="J290" t="str">
            <v>CRISIL A1+</v>
          </cell>
          <cell r="K290">
            <v>0.15</v>
          </cell>
          <cell r="L290">
            <v>500000</v>
          </cell>
          <cell r="M290">
            <v>1000</v>
          </cell>
          <cell r="N290">
            <v>7.1600999999999999</v>
          </cell>
          <cell r="O290">
            <v>494663</v>
          </cell>
          <cell r="P290">
            <v>494663000</v>
          </cell>
          <cell r="Q290">
            <v>0</v>
          </cell>
          <cell r="R290">
            <v>2994203.51</v>
          </cell>
          <cell r="S290">
            <v>-24703.51</v>
          </cell>
          <cell r="T290">
            <v>494663000</v>
          </cell>
          <cell r="U290">
            <v>0.65</v>
          </cell>
          <cell r="V290">
            <v>0.65</v>
          </cell>
          <cell r="W290">
            <v>491693.5</v>
          </cell>
          <cell r="X290">
            <v>491693500</v>
          </cell>
          <cell r="Z290" t="str">
            <v>Financial Services</v>
          </cell>
          <cell r="AC290" t="str">
            <v>CD - EXEMPT</v>
          </cell>
          <cell r="AD290">
            <v>56</v>
          </cell>
          <cell r="AE290" t="str">
            <v>Y</v>
          </cell>
          <cell r="AG290">
            <v>7.1600999999999999</v>
          </cell>
          <cell r="AH290">
            <v>-24116.3</v>
          </cell>
          <cell r="AI290" t="str">
            <v>FI3405</v>
          </cell>
          <cell r="AJ290" t="str">
            <v>A1+</v>
          </cell>
          <cell r="AK290" t="str">
            <v>AAA</v>
          </cell>
          <cell r="AL290" t="str">
            <v>1</v>
          </cell>
          <cell r="AM290" t="str">
            <v>1</v>
          </cell>
        </row>
        <row r="291">
          <cell r="C291" t="str">
            <v>INE562A16NI5</v>
          </cell>
          <cell r="D291" t="str">
            <v>FI3345CD307</v>
          </cell>
          <cell r="E291" t="str">
            <v>COD</v>
          </cell>
          <cell r="F291" t="str">
            <v>Indian Bank</v>
          </cell>
          <cell r="G291" t="str">
            <v>Indian Bank Ltd COD MD 05-12-2024</v>
          </cell>
          <cell r="H291">
            <v>0</v>
          </cell>
          <cell r="I291" t="str">
            <v>05-12-2024</v>
          </cell>
          <cell r="J291" t="str">
            <v>CRISIL A1+</v>
          </cell>
          <cell r="K291">
            <v>0.05</v>
          </cell>
          <cell r="L291">
            <v>500000</v>
          </cell>
          <cell r="M291">
            <v>1000</v>
          </cell>
          <cell r="N291">
            <v>6.8</v>
          </cell>
          <cell r="O291">
            <v>498236.5</v>
          </cell>
          <cell r="P291">
            <v>498236500</v>
          </cell>
          <cell r="Q291">
            <v>0</v>
          </cell>
          <cell r="R291">
            <v>7014065.9000000004</v>
          </cell>
          <cell r="S291">
            <v>87434.1</v>
          </cell>
          <cell r="T291">
            <v>498236500</v>
          </cell>
          <cell r="U291">
            <v>0.66</v>
          </cell>
          <cell r="V291">
            <v>0.66</v>
          </cell>
          <cell r="W291">
            <v>491135</v>
          </cell>
          <cell r="X291">
            <v>491135000</v>
          </cell>
          <cell r="Z291" t="str">
            <v>Financial Services</v>
          </cell>
          <cell r="AC291" t="str">
            <v>CD - EXEMPT</v>
          </cell>
          <cell r="AD291">
            <v>20</v>
          </cell>
          <cell r="AE291" t="str">
            <v>N</v>
          </cell>
          <cell r="AG291">
            <v>6.8</v>
          </cell>
          <cell r="AH291">
            <v>92351.69</v>
          </cell>
          <cell r="AI291" t="str">
            <v>FI3345</v>
          </cell>
          <cell r="AJ291" t="str">
            <v>A1+</v>
          </cell>
          <cell r="AK291" t="str">
            <v>AA+</v>
          </cell>
          <cell r="AL291" t="str">
            <v>3</v>
          </cell>
          <cell r="AM291" t="str">
            <v>2</v>
          </cell>
        </row>
        <row r="292">
          <cell r="C292" t="str">
            <v>INE562A16NL9</v>
          </cell>
          <cell r="D292" t="str">
            <v>FI3345CD308</v>
          </cell>
          <cell r="E292" t="str">
            <v>COD</v>
          </cell>
          <cell r="F292" t="str">
            <v>Indian Bank</v>
          </cell>
          <cell r="G292" t="str">
            <v>Indian Bank Ltd COD MD 05-02-2025</v>
          </cell>
          <cell r="H292">
            <v>0</v>
          </cell>
          <cell r="I292" t="str">
            <v>05-02-2025</v>
          </cell>
          <cell r="J292" t="str">
            <v>CRISIL A1+</v>
          </cell>
          <cell r="K292">
            <v>0.22</v>
          </cell>
          <cell r="L292">
            <v>500000</v>
          </cell>
          <cell r="M292">
            <v>1000</v>
          </cell>
          <cell r="N292">
            <v>7.1451000000000002</v>
          </cell>
          <cell r="O292">
            <v>492195.5</v>
          </cell>
          <cell r="P292">
            <v>492195500</v>
          </cell>
          <cell r="Q292">
            <v>0</v>
          </cell>
          <cell r="R292">
            <v>966263.7</v>
          </cell>
          <cell r="S292">
            <v>22236.3</v>
          </cell>
          <cell r="T292">
            <v>492195500</v>
          </cell>
          <cell r="U292">
            <v>0.65</v>
          </cell>
          <cell r="V292">
            <v>0.65</v>
          </cell>
          <cell r="W292">
            <v>491207</v>
          </cell>
          <cell r="X292">
            <v>491207000</v>
          </cell>
          <cell r="Z292" t="str">
            <v>Financial Services</v>
          </cell>
          <cell r="AC292" t="str">
            <v>CD - EXEMPT</v>
          </cell>
          <cell r="AD292">
            <v>82</v>
          </cell>
          <cell r="AE292" t="str">
            <v>N</v>
          </cell>
          <cell r="AG292">
            <v>7.1451000000000002</v>
          </cell>
          <cell r="AH292">
            <v>24362.67</v>
          </cell>
          <cell r="AI292" t="str">
            <v>FI3345</v>
          </cell>
          <cell r="AJ292" t="str">
            <v>A1+</v>
          </cell>
          <cell r="AK292" t="str">
            <v>AA+</v>
          </cell>
          <cell r="AL292" t="str">
            <v>3</v>
          </cell>
          <cell r="AM292" t="str">
            <v>2</v>
          </cell>
        </row>
        <row r="293">
          <cell r="C293" t="str">
            <v>INE692A16HU7</v>
          </cell>
          <cell r="D293" t="str">
            <v>FI3321CD274</v>
          </cell>
          <cell r="E293" t="str">
            <v>COD</v>
          </cell>
          <cell r="F293" t="str">
            <v>Union Bank of India</v>
          </cell>
          <cell r="G293" t="str">
            <v>Union Bank of India COD MD 10-12-2024</v>
          </cell>
          <cell r="H293">
            <v>0</v>
          </cell>
          <cell r="I293" t="str">
            <v>10-12-2024</v>
          </cell>
          <cell r="J293" t="str">
            <v>ICRA A1+</v>
          </cell>
          <cell r="K293">
            <v>7.0000000000000007E-2</v>
          </cell>
          <cell r="L293">
            <v>500000</v>
          </cell>
          <cell r="M293">
            <v>1000</v>
          </cell>
          <cell r="N293">
            <v>6.8150000000000004</v>
          </cell>
          <cell r="O293">
            <v>497769.5</v>
          </cell>
          <cell r="P293">
            <v>497769500</v>
          </cell>
          <cell r="Q293">
            <v>0</v>
          </cell>
          <cell r="R293">
            <v>1631170.74</v>
          </cell>
          <cell r="S293">
            <v>72329.259999999995</v>
          </cell>
          <cell r="T293">
            <v>497769500</v>
          </cell>
          <cell r="U293">
            <v>0.66</v>
          </cell>
          <cell r="V293">
            <v>0.66</v>
          </cell>
          <cell r="W293">
            <v>496066</v>
          </cell>
          <cell r="X293">
            <v>496066000</v>
          </cell>
          <cell r="Z293" t="str">
            <v>Financial Services</v>
          </cell>
          <cell r="AC293" t="str">
            <v>CD - EXEMPT</v>
          </cell>
          <cell r="AD293">
            <v>25</v>
          </cell>
          <cell r="AE293" t="str">
            <v>N</v>
          </cell>
          <cell r="AG293">
            <v>6.8150000000000004</v>
          </cell>
          <cell r="AH293">
            <v>75780.479999999996</v>
          </cell>
          <cell r="AI293" t="str">
            <v>FI3321</v>
          </cell>
          <cell r="AJ293" t="str">
            <v>A1+</v>
          </cell>
          <cell r="AK293" t="str">
            <v>AAA</v>
          </cell>
          <cell r="AL293" t="str">
            <v>1</v>
          </cell>
          <cell r="AM293" t="str">
            <v>1</v>
          </cell>
        </row>
        <row r="294">
          <cell r="C294" t="str">
            <v>INE692A16HV5</v>
          </cell>
          <cell r="D294" t="str">
            <v>FI3321CD272</v>
          </cell>
          <cell r="E294" t="str">
            <v>COD</v>
          </cell>
          <cell r="F294" t="str">
            <v>Union Bank of India</v>
          </cell>
          <cell r="G294" t="str">
            <v>Union Bank of India COD MD 11-12-2024</v>
          </cell>
          <cell r="H294">
            <v>0</v>
          </cell>
          <cell r="I294" t="str">
            <v>11-12-2024</v>
          </cell>
          <cell r="J294" t="str">
            <v>ICRA A1+</v>
          </cell>
          <cell r="K294">
            <v>7.0000000000000007E-2</v>
          </cell>
          <cell r="L294">
            <v>500000</v>
          </cell>
          <cell r="M294">
            <v>2000</v>
          </cell>
          <cell r="N294">
            <v>6.8150000000000004</v>
          </cell>
          <cell r="O294">
            <v>497677</v>
          </cell>
          <cell r="P294">
            <v>995354000</v>
          </cell>
          <cell r="Q294">
            <v>0</v>
          </cell>
          <cell r="R294">
            <v>12929472.6</v>
          </cell>
          <cell r="S294">
            <v>251527.4</v>
          </cell>
          <cell r="T294">
            <v>995354000</v>
          </cell>
          <cell r="U294">
            <v>1.32</v>
          </cell>
          <cell r="V294">
            <v>1.32</v>
          </cell>
          <cell r="W294">
            <v>491086.5</v>
          </cell>
          <cell r="X294">
            <v>982173000</v>
          </cell>
          <cell r="Z294" t="str">
            <v>Financial Services</v>
          </cell>
          <cell r="AC294" t="str">
            <v>CD - EXEMPT</v>
          </cell>
          <cell r="AD294">
            <v>26</v>
          </cell>
          <cell r="AE294" t="str">
            <v>Y</v>
          </cell>
          <cell r="AG294">
            <v>6.8150000000000004</v>
          </cell>
          <cell r="AH294">
            <v>262428.5</v>
          </cell>
          <cell r="AI294" t="str">
            <v>FI3321</v>
          </cell>
          <cell r="AJ294" t="str">
            <v>A1+</v>
          </cell>
          <cell r="AK294" t="str">
            <v>AAA</v>
          </cell>
          <cell r="AL294" t="str">
            <v>1</v>
          </cell>
          <cell r="AM294" t="str">
            <v>1</v>
          </cell>
        </row>
        <row r="295">
          <cell r="C295" t="str">
            <v>INE040A08682</v>
          </cell>
          <cell r="D295" t="str">
            <v>FI3310NC208</v>
          </cell>
          <cell r="E295" t="str">
            <v>NCD</v>
          </cell>
          <cell r="F295" t="str">
            <v>HDFC Bank Ltd</v>
          </cell>
          <cell r="G295" t="str">
            <v>8.40% HDFC Bank Ltd NCD MD 23.01.2025</v>
          </cell>
          <cell r="H295">
            <v>8.4</v>
          </cell>
          <cell r="I295" t="str">
            <v>23-01-2025</v>
          </cell>
          <cell r="J295" t="str">
            <v>CRISIL AAA</v>
          </cell>
          <cell r="K295">
            <v>0.18579999999999999</v>
          </cell>
          <cell r="L295">
            <v>500000</v>
          </cell>
          <cell r="M295">
            <v>1000</v>
          </cell>
          <cell r="N295">
            <v>7.49</v>
          </cell>
          <cell r="O295">
            <v>500364.5</v>
          </cell>
          <cell r="P295">
            <v>500364500</v>
          </cell>
          <cell r="Q295">
            <v>34196721.310000002</v>
          </cell>
          <cell r="R295">
            <v>0</v>
          </cell>
          <cell r="S295">
            <v>70000</v>
          </cell>
          <cell r="T295">
            <v>534561221.31</v>
          </cell>
          <cell r="U295">
            <v>0.66</v>
          </cell>
          <cell r="V295">
            <v>0.71</v>
          </cell>
          <cell r="W295">
            <v>500294.5</v>
          </cell>
          <cell r="X295">
            <v>500294500</v>
          </cell>
          <cell r="Y295" t="str">
            <v>23-01-2025</v>
          </cell>
          <cell r="Z295" t="str">
            <v>Financial Services</v>
          </cell>
          <cell r="AC295" t="str">
            <v>Financial Services</v>
          </cell>
          <cell r="AD295">
            <v>69</v>
          </cell>
          <cell r="AE295" t="str">
            <v>Y</v>
          </cell>
          <cell r="AF295" t="str">
            <v>23-01-2024</v>
          </cell>
          <cell r="AG295">
            <v>7.49</v>
          </cell>
          <cell r="AH295">
            <v>77000</v>
          </cell>
          <cell r="AI295" t="str">
            <v>FI3310</v>
          </cell>
          <cell r="AJ295" t="str">
            <v>A1+</v>
          </cell>
          <cell r="AK295" t="str">
            <v>AAA</v>
          </cell>
          <cell r="AL295" t="str">
            <v>2</v>
          </cell>
          <cell r="AM295" t="str">
            <v>1</v>
          </cell>
        </row>
        <row r="296">
          <cell r="C296" t="str">
            <v>INE115A07OX8</v>
          </cell>
          <cell r="D296" t="str">
            <v>FILICNC375</v>
          </cell>
          <cell r="E296" t="str">
            <v>NCD</v>
          </cell>
          <cell r="F296" t="str">
            <v>LIC Housing Finance Ltd</v>
          </cell>
          <cell r="G296" t="str">
            <v>5.5315% LIC Housing Finance Ltd NCD MD 20-12-2024</v>
          </cell>
          <cell r="H296">
            <v>5.5315000000000003</v>
          </cell>
          <cell r="I296" t="str">
            <v>20-12-2024</v>
          </cell>
          <cell r="J296" t="str">
            <v>CRISIL AAA</v>
          </cell>
          <cell r="K296">
            <v>9.2899999999999996E-2</v>
          </cell>
          <cell r="L296">
            <v>1000000</v>
          </cell>
          <cell r="M296">
            <v>1000</v>
          </cell>
          <cell r="N296">
            <v>7.2149999999999999</v>
          </cell>
          <cell r="O296">
            <v>998113</v>
          </cell>
          <cell r="P296">
            <v>998113000</v>
          </cell>
          <cell r="Q296">
            <v>50176448.090000004</v>
          </cell>
          <cell r="R296">
            <v>0</v>
          </cell>
          <cell r="S296">
            <v>2425000</v>
          </cell>
          <cell r="T296">
            <v>1048289448.09</v>
          </cell>
          <cell r="U296">
            <v>1.32</v>
          </cell>
          <cell r="V296">
            <v>1.39</v>
          </cell>
          <cell r="W296">
            <v>995688</v>
          </cell>
          <cell r="X296">
            <v>995688000</v>
          </cell>
          <cell r="Y296" t="str">
            <v>20-12-2024</v>
          </cell>
          <cell r="Z296" t="str">
            <v>Financial Services</v>
          </cell>
          <cell r="AC296" t="str">
            <v>HOUSING FINANCE</v>
          </cell>
          <cell r="AD296">
            <v>35</v>
          </cell>
          <cell r="AE296" t="str">
            <v>Y</v>
          </cell>
          <cell r="AF296" t="str">
            <v>20-12-2023</v>
          </cell>
          <cell r="AG296">
            <v>7.2149999999999999</v>
          </cell>
          <cell r="AH296">
            <v>2370000</v>
          </cell>
          <cell r="AI296" t="str">
            <v>FILIC</v>
          </cell>
          <cell r="AJ296" t="str">
            <v>A1+</v>
          </cell>
          <cell r="AK296" t="str">
            <v>AAA</v>
          </cell>
          <cell r="AL296" t="str">
            <v>2</v>
          </cell>
          <cell r="AM296" t="str">
            <v>1</v>
          </cell>
        </row>
        <row r="297">
          <cell r="C297" t="str">
            <v>INE115A07PD7</v>
          </cell>
          <cell r="D297" t="str">
            <v>FI35LICNC372</v>
          </cell>
          <cell r="E297" t="str">
            <v>NCD</v>
          </cell>
          <cell r="F297" t="str">
            <v>LIC Housing Finance Ltd</v>
          </cell>
          <cell r="G297" t="str">
            <v>6.40% LIC Housing Finance Ltd NCD MD 24-01-2025-OPTION 1</v>
          </cell>
          <cell r="H297">
            <v>6.4</v>
          </cell>
          <cell r="I297" t="str">
            <v>24-01-2025</v>
          </cell>
          <cell r="J297" t="str">
            <v>CRISIL AAA</v>
          </cell>
          <cell r="K297">
            <v>0.1885</v>
          </cell>
          <cell r="L297">
            <v>1000000</v>
          </cell>
          <cell r="M297">
            <v>750</v>
          </cell>
          <cell r="N297">
            <v>7.32</v>
          </cell>
          <cell r="O297">
            <v>997582</v>
          </cell>
          <cell r="P297">
            <v>748186500</v>
          </cell>
          <cell r="Q297">
            <v>38950819.670000002</v>
          </cell>
          <cell r="R297">
            <v>0</v>
          </cell>
          <cell r="S297">
            <v>468000</v>
          </cell>
          <cell r="T297">
            <v>787137319.66999996</v>
          </cell>
          <cell r="U297">
            <v>0.99</v>
          </cell>
          <cell r="V297">
            <v>1.04</v>
          </cell>
          <cell r="W297">
            <v>996958</v>
          </cell>
          <cell r="X297">
            <v>747718500</v>
          </cell>
          <cell r="Y297" t="str">
            <v>24-01-2025</v>
          </cell>
          <cell r="Z297" t="str">
            <v>Financial Services</v>
          </cell>
          <cell r="AC297" t="str">
            <v>Housing Finance</v>
          </cell>
          <cell r="AD297">
            <v>70</v>
          </cell>
          <cell r="AE297" t="str">
            <v>Y</v>
          </cell>
          <cell r="AF297" t="str">
            <v>24-01-2024</v>
          </cell>
          <cell r="AG297">
            <v>7.32</v>
          </cell>
          <cell r="AH297">
            <v>444000</v>
          </cell>
          <cell r="AI297" t="str">
            <v>FILIC</v>
          </cell>
          <cell r="AJ297" t="str">
            <v>A1+</v>
          </cell>
          <cell r="AK297" t="str">
            <v>AAA</v>
          </cell>
          <cell r="AL297" t="str">
            <v>2</v>
          </cell>
          <cell r="AM297" t="str">
            <v>1</v>
          </cell>
        </row>
        <row r="298">
          <cell r="C298" t="str">
            <v>INE261F08DI1</v>
          </cell>
          <cell r="D298" t="str">
            <v>FI35NANC295</v>
          </cell>
          <cell r="E298" t="str">
            <v>NCD</v>
          </cell>
          <cell r="F298" t="str">
            <v>National Bank for Agriculture &amp; Rural Development</v>
          </cell>
          <cell r="G298" t="str">
            <v>5.23% NABARD-31/012025- BOND SERIES 22C</v>
          </cell>
          <cell r="H298">
            <v>5.23</v>
          </cell>
          <cell r="I298" t="str">
            <v>31-01-2025</v>
          </cell>
          <cell r="J298" t="str">
            <v>ICRA AAA</v>
          </cell>
          <cell r="K298">
            <v>0.2077</v>
          </cell>
          <cell r="L298">
            <v>1000000</v>
          </cell>
          <cell r="M298">
            <v>500</v>
          </cell>
          <cell r="N298">
            <v>7.22</v>
          </cell>
          <cell r="O298">
            <v>995317</v>
          </cell>
          <cell r="P298">
            <v>497658500</v>
          </cell>
          <cell r="Q298">
            <v>20719945.359999999</v>
          </cell>
          <cell r="R298">
            <v>0</v>
          </cell>
          <cell r="S298">
            <v>392500</v>
          </cell>
          <cell r="T298">
            <v>518378445.36000001</v>
          </cell>
          <cell r="U298">
            <v>0.66</v>
          </cell>
          <cell r="V298">
            <v>0.69</v>
          </cell>
          <cell r="W298">
            <v>994532</v>
          </cell>
          <cell r="X298">
            <v>497266000</v>
          </cell>
          <cell r="Y298" t="str">
            <v>31-01-2025</v>
          </cell>
          <cell r="Z298" t="str">
            <v>Financial Services</v>
          </cell>
          <cell r="AC298" t="str">
            <v>Exempt - PFI</v>
          </cell>
          <cell r="AD298">
            <v>77</v>
          </cell>
          <cell r="AE298" t="str">
            <v>Y</v>
          </cell>
          <cell r="AF298" t="str">
            <v>31-01-2024</v>
          </cell>
          <cell r="AG298">
            <v>7.22</v>
          </cell>
          <cell r="AH298">
            <v>363000</v>
          </cell>
          <cell r="AI298" t="str">
            <v>FI35NA</v>
          </cell>
          <cell r="AJ298" t="str">
            <v>A1+</v>
          </cell>
          <cell r="AK298" t="str">
            <v>AAA</v>
          </cell>
          <cell r="AL298" t="str">
            <v>1</v>
          </cell>
          <cell r="AM298" t="str">
            <v>1</v>
          </cell>
        </row>
        <row r="299">
          <cell r="C299" t="str">
            <v>INE557F08FG1</v>
          </cell>
          <cell r="D299" t="str">
            <v>FI3335NC239</v>
          </cell>
          <cell r="E299" t="str">
            <v>NCD</v>
          </cell>
          <cell r="F299" t="str">
            <v>National Housing Bank</v>
          </cell>
          <cell r="G299" t="str">
            <v>7.05% National Housing Bank-NCD-18/12/2024</v>
          </cell>
          <cell r="H299">
            <v>7.05</v>
          </cell>
          <cell r="I299" t="str">
            <v>18-12-2024</v>
          </cell>
          <cell r="J299" t="str">
            <v>CRISIL AAA</v>
          </cell>
          <cell r="K299">
            <v>8.7400000000000005E-2</v>
          </cell>
          <cell r="L299">
            <v>1000000</v>
          </cell>
          <cell r="M299">
            <v>1000</v>
          </cell>
          <cell r="N299">
            <v>6.93</v>
          </cell>
          <cell r="O299">
            <v>999717</v>
          </cell>
          <cell r="P299">
            <v>999717000</v>
          </cell>
          <cell r="Q299">
            <v>64336065.57</v>
          </cell>
          <cell r="R299">
            <v>0</v>
          </cell>
          <cell r="S299">
            <v>914000</v>
          </cell>
          <cell r="T299">
            <v>1064053065.5700001</v>
          </cell>
          <cell r="U299">
            <v>1.32</v>
          </cell>
          <cell r="V299">
            <v>1.41</v>
          </cell>
          <cell r="W299">
            <v>998803</v>
          </cell>
          <cell r="X299">
            <v>998803000</v>
          </cell>
          <cell r="Y299" t="str">
            <v>18-12-2024</v>
          </cell>
          <cell r="Z299" t="str">
            <v>Financial Services</v>
          </cell>
          <cell r="AC299" t="str">
            <v>Exempt - PFI</v>
          </cell>
          <cell r="AD299">
            <v>33</v>
          </cell>
          <cell r="AE299" t="str">
            <v>Y</v>
          </cell>
          <cell r="AF299" t="str">
            <v>18-12-2023</v>
          </cell>
          <cell r="AG299">
            <v>6.93</v>
          </cell>
          <cell r="AH299">
            <v>906000</v>
          </cell>
          <cell r="AI299" t="str">
            <v>FI3335</v>
          </cell>
          <cell r="AJ299" t="str">
            <v>A1+</v>
          </cell>
          <cell r="AK299" t="str">
            <v>AAA</v>
          </cell>
          <cell r="AL299" t="str">
            <v>1</v>
          </cell>
          <cell r="AM299" t="str">
            <v>1</v>
          </cell>
        </row>
        <row r="300">
          <cell r="C300" t="str">
            <v>INE572E07118</v>
          </cell>
          <cell r="D300" t="str">
            <v>FI3333NC206</v>
          </cell>
          <cell r="E300" t="str">
            <v>NCD</v>
          </cell>
          <cell r="F300" t="str">
            <v>PNB Housing Finance Ltd</v>
          </cell>
          <cell r="G300" t="str">
            <v>8.53% PNB Housing Finance Ltd NCD 29 12 2024 Series LVIII ( Option B)</v>
          </cell>
          <cell r="H300">
            <v>8.5299999999999994</v>
          </cell>
          <cell r="I300" t="str">
            <v>29-12-2024</v>
          </cell>
          <cell r="J300" t="str">
            <v>CRISIL AA+</v>
          </cell>
          <cell r="K300">
            <v>0.1123</v>
          </cell>
          <cell r="L300">
            <v>100000</v>
          </cell>
          <cell r="M300">
            <v>5000</v>
          </cell>
          <cell r="N300">
            <v>7.5350000000000001</v>
          </cell>
          <cell r="O300">
            <v>100111.4</v>
          </cell>
          <cell r="P300">
            <v>500557000</v>
          </cell>
          <cell r="Q300">
            <v>16475753.42</v>
          </cell>
          <cell r="R300">
            <v>0</v>
          </cell>
          <cell r="S300">
            <v>-467000</v>
          </cell>
          <cell r="T300">
            <v>517032753.42000002</v>
          </cell>
          <cell r="U300">
            <v>0.66</v>
          </cell>
          <cell r="V300">
            <v>0.68</v>
          </cell>
          <cell r="W300">
            <v>100204.8</v>
          </cell>
          <cell r="X300">
            <v>501024000</v>
          </cell>
          <cell r="Y300" t="str">
            <v>29-12-2024</v>
          </cell>
          <cell r="Z300" t="str">
            <v>Financial Services</v>
          </cell>
          <cell r="AC300" t="str">
            <v>Housing Finance</v>
          </cell>
          <cell r="AD300">
            <v>44</v>
          </cell>
          <cell r="AE300" t="str">
            <v>Y</v>
          </cell>
          <cell r="AF300" t="str">
            <v>28-06-2024</v>
          </cell>
          <cell r="AG300">
            <v>7.5350000000000001</v>
          </cell>
          <cell r="AH300">
            <v>-455000</v>
          </cell>
          <cell r="AI300" t="str">
            <v>FI3333</v>
          </cell>
          <cell r="AJ300" t="str">
            <v>A1+</v>
          </cell>
          <cell r="AK300" t="str">
            <v>AA+</v>
          </cell>
          <cell r="AL300" t="str">
            <v>3</v>
          </cell>
          <cell r="AM300" t="str">
            <v>2</v>
          </cell>
        </row>
        <row r="301">
          <cell r="C301" t="str">
            <v>IN002023Z372</v>
          </cell>
          <cell r="D301" t="str">
            <v>364TBL281124</v>
          </cell>
          <cell r="E301" t="str">
            <v>TBL</v>
          </cell>
          <cell r="F301" t="str">
            <v>Govt. of India - GSec / TBL</v>
          </cell>
          <cell r="G301" t="str">
            <v>364 Days - T Bill - 28/11/2024</v>
          </cell>
          <cell r="H301">
            <v>0</v>
          </cell>
          <cell r="I301" t="str">
            <v>28-11-2024</v>
          </cell>
          <cell r="J301" t="str">
            <v>Sovereign</v>
          </cell>
          <cell r="K301">
            <v>0.04</v>
          </cell>
          <cell r="L301">
            <v>100</v>
          </cell>
          <cell r="M301">
            <v>10000000</v>
          </cell>
          <cell r="N301">
            <v>6.35</v>
          </cell>
          <cell r="O301">
            <v>99.791700000000006</v>
          </cell>
          <cell r="P301">
            <v>997917000</v>
          </cell>
          <cell r="Q301">
            <v>0</v>
          </cell>
          <cell r="R301">
            <v>3188399.99</v>
          </cell>
          <cell r="S301">
            <v>42600.01</v>
          </cell>
          <cell r="T301">
            <v>997917000</v>
          </cell>
          <cell r="U301">
            <v>1.32</v>
          </cell>
          <cell r="V301">
            <v>1.32</v>
          </cell>
          <cell r="W301">
            <v>99.468599999999995</v>
          </cell>
          <cell r="X301">
            <v>994686000</v>
          </cell>
          <cell r="Z301" t="str">
            <v>Exempt - GSECs</v>
          </cell>
          <cell r="AC301" t="str">
            <v>Exempt - GSECs</v>
          </cell>
          <cell r="AD301">
            <v>13</v>
          </cell>
          <cell r="AE301" t="str">
            <v>Y</v>
          </cell>
          <cell r="AG301">
            <v>6.35</v>
          </cell>
          <cell r="AH301">
            <v>45733.35</v>
          </cell>
          <cell r="AI301" t="str">
            <v>GOVT.</v>
          </cell>
          <cell r="AJ301" t="str">
            <v>GSEC</v>
          </cell>
          <cell r="AK301" t="str">
            <v>GSEC</v>
          </cell>
          <cell r="AL301" t="str">
            <v>1</v>
          </cell>
          <cell r="AM301" t="str">
            <v>1</v>
          </cell>
        </row>
        <row r="302">
          <cell r="C302" t="str">
            <v>IN002023Z414</v>
          </cell>
          <cell r="D302" t="str">
            <v>364TBL261224</v>
          </cell>
          <cell r="E302" t="str">
            <v>TBL</v>
          </cell>
          <cell r="F302" t="str">
            <v>Govt. of India - GSec / TBL</v>
          </cell>
          <cell r="G302" t="str">
            <v>364 Days - T Bill - 26/12/2024</v>
          </cell>
          <cell r="H302">
            <v>0</v>
          </cell>
          <cell r="I302" t="str">
            <v>26-12-2024</v>
          </cell>
          <cell r="J302" t="str">
            <v>Sovereign</v>
          </cell>
          <cell r="K302">
            <v>0.11</v>
          </cell>
          <cell r="L302">
            <v>100</v>
          </cell>
          <cell r="M302">
            <v>10000000</v>
          </cell>
          <cell r="N302">
            <v>6.4</v>
          </cell>
          <cell r="O302">
            <v>99.3035</v>
          </cell>
          <cell r="P302">
            <v>993035000</v>
          </cell>
          <cell r="Q302">
            <v>0</v>
          </cell>
          <cell r="R302">
            <v>2821142.88</v>
          </cell>
          <cell r="S302">
            <v>87857.12</v>
          </cell>
          <cell r="T302">
            <v>993035000</v>
          </cell>
          <cell r="U302">
            <v>1.31</v>
          </cell>
          <cell r="V302">
            <v>1.31</v>
          </cell>
          <cell r="W302">
            <v>99.012600000000006</v>
          </cell>
          <cell r="X302">
            <v>990126000</v>
          </cell>
          <cell r="Z302" t="str">
            <v>Exempt - GSECs</v>
          </cell>
          <cell r="AC302" t="str">
            <v>Exempt - GSECs</v>
          </cell>
          <cell r="AD302">
            <v>41</v>
          </cell>
          <cell r="AE302" t="str">
            <v>Y</v>
          </cell>
          <cell r="AG302">
            <v>6.4</v>
          </cell>
          <cell r="AH302">
            <v>91178.55</v>
          </cell>
          <cell r="AI302" t="str">
            <v>GOVT.</v>
          </cell>
          <cell r="AJ302" t="str">
            <v>GSEC</v>
          </cell>
          <cell r="AK302" t="str">
            <v>GSEC</v>
          </cell>
          <cell r="AL302" t="str">
            <v>1</v>
          </cell>
          <cell r="AM302" t="str">
            <v>1</v>
          </cell>
        </row>
        <row r="303">
          <cell r="C303" t="str">
            <v>IN002023Z422</v>
          </cell>
          <cell r="D303" t="str">
            <v>364TBL020125</v>
          </cell>
          <cell r="E303" t="str">
            <v>TBL</v>
          </cell>
          <cell r="F303" t="str">
            <v>Govt. of India - GSec / TBL</v>
          </cell>
          <cell r="G303" t="str">
            <v>364 Days -T Bill- 02/01/2025</v>
          </cell>
          <cell r="H303">
            <v>0</v>
          </cell>
          <cell r="I303" t="str">
            <v>02-01-2025</v>
          </cell>
          <cell r="J303" t="str">
            <v>Sovereign</v>
          </cell>
          <cell r="K303">
            <v>0.13</v>
          </cell>
          <cell r="L303">
            <v>100</v>
          </cell>
          <cell r="M303">
            <v>10000000</v>
          </cell>
          <cell r="N303">
            <v>6.4347000000000003</v>
          </cell>
          <cell r="O303">
            <v>99.178299999999993</v>
          </cell>
          <cell r="P303">
            <v>991783000</v>
          </cell>
          <cell r="Q303">
            <v>0</v>
          </cell>
          <cell r="R303">
            <v>2822095.2</v>
          </cell>
          <cell r="S303">
            <v>72904.800000000003</v>
          </cell>
          <cell r="T303">
            <v>991783000</v>
          </cell>
          <cell r="U303">
            <v>1.31</v>
          </cell>
          <cell r="V303">
            <v>1.31</v>
          </cell>
          <cell r="W303">
            <v>98.888800000000003</v>
          </cell>
          <cell r="X303">
            <v>988888000</v>
          </cell>
          <cell r="Z303" t="str">
            <v>Exempt - GSECs</v>
          </cell>
          <cell r="AC303" t="str">
            <v>Exempt - GSECs</v>
          </cell>
          <cell r="AD303">
            <v>48</v>
          </cell>
          <cell r="AE303" t="str">
            <v>Y</v>
          </cell>
          <cell r="AG303">
            <v>6.4347000000000003</v>
          </cell>
          <cell r="AH303">
            <v>75285.75</v>
          </cell>
          <cell r="AI303" t="str">
            <v>GOVT.</v>
          </cell>
          <cell r="AJ303" t="str">
            <v>Gsec</v>
          </cell>
          <cell r="AK303" t="str">
            <v>Gsec</v>
          </cell>
          <cell r="AL303" t="str">
            <v>1</v>
          </cell>
          <cell r="AM303" t="str">
            <v>1</v>
          </cell>
        </row>
        <row r="304">
          <cell r="C304" t="str">
            <v>IN002023Z430</v>
          </cell>
          <cell r="D304" t="str">
            <v>364TBL090125</v>
          </cell>
          <cell r="E304" t="str">
            <v>TBL</v>
          </cell>
          <cell r="F304" t="str">
            <v>Govt. of India - GSec / TBL</v>
          </cell>
          <cell r="G304" t="str">
            <v>364 Days -T Bill- 09/01/2025</v>
          </cell>
          <cell r="H304">
            <v>0</v>
          </cell>
          <cell r="I304" t="str">
            <v>09-01-2025</v>
          </cell>
          <cell r="J304" t="str">
            <v>Sovereign</v>
          </cell>
          <cell r="K304">
            <v>0.15</v>
          </cell>
          <cell r="L304">
            <v>100</v>
          </cell>
          <cell r="M304">
            <v>2000000</v>
          </cell>
          <cell r="N304">
            <v>6.4397000000000002</v>
          </cell>
          <cell r="O304">
            <v>99.056299999999993</v>
          </cell>
          <cell r="P304">
            <v>198112600</v>
          </cell>
          <cell r="Q304">
            <v>0</v>
          </cell>
          <cell r="R304">
            <v>563702.88</v>
          </cell>
          <cell r="S304">
            <v>15097.12</v>
          </cell>
          <cell r="T304">
            <v>198112600</v>
          </cell>
          <cell r="U304">
            <v>0.26</v>
          </cell>
          <cell r="V304">
            <v>0.26</v>
          </cell>
          <cell r="W304">
            <v>98.766900000000007</v>
          </cell>
          <cell r="X304">
            <v>197533800</v>
          </cell>
          <cell r="Z304" t="str">
            <v>Exempt - GSECs</v>
          </cell>
          <cell r="AC304" t="str">
            <v>Exempt - GSECs</v>
          </cell>
          <cell r="AD304">
            <v>55</v>
          </cell>
          <cell r="AE304" t="str">
            <v>Y</v>
          </cell>
          <cell r="AG304">
            <v>6.4397000000000002</v>
          </cell>
          <cell r="AH304">
            <v>15728.55</v>
          </cell>
          <cell r="AI304" t="str">
            <v>GOVT.</v>
          </cell>
          <cell r="AJ304" t="str">
            <v>GSEC</v>
          </cell>
          <cell r="AK304" t="str">
            <v>GSEC</v>
          </cell>
          <cell r="AL304" t="str">
            <v>1</v>
          </cell>
          <cell r="AM304" t="str">
            <v>1</v>
          </cell>
        </row>
        <row r="305">
          <cell r="C305" t="str">
            <v>IN002023Z455</v>
          </cell>
          <cell r="D305" t="str">
            <v>364TBL230125</v>
          </cell>
          <cell r="E305" t="str">
            <v>TBL</v>
          </cell>
          <cell r="F305" t="str">
            <v>Govt. of India - GSec / TBL</v>
          </cell>
          <cell r="G305" t="str">
            <v>364 Days - T Bill - 23/01/2025</v>
          </cell>
          <cell r="H305">
            <v>0</v>
          </cell>
          <cell r="I305" t="str">
            <v>23-01-2025</v>
          </cell>
          <cell r="J305" t="str">
            <v>Sovereign</v>
          </cell>
          <cell r="K305">
            <v>0.19</v>
          </cell>
          <cell r="L305">
            <v>100</v>
          </cell>
          <cell r="M305">
            <v>15000000</v>
          </cell>
          <cell r="N305">
            <v>6.4050000000000002</v>
          </cell>
          <cell r="O305">
            <v>98.820800000000006</v>
          </cell>
          <cell r="P305">
            <v>1482312000</v>
          </cell>
          <cell r="Q305">
            <v>0</v>
          </cell>
          <cell r="R305">
            <v>784140.84</v>
          </cell>
          <cell r="S305">
            <v>85859.16</v>
          </cell>
          <cell r="T305">
            <v>1482312000</v>
          </cell>
          <cell r="U305">
            <v>1.96</v>
          </cell>
          <cell r="V305">
            <v>1.96</v>
          </cell>
          <cell r="W305">
            <v>98.762799999999999</v>
          </cell>
          <cell r="X305">
            <v>1481442000</v>
          </cell>
          <cell r="Z305" t="str">
            <v>Exempt - GSECs</v>
          </cell>
          <cell r="AC305" t="str">
            <v>Exempt - GSECs</v>
          </cell>
          <cell r="AD305">
            <v>69</v>
          </cell>
          <cell r="AE305" t="str">
            <v>Y</v>
          </cell>
          <cell r="AG305">
            <v>6.4050000000000002</v>
          </cell>
          <cell r="AH305">
            <v>90739.44</v>
          </cell>
          <cell r="AI305" t="str">
            <v>GOVT.</v>
          </cell>
          <cell r="AJ305" t="str">
            <v>GSEC</v>
          </cell>
          <cell r="AK305" t="str">
            <v>GSEC</v>
          </cell>
          <cell r="AL305" t="str">
            <v>1</v>
          </cell>
          <cell r="AM305" t="str">
            <v>1</v>
          </cell>
        </row>
        <row r="306">
          <cell r="C306" t="str">
            <v>IN002023Z471</v>
          </cell>
          <cell r="D306" t="str">
            <v>364TBL060225</v>
          </cell>
          <cell r="E306" t="str">
            <v>TBL</v>
          </cell>
          <cell r="F306" t="str">
            <v>Govt. of India - GSec / TBL</v>
          </cell>
          <cell r="G306" t="str">
            <v>364 Days- T Bill-06/02/2025</v>
          </cell>
          <cell r="H306">
            <v>0</v>
          </cell>
          <cell r="I306" t="str">
            <v>06-02-2025</v>
          </cell>
          <cell r="J306" t="str">
            <v>Sovereign</v>
          </cell>
          <cell r="K306">
            <v>0.23</v>
          </cell>
          <cell r="L306">
            <v>100</v>
          </cell>
          <cell r="M306">
            <v>10000000</v>
          </cell>
          <cell r="N306">
            <v>6.4349999999999996</v>
          </cell>
          <cell r="O306">
            <v>98.5749</v>
          </cell>
          <cell r="P306">
            <v>985749000</v>
          </cell>
          <cell r="Q306">
            <v>0</v>
          </cell>
          <cell r="R306">
            <v>1388275.55</v>
          </cell>
          <cell r="S306">
            <v>-21175.55</v>
          </cell>
          <cell r="T306">
            <v>985749000</v>
          </cell>
          <cell r="U306">
            <v>1.3</v>
          </cell>
          <cell r="V306">
            <v>1.3</v>
          </cell>
          <cell r="W306">
            <v>98.438190000000006</v>
          </cell>
          <cell r="X306">
            <v>984381900</v>
          </cell>
          <cell r="Z306" t="str">
            <v>Exempt - GSECs</v>
          </cell>
          <cell r="AC306" t="str">
            <v>Exempt - GSECs</v>
          </cell>
          <cell r="AD306">
            <v>83</v>
          </cell>
          <cell r="AE306" t="str">
            <v>Y</v>
          </cell>
          <cell r="AG306">
            <v>6.4349999999999996</v>
          </cell>
          <cell r="AH306">
            <v>-18641.11</v>
          </cell>
          <cell r="AI306" t="str">
            <v>GOVT.</v>
          </cell>
          <cell r="AJ306" t="str">
            <v>GSEC</v>
          </cell>
          <cell r="AK306" t="str">
            <v>GSEC</v>
          </cell>
          <cell r="AL306" t="str">
            <v>1</v>
          </cell>
          <cell r="AM306" t="str">
            <v>1</v>
          </cell>
        </row>
        <row r="307">
          <cell r="C307" t="str">
            <v>IN002024X227</v>
          </cell>
          <cell r="D307" t="str">
            <v>91TBL211124</v>
          </cell>
          <cell r="E307" t="str">
            <v>TBL</v>
          </cell>
          <cell r="F307" t="str">
            <v>Govt. of India - GSec / TBL</v>
          </cell>
          <cell r="G307" t="str">
            <v>91 Days - T Bill - 21/11/2024</v>
          </cell>
          <cell r="H307">
            <v>0</v>
          </cell>
          <cell r="I307" t="str">
            <v>21-11-2024</v>
          </cell>
          <cell r="J307" t="str">
            <v>Sovereign</v>
          </cell>
          <cell r="K307">
            <v>0.02</v>
          </cell>
          <cell r="L307">
            <v>100</v>
          </cell>
          <cell r="M307">
            <v>17500000</v>
          </cell>
          <cell r="N307">
            <v>6.35</v>
          </cell>
          <cell r="O307">
            <v>99.9131</v>
          </cell>
          <cell r="P307">
            <v>1748479250</v>
          </cell>
          <cell r="Q307">
            <v>0</v>
          </cell>
          <cell r="R307">
            <v>11220556.779999999</v>
          </cell>
          <cell r="S307">
            <v>28943.22</v>
          </cell>
          <cell r="T307">
            <v>1748479250</v>
          </cell>
          <cell r="U307">
            <v>2.31</v>
          </cell>
          <cell r="V307">
            <v>2.31</v>
          </cell>
          <cell r="W307">
            <v>99.270271428571434</v>
          </cell>
          <cell r="X307">
            <v>1737229750</v>
          </cell>
          <cell r="Z307" t="str">
            <v>Exempt - GSECs</v>
          </cell>
          <cell r="AC307" t="str">
            <v>Exempt - GSECs</v>
          </cell>
          <cell r="AD307">
            <v>6</v>
          </cell>
          <cell r="AE307" t="str">
            <v>Y</v>
          </cell>
          <cell r="AG307">
            <v>6.35</v>
          </cell>
          <cell r="AH307">
            <v>34381.870000000003</v>
          </cell>
          <cell r="AI307" t="str">
            <v>GOVT.</v>
          </cell>
          <cell r="AJ307" t="str">
            <v>GSEC</v>
          </cell>
          <cell r="AK307" t="str">
            <v>GSEC</v>
          </cell>
          <cell r="AL307" t="str">
            <v>1</v>
          </cell>
          <cell r="AM307" t="str">
            <v>1</v>
          </cell>
        </row>
        <row r="308">
          <cell r="C308" t="str">
            <v>IN002024X235</v>
          </cell>
          <cell r="D308" t="str">
            <v>91TBL281124</v>
          </cell>
          <cell r="E308" t="str">
            <v>TBL</v>
          </cell>
          <cell r="F308" t="str">
            <v>Govt. of India - GSec / TBL</v>
          </cell>
          <cell r="G308" t="str">
            <v>91 Days - T Bill - 28/11/2024</v>
          </cell>
          <cell r="H308">
            <v>0</v>
          </cell>
          <cell r="I308" t="str">
            <v>28-11-2024</v>
          </cell>
          <cell r="J308" t="str">
            <v>Sovereign</v>
          </cell>
          <cell r="K308">
            <v>0.04</v>
          </cell>
          <cell r="L308">
            <v>100</v>
          </cell>
          <cell r="M308">
            <v>10000000</v>
          </cell>
          <cell r="N308">
            <v>6.35</v>
          </cell>
          <cell r="O308">
            <v>99.791700000000006</v>
          </cell>
          <cell r="P308">
            <v>997917000</v>
          </cell>
          <cell r="Q308">
            <v>0</v>
          </cell>
          <cell r="R308">
            <v>7490600</v>
          </cell>
          <cell r="S308">
            <v>7400</v>
          </cell>
          <cell r="T308">
            <v>997917000</v>
          </cell>
          <cell r="U308">
            <v>1.32</v>
          </cell>
          <cell r="V308">
            <v>1.32</v>
          </cell>
          <cell r="W308">
            <v>99.041899999999998</v>
          </cell>
          <cell r="X308">
            <v>990419000</v>
          </cell>
          <cell r="Z308" t="str">
            <v>Exempt - GSECs</v>
          </cell>
          <cell r="AC308" t="str">
            <v>Exempt - GSECs</v>
          </cell>
          <cell r="AD308">
            <v>13</v>
          </cell>
          <cell r="AE308" t="str">
            <v>Y</v>
          </cell>
          <cell r="AG308">
            <v>6.35</v>
          </cell>
          <cell r="AH308">
            <v>7600</v>
          </cell>
          <cell r="AI308" t="str">
            <v>GOVT.</v>
          </cell>
          <cell r="AJ308" t="str">
            <v>GSEC</v>
          </cell>
          <cell r="AK308" t="str">
            <v>GSEC</v>
          </cell>
          <cell r="AL308" t="str">
            <v>1</v>
          </cell>
          <cell r="AM308" t="str">
            <v>1</v>
          </cell>
        </row>
        <row r="309">
          <cell r="C309" t="str">
            <v>IN002024X276</v>
          </cell>
          <cell r="D309" t="str">
            <v>91TBL090125</v>
          </cell>
          <cell r="E309" t="str">
            <v>TBL</v>
          </cell>
          <cell r="F309" t="str">
            <v>Govt. of India - GSec / TBL</v>
          </cell>
          <cell r="G309" t="str">
            <v>91 Days - T Bill - 09/01/2025</v>
          </cell>
          <cell r="H309">
            <v>0</v>
          </cell>
          <cell r="I309" t="str">
            <v>09-01-2025</v>
          </cell>
          <cell r="J309" t="str">
            <v>Sovereign</v>
          </cell>
          <cell r="K309">
            <v>0.15</v>
          </cell>
          <cell r="L309">
            <v>100</v>
          </cell>
          <cell r="M309">
            <v>10000000</v>
          </cell>
          <cell r="N309">
            <v>6.4397000000000002</v>
          </cell>
          <cell r="O309">
            <v>99.056299999999993</v>
          </cell>
          <cell r="P309">
            <v>990563000</v>
          </cell>
          <cell r="Q309">
            <v>0</v>
          </cell>
          <cell r="R309">
            <v>6402626.46</v>
          </cell>
          <cell r="S309">
            <v>-92626.46</v>
          </cell>
          <cell r="T309">
            <v>990563000</v>
          </cell>
          <cell r="U309">
            <v>1.31</v>
          </cell>
          <cell r="V309">
            <v>1.31</v>
          </cell>
          <cell r="W309">
            <v>98.425299999999993</v>
          </cell>
          <cell r="X309">
            <v>984253000</v>
          </cell>
          <cell r="Z309" t="str">
            <v>Exempt - GSECs</v>
          </cell>
          <cell r="AC309" t="str">
            <v>Exempt - GSECs</v>
          </cell>
          <cell r="AD309">
            <v>55</v>
          </cell>
          <cell r="AE309" t="str">
            <v>Y</v>
          </cell>
          <cell r="AG309">
            <v>6.4397000000000002</v>
          </cell>
          <cell r="AH309">
            <v>-92582.5</v>
          </cell>
          <cell r="AI309" t="str">
            <v>GOVT.</v>
          </cell>
          <cell r="AJ309" t="str">
            <v>GSEC</v>
          </cell>
          <cell r="AK309" t="str">
            <v>GSEC</v>
          </cell>
          <cell r="AL309" t="str">
            <v>1</v>
          </cell>
          <cell r="AM309" t="str">
            <v>1</v>
          </cell>
        </row>
        <row r="310">
          <cell r="C310" t="str">
            <v>IN002024X300</v>
          </cell>
          <cell r="D310" t="str">
            <v>91TBL300125</v>
          </cell>
          <cell r="E310" t="str">
            <v>TBL</v>
          </cell>
          <cell r="F310" t="str">
            <v>Govt. of India - GSec / TBL</v>
          </cell>
          <cell r="G310" t="str">
            <v>91 Days - T Bill - 30/01/2025</v>
          </cell>
          <cell r="H310">
            <v>0</v>
          </cell>
          <cell r="I310" t="str">
            <v>30-01-2025</v>
          </cell>
          <cell r="J310" t="str">
            <v>Sovereign</v>
          </cell>
          <cell r="K310">
            <v>0.21</v>
          </cell>
          <cell r="L310">
            <v>100</v>
          </cell>
          <cell r="M310">
            <v>10000000</v>
          </cell>
          <cell r="N310">
            <v>6.4223999999999997</v>
          </cell>
          <cell r="O310">
            <v>98.697599999999994</v>
          </cell>
          <cell r="P310">
            <v>986976000</v>
          </cell>
          <cell r="Q310">
            <v>0</v>
          </cell>
          <cell r="R310">
            <v>2807736.3199999998</v>
          </cell>
          <cell r="S310">
            <v>137263.67999999999</v>
          </cell>
          <cell r="T310">
            <v>986976000</v>
          </cell>
          <cell r="U310">
            <v>1.3</v>
          </cell>
          <cell r="V310">
            <v>1.3</v>
          </cell>
          <cell r="W310">
            <v>98.403099999999995</v>
          </cell>
          <cell r="X310">
            <v>984031000</v>
          </cell>
          <cell r="Z310" t="str">
            <v>Exempt - GSECs</v>
          </cell>
          <cell r="AC310" t="str">
            <v>Exempt - GSECs</v>
          </cell>
          <cell r="AD310">
            <v>76</v>
          </cell>
          <cell r="AE310" t="str">
            <v>Y</v>
          </cell>
          <cell r="AG310">
            <v>6.4223999999999997</v>
          </cell>
          <cell r="AH310">
            <v>140747.20000000001</v>
          </cell>
          <cell r="AI310" t="str">
            <v>GOVT.</v>
          </cell>
          <cell r="AJ310" t="str">
            <v>GSEC</v>
          </cell>
          <cell r="AK310" t="str">
            <v>GSEC</v>
          </cell>
          <cell r="AL310" t="str">
            <v>1</v>
          </cell>
          <cell r="AM310" t="str">
            <v>1</v>
          </cell>
        </row>
        <row r="311">
          <cell r="C311" t="str">
            <v>IN002024Y100</v>
          </cell>
          <cell r="D311" t="str">
            <v>182TBL051224</v>
          </cell>
          <cell r="E311" t="str">
            <v>TBL</v>
          </cell>
          <cell r="F311" t="str">
            <v>Govt. of India - GSec / TBL</v>
          </cell>
          <cell r="G311" t="str">
            <v>182 Days - T Bill - 05/12/2024</v>
          </cell>
          <cell r="H311">
            <v>0</v>
          </cell>
          <cell r="I311" t="str">
            <v>05-12-2024</v>
          </cell>
          <cell r="J311" t="str">
            <v>Sovereign</v>
          </cell>
          <cell r="K311">
            <v>0.05</v>
          </cell>
          <cell r="L311">
            <v>100</v>
          </cell>
          <cell r="M311">
            <v>5000000</v>
          </cell>
          <cell r="N311">
            <v>6.32</v>
          </cell>
          <cell r="O311">
            <v>99.6721</v>
          </cell>
          <cell r="P311">
            <v>498360500</v>
          </cell>
          <cell r="Q311">
            <v>0</v>
          </cell>
          <cell r="R311">
            <v>1501666.65</v>
          </cell>
          <cell r="S311">
            <v>38833.35</v>
          </cell>
          <cell r="T311">
            <v>498360500</v>
          </cell>
          <cell r="U311">
            <v>0.66</v>
          </cell>
          <cell r="V311">
            <v>0.66</v>
          </cell>
          <cell r="W311">
            <v>99.364000000000004</v>
          </cell>
          <cell r="X311">
            <v>496820000</v>
          </cell>
          <cell r="Z311" t="str">
            <v>Exempt - GSECs</v>
          </cell>
          <cell r="AC311" t="str">
            <v>Exempt - GSECs</v>
          </cell>
          <cell r="AD311">
            <v>20</v>
          </cell>
          <cell r="AE311" t="str">
            <v>Y</v>
          </cell>
          <cell r="AG311">
            <v>6.32</v>
          </cell>
          <cell r="AH311">
            <v>41166.69</v>
          </cell>
          <cell r="AI311" t="str">
            <v>GOVT.</v>
          </cell>
          <cell r="AJ311" t="str">
            <v>GSEC</v>
          </cell>
          <cell r="AK311" t="str">
            <v>GSEC</v>
          </cell>
          <cell r="AL311" t="str">
            <v>1</v>
          </cell>
          <cell r="AM311" t="str">
            <v>1</v>
          </cell>
        </row>
        <row r="312">
          <cell r="C312" t="str">
            <v>IN002024Y118</v>
          </cell>
          <cell r="D312" t="str">
            <v>182TBL121224</v>
          </cell>
          <cell r="E312" t="str">
            <v>TBL</v>
          </cell>
          <cell r="F312" t="str">
            <v>Govt. of India - GSec / TBL</v>
          </cell>
          <cell r="G312" t="str">
            <v>182 Days - T Bill - 12/12/2024</v>
          </cell>
          <cell r="H312">
            <v>0</v>
          </cell>
          <cell r="I312" t="str">
            <v>12-12-2024</v>
          </cell>
          <cell r="J312" t="str">
            <v>Sovereign</v>
          </cell>
          <cell r="K312">
            <v>7.0000000000000007E-2</v>
          </cell>
          <cell r="L312">
            <v>100</v>
          </cell>
          <cell r="M312">
            <v>12000000</v>
          </cell>
          <cell r="N312">
            <v>6.3346</v>
          </cell>
          <cell r="O312">
            <v>99.550799999999995</v>
          </cell>
          <cell r="P312">
            <v>1194609600</v>
          </cell>
          <cell r="Q312">
            <v>0</v>
          </cell>
          <cell r="R312">
            <v>2317491.88</v>
          </cell>
          <cell r="S312">
            <v>87308.12</v>
          </cell>
          <cell r="T312">
            <v>1194609600</v>
          </cell>
          <cell r="U312">
            <v>1.58</v>
          </cell>
          <cell r="V312">
            <v>1.58</v>
          </cell>
          <cell r="W312">
            <v>99.350399999999993</v>
          </cell>
          <cell r="X312">
            <v>1192204800</v>
          </cell>
          <cell r="Z312" t="str">
            <v>Exempt - GSECs</v>
          </cell>
          <cell r="AC312" t="str">
            <v>Exempt - GSECs</v>
          </cell>
          <cell r="AD312">
            <v>27</v>
          </cell>
          <cell r="AE312" t="str">
            <v>Y</v>
          </cell>
          <cell r="AG312">
            <v>6.3346</v>
          </cell>
          <cell r="AH312">
            <v>91589.2</v>
          </cell>
          <cell r="AI312" t="str">
            <v>GOVT.</v>
          </cell>
          <cell r="AJ312" t="str">
            <v>GSEC</v>
          </cell>
          <cell r="AK312" t="str">
            <v>GSEC</v>
          </cell>
          <cell r="AL312" t="str">
            <v>1</v>
          </cell>
          <cell r="AM312" t="str">
            <v>1</v>
          </cell>
        </row>
        <row r="313">
          <cell r="AF313" t="str">
            <v/>
          </cell>
          <cell r="AG313" t="str">
            <v/>
          </cell>
          <cell r="AH313" t="str">
            <v/>
          </cell>
          <cell r="AI313" t="str">
            <v/>
          </cell>
          <cell r="AJ313" t="str">
            <v/>
          </cell>
          <cell r="AK313" t="str">
            <v/>
          </cell>
          <cell r="AL313" t="str">
            <v/>
          </cell>
          <cell r="AM313" t="str">
            <v/>
          </cell>
        </row>
        <row r="314">
          <cell r="C314" t="str">
            <v>INF0RQ622028</v>
          </cell>
          <cell r="D314" t="str">
            <v>CDMDF23</v>
          </cell>
          <cell r="E314" t="str">
            <v>CDMDF</v>
          </cell>
          <cell r="F314" t="str">
            <v>Corporate Debt Market Development Fund</v>
          </cell>
          <cell r="G314" t="str">
            <v>Corporate Debt Market Development Fund - Class A2</v>
          </cell>
          <cell r="H314">
            <v>0</v>
          </cell>
          <cell r="K314">
            <v>0</v>
          </cell>
          <cell r="L314">
            <v>10000</v>
          </cell>
          <cell r="M314">
            <v>511.47399999999999</v>
          </cell>
          <cell r="N314">
            <v>9.9999999999999995E-7</v>
          </cell>
          <cell r="O314">
            <v>10450.479300000001</v>
          </cell>
          <cell r="P314">
            <v>5345148.45</v>
          </cell>
          <cell r="Q314">
            <v>0</v>
          </cell>
          <cell r="R314">
            <v>0</v>
          </cell>
          <cell r="S314">
            <v>230404.19</v>
          </cell>
          <cell r="T314">
            <v>5345148.45</v>
          </cell>
          <cell r="U314">
            <v>0.23</v>
          </cell>
          <cell r="V314">
            <v>0.23</v>
          </cell>
          <cell r="W314">
            <v>10000.008328869111</v>
          </cell>
          <cell r="X314">
            <v>5114744.26</v>
          </cell>
          <cell r="Z314" t="str">
            <v>Financial Services</v>
          </cell>
          <cell r="AE314" t="str">
            <v>N</v>
          </cell>
          <cell r="AG314">
            <v>9.9999999999999995E-7</v>
          </cell>
          <cell r="AH314">
            <v>229872.31</v>
          </cell>
          <cell r="AI314" t="str">
            <v>CDMDF</v>
          </cell>
        </row>
        <row r="315">
          <cell r="C315" t="str">
            <v>INE040A16FM0</v>
          </cell>
          <cell r="D315" t="str">
            <v>FI3310CD291</v>
          </cell>
          <cell r="E315" t="str">
            <v>COD</v>
          </cell>
          <cell r="F315" t="str">
            <v>HDFC Bank Ltd</v>
          </cell>
          <cell r="G315" t="str">
            <v>HDFC Bank Ltd COD MD 19-09-2025</v>
          </cell>
          <cell r="H315">
            <v>0</v>
          </cell>
          <cell r="I315" t="str">
            <v>19-09-2025</v>
          </cell>
          <cell r="J315" t="str">
            <v>CRISIL A1+</v>
          </cell>
          <cell r="K315">
            <v>0.84</v>
          </cell>
          <cell r="L315">
            <v>500000</v>
          </cell>
          <cell r="M315">
            <v>100</v>
          </cell>
          <cell r="N315">
            <v>7.51</v>
          </cell>
          <cell r="O315">
            <v>470293.5</v>
          </cell>
          <cell r="P315">
            <v>47029350</v>
          </cell>
          <cell r="Q315">
            <v>0</v>
          </cell>
          <cell r="R315">
            <v>361842.46</v>
          </cell>
          <cell r="S315">
            <v>-47342.46</v>
          </cell>
          <cell r="T315">
            <v>47029350</v>
          </cell>
          <cell r="U315">
            <v>1.99</v>
          </cell>
          <cell r="V315">
            <v>1.99</v>
          </cell>
          <cell r="W315">
            <v>467148.5</v>
          </cell>
          <cell r="X315">
            <v>46714850</v>
          </cell>
          <cell r="Z315" t="str">
            <v>Financial Services</v>
          </cell>
          <cell r="AC315" t="str">
            <v>CD - EXEMPT</v>
          </cell>
          <cell r="AD315">
            <v>308</v>
          </cell>
          <cell r="AE315" t="str">
            <v>Y</v>
          </cell>
          <cell r="AG315">
            <v>7.51</v>
          </cell>
          <cell r="AH315">
            <v>-46920.29</v>
          </cell>
          <cell r="AI315" t="str">
            <v>FI3310</v>
          </cell>
          <cell r="AJ315" t="str">
            <v>A1+</v>
          </cell>
          <cell r="AK315" t="str">
            <v>AAA</v>
          </cell>
          <cell r="AL315" t="str">
            <v>2</v>
          </cell>
          <cell r="AM315" t="str">
            <v>1</v>
          </cell>
        </row>
        <row r="316">
          <cell r="C316" t="str">
            <v>INE090AD6113</v>
          </cell>
          <cell r="D316" t="str">
            <v>FI3305CD366</v>
          </cell>
          <cell r="E316" t="str">
            <v>COD</v>
          </cell>
          <cell r="F316" t="str">
            <v>ICICI Bank Ltd</v>
          </cell>
          <cell r="G316" t="str">
            <v>ICICI Bank Ltd COD MD 31-01-2025</v>
          </cell>
          <cell r="H316">
            <v>0</v>
          </cell>
          <cell r="I316" t="str">
            <v>31-01-2025</v>
          </cell>
          <cell r="J316" t="str">
            <v>ICRA A1+</v>
          </cell>
          <cell r="K316">
            <v>0.21</v>
          </cell>
          <cell r="L316">
            <v>500000</v>
          </cell>
          <cell r="M316">
            <v>100</v>
          </cell>
          <cell r="N316">
            <v>7.1151</v>
          </cell>
          <cell r="O316">
            <v>492700.5</v>
          </cell>
          <cell r="P316">
            <v>49270050</v>
          </cell>
          <cell r="Q316">
            <v>0</v>
          </cell>
          <cell r="R316">
            <v>2786307.98</v>
          </cell>
          <cell r="S316">
            <v>23642.02</v>
          </cell>
          <cell r="T316">
            <v>49270050</v>
          </cell>
          <cell r="U316">
            <v>2.08</v>
          </cell>
          <cell r="V316">
            <v>2.08</v>
          </cell>
          <cell r="W316">
            <v>464601</v>
          </cell>
          <cell r="X316">
            <v>46460100</v>
          </cell>
          <cell r="Z316" t="str">
            <v>Financial Services</v>
          </cell>
          <cell r="AC316" t="str">
            <v>CD - EXEMPT</v>
          </cell>
          <cell r="AD316">
            <v>77</v>
          </cell>
          <cell r="AE316" t="str">
            <v>Y</v>
          </cell>
          <cell r="AG316">
            <v>7.1151</v>
          </cell>
          <cell r="AH316">
            <v>24107.71</v>
          </cell>
          <cell r="AI316" t="str">
            <v>FI3305</v>
          </cell>
          <cell r="AJ316" t="str">
            <v>A1+</v>
          </cell>
          <cell r="AK316" t="str">
            <v>AAA</v>
          </cell>
          <cell r="AL316" t="str">
            <v>2</v>
          </cell>
          <cell r="AM316" t="str">
            <v>1</v>
          </cell>
        </row>
        <row r="317">
          <cell r="C317" t="str">
            <v>INE092T16XM4</v>
          </cell>
          <cell r="D317" t="str">
            <v>FI3437CD271</v>
          </cell>
          <cell r="E317" t="str">
            <v>COD</v>
          </cell>
          <cell r="F317" t="str">
            <v>IDFC First Bank Ltd</v>
          </cell>
          <cell r="G317" t="str">
            <v>IDFC First Bank Ltd COD MD 28-05-2025</v>
          </cell>
          <cell r="H317">
            <v>0</v>
          </cell>
          <cell r="I317" t="str">
            <v>28-05-2025</v>
          </cell>
          <cell r="J317" t="str">
            <v>CRISIL A1+</v>
          </cell>
          <cell r="K317">
            <v>0.53</v>
          </cell>
          <cell r="L317">
            <v>500000</v>
          </cell>
          <cell r="M317">
            <v>100</v>
          </cell>
          <cell r="N317">
            <v>7.5049999999999999</v>
          </cell>
          <cell r="O317">
            <v>480915.5</v>
          </cell>
          <cell r="P317">
            <v>48091550</v>
          </cell>
          <cell r="Q317">
            <v>0</v>
          </cell>
          <cell r="R317">
            <v>188252.38</v>
          </cell>
          <cell r="S317">
            <v>3797.62</v>
          </cell>
          <cell r="T317">
            <v>48091550</v>
          </cell>
          <cell r="U317">
            <v>2.0299999999999998</v>
          </cell>
          <cell r="V317">
            <v>2.0299999999999998</v>
          </cell>
          <cell r="W317">
            <v>478995</v>
          </cell>
          <cell r="X317">
            <v>47899500</v>
          </cell>
          <cell r="Z317" t="str">
            <v>Financial Services</v>
          </cell>
          <cell r="AC317" t="str">
            <v>CD - EXEMPT</v>
          </cell>
          <cell r="AD317">
            <v>194</v>
          </cell>
          <cell r="AE317" t="str">
            <v>N</v>
          </cell>
          <cell r="AG317">
            <v>7.5049999999999999</v>
          </cell>
          <cell r="AH317">
            <v>4205.6400000000003</v>
          </cell>
          <cell r="AI317" t="str">
            <v>FI3437</v>
          </cell>
          <cell r="AJ317" t="str">
            <v>A1+</v>
          </cell>
          <cell r="AK317" t="str">
            <v>AA+</v>
          </cell>
          <cell r="AL317" t="str">
            <v>3</v>
          </cell>
          <cell r="AM317" t="str">
            <v>2</v>
          </cell>
        </row>
        <row r="318">
          <cell r="C318" t="str">
            <v>INE160A16OP1</v>
          </cell>
          <cell r="D318" t="str">
            <v>FI3316CD366</v>
          </cell>
          <cell r="E318" t="str">
            <v>COD</v>
          </cell>
          <cell r="F318" t="str">
            <v>Punjab National Bank</v>
          </cell>
          <cell r="G318" t="str">
            <v>Punjab National Bank CD MD 11-03-2025</v>
          </cell>
          <cell r="H318">
            <v>0</v>
          </cell>
          <cell r="I318" t="str">
            <v>11-03-2025</v>
          </cell>
          <cell r="J318" t="str">
            <v>CRISIL A1+</v>
          </cell>
          <cell r="K318">
            <v>0.32</v>
          </cell>
          <cell r="L318">
            <v>500000</v>
          </cell>
          <cell r="M318">
            <v>100</v>
          </cell>
          <cell r="N318">
            <v>7.1898999999999997</v>
          </cell>
          <cell r="O318">
            <v>488924.5</v>
          </cell>
          <cell r="P318">
            <v>48892450</v>
          </cell>
          <cell r="Q318">
            <v>0</v>
          </cell>
          <cell r="R318">
            <v>493651.5</v>
          </cell>
          <cell r="S318">
            <v>27848.5</v>
          </cell>
          <cell r="T318">
            <v>48892450</v>
          </cell>
          <cell r="U318">
            <v>2.06</v>
          </cell>
          <cell r="V318">
            <v>2.06</v>
          </cell>
          <cell r="W318">
            <v>483709.5</v>
          </cell>
          <cell r="X318">
            <v>48370950</v>
          </cell>
          <cell r="Z318" t="str">
            <v>Financial Services</v>
          </cell>
          <cell r="AC318" t="str">
            <v>CD - EXEMPT</v>
          </cell>
          <cell r="AD318">
            <v>116</v>
          </cell>
          <cell r="AE318" t="str">
            <v>N</v>
          </cell>
          <cell r="AG318">
            <v>7.1898999999999997</v>
          </cell>
          <cell r="AH318">
            <v>28271.53</v>
          </cell>
          <cell r="AI318" t="str">
            <v>FI3316</v>
          </cell>
          <cell r="AJ318" t="str">
            <v>A1+</v>
          </cell>
          <cell r="AK318" t="str">
            <v>AAA</v>
          </cell>
          <cell r="AL318" t="str">
            <v>1</v>
          </cell>
          <cell r="AM318" t="str">
            <v>1</v>
          </cell>
        </row>
        <row r="319">
          <cell r="C319" t="str">
            <v>INE692A16GZ8</v>
          </cell>
          <cell r="D319" t="str">
            <v>FI3321CD266</v>
          </cell>
          <cell r="E319" t="str">
            <v>COD</v>
          </cell>
          <cell r="F319" t="str">
            <v>Union Bank of India</v>
          </cell>
          <cell r="G319" t="str">
            <v>UNION BANK OF INDIA COD MD 27-02-2025</v>
          </cell>
          <cell r="H319">
            <v>0</v>
          </cell>
          <cell r="I319" t="str">
            <v>27-02-2025</v>
          </cell>
          <cell r="J319" t="str">
            <v>ICRA A1+</v>
          </cell>
          <cell r="K319">
            <v>0.28000000000000003</v>
          </cell>
          <cell r="L319">
            <v>500000</v>
          </cell>
          <cell r="M319">
            <v>100</v>
          </cell>
          <cell r="N319">
            <v>7.1950000000000003</v>
          </cell>
          <cell r="O319">
            <v>490050.5</v>
          </cell>
          <cell r="P319">
            <v>49005050</v>
          </cell>
          <cell r="Q319">
            <v>0</v>
          </cell>
          <cell r="R319">
            <v>2606287.0499999998</v>
          </cell>
          <cell r="S319">
            <v>25762.95</v>
          </cell>
          <cell r="T319">
            <v>49005050</v>
          </cell>
          <cell r="U319">
            <v>2.0699999999999998</v>
          </cell>
          <cell r="V319">
            <v>2.0699999999999998</v>
          </cell>
          <cell r="W319">
            <v>463730</v>
          </cell>
          <cell r="X319">
            <v>46373000</v>
          </cell>
          <cell r="Z319" t="str">
            <v>Financial Services</v>
          </cell>
          <cell r="AC319" t="str">
            <v>CD - EXEMPT</v>
          </cell>
          <cell r="AD319">
            <v>104</v>
          </cell>
          <cell r="AE319" t="str">
            <v>Y</v>
          </cell>
          <cell r="AG319">
            <v>7.1950000000000003</v>
          </cell>
          <cell r="AH319">
            <v>26172.79</v>
          </cell>
          <cell r="AI319" t="str">
            <v>FI3321</v>
          </cell>
          <cell r="AJ319" t="str">
            <v>A1+</v>
          </cell>
          <cell r="AK319" t="str">
            <v>AAA</v>
          </cell>
          <cell r="AL319" t="str">
            <v>1</v>
          </cell>
          <cell r="AM319" t="str">
            <v>1</v>
          </cell>
        </row>
        <row r="320">
          <cell r="C320" t="str">
            <v>IN0020210160</v>
          </cell>
          <cell r="D320" t="str">
            <v>4.04GOI041028</v>
          </cell>
          <cell r="E320" t="str">
            <v>GSE</v>
          </cell>
          <cell r="F320" t="str">
            <v>Govt. of India - GSec / TBL</v>
          </cell>
          <cell r="G320" t="str">
            <v>7.30% Central Government Securities_Floating Rate Bond 04/10/2028 (Previous 7.72)</v>
          </cell>
          <cell r="H320">
            <v>7.3</v>
          </cell>
          <cell r="I320" t="str">
            <v>04-10-2028</v>
          </cell>
          <cell r="J320" t="str">
            <v>Sovereign</v>
          </cell>
          <cell r="K320">
            <v>0</v>
          </cell>
          <cell r="L320">
            <v>100</v>
          </cell>
          <cell r="M320">
            <v>500000</v>
          </cell>
          <cell r="N320">
            <v>0</v>
          </cell>
          <cell r="O320">
            <v>100.7488</v>
          </cell>
          <cell r="P320">
            <v>50374400</v>
          </cell>
          <cell r="Q320">
            <v>425833.33</v>
          </cell>
          <cell r="R320">
            <v>0</v>
          </cell>
          <cell r="S320">
            <v>1869400</v>
          </cell>
          <cell r="T320">
            <v>50800233.329999998</v>
          </cell>
          <cell r="U320">
            <v>2.13</v>
          </cell>
          <cell r="V320">
            <v>2.14</v>
          </cell>
          <cell r="W320">
            <v>97.01</v>
          </cell>
          <cell r="X320">
            <v>48505000</v>
          </cell>
          <cell r="Y320" t="str">
            <v>04-04-2025</v>
          </cell>
          <cell r="Z320" t="str">
            <v>Exempt - GSECs</v>
          </cell>
          <cell r="AC320" t="str">
            <v>Exempt - Gsecs</v>
          </cell>
          <cell r="AD320">
            <v>1419</v>
          </cell>
          <cell r="AE320" t="str">
            <v>Y</v>
          </cell>
          <cell r="AF320" t="str">
            <v>04-10-2024</v>
          </cell>
          <cell r="AG320">
            <v>0</v>
          </cell>
          <cell r="AH320">
            <v>1869700</v>
          </cell>
          <cell r="AI320" t="str">
            <v>GOVT.</v>
          </cell>
          <cell r="AJ320" t="str">
            <v>Gsec</v>
          </cell>
          <cell r="AK320" t="str">
            <v>Gsec</v>
          </cell>
          <cell r="AL320" t="str">
            <v>1</v>
          </cell>
          <cell r="AM320" t="str">
            <v>1</v>
          </cell>
        </row>
        <row r="321">
          <cell r="C321" t="str">
            <v>IN0020220037</v>
          </cell>
          <cell r="D321" t="str">
            <v>7.38GSEC200627</v>
          </cell>
          <cell r="E321" t="str">
            <v>GSE</v>
          </cell>
          <cell r="F321" t="str">
            <v>Govt. of India - GSec / TBL</v>
          </cell>
          <cell r="G321" t="str">
            <v>7.38% Central Government Securities 20/06/2027</v>
          </cell>
          <cell r="H321">
            <v>7.38</v>
          </cell>
          <cell r="I321" t="str">
            <v>20-06-2027</v>
          </cell>
          <cell r="J321" t="str">
            <v>Sovereign</v>
          </cell>
          <cell r="K321">
            <v>2.3424</v>
          </cell>
          <cell r="L321">
            <v>100</v>
          </cell>
          <cell r="M321">
            <v>1000000</v>
          </cell>
          <cell r="N321">
            <v>6.8573000000000004</v>
          </cell>
          <cell r="O321">
            <v>101.4824</v>
          </cell>
          <cell r="P321">
            <v>101482400</v>
          </cell>
          <cell r="Q321">
            <v>2993000</v>
          </cell>
          <cell r="R321">
            <v>0</v>
          </cell>
          <cell r="S321">
            <v>678083.33</v>
          </cell>
          <cell r="T321">
            <v>104475400</v>
          </cell>
          <cell r="U321">
            <v>4.28</v>
          </cell>
          <cell r="V321">
            <v>4.41</v>
          </cell>
          <cell r="W321">
            <v>100.80431667000001</v>
          </cell>
          <cell r="X321">
            <v>100804316.67</v>
          </cell>
          <cell r="Y321" t="str">
            <v>20-12-2024</v>
          </cell>
          <cell r="Z321" t="str">
            <v>Exempt - GSECs</v>
          </cell>
          <cell r="AC321" t="str">
            <v>Exempt - GSECs</v>
          </cell>
          <cell r="AD321">
            <v>947</v>
          </cell>
          <cell r="AE321" t="str">
            <v>Y</v>
          </cell>
          <cell r="AF321" t="str">
            <v>20-06-2024</v>
          </cell>
          <cell r="AG321">
            <v>6.8573000000000004</v>
          </cell>
          <cell r="AH321">
            <v>679383.33</v>
          </cell>
          <cell r="AI321" t="str">
            <v>GOVT.</v>
          </cell>
          <cell r="AJ321" t="str">
            <v>Gsec</v>
          </cell>
          <cell r="AK321" t="str">
            <v>Gsec</v>
          </cell>
          <cell r="AL321" t="str">
            <v>1</v>
          </cell>
          <cell r="AM321" t="str">
            <v>1</v>
          </cell>
        </row>
        <row r="322">
          <cell r="C322" t="str">
            <v>IN0020230077</v>
          </cell>
          <cell r="D322" t="str">
            <v>7.18GSE240737</v>
          </cell>
          <cell r="E322" t="str">
            <v>GSE</v>
          </cell>
          <cell r="F322" t="str">
            <v>Govt. of India - GSec / TBL</v>
          </cell>
          <cell r="G322" t="str">
            <v>7.18%  Government Securities - 24/07/2037</v>
          </cell>
          <cell r="H322">
            <v>7.18</v>
          </cell>
          <cell r="I322" t="str">
            <v>24-07-2037</v>
          </cell>
          <cell r="J322" t="str">
            <v>Sovereign</v>
          </cell>
          <cell r="K322">
            <v>8.4002999999999997</v>
          </cell>
          <cell r="L322">
            <v>100</v>
          </cell>
          <cell r="M322">
            <v>500000</v>
          </cell>
          <cell r="N322">
            <v>7.0457000000000001</v>
          </cell>
          <cell r="O322">
            <v>102.10890000000001</v>
          </cell>
          <cell r="P322">
            <v>51054450</v>
          </cell>
          <cell r="Q322">
            <v>1116888.8899999999</v>
          </cell>
          <cell r="R322">
            <v>0</v>
          </cell>
          <cell r="S322">
            <v>-375550</v>
          </cell>
          <cell r="T322">
            <v>52171338.890000001</v>
          </cell>
          <cell r="U322">
            <v>2.16</v>
          </cell>
          <cell r="V322">
            <v>2.2000000000000002</v>
          </cell>
          <cell r="W322">
            <v>102.86</v>
          </cell>
          <cell r="X322">
            <v>51430000</v>
          </cell>
          <cell r="Y322" t="str">
            <v>24-01-2025</v>
          </cell>
          <cell r="Z322" t="str">
            <v>Exempt - GSECs</v>
          </cell>
          <cell r="AC322" t="str">
            <v>Exempt - GSECs</v>
          </cell>
          <cell r="AD322">
            <v>4634</v>
          </cell>
          <cell r="AE322" t="str">
            <v>Y</v>
          </cell>
          <cell r="AF322" t="str">
            <v>24-07-2024</v>
          </cell>
          <cell r="AG322">
            <v>7.0457000000000001</v>
          </cell>
          <cell r="AH322">
            <v>-375450</v>
          </cell>
          <cell r="AI322" t="str">
            <v>GOVT.</v>
          </cell>
          <cell r="AJ322" t="str">
            <v>Gsec</v>
          </cell>
          <cell r="AK322" t="str">
            <v>Gsec</v>
          </cell>
          <cell r="AL322" t="str">
            <v>1</v>
          </cell>
          <cell r="AM322" t="str">
            <v>1</v>
          </cell>
        </row>
        <row r="323">
          <cell r="C323" t="str">
            <v>IN0020230101</v>
          </cell>
          <cell r="D323" t="str">
            <v>7.37GSE231028</v>
          </cell>
          <cell r="E323" t="str">
            <v>GSE</v>
          </cell>
          <cell r="F323" t="str">
            <v>Govt. of India - GSec / TBL</v>
          </cell>
          <cell r="G323" t="str">
            <v>7.37% Government Securities-23/10/2028</v>
          </cell>
          <cell r="H323">
            <v>7.37</v>
          </cell>
          <cell r="I323" t="str">
            <v>23-10-2028</v>
          </cell>
          <cell r="J323" t="str">
            <v>Sovereign</v>
          </cell>
          <cell r="K323">
            <v>3.4780000000000002</v>
          </cell>
          <cell r="L323">
            <v>100</v>
          </cell>
          <cell r="M323">
            <v>1500000</v>
          </cell>
          <cell r="N323">
            <v>6.8860000000000001</v>
          </cell>
          <cell r="O323">
            <v>102.03149999999999</v>
          </cell>
          <cell r="P323">
            <v>153047250</v>
          </cell>
          <cell r="Q323">
            <v>706291.67</v>
          </cell>
          <cell r="R323">
            <v>0</v>
          </cell>
          <cell r="S323">
            <v>383500</v>
          </cell>
          <cell r="T323">
            <v>153753541.66999999</v>
          </cell>
          <cell r="U323">
            <v>6.46</v>
          </cell>
          <cell r="V323">
            <v>6.49</v>
          </cell>
          <cell r="W323">
            <v>101.77583333333334</v>
          </cell>
          <cell r="X323">
            <v>152663750</v>
          </cell>
          <cell r="Y323" t="str">
            <v>23-04-2025</v>
          </cell>
          <cell r="Z323" t="str">
            <v>Exempt - GSECs</v>
          </cell>
          <cell r="AC323" t="str">
            <v>Exempt - GSECs</v>
          </cell>
          <cell r="AD323">
            <v>1438</v>
          </cell>
          <cell r="AE323" t="str">
            <v>Y</v>
          </cell>
          <cell r="AF323" t="str">
            <v>23-10-2024</v>
          </cell>
          <cell r="AG323">
            <v>6.8860000000000001</v>
          </cell>
          <cell r="AH323">
            <v>385900</v>
          </cell>
          <cell r="AI323" t="str">
            <v>GOVT.</v>
          </cell>
          <cell r="AJ323" t="str">
            <v>Gsec</v>
          </cell>
          <cell r="AK323" t="str">
            <v>Gsec</v>
          </cell>
          <cell r="AL323" t="str">
            <v>1</v>
          </cell>
          <cell r="AM323" t="str">
            <v>1</v>
          </cell>
        </row>
        <row r="324">
          <cell r="C324" t="str">
            <v>IN0020240019</v>
          </cell>
          <cell r="D324" t="str">
            <v>7.10GSE080434</v>
          </cell>
          <cell r="E324" t="str">
            <v>GSE</v>
          </cell>
          <cell r="F324" t="str">
            <v>Govt. of India - GSec / TBL</v>
          </cell>
          <cell r="G324" t="str">
            <v>7.10% Central Government Securities 08/04/2034</v>
          </cell>
          <cell r="H324">
            <v>7.1</v>
          </cell>
          <cell r="I324" t="str">
            <v>08-04-2034</v>
          </cell>
          <cell r="J324" t="str">
            <v>Sovereign</v>
          </cell>
          <cell r="K324">
            <v>6.9844999999999997</v>
          </cell>
          <cell r="L324">
            <v>100</v>
          </cell>
          <cell r="M324">
            <v>3600000</v>
          </cell>
          <cell r="N324">
            <v>6.9813999999999998</v>
          </cell>
          <cell r="O324">
            <v>101.60720000000001</v>
          </cell>
          <cell r="P324">
            <v>365785920</v>
          </cell>
          <cell r="Q324">
            <v>2698000</v>
          </cell>
          <cell r="R324">
            <v>0</v>
          </cell>
          <cell r="S324">
            <v>-1853080</v>
          </cell>
          <cell r="T324">
            <v>368483920</v>
          </cell>
          <cell r="U324">
            <v>15.44</v>
          </cell>
          <cell r="V324">
            <v>15.55</v>
          </cell>
          <cell r="W324">
            <v>102.12194444444444</v>
          </cell>
          <cell r="X324">
            <v>367639000</v>
          </cell>
          <cell r="Y324" t="str">
            <v>08-04-2025</v>
          </cell>
          <cell r="Z324" t="str">
            <v>Exempt - GSECs</v>
          </cell>
          <cell r="AC324" t="str">
            <v>Exempt - GSECs</v>
          </cell>
          <cell r="AD324">
            <v>3431</v>
          </cell>
          <cell r="AE324" t="str">
            <v>Y</v>
          </cell>
          <cell r="AF324" t="str">
            <v>08-10-2024</v>
          </cell>
          <cell r="AG324">
            <v>6.9813999999999998</v>
          </cell>
          <cell r="AH324">
            <v>-1850920</v>
          </cell>
          <cell r="AI324" t="str">
            <v>GOVT.</v>
          </cell>
          <cell r="AJ324" t="str">
            <v>GSEC</v>
          </cell>
          <cell r="AK324" t="str">
            <v>GSEC</v>
          </cell>
          <cell r="AL324" t="str">
            <v>1</v>
          </cell>
          <cell r="AM324" t="str">
            <v>1</v>
          </cell>
        </row>
        <row r="325">
          <cell r="C325" t="str">
            <v>IN3120230484</v>
          </cell>
          <cell r="D325" t="str">
            <v>7.44TNSG20034</v>
          </cell>
          <cell r="E325" t="str">
            <v>GSE</v>
          </cell>
          <cell r="F325" t="str">
            <v>Govt. of India - GSec / TBL</v>
          </cell>
          <cell r="G325" t="str">
            <v>7.44% Tamil Nadu State Government Securities -20/03/2034</v>
          </cell>
          <cell r="H325">
            <v>7.44</v>
          </cell>
          <cell r="I325" t="str">
            <v>20-03-2034</v>
          </cell>
          <cell r="J325" t="str">
            <v>Sovereign</v>
          </cell>
          <cell r="K325">
            <v>6.8524000000000003</v>
          </cell>
          <cell r="L325">
            <v>100</v>
          </cell>
          <cell r="M325">
            <v>500000</v>
          </cell>
          <cell r="N325">
            <v>7.2363</v>
          </cell>
          <cell r="O325">
            <v>102.2122</v>
          </cell>
          <cell r="P325">
            <v>51106100</v>
          </cell>
          <cell r="Q325">
            <v>578666.67000000004</v>
          </cell>
          <cell r="R325">
            <v>0</v>
          </cell>
          <cell r="S325">
            <v>1100150</v>
          </cell>
          <cell r="T325">
            <v>51684766.670000002</v>
          </cell>
          <cell r="U325">
            <v>2.16</v>
          </cell>
          <cell r="V325">
            <v>2.1800000000000002</v>
          </cell>
          <cell r="W325">
            <v>100.0119</v>
          </cell>
          <cell r="X325">
            <v>50005950</v>
          </cell>
          <cell r="Y325" t="str">
            <v>20-03-2025</v>
          </cell>
          <cell r="Z325" t="str">
            <v>Exempt - GSECs</v>
          </cell>
          <cell r="AC325" t="str">
            <v>Exempt - GSECs</v>
          </cell>
          <cell r="AD325">
            <v>3412</v>
          </cell>
          <cell r="AE325" t="str">
            <v>Y</v>
          </cell>
          <cell r="AF325" t="str">
            <v>20-09-2024</v>
          </cell>
          <cell r="AG325">
            <v>7.2363</v>
          </cell>
          <cell r="AH325">
            <v>1100450</v>
          </cell>
          <cell r="AI325" t="str">
            <v>GOVT.</v>
          </cell>
          <cell r="AJ325" t="str">
            <v>GSEC</v>
          </cell>
          <cell r="AK325" t="str">
            <v>GSEC</v>
          </cell>
          <cell r="AL325" t="str">
            <v>1</v>
          </cell>
          <cell r="AM325" t="str">
            <v>1</v>
          </cell>
        </row>
        <row r="326">
          <cell r="C326" t="str">
            <v>INE020B08EI8</v>
          </cell>
          <cell r="D326" t="str">
            <v>UT47NC314</v>
          </cell>
          <cell r="E326" t="str">
            <v>NCD</v>
          </cell>
          <cell r="F326" t="str">
            <v>REC LTD</v>
          </cell>
          <cell r="G326" t="str">
            <v>7.51% REC LTD NCD MD 31-07-2026</v>
          </cell>
          <cell r="H326">
            <v>7.51</v>
          </cell>
          <cell r="I326" t="str">
            <v>31-07-2026</v>
          </cell>
          <cell r="J326" t="str">
            <v>CRISIL AAA</v>
          </cell>
          <cell r="K326">
            <v>1.6343000000000001</v>
          </cell>
          <cell r="L326">
            <v>100000</v>
          </cell>
          <cell r="M326">
            <v>500</v>
          </cell>
          <cell r="N326">
            <v>7.5</v>
          </cell>
          <cell r="O326">
            <v>99959.2</v>
          </cell>
          <cell r="P326">
            <v>49979600</v>
          </cell>
          <cell r="Q326">
            <v>1111068.49</v>
          </cell>
          <cell r="R326">
            <v>0</v>
          </cell>
          <cell r="S326">
            <v>-20400</v>
          </cell>
          <cell r="T326">
            <v>51090668.490000002</v>
          </cell>
          <cell r="U326">
            <v>2.11</v>
          </cell>
          <cell r="V326">
            <v>2.16</v>
          </cell>
          <cell r="W326">
            <v>100000</v>
          </cell>
          <cell r="X326">
            <v>50000000</v>
          </cell>
          <cell r="Y326" t="str">
            <v>31-07-2025</v>
          </cell>
          <cell r="Z326" t="str">
            <v>Financial Services</v>
          </cell>
          <cell r="AC326" t="str">
            <v>Exempt - PFI</v>
          </cell>
          <cell r="AD326">
            <v>623</v>
          </cell>
          <cell r="AE326" t="str">
            <v>Y</v>
          </cell>
          <cell r="AF326" t="str">
            <v>31-07-2024</v>
          </cell>
          <cell r="AG326">
            <v>7.5</v>
          </cell>
          <cell r="AH326">
            <v>-20250</v>
          </cell>
          <cell r="AI326" t="str">
            <v>UT47</v>
          </cell>
          <cell r="AJ326" t="str">
            <v>A1+</v>
          </cell>
          <cell r="AK326" t="str">
            <v>AAA</v>
          </cell>
          <cell r="AL326" t="str">
            <v>1</v>
          </cell>
          <cell r="AM326" t="str">
            <v>1</v>
          </cell>
        </row>
        <row r="327">
          <cell r="C327" t="str">
            <v>INE041007100</v>
          </cell>
          <cell r="D327" t="str">
            <v>FI3346NC200</v>
          </cell>
          <cell r="E327" t="str">
            <v>NCD</v>
          </cell>
          <cell r="F327" t="str">
            <v>Embassy Office Parks REIT</v>
          </cell>
          <cell r="G327" t="str">
            <v>7.77% Embassy Office Parks REIT NCD MD 05.06.2025 Series VII NCD Call 05-03-2025</v>
          </cell>
          <cell r="H327">
            <v>7.77</v>
          </cell>
          <cell r="I327" t="str">
            <v>05-06-2025</v>
          </cell>
          <cell r="J327" t="str">
            <v>CRISIL AAA</v>
          </cell>
          <cell r="K327">
            <v>0.53879999999999995</v>
          </cell>
          <cell r="L327">
            <v>100000</v>
          </cell>
          <cell r="M327">
            <v>500</v>
          </cell>
          <cell r="N327">
            <v>8.0150000000000006</v>
          </cell>
          <cell r="O327">
            <v>99991.2</v>
          </cell>
          <cell r="P327">
            <v>49995600</v>
          </cell>
          <cell r="Q327">
            <v>498893.44</v>
          </cell>
          <cell r="R327">
            <v>0</v>
          </cell>
          <cell r="S327">
            <v>-4400</v>
          </cell>
          <cell r="T327">
            <v>50494493.439999998</v>
          </cell>
          <cell r="U327">
            <v>2.11</v>
          </cell>
          <cell r="V327">
            <v>2.13</v>
          </cell>
          <cell r="W327">
            <v>100000</v>
          </cell>
          <cell r="X327">
            <v>50000000</v>
          </cell>
          <cell r="Y327" t="str">
            <v>31-12-2024</v>
          </cell>
          <cell r="Z327" t="str">
            <v>Realty</v>
          </cell>
          <cell r="AB327" t="str">
            <v>05-MAR-25</v>
          </cell>
          <cell r="AC327" t="str">
            <v>Realty</v>
          </cell>
          <cell r="AD327">
            <v>202</v>
          </cell>
          <cell r="AE327" t="str">
            <v>Y</v>
          </cell>
          <cell r="AF327" t="str">
            <v>30-09-2024</v>
          </cell>
          <cell r="AG327">
            <v>8.0150000000000006</v>
          </cell>
          <cell r="AH327">
            <v>-4400</v>
          </cell>
          <cell r="AI327" t="str">
            <v>FI3446</v>
          </cell>
          <cell r="AJ327" t="str">
            <v>A1+</v>
          </cell>
          <cell r="AK327" t="str">
            <v>AAA</v>
          </cell>
          <cell r="AL327" t="str">
            <v>2</v>
          </cell>
          <cell r="AM327" t="str">
            <v>1</v>
          </cell>
        </row>
        <row r="328">
          <cell r="C328" t="str">
            <v>INE115A07MW4</v>
          </cell>
          <cell r="D328" t="str">
            <v>FILICNC370</v>
          </cell>
          <cell r="E328" t="str">
            <v>NCD</v>
          </cell>
          <cell r="F328" t="str">
            <v>LIC Housing Finance Ltd</v>
          </cell>
          <cell r="G328" t="str">
            <v>7.95% LIC Housing Finance Ltd NCD 29 01 2028</v>
          </cell>
          <cell r="H328">
            <v>7.95</v>
          </cell>
          <cell r="I328" t="str">
            <v>29-01-2028</v>
          </cell>
          <cell r="J328" t="str">
            <v>CRISIL AAA</v>
          </cell>
          <cell r="K328">
            <v>2.7837999999999998</v>
          </cell>
          <cell r="L328">
            <v>1000000</v>
          </cell>
          <cell r="M328">
            <v>50</v>
          </cell>
          <cell r="N328">
            <v>7.66</v>
          </cell>
          <cell r="O328">
            <v>1007492</v>
          </cell>
          <cell r="P328">
            <v>50374600</v>
          </cell>
          <cell r="Q328">
            <v>3171311.48</v>
          </cell>
          <cell r="R328">
            <v>0</v>
          </cell>
          <cell r="S328">
            <v>55350</v>
          </cell>
          <cell r="T328">
            <v>53545911.479999997</v>
          </cell>
          <cell r="U328">
            <v>2.13</v>
          </cell>
          <cell r="V328">
            <v>2.2599999999999998</v>
          </cell>
          <cell r="W328">
            <v>1006385</v>
          </cell>
          <cell r="X328">
            <v>50319250</v>
          </cell>
          <cell r="Y328" t="str">
            <v>29-01-2025</v>
          </cell>
          <cell r="Z328" t="str">
            <v>Financial Services</v>
          </cell>
          <cell r="AC328" t="str">
            <v>HOUSING FINANCE</v>
          </cell>
          <cell r="AD328">
            <v>1170</v>
          </cell>
          <cell r="AE328" t="str">
            <v>Y</v>
          </cell>
          <cell r="AF328" t="str">
            <v>29-01-2024</v>
          </cell>
          <cell r="AG328">
            <v>7.66</v>
          </cell>
          <cell r="AH328">
            <v>55450</v>
          </cell>
          <cell r="AI328" t="str">
            <v>FILIC</v>
          </cell>
          <cell r="AJ328" t="str">
            <v>A1+</v>
          </cell>
          <cell r="AK328" t="str">
            <v>AAA</v>
          </cell>
          <cell r="AL328" t="str">
            <v>2</v>
          </cell>
          <cell r="AM328" t="str">
            <v>1</v>
          </cell>
        </row>
        <row r="329">
          <cell r="C329" t="str">
            <v>INE115A07PI6</v>
          </cell>
          <cell r="D329" t="str">
            <v>FILICNC363</v>
          </cell>
          <cell r="E329" t="str">
            <v>NCD</v>
          </cell>
          <cell r="F329" t="str">
            <v>LIC Housing Finance Ltd</v>
          </cell>
          <cell r="G329" t="str">
            <v>6.17% LIC Housing Finance Ltd-NCD-03/09/2026</v>
          </cell>
          <cell r="H329">
            <v>6.17</v>
          </cell>
          <cell r="I329" t="str">
            <v>03-09-2026</v>
          </cell>
          <cell r="J329" t="str">
            <v>CRISIL AAA</v>
          </cell>
          <cell r="K329">
            <v>1.7383999999999999</v>
          </cell>
          <cell r="L329">
            <v>1000000</v>
          </cell>
          <cell r="M329">
            <v>50</v>
          </cell>
          <cell r="N329">
            <v>7.7</v>
          </cell>
          <cell r="O329">
            <v>974832</v>
          </cell>
          <cell r="P329">
            <v>48741600</v>
          </cell>
          <cell r="Q329">
            <v>625452.05000000005</v>
          </cell>
          <cell r="R329">
            <v>0</v>
          </cell>
          <cell r="S329">
            <v>573800</v>
          </cell>
          <cell r="T329">
            <v>49367052.049999997</v>
          </cell>
          <cell r="U329">
            <v>2.06</v>
          </cell>
          <cell r="V329">
            <v>2.08</v>
          </cell>
          <cell r="W329">
            <v>963356</v>
          </cell>
          <cell r="X329">
            <v>48167800</v>
          </cell>
          <cell r="Y329" t="str">
            <v>03-09-2025</v>
          </cell>
          <cell r="Z329" t="str">
            <v>Financial Services</v>
          </cell>
          <cell r="AC329" t="str">
            <v>HOUSING FINANCE</v>
          </cell>
          <cell r="AD329">
            <v>657</v>
          </cell>
          <cell r="AE329" t="str">
            <v>Y</v>
          </cell>
          <cell r="AF329" t="str">
            <v>03-09-2024</v>
          </cell>
          <cell r="AG329">
            <v>7.7</v>
          </cell>
          <cell r="AH329">
            <v>572200</v>
          </cell>
          <cell r="AI329" t="str">
            <v>FILIC</v>
          </cell>
          <cell r="AJ329" t="str">
            <v>A1+</v>
          </cell>
          <cell r="AK329" t="str">
            <v>AAA</v>
          </cell>
          <cell r="AL329" t="str">
            <v>2</v>
          </cell>
          <cell r="AM329" t="str">
            <v>1</v>
          </cell>
        </row>
        <row r="330">
          <cell r="C330" t="str">
            <v>INE121A07RZ4</v>
          </cell>
          <cell r="D330" t="str">
            <v>FI3508NC224</v>
          </cell>
          <cell r="E330" t="str">
            <v>NCD</v>
          </cell>
          <cell r="F330" t="str">
            <v>Cholamandalam Investment and Finance Co Ltd</v>
          </cell>
          <cell r="G330" t="str">
            <v>8.54% Cholamandalam Investment and Finance Co Ltd NCD MD 12-04-2029 SERIES 639</v>
          </cell>
          <cell r="H330">
            <v>8.5399999999999991</v>
          </cell>
          <cell r="I330" t="str">
            <v>12-04-2029</v>
          </cell>
          <cell r="J330" t="str">
            <v>ICRA AA+</v>
          </cell>
          <cell r="K330">
            <v>3.6781999999999999</v>
          </cell>
          <cell r="L330">
            <v>100000</v>
          </cell>
          <cell r="M330">
            <v>500</v>
          </cell>
          <cell r="N330">
            <v>8.3650000000000002</v>
          </cell>
          <cell r="O330">
            <v>100540.6</v>
          </cell>
          <cell r="P330">
            <v>50270300</v>
          </cell>
          <cell r="Q330">
            <v>2550301.37</v>
          </cell>
          <cell r="R330">
            <v>0</v>
          </cell>
          <cell r="S330">
            <v>-136300</v>
          </cell>
          <cell r="T330">
            <v>52820601.369999997</v>
          </cell>
          <cell r="U330">
            <v>2.12</v>
          </cell>
          <cell r="V330">
            <v>2.23</v>
          </cell>
          <cell r="W330">
            <v>100813.2</v>
          </cell>
          <cell r="X330">
            <v>50406600</v>
          </cell>
          <cell r="Y330" t="str">
            <v>12-04-2025</v>
          </cell>
          <cell r="Z330" t="str">
            <v>Financial Services</v>
          </cell>
          <cell r="AC330" t="str">
            <v>Financial Services</v>
          </cell>
          <cell r="AD330">
            <v>1609</v>
          </cell>
          <cell r="AE330" t="str">
            <v>Y</v>
          </cell>
          <cell r="AF330" t="str">
            <v>12-04-2024</v>
          </cell>
          <cell r="AG330">
            <v>8.3650000000000002</v>
          </cell>
          <cell r="AH330">
            <v>-136250</v>
          </cell>
          <cell r="AI330" t="str">
            <v>FI3508</v>
          </cell>
          <cell r="AJ330" t="str">
            <v>A1+</v>
          </cell>
          <cell r="AK330" t="str">
            <v>AA+</v>
          </cell>
          <cell r="AL330" t="str">
            <v>3</v>
          </cell>
          <cell r="AM330" t="str">
            <v>2</v>
          </cell>
        </row>
        <row r="331">
          <cell r="C331" t="str">
            <v>INE134E08LP1</v>
          </cell>
          <cell r="D331" t="str">
            <v>FI35PFCNC367</v>
          </cell>
          <cell r="E331" t="str">
            <v>NCD</v>
          </cell>
          <cell r="F331" t="str">
            <v>Power Finance Corporation Ltd</v>
          </cell>
          <cell r="G331" t="str">
            <v>7.13% Power Finance Corporation Ltd NCD MD 15072026 BS 216 2026</v>
          </cell>
          <cell r="H331">
            <v>7.13</v>
          </cell>
          <cell r="I331" t="str">
            <v>15-07-2026</v>
          </cell>
          <cell r="J331" t="str">
            <v>CRISIL AAA</v>
          </cell>
          <cell r="K331">
            <v>1.6009</v>
          </cell>
          <cell r="L331">
            <v>1000000</v>
          </cell>
          <cell r="M331">
            <v>50</v>
          </cell>
          <cell r="N331">
            <v>7.5</v>
          </cell>
          <cell r="O331">
            <v>994190</v>
          </cell>
          <cell r="P331">
            <v>49709500</v>
          </cell>
          <cell r="Q331">
            <v>820438.36</v>
          </cell>
          <cell r="R331">
            <v>0</v>
          </cell>
          <cell r="S331">
            <v>151750</v>
          </cell>
          <cell r="T331">
            <v>50529938.359999999</v>
          </cell>
          <cell r="U331">
            <v>2.1</v>
          </cell>
          <cell r="V331">
            <v>2.13</v>
          </cell>
          <cell r="W331">
            <v>991155</v>
          </cell>
          <cell r="X331">
            <v>49557750</v>
          </cell>
          <cell r="Y331" t="str">
            <v>24-08-2025</v>
          </cell>
          <cell r="Z331" t="str">
            <v>Financial Services</v>
          </cell>
          <cell r="AC331" t="str">
            <v>Exempt - PFI</v>
          </cell>
          <cell r="AD331">
            <v>607</v>
          </cell>
          <cell r="AE331" t="str">
            <v>Y</v>
          </cell>
          <cell r="AF331" t="str">
            <v>24-08-2024</v>
          </cell>
          <cell r="AG331">
            <v>7.5</v>
          </cell>
          <cell r="AH331">
            <v>151500</v>
          </cell>
          <cell r="AI331" t="str">
            <v>FI35PF</v>
          </cell>
          <cell r="AJ331" t="str">
            <v>A1+</v>
          </cell>
          <cell r="AK331" t="str">
            <v>AAA</v>
          </cell>
          <cell r="AL331" t="str">
            <v>1</v>
          </cell>
          <cell r="AM331" t="str">
            <v>1</v>
          </cell>
        </row>
        <row r="332">
          <cell r="C332" t="str">
            <v>INE134E08MJ2</v>
          </cell>
          <cell r="D332" t="str">
            <v>FI35PFNC367</v>
          </cell>
          <cell r="E332" t="str">
            <v>NCD</v>
          </cell>
          <cell r="F332" t="str">
            <v>Power Finance Corporation Ltd</v>
          </cell>
          <cell r="G332" t="str">
            <v>7.77% Power Finance Corporation Limited NCD MD 15/04/2028</v>
          </cell>
          <cell r="H332">
            <v>7.77</v>
          </cell>
          <cell r="I332" t="str">
            <v>15-04-2028</v>
          </cell>
          <cell r="J332" t="str">
            <v>CRISIL AAA</v>
          </cell>
          <cell r="K332">
            <v>2.9908999999999999</v>
          </cell>
          <cell r="L332">
            <v>100000</v>
          </cell>
          <cell r="M332">
            <v>1000</v>
          </cell>
          <cell r="N332">
            <v>7.4160000000000004</v>
          </cell>
          <cell r="O332">
            <v>100977.1</v>
          </cell>
          <cell r="P332">
            <v>100977100</v>
          </cell>
          <cell r="Q332">
            <v>4874876.71</v>
          </cell>
          <cell r="R332">
            <v>0</v>
          </cell>
          <cell r="S332">
            <v>977100</v>
          </cell>
          <cell r="T332">
            <v>105851976.70999999</v>
          </cell>
          <cell r="U332">
            <v>4.26</v>
          </cell>
          <cell r="V332">
            <v>4.47</v>
          </cell>
          <cell r="W332">
            <v>100000</v>
          </cell>
          <cell r="X332">
            <v>100000000</v>
          </cell>
          <cell r="Y332" t="str">
            <v>31-03-2025</v>
          </cell>
          <cell r="Z332" t="str">
            <v>Financial Services</v>
          </cell>
          <cell r="AC332" t="str">
            <v>Exempt - PFI</v>
          </cell>
          <cell r="AD332">
            <v>1247</v>
          </cell>
          <cell r="AE332" t="str">
            <v>Y</v>
          </cell>
          <cell r="AF332" t="str">
            <v>31-03-2024</v>
          </cell>
          <cell r="AG332">
            <v>7.4160000000000004</v>
          </cell>
          <cell r="AH332">
            <v>977600</v>
          </cell>
          <cell r="AI332" t="str">
            <v>FI35PF</v>
          </cell>
          <cell r="AJ332" t="str">
            <v>A1+</v>
          </cell>
          <cell r="AK332" t="str">
            <v>AAA</v>
          </cell>
          <cell r="AL332" t="str">
            <v>1</v>
          </cell>
          <cell r="AM332" t="str">
            <v>1</v>
          </cell>
        </row>
        <row r="333">
          <cell r="C333" t="str">
            <v>INE261F08EF5</v>
          </cell>
          <cell r="D333" t="str">
            <v>FI35NANC304</v>
          </cell>
          <cell r="E333" t="str">
            <v>NCD</v>
          </cell>
          <cell r="F333" t="str">
            <v>National Bank for Agriculture &amp; Rural Development</v>
          </cell>
          <cell r="G333" t="str">
            <v>7.80% NABARD NCD MD 15-03-2027 Bonds Series 24E</v>
          </cell>
          <cell r="H333">
            <v>7.8</v>
          </cell>
          <cell r="I333" t="str">
            <v>15-03-2027</v>
          </cell>
          <cell r="J333" t="str">
            <v>ICRA AAA</v>
          </cell>
          <cell r="K333">
            <v>2.1151</v>
          </cell>
          <cell r="L333">
            <v>100000</v>
          </cell>
          <cell r="M333">
            <v>500</v>
          </cell>
          <cell r="N333">
            <v>7.5</v>
          </cell>
          <cell r="O333">
            <v>100557.1</v>
          </cell>
          <cell r="P333">
            <v>50278550</v>
          </cell>
          <cell r="Q333">
            <v>2628493.15</v>
          </cell>
          <cell r="R333">
            <v>0</v>
          </cell>
          <cell r="S333">
            <v>41650</v>
          </cell>
          <cell r="T333">
            <v>52907043.149999999</v>
          </cell>
          <cell r="U333">
            <v>2.12</v>
          </cell>
          <cell r="V333">
            <v>2.23</v>
          </cell>
          <cell r="W333">
            <v>100473.8</v>
          </cell>
          <cell r="X333">
            <v>50236900</v>
          </cell>
          <cell r="Y333" t="str">
            <v>15-03-2025</v>
          </cell>
          <cell r="Z333" t="str">
            <v>Financial Services</v>
          </cell>
          <cell r="AC333" t="str">
            <v>Exempt - PFI</v>
          </cell>
          <cell r="AD333">
            <v>850</v>
          </cell>
          <cell r="AE333" t="str">
            <v>Y</v>
          </cell>
          <cell r="AF333" t="str">
            <v>15-03-2024</v>
          </cell>
          <cell r="AG333">
            <v>7.5</v>
          </cell>
          <cell r="AH333">
            <v>41850</v>
          </cell>
          <cell r="AI333" t="str">
            <v>FI35NA</v>
          </cell>
          <cell r="AJ333" t="str">
            <v>A1+</v>
          </cell>
          <cell r="AK333" t="str">
            <v>AAA</v>
          </cell>
          <cell r="AL333" t="str">
            <v>1</v>
          </cell>
          <cell r="AM333" t="str">
            <v>1</v>
          </cell>
        </row>
        <row r="334">
          <cell r="C334" t="str">
            <v>INE261F08EH1</v>
          </cell>
          <cell r="D334" t="str">
            <v>FI35NANC306</v>
          </cell>
          <cell r="E334" t="str">
            <v>NCD</v>
          </cell>
          <cell r="F334" t="str">
            <v>National Bank for Agriculture &amp; Rural Development</v>
          </cell>
          <cell r="G334" t="str">
            <v>7.62%  NABARD NCD MD 10-05-2029</v>
          </cell>
          <cell r="H334">
            <v>7.62</v>
          </cell>
          <cell r="I334" t="str">
            <v>10-05-2029</v>
          </cell>
          <cell r="J334" t="str">
            <v>CRISIL AAA</v>
          </cell>
          <cell r="K334">
            <v>3.8224</v>
          </cell>
          <cell r="L334">
            <v>100000</v>
          </cell>
          <cell r="M334">
            <v>1000</v>
          </cell>
          <cell r="N334">
            <v>7.44</v>
          </cell>
          <cell r="O334">
            <v>100596.8</v>
          </cell>
          <cell r="P334">
            <v>100596800</v>
          </cell>
          <cell r="Q334">
            <v>3966575.34</v>
          </cell>
          <cell r="R334">
            <v>0</v>
          </cell>
          <cell r="S334">
            <v>857800</v>
          </cell>
          <cell r="T334">
            <v>104563375.34</v>
          </cell>
          <cell r="U334">
            <v>4.25</v>
          </cell>
          <cell r="V334">
            <v>4.41</v>
          </cell>
          <cell r="W334">
            <v>99739</v>
          </cell>
          <cell r="X334">
            <v>99739000</v>
          </cell>
          <cell r="Y334" t="str">
            <v>10-05-2025</v>
          </cell>
          <cell r="Z334" t="str">
            <v>Financial Services</v>
          </cell>
          <cell r="AC334" t="str">
            <v>Exempt - PFI</v>
          </cell>
          <cell r="AD334">
            <v>1637</v>
          </cell>
          <cell r="AE334" t="str">
            <v>Y</v>
          </cell>
          <cell r="AF334" t="str">
            <v>10-05-2024</v>
          </cell>
          <cell r="AG334">
            <v>7.44</v>
          </cell>
          <cell r="AH334">
            <v>858200</v>
          </cell>
          <cell r="AI334" t="str">
            <v>FI35NA</v>
          </cell>
          <cell r="AJ334" t="str">
            <v>A1+</v>
          </cell>
          <cell r="AK334" t="str">
            <v>AAA</v>
          </cell>
          <cell r="AL334" t="str">
            <v>1</v>
          </cell>
          <cell r="AM334" t="str">
            <v>1</v>
          </cell>
        </row>
        <row r="335">
          <cell r="C335" t="str">
            <v>INE403D08181</v>
          </cell>
          <cell r="D335" t="str">
            <v>UT4825NC200</v>
          </cell>
          <cell r="E335" t="str">
            <v>NCD</v>
          </cell>
          <cell r="F335" t="str">
            <v>Bharti Telecom Ltd</v>
          </cell>
          <cell r="G335" t="str">
            <v>8.90% Bharti Telecom Ltd NCD MD 04-12-2025 SERIES XVI</v>
          </cell>
          <cell r="H335">
            <v>8.9</v>
          </cell>
          <cell r="I335" t="str">
            <v>04-12-2025</v>
          </cell>
          <cell r="J335" t="str">
            <v>CRISIL AA+</v>
          </cell>
          <cell r="K335">
            <v>0.9677</v>
          </cell>
          <cell r="L335">
            <v>100000</v>
          </cell>
          <cell r="M335">
            <v>1100</v>
          </cell>
          <cell r="N335">
            <v>8.5</v>
          </cell>
          <cell r="O335">
            <v>100368.8</v>
          </cell>
          <cell r="P335">
            <v>110405680</v>
          </cell>
          <cell r="Q335">
            <v>9308524.5899999999</v>
          </cell>
          <cell r="R335">
            <v>0</v>
          </cell>
          <cell r="S335">
            <v>292480</v>
          </cell>
          <cell r="T335">
            <v>119714204.59</v>
          </cell>
          <cell r="U335">
            <v>4.66</v>
          </cell>
          <cell r="V335">
            <v>5.05</v>
          </cell>
          <cell r="W335">
            <v>100102.90909090909</v>
          </cell>
          <cell r="X335">
            <v>110113200</v>
          </cell>
          <cell r="Y335" t="str">
            <v>04-12-2024</v>
          </cell>
          <cell r="Z335" t="str">
            <v>Financial Services</v>
          </cell>
          <cell r="AC335" t="str">
            <v>Financial Services</v>
          </cell>
          <cell r="AD335">
            <v>384</v>
          </cell>
          <cell r="AE335" t="str">
            <v>Y</v>
          </cell>
          <cell r="AF335" t="str">
            <v>04-12-2023</v>
          </cell>
          <cell r="AG335">
            <v>8.5</v>
          </cell>
          <cell r="AH335">
            <v>292590</v>
          </cell>
          <cell r="AI335" t="str">
            <v>UT4825</v>
          </cell>
          <cell r="AJ335" t="str">
            <v>A1+</v>
          </cell>
          <cell r="AK335" t="str">
            <v>AA+</v>
          </cell>
          <cell r="AL335" t="str">
            <v>3</v>
          </cell>
          <cell r="AM335" t="str">
            <v>2</v>
          </cell>
        </row>
        <row r="336">
          <cell r="C336" t="str">
            <v>INE477A07373</v>
          </cell>
          <cell r="D336" t="str">
            <v>FI3427NC200</v>
          </cell>
          <cell r="E336" t="str">
            <v>NCD</v>
          </cell>
          <cell r="F336" t="str">
            <v>Can Fin Homes Ltd</v>
          </cell>
          <cell r="G336" t="str">
            <v>8.45% Can Fin Homes Ltd NCD MD 27-05-2026</v>
          </cell>
          <cell r="H336">
            <v>8.4499999999999993</v>
          </cell>
          <cell r="I336" t="str">
            <v>27-05-2026</v>
          </cell>
          <cell r="J336" t="str">
            <v>IND AA+</v>
          </cell>
          <cell r="K336">
            <v>1.4114</v>
          </cell>
          <cell r="L336">
            <v>100000</v>
          </cell>
          <cell r="M336">
            <v>300</v>
          </cell>
          <cell r="N336">
            <v>7.9950000000000001</v>
          </cell>
          <cell r="O336">
            <v>100616.8</v>
          </cell>
          <cell r="P336">
            <v>30185040</v>
          </cell>
          <cell r="Q336">
            <v>1821598.36</v>
          </cell>
          <cell r="R336">
            <v>0</v>
          </cell>
          <cell r="S336">
            <v>54810</v>
          </cell>
          <cell r="T336">
            <v>32006638.359999999</v>
          </cell>
          <cell r="U336">
            <v>1.27</v>
          </cell>
          <cell r="V336">
            <v>1.35</v>
          </cell>
          <cell r="W336">
            <v>100434.1</v>
          </cell>
          <cell r="X336">
            <v>30130230</v>
          </cell>
          <cell r="Y336" t="str">
            <v>27-02-2025</v>
          </cell>
          <cell r="Z336" t="str">
            <v>Financial Services</v>
          </cell>
          <cell r="AC336" t="str">
            <v>HOUSING FINANCE</v>
          </cell>
          <cell r="AD336">
            <v>558</v>
          </cell>
          <cell r="AE336" t="str">
            <v>Y</v>
          </cell>
          <cell r="AF336" t="str">
            <v>27-02-2024</v>
          </cell>
          <cell r="AG336">
            <v>7.9950000000000001</v>
          </cell>
          <cell r="AH336">
            <v>55020</v>
          </cell>
          <cell r="AI336" t="str">
            <v>FI3427</v>
          </cell>
          <cell r="AJ336" t="str">
            <v>A1+</v>
          </cell>
          <cell r="AK336" t="str">
            <v>AA+</v>
          </cell>
          <cell r="AL336" t="str">
            <v>3</v>
          </cell>
          <cell r="AM336" t="str">
            <v>2</v>
          </cell>
        </row>
        <row r="337">
          <cell r="C337" t="str">
            <v>INE556F08KE8</v>
          </cell>
          <cell r="D337" t="str">
            <v>FI3405NCD200</v>
          </cell>
          <cell r="E337" t="str">
            <v>NCD</v>
          </cell>
          <cell r="F337" t="str">
            <v>Small Industries Development Bank of India</v>
          </cell>
          <cell r="G337" t="str">
            <v>Small Industries Development Bank of India NCD 25 11 2025</v>
          </cell>
          <cell r="H337">
            <v>7.47</v>
          </cell>
          <cell r="I337" t="str">
            <v>25-11-2025</v>
          </cell>
          <cell r="J337" t="str">
            <v>ICRA AAA</v>
          </cell>
          <cell r="K337">
            <v>1.0227999999999999</v>
          </cell>
          <cell r="L337">
            <v>1000000</v>
          </cell>
          <cell r="M337">
            <v>100</v>
          </cell>
          <cell r="N337">
            <v>7.66</v>
          </cell>
          <cell r="O337">
            <v>998253</v>
          </cell>
          <cell r="P337">
            <v>99825300</v>
          </cell>
          <cell r="Q337">
            <v>20465.75</v>
          </cell>
          <cell r="R337">
            <v>0</v>
          </cell>
          <cell r="S337">
            <v>174800</v>
          </cell>
          <cell r="T337">
            <v>99845765.75</v>
          </cell>
          <cell r="U337">
            <v>4.21</v>
          </cell>
          <cell r="V337">
            <v>4.21</v>
          </cell>
          <cell r="W337">
            <v>996505</v>
          </cell>
          <cell r="X337">
            <v>99650500</v>
          </cell>
          <cell r="Y337" t="str">
            <v>15-11-2025</v>
          </cell>
          <cell r="Z337" t="str">
            <v>Financial Services</v>
          </cell>
          <cell r="AC337" t="str">
            <v>Exempt - PFI</v>
          </cell>
          <cell r="AD337">
            <v>375</v>
          </cell>
          <cell r="AE337" t="str">
            <v>Y</v>
          </cell>
          <cell r="AF337" t="str">
            <v>15-11-2024</v>
          </cell>
          <cell r="AG337">
            <v>7.66</v>
          </cell>
          <cell r="AH337">
            <v>175100</v>
          </cell>
          <cell r="AI337" t="str">
            <v>FI3405</v>
          </cell>
          <cell r="AJ337" t="str">
            <v>A1+</v>
          </cell>
          <cell r="AK337" t="str">
            <v>AAA</v>
          </cell>
          <cell r="AL337" t="str">
            <v>1</v>
          </cell>
          <cell r="AM337" t="str">
            <v>1</v>
          </cell>
        </row>
        <row r="338">
          <cell r="C338" t="str">
            <v>INE557F08FV0</v>
          </cell>
          <cell r="D338" t="str">
            <v>FI3335NCD200</v>
          </cell>
          <cell r="E338" t="str">
            <v>NCD</v>
          </cell>
          <cell r="F338" t="str">
            <v>National Housing Bank</v>
          </cell>
          <cell r="G338" t="str">
            <v>7.78% National Housing Bank NCD 26 04 2027 P/C 17 03 2025</v>
          </cell>
          <cell r="H338">
            <v>7.78</v>
          </cell>
          <cell r="I338" t="str">
            <v>26-04-2027</v>
          </cell>
          <cell r="J338" t="str">
            <v>CARE AAA</v>
          </cell>
          <cell r="K338">
            <v>0.33029999999999998</v>
          </cell>
          <cell r="L338">
            <v>100000</v>
          </cell>
          <cell r="M338">
            <v>500</v>
          </cell>
          <cell r="N338">
            <v>7.3250000000000002</v>
          </cell>
          <cell r="O338">
            <v>100088.6</v>
          </cell>
          <cell r="P338">
            <v>50044300</v>
          </cell>
          <cell r="Q338">
            <v>2664383.56</v>
          </cell>
          <cell r="R338">
            <v>0</v>
          </cell>
          <cell r="S338">
            <v>44300</v>
          </cell>
          <cell r="T338">
            <v>52708683.560000002</v>
          </cell>
          <cell r="U338">
            <v>2.11</v>
          </cell>
          <cell r="V338">
            <v>2.2200000000000002</v>
          </cell>
          <cell r="W338">
            <v>100000</v>
          </cell>
          <cell r="X338">
            <v>50000000</v>
          </cell>
          <cell r="Y338" t="str">
            <v>11-03-2025</v>
          </cell>
          <cell r="Z338" t="str">
            <v>Financial Services</v>
          </cell>
          <cell r="AA338" t="str">
            <v>17-MAR-25</v>
          </cell>
          <cell r="AB338" t="str">
            <v>17-MAR-25</v>
          </cell>
          <cell r="AC338" t="str">
            <v>Exempt - PFI</v>
          </cell>
          <cell r="AD338">
            <v>892</v>
          </cell>
          <cell r="AE338" t="str">
            <v>Y</v>
          </cell>
          <cell r="AF338" t="str">
            <v>11-03-2024</v>
          </cell>
          <cell r="AG338">
            <v>7.3250000000000002</v>
          </cell>
          <cell r="AH338">
            <v>44750</v>
          </cell>
          <cell r="AI338" t="str">
            <v>FI3335</v>
          </cell>
          <cell r="AJ338" t="str">
            <v>A1+</v>
          </cell>
          <cell r="AK338" t="str">
            <v>AAA</v>
          </cell>
          <cell r="AL338" t="str">
            <v>1</v>
          </cell>
          <cell r="AM338" t="str">
            <v>1</v>
          </cell>
        </row>
        <row r="339">
          <cell r="C339" t="str">
            <v>INE557F08FY4</v>
          </cell>
          <cell r="D339" t="str">
            <v>FI3335NC246</v>
          </cell>
          <cell r="E339" t="str">
            <v>NCD</v>
          </cell>
          <cell r="F339" t="str">
            <v>National Housing Bank</v>
          </cell>
          <cell r="G339" t="str">
            <v>7.59% NATIONAL HOUSING BANK NCD MD 14-07-2027</v>
          </cell>
          <cell r="H339">
            <v>7.59</v>
          </cell>
          <cell r="I339" t="str">
            <v>14-07-2027</v>
          </cell>
          <cell r="J339" t="str">
            <v>CRISIL AAA</v>
          </cell>
          <cell r="K339">
            <v>2.4272999999999998</v>
          </cell>
          <cell r="L339">
            <v>100000</v>
          </cell>
          <cell r="M339">
            <v>500</v>
          </cell>
          <cell r="N339">
            <v>7.37</v>
          </cell>
          <cell r="O339">
            <v>100470.9</v>
          </cell>
          <cell r="P339">
            <v>50235450</v>
          </cell>
          <cell r="Q339">
            <v>1767534.25</v>
          </cell>
          <cell r="R339">
            <v>0</v>
          </cell>
          <cell r="S339">
            <v>235450</v>
          </cell>
          <cell r="T339">
            <v>52002984.25</v>
          </cell>
          <cell r="U339">
            <v>2.12</v>
          </cell>
          <cell r="V339">
            <v>2.2000000000000002</v>
          </cell>
          <cell r="W339">
            <v>100000</v>
          </cell>
          <cell r="X339">
            <v>50000000</v>
          </cell>
          <cell r="Y339" t="str">
            <v>30-05-2025</v>
          </cell>
          <cell r="Z339" t="str">
            <v>Financial Services</v>
          </cell>
          <cell r="AC339" t="str">
            <v>Exempt - PFI</v>
          </cell>
          <cell r="AD339">
            <v>971</v>
          </cell>
          <cell r="AE339" t="str">
            <v>Y</v>
          </cell>
          <cell r="AF339" t="str">
            <v>30-05-2024</v>
          </cell>
          <cell r="AG339">
            <v>7.37</v>
          </cell>
          <cell r="AH339">
            <v>235700</v>
          </cell>
          <cell r="AI339" t="str">
            <v>FI3335</v>
          </cell>
          <cell r="AJ339" t="str">
            <v>A1+</v>
          </cell>
          <cell r="AK339" t="str">
            <v>AAA</v>
          </cell>
          <cell r="AL339" t="str">
            <v>1</v>
          </cell>
          <cell r="AM339" t="str">
            <v>1</v>
          </cell>
        </row>
        <row r="340">
          <cell r="C340" t="str">
            <v>INE572E07183</v>
          </cell>
          <cell r="D340" t="str">
            <v>FI3333NC205</v>
          </cell>
          <cell r="E340" t="str">
            <v>NCD</v>
          </cell>
          <cell r="F340" t="str">
            <v>PNB Housing Finance Ltd</v>
          </cell>
          <cell r="G340" t="str">
            <v>8.15% PNB Housing Finance Ltd NCD MD 29-07-2027  Series LXV</v>
          </cell>
          <cell r="H340">
            <v>8.15</v>
          </cell>
          <cell r="I340" t="str">
            <v>29-07-2027</v>
          </cell>
          <cell r="J340" t="str">
            <v>IND AA+</v>
          </cell>
          <cell r="K340">
            <v>2.5070999999999999</v>
          </cell>
          <cell r="L340">
            <v>100000</v>
          </cell>
          <cell r="M340">
            <v>1000</v>
          </cell>
          <cell r="N340">
            <v>8.1232000000000006</v>
          </cell>
          <cell r="O340">
            <v>100087.5</v>
          </cell>
          <cell r="P340">
            <v>100087500</v>
          </cell>
          <cell r="Q340">
            <v>736849.32</v>
          </cell>
          <cell r="R340">
            <v>0</v>
          </cell>
          <cell r="S340">
            <v>87500</v>
          </cell>
          <cell r="T340">
            <v>100824349.31999999</v>
          </cell>
          <cell r="U340">
            <v>4.22</v>
          </cell>
          <cell r="V340">
            <v>4.26</v>
          </cell>
          <cell r="W340">
            <v>100000</v>
          </cell>
          <cell r="X340">
            <v>100000000</v>
          </cell>
          <cell r="Y340" t="str">
            <v>29-07-2025</v>
          </cell>
          <cell r="Z340" t="str">
            <v>Financial Services</v>
          </cell>
          <cell r="AC340" t="str">
            <v>Housing Finance</v>
          </cell>
          <cell r="AD340">
            <v>986</v>
          </cell>
          <cell r="AE340" t="str">
            <v>Y</v>
          </cell>
          <cell r="AF340" t="str">
            <v>11-10-2024</v>
          </cell>
          <cell r="AG340">
            <v>8.1232000000000006</v>
          </cell>
          <cell r="AH340">
            <v>88300</v>
          </cell>
          <cell r="AI340" t="str">
            <v>FI3333</v>
          </cell>
          <cell r="AJ340" t="str">
            <v>A1+</v>
          </cell>
          <cell r="AK340" t="str">
            <v>AA+</v>
          </cell>
          <cell r="AL340" t="str">
            <v>3</v>
          </cell>
          <cell r="AM340" t="str">
            <v>2</v>
          </cell>
        </row>
        <row r="341">
          <cell r="C341" t="str">
            <v>INE721A07RH9</v>
          </cell>
          <cell r="D341" t="str">
            <v>FI3539NC203</v>
          </cell>
          <cell r="E341" t="str">
            <v>NCD</v>
          </cell>
          <cell r="F341" t="str">
            <v>Shriram Finance Ltd</v>
          </cell>
          <cell r="G341" t="str">
            <v>8.75% Shriram Finance Limited NCD MD 15-06-2026 Series STFCL PPD-V 2022-23</v>
          </cell>
          <cell r="H341">
            <v>8.75</v>
          </cell>
          <cell r="I341" t="str">
            <v>15-06-2026</v>
          </cell>
          <cell r="J341" t="str">
            <v>CRISIL AA+</v>
          </cell>
          <cell r="K341">
            <v>1.4585999999999999</v>
          </cell>
          <cell r="L341">
            <v>100000</v>
          </cell>
          <cell r="M341">
            <v>500</v>
          </cell>
          <cell r="N341">
            <v>8.8800000000000008</v>
          </cell>
          <cell r="O341">
            <v>99794.8</v>
          </cell>
          <cell r="P341">
            <v>49897400</v>
          </cell>
          <cell r="Q341">
            <v>2948630.14</v>
          </cell>
          <cell r="R341">
            <v>0</v>
          </cell>
          <cell r="S341">
            <v>138900</v>
          </cell>
          <cell r="T341">
            <v>52846030.140000001</v>
          </cell>
          <cell r="U341">
            <v>2.11</v>
          </cell>
          <cell r="V341">
            <v>2.23</v>
          </cell>
          <cell r="W341">
            <v>99517</v>
          </cell>
          <cell r="X341">
            <v>49758500</v>
          </cell>
          <cell r="Y341" t="str">
            <v>15-03-2025</v>
          </cell>
          <cell r="Z341" t="str">
            <v>Financial Services</v>
          </cell>
          <cell r="AC341" t="str">
            <v>Financial Services</v>
          </cell>
          <cell r="AD341">
            <v>577</v>
          </cell>
          <cell r="AE341" t="str">
            <v>Y</v>
          </cell>
          <cell r="AF341" t="str">
            <v>15-03-2024</v>
          </cell>
          <cell r="AG341">
            <v>8.8800000000000008</v>
          </cell>
          <cell r="AH341">
            <v>138600</v>
          </cell>
          <cell r="AI341" t="str">
            <v>FI3539</v>
          </cell>
          <cell r="AJ341" t="str">
            <v>A1+</v>
          </cell>
          <cell r="AK341" t="str">
            <v>AA+</v>
          </cell>
          <cell r="AL341" t="str">
            <v>3</v>
          </cell>
          <cell r="AM341" t="str">
            <v>2</v>
          </cell>
        </row>
        <row r="342">
          <cell r="AF342" t="str">
            <v/>
          </cell>
          <cell r="AG342" t="str">
            <v/>
          </cell>
          <cell r="AH342" t="str">
            <v/>
          </cell>
          <cell r="AI342" t="str">
            <v/>
          </cell>
          <cell r="AJ342" t="str">
            <v/>
          </cell>
          <cell r="AK342" t="str">
            <v/>
          </cell>
          <cell r="AL342" t="str">
            <v/>
          </cell>
          <cell r="AM342" t="str">
            <v/>
          </cell>
        </row>
        <row r="343">
          <cell r="C343" t="str">
            <v>INF0RQ622028</v>
          </cell>
          <cell r="D343" t="str">
            <v>CDMDF23</v>
          </cell>
          <cell r="E343" t="str">
            <v>CDMDF</v>
          </cell>
          <cell r="F343" t="str">
            <v>Corporate Debt Market Development Fund</v>
          </cell>
          <cell r="G343" t="str">
            <v>Corporate Debt Market Development Fund - Class A2</v>
          </cell>
          <cell r="H343">
            <v>0</v>
          </cell>
          <cell r="K343">
            <v>0</v>
          </cell>
          <cell r="L343">
            <v>10000</v>
          </cell>
          <cell r="M343">
            <v>4528.5039999999999</v>
          </cell>
          <cell r="N343">
            <v>9.9999999999999995E-7</v>
          </cell>
          <cell r="O343">
            <v>10450.479300000001</v>
          </cell>
          <cell r="P343">
            <v>47325037.310000002</v>
          </cell>
          <cell r="Q343">
            <v>0</v>
          </cell>
          <cell r="R343">
            <v>0</v>
          </cell>
          <cell r="S343">
            <v>1941306.49</v>
          </cell>
          <cell r="T343">
            <v>47325037.310000002</v>
          </cell>
          <cell r="U343">
            <v>0.24</v>
          </cell>
          <cell r="V343">
            <v>0.24</v>
          </cell>
          <cell r="W343">
            <v>10021.793250044608</v>
          </cell>
          <cell r="X343">
            <v>45383730.82</v>
          </cell>
          <cell r="Z343" t="str">
            <v>Financial Services</v>
          </cell>
          <cell r="AE343" t="str">
            <v>N</v>
          </cell>
          <cell r="AG343">
            <v>9.9999999999999995E-7</v>
          </cell>
          <cell r="AH343">
            <v>1936597.3</v>
          </cell>
          <cell r="AI343" t="str">
            <v>CDMDF</v>
          </cell>
        </row>
        <row r="344">
          <cell r="C344" t="str">
            <v>INE115A14EQ9</v>
          </cell>
          <cell r="D344" t="str">
            <v>FILICCP236</v>
          </cell>
          <cell r="E344" t="str">
            <v>CMP</v>
          </cell>
          <cell r="F344" t="str">
            <v>LIC Housing Finance Ltd</v>
          </cell>
          <cell r="G344" t="str">
            <v>LIC Housing Finance Ltd CP MD 17-12-2024</v>
          </cell>
          <cell r="H344">
            <v>0</v>
          </cell>
          <cell r="I344" t="str">
            <v>17-12-2024</v>
          </cell>
          <cell r="J344" t="str">
            <v>CRISIL A1+</v>
          </cell>
          <cell r="K344">
            <v>0.09</v>
          </cell>
          <cell r="L344">
            <v>500000</v>
          </cell>
          <cell r="M344">
            <v>400</v>
          </cell>
          <cell r="N344">
            <v>7.1</v>
          </cell>
          <cell r="O344">
            <v>497003</v>
          </cell>
          <cell r="P344">
            <v>198801200</v>
          </cell>
          <cell r="Q344">
            <v>0</v>
          </cell>
          <cell r="R344">
            <v>4187386.87</v>
          </cell>
          <cell r="S344">
            <v>25813.13</v>
          </cell>
          <cell r="T344">
            <v>198801200</v>
          </cell>
          <cell r="U344">
            <v>1</v>
          </cell>
          <cell r="V344">
            <v>1</v>
          </cell>
          <cell r="W344">
            <v>486470</v>
          </cell>
          <cell r="X344">
            <v>194588000</v>
          </cell>
          <cell r="Z344" t="str">
            <v>Financial Services</v>
          </cell>
          <cell r="AC344" t="str">
            <v>Housing Finance</v>
          </cell>
          <cell r="AD344">
            <v>32</v>
          </cell>
          <cell r="AE344" t="str">
            <v>Y</v>
          </cell>
          <cell r="AG344">
            <v>7.1</v>
          </cell>
          <cell r="AH344">
            <v>26916.78</v>
          </cell>
          <cell r="AI344" t="str">
            <v>FILIC</v>
          </cell>
          <cell r="AJ344" t="str">
            <v>A1+</v>
          </cell>
          <cell r="AK344" t="str">
            <v>AAA</v>
          </cell>
          <cell r="AL344" t="str">
            <v>2</v>
          </cell>
          <cell r="AM344" t="str">
            <v>1</v>
          </cell>
        </row>
        <row r="345">
          <cell r="C345" t="str">
            <v>INE115A14EV9</v>
          </cell>
          <cell r="D345" t="str">
            <v>FILICCP234</v>
          </cell>
          <cell r="E345" t="str">
            <v>CMP</v>
          </cell>
          <cell r="F345" t="str">
            <v>LIC Housing Finance Ltd</v>
          </cell>
          <cell r="G345" t="str">
            <v>LIC Housing Finance Ltd CP MD 04-03-2025</v>
          </cell>
          <cell r="H345">
            <v>0</v>
          </cell>
          <cell r="I345" t="str">
            <v>04-03-2025</v>
          </cell>
          <cell r="J345" t="str">
            <v>CRISIL A1+</v>
          </cell>
          <cell r="K345">
            <v>0.3</v>
          </cell>
          <cell r="L345">
            <v>500000</v>
          </cell>
          <cell r="M345">
            <v>500</v>
          </cell>
          <cell r="N345">
            <v>7.2549999999999999</v>
          </cell>
          <cell r="O345">
            <v>489492</v>
          </cell>
          <cell r="P345">
            <v>244746000</v>
          </cell>
          <cell r="Q345">
            <v>0</v>
          </cell>
          <cell r="R345">
            <v>12765010.949999999</v>
          </cell>
          <cell r="S345">
            <v>131239.04999999999</v>
          </cell>
          <cell r="T345">
            <v>244746000</v>
          </cell>
          <cell r="U345">
            <v>1.23</v>
          </cell>
          <cell r="V345">
            <v>1.23</v>
          </cell>
          <cell r="W345">
            <v>463699.5</v>
          </cell>
          <cell r="X345">
            <v>231849750</v>
          </cell>
          <cell r="Z345" t="str">
            <v>Financial Services</v>
          </cell>
          <cell r="AC345" t="str">
            <v>Housing Finance</v>
          </cell>
          <cell r="AD345">
            <v>109</v>
          </cell>
          <cell r="AE345" t="str">
            <v>Y</v>
          </cell>
          <cell r="AG345">
            <v>7.2549999999999999</v>
          </cell>
          <cell r="AH345">
            <v>133602.37</v>
          </cell>
          <cell r="AI345" t="str">
            <v>FILIC</v>
          </cell>
          <cell r="AJ345" t="str">
            <v>A1+</v>
          </cell>
          <cell r="AK345" t="str">
            <v>AAA</v>
          </cell>
          <cell r="AL345" t="str">
            <v>2</v>
          </cell>
          <cell r="AM345" t="str">
            <v>1</v>
          </cell>
        </row>
        <row r="346">
          <cell r="C346" t="str">
            <v>INE144H14GZ0</v>
          </cell>
          <cell r="D346" t="str">
            <v>FI35118CP209</v>
          </cell>
          <cell r="E346" t="str">
            <v>CMP</v>
          </cell>
          <cell r="F346" t="str">
            <v>Deutsche Investments India Private Ltd</v>
          </cell>
          <cell r="G346" t="str">
            <v>Deutsche Investments India Private Ltd CP MD 09-12-2024</v>
          </cell>
          <cell r="H346">
            <v>0</v>
          </cell>
          <cell r="I346" t="str">
            <v>09-12-2024</v>
          </cell>
          <cell r="J346" t="str">
            <v>CRISIL A1+</v>
          </cell>
          <cell r="K346">
            <v>7.0000000000000007E-2</v>
          </cell>
          <cell r="L346">
            <v>500000</v>
          </cell>
          <cell r="M346">
            <v>500</v>
          </cell>
          <cell r="N346">
            <v>7.5350000000000001</v>
          </cell>
          <cell r="O346">
            <v>497637.5</v>
          </cell>
          <cell r="P346">
            <v>248818750</v>
          </cell>
          <cell r="Q346">
            <v>0</v>
          </cell>
          <cell r="R346">
            <v>8527198.8699999992</v>
          </cell>
          <cell r="S346">
            <v>60051.13</v>
          </cell>
          <cell r="T346">
            <v>248818750</v>
          </cell>
          <cell r="U346">
            <v>1.25</v>
          </cell>
          <cell r="V346">
            <v>1.25</v>
          </cell>
          <cell r="W346">
            <v>480463</v>
          </cell>
          <cell r="X346">
            <v>240231500</v>
          </cell>
          <cell r="Z346" t="str">
            <v>Financial Services</v>
          </cell>
          <cell r="AC346" t="str">
            <v>Financial Services</v>
          </cell>
          <cell r="AD346">
            <v>24</v>
          </cell>
          <cell r="AE346" t="str">
            <v>Y</v>
          </cell>
          <cell r="AG346">
            <v>7.5350000000000001</v>
          </cell>
          <cell r="AH346">
            <v>62770.75</v>
          </cell>
          <cell r="AI346" t="str">
            <v>FI35118</v>
          </cell>
          <cell r="AJ346" t="str">
            <v>A1+</v>
          </cell>
          <cell r="AK346" t="str">
            <v>AAA</v>
          </cell>
          <cell r="AL346" t="str">
            <v>3</v>
          </cell>
          <cell r="AM346" t="str">
            <v>1</v>
          </cell>
        </row>
        <row r="347">
          <cell r="C347" t="str">
            <v>INE414G14TC1</v>
          </cell>
          <cell r="D347" t="str">
            <v>FI3545CP211</v>
          </cell>
          <cell r="E347" t="str">
            <v>CMP</v>
          </cell>
          <cell r="F347" t="str">
            <v>Muthoot Finance Ltd</v>
          </cell>
          <cell r="G347" t="str">
            <v>Muthoot Finance CP MD 25-02-2025</v>
          </cell>
          <cell r="H347">
            <v>0</v>
          </cell>
          <cell r="I347" t="str">
            <v>25-02-2025</v>
          </cell>
          <cell r="J347" t="str">
            <v>CRISIL A1+</v>
          </cell>
          <cell r="K347">
            <v>0.28000000000000003</v>
          </cell>
          <cell r="L347">
            <v>500000</v>
          </cell>
          <cell r="M347">
            <v>1000</v>
          </cell>
          <cell r="N347">
            <v>7.7401</v>
          </cell>
          <cell r="O347">
            <v>489516</v>
          </cell>
          <cell r="P347">
            <v>489516000</v>
          </cell>
          <cell r="Q347">
            <v>0</v>
          </cell>
          <cell r="R347">
            <v>16852856.280000001</v>
          </cell>
          <cell r="S347">
            <v>427143.72</v>
          </cell>
          <cell r="T347">
            <v>489516000</v>
          </cell>
          <cell r="U347">
            <v>2.46</v>
          </cell>
          <cell r="V347">
            <v>2.46</v>
          </cell>
          <cell r="W347">
            <v>472236</v>
          </cell>
          <cell r="X347">
            <v>472236000</v>
          </cell>
          <cell r="Z347" t="str">
            <v>Financial Services</v>
          </cell>
          <cell r="AC347" t="str">
            <v>Financial Services</v>
          </cell>
          <cell r="AD347">
            <v>102</v>
          </cell>
          <cell r="AE347" t="str">
            <v>Y</v>
          </cell>
          <cell r="AG347">
            <v>7.7401</v>
          </cell>
          <cell r="AH347">
            <v>433174.85</v>
          </cell>
          <cell r="AI347" t="str">
            <v>FI3545</v>
          </cell>
          <cell r="AJ347" t="str">
            <v>A1+</v>
          </cell>
          <cell r="AK347" t="str">
            <v>AA+</v>
          </cell>
          <cell r="AL347" t="str">
            <v>3</v>
          </cell>
          <cell r="AM347" t="str">
            <v>2</v>
          </cell>
        </row>
        <row r="348">
          <cell r="C348" t="str">
            <v>INE417C14710</v>
          </cell>
          <cell r="D348" t="str">
            <v>FI35119CP201</v>
          </cell>
          <cell r="E348" t="str">
            <v>CMP</v>
          </cell>
          <cell r="F348" t="str">
            <v>Pilani Investment and Industries Corporation Ltd.</v>
          </cell>
          <cell r="G348" t="str">
            <v>Pilani Investment &amp; Industries Corporation Ltd CP MD 21-03-2025</v>
          </cell>
          <cell r="H348">
            <v>0</v>
          </cell>
          <cell r="I348" t="str">
            <v>21-03-2025</v>
          </cell>
          <cell r="J348" t="str">
            <v>CRISIL A1+</v>
          </cell>
          <cell r="K348">
            <v>0.35</v>
          </cell>
          <cell r="L348">
            <v>500000</v>
          </cell>
          <cell r="M348">
            <v>500</v>
          </cell>
          <cell r="N348">
            <v>7.9050000000000002</v>
          </cell>
          <cell r="O348">
            <v>486821</v>
          </cell>
          <cell r="P348">
            <v>243410500</v>
          </cell>
          <cell r="Q348">
            <v>0</v>
          </cell>
          <cell r="R348">
            <v>12877972.800000001</v>
          </cell>
          <cell r="S348">
            <v>117777.2</v>
          </cell>
          <cell r="T348">
            <v>243410500</v>
          </cell>
          <cell r="U348">
            <v>1.22</v>
          </cell>
          <cell r="V348">
            <v>1.22</v>
          </cell>
          <cell r="W348">
            <v>460829.5</v>
          </cell>
          <cell r="X348">
            <v>230414750</v>
          </cell>
          <cell r="Z348" t="str">
            <v>Financial Services</v>
          </cell>
          <cell r="AC348" t="str">
            <v>Financial Services</v>
          </cell>
          <cell r="AD348">
            <v>126</v>
          </cell>
          <cell r="AE348" t="str">
            <v>Y</v>
          </cell>
          <cell r="AG348">
            <v>7.9050000000000002</v>
          </cell>
          <cell r="AH348">
            <v>120185.42</v>
          </cell>
          <cell r="AI348" t="str">
            <v>FI35119</v>
          </cell>
          <cell r="AJ348" t="str">
            <v>A1+</v>
          </cell>
          <cell r="AK348" t="str">
            <v>AA+</v>
          </cell>
          <cell r="AL348" t="str">
            <v>3</v>
          </cell>
          <cell r="AM348" t="str">
            <v>2</v>
          </cell>
        </row>
        <row r="349">
          <cell r="C349" t="str">
            <v>INE477S14CC9</v>
          </cell>
          <cell r="D349" t="str">
            <v>FI3519CP234</v>
          </cell>
          <cell r="E349" t="str">
            <v>CMP</v>
          </cell>
          <cell r="F349" t="str">
            <v>Tata Motors Finance Ltd</v>
          </cell>
          <cell r="G349" t="str">
            <v>Tata Motors Finance Ltd CP MD 11-03-2025</v>
          </cell>
          <cell r="H349">
            <v>0</v>
          </cell>
          <cell r="I349" t="str">
            <v>11-03-2025</v>
          </cell>
          <cell r="J349" t="str">
            <v>CRISIL A1+</v>
          </cell>
          <cell r="K349">
            <v>0.32</v>
          </cell>
          <cell r="L349">
            <v>500000</v>
          </cell>
          <cell r="M349">
            <v>1000</v>
          </cell>
          <cell r="N349">
            <v>7.7</v>
          </cell>
          <cell r="O349">
            <v>488157</v>
          </cell>
          <cell r="P349">
            <v>488157000</v>
          </cell>
          <cell r="Q349">
            <v>0</v>
          </cell>
          <cell r="R349">
            <v>16664659.68</v>
          </cell>
          <cell r="S349">
            <v>286340.32</v>
          </cell>
          <cell r="T349">
            <v>488157000</v>
          </cell>
          <cell r="U349">
            <v>2.4500000000000002</v>
          </cell>
          <cell r="V349">
            <v>2.4500000000000002</v>
          </cell>
          <cell r="W349">
            <v>471206</v>
          </cell>
          <cell r="X349">
            <v>471206000</v>
          </cell>
          <cell r="Z349" t="str">
            <v>Financial Services</v>
          </cell>
          <cell r="AC349" t="str">
            <v>Financial Services</v>
          </cell>
          <cell r="AD349">
            <v>116</v>
          </cell>
          <cell r="AE349" t="str">
            <v>Y</v>
          </cell>
          <cell r="AG349">
            <v>7.7</v>
          </cell>
          <cell r="AH349">
            <v>291312.84000000003</v>
          </cell>
          <cell r="AI349" t="str">
            <v>CN2336</v>
          </cell>
          <cell r="AJ349" t="str">
            <v>A1+</v>
          </cell>
          <cell r="AK349" t="str">
            <v>AA+</v>
          </cell>
          <cell r="AL349" t="str">
            <v>3</v>
          </cell>
          <cell r="AM349" t="str">
            <v>2</v>
          </cell>
        </row>
        <row r="350">
          <cell r="C350" t="str">
            <v>INE556F14KG1</v>
          </cell>
          <cell r="D350" t="str">
            <v>FI3405CP294</v>
          </cell>
          <cell r="E350" t="str">
            <v>CMP</v>
          </cell>
          <cell r="F350" t="str">
            <v>Small Industries Development Bank of India</v>
          </cell>
          <cell r="G350" t="str">
            <v>Small Industries Development Bank of India CP MD 28-02-2025</v>
          </cell>
          <cell r="H350">
            <v>0</v>
          </cell>
          <cell r="I350" t="str">
            <v>28-02-2025</v>
          </cell>
          <cell r="J350" t="str">
            <v>CRISIL A1+</v>
          </cell>
          <cell r="K350">
            <v>0.28999999999999998</v>
          </cell>
          <cell r="L350">
            <v>500000</v>
          </cell>
          <cell r="M350">
            <v>1000</v>
          </cell>
          <cell r="N350">
            <v>7.2249999999999996</v>
          </cell>
          <cell r="O350">
            <v>489914.5</v>
          </cell>
          <cell r="P350">
            <v>489914500</v>
          </cell>
          <cell r="Q350">
            <v>0</v>
          </cell>
          <cell r="R350">
            <v>17955360.649999999</v>
          </cell>
          <cell r="S350">
            <v>118639.35</v>
          </cell>
          <cell r="T350">
            <v>489914500</v>
          </cell>
          <cell r="U350">
            <v>2.46</v>
          </cell>
          <cell r="V350">
            <v>2.46</v>
          </cell>
          <cell r="W350">
            <v>471840.5</v>
          </cell>
          <cell r="X350">
            <v>471840500</v>
          </cell>
          <cell r="Z350" t="str">
            <v>Financial Services</v>
          </cell>
          <cell r="AC350" t="str">
            <v>Exempt - PFI</v>
          </cell>
          <cell r="AD350">
            <v>105</v>
          </cell>
          <cell r="AE350" t="str">
            <v>Y</v>
          </cell>
          <cell r="AG350">
            <v>7.2249999999999996</v>
          </cell>
          <cell r="AH350">
            <v>121756.07</v>
          </cell>
          <cell r="AI350" t="str">
            <v>FI3405</v>
          </cell>
          <cell r="AJ350" t="str">
            <v>A1+</v>
          </cell>
          <cell r="AK350" t="str">
            <v>AAA</v>
          </cell>
          <cell r="AL350" t="str">
            <v>1</v>
          </cell>
          <cell r="AM350" t="str">
            <v>1</v>
          </cell>
        </row>
        <row r="351">
          <cell r="C351" t="str">
            <v>INE556F14KH9</v>
          </cell>
          <cell r="D351" t="str">
            <v>FI3405CP296</v>
          </cell>
          <cell r="E351" t="str">
            <v>CMP</v>
          </cell>
          <cell r="F351" t="str">
            <v>Small Industries Development Bank of India</v>
          </cell>
          <cell r="G351" t="str">
            <v>Small Industries Development Bank of India CMP 28 05 2025</v>
          </cell>
          <cell r="H351">
            <v>0</v>
          </cell>
          <cell r="I351" t="str">
            <v>28-05-2025</v>
          </cell>
          <cell r="J351" t="str">
            <v>CRISIL A1+</v>
          </cell>
          <cell r="K351">
            <v>0.53</v>
          </cell>
          <cell r="L351">
            <v>500000</v>
          </cell>
          <cell r="M351">
            <v>300</v>
          </cell>
          <cell r="N351">
            <v>7.4450000000000003</v>
          </cell>
          <cell r="O351">
            <v>481062.5</v>
          </cell>
          <cell r="P351">
            <v>144318750</v>
          </cell>
          <cell r="Q351">
            <v>0</v>
          </cell>
          <cell r="R351">
            <v>4883036.08</v>
          </cell>
          <cell r="S351">
            <v>-3986.08</v>
          </cell>
          <cell r="T351">
            <v>144318750</v>
          </cell>
          <cell r="U351">
            <v>0.72</v>
          </cell>
          <cell r="V351">
            <v>0.72</v>
          </cell>
          <cell r="W351">
            <v>464799</v>
          </cell>
          <cell r="X351">
            <v>139439700</v>
          </cell>
          <cell r="Z351" t="str">
            <v>Financial Services</v>
          </cell>
          <cell r="AC351" t="str">
            <v>Exempt - PFI</v>
          </cell>
          <cell r="AD351">
            <v>194</v>
          </cell>
          <cell r="AE351" t="str">
            <v>Y</v>
          </cell>
          <cell r="AG351">
            <v>7.4450000000000003</v>
          </cell>
          <cell r="AH351">
            <v>-2920.2</v>
          </cell>
          <cell r="AI351" t="str">
            <v>FI3405</v>
          </cell>
          <cell r="AJ351" t="str">
            <v>A1+</v>
          </cell>
          <cell r="AK351" t="str">
            <v>AAA</v>
          </cell>
          <cell r="AL351" t="str">
            <v>1</v>
          </cell>
          <cell r="AM351" t="str">
            <v>1</v>
          </cell>
        </row>
        <row r="352">
          <cell r="C352" t="str">
            <v>INE572E14JM1</v>
          </cell>
          <cell r="D352" t="str">
            <v>FI3333CP237</v>
          </cell>
          <cell r="E352" t="str">
            <v>CMP</v>
          </cell>
          <cell r="F352" t="str">
            <v>PNB Housing Finance Ltd</v>
          </cell>
          <cell r="G352" t="str">
            <v>PNB Housing Finance CP MD 25-09-2025</v>
          </cell>
          <cell r="H352">
            <v>0</v>
          </cell>
          <cell r="I352" t="str">
            <v>25-09-2025</v>
          </cell>
          <cell r="J352" t="str">
            <v>CRISIL A1+</v>
          </cell>
          <cell r="K352">
            <v>0.86</v>
          </cell>
          <cell r="L352">
            <v>500000</v>
          </cell>
          <cell r="M352">
            <v>700</v>
          </cell>
          <cell r="N352">
            <v>7.75</v>
          </cell>
          <cell r="O352">
            <v>468841.5</v>
          </cell>
          <cell r="P352">
            <v>328189050</v>
          </cell>
          <cell r="Q352">
            <v>0</v>
          </cell>
          <cell r="R352">
            <v>3702129.32</v>
          </cell>
          <cell r="S352">
            <v>473020.68</v>
          </cell>
          <cell r="T352">
            <v>328189050</v>
          </cell>
          <cell r="U352">
            <v>1.65</v>
          </cell>
          <cell r="V352">
            <v>1.65</v>
          </cell>
          <cell r="W352">
            <v>462877</v>
          </cell>
          <cell r="X352">
            <v>324013900</v>
          </cell>
          <cell r="Z352" t="str">
            <v>Financial Services</v>
          </cell>
          <cell r="AC352" t="str">
            <v>Housing Finance</v>
          </cell>
          <cell r="AD352">
            <v>314</v>
          </cell>
          <cell r="AE352" t="str">
            <v>Y</v>
          </cell>
          <cell r="AG352">
            <v>7.75</v>
          </cell>
          <cell r="AH352">
            <v>478765.47</v>
          </cell>
          <cell r="AI352" t="str">
            <v>FI3333</v>
          </cell>
          <cell r="AJ352" t="str">
            <v>A1+</v>
          </cell>
          <cell r="AK352" t="str">
            <v>AA+</v>
          </cell>
          <cell r="AL352" t="str">
            <v>3</v>
          </cell>
          <cell r="AM352" t="str">
            <v>2</v>
          </cell>
        </row>
        <row r="353">
          <cell r="C353" t="str">
            <v>INE763G14TE7</v>
          </cell>
          <cell r="D353" t="str">
            <v>FI3418CP230</v>
          </cell>
          <cell r="E353" t="str">
            <v>CMP</v>
          </cell>
          <cell r="F353" t="str">
            <v>ICICI Securities Ltd</v>
          </cell>
          <cell r="G353" t="str">
            <v>ICICI Securities Ltd CP MD 21-02-2025</v>
          </cell>
          <cell r="H353">
            <v>0</v>
          </cell>
          <cell r="I353" t="str">
            <v>21-02-2025</v>
          </cell>
          <cell r="J353" t="str">
            <v>CRISIL A1+</v>
          </cell>
          <cell r="K353">
            <v>0.27</v>
          </cell>
          <cell r="L353">
            <v>500000</v>
          </cell>
          <cell r="M353">
            <v>300</v>
          </cell>
          <cell r="N353">
            <v>7.61</v>
          </cell>
          <cell r="O353">
            <v>490089</v>
          </cell>
          <cell r="P353">
            <v>147026700</v>
          </cell>
          <cell r="Q353">
            <v>0</v>
          </cell>
          <cell r="R353">
            <v>8630555.0700000003</v>
          </cell>
          <cell r="S353">
            <v>162144.93</v>
          </cell>
          <cell r="T353">
            <v>147026700</v>
          </cell>
          <cell r="U353">
            <v>0.74</v>
          </cell>
          <cell r="V353">
            <v>0.74</v>
          </cell>
          <cell r="W353">
            <v>460780</v>
          </cell>
          <cell r="X353">
            <v>138234000</v>
          </cell>
          <cell r="Z353" t="str">
            <v>Financial Services</v>
          </cell>
          <cell r="AC353" t="str">
            <v>Financial Services</v>
          </cell>
          <cell r="AD353">
            <v>98</v>
          </cell>
          <cell r="AE353" t="str">
            <v>Y</v>
          </cell>
          <cell r="AG353">
            <v>7.61</v>
          </cell>
          <cell r="AH353">
            <v>164319.1</v>
          </cell>
          <cell r="AI353" t="str">
            <v>FI3418</v>
          </cell>
          <cell r="AJ353" t="str">
            <v>A1+</v>
          </cell>
          <cell r="AK353" t="str">
            <v>AAA</v>
          </cell>
          <cell r="AL353" t="str">
            <v>2</v>
          </cell>
          <cell r="AM353" t="str">
            <v>1</v>
          </cell>
        </row>
        <row r="354">
          <cell r="C354" t="str">
            <v>INE763G14TX7</v>
          </cell>
          <cell r="D354" t="str">
            <v>FI3418CP243</v>
          </cell>
          <cell r="E354" t="str">
            <v>CMP</v>
          </cell>
          <cell r="F354" t="str">
            <v>ICICI Securities Ltd</v>
          </cell>
          <cell r="G354" t="str">
            <v>ICICI Securities Ltd  CP MD 10-03-2025</v>
          </cell>
          <cell r="H354">
            <v>0</v>
          </cell>
          <cell r="I354" t="str">
            <v>10-03-2025</v>
          </cell>
          <cell r="J354" t="str">
            <v>CRISIL A1+</v>
          </cell>
          <cell r="K354">
            <v>0.32</v>
          </cell>
          <cell r="L354">
            <v>500000</v>
          </cell>
          <cell r="M354">
            <v>200</v>
          </cell>
          <cell r="N354">
            <v>7.62</v>
          </cell>
          <cell r="O354">
            <v>488377</v>
          </cell>
          <cell r="P354">
            <v>97675400</v>
          </cell>
          <cell r="Q354">
            <v>0</v>
          </cell>
          <cell r="R354">
            <v>614208.30000000005</v>
          </cell>
          <cell r="S354">
            <v>9391.7000000000007</v>
          </cell>
          <cell r="T354">
            <v>97675400</v>
          </cell>
          <cell r="U354">
            <v>0.49</v>
          </cell>
          <cell r="V354">
            <v>0.49</v>
          </cell>
          <cell r="W354">
            <v>485259</v>
          </cell>
          <cell r="X354">
            <v>97051800</v>
          </cell>
          <cell r="Z354" t="str">
            <v>Financial Services</v>
          </cell>
          <cell r="AC354" t="str">
            <v>Financial Services</v>
          </cell>
          <cell r="AD354">
            <v>115</v>
          </cell>
          <cell r="AE354" t="str">
            <v>Y</v>
          </cell>
          <cell r="AG354">
            <v>7.62</v>
          </cell>
          <cell r="AH354">
            <v>9965.31</v>
          </cell>
          <cell r="AI354" t="str">
            <v>FI3418</v>
          </cell>
          <cell r="AJ354" t="str">
            <v>A1+</v>
          </cell>
          <cell r="AK354" t="str">
            <v>AAA</v>
          </cell>
          <cell r="AL354" t="str">
            <v>2</v>
          </cell>
          <cell r="AM354" t="str">
            <v>1</v>
          </cell>
        </row>
        <row r="355">
          <cell r="C355" t="str">
            <v>INE790I14EV2</v>
          </cell>
          <cell r="D355" t="str">
            <v>FI35117CP210</v>
          </cell>
          <cell r="E355" t="str">
            <v>CMP</v>
          </cell>
          <cell r="F355" t="str">
            <v>HSBC InvestDirect Financial Services India Limited</v>
          </cell>
          <cell r="G355" t="str">
            <v>HSBC InvestDirect Financial Services India Ltd CP MD 24-12-2024</v>
          </cell>
          <cell r="H355">
            <v>0</v>
          </cell>
          <cell r="I355" t="str">
            <v>24-12-2024</v>
          </cell>
          <cell r="J355" t="str">
            <v>CRISIL A1+</v>
          </cell>
          <cell r="K355">
            <v>0.11</v>
          </cell>
          <cell r="L355">
            <v>500000</v>
          </cell>
          <cell r="M355">
            <v>500</v>
          </cell>
          <cell r="N355">
            <v>7.5750999999999999</v>
          </cell>
          <cell r="O355">
            <v>496088</v>
          </cell>
          <cell r="P355">
            <v>248044000</v>
          </cell>
          <cell r="Q355">
            <v>0</v>
          </cell>
          <cell r="R355">
            <v>8811143.5899999999</v>
          </cell>
          <cell r="S355">
            <v>85606.41</v>
          </cell>
          <cell r="T355">
            <v>248044000</v>
          </cell>
          <cell r="U355">
            <v>1.24</v>
          </cell>
          <cell r="V355">
            <v>1.24</v>
          </cell>
          <cell r="W355">
            <v>478294.5</v>
          </cell>
          <cell r="X355">
            <v>239147250</v>
          </cell>
          <cell r="Z355" t="str">
            <v>Financial Services</v>
          </cell>
          <cell r="AC355" t="str">
            <v>Financial Services</v>
          </cell>
          <cell r="AD355">
            <v>39</v>
          </cell>
          <cell r="AE355" t="str">
            <v>Y</v>
          </cell>
          <cell r="AG355">
            <v>7.5750999999999999</v>
          </cell>
          <cell r="AH355">
            <v>88082.89</v>
          </cell>
          <cell r="AI355" t="str">
            <v>FI35117</v>
          </cell>
          <cell r="AJ355" t="str">
            <v>A1+</v>
          </cell>
          <cell r="AK355" t="str">
            <v>AAA</v>
          </cell>
          <cell r="AL355" t="str">
            <v>3</v>
          </cell>
          <cell r="AM355" t="str">
            <v>1</v>
          </cell>
        </row>
        <row r="356">
          <cell r="C356" t="str">
            <v>INE01GA16228</v>
          </cell>
          <cell r="D356" t="str">
            <v>FI3378CD206</v>
          </cell>
          <cell r="E356" t="str">
            <v>COD</v>
          </cell>
          <cell r="F356" t="str">
            <v>DBS BANK LTD</v>
          </cell>
          <cell r="G356" t="str">
            <v>DBS BANK LTD INDIA COD MD 07-03-2025</v>
          </cell>
          <cell r="H356">
            <v>0</v>
          </cell>
          <cell r="I356" t="str">
            <v>07-03-2025</v>
          </cell>
          <cell r="J356" t="str">
            <v>CRISIL A1+</v>
          </cell>
          <cell r="K356">
            <v>0.31</v>
          </cell>
          <cell r="L356">
            <v>500000</v>
          </cell>
          <cell r="M356">
            <v>300</v>
          </cell>
          <cell r="N356">
            <v>7.2652000000000001</v>
          </cell>
          <cell r="O356">
            <v>489192</v>
          </cell>
          <cell r="P356">
            <v>146757600</v>
          </cell>
          <cell r="Q356">
            <v>0</v>
          </cell>
          <cell r="R356">
            <v>7579707.9800000004</v>
          </cell>
          <cell r="S356">
            <v>69992.02</v>
          </cell>
          <cell r="T356">
            <v>146757600</v>
          </cell>
          <cell r="U356">
            <v>0.74</v>
          </cell>
          <cell r="V356">
            <v>0.74</v>
          </cell>
          <cell r="W356">
            <v>463693</v>
          </cell>
          <cell r="X356">
            <v>139107900</v>
          </cell>
          <cell r="Z356" t="str">
            <v>Financial Services</v>
          </cell>
          <cell r="AC356" t="str">
            <v>CD - EXEMPT</v>
          </cell>
          <cell r="AD356">
            <v>112</v>
          </cell>
          <cell r="AE356" t="str">
            <v>Y</v>
          </cell>
          <cell r="AG356">
            <v>7.2652000000000001</v>
          </cell>
          <cell r="AH356">
            <v>71183.39</v>
          </cell>
          <cell r="AI356" t="str">
            <v>FI3378</v>
          </cell>
          <cell r="AJ356" t="str">
            <v>A1+</v>
          </cell>
          <cell r="AK356" t="str">
            <v>AAA</v>
          </cell>
          <cell r="AL356" t="str">
            <v>2</v>
          </cell>
          <cell r="AM356" t="str">
            <v>1</v>
          </cell>
        </row>
        <row r="357">
          <cell r="C357" t="str">
            <v>INE028A16FL7</v>
          </cell>
          <cell r="D357" t="str">
            <v>FI3369CD293</v>
          </cell>
          <cell r="E357" t="str">
            <v>COD</v>
          </cell>
          <cell r="F357" t="str">
            <v>Bank of Baroda</v>
          </cell>
          <cell r="G357" t="str">
            <v>Bank of Baroda COD MD 10-03-2025</v>
          </cell>
          <cell r="H357">
            <v>0</v>
          </cell>
          <cell r="I357" t="str">
            <v>10-03-2025</v>
          </cell>
          <cell r="J357" t="str">
            <v>IND A1+</v>
          </cell>
          <cell r="K357">
            <v>0.32</v>
          </cell>
          <cell r="L357">
            <v>500000</v>
          </cell>
          <cell r="M357">
            <v>500</v>
          </cell>
          <cell r="N357">
            <v>7.1708999999999996</v>
          </cell>
          <cell r="O357">
            <v>489047</v>
          </cell>
          <cell r="P357">
            <v>244523500</v>
          </cell>
          <cell r="Q357">
            <v>0</v>
          </cell>
          <cell r="R357">
            <v>3959653.95</v>
          </cell>
          <cell r="S357">
            <v>96346.05</v>
          </cell>
          <cell r="T357">
            <v>244523500</v>
          </cell>
          <cell r="U357">
            <v>1.23</v>
          </cell>
          <cell r="V357">
            <v>1.23</v>
          </cell>
          <cell r="W357">
            <v>480935</v>
          </cell>
          <cell r="X357">
            <v>240467500</v>
          </cell>
          <cell r="Z357" t="str">
            <v>Financial Services</v>
          </cell>
          <cell r="AC357" t="str">
            <v>CD - EXEMPT</v>
          </cell>
          <cell r="AD357">
            <v>115</v>
          </cell>
          <cell r="AE357" t="str">
            <v>Y</v>
          </cell>
          <cell r="AG357">
            <v>7.1708999999999996</v>
          </cell>
          <cell r="AH357">
            <v>98230.67</v>
          </cell>
          <cell r="AI357" t="str">
            <v>FI3369</v>
          </cell>
          <cell r="AJ357" t="str">
            <v>A1+</v>
          </cell>
          <cell r="AK357" t="str">
            <v>AAA</v>
          </cell>
          <cell r="AL357" t="str">
            <v>1</v>
          </cell>
          <cell r="AM357" t="str">
            <v>1</v>
          </cell>
        </row>
        <row r="358">
          <cell r="C358" t="str">
            <v>INE028A16FO1</v>
          </cell>
          <cell r="D358" t="str">
            <v>FI3369CD286</v>
          </cell>
          <cell r="E358" t="str">
            <v>COD</v>
          </cell>
          <cell r="F358" t="str">
            <v>Bank of Baroda</v>
          </cell>
          <cell r="G358" t="str">
            <v>Bank of Baroda COD MD 25-11-2024</v>
          </cell>
          <cell r="H358">
            <v>0</v>
          </cell>
          <cell r="I358" t="str">
            <v>25-11-2024</v>
          </cell>
          <cell r="J358" t="str">
            <v>IND A1+</v>
          </cell>
          <cell r="K358">
            <v>0.03</v>
          </cell>
          <cell r="L358">
            <v>500000</v>
          </cell>
          <cell r="M358">
            <v>800</v>
          </cell>
          <cell r="N358">
            <v>6.7701000000000002</v>
          </cell>
          <cell r="O358">
            <v>499167</v>
          </cell>
          <cell r="P358">
            <v>399333600</v>
          </cell>
          <cell r="Q358">
            <v>0</v>
          </cell>
          <cell r="R358">
            <v>13756921.08</v>
          </cell>
          <cell r="S358">
            <v>37078.92</v>
          </cell>
          <cell r="T358">
            <v>399333600</v>
          </cell>
          <cell r="U358">
            <v>2</v>
          </cell>
          <cell r="V358">
            <v>2</v>
          </cell>
          <cell r="W358">
            <v>481924.5</v>
          </cell>
          <cell r="X358">
            <v>385539600</v>
          </cell>
          <cell r="Z358" t="str">
            <v>Financial Services</v>
          </cell>
          <cell r="AC358" t="str">
            <v>CD - EXEMPT</v>
          </cell>
          <cell r="AD358">
            <v>10</v>
          </cell>
          <cell r="AE358" t="str">
            <v>Y</v>
          </cell>
          <cell r="AG358">
            <v>6.7701000000000002</v>
          </cell>
          <cell r="AH358">
            <v>41243.24</v>
          </cell>
          <cell r="AI358" t="str">
            <v>FI3369</v>
          </cell>
          <cell r="AJ358" t="str">
            <v>A1+</v>
          </cell>
          <cell r="AK358" t="str">
            <v>AAA</v>
          </cell>
          <cell r="AL358" t="str">
            <v>1</v>
          </cell>
          <cell r="AM358" t="str">
            <v>1</v>
          </cell>
        </row>
        <row r="359">
          <cell r="C359" t="str">
            <v>INE028A16GP6</v>
          </cell>
          <cell r="D359" t="str">
            <v>FI3369CD296</v>
          </cell>
          <cell r="E359" t="str">
            <v>COD</v>
          </cell>
          <cell r="F359" t="str">
            <v>Bank of Baroda</v>
          </cell>
          <cell r="G359" t="str">
            <v>Bank of Baroda COD MD 05-05-2025</v>
          </cell>
          <cell r="H359">
            <v>0</v>
          </cell>
          <cell r="I359" t="str">
            <v>05-05-2025</v>
          </cell>
          <cell r="J359" t="str">
            <v>IND A1+</v>
          </cell>
          <cell r="K359">
            <v>0.47</v>
          </cell>
          <cell r="L359">
            <v>500000</v>
          </cell>
          <cell r="M359">
            <v>900</v>
          </cell>
          <cell r="N359">
            <v>7.375</v>
          </cell>
          <cell r="O359">
            <v>483396</v>
          </cell>
          <cell r="P359">
            <v>435056400</v>
          </cell>
          <cell r="Q359">
            <v>0</v>
          </cell>
          <cell r="R359">
            <v>2717473.95</v>
          </cell>
          <cell r="S359">
            <v>-41323.949999999997</v>
          </cell>
          <cell r="T359">
            <v>435056400</v>
          </cell>
          <cell r="U359">
            <v>2.1800000000000002</v>
          </cell>
          <cell r="V359">
            <v>2.1800000000000002</v>
          </cell>
          <cell r="W359">
            <v>480422.5</v>
          </cell>
          <cell r="X359">
            <v>432380250</v>
          </cell>
          <cell r="Z359" t="str">
            <v>Financial Services</v>
          </cell>
          <cell r="AC359" t="str">
            <v>CD - EXEMPT</v>
          </cell>
          <cell r="AD359">
            <v>171</v>
          </cell>
          <cell r="AE359" t="str">
            <v>N</v>
          </cell>
          <cell r="AG359">
            <v>7.375</v>
          </cell>
          <cell r="AH359">
            <v>-38713.5</v>
          </cell>
          <cell r="AI359" t="str">
            <v>FI3369</v>
          </cell>
          <cell r="AJ359" t="str">
            <v>A1+</v>
          </cell>
          <cell r="AK359" t="str">
            <v>AAA</v>
          </cell>
          <cell r="AL359" t="str">
            <v>1</v>
          </cell>
          <cell r="AM359" t="str">
            <v>1</v>
          </cell>
        </row>
        <row r="360">
          <cell r="C360" t="str">
            <v>INE040A16EN1</v>
          </cell>
          <cell r="D360" t="str">
            <v>FI3310CD279</v>
          </cell>
          <cell r="E360" t="str">
            <v>COD</v>
          </cell>
          <cell r="F360" t="str">
            <v>HDFC Bank Ltd</v>
          </cell>
          <cell r="G360" t="str">
            <v>HDFC BANK LTD CD MD 20-02-2025</v>
          </cell>
          <cell r="H360">
            <v>0</v>
          </cell>
          <cell r="I360" t="str">
            <v>20-02-2025</v>
          </cell>
          <cell r="J360" t="str">
            <v>CRISIL A1+</v>
          </cell>
          <cell r="K360">
            <v>0.27</v>
          </cell>
          <cell r="L360">
            <v>500000</v>
          </cell>
          <cell r="M360">
            <v>300</v>
          </cell>
          <cell r="N360">
            <v>7.1750999999999996</v>
          </cell>
          <cell r="O360">
            <v>490739.5</v>
          </cell>
          <cell r="P360">
            <v>147221850</v>
          </cell>
          <cell r="Q360">
            <v>0</v>
          </cell>
          <cell r="R360">
            <v>8074863.9199999999</v>
          </cell>
          <cell r="S360">
            <v>103586.08</v>
          </cell>
          <cell r="T360">
            <v>147221850</v>
          </cell>
          <cell r="U360">
            <v>0.74</v>
          </cell>
          <cell r="V360">
            <v>0.74</v>
          </cell>
          <cell r="W360">
            <v>463478</v>
          </cell>
          <cell r="X360">
            <v>139043400</v>
          </cell>
          <cell r="Z360" t="str">
            <v>Financial Services</v>
          </cell>
          <cell r="AC360" t="str">
            <v>CD - EXEMPT</v>
          </cell>
          <cell r="AD360">
            <v>97</v>
          </cell>
          <cell r="AE360" t="str">
            <v>Y</v>
          </cell>
          <cell r="AG360">
            <v>7.1750999999999996</v>
          </cell>
          <cell r="AH360">
            <v>105104.16</v>
          </cell>
          <cell r="AI360" t="str">
            <v>FI3310</v>
          </cell>
          <cell r="AJ360" t="str">
            <v>A1+</v>
          </cell>
          <cell r="AK360" t="str">
            <v>AAA</v>
          </cell>
          <cell r="AL360" t="str">
            <v>2</v>
          </cell>
          <cell r="AM360" t="str">
            <v>1</v>
          </cell>
        </row>
        <row r="361">
          <cell r="C361" t="str">
            <v>INE040A16FM0</v>
          </cell>
          <cell r="D361" t="str">
            <v>FI3310CD291</v>
          </cell>
          <cell r="E361" t="str">
            <v>COD</v>
          </cell>
          <cell r="F361" t="str">
            <v>HDFC Bank Ltd</v>
          </cell>
          <cell r="G361" t="str">
            <v>HDFC Bank Ltd COD MD 19-09-2025</v>
          </cell>
          <cell r="H361">
            <v>0</v>
          </cell>
          <cell r="I361" t="str">
            <v>19-09-2025</v>
          </cell>
          <cell r="J361" t="str">
            <v>CRISIL A1+</v>
          </cell>
          <cell r="K361">
            <v>0.84</v>
          </cell>
          <cell r="L361">
            <v>500000</v>
          </cell>
          <cell r="M361">
            <v>1600</v>
          </cell>
          <cell r="N361">
            <v>7.51</v>
          </cell>
          <cell r="O361">
            <v>470293.5</v>
          </cell>
          <cell r="P361">
            <v>752469600</v>
          </cell>
          <cell r="Q361">
            <v>0</v>
          </cell>
          <cell r="R361">
            <v>7141517.2699999996</v>
          </cell>
          <cell r="S361">
            <v>-296517.27</v>
          </cell>
          <cell r="T361">
            <v>752469600</v>
          </cell>
          <cell r="U361">
            <v>3.78</v>
          </cell>
          <cell r="V361">
            <v>3.78</v>
          </cell>
          <cell r="W361">
            <v>466015.375</v>
          </cell>
          <cell r="X361">
            <v>745624600</v>
          </cell>
          <cell r="Z361" t="str">
            <v>Financial Services</v>
          </cell>
          <cell r="AC361" t="str">
            <v>CD - EXEMPT</v>
          </cell>
          <cell r="AD361">
            <v>308</v>
          </cell>
          <cell r="AE361" t="str">
            <v>Y</v>
          </cell>
          <cell r="AG361">
            <v>7.51</v>
          </cell>
          <cell r="AH361">
            <v>-288260.96999999997</v>
          </cell>
          <cell r="AI361" t="str">
            <v>FI3310</v>
          </cell>
          <cell r="AJ361" t="str">
            <v>A1+</v>
          </cell>
          <cell r="AK361" t="str">
            <v>AAA</v>
          </cell>
          <cell r="AL361" t="str">
            <v>2</v>
          </cell>
          <cell r="AM361" t="str">
            <v>1</v>
          </cell>
        </row>
        <row r="362">
          <cell r="C362" t="str">
            <v>INE090AD6105</v>
          </cell>
          <cell r="D362" t="str">
            <v>FI3305CD367</v>
          </cell>
          <cell r="E362" t="str">
            <v>COD</v>
          </cell>
          <cell r="F362" t="str">
            <v>ICICI Bank Ltd</v>
          </cell>
          <cell r="G362" t="str">
            <v>ICICI Bank Ltd COD MD 06-12-2024</v>
          </cell>
          <cell r="H362">
            <v>0</v>
          </cell>
          <cell r="I362" t="str">
            <v>06-12-2024</v>
          </cell>
          <cell r="J362" t="str">
            <v>ICRA A1+</v>
          </cell>
          <cell r="K362">
            <v>0.06</v>
          </cell>
          <cell r="L362">
            <v>500000</v>
          </cell>
          <cell r="M362">
            <v>1000</v>
          </cell>
          <cell r="N362">
            <v>6.7701000000000002</v>
          </cell>
          <cell r="O362">
            <v>498152</v>
          </cell>
          <cell r="P362">
            <v>498152000</v>
          </cell>
          <cell r="Q362">
            <v>0</v>
          </cell>
          <cell r="R362">
            <v>23426716.510000002</v>
          </cell>
          <cell r="S362">
            <v>154283.49</v>
          </cell>
          <cell r="T362">
            <v>498152000</v>
          </cell>
          <cell r="U362">
            <v>2.5</v>
          </cell>
          <cell r="V362">
            <v>2.5</v>
          </cell>
          <cell r="W362">
            <v>474571</v>
          </cell>
          <cell r="X362">
            <v>474571000</v>
          </cell>
          <cell r="Z362" t="str">
            <v>Financial Services</v>
          </cell>
          <cell r="AC362" t="str">
            <v>CD - EXEMPT</v>
          </cell>
          <cell r="AD362">
            <v>21</v>
          </cell>
          <cell r="AE362" t="str">
            <v>Y</v>
          </cell>
          <cell r="AG362">
            <v>6.7701000000000002</v>
          </cell>
          <cell r="AH362">
            <v>162397.66</v>
          </cell>
          <cell r="AI362" t="str">
            <v>FI3305</v>
          </cell>
          <cell r="AJ362" t="str">
            <v>A1+</v>
          </cell>
          <cell r="AK362" t="str">
            <v>AAA</v>
          </cell>
          <cell r="AL362" t="str">
            <v>2</v>
          </cell>
          <cell r="AM362" t="str">
            <v>1</v>
          </cell>
        </row>
        <row r="363">
          <cell r="C363" t="str">
            <v>INE090AD6113</v>
          </cell>
          <cell r="D363" t="str">
            <v>FI3305CD366</v>
          </cell>
          <cell r="E363" t="str">
            <v>COD</v>
          </cell>
          <cell r="F363" t="str">
            <v>ICICI Bank Ltd</v>
          </cell>
          <cell r="G363" t="str">
            <v>ICICI Bank Ltd COD MD 31-01-2025</v>
          </cell>
          <cell r="H363">
            <v>0</v>
          </cell>
          <cell r="I363" t="str">
            <v>31-01-2025</v>
          </cell>
          <cell r="J363" t="str">
            <v>ICRA A1+</v>
          </cell>
          <cell r="K363">
            <v>0.21</v>
          </cell>
          <cell r="L363">
            <v>500000</v>
          </cell>
          <cell r="M363">
            <v>600</v>
          </cell>
          <cell r="N363">
            <v>7.1151</v>
          </cell>
          <cell r="O363">
            <v>492700.5</v>
          </cell>
          <cell r="P363">
            <v>295620300</v>
          </cell>
          <cell r="Q363">
            <v>0</v>
          </cell>
          <cell r="R363">
            <v>16717847.300000001</v>
          </cell>
          <cell r="S363">
            <v>141852.70000000001</v>
          </cell>
          <cell r="T363">
            <v>295620300</v>
          </cell>
          <cell r="U363">
            <v>1.48</v>
          </cell>
          <cell r="V363">
            <v>1.48</v>
          </cell>
          <cell r="W363">
            <v>464601</v>
          </cell>
          <cell r="X363">
            <v>278760600</v>
          </cell>
          <cell r="Z363" t="str">
            <v>Financial Services</v>
          </cell>
          <cell r="AC363" t="str">
            <v>CD - EXEMPT</v>
          </cell>
          <cell r="AD363">
            <v>77</v>
          </cell>
          <cell r="AE363" t="str">
            <v>Y</v>
          </cell>
          <cell r="AG363">
            <v>7.1151</v>
          </cell>
          <cell r="AH363">
            <v>144646.82</v>
          </cell>
          <cell r="AI363" t="str">
            <v>FI3305</v>
          </cell>
          <cell r="AJ363" t="str">
            <v>A1+</v>
          </cell>
          <cell r="AK363" t="str">
            <v>AAA</v>
          </cell>
          <cell r="AL363" t="str">
            <v>2</v>
          </cell>
          <cell r="AM363" t="str">
            <v>1</v>
          </cell>
        </row>
        <row r="364">
          <cell r="C364" t="str">
            <v>INE090AD6147</v>
          </cell>
          <cell r="D364" t="str">
            <v>FI3305CD372</v>
          </cell>
          <cell r="E364" t="str">
            <v>COD</v>
          </cell>
          <cell r="F364" t="str">
            <v>ICICI Bank Ltd</v>
          </cell>
          <cell r="G364" t="str">
            <v>ICICI Bank Ltd COD MD 17-03-2025</v>
          </cell>
          <cell r="H364">
            <v>0</v>
          </cell>
          <cell r="I364" t="str">
            <v>17-03-2025</v>
          </cell>
          <cell r="J364" t="str">
            <v>ICRA A1+</v>
          </cell>
          <cell r="K364">
            <v>0.33</v>
          </cell>
          <cell r="L364">
            <v>500000</v>
          </cell>
          <cell r="M364">
            <v>500</v>
          </cell>
          <cell r="N364">
            <v>7.1661000000000001</v>
          </cell>
          <cell r="O364">
            <v>488398</v>
          </cell>
          <cell r="P364">
            <v>244199000</v>
          </cell>
          <cell r="Q364">
            <v>0</v>
          </cell>
          <cell r="R364">
            <v>481374.06</v>
          </cell>
          <cell r="S364">
            <v>23625.94</v>
          </cell>
          <cell r="T364">
            <v>244199000</v>
          </cell>
          <cell r="U364">
            <v>1.23</v>
          </cell>
          <cell r="V364">
            <v>1.23</v>
          </cell>
          <cell r="W364">
            <v>487388</v>
          </cell>
          <cell r="X364">
            <v>243694000</v>
          </cell>
          <cell r="Z364" t="str">
            <v>Financial Services</v>
          </cell>
          <cell r="AC364" t="str">
            <v>CD - EXEMPT</v>
          </cell>
          <cell r="AD364">
            <v>122</v>
          </cell>
          <cell r="AE364" t="str">
            <v>N</v>
          </cell>
          <cell r="AG364">
            <v>7.1661000000000001</v>
          </cell>
          <cell r="AH364">
            <v>24763.35</v>
          </cell>
          <cell r="AI364" t="str">
            <v>FI3305</v>
          </cell>
          <cell r="AJ364" t="str">
            <v>A1+</v>
          </cell>
          <cell r="AK364" t="str">
            <v>AAA</v>
          </cell>
          <cell r="AL364" t="str">
            <v>2</v>
          </cell>
          <cell r="AM364" t="str">
            <v>1</v>
          </cell>
        </row>
        <row r="365">
          <cell r="C365" t="str">
            <v>INE090AD6170</v>
          </cell>
          <cell r="D365" t="str">
            <v>FI3305CD371</v>
          </cell>
          <cell r="E365" t="str">
            <v>COD</v>
          </cell>
          <cell r="F365" t="str">
            <v>ICICI Bank Ltd</v>
          </cell>
          <cell r="G365" t="str">
            <v>ICICI Bank Ltd CD 25 07 2025</v>
          </cell>
          <cell r="H365">
            <v>0</v>
          </cell>
          <cell r="I365" t="str">
            <v>25-07-2025</v>
          </cell>
          <cell r="J365" t="str">
            <v>ICRA A1+</v>
          </cell>
          <cell r="K365">
            <v>0.69</v>
          </cell>
          <cell r="L365">
            <v>500000</v>
          </cell>
          <cell r="M365">
            <v>840</v>
          </cell>
          <cell r="N365">
            <v>7.44</v>
          </cell>
          <cell r="O365">
            <v>475664</v>
          </cell>
          <cell r="P365">
            <v>399557760</v>
          </cell>
          <cell r="Q365">
            <v>0</v>
          </cell>
          <cell r="R365">
            <v>8317162.4500000002</v>
          </cell>
          <cell r="S365">
            <v>-174202.45</v>
          </cell>
          <cell r="T365">
            <v>399557760</v>
          </cell>
          <cell r="U365">
            <v>2</v>
          </cell>
          <cell r="V365">
            <v>2</v>
          </cell>
          <cell r="W365">
            <v>465970</v>
          </cell>
          <cell r="X365">
            <v>391414800</v>
          </cell>
          <cell r="Z365" t="str">
            <v>Financial Services</v>
          </cell>
          <cell r="AC365" t="str">
            <v>CD - EXEMPT</v>
          </cell>
          <cell r="AD365">
            <v>252</v>
          </cell>
          <cell r="AE365" t="str">
            <v>Y</v>
          </cell>
          <cell r="AG365">
            <v>7.44</v>
          </cell>
          <cell r="AH365">
            <v>-170733.3</v>
          </cell>
          <cell r="AI365" t="str">
            <v>FI3305</v>
          </cell>
          <cell r="AJ365" t="str">
            <v>A1+</v>
          </cell>
          <cell r="AK365" t="str">
            <v>AAA</v>
          </cell>
          <cell r="AL365" t="str">
            <v>2</v>
          </cell>
          <cell r="AM365" t="str">
            <v>1</v>
          </cell>
        </row>
        <row r="366">
          <cell r="C366" t="str">
            <v>INE092T16WB9</v>
          </cell>
          <cell r="D366" t="str">
            <v>FI3437CD267</v>
          </cell>
          <cell r="E366" t="str">
            <v>COD</v>
          </cell>
          <cell r="F366" t="str">
            <v>IDFC First Bank Ltd</v>
          </cell>
          <cell r="G366" t="str">
            <v>IDFC FIRST BANK LTD COD MD 21-02-2025</v>
          </cell>
          <cell r="H366">
            <v>0</v>
          </cell>
          <cell r="I366" t="str">
            <v>21-02-2025</v>
          </cell>
          <cell r="J366" t="str">
            <v>CRISIL A1+</v>
          </cell>
          <cell r="K366">
            <v>0.27</v>
          </cell>
          <cell r="L366">
            <v>500000</v>
          </cell>
          <cell r="M366">
            <v>660</v>
          </cell>
          <cell r="N366">
            <v>7.2133000000000003</v>
          </cell>
          <cell r="O366">
            <v>490595.5</v>
          </cell>
          <cell r="P366">
            <v>323793030</v>
          </cell>
          <cell r="Q366">
            <v>0</v>
          </cell>
          <cell r="R366">
            <v>17677674.09</v>
          </cell>
          <cell r="S366">
            <v>215255.91</v>
          </cell>
          <cell r="T366">
            <v>323793030</v>
          </cell>
          <cell r="U366">
            <v>1.62</v>
          </cell>
          <cell r="V366">
            <v>1.62</v>
          </cell>
          <cell r="W366">
            <v>463485</v>
          </cell>
          <cell r="X366">
            <v>305900100</v>
          </cell>
          <cell r="Z366" t="str">
            <v>Financial Services</v>
          </cell>
          <cell r="AC366" t="str">
            <v>CD - EXEMPT</v>
          </cell>
          <cell r="AD366">
            <v>98</v>
          </cell>
          <cell r="AE366" t="str">
            <v>Y</v>
          </cell>
          <cell r="AG366">
            <v>7.2133000000000003</v>
          </cell>
          <cell r="AH366">
            <v>218764.42</v>
          </cell>
          <cell r="AI366" t="str">
            <v>FI3437</v>
          </cell>
          <cell r="AJ366" t="str">
            <v>A1+</v>
          </cell>
          <cell r="AK366" t="str">
            <v>AA+</v>
          </cell>
          <cell r="AL366" t="str">
            <v>3</v>
          </cell>
          <cell r="AM366" t="str">
            <v>2</v>
          </cell>
        </row>
        <row r="367">
          <cell r="C367" t="str">
            <v>INE095A16V79</v>
          </cell>
          <cell r="D367" t="str">
            <v>FI3307CD337</v>
          </cell>
          <cell r="E367" t="str">
            <v>COD</v>
          </cell>
          <cell r="F367" t="str">
            <v>IndusInd Bank Ltd</v>
          </cell>
          <cell r="G367" t="str">
            <v>INDUSIND BANK LTD COD MD 24-02-2025</v>
          </cell>
          <cell r="H367">
            <v>0</v>
          </cell>
          <cell r="I367" t="str">
            <v>24-02-2025</v>
          </cell>
          <cell r="J367" t="str">
            <v>CRISIL A1+</v>
          </cell>
          <cell r="K367">
            <v>0.28000000000000003</v>
          </cell>
          <cell r="L367">
            <v>500000</v>
          </cell>
          <cell r="M367">
            <v>660</v>
          </cell>
          <cell r="N367">
            <v>7.2102000000000004</v>
          </cell>
          <cell r="O367">
            <v>490314.5</v>
          </cell>
          <cell r="P367">
            <v>323607570</v>
          </cell>
          <cell r="Q367">
            <v>0</v>
          </cell>
          <cell r="R367">
            <v>17540558.640000001</v>
          </cell>
          <cell r="S367">
            <v>251721.36</v>
          </cell>
          <cell r="T367">
            <v>323607570</v>
          </cell>
          <cell r="U367">
            <v>1.62</v>
          </cell>
          <cell r="V367">
            <v>1.62</v>
          </cell>
          <cell r="W367">
            <v>463356.5</v>
          </cell>
          <cell r="X367">
            <v>305815290</v>
          </cell>
          <cell r="Z367" t="str">
            <v>Financial Services</v>
          </cell>
          <cell r="AC367" t="str">
            <v>CD - EXEMPT</v>
          </cell>
          <cell r="AD367">
            <v>101</v>
          </cell>
          <cell r="AE367" t="str">
            <v>Y</v>
          </cell>
          <cell r="AG367">
            <v>7.2102000000000004</v>
          </cell>
          <cell r="AH367">
            <v>255462.87</v>
          </cell>
          <cell r="AI367" t="str">
            <v>FI3307</v>
          </cell>
          <cell r="AJ367" t="str">
            <v>A1+</v>
          </cell>
          <cell r="AK367" t="str">
            <v>AA+</v>
          </cell>
          <cell r="AL367" t="str">
            <v>3</v>
          </cell>
          <cell r="AM367" t="str">
            <v>2</v>
          </cell>
        </row>
        <row r="368">
          <cell r="C368" t="str">
            <v>INE095A16X10</v>
          </cell>
          <cell r="D368" t="str">
            <v>FI3307CD339</v>
          </cell>
          <cell r="E368" t="str">
            <v>COD</v>
          </cell>
          <cell r="F368" t="str">
            <v>IndusInd Bank Ltd</v>
          </cell>
          <cell r="G368" t="str">
            <v>IndusInd Bank Ltd COD MD 19-08-2025</v>
          </cell>
          <cell r="H368">
            <v>0</v>
          </cell>
          <cell r="I368" t="str">
            <v>19-08-2025</v>
          </cell>
          <cell r="J368" t="str">
            <v>CRISIL A1+</v>
          </cell>
          <cell r="K368">
            <v>0.76</v>
          </cell>
          <cell r="L368">
            <v>500000</v>
          </cell>
          <cell r="M368">
            <v>500</v>
          </cell>
          <cell r="N368">
            <v>7.6</v>
          </cell>
          <cell r="O368">
            <v>472827.5</v>
          </cell>
          <cell r="P368">
            <v>236413750</v>
          </cell>
          <cell r="Q368">
            <v>0</v>
          </cell>
          <cell r="R368">
            <v>4351709.12</v>
          </cell>
          <cell r="S368">
            <v>62290.879999999997</v>
          </cell>
          <cell r="T368">
            <v>236413750</v>
          </cell>
          <cell r="U368">
            <v>1.19</v>
          </cell>
          <cell r="V368">
            <v>1.19</v>
          </cell>
          <cell r="W368">
            <v>463999.5</v>
          </cell>
          <cell r="X368">
            <v>231999750</v>
          </cell>
          <cell r="Z368" t="str">
            <v>Financial Services</v>
          </cell>
          <cell r="AC368" t="str">
            <v>CD - EXEMPT</v>
          </cell>
          <cell r="AD368">
            <v>277</v>
          </cell>
          <cell r="AE368" t="str">
            <v>Y</v>
          </cell>
          <cell r="AG368">
            <v>7.6</v>
          </cell>
          <cell r="AH368">
            <v>65242.12</v>
          </cell>
          <cell r="AI368" t="str">
            <v>FI3307</v>
          </cell>
          <cell r="AJ368" t="str">
            <v>A1+</v>
          </cell>
          <cell r="AK368" t="str">
            <v>AA+</v>
          </cell>
          <cell r="AL368" t="str">
            <v>3</v>
          </cell>
          <cell r="AM368" t="str">
            <v>2</v>
          </cell>
        </row>
        <row r="369">
          <cell r="C369" t="str">
            <v>INE160A16OL0</v>
          </cell>
          <cell r="D369" t="str">
            <v>FI3316CD367</v>
          </cell>
          <cell r="E369" t="str">
            <v>COD</v>
          </cell>
          <cell r="F369" t="str">
            <v>Punjab National Bank</v>
          </cell>
          <cell r="G369" t="str">
            <v>Punjab National Bank COD MD 07-02-2025</v>
          </cell>
          <cell r="H369">
            <v>0</v>
          </cell>
          <cell r="I369" t="str">
            <v>07-02-2025</v>
          </cell>
          <cell r="J369" t="str">
            <v>CRISIL A1+</v>
          </cell>
          <cell r="K369">
            <v>0.23</v>
          </cell>
          <cell r="L369">
            <v>500000</v>
          </cell>
          <cell r="M369">
            <v>500</v>
          </cell>
          <cell r="N369">
            <v>7.1650999999999998</v>
          </cell>
          <cell r="O369">
            <v>491984</v>
          </cell>
          <cell r="P369">
            <v>245992000</v>
          </cell>
          <cell r="Q369">
            <v>0</v>
          </cell>
          <cell r="R369">
            <v>9406080</v>
          </cell>
          <cell r="S369">
            <v>58170</v>
          </cell>
          <cell r="T369">
            <v>245992000</v>
          </cell>
          <cell r="U369">
            <v>1.23</v>
          </cell>
          <cell r="V369">
            <v>1.23</v>
          </cell>
          <cell r="W369">
            <v>473055.5</v>
          </cell>
          <cell r="X369">
            <v>236527750</v>
          </cell>
          <cell r="Z369" t="str">
            <v>Financial Services</v>
          </cell>
          <cell r="AC369" t="str">
            <v>CD - EXEMPT</v>
          </cell>
          <cell r="AD369">
            <v>84</v>
          </cell>
          <cell r="AE369" t="str">
            <v>Y</v>
          </cell>
          <cell r="AG369">
            <v>7.1650999999999998</v>
          </cell>
          <cell r="AH369">
            <v>59660</v>
          </cell>
          <cell r="AI369" t="str">
            <v>FI3316</v>
          </cell>
          <cell r="AJ369" t="str">
            <v>A1+</v>
          </cell>
          <cell r="AK369" t="str">
            <v>AAA</v>
          </cell>
          <cell r="AL369" t="str">
            <v>1</v>
          </cell>
          <cell r="AM369" t="str">
            <v>1</v>
          </cell>
        </row>
        <row r="370">
          <cell r="C370" t="str">
            <v>INE160A16OM8</v>
          </cell>
          <cell r="D370" t="str">
            <v>FI3316CD363</v>
          </cell>
          <cell r="E370" t="str">
            <v>COD</v>
          </cell>
          <cell r="F370" t="str">
            <v>Punjab National Bank</v>
          </cell>
          <cell r="G370" t="str">
            <v>PUNJAB NATIONAL BANK COD MD  25-02-2025</v>
          </cell>
          <cell r="H370">
            <v>0</v>
          </cell>
          <cell r="I370" t="str">
            <v>25-02-2025</v>
          </cell>
          <cell r="J370" t="str">
            <v>CRISIL A1+</v>
          </cell>
          <cell r="K370">
            <v>0.28000000000000003</v>
          </cell>
          <cell r="L370">
            <v>500000</v>
          </cell>
          <cell r="M370">
            <v>100</v>
          </cell>
          <cell r="N370">
            <v>7.19</v>
          </cell>
          <cell r="O370">
            <v>490246</v>
          </cell>
          <cell r="P370">
            <v>49024600</v>
          </cell>
          <cell r="Q370">
            <v>0</v>
          </cell>
          <cell r="R370">
            <v>2388968.04</v>
          </cell>
          <cell r="S370">
            <v>13574.27</v>
          </cell>
          <cell r="T370">
            <v>49024600</v>
          </cell>
          <cell r="U370">
            <v>0.25</v>
          </cell>
          <cell r="V370">
            <v>0.25</v>
          </cell>
          <cell r="W370">
            <v>466220.57689999999</v>
          </cell>
          <cell r="X370">
            <v>46622057.689999998</v>
          </cell>
          <cell r="Z370" t="str">
            <v>Financial Services</v>
          </cell>
          <cell r="AC370" t="str">
            <v>CD - EXEMPT</v>
          </cell>
          <cell r="AD370">
            <v>102</v>
          </cell>
          <cell r="AE370" t="str">
            <v>Y</v>
          </cell>
          <cell r="AG370">
            <v>7.19</v>
          </cell>
          <cell r="AH370">
            <v>13916.1</v>
          </cell>
          <cell r="AI370" t="str">
            <v>FI3316</v>
          </cell>
          <cell r="AJ370" t="str">
            <v>A1+</v>
          </cell>
          <cell r="AK370" t="str">
            <v>AAA</v>
          </cell>
          <cell r="AL370" t="str">
            <v>1</v>
          </cell>
          <cell r="AM370" t="str">
            <v>1</v>
          </cell>
        </row>
        <row r="371">
          <cell r="C371" t="str">
            <v>INE160A16OP1</v>
          </cell>
          <cell r="D371" t="str">
            <v>FI3316CD366</v>
          </cell>
          <cell r="E371" t="str">
            <v>COD</v>
          </cell>
          <cell r="F371" t="str">
            <v>Punjab National Bank</v>
          </cell>
          <cell r="G371" t="str">
            <v>Punjab National Bank CD MD 11-03-2025</v>
          </cell>
          <cell r="H371">
            <v>0</v>
          </cell>
          <cell r="I371" t="str">
            <v>11-03-2025</v>
          </cell>
          <cell r="J371" t="str">
            <v>CRISIL A1+</v>
          </cell>
          <cell r="K371">
            <v>0.32</v>
          </cell>
          <cell r="L371">
            <v>500000</v>
          </cell>
          <cell r="M371">
            <v>500</v>
          </cell>
          <cell r="N371">
            <v>7.1898999999999997</v>
          </cell>
          <cell r="O371">
            <v>488924.5</v>
          </cell>
          <cell r="P371">
            <v>244462250</v>
          </cell>
          <cell r="Q371">
            <v>0</v>
          </cell>
          <cell r="R371">
            <v>1508012.05</v>
          </cell>
          <cell r="S371">
            <v>56487.95</v>
          </cell>
          <cell r="T371">
            <v>244462250</v>
          </cell>
          <cell r="U371">
            <v>1.23</v>
          </cell>
          <cell r="V371">
            <v>1.23</v>
          </cell>
          <cell r="W371">
            <v>485795.5</v>
          </cell>
          <cell r="X371">
            <v>242897750</v>
          </cell>
          <cell r="Z371" t="str">
            <v>Financial Services</v>
          </cell>
          <cell r="AC371" t="str">
            <v>CD - EXEMPT</v>
          </cell>
          <cell r="AD371">
            <v>116</v>
          </cell>
          <cell r="AE371" t="str">
            <v>N</v>
          </cell>
          <cell r="AG371">
            <v>7.1898999999999997</v>
          </cell>
          <cell r="AH371">
            <v>57883.5</v>
          </cell>
          <cell r="AI371" t="str">
            <v>FI3316</v>
          </cell>
          <cell r="AJ371" t="str">
            <v>A1+</v>
          </cell>
          <cell r="AK371" t="str">
            <v>AAA</v>
          </cell>
          <cell r="AL371" t="str">
            <v>1</v>
          </cell>
          <cell r="AM371" t="str">
            <v>1</v>
          </cell>
        </row>
        <row r="372">
          <cell r="C372" t="str">
            <v>INE171A16LK5</v>
          </cell>
          <cell r="D372" t="str">
            <v>FI3326CD245</v>
          </cell>
          <cell r="E372" t="str">
            <v>COD</v>
          </cell>
          <cell r="F372" t="str">
            <v>The Federal Bank Ltd</v>
          </cell>
          <cell r="G372" t="str">
            <v>Federal Bank Ltd CD MD 29-11-2024</v>
          </cell>
          <cell r="H372">
            <v>0</v>
          </cell>
          <cell r="I372" t="str">
            <v>29-11-2024</v>
          </cell>
          <cell r="J372" t="str">
            <v>CRISIL A1+</v>
          </cell>
          <cell r="K372">
            <v>0.04</v>
          </cell>
          <cell r="L372">
            <v>500000</v>
          </cell>
          <cell r="M372">
            <v>500</v>
          </cell>
          <cell r="N372">
            <v>6.7995999999999999</v>
          </cell>
          <cell r="O372">
            <v>498792</v>
          </cell>
          <cell r="P372">
            <v>249396000</v>
          </cell>
          <cell r="Q372">
            <v>0</v>
          </cell>
          <cell r="R372">
            <v>17279259.91</v>
          </cell>
          <cell r="S372">
            <v>54740.09</v>
          </cell>
          <cell r="T372">
            <v>249396000</v>
          </cell>
          <cell r="U372">
            <v>1.25</v>
          </cell>
          <cell r="V372">
            <v>1.25</v>
          </cell>
          <cell r="W372">
            <v>464124</v>
          </cell>
          <cell r="X372">
            <v>232062000</v>
          </cell>
          <cell r="Z372" t="str">
            <v>Financial Services</v>
          </cell>
          <cell r="AC372" t="str">
            <v>CD - EXEMPT</v>
          </cell>
          <cell r="AD372">
            <v>14</v>
          </cell>
          <cell r="AE372" t="str">
            <v>Y</v>
          </cell>
          <cell r="AG372">
            <v>6.7995999999999999</v>
          </cell>
          <cell r="AH372">
            <v>59162.400000000001</v>
          </cell>
          <cell r="AI372" t="str">
            <v>FI3326</v>
          </cell>
          <cell r="AJ372" t="str">
            <v>A1+</v>
          </cell>
          <cell r="AK372" t="str">
            <v>AA+</v>
          </cell>
          <cell r="AL372" t="str">
            <v>3</v>
          </cell>
          <cell r="AM372" t="str">
            <v>2</v>
          </cell>
        </row>
        <row r="373">
          <cell r="C373" t="str">
            <v>INE171A16LP4</v>
          </cell>
          <cell r="D373" t="str">
            <v>FI3326CD249</v>
          </cell>
          <cell r="E373" t="str">
            <v>COD</v>
          </cell>
          <cell r="F373" t="str">
            <v>The Federal Bank Ltd</v>
          </cell>
          <cell r="G373" t="str">
            <v>Federal Bank Ltd CD MD 04-02-2025</v>
          </cell>
          <cell r="H373">
            <v>0</v>
          </cell>
          <cell r="I373" t="str">
            <v>04-02-2025</v>
          </cell>
          <cell r="J373" t="str">
            <v>CRISIL A1+</v>
          </cell>
          <cell r="K373">
            <v>0.22</v>
          </cell>
          <cell r="L373">
            <v>500000</v>
          </cell>
          <cell r="M373">
            <v>400</v>
          </cell>
          <cell r="N373">
            <v>7.2449000000000003</v>
          </cell>
          <cell r="O373">
            <v>492184.5</v>
          </cell>
          <cell r="P373">
            <v>196873800</v>
          </cell>
          <cell r="Q373">
            <v>0</v>
          </cell>
          <cell r="R373">
            <v>11527586.15</v>
          </cell>
          <cell r="S373">
            <v>109613.85</v>
          </cell>
          <cell r="T373">
            <v>196873800</v>
          </cell>
          <cell r="U373">
            <v>0.99</v>
          </cell>
          <cell r="V373">
            <v>0.99</v>
          </cell>
          <cell r="W373">
            <v>463091.5</v>
          </cell>
          <cell r="X373">
            <v>185236600</v>
          </cell>
          <cell r="Z373" t="str">
            <v>Financial Services</v>
          </cell>
          <cell r="AC373" t="str">
            <v>CD - EXEMPT</v>
          </cell>
          <cell r="AD373">
            <v>81</v>
          </cell>
          <cell r="AE373" t="str">
            <v>Y</v>
          </cell>
          <cell r="AG373">
            <v>7.2449000000000003</v>
          </cell>
          <cell r="AH373">
            <v>111661.52</v>
          </cell>
          <cell r="AI373" t="str">
            <v>FI3326</v>
          </cell>
          <cell r="AJ373" t="str">
            <v>A1+</v>
          </cell>
          <cell r="AK373" t="str">
            <v>AA+</v>
          </cell>
          <cell r="AL373" t="str">
            <v>3</v>
          </cell>
          <cell r="AM373" t="str">
            <v>2</v>
          </cell>
        </row>
        <row r="374">
          <cell r="C374" t="str">
            <v>INE237A160W3</v>
          </cell>
          <cell r="D374" t="str">
            <v>FI3332CD270</v>
          </cell>
          <cell r="E374" t="str">
            <v>COD</v>
          </cell>
          <cell r="F374" t="str">
            <v>Kotak Mahindra Bank Ltd</v>
          </cell>
          <cell r="G374" t="str">
            <v>KOTAK MAHINDRA BANK CD MD 05-02-2025</v>
          </cell>
          <cell r="H374">
            <v>0</v>
          </cell>
          <cell r="I374" t="str">
            <v>05-02-2025</v>
          </cell>
          <cell r="J374" t="str">
            <v>CRISIL A1+</v>
          </cell>
          <cell r="K374">
            <v>0.22</v>
          </cell>
          <cell r="L374">
            <v>500000</v>
          </cell>
          <cell r="M374">
            <v>500</v>
          </cell>
          <cell r="N374">
            <v>7.1401000000000003</v>
          </cell>
          <cell r="O374">
            <v>492201.5</v>
          </cell>
          <cell r="P374">
            <v>246100750</v>
          </cell>
          <cell r="Q374">
            <v>0</v>
          </cell>
          <cell r="R374">
            <v>14058000</v>
          </cell>
          <cell r="S374">
            <v>110250</v>
          </cell>
          <cell r="T374">
            <v>246100750</v>
          </cell>
          <cell r="U374">
            <v>1.23</v>
          </cell>
          <cell r="V374">
            <v>1.23</v>
          </cell>
          <cell r="W374">
            <v>463865</v>
          </cell>
          <cell r="X374">
            <v>231932500</v>
          </cell>
          <cell r="Z374" t="str">
            <v>Financial Services</v>
          </cell>
          <cell r="AC374" t="str">
            <v>CD - EXEMPT</v>
          </cell>
          <cell r="AD374">
            <v>82</v>
          </cell>
          <cell r="AE374" t="str">
            <v>Y</v>
          </cell>
          <cell r="AG374">
            <v>7.1401000000000003</v>
          </cell>
          <cell r="AH374">
            <v>112250</v>
          </cell>
          <cell r="AI374" t="str">
            <v>FI3332</v>
          </cell>
          <cell r="AJ374" t="str">
            <v>A1+</v>
          </cell>
          <cell r="AK374" t="str">
            <v>AAA</v>
          </cell>
          <cell r="AL374" t="str">
            <v>2</v>
          </cell>
          <cell r="AM374" t="str">
            <v>1</v>
          </cell>
        </row>
        <row r="375">
          <cell r="C375" t="str">
            <v>INE237A164X3</v>
          </cell>
          <cell r="D375" t="str">
            <v>FI3332CD273</v>
          </cell>
          <cell r="E375" t="str">
            <v>COD</v>
          </cell>
          <cell r="F375" t="str">
            <v>Kotak Mahindra Bank Ltd</v>
          </cell>
          <cell r="G375" t="str">
            <v>KOTAK MAHINDRA BANK COD MD 13-12-2024</v>
          </cell>
          <cell r="H375">
            <v>0</v>
          </cell>
          <cell r="I375" t="str">
            <v>13-12-2024</v>
          </cell>
          <cell r="J375" t="str">
            <v>CRISIL A1+</v>
          </cell>
          <cell r="K375">
            <v>0.08</v>
          </cell>
          <cell r="L375">
            <v>500000</v>
          </cell>
          <cell r="M375">
            <v>1000</v>
          </cell>
          <cell r="N375">
            <v>6.7949999999999999</v>
          </cell>
          <cell r="O375">
            <v>497499.5</v>
          </cell>
          <cell r="P375">
            <v>497499500</v>
          </cell>
          <cell r="Q375">
            <v>0</v>
          </cell>
          <cell r="R375">
            <v>15811825.289999999</v>
          </cell>
          <cell r="S375">
            <v>151174.71</v>
          </cell>
          <cell r="T375">
            <v>497499500</v>
          </cell>
          <cell r="U375">
            <v>2.5</v>
          </cell>
          <cell r="V375">
            <v>2.5</v>
          </cell>
          <cell r="W375">
            <v>481536.5</v>
          </cell>
          <cell r="X375">
            <v>481536500</v>
          </cell>
          <cell r="Z375" t="str">
            <v>Financial Services</v>
          </cell>
          <cell r="AC375" t="str">
            <v>CD - EXEMPT</v>
          </cell>
          <cell r="AD375">
            <v>28</v>
          </cell>
          <cell r="AE375" t="str">
            <v>Y</v>
          </cell>
          <cell r="AG375">
            <v>6.7949999999999999</v>
          </cell>
          <cell r="AH375">
            <v>157384.89000000001</v>
          </cell>
          <cell r="AI375" t="str">
            <v>FI3332</v>
          </cell>
          <cell r="AJ375" t="str">
            <v>A1+</v>
          </cell>
          <cell r="AK375" t="str">
            <v>AAA</v>
          </cell>
          <cell r="AL375" t="str">
            <v>2</v>
          </cell>
          <cell r="AM375" t="str">
            <v>1</v>
          </cell>
        </row>
        <row r="376">
          <cell r="C376" t="str">
            <v>INE238AD6819</v>
          </cell>
          <cell r="D376" t="str">
            <v>FI3319CD520</v>
          </cell>
          <cell r="E376" t="str">
            <v>COD</v>
          </cell>
          <cell r="F376" t="str">
            <v>Axis Bank Ltd</v>
          </cell>
          <cell r="G376" t="str">
            <v>Axis Bank Ltd CD MD 27-02-2025</v>
          </cell>
          <cell r="H376">
            <v>0</v>
          </cell>
          <cell r="I376" t="str">
            <v>27-02-2025</v>
          </cell>
          <cell r="J376" t="str">
            <v>CRISIL A1+</v>
          </cell>
          <cell r="K376">
            <v>0.28000000000000003</v>
          </cell>
          <cell r="L376">
            <v>500000</v>
          </cell>
          <cell r="M376">
            <v>1000</v>
          </cell>
          <cell r="N376">
            <v>7.1901000000000002</v>
          </cell>
          <cell r="O376">
            <v>490057</v>
          </cell>
          <cell r="P376">
            <v>490057000</v>
          </cell>
          <cell r="Q376">
            <v>0</v>
          </cell>
          <cell r="R376">
            <v>3456566.7</v>
          </cell>
          <cell r="S376">
            <v>85933.3</v>
          </cell>
          <cell r="T376">
            <v>490057000</v>
          </cell>
          <cell r="U376">
            <v>2.46</v>
          </cell>
          <cell r="V376">
            <v>2.46</v>
          </cell>
          <cell r="W376">
            <v>486514.5</v>
          </cell>
          <cell r="X376">
            <v>486514500</v>
          </cell>
          <cell r="Z376" t="str">
            <v>Financial Services</v>
          </cell>
          <cell r="AC376" t="str">
            <v>CD - EXEMPT</v>
          </cell>
          <cell r="AD376">
            <v>104</v>
          </cell>
          <cell r="AE376" t="str">
            <v>Y</v>
          </cell>
          <cell r="AG376">
            <v>7.1901000000000002</v>
          </cell>
          <cell r="AH376">
            <v>88801.59</v>
          </cell>
          <cell r="AI376" t="str">
            <v>FI3319</v>
          </cell>
          <cell r="AJ376" t="str">
            <v>A1+</v>
          </cell>
          <cell r="AK376" t="str">
            <v>AAA</v>
          </cell>
          <cell r="AL376" t="str">
            <v>2</v>
          </cell>
          <cell r="AM376" t="str">
            <v>1</v>
          </cell>
        </row>
        <row r="377">
          <cell r="C377" t="str">
            <v>INE238AD6884</v>
          </cell>
          <cell r="D377" t="str">
            <v>FI3319CD526</v>
          </cell>
          <cell r="E377" t="str">
            <v>COD</v>
          </cell>
          <cell r="F377" t="str">
            <v>Axis Bank Ltd</v>
          </cell>
          <cell r="G377" t="str">
            <v>AXIS Bank Ltd CD 22 08 2025</v>
          </cell>
          <cell r="H377">
            <v>0</v>
          </cell>
          <cell r="I377" t="str">
            <v>22-08-2025</v>
          </cell>
          <cell r="J377" t="str">
            <v>CRISIL A1+</v>
          </cell>
          <cell r="K377">
            <v>0.77</v>
          </cell>
          <cell r="L377">
            <v>500000</v>
          </cell>
          <cell r="M377">
            <v>500</v>
          </cell>
          <cell r="N377">
            <v>7.5</v>
          </cell>
          <cell r="O377">
            <v>472890</v>
          </cell>
          <cell r="P377">
            <v>236445000</v>
          </cell>
          <cell r="Q377">
            <v>0</v>
          </cell>
          <cell r="R377">
            <v>4138087.3</v>
          </cell>
          <cell r="S377">
            <v>27662.7</v>
          </cell>
          <cell r="T377">
            <v>236445000</v>
          </cell>
          <cell r="U377">
            <v>1.19</v>
          </cell>
          <cell r="V377">
            <v>1.19</v>
          </cell>
          <cell r="W377">
            <v>464558.5</v>
          </cell>
          <cell r="X377">
            <v>232279250</v>
          </cell>
          <cell r="Z377" t="str">
            <v>Financial Services</v>
          </cell>
          <cell r="AC377" t="str">
            <v>CD - EXEMPT</v>
          </cell>
          <cell r="AD377">
            <v>280</v>
          </cell>
          <cell r="AE377" t="str">
            <v>Y</v>
          </cell>
          <cell r="AG377">
            <v>7.5</v>
          </cell>
          <cell r="AH377">
            <v>30346.080000000002</v>
          </cell>
          <cell r="AI377" t="str">
            <v>FI3319</v>
          </cell>
          <cell r="AJ377" t="str">
            <v>A1+</v>
          </cell>
          <cell r="AK377" t="str">
            <v>AAA</v>
          </cell>
          <cell r="AL377" t="str">
            <v>2</v>
          </cell>
          <cell r="AM377" t="str">
            <v>1</v>
          </cell>
        </row>
        <row r="378">
          <cell r="C378" t="str">
            <v>INE238AD6942</v>
          </cell>
          <cell r="D378" t="str">
            <v>FI3319CD529</v>
          </cell>
          <cell r="E378" t="str">
            <v>COD</v>
          </cell>
          <cell r="F378" t="str">
            <v>Axis Bank Ltd</v>
          </cell>
          <cell r="G378" t="str">
            <v>Axis Bank Ltd COD MD 10-10-2025</v>
          </cell>
          <cell r="H378">
            <v>0</v>
          </cell>
          <cell r="I378" t="str">
            <v>10-10-2025</v>
          </cell>
          <cell r="J378" t="str">
            <v>CRISIL A1+</v>
          </cell>
          <cell r="K378">
            <v>0.9</v>
          </cell>
          <cell r="L378">
            <v>500000</v>
          </cell>
          <cell r="M378">
            <v>1000</v>
          </cell>
          <cell r="N378">
            <v>7.5701000000000001</v>
          </cell>
          <cell r="O378">
            <v>468153</v>
          </cell>
          <cell r="P378">
            <v>468153000</v>
          </cell>
          <cell r="Q378">
            <v>0</v>
          </cell>
          <cell r="R378">
            <v>3536135.73</v>
          </cell>
          <cell r="S378">
            <v>-499635.73</v>
          </cell>
          <cell r="T378">
            <v>468153000</v>
          </cell>
          <cell r="U378">
            <v>2.35</v>
          </cell>
          <cell r="V378">
            <v>2.35</v>
          </cell>
          <cell r="W378">
            <v>465116.5</v>
          </cell>
          <cell r="X378">
            <v>465116500</v>
          </cell>
          <cell r="Z378" t="str">
            <v>Financial Services</v>
          </cell>
          <cell r="AC378" t="str">
            <v>CD - EXEMPT</v>
          </cell>
          <cell r="AD378">
            <v>329</v>
          </cell>
          <cell r="AE378" t="str">
            <v>Y</v>
          </cell>
          <cell r="AG378">
            <v>7.5701000000000001</v>
          </cell>
          <cell r="AH378">
            <v>-494564.5</v>
          </cell>
          <cell r="AI378" t="str">
            <v>FI3319</v>
          </cell>
          <cell r="AJ378" t="str">
            <v>A1+</v>
          </cell>
          <cell r="AK378" t="str">
            <v>AAA</v>
          </cell>
          <cell r="AL378" t="str">
            <v>2</v>
          </cell>
          <cell r="AM378" t="str">
            <v>1</v>
          </cell>
        </row>
        <row r="379">
          <cell r="C379" t="str">
            <v>INE238AD6967</v>
          </cell>
          <cell r="D379" t="str">
            <v>FI3319CD530</v>
          </cell>
          <cell r="E379" t="str">
            <v>COD</v>
          </cell>
          <cell r="F379" t="str">
            <v>Axis Bank Ltd</v>
          </cell>
          <cell r="G379" t="str">
            <v>Axis Bank Ltd COD MD 19-05-2025</v>
          </cell>
          <cell r="H379">
            <v>0</v>
          </cell>
          <cell r="I379" t="str">
            <v>19-05-2025</v>
          </cell>
          <cell r="J379" t="str">
            <v>CRISIL A1+</v>
          </cell>
          <cell r="K379">
            <v>0.51</v>
          </cell>
          <cell r="L379">
            <v>500000</v>
          </cell>
          <cell r="M379">
            <v>900</v>
          </cell>
          <cell r="N379">
            <v>7.4199000000000002</v>
          </cell>
          <cell r="O379">
            <v>481972</v>
          </cell>
          <cell r="P379">
            <v>433774800</v>
          </cell>
          <cell r="Q379">
            <v>0</v>
          </cell>
          <cell r="R379">
            <v>352905.32</v>
          </cell>
          <cell r="S379">
            <v>8444.68</v>
          </cell>
          <cell r="T379">
            <v>433774800</v>
          </cell>
          <cell r="U379">
            <v>2.1800000000000002</v>
          </cell>
          <cell r="V379">
            <v>2.1800000000000002</v>
          </cell>
          <cell r="W379">
            <v>481570.5</v>
          </cell>
          <cell r="X379">
            <v>433413450</v>
          </cell>
          <cell r="Z379" t="str">
            <v>Financial Services</v>
          </cell>
          <cell r="AC379" t="str">
            <v>CD - EXEMPT</v>
          </cell>
          <cell r="AD379">
            <v>185</v>
          </cell>
          <cell r="AE379" t="str">
            <v>N</v>
          </cell>
          <cell r="AG379">
            <v>7.4199000000000002</v>
          </cell>
          <cell r="AH379">
            <v>11621.01</v>
          </cell>
          <cell r="AI379" t="str">
            <v>FI3319</v>
          </cell>
          <cell r="AJ379" t="str">
            <v>A1+</v>
          </cell>
          <cell r="AK379" t="str">
            <v>AAA</v>
          </cell>
          <cell r="AL379" t="str">
            <v>2</v>
          </cell>
          <cell r="AM379" t="str">
            <v>1</v>
          </cell>
        </row>
        <row r="380">
          <cell r="C380" t="str">
            <v>INE261F16785</v>
          </cell>
          <cell r="D380" t="str">
            <v>FI35NACD352</v>
          </cell>
          <cell r="E380" t="str">
            <v>COD</v>
          </cell>
          <cell r="F380" t="str">
            <v>National Bank for Agriculture &amp; Rural Development</v>
          </cell>
          <cell r="G380" t="str">
            <v>NABARD CD MD 07.02.2025</v>
          </cell>
          <cell r="H380">
            <v>0</v>
          </cell>
          <cell r="I380" t="str">
            <v>07-02-2025</v>
          </cell>
          <cell r="J380" t="str">
            <v>CRISIL A1+</v>
          </cell>
          <cell r="K380">
            <v>0.23</v>
          </cell>
          <cell r="L380">
            <v>500000</v>
          </cell>
          <cell r="M380">
            <v>800</v>
          </cell>
          <cell r="N380">
            <v>7.16</v>
          </cell>
          <cell r="O380">
            <v>491989.5</v>
          </cell>
          <cell r="P380">
            <v>393591600</v>
          </cell>
          <cell r="Q380">
            <v>0</v>
          </cell>
          <cell r="R380">
            <v>22569172.870000001</v>
          </cell>
          <cell r="S380">
            <v>210827.13</v>
          </cell>
          <cell r="T380">
            <v>393591600</v>
          </cell>
          <cell r="U380">
            <v>1.97</v>
          </cell>
          <cell r="V380">
            <v>1.97</v>
          </cell>
          <cell r="W380">
            <v>463514.5</v>
          </cell>
          <cell r="X380">
            <v>370811600</v>
          </cell>
          <cell r="Z380" t="str">
            <v>Financial Services</v>
          </cell>
          <cell r="AC380" t="str">
            <v>CD - EXEMPT</v>
          </cell>
          <cell r="AD380">
            <v>84</v>
          </cell>
          <cell r="AE380" t="str">
            <v>Y</v>
          </cell>
          <cell r="AG380">
            <v>7.16</v>
          </cell>
          <cell r="AH380">
            <v>214576.86</v>
          </cell>
          <cell r="AI380" t="str">
            <v>FI35NA</v>
          </cell>
          <cell r="AJ380" t="str">
            <v>A1+</v>
          </cell>
          <cell r="AK380" t="str">
            <v>AAA</v>
          </cell>
          <cell r="AL380" t="str">
            <v>1</v>
          </cell>
          <cell r="AM380" t="str">
            <v>1</v>
          </cell>
        </row>
        <row r="381">
          <cell r="C381" t="str">
            <v>INE261F16819</v>
          </cell>
          <cell r="D381" t="str">
            <v>FI35NACD354</v>
          </cell>
          <cell r="E381" t="str">
            <v>COD</v>
          </cell>
          <cell r="F381" t="str">
            <v>National Bank for Agriculture &amp; Rural Development</v>
          </cell>
          <cell r="G381" t="str">
            <v>NABARD COD MD 26-02-2025</v>
          </cell>
          <cell r="H381">
            <v>0</v>
          </cell>
          <cell r="I381" t="str">
            <v>26-02-2025</v>
          </cell>
          <cell r="J381" t="str">
            <v>CRISIL A1+</v>
          </cell>
          <cell r="K381">
            <v>0.28000000000000003</v>
          </cell>
          <cell r="L381">
            <v>500000</v>
          </cell>
          <cell r="M381">
            <v>300</v>
          </cell>
          <cell r="N381">
            <v>7.2</v>
          </cell>
          <cell r="O381">
            <v>490138.5</v>
          </cell>
          <cell r="P381">
            <v>147041550</v>
          </cell>
          <cell r="Q381">
            <v>0</v>
          </cell>
          <cell r="R381">
            <v>7895223.2599999998</v>
          </cell>
          <cell r="S381">
            <v>91976.74</v>
          </cell>
          <cell r="T381">
            <v>147041550</v>
          </cell>
          <cell r="U381">
            <v>0.74</v>
          </cell>
          <cell r="V381">
            <v>0.74</v>
          </cell>
          <cell r="W381">
            <v>463514.5</v>
          </cell>
          <cell r="X381">
            <v>139054350</v>
          </cell>
          <cell r="Z381" t="str">
            <v>Financial Services</v>
          </cell>
          <cell r="AC381" t="str">
            <v>CD - EXEMPT</v>
          </cell>
          <cell r="AD381">
            <v>103</v>
          </cell>
          <cell r="AE381" t="str">
            <v>Y</v>
          </cell>
          <cell r="AG381">
            <v>7.2</v>
          </cell>
          <cell r="AH381">
            <v>93382.88</v>
          </cell>
          <cell r="AI381" t="str">
            <v>FI35NA</v>
          </cell>
          <cell r="AJ381" t="str">
            <v>A1+</v>
          </cell>
          <cell r="AK381" t="str">
            <v>AAA</v>
          </cell>
          <cell r="AL381" t="str">
            <v>1</v>
          </cell>
          <cell r="AM381" t="str">
            <v>1</v>
          </cell>
        </row>
        <row r="382">
          <cell r="C382" t="str">
            <v>INE476A16XV0</v>
          </cell>
          <cell r="D382" t="str">
            <v>FI3320CD478</v>
          </cell>
          <cell r="E382" t="str">
            <v>COD</v>
          </cell>
          <cell r="F382" t="str">
            <v>Canara Bank</v>
          </cell>
          <cell r="G382" t="str">
            <v>Canara Bank COD MD 11-03-2025</v>
          </cell>
          <cell r="H382">
            <v>0</v>
          </cell>
          <cell r="I382" t="str">
            <v>11-03-2025</v>
          </cell>
          <cell r="J382" t="str">
            <v>CRISIL A1+</v>
          </cell>
          <cell r="K382">
            <v>0.32</v>
          </cell>
          <cell r="L382">
            <v>500000</v>
          </cell>
          <cell r="M382">
            <v>500</v>
          </cell>
          <cell r="N382">
            <v>7.1950000000000003</v>
          </cell>
          <cell r="O382">
            <v>488917</v>
          </cell>
          <cell r="P382">
            <v>244458500</v>
          </cell>
          <cell r="Q382">
            <v>0</v>
          </cell>
          <cell r="R382">
            <v>4977670.38</v>
          </cell>
          <cell r="S382">
            <v>70579.62</v>
          </cell>
          <cell r="T382">
            <v>244458500</v>
          </cell>
          <cell r="U382">
            <v>1.23</v>
          </cell>
          <cell r="V382">
            <v>1.23</v>
          </cell>
          <cell r="W382">
            <v>478820.5</v>
          </cell>
          <cell r="X382">
            <v>239410250</v>
          </cell>
          <cell r="Z382" t="str">
            <v>Financial Services</v>
          </cell>
          <cell r="AC382" t="str">
            <v>CD - EXEMPT</v>
          </cell>
          <cell r="AD382">
            <v>116</v>
          </cell>
          <cell r="AE382" t="str">
            <v>Y</v>
          </cell>
          <cell r="AG382">
            <v>7.1950000000000003</v>
          </cell>
          <cell r="AH382">
            <v>72130.31</v>
          </cell>
          <cell r="AI382" t="str">
            <v>FI3320</v>
          </cell>
          <cell r="AJ382" t="str">
            <v>A1+</v>
          </cell>
          <cell r="AK382" t="str">
            <v>AAA</v>
          </cell>
          <cell r="AL382" t="str">
            <v>1</v>
          </cell>
          <cell r="AM382" t="str">
            <v>1</v>
          </cell>
        </row>
        <row r="383">
          <cell r="C383" t="str">
            <v>INE476A16YX4</v>
          </cell>
          <cell r="D383" t="str">
            <v>FI3320CD486</v>
          </cell>
          <cell r="E383" t="str">
            <v>COD</v>
          </cell>
          <cell r="F383" t="str">
            <v>Canara Bank</v>
          </cell>
          <cell r="G383" t="str">
            <v>Canara Bank COD MD 26-11-2024</v>
          </cell>
          <cell r="H383">
            <v>0</v>
          </cell>
          <cell r="I383" t="str">
            <v>26-11-2024</v>
          </cell>
          <cell r="J383" t="str">
            <v>CRISIL A1+</v>
          </cell>
          <cell r="K383">
            <v>0.03</v>
          </cell>
          <cell r="L383">
            <v>500000</v>
          </cell>
          <cell r="M383">
            <v>500</v>
          </cell>
          <cell r="N383">
            <v>6.7549999999999999</v>
          </cell>
          <cell r="O383">
            <v>499076.5</v>
          </cell>
          <cell r="P383">
            <v>249538250</v>
          </cell>
          <cell r="Q383">
            <v>0</v>
          </cell>
          <cell r="R383">
            <v>139788.46</v>
          </cell>
          <cell r="S383">
            <v>4211.54</v>
          </cell>
          <cell r="T383">
            <v>249538250</v>
          </cell>
          <cell r="U383">
            <v>1.25</v>
          </cell>
          <cell r="V383">
            <v>1.25</v>
          </cell>
          <cell r="W383">
            <v>498788.5</v>
          </cell>
          <cell r="X383">
            <v>249394250</v>
          </cell>
          <cell r="Z383" t="str">
            <v>Financial Services</v>
          </cell>
          <cell r="AC383" t="str">
            <v>CD - EXEMPT</v>
          </cell>
          <cell r="AD383">
            <v>11</v>
          </cell>
          <cell r="AE383" t="str">
            <v>N</v>
          </cell>
          <cell r="AG383">
            <v>6.7549999999999999</v>
          </cell>
          <cell r="AH383">
            <v>4807.7</v>
          </cell>
          <cell r="AI383" t="str">
            <v>FI3320</v>
          </cell>
        </row>
        <row r="384">
          <cell r="C384" t="str">
            <v>INE556F16AQ6</v>
          </cell>
          <cell r="D384" t="str">
            <v>FI3405CD236</v>
          </cell>
          <cell r="E384" t="str">
            <v>COD</v>
          </cell>
          <cell r="F384" t="str">
            <v>Small Industries Development Bank of India</v>
          </cell>
          <cell r="G384" t="str">
            <v>Small Industries Development Bank of India CD MD 07-02-2025</v>
          </cell>
          <cell r="H384">
            <v>0</v>
          </cell>
          <cell r="I384" t="str">
            <v>07-02-2025</v>
          </cell>
          <cell r="J384" t="str">
            <v>CRISIL A1+</v>
          </cell>
          <cell r="K384">
            <v>0.23</v>
          </cell>
          <cell r="L384">
            <v>500000</v>
          </cell>
          <cell r="M384">
            <v>500</v>
          </cell>
          <cell r="N384">
            <v>7.1601999999999997</v>
          </cell>
          <cell r="O384">
            <v>491989.5</v>
          </cell>
          <cell r="P384">
            <v>245994750</v>
          </cell>
          <cell r="Q384">
            <v>0</v>
          </cell>
          <cell r="R384">
            <v>1909881.09</v>
          </cell>
          <cell r="S384">
            <v>59368.91</v>
          </cell>
          <cell r="T384">
            <v>245994750</v>
          </cell>
          <cell r="U384">
            <v>1.23</v>
          </cell>
          <cell r="V384">
            <v>1.23</v>
          </cell>
          <cell r="W384">
            <v>488051</v>
          </cell>
          <cell r="X384">
            <v>244025500</v>
          </cell>
          <cell r="Z384" t="str">
            <v>Financial Services</v>
          </cell>
          <cell r="AC384" t="str">
            <v>CD - EXEMPT</v>
          </cell>
          <cell r="AD384">
            <v>84</v>
          </cell>
          <cell r="AE384" t="str">
            <v>Y</v>
          </cell>
          <cell r="AG384">
            <v>7.1601999999999997</v>
          </cell>
          <cell r="AH384">
            <v>60840.22</v>
          </cell>
          <cell r="AI384" t="str">
            <v>FI3405</v>
          </cell>
          <cell r="AJ384" t="str">
            <v>A1+</v>
          </cell>
          <cell r="AK384" t="str">
            <v>AAA</v>
          </cell>
          <cell r="AL384" t="str">
            <v>1</v>
          </cell>
          <cell r="AM384" t="str">
            <v>1</v>
          </cell>
        </row>
        <row r="385">
          <cell r="C385" t="str">
            <v>INE562A16MZ1</v>
          </cell>
          <cell r="D385" t="str">
            <v>FI3345CD302</v>
          </cell>
          <cell r="E385" t="str">
            <v>COD</v>
          </cell>
          <cell r="F385" t="str">
            <v>Indian Bank</v>
          </cell>
          <cell r="G385" t="str">
            <v>INDIAN BANK LTD COD MD 23-05-2025</v>
          </cell>
          <cell r="H385">
            <v>0</v>
          </cell>
          <cell r="I385" t="str">
            <v>23-05-2025</v>
          </cell>
          <cell r="J385" t="str">
            <v>CRISIL A1+</v>
          </cell>
          <cell r="K385">
            <v>0.52</v>
          </cell>
          <cell r="L385">
            <v>500000</v>
          </cell>
          <cell r="M385">
            <v>500</v>
          </cell>
          <cell r="N385">
            <v>7.4250999999999996</v>
          </cell>
          <cell r="O385">
            <v>481582.5</v>
          </cell>
          <cell r="P385">
            <v>240791250</v>
          </cell>
          <cell r="Q385">
            <v>0</v>
          </cell>
          <cell r="R385">
            <v>8379983.1100000003</v>
          </cell>
          <cell r="S385">
            <v>-49233.11</v>
          </cell>
          <cell r="T385">
            <v>240791250</v>
          </cell>
          <cell r="U385">
            <v>1.21</v>
          </cell>
          <cell r="V385">
            <v>1.21</v>
          </cell>
          <cell r="W385">
            <v>464921</v>
          </cell>
          <cell r="X385">
            <v>232460500</v>
          </cell>
          <cell r="Z385" t="str">
            <v>Financial Services</v>
          </cell>
          <cell r="AC385" t="str">
            <v>CD - EXEMPT</v>
          </cell>
          <cell r="AD385">
            <v>189</v>
          </cell>
          <cell r="AE385" t="str">
            <v>Y</v>
          </cell>
          <cell r="AG385">
            <v>7.4250999999999996</v>
          </cell>
          <cell r="AH385">
            <v>-47762.28</v>
          </cell>
          <cell r="AI385" t="str">
            <v>FI3345</v>
          </cell>
          <cell r="AJ385" t="str">
            <v>A1+</v>
          </cell>
          <cell r="AK385" t="str">
            <v>AA+</v>
          </cell>
          <cell r="AL385" t="str">
            <v>3</v>
          </cell>
          <cell r="AM385" t="str">
            <v>2</v>
          </cell>
        </row>
        <row r="386">
          <cell r="C386" t="str">
            <v>INE692A16GZ8</v>
          </cell>
          <cell r="D386" t="str">
            <v>FI3321CD266</v>
          </cell>
          <cell r="E386" t="str">
            <v>COD</v>
          </cell>
          <cell r="F386" t="str">
            <v>Union Bank of India</v>
          </cell>
          <cell r="G386" t="str">
            <v>UNION BANK OF INDIA COD MD 27-02-2025</v>
          </cell>
          <cell r="H386">
            <v>0</v>
          </cell>
          <cell r="I386" t="str">
            <v>27-02-2025</v>
          </cell>
          <cell r="J386" t="str">
            <v>ICRA A1+</v>
          </cell>
          <cell r="K386">
            <v>0.28000000000000003</v>
          </cell>
          <cell r="L386">
            <v>500000</v>
          </cell>
          <cell r="M386">
            <v>800</v>
          </cell>
          <cell r="N386">
            <v>7.1950000000000003</v>
          </cell>
          <cell r="O386">
            <v>490050.5</v>
          </cell>
          <cell r="P386">
            <v>392040400</v>
          </cell>
          <cell r="Q386">
            <v>0</v>
          </cell>
          <cell r="R386">
            <v>20850295.469999999</v>
          </cell>
          <cell r="S386">
            <v>206104.53</v>
          </cell>
          <cell r="T386">
            <v>392040400</v>
          </cell>
          <cell r="U386">
            <v>1.97</v>
          </cell>
          <cell r="V386">
            <v>1.97</v>
          </cell>
          <cell r="W386">
            <v>463730</v>
          </cell>
          <cell r="X386">
            <v>370984000</v>
          </cell>
          <cell r="Z386" t="str">
            <v>Financial Services</v>
          </cell>
          <cell r="AC386" t="str">
            <v>CD - EXEMPT</v>
          </cell>
          <cell r="AD386">
            <v>104</v>
          </cell>
          <cell r="AE386" t="str">
            <v>Y</v>
          </cell>
          <cell r="AG386">
            <v>7.1950000000000003</v>
          </cell>
          <cell r="AH386">
            <v>209383.22</v>
          </cell>
          <cell r="AI386" t="str">
            <v>FI3321</v>
          </cell>
          <cell r="AJ386" t="str">
            <v>A1+</v>
          </cell>
          <cell r="AK386" t="str">
            <v>AAA</v>
          </cell>
          <cell r="AL386" t="str">
            <v>1</v>
          </cell>
          <cell r="AM386" t="str">
            <v>1</v>
          </cell>
        </row>
        <row r="387">
          <cell r="C387" t="str">
            <v>INE692A16HP7</v>
          </cell>
          <cell r="D387" t="str">
            <v>FI3321CD273</v>
          </cell>
          <cell r="E387" t="str">
            <v>COD</v>
          </cell>
          <cell r="F387" t="str">
            <v>Union Bank of India</v>
          </cell>
          <cell r="G387" t="str">
            <v>Union Bank of India COD MD 18-03-2025</v>
          </cell>
          <cell r="H387">
            <v>0</v>
          </cell>
          <cell r="I387" t="str">
            <v>18-03-2025</v>
          </cell>
          <cell r="J387" t="str">
            <v>ICRA A1+</v>
          </cell>
          <cell r="K387">
            <v>0.34</v>
          </cell>
          <cell r="L387">
            <v>500000</v>
          </cell>
          <cell r="M387">
            <v>700</v>
          </cell>
          <cell r="N387">
            <v>7.2050000000000001</v>
          </cell>
          <cell r="O387">
            <v>488242</v>
          </cell>
          <cell r="P387">
            <v>341769400</v>
          </cell>
          <cell r="Q387">
            <v>0</v>
          </cell>
          <cell r="R387">
            <v>3606005.73</v>
          </cell>
          <cell r="S387">
            <v>229644.27</v>
          </cell>
          <cell r="T387">
            <v>341769400</v>
          </cell>
          <cell r="U387">
            <v>1.71</v>
          </cell>
          <cell r="V387">
            <v>1.71</v>
          </cell>
          <cell r="W387">
            <v>482762.5</v>
          </cell>
          <cell r="X387">
            <v>337933750</v>
          </cell>
          <cell r="Z387" t="str">
            <v>Financial Services</v>
          </cell>
          <cell r="AC387" t="str">
            <v>CD - EXEMPT</v>
          </cell>
          <cell r="AD387">
            <v>123</v>
          </cell>
          <cell r="AE387" t="str">
            <v>Y</v>
          </cell>
          <cell r="AG387">
            <v>7.2050000000000001</v>
          </cell>
          <cell r="AH387">
            <v>233190.53</v>
          </cell>
          <cell r="AI387" t="str">
            <v>FI3321</v>
          </cell>
          <cell r="AJ387" t="str">
            <v>A1+</v>
          </cell>
          <cell r="AK387" t="str">
            <v>AAA</v>
          </cell>
          <cell r="AL387" t="str">
            <v>1</v>
          </cell>
          <cell r="AM387" t="str">
            <v>1</v>
          </cell>
        </row>
        <row r="388">
          <cell r="C388" t="str">
            <v>INE020B08ED9</v>
          </cell>
          <cell r="D388" t="str">
            <v>UT47NC322</v>
          </cell>
          <cell r="E388" t="str">
            <v>NCD</v>
          </cell>
          <cell r="F388" t="str">
            <v>REC LTD</v>
          </cell>
          <cell r="G388" t="str">
            <v>7.56% REC Ltd NCD MD 30-06-2026  SERIES  218-A</v>
          </cell>
          <cell r="H388">
            <v>7.56</v>
          </cell>
          <cell r="I388" t="str">
            <v>30-06-2026</v>
          </cell>
          <cell r="J388" t="str">
            <v>CRISIL AAA</v>
          </cell>
          <cell r="K388">
            <v>1.5488999999999999</v>
          </cell>
          <cell r="L388">
            <v>100000</v>
          </cell>
          <cell r="M388">
            <v>1500</v>
          </cell>
          <cell r="N388">
            <v>7.5</v>
          </cell>
          <cell r="O388">
            <v>100024.1</v>
          </cell>
          <cell r="P388">
            <v>150036150</v>
          </cell>
          <cell r="Q388">
            <v>4318520.55</v>
          </cell>
          <cell r="R388">
            <v>0</v>
          </cell>
          <cell r="S388">
            <v>200700</v>
          </cell>
          <cell r="T388">
            <v>154354670.55000001</v>
          </cell>
          <cell r="U388">
            <v>0.75</v>
          </cell>
          <cell r="V388">
            <v>0.77</v>
          </cell>
          <cell r="W388">
            <v>99890.3</v>
          </cell>
          <cell r="X388">
            <v>149835450</v>
          </cell>
          <cell r="Y388" t="str">
            <v>30-06-2025</v>
          </cell>
          <cell r="Z388" t="str">
            <v>Financial Services</v>
          </cell>
          <cell r="AC388" t="str">
            <v>Exempt - PFI</v>
          </cell>
          <cell r="AD388">
            <v>592</v>
          </cell>
          <cell r="AE388" t="str">
            <v>Y</v>
          </cell>
          <cell r="AF388" t="str">
            <v>30-06-2024</v>
          </cell>
          <cell r="AG388">
            <v>7.5</v>
          </cell>
          <cell r="AH388">
            <v>201300</v>
          </cell>
          <cell r="AI388" t="str">
            <v>UT47</v>
          </cell>
          <cell r="AJ388" t="str">
            <v>A1+</v>
          </cell>
          <cell r="AK388" t="str">
            <v>AAA</v>
          </cell>
          <cell r="AL388" t="str">
            <v>1</v>
          </cell>
          <cell r="AM388" t="str">
            <v>1</v>
          </cell>
        </row>
        <row r="389">
          <cell r="C389" t="str">
            <v>INE041007100</v>
          </cell>
          <cell r="D389" t="str">
            <v>FI3346NC200</v>
          </cell>
          <cell r="E389" t="str">
            <v>NCD</v>
          </cell>
          <cell r="F389" t="str">
            <v>Embassy Office Parks REIT</v>
          </cell>
          <cell r="G389" t="str">
            <v>7.77% Embassy Office Parks REIT NCD MD 05.06.2025 Series VII NCD Call 05-03-2025</v>
          </cell>
          <cell r="H389">
            <v>7.77</v>
          </cell>
          <cell r="I389" t="str">
            <v>05-06-2025</v>
          </cell>
          <cell r="J389" t="str">
            <v>CRISIL AAA</v>
          </cell>
          <cell r="K389">
            <v>0.53879999999999995</v>
          </cell>
          <cell r="L389">
            <v>100000</v>
          </cell>
          <cell r="M389">
            <v>1500</v>
          </cell>
          <cell r="N389">
            <v>8.0150000000000006</v>
          </cell>
          <cell r="O389">
            <v>99991.2</v>
          </cell>
          <cell r="P389">
            <v>149986800</v>
          </cell>
          <cell r="Q389">
            <v>1496680.33</v>
          </cell>
          <cell r="R389">
            <v>0</v>
          </cell>
          <cell r="S389">
            <v>-13200</v>
          </cell>
          <cell r="T389">
            <v>151483480.33000001</v>
          </cell>
          <cell r="U389">
            <v>0.75</v>
          </cell>
          <cell r="V389">
            <v>0.76</v>
          </cell>
          <cell r="W389">
            <v>100000</v>
          </cell>
          <cell r="X389">
            <v>150000000</v>
          </cell>
          <cell r="Y389" t="str">
            <v>31-12-2024</v>
          </cell>
          <cell r="Z389" t="str">
            <v>Realty</v>
          </cell>
          <cell r="AB389" t="str">
            <v>05-MAR-25</v>
          </cell>
          <cell r="AC389" t="str">
            <v>Realty</v>
          </cell>
          <cell r="AD389">
            <v>202</v>
          </cell>
          <cell r="AE389" t="str">
            <v>Y</v>
          </cell>
          <cell r="AF389" t="str">
            <v>30-09-2024</v>
          </cell>
          <cell r="AG389">
            <v>8.0150000000000006</v>
          </cell>
          <cell r="AH389">
            <v>-13200</v>
          </cell>
          <cell r="AI389" t="str">
            <v>FI3446</v>
          </cell>
          <cell r="AJ389" t="str">
            <v>A1+</v>
          </cell>
          <cell r="AK389" t="str">
            <v>AAA</v>
          </cell>
          <cell r="AL389" t="str">
            <v>2</v>
          </cell>
          <cell r="AM389" t="str">
            <v>1</v>
          </cell>
        </row>
        <row r="390">
          <cell r="C390" t="str">
            <v>INE081A08231</v>
          </cell>
          <cell r="D390" t="str">
            <v>BA1209NC203</v>
          </cell>
          <cell r="E390" t="str">
            <v>NCD</v>
          </cell>
          <cell r="F390" t="str">
            <v>Tata Steel Ltd</v>
          </cell>
          <cell r="G390" t="str">
            <v>7.70% Tata Steel Ltd NCD MD 13-03-2025</v>
          </cell>
          <cell r="H390">
            <v>7.7</v>
          </cell>
          <cell r="I390" t="str">
            <v>13-03-2025</v>
          </cell>
          <cell r="J390" t="str">
            <v>IND AA+</v>
          </cell>
          <cell r="K390">
            <v>0.32050000000000001</v>
          </cell>
          <cell r="L390">
            <v>1000000</v>
          </cell>
          <cell r="M390">
            <v>600</v>
          </cell>
          <cell r="N390">
            <v>7.45</v>
          </cell>
          <cell r="O390">
            <v>999562</v>
          </cell>
          <cell r="P390">
            <v>599737200</v>
          </cell>
          <cell r="Q390">
            <v>31390684.93</v>
          </cell>
          <cell r="R390">
            <v>0</v>
          </cell>
          <cell r="S390">
            <v>-3000</v>
          </cell>
          <cell r="T390">
            <v>631127884.92999995</v>
          </cell>
          <cell r="U390">
            <v>3.01</v>
          </cell>
          <cell r="V390">
            <v>3.17</v>
          </cell>
          <cell r="W390">
            <v>999567</v>
          </cell>
          <cell r="X390">
            <v>599740200</v>
          </cell>
          <cell r="Y390" t="str">
            <v>13-03-2025</v>
          </cell>
          <cell r="Z390" t="str">
            <v>Metals &amp; Mining</v>
          </cell>
          <cell r="AD390">
            <v>118</v>
          </cell>
          <cell r="AE390" t="str">
            <v>Y</v>
          </cell>
          <cell r="AF390" t="str">
            <v>13-03-2024</v>
          </cell>
          <cell r="AG390">
            <v>7.45</v>
          </cell>
          <cell r="AH390">
            <v>-1800</v>
          </cell>
          <cell r="AI390" t="str">
            <v>BA1209</v>
          </cell>
        </row>
        <row r="391">
          <cell r="C391" t="str">
            <v>INE115A07PQ9</v>
          </cell>
          <cell r="D391" t="str">
            <v>FILICNC374</v>
          </cell>
          <cell r="E391" t="str">
            <v>NCD</v>
          </cell>
          <cell r="F391" t="str">
            <v>LIC Housing Finance Ltd</v>
          </cell>
          <cell r="G391" t="str">
            <v>5.9943% Lic Housing Finance NCD MD 12-03-2025</v>
          </cell>
          <cell r="H391">
            <v>5.9943</v>
          </cell>
          <cell r="I391" t="str">
            <v>12-03-2025</v>
          </cell>
          <cell r="J391" t="str">
            <v>CRISIL AAA</v>
          </cell>
          <cell r="K391">
            <v>0.31780000000000003</v>
          </cell>
          <cell r="L391">
            <v>1000000</v>
          </cell>
          <cell r="M391">
            <v>300</v>
          </cell>
          <cell r="N391">
            <v>7.3550000000000004</v>
          </cell>
          <cell r="O391">
            <v>994840</v>
          </cell>
          <cell r="P391">
            <v>298452000</v>
          </cell>
          <cell r="Q391">
            <v>12267786.58</v>
          </cell>
          <cell r="R391">
            <v>0</v>
          </cell>
          <cell r="S391">
            <v>3962400</v>
          </cell>
          <cell r="T391">
            <v>310719786.57999998</v>
          </cell>
          <cell r="U391">
            <v>1.5</v>
          </cell>
          <cell r="V391">
            <v>1.56</v>
          </cell>
          <cell r="W391">
            <v>981632</v>
          </cell>
          <cell r="X391">
            <v>294489600</v>
          </cell>
          <cell r="Y391" t="str">
            <v>12-03-2025</v>
          </cell>
          <cell r="Z391" t="str">
            <v>Financial Services</v>
          </cell>
          <cell r="AC391" t="str">
            <v>HOUSING FINANCE</v>
          </cell>
          <cell r="AD391">
            <v>117</v>
          </cell>
          <cell r="AE391" t="str">
            <v>Y</v>
          </cell>
          <cell r="AF391" t="str">
            <v>12-03-2024</v>
          </cell>
          <cell r="AG391">
            <v>7.3550000000000004</v>
          </cell>
          <cell r="AH391">
            <v>3950700</v>
          </cell>
          <cell r="AI391" t="str">
            <v>FILIC</v>
          </cell>
          <cell r="AJ391" t="str">
            <v>A1+</v>
          </cell>
          <cell r="AK391" t="str">
            <v>AAA</v>
          </cell>
          <cell r="AL391" t="str">
            <v>2</v>
          </cell>
          <cell r="AM391" t="str">
            <v>1</v>
          </cell>
        </row>
        <row r="392">
          <cell r="C392" t="str">
            <v>INE121A07QT9</v>
          </cell>
          <cell r="D392" t="str">
            <v>FI3508NC223</v>
          </cell>
          <cell r="E392" t="str">
            <v>NCD</v>
          </cell>
          <cell r="F392" t="str">
            <v>Cholamandalam Investment and Finance Co Ltd</v>
          </cell>
          <cell r="G392" t="str">
            <v>8.45% Cholamandalam Investment and Finance Co Ltd NCD MD 21-11-2025 (CICFL_Series 630_November 2025)</v>
          </cell>
          <cell r="H392">
            <v>8.4499999999999993</v>
          </cell>
          <cell r="I392" t="str">
            <v>21-11-2025</v>
          </cell>
          <cell r="J392" t="str">
            <v>ICRA AA+</v>
          </cell>
          <cell r="K392">
            <v>0.93589999999999995</v>
          </cell>
          <cell r="L392">
            <v>1000000</v>
          </cell>
          <cell r="M392">
            <v>200</v>
          </cell>
          <cell r="N392">
            <v>8.25</v>
          </cell>
          <cell r="O392">
            <v>1001826</v>
          </cell>
          <cell r="P392">
            <v>200365200</v>
          </cell>
          <cell r="Q392">
            <v>16669125.68</v>
          </cell>
          <cell r="R392">
            <v>0</v>
          </cell>
          <cell r="S392">
            <v>1078400</v>
          </cell>
          <cell r="T392">
            <v>217034325.68000001</v>
          </cell>
          <cell r="U392">
            <v>1.01</v>
          </cell>
          <cell r="V392">
            <v>1.0900000000000001</v>
          </cell>
          <cell r="W392">
            <v>996434</v>
          </cell>
          <cell r="X392">
            <v>199286800</v>
          </cell>
          <cell r="Y392" t="str">
            <v>21-11-2024</v>
          </cell>
          <cell r="Z392" t="str">
            <v>Financial Services</v>
          </cell>
          <cell r="AC392" t="str">
            <v>Financial Services</v>
          </cell>
          <cell r="AD392">
            <v>371</v>
          </cell>
          <cell r="AE392" t="str">
            <v>Y</v>
          </cell>
          <cell r="AF392" t="str">
            <v>21-11-2023</v>
          </cell>
          <cell r="AG392">
            <v>8.25</v>
          </cell>
          <cell r="AH392">
            <v>1077600</v>
          </cell>
          <cell r="AI392" t="str">
            <v>FI3508</v>
          </cell>
          <cell r="AJ392" t="str">
            <v>A1+</v>
          </cell>
          <cell r="AK392" t="str">
            <v>AA+</v>
          </cell>
          <cell r="AL392" t="str">
            <v>3</v>
          </cell>
          <cell r="AM392" t="str">
            <v>2</v>
          </cell>
        </row>
        <row r="393">
          <cell r="C393" t="str">
            <v>INE121A07RB5</v>
          </cell>
          <cell r="D393" t="str">
            <v>FI3508NC221</v>
          </cell>
          <cell r="E393" t="str">
            <v>NCD</v>
          </cell>
          <cell r="F393" t="str">
            <v>Cholamandalam Investment and Finance Co Ltd</v>
          </cell>
          <cell r="G393" t="str">
            <v>8.25%  Cholamandalam Investment and Finance Co Ltd NCD MD 04-03-2025</v>
          </cell>
          <cell r="H393">
            <v>8.25</v>
          </cell>
          <cell r="I393" t="str">
            <v>04-03-2025</v>
          </cell>
          <cell r="J393" t="str">
            <v>ICRA AA+</v>
          </cell>
          <cell r="K393">
            <v>0.2959</v>
          </cell>
          <cell r="L393">
            <v>1000</v>
          </cell>
          <cell r="M393">
            <v>250000</v>
          </cell>
          <cell r="N393">
            <v>8.0050000000000008</v>
          </cell>
          <cell r="O393">
            <v>999.68299999999999</v>
          </cell>
          <cell r="P393">
            <v>249920750</v>
          </cell>
          <cell r="Q393">
            <v>11075342.470000001</v>
          </cell>
          <cell r="R393">
            <v>0</v>
          </cell>
          <cell r="S393">
            <v>-317500</v>
          </cell>
          <cell r="T393">
            <v>260996092.47</v>
          </cell>
          <cell r="U393">
            <v>1.25</v>
          </cell>
          <cell r="V393">
            <v>1.31</v>
          </cell>
          <cell r="W393">
            <v>1000.953</v>
          </cell>
          <cell r="X393">
            <v>250238250</v>
          </cell>
          <cell r="Y393" t="str">
            <v>04-03-2025</v>
          </cell>
          <cell r="Z393" t="str">
            <v>Financial Services</v>
          </cell>
          <cell r="AC393" t="str">
            <v>Financial Services</v>
          </cell>
          <cell r="AD393">
            <v>109</v>
          </cell>
          <cell r="AE393" t="str">
            <v>Y</v>
          </cell>
          <cell r="AF393" t="str">
            <v>04-05-2024</v>
          </cell>
          <cell r="AG393">
            <v>8.0050000000000008</v>
          </cell>
          <cell r="AH393">
            <v>-316750</v>
          </cell>
          <cell r="AI393" t="str">
            <v>FI3508</v>
          </cell>
          <cell r="AJ393" t="str">
            <v>A1+</v>
          </cell>
          <cell r="AK393" t="str">
            <v>AA+</v>
          </cell>
          <cell r="AL393" t="str">
            <v>3</v>
          </cell>
          <cell r="AM393" t="str">
            <v>2</v>
          </cell>
        </row>
        <row r="394">
          <cell r="C394" t="str">
            <v>INE261F08DK7</v>
          </cell>
          <cell r="D394" t="str">
            <v>FI35NANC308</v>
          </cell>
          <cell r="E394" t="str">
            <v>NCD</v>
          </cell>
          <cell r="F394" t="str">
            <v>National Bank for Agriculture &amp; Rural Development</v>
          </cell>
          <cell r="G394" t="str">
            <v>5.7% NABARD NCD MD 31 07 2025</v>
          </cell>
          <cell r="H394">
            <v>5.7</v>
          </cell>
          <cell r="I394" t="str">
            <v>31-07-2025</v>
          </cell>
          <cell r="J394" t="str">
            <v>CRISIL AAA</v>
          </cell>
          <cell r="K394">
            <v>0.70409999999999995</v>
          </cell>
          <cell r="L394">
            <v>1000000</v>
          </cell>
          <cell r="M394">
            <v>250</v>
          </cell>
          <cell r="N394">
            <v>7.63</v>
          </cell>
          <cell r="O394">
            <v>986244</v>
          </cell>
          <cell r="P394">
            <v>246561000</v>
          </cell>
          <cell r="Q394">
            <v>4216438.3600000003</v>
          </cell>
          <cell r="R394">
            <v>0</v>
          </cell>
          <cell r="S394">
            <v>1113250</v>
          </cell>
          <cell r="T394">
            <v>250777438.36000001</v>
          </cell>
          <cell r="U394">
            <v>1.24</v>
          </cell>
          <cell r="V394">
            <v>1.26</v>
          </cell>
          <cell r="W394">
            <v>981791</v>
          </cell>
          <cell r="X394">
            <v>245447750</v>
          </cell>
          <cell r="Y394" t="str">
            <v>31-07-2025</v>
          </cell>
          <cell r="Z394" t="str">
            <v>Financial Services</v>
          </cell>
          <cell r="AC394" t="str">
            <v>Exempt - PFI</v>
          </cell>
          <cell r="AD394">
            <v>258</v>
          </cell>
          <cell r="AE394" t="str">
            <v>Y</v>
          </cell>
          <cell r="AF394" t="str">
            <v>31-07-2024</v>
          </cell>
          <cell r="AG394">
            <v>7.63</v>
          </cell>
          <cell r="AH394">
            <v>1102500</v>
          </cell>
          <cell r="AI394" t="str">
            <v>FI35NA</v>
          </cell>
          <cell r="AJ394" t="str">
            <v>A1+</v>
          </cell>
          <cell r="AK394" t="str">
            <v>AAA</v>
          </cell>
          <cell r="AL394" t="str">
            <v>1</v>
          </cell>
          <cell r="AM394" t="str">
            <v>1</v>
          </cell>
        </row>
        <row r="395">
          <cell r="C395" t="str">
            <v>INE261F08DX0</v>
          </cell>
          <cell r="D395" t="str">
            <v>FI35NANC298</v>
          </cell>
          <cell r="E395" t="str">
            <v>NCD</v>
          </cell>
          <cell r="F395" t="str">
            <v>National Bank for Agriculture &amp; Rural Development</v>
          </cell>
          <cell r="G395" t="str">
            <v>7.58%  NABARD- NCD-31/07/2026 SERIES 23H</v>
          </cell>
          <cell r="H395">
            <v>7.58</v>
          </cell>
          <cell r="I395" t="str">
            <v>31-07-2026</v>
          </cell>
          <cell r="J395" t="str">
            <v>CRISIL AAA</v>
          </cell>
          <cell r="K395">
            <v>1.6336999999999999</v>
          </cell>
          <cell r="L395">
            <v>100000</v>
          </cell>
          <cell r="M395">
            <v>2500</v>
          </cell>
          <cell r="N395">
            <v>7.5593000000000004</v>
          </cell>
          <cell r="O395">
            <v>99974.7</v>
          </cell>
          <cell r="P395">
            <v>249936750</v>
          </cell>
          <cell r="Q395">
            <v>5607123.29</v>
          </cell>
          <cell r="R395">
            <v>0</v>
          </cell>
          <cell r="S395">
            <v>217500</v>
          </cell>
          <cell r="T395">
            <v>255543873.28999999</v>
          </cell>
          <cell r="U395">
            <v>1.25</v>
          </cell>
          <cell r="V395">
            <v>1.28</v>
          </cell>
          <cell r="W395">
            <v>99887.7</v>
          </cell>
          <cell r="X395">
            <v>249719250</v>
          </cell>
          <cell r="Y395" t="str">
            <v>31-07-2025</v>
          </cell>
          <cell r="Z395" t="str">
            <v>Financial Services</v>
          </cell>
          <cell r="AC395" t="str">
            <v>Exempt - PFI</v>
          </cell>
          <cell r="AD395">
            <v>623</v>
          </cell>
          <cell r="AE395" t="str">
            <v>Y</v>
          </cell>
          <cell r="AF395" t="str">
            <v>31-07-2024</v>
          </cell>
          <cell r="AG395">
            <v>7.5593000000000004</v>
          </cell>
          <cell r="AH395">
            <v>218500</v>
          </cell>
          <cell r="AI395" t="str">
            <v>FI35NA</v>
          </cell>
          <cell r="AJ395" t="str">
            <v>A1+</v>
          </cell>
          <cell r="AK395" t="str">
            <v>AAA</v>
          </cell>
          <cell r="AL395" t="str">
            <v>1</v>
          </cell>
          <cell r="AM395" t="str">
            <v>1</v>
          </cell>
        </row>
        <row r="396">
          <cell r="C396" t="str">
            <v>INE403D08181</v>
          </cell>
          <cell r="D396" t="str">
            <v>UT4825NC200</v>
          </cell>
          <cell r="E396" t="str">
            <v>NCD</v>
          </cell>
          <cell r="F396" t="str">
            <v>Bharti Telecom Ltd</v>
          </cell>
          <cell r="G396" t="str">
            <v>8.90% Bharti Telecom Ltd NCD MD 04-12-2025 SERIES XVI</v>
          </cell>
          <cell r="H396">
            <v>8.9</v>
          </cell>
          <cell r="I396" t="str">
            <v>04-12-2025</v>
          </cell>
          <cell r="J396" t="str">
            <v>CRISIL AA+</v>
          </cell>
          <cell r="K396">
            <v>0.9677</v>
          </cell>
          <cell r="L396">
            <v>100000</v>
          </cell>
          <cell r="M396">
            <v>7000</v>
          </cell>
          <cell r="N396">
            <v>8.5</v>
          </cell>
          <cell r="O396">
            <v>100368.8</v>
          </cell>
          <cell r="P396">
            <v>702581600</v>
          </cell>
          <cell r="Q396">
            <v>59236065.57</v>
          </cell>
          <cell r="R396">
            <v>0</v>
          </cell>
          <cell r="S396">
            <v>2092200</v>
          </cell>
          <cell r="T396">
            <v>761817665.57000005</v>
          </cell>
          <cell r="U396">
            <v>3.53</v>
          </cell>
          <cell r="V396">
            <v>3.82</v>
          </cell>
          <cell r="W396">
            <v>100069.91428571429</v>
          </cell>
          <cell r="X396">
            <v>700489400</v>
          </cell>
          <cell r="Y396" t="str">
            <v>04-12-2024</v>
          </cell>
          <cell r="Z396" t="str">
            <v>Financial Services</v>
          </cell>
          <cell r="AC396" t="str">
            <v>Financial Services</v>
          </cell>
          <cell r="AD396">
            <v>384</v>
          </cell>
          <cell r="AE396" t="str">
            <v>Y</v>
          </cell>
          <cell r="AF396" t="str">
            <v>04-12-2023</v>
          </cell>
          <cell r="AG396">
            <v>8.5</v>
          </cell>
          <cell r="AH396">
            <v>2092900</v>
          </cell>
          <cell r="AI396" t="str">
            <v>UT4825</v>
          </cell>
          <cell r="AJ396" t="str">
            <v>A1+</v>
          </cell>
          <cell r="AK396" t="str">
            <v>AA+</v>
          </cell>
          <cell r="AL396" t="str">
            <v>3</v>
          </cell>
          <cell r="AM396" t="str">
            <v>2</v>
          </cell>
        </row>
        <row r="397">
          <cell r="C397" t="str">
            <v>INE477A07373</v>
          </cell>
          <cell r="D397" t="str">
            <v>FI3427NC200</v>
          </cell>
          <cell r="E397" t="str">
            <v>NCD</v>
          </cell>
          <cell r="F397" t="str">
            <v>Can Fin Homes Ltd</v>
          </cell>
          <cell r="G397" t="str">
            <v>8.45% Can Fin Homes Ltd NCD MD 27-05-2026</v>
          </cell>
          <cell r="H397">
            <v>8.4499999999999993</v>
          </cell>
          <cell r="I397" t="str">
            <v>27-05-2026</v>
          </cell>
          <cell r="J397" t="str">
            <v>IND AA+</v>
          </cell>
          <cell r="K397">
            <v>1.4114</v>
          </cell>
          <cell r="L397">
            <v>100000</v>
          </cell>
          <cell r="M397">
            <v>1600</v>
          </cell>
          <cell r="N397">
            <v>7.9950000000000001</v>
          </cell>
          <cell r="O397">
            <v>100616.8</v>
          </cell>
          <cell r="P397">
            <v>160986880</v>
          </cell>
          <cell r="Q397">
            <v>9715191.2599999998</v>
          </cell>
          <cell r="R397">
            <v>0</v>
          </cell>
          <cell r="S397">
            <v>292860</v>
          </cell>
          <cell r="T397">
            <v>170702071.25999999</v>
          </cell>
          <cell r="U397">
            <v>0.81</v>
          </cell>
          <cell r="V397">
            <v>0.86</v>
          </cell>
          <cell r="W397">
            <v>100433.7625</v>
          </cell>
          <cell r="X397">
            <v>160694020</v>
          </cell>
          <cell r="Y397" t="str">
            <v>27-02-2025</v>
          </cell>
          <cell r="Z397" t="str">
            <v>Financial Services</v>
          </cell>
          <cell r="AC397" t="str">
            <v>HOUSING FINANCE</v>
          </cell>
          <cell r="AD397">
            <v>558</v>
          </cell>
          <cell r="AE397" t="str">
            <v>Y</v>
          </cell>
          <cell r="AF397" t="str">
            <v>27-02-2024</v>
          </cell>
          <cell r="AG397">
            <v>7.9950000000000001</v>
          </cell>
          <cell r="AH397">
            <v>293980</v>
          </cell>
          <cell r="AI397" t="str">
            <v>FI3427</v>
          </cell>
          <cell r="AJ397" t="str">
            <v>A1+</v>
          </cell>
          <cell r="AK397" t="str">
            <v>AA+</v>
          </cell>
          <cell r="AL397" t="str">
            <v>3</v>
          </cell>
          <cell r="AM397" t="str">
            <v>2</v>
          </cell>
        </row>
        <row r="398">
          <cell r="C398" t="str">
            <v>INE572E07134</v>
          </cell>
          <cell r="D398" t="str">
            <v>FI3333NC204</v>
          </cell>
          <cell r="E398" t="str">
            <v>NCD</v>
          </cell>
          <cell r="F398" t="str">
            <v>PNB Housing Finance Ltd</v>
          </cell>
          <cell r="G398" t="str">
            <v>8.43% PNB Housing Finance Limited 2025 Series LX NCD MD 14-03-2025</v>
          </cell>
          <cell r="H398">
            <v>8.43</v>
          </cell>
          <cell r="I398" t="str">
            <v>14-03-2025</v>
          </cell>
          <cell r="J398" t="str">
            <v>ICRA AA+</v>
          </cell>
          <cell r="K398">
            <v>0.32329999999999998</v>
          </cell>
          <cell r="L398">
            <v>100000</v>
          </cell>
          <cell r="M398">
            <v>2500</v>
          </cell>
          <cell r="N398">
            <v>7.7149999999999999</v>
          </cell>
          <cell r="O398">
            <v>100086.7</v>
          </cell>
          <cell r="P398">
            <v>250216750</v>
          </cell>
          <cell r="Q398">
            <v>14261712.33</v>
          </cell>
          <cell r="R398">
            <v>0</v>
          </cell>
          <cell r="S398">
            <v>68500</v>
          </cell>
          <cell r="T398">
            <v>264478462.33000001</v>
          </cell>
          <cell r="U398">
            <v>1.26</v>
          </cell>
          <cell r="V398">
            <v>1.33</v>
          </cell>
          <cell r="W398">
            <v>100059.3</v>
          </cell>
          <cell r="X398">
            <v>250148250</v>
          </cell>
          <cell r="Y398" t="str">
            <v>14-03-2025</v>
          </cell>
          <cell r="Z398" t="str">
            <v>Financial Services</v>
          </cell>
          <cell r="AC398" t="str">
            <v>Housing Finance</v>
          </cell>
          <cell r="AD398">
            <v>119</v>
          </cell>
          <cell r="AE398" t="str">
            <v>Y</v>
          </cell>
          <cell r="AF398" t="str">
            <v>14-03-2024</v>
          </cell>
          <cell r="AG398">
            <v>7.7149999999999999</v>
          </cell>
          <cell r="AH398">
            <v>71750</v>
          </cell>
          <cell r="AI398" t="str">
            <v>FI3333</v>
          </cell>
          <cell r="AJ398" t="str">
            <v>A1+</v>
          </cell>
          <cell r="AK398" t="str">
            <v>AA+</v>
          </cell>
          <cell r="AL398" t="str">
            <v>3</v>
          </cell>
          <cell r="AM398" t="str">
            <v>2</v>
          </cell>
        </row>
        <row r="399">
          <cell r="C399" t="str">
            <v>INE721A07RH9</v>
          </cell>
          <cell r="D399" t="str">
            <v>FI3539NC203</v>
          </cell>
          <cell r="E399" t="str">
            <v>NCD</v>
          </cell>
          <cell r="F399" t="str">
            <v>Shriram Finance Ltd</v>
          </cell>
          <cell r="G399" t="str">
            <v>8.75% Shriram Finance Limited NCD MD 15-06-2026 Series STFCL PPD-V 2022-23</v>
          </cell>
          <cell r="H399">
            <v>8.75</v>
          </cell>
          <cell r="I399" t="str">
            <v>15-06-2026</v>
          </cell>
          <cell r="J399" t="str">
            <v>CRISIL AA+</v>
          </cell>
          <cell r="K399">
            <v>1.4585999999999999</v>
          </cell>
          <cell r="L399">
            <v>100000</v>
          </cell>
          <cell r="M399">
            <v>1000</v>
          </cell>
          <cell r="N399">
            <v>8.8800000000000008</v>
          </cell>
          <cell r="O399">
            <v>99794.8</v>
          </cell>
          <cell r="P399">
            <v>99794800</v>
          </cell>
          <cell r="Q399">
            <v>5897260.2699999996</v>
          </cell>
          <cell r="R399">
            <v>0</v>
          </cell>
          <cell r="S399">
            <v>275300</v>
          </cell>
          <cell r="T399">
            <v>105692060.27</v>
          </cell>
          <cell r="U399">
            <v>0.5</v>
          </cell>
          <cell r="V399">
            <v>0.53</v>
          </cell>
          <cell r="W399">
            <v>99519.5</v>
          </cell>
          <cell r="X399">
            <v>99519500</v>
          </cell>
          <cell r="Y399" t="str">
            <v>15-03-2025</v>
          </cell>
          <cell r="Z399" t="str">
            <v>Financial Services</v>
          </cell>
          <cell r="AC399" t="str">
            <v>Financial Services</v>
          </cell>
          <cell r="AD399">
            <v>577</v>
          </cell>
          <cell r="AE399" t="str">
            <v>Y</v>
          </cell>
          <cell r="AF399" t="str">
            <v>15-03-2024</v>
          </cell>
          <cell r="AG399">
            <v>8.8800000000000008</v>
          </cell>
          <cell r="AH399">
            <v>274700</v>
          </cell>
          <cell r="AI399" t="str">
            <v>FI3539</v>
          </cell>
          <cell r="AJ399" t="str">
            <v>A1+</v>
          </cell>
          <cell r="AK399" t="str">
            <v>AA+</v>
          </cell>
          <cell r="AL399" t="str">
            <v>3</v>
          </cell>
          <cell r="AM399" t="str">
            <v>2</v>
          </cell>
        </row>
        <row r="400">
          <cell r="C400" t="str">
            <v>INE721A07RU2</v>
          </cell>
          <cell r="D400" t="str">
            <v>FI3539NC201</v>
          </cell>
          <cell r="E400" t="str">
            <v>NCD</v>
          </cell>
          <cell r="F400" t="str">
            <v>Shriram Finance Ltd</v>
          </cell>
          <cell r="G400" t="str">
            <v>9.25%  Shriram Finance Ltd  NCD MD 19-12-2025 Series PPD XV 23-24 Option 1</v>
          </cell>
          <cell r="H400">
            <v>9.25</v>
          </cell>
          <cell r="I400" t="str">
            <v>19-12-2025</v>
          </cell>
          <cell r="J400" t="str">
            <v>CRISIL AA+</v>
          </cell>
          <cell r="K400">
            <v>1.0057</v>
          </cell>
          <cell r="L400">
            <v>100000</v>
          </cell>
          <cell r="M400">
            <v>1000</v>
          </cell>
          <cell r="N400">
            <v>8.9499999999999993</v>
          </cell>
          <cell r="O400">
            <v>100266.1</v>
          </cell>
          <cell r="P400">
            <v>100266100</v>
          </cell>
          <cell r="Q400">
            <v>8415983.6099999994</v>
          </cell>
          <cell r="R400">
            <v>0</v>
          </cell>
          <cell r="S400">
            <v>89666.67</v>
          </cell>
          <cell r="T400">
            <v>108682083.61</v>
          </cell>
          <cell r="U400">
            <v>0.5</v>
          </cell>
          <cell r="V400">
            <v>0.55000000000000004</v>
          </cell>
          <cell r="W400">
            <v>100176.43333</v>
          </cell>
          <cell r="X400">
            <v>100176433.33</v>
          </cell>
          <cell r="Y400" t="str">
            <v>19-12-2024</v>
          </cell>
          <cell r="Z400" t="str">
            <v>Financial Services</v>
          </cell>
          <cell r="AC400" t="str">
            <v>Financial Services</v>
          </cell>
          <cell r="AD400">
            <v>399</v>
          </cell>
          <cell r="AE400" t="str">
            <v>Y</v>
          </cell>
          <cell r="AF400" t="str">
            <v>19-12-2023</v>
          </cell>
          <cell r="AG400">
            <v>8.9499999999999993</v>
          </cell>
          <cell r="AH400">
            <v>89566.67</v>
          </cell>
          <cell r="AI400" t="str">
            <v>FI3539</v>
          </cell>
          <cell r="AJ400" t="str">
            <v>A1+</v>
          </cell>
          <cell r="AK400" t="str">
            <v>AA+</v>
          </cell>
          <cell r="AL400" t="str">
            <v>3</v>
          </cell>
          <cell r="AM400" t="str">
            <v>2</v>
          </cell>
        </row>
        <row r="401">
          <cell r="C401" t="str">
            <v>INE721A07SB0</v>
          </cell>
          <cell r="D401" t="str">
            <v>FI3539NC202</v>
          </cell>
          <cell r="E401" t="str">
            <v>NCD</v>
          </cell>
          <cell r="F401" t="str">
            <v>Shriram Finance Ltd</v>
          </cell>
          <cell r="G401" t="str">
            <v>9.20% Shriram Finance Limited NCD MD 22-05-2026 Series/Tranche: Series PPD XXI 24-25 Option 2</v>
          </cell>
          <cell r="H401">
            <v>9.1999999999999993</v>
          </cell>
          <cell r="I401" t="str">
            <v>22-05-2026</v>
          </cell>
          <cell r="J401" t="str">
            <v>CRISIL AA+</v>
          </cell>
          <cell r="K401">
            <v>1.4282999999999999</v>
          </cell>
          <cell r="L401">
            <v>100000</v>
          </cell>
          <cell r="M401">
            <v>2000</v>
          </cell>
          <cell r="N401">
            <v>8.8800000000000008</v>
          </cell>
          <cell r="O401">
            <v>100337.3</v>
          </cell>
          <cell r="P401">
            <v>200674600</v>
          </cell>
          <cell r="Q401">
            <v>8973150.6799999997</v>
          </cell>
          <cell r="R401">
            <v>0</v>
          </cell>
          <cell r="S401">
            <v>674600</v>
          </cell>
          <cell r="T401">
            <v>209647750.68000001</v>
          </cell>
          <cell r="U401">
            <v>1.01</v>
          </cell>
          <cell r="V401">
            <v>1.05</v>
          </cell>
          <cell r="W401">
            <v>100000</v>
          </cell>
          <cell r="X401">
            <v>200000000</v>
          </cell>
          <cell r="Y401" t="str">
            <v>22-05-2025</v>
          </cell>
          <cell r="Z401" t="str">
            <v>Financial Services</v>
          </cell>
          <cell r="AC401" t="str">
            <v>Financial Services</v>
          </cell>
          <cell r="AD401">
            <v>553</v>
          </cell>
          <cell r="AE401" t="str">
            <v>Y</v>
          </cell>
          <cell r="AF401" t="str">
            <v>22-05-2024</v>
          </cell>
          <cell r="AG401">
            <v>8.8800000000000008</v>
          </cell>
          <cell r="AH401">
            <v>676400</v>
          </cell>
          <cell r="AI401" t="str">
            <v>FI3539</v>
          </cell>
          <cell r="AJ401" t="str">
            <v>A1+</v>
          </cell>
          <cell r="AK401" t="str">
            <v>AA+</v>
          </cell>
          <cell r="AL401" t="str">
            <v>3</v>
          </cell>
          <cell r="AM401" t="str">
            <v>2</v>
          </cell>
        </row>
        <row r="402">
          <cell r="C402" t="str">
            <v>INE756I07EI4</v>
          </cell>
          <cell r="D402" t="str">
            <v>FI3553NC215</v>
          </cell>
          <cell r="E402" t="str">
            <v>NCD</v>
          </cell>
          <cell r="F402" t="str">
            <v>HDB Financial Services Ltd</v>
          </cell>
          <cell r="G402" t="str">
            <v>7.50%  HDB Financial Services NCD MD 23-09-2025</v>
          </cell>
          <cell r="H402">
            <v>7.5</v>
          </cell>
          <cell r="I402" t="str">
            <v>23-09-2025</v>
          </cell>
          <cell r="J402" t="str">
            <v>CRISIL AAA</v>
          </cell>
          <cell r="K402">
            <v>0.85209999999999997</v>
          </cell>
          <cell r="L402">
            <v>1000000</v>
          </cell>
          <cell r="M402">
            <v>250</v>
          </cell>
          <cell r="N402">
            <v>7.9566999999999997</v>
          </cell>
          <cell r="O402">
            <v>995652</v>
          </cell>
          <cell r="P402">
            <v>248913000</v>
          </cell>
          <cell r="Q402">
            <v>2773972.6</v>
          </cell>
          <cell r="R402">
            <v>0</v>
          </cell>
          <cell r="S402">
            <v>1578500</v>
          </cell>
          <cell r="T402">
            <v>251686972.59999999</v>
          </cell>
          <cell r="U402">
            <v>1.25</v>
          </cell>
          <cell r="V402">
            <v>1.26</v>
          </cell>
          <cell r="W402">
            <v>989338</v>
          </cell>
          <cell r="X402">
            <v>247334500</v>
          </cell>
          <cell r="Y402" t="str">
            <v>23-09-2025</v>
          </cell>
          <cell r="Z402" t="str">
            <v>Financial Services</v>
          </cell>
          <cell r="AC402" t="str">
            <v>Financial Services</v>
          </cell>
          <cell r="AD402">
            <v>312</v>
          </cell>
          <cell r="AE402" t="str">
            <v>Y</v>
          </cell>
          <cell r="AF402" t="str">
            <v>23-09-2024</v>
          </cell>
          <cell r="AG402">
            <v>7.9566999999999997</v>
          </cell>
          <cell r="AH402">
            <v>1578500</v>
          </cell>
          <cell r="AI402" t="str">
            <v>FI3553</v>
          </cell>
          <cell r="AJ402" t="str">
            <v>A1+</v>
          </cell>
          <cell r="AK402" t="str">
            <v>AAA</v>
          </cell>
          <cell r="AL402" t="str">
            <v>2</v>
          </cell>
          <cell r="AM402" t="str">
            <v>1</v>
          </cell>
        </row>
        <row r="403">
          <cell r="C403" t="str">
            <v>IN002024Y233</v>
          </cell>
          <cell r="D403" t="str">
            <v>182TBL060325</v>
          </cell>
          <cell r="E403" t="str">
            <v>TBL</v>
          </cell>
          <cell r="F403" t="str">
            <v>Govt. of India - GSec / TBL</v>
          </cell>
          <cell r="G403" t="str">
            <v>182 Days - T Bill - 06/03/2025</v>
          </cell>
          <cell r="H403">
            <v>0</v>
          </cell>
          <cell r="I403" t="str">
            <v>06-03-2025</v>
          </cell>
          <cell r="J403" t="str">
            <v>Sovereign</v>
          </cell>
          <cell r="K403">
            <v>0.3</v>
          </cell>
          <cell r="L403">
            <v>100</v>
          </cell>
          <cell r="M403">
            <v>2500000</v>
          </cell>
          <cell r="N403">
            <v>6.4960000000000004</v>
          </cell>
          <cell r="O403">
            <v>98.079899999999995</v>
          </cell>
          <cell r="P403">
            <v>245199750</v>
          </cell>
          <cell r="Q403">
            <v>0</v>
          </cell>
          <cell r="R403">
            <v>3206077.11</v>
          </cell>
          <cell r="S403">
            <v>97922.89</v>
          </cell>
          <cell r="T403">
            <v>245199750</v>
          </cell>
          <cell r="U403">
            <v>1.23</v>
          </cell>
          <cell r="V403">
            <v>1.23</v>
          </cell>
          <cell r="W403">
            <v>96.758300000000006</v>
          </cell>
          <cell r="X403">
            <v>241895750</v>
          </cell>
          <cell r="Z403" t="str">
            <v>Exempt - GSECs</v>
          </cell>
          <cell r="AC403" t="str">
            <v>Exempt - GSECs</v>
          </cell>
          <cell r="AD403">
            <v>111</v>
          </cell>
          <cell r="AE403" t="str">
            <v>Y</v>
          </cell>
          <cell r="AG403">
            <v>6.4960000000000004</v>
          </cell>
          <cell r="AH403">
            <v>99701.74</v>
          </cell>
          <cell r="AI403" t="str">
            <v>GOVT.</v>
          </cell>
          <cell r="AJ403" t="str">
            <v>GSEC</v>
          </cell>
          <cell r="AK403" t="str">
            <v>GSEC</v>
          </cell>
          <cell r="AL403" t="str">
            <v>1</v>
          </cell>
          <cell r="AM403" t="str">
            <v>1</v>
          </cell>
        </row>
        <row r="404">
          <cell r="C404" t="str">
            <v>IN002024Y241</v>
          </cell>
          <cell r="D404" t="str">
            <v>182TBL130325</v>
          </cell>
          <cell r="E404" t="str">
            <v>TBL</v>
          </cell>
          <cell r="F404" t="str">
            <v>Govt. of India - GSec / TBL</v>
          </cell>
          <cell r="G404" t="str">
            <v>182 Days - T Bill - 13/03/2025</v>
          </cell>
          <cell r="H404">
            <v>0</v>
          </cell>
          <cell r="I404" t="str">
            <v>13-03-2025</v>
          </cell>
          <cell r="J404" t="str">
            <v>Sovereign</v>
          </cell>
          <cell r="K404">
            <v>0.32</v>
          </cell>
          <cell r="L404">
            <v>100</v>
          </cell>
          <cell r="M404">
            <v>6500000</v>
          </cell>
          <cell r="N404">
            <v>6.4960000000000004</v>
          </cell>
          <cell r="O404">
            <v>97.960300000000004</v>
          </cell>
          <cell r="P404">
            <v>636741950</v>
          </cell>
          <cell r="Q404">
            <v>0</v>
          </cell>
          <cell r="R404">
            <v>6571847.0599999996</v>
          </cell>
          <cell r="S404">
            <v>216152.94</v>
          </cell>
          <cell r="T404">
            <v>636741950</v>
          </cell>
          <cell r="U404">
            <v>3.2</v>
          </cell>
          <cell r="V404">
            <v>3.2</v>
          </cell>
          <cell r="W404">
            <v>96.915992307692321</v>
          </cell>
          <cell r="X404">
            <v>629953950</v>
          </cell>
          <cell r="Z404" t="str">
            <v>Exempt - GSECs</v>
          </cell>
          <cell r="AC404" t="str">
            <v>Exempt - GSECs</v>
          </cell>
          <cell r="AD404">
            <v>118</v>
          </cell>
          <cell r="AE404" t="str">
            <v>Y</v>
          </cell>
          <cell r="AG404">
            <v>6.4960000000000004</v>
          </cell>
          <cell r="AH404">
            <v>220167.07</v>
          </cell>
          <cell r="AI404" t="str">
            <v>GOVT.</v>
          </cell>
          <cell r="AJ404" t="str">
            <v>GSEC</v>
          </cell>
          <cell r="AK404" t="str">
            <v>GSEC</v>
          </cell>
          <cell r="AL404" t="str">
            <v>1</v>
          </cell>
          <cell r="AM404" t="str">
            <v>1</v>
          </cell>
        </row>
        <row r="405">
          <cell r="C405" t="str">
            <v>IN002024Y290</v>
          </cell>
          <cell r="D405" t="str">
            <v>182TBL010525</v>
          </cell>
          <cell r="E405" t="str">
            <v>TBL</v>
          </cell>
          <cell r="F405" t="str">
            <v>Govt. of India - GSec / TBL</v>
          </cell>
          <cell r="G405" t="str">
            <v>182 Days - T Bill - 01/05/2025</v>
          </cell>
          <cell r="H405">
            <v>0</v>
          </cell>
          <cell r="I405" t="str">
            <v>01-05-2025</v>
          </cell>
          <cell r="J405" t="str">
            <v>Sovereign</v>
          </cell>
          <cell r="K405">
            <v>0.46</v>
          </cell>
          <cell r="L405">
            <v>100</v>
          </cell>
          <cell r="M405">
            <v>2500000</v>
          </cell>
          <cell r="N405">
            <v>6.5979000000000001</v>
          </cell>
          <cell r="O405">
            <v>97.086799999999997</v>
          </cell>
          <cell r="P405">
            <v>242717000</v>
          </cell>
          <cell r="Q405">
            <v>0</v>
          </cell>
          <cell r="R405">
            <v>700044</v>
          </cell>
          <cell r="S405">
            <v>-20044</v>
          </cell>
          <cell r="T405">
            <v>242717000</v>
          </cell>
          <cell r="U405">
            <v>1.22</v>
          </cell>
          <cell r="V405">
            <v>1.22</v>
          </cell>
          <cell r="W405">
            <v>96.814800000000005</v>
          </cell>
          <cell r="X405">
            <v>242037000</v>
          </cell>
          <cell r="Z405" t="str">
            <v>Exempt - GSECs</v>
          </cell>
          <cell r="AC405" t="str">
            <v>Exempt - GSECs</v>
          </cell>
          <cell r="AD405">
            <v>167</v>
          </cell>
          <cell r="AE405" t="str">
            <v>Y</v>
          </cell>
          <cell r="AG405">
            <v>6.5979000000000001</v>
          </cell>
          <cell r="AH405">
            <v>-19041.25</v>
          </cell>
          <cell r="AI405" t="str">
            <v>GOVT.</v>
          </cell>
          <cell r="AJ405" t="str">
            <v>GSEC</v>
          </cell>
          <cell r="AK405" t="str">
            <v>GSEC</v>
          </cell>
          <cell r="AL405" t="str">
            <v>1</v>
          </cell>
          <cell r="AM405" t="str">
            <v>1</v>
          </cell>
        </row>
        <row r="406">
          <cell r="AF406" t="str">
            <v/>
          </cell>
          <cell r="AG406" t="str">
            <v/>
          </cell>
          <cell r="AH406" t="str">
            <v/>
          </cell>
          <cell r="AI406" t="str">
            <v/>
          </cell>
          <cell r="AJ406" t="str">
            <v/>
          </cell>
          <cell r="AK406" t="str">
            <v/>
          </cell>
          <cell r="AL406" t="str">
            <v/>
          </cell>
          <cell r="AM406" t="str">
            <v/>
          </cell>
        </row>
        <row r="407">
          <cell r="C407" t="str">
            <v>IN002024Z057</v>
          </cell>
          <cell r="D407" t="str">
            <v>364TBL020525</v>
          </cell>
          <cell r="E407" t="str">
            <v>TBL</v>
          </cell>
          <cell r="F407" t="str">
            <v>Govt. of India - GSec / TBL</v>
          </cell>
          <cell r="G407" t="str">
            <v>364 Days - T Bill - 02/05/2025</v>
          </cell>
          <cell r="H407">
            <v>0</v>
          </cell>
          <cell r="I407" t="str">
            <v>02-05-2025</v>
          </cell>
          <cell r="J407" t="str">
            <v>Sovereign</v>
          </cell>
          <cell r="K407">
            <v>0.46</v>
          </cell>
          <cell r="L407">
            <v>100</v>
          </cell>
          <cell r="M407">
            <v>1000000</v>
          </cell>
          <cell r="N407">
            <v>6.6040000000000001</v>
          </cell>
          <cell r="O407">
            <v>97.067099999999996</v>
          </cell>
          <cell r="P407">
            <v>97067100</v>
          </cell>
          <cell r="Q407">
            <v>0</v>
          </cell>
          <cell r="R407">
            <v>1911325.1</v>
          </cell>
          <cell r="S407">
            <v>22574.9</v>
          </cell>
          <cell r="T407">
            <v>97067100</v>
          </cell>
          <cell r="U407">
            <v>0.26</v>
          </cell>
          <cell r="V407">
            <v>0.26</v>
          </cell>
          <cell r="W407">
            <v>95.133200000000002</v>
          </cell>
          <cell r="X407">
            <v>95133200</v>
          </cell>
          <cell r="Z407" t="str">
            <v>Exempt - GSECs</v>
          </cell>
          <cell r="AC407" t="str">
            <v>Exempt - GSECs</v>
          </cell>
          <cell r="AD407">
            <v>168</v>
          </cell>
          <cell r="AE407" t="str">
            <v>Y</v>
          </cell>
          <cell r="AG407">
            <v>6.6040000000000001</v>
          </cell>
          <cell r="AH407">
            <v>23272.36</v>
          </cell>
          <cell r="AI407" t="str">
            <v>GOVT.</v>
          </cell>
          <cell r="AJ407" t="str">
            <v>GSEC</v>
          </cell>
          <cell r="AK407" t="str">
            <v>GSEC</v>
          </cell>
          <cell r="AL407" t="str">
            <v>1</v>
          </cell>
          <cell r="AM407" t="str">
            <v>1</v>
          </cell>
        </row>
        <row r="408">
          <cell r="C408" t="str">
            <v>IN002024Z248</v>
          </cell>
          <cell r="D408" t="str">
            <v>364TBL110925</v>
          </cell>
          <cell r="E408" t="str">
            <v>TBL</v>
          </cell>
          <cell r="F408" t="str">
            <v>Govt. of India - GSec / TBL</v>
          </cell>
          <cell r="G408" t="str">
            <v>364 Days - T Bill - 11/09/2025</v>
          </cell>
          <cell r="H408">
            <v>0</v>
          </cell>
          <cell r="I408" t="str">
            <v>11-09-2025</v>
          </cell>
          <cell r="J408" t="str">
            <v>Sovereign</v>
          </cell>
          <cell r="K408">
            <v>0.82</v>
          </cell>
          <cell r="L408">
            <v>100</v>
          </cell>
          <cell r="M408">
            <v>3000000</v>
          </cell>
          <cell r="N408">
            <v>6.58</v>
          </cell>
          <cell r="O408">
            <v>94.885499999999993</v>
          </cell>
          <cell r="P408">
            <v>284656500</v>
          </cell>
          <cell r="Q408">
            <v>0</v>
          </cell>
          <cell r="R408">
            <v>1978096.07</v>
          </cell>
          <cell r="S408">
            <v>-178096.07</v>
          </cell>
          <cell r="T408">
            <v>284656500</v>
          </cell>
          <cell r="U408">
            <v>0.75</v>
          </cell>
          <cell r="V408">
            <v>0.75</v>
          </cell>
          <cell r="W408">
            <v>94.285499999999999</v>
          </cell>
          <cell r="X408">
            <v>282856500</v>
          </cell>
          <cell r="Z408" t="str">
            <v>Exempt - GSECs</v>
          </cell>
          <cell r="AC408" t="str">
            <v>Exempt - GSECs</v>
          </cell>
          <cell r="AD408">
            <v>300</v>
          </cell>
          <cell r="AE408" t="str">
            <v>Y</v>
          </cell>
          <cell r="AG408">
            <v>6.58</v>
          </cell>
          <cell r="AH408">
            <v>-175975.65</v>
          </cell>
          <cell r="AI408" t="str">
            <v>GOVT.</v>
          </cell>
          <cell r="AJ408" t="str">
            <v>GSEC</v>
          </cell>
          <cell r="AK408" t="str">
            <v>GSEC</v>
          </cell>
          <cell r="AL408" t="str">
            <v>1</v>
          </cell>
          <cell r="AM408" t="str">
            <v>1</v>
          </cell>
        </row>
        <row r="409">
          <cell r="AF409" t="str">
            <v/>
          </cell>
          <cell r="AG409" t="str">
            <v/>
          </cell>
          <cell r="AH409" t="str">
            <v/>
          </cell>
          <cell r="AI409" t="str">
            <v/>
          </cell>
          <cell r="AJ409" t="str">
            <v/>
          </cell>
          <cell r="AK409" t="str">
            <v/>
          </cell>
          <cell r="AL409" t="str">
            <v/>
          </cell>
          <cell r="AM409" t="str">
            <v/>
          </cell>
        </row>
        <row r="410">
          <cell r="C410" t="str">
            <v>INF0RQ622028</v>
          </cell>
          <cell r="D410" t="str">
            <v>CDMDF23</v>
          </cell>
          <cell r="E410" t="str">
            <v>CDMDF</v>
          </cell>
          <cell r="F410" t="str">
            <v>Corporate Debt Market Development Fund</v>
          </cell>
          <cell r="G410" t="str">
            <v>Corporate Debt Market Development Fund - Class A2</v>
          </cell>
          <cell r="H410">
            <v>0</v>
          </cell>
          <cell r="K410">
            <v>0</v>
          </cell>
          <cell r="L410">
            <v>10000</v>
          </cell>
          <cell r="M410">
            <v>112.994</v>
          </cell>
          <cell r="N410">
            <v>9.9999999999999995E-7</v>
          </cell>
          <cell r="O410">
            <v>10450.479300000001</v>
          </cell>
          <cell r="P410">
            <v>1180841.46</v>
          </cell>
          <cell r="Q410">
            <v>0</v>
          </cell>
          <cell r="R410">
            <v>0</v>
          </cell>
          <cell r="S410">
            <v>50897.96</v>
          </cell>
          <cell r="T410">
            <v>1180841.46</v>
          </cell>
          <cell r="U410">
            <v>0.27</v>
          </cell>
          <cell r="V410">
            <v>0.27</v>
          </cell>
          <cell r="W410">
            <v>10000.030975096022</v>
          </cell>
          <cell r="X410">
            <v>1129943.5</v>
          </cell>
          <cell r="Z410" t="str">
            <v>Financial Services</v>
          </cell>
          <cell r="AE410" t="str">
            <v>N</v>
          </cell>
          <cell r="AG410">
            <v>9.9999999999999995E-7</v>
          </cell>
          <cell r="AH410">
            <v>50780.46</v>
          </cell>
          <cell r="AI410" t="str">
            <v>CDMDF</v>
          </cell>
        </row>
        <row r="411">
          <cell r="C411" t="str">
            <v>IN0020210186</v>
          </cell>
          <cell r="D411" t="str">
            <v>5.74GSEC151126</v>
          </cell>
          <cell r="E411" t="str">
            <v>GSE</v>
          </cell>
          <cell r="F411" t="str">
            <v>Govt. of India - GSec / TBL</v>
          </cell>
          <cell r="G411" t="str">
            <v>5.74% Central Government Securities 15/11/2026</v>
          </cell>
          <cell r="H411">
            <v>5.74</v>
          </cell>
          <cell r="I411" t="str">
            <v>15-11-2026</v>
          </cell>
          <cell r="J411" t="str">
            <v>Sovereign</v>
          </cell>
          <cell r="K411">
            <v>1.9141999999999999</v>
          </cell>
          <cell r="L411">
            <v>100</v>
          </cell>
          <cell r="M411">
            <v>1000000</v>
          </cell>
          <cell r="N411">
            <v>6.8369999999999997</v>
          </cell>
          <cell r="O411">
            <v>98.188999999999993</v>
          </cell>
          <cell r="P411">
            <v>98189000</v>
          </cell>
          <cell r="Q411">
            <v>15944.44</v>
          </cell>
          <cell r="R411">
            <v>0</v>
          </cell>
          <cell r="S411">
            <v>742166.67</v>
          </cell>
          <cell r="T411">
            <v>98204944.439999998</v>
          </cell>
          <cell r="U411">
            <v>22.18</v>
          </cell>
          <cell r="V411">
            <v>22.18</v>
          </cell>
          <cell r="W411">
            <v>97.446833330000004</v>
          </cell>
          <cell r="X411">
            <v>97446833.329999998</v>
          </cell>
          <cell r="Y411" t="str">
            <v>15-05-2025</v>
          </cell>
          <cell r="Z411" t="str">
            <v>Exempt - GSECs</v>
          </cell>
          <cell r="AC411" t="str">
            <v>Exempt - GSECs</v>
          </cell>
          <cell r="AD411">
            <v>730</v>
          </cell>
          <cell r="AE411" t="str">
            <v>Y</v>
          </cell>
          <cell r="AF411" t="str">
            <v>15-11-2024</v>
          </cell>
          <cell r="AG411">
            <v>6.8369999999999997</v>
          </cell>
          <cell r="AH411">
            <v>740066.67</v>
          </cell>
          <cell r="AI411" t="str">
            <v>GOVT.</v>
          </cell>
          <cell r="AJ411" t="str">
            <v>Gsec</v>
          </cell>
          <cell r="AK411" t="str">
            <v>Gsec</v>
          </cell>
          <cell r="AL411" t="str">
            <v>1</v>
          </cell>
          <cell r="AM411" t="str">
            <v>1</v>
          </cell>
        </row>
        <row r="412">
          <cell r="C412" t="str">
            <v>IN0020230101</v>
          </cell>
          <cell r="D412" t="str">
            <v>7.37GSE231028</v>
          </cell>
          <cell r="E412" t="str">
            <v>GSE</v>
          </cell>
          <cell r="F412" t="str">
            <v>Govt. of India - GSec / TBL</v>
          </cell>
          <cell r="G412" t="str">
            <v>7.37% Government Securities-23/10/2028</v>
          </cell>
          <cell r="H412">
            <v>7.37</v>
          </cell>
          <cell r="I412" t="str">
            <v>23-10-2028</v>
          </cell>
          <cell r="J412" t="str">
            <v>Sovereign</v>
          </cell>
          <cell r="K412">
            <v>3.4780000000000002</v>
          </cell>
          <cell r="L412">
            <v>100</v>
          </cell>
          <cell r="M412">
            <v>500000</v>
          </cell>
          <cell r="N412">
            <v>6.8860000000000001</v>
          </cell>
          <cell r="O412">
            <v>102.03149999999999</v>
          </cell>
          <cell r="P412">
            <v>51015750</v>
          </cell>
          <cell r="Q412">
            <v>235430.56</v>
          </cell>
          <cell r="R412">
            <v>0</v>
          </cell>
          <cell r="S412">
            <v>-41750</v>
          </cell>
          <cell r="T412">
            <v>51251180.560000002</v>
          </cell>
          <cell r="U412">
            <v>11.52</v>
          </cell>
          <cell r="V412">
            <v>11.58</v>
          </cell>
          <cell r="W412">
            <v>102.11499999999999</v>
          </cell>
          <cell r="X412">
            <v>51057500</v>
          </cell>
          <cell r="Y412" t="str">
            <v>23-04-2025</v>
          </cell>
          <cell r="Z412" t="str">
            <v>Exempt - GSECs</v>
          </cell>
          <cell r="AC412" t="str">
            <v>Exempt - GSECs</v>
          </cell>
          <cell r="AD412">
            <v>1438</v>
          </cell>
          <cell r="AE412" t="str">
            <v>Y</v>
          </cell>
          <cell r="AF412" t="str">
            <v>23-10-2024</v>
          </cell>
          <cell r="AG412">
            <v>6.8860000000000001</v>
          </cell>
          <cell r="AH412">
            <v>-40950</v>
          </cell>
          <cell r="AI412" t="str">
            <v>GOVT.</v>
          </cell>
          <cell r="AJ412" t="str">
            <v>Gsec</v>
          </cell>
          <cell r="AK412" t="str">
            <v>Gsec</v>
          </cell>
          <cell r="AL412" t="str">
            <v>1</v>
          </cell>
          <cell r="AM412" t="str">
            <v>1</v>
          </cell>
        </row>
        <row r="413">
          <cell r="C413" t="str">
            <v>IN0020240019</v>
          </cell>
          <cell r="D413" t="str">
            <v>7.10GSE080434</v>
          </cell>
          <cell r="E413" t="str">
            <v>GSE</v>
          </cell>
          <cell r="F413" t="str">
            <v>Govt. of India - GSec / TBL</v>
          </cell>
          <cell r="G413" t="str">
            <v>7.10% Central Government Securities 08/04/2034</v>
          </cell>
          <cell r="H413">
            <v>7.1</v>
          </cell>
          <cell r="I413" t="str">
            <v>08-04-2034</v>
          </cell>
          <cell r="J413" t="str">
            <v>Sovereign</v>
          </cell>
          <cell r="K413">
            <v>6.9844999999999997</v>
          </cell>
          <cell r="L413">
            <v>100</v>
          </cell>
          <cell r="M413">
            <v>1500000</v>
          </cell>
          <cell r="N413">
            <v>6.9813999999999998</v>
          </cell>
          <cell r="O413">
            <v>101.60720000000001</v>
          </cell>
          <cell r="P413">
            <v>152410800</v>
          </cell>
          <cell r="Q413">
            <v>1124166.67</v>
          </cell>
          <cell r="R413">
            <v>0</v>
          </cell>
          <cell r="S413">
            <v>-669200</v>
          </cell>
          <cell r="T413">
            <v>153534966.66999999</v>
          </cell>
          <cell r="U413">
            <v>34.42</v>
          </cell>
          <cell r="V413">
            <v>34.68</v>
          </cell>
          <cell r="W413">
            <v>102.05333333333334</v>
          </cell>
          <cell r="X413">
            <v>153080000</v>
          </cell>
          <cell r="Y413" t="str">
            <v>08-04-2025</v>
          </cell>
          <cell r="Z413" t="str">
            <v>Exempt - GSECs</v>
          </cell>
          <cell r="AC413" t="str">
            <v>Exempt - GSECs</v>
          </cell>
          <cell r="AD413">
            <v>3431</v>
          </cell>
          <cell r="AE413" t="str">
            <v>Y</v>
          </cell>
          <cell r="AF413" t="str">
            <v>08-10-2024</v>
          </cell>
          <cell r="AG413">
            <v>6.9813999999999998</v>
          </cell>
          <cell r="AH413">
            <v>-668300</v>
          </cell>
          <cell r="AI413" t="str">
            <v>GOVT.</v>
          </cell>
          <cell r="AJ413" t="str">
            <v>GSEC</v>
          </cell>
          <cell r="AK413" t="str">
            <v>GSEC</v>
          </cell>
          <cell r="AL413" t="str">
            <v>1</v>
          </cell>
          <cell r="AM413" t="str">
            <v>1</v>
          </cell>
        </row>
        <row r="414">
          <cell r="C414" t="str">
            <v>IN0020240050</v>
          </cell>
          <cell r="D414" t="str">
            <v>7.05GSE220464</v>
          </cell>
          <cell r="E414" t="str">
            <v>GSE</v>
          </cell>
          <cell r="F414" t="str">
            <v>Govt. of India - GSec / TBL</v>
          </cell>
          <cell r="G414" t="str">
            <v>7.04% Central Government Securities 03/06/2029</v>
          </cell>
          <cell r="H414">
            <v>7.04</v>
          </cell>
          <cell r="I414" t="str">
            <v>03-06-2029</v>
          </cell>
          <cell r="J414" t="str">
            <v>Sovereign</v>
          </cell>
          <cell r="K414">
            <v>3.8515999999999999</v>
          </cell>
          <cell r="L414">
            <v>100</v>
          </cell>
          <cell r="M414">
            <v>100000</v>
          </cell>
          <cell r="N414">
            <v>6.9227999999999996</v>
          </cell>
          <cell r="O414">
            <v>100.89319999999999</v>
          </cell>
          <cell r="P414">
            <v>10089320</v>
          </cell>
          <cell r="Q414">
            <v>318755.56</v>
          </cell>
          <cell r="R414">
            <v>0</v>
          </cell>
          <cell r="S414">
            <v>-47680</v>
          </cell>
          <cell r="T414">
            <v>10408075.560000001</v>
          </cell>
          <cell r="U414">
            <v>2.2799999999999998</v>
          </cell>
          <cell r="V414">
            <v>2.35</v>
          </cell>
          <cell r="W414">
            <v>101.37</v>
          </cell>
          <cell r="X414">
            <v>10137000</v>
          </cell>
          <cell r="Y414" t="str">
            <v>03-12-2024</v>
          </cell>
          <cell r="Z414" t="str">
            <v>Exempt - GSECs</v>
          </cell>
          <cell r="AC414" t="str">
            <v>Exempt - GSECs</v>
          </cell>
          <cell r="AD414">
            <v>1661</v>
          </cell>
          <cell r="AE414" t="str">
            <v>Y</v>
          </cell>
          <cell r="AF414" t="str">
            <v>03-06-2024</v>
          </cell>
          <cell r="AG414">
            <v>6.9227999999999996</v>
          </cell>
          <cell r="AH414">
            <v>-47660</v>
          </cell>
          <cell r="AI414" t="str">
            <v>GOVT.</v>
          </cell>
          <cell r="AJ414" t="str">
            <v>GSEC</v>
          </cell>
          <cell r="AK414" t="str">
            <v>GSEC</v>
          </cell>
          <cell r="AL414" t="str">
            <v>1</v>
          </cell>
          <cell r="AM414" t="str">
            <v>1</v>
          </cell>
        </row>
        <row r="415">
          <cell r="C415" t="str">
            <v>IN3120230484</v>
          </cell>
          <cell r="D415" t="str">
            <v>7.44TNSG20034</v>
          </cell>
          <cell r="E415" t="str">
            <v>GSE</v>
          </cell>
          <cell r="F415" t="str">
            <v>Govt. of India - GSec / TBL</v>
          </cell>
          <cell r="G415" t="str">
            <v>7.44% Tamil Nadu State Government Securities -20/03/2034</v>
          </cell>
          <cell r="H415">
            <v>7.44</v>
          </cell>
          <cell r="I415" t="str">
            <v>20-03-2034</v>
          </cell>
          <cell r="J415" t="str">
            <v>Sovereign</v>
          </cell>
          <cell r="K415">
            <v>6.8524000000000003</v>
          </cell>
          <cell r="L415">
            <v>100</v>
          </cell>
          <cell r="M415">
            <v>230000</v>
          </cell>
          <cell r="N415">
            <v>7.2363</v>
          </cell>
          <cell r="O415">
            <v>102.2122</v>
          </cell>
          <cell r="P415">
            <v>23508806</v>
          </cell>
          <cell r="Q415">
            <v>266186.67</v>
          </cell>
          <cell r="R415">
            <v>0</v>
          </cell>
          <cell r="S415">
            <v>508806</v>
          </cell>
          <cell r="T415">
            <v>23774992.670000002</v>
          </cell>
          <cell r="U415">
            <v>5.31</v>
          </cell>
          <cell r="V415">
            <v>5.37</v>
          </cell>
          <cell r="W415">
            <v>100</v>
          </cell>
          <cell r="X415">
            <v>23000000</v>
          </cell>
          <cell r="Y415" t="str">
            <v>20-03-2025</v>
          </cell>
          <cell r="Z415" t="str">
            <v>Exempt - GSECs</v>
          </cell>
          <cell r="AC415" t="str">
            <v>Exempt - GSECs</v>
          </cell>
          <cell r="AD415">
            <v>3412</v>
          </cell>
          <cell r="AE415" t="str">
            <v>Y</v>
          </cell>
          <cell r="AF415" t="str">
            <v>20-09-2024</v>
          </cell>
          <cell r="AG415">
            <v>7.2363</v>
          </cell>
          <cell r="AH415">
            <v>508944</v>
          </cell>
          <cell r="AI415" t="str">
            <v>GOVT.</v>
          </cell>
          <cell r="AJ415" t="str">
            <v>GSEC</v>
          </cell>
          <cell r="AK415" t="str">
            <v>GSEC</v>
          </cell>
          <cell r="AL415" t="str">
            <v>1</v>
          </cell>
          <cell r="AM415" t="str">
            <v>1</v>
          </cell>
        </row>
        <row r="416">
          <cell r="C416" t="str">
            <v>INE115A07OY6</v>
          </cell>
          <cell r="D416" t="str">
            <v>FILICNC376</v>
          </cell>
          <cell r="E416" t="str">
            <v>NCD</v>
          </cell>
          <cell r="F416" t="str">
            <v>LIC Housing Finance Ltd</v>
          </cell>
          <cell r="G416" t="str">
            <v>5.7760% LIC Housing Finance Ltd NCD MD 11-09-2025</v>
          </cell>
          <cell r="H416">
            <v>5.7759999999999998</v>
          </cell>
          <cell r="I416" t="str">
            <v>11-09-2025</v>
          </cell>
          <cell r="J416" t="str">
            <v>CRISIL AAA</v>
          </cell>
          <cell r="K416">
            <v>0.81920000000000004</v>
          </cell>
          <cell r="L416">
            <v>1000000</v>
          </cell>
          <cell r="M416">
            <v>10</v>
          </cell>
          <cell r="N416">
            <v>7.68</v>
          </cell>
          <cell r="O416">
            <v>984708</v>
          </cell>
          <cell r="P416">
            <v>9847080</v>
          </cell>
          <cell r="Q416">
            <v>104442.74</v>
          </cell>
          <cell r="R416">
            <v>0</v>
          </cell>
          <cell r="S416">
            <v>61250</v>
          </cell>
          <cell r="T416">
            <v>9951522.7400000002</v>
          </cell>
          <cell r="U416">
            <v>2.2200000000000002</v>
          </cell>
          <cell r="V416">
            <v>2.25</v>
          </cell>
          <cell r="W416">
            <v>978583</v>
          </cell>
          <cell r="X416">
            <v>9785830</v>
          </cell>
          <cell r="Y416" t="str">
            <v>11-09-2025</v>
          </cell>
          <cell r="Z416" t="str">
            <v>Financial Services</v>
          </cell>
          <cell r="AC416" t="str">
            <v>HOUSING FINANCE</v>
          </cell>
          <cell r="AD416">
            <v>300</v>
          </cell>
          <cell r="AE416" t="str">
            <v>Y</v>
          </cell>
          <cell r="AF416" t="str">
            <v>11-09-2024</v>
          </cell>
          <cell r="AG416">
            <v>7.68</v>
          </cell>
          <cell r="AH416">
            <v>60860</v>
          </cell>
          <cell r="AI416" t="str">
            <v>FILIC</v>
          </cell>
          <cell r="AJ416" t="str">
            <v>A1+</v>
          </cell>
          <cell r="AK416" t="str">
            <v>AAA</v>
          </cell>
          <cell r="AL416" t="str">
            <v>2</v>
          </cell>
          <cell r="AM416" t="str">
            <v>1</v>
          </cell>
        </row>
        <row r="417">
          <cell r="C417" t="str">
            <v>INE233A08121</v>
          </cell>
          <cell r="D417" t="str">
            <v>CH2208BNC200</v>
          </cell>
          <cell r="E417" t="str">
            <v>NCD</v>
          </cell>
          <cell r="F417" t="str">
            <v>Godrej Industries Ltd</v>
          </cell>
          <cell r="G417" t="str">
            <v>8.36% GODREJ INDUSTRIES LTD NCD MD 28-08-2026</v>
          </cell>
          <cell r="H417">
            <v>8.36</v>
          </cell>
          <cell r="I417" t="str">
            <v>28-08-2026</v>
          </cell>
          <cell r="J417" t="str">
            <v>CRISIL AA+</v>
          </cell>
          <cell r="K417">
            <v>1.704</v>
          </cell>
          <cell r="L417">
            <v>100000</v>
          </cell>
          <cell r="M417">
            <v>100</v>
          </cell>
          <cell r="N417">
            <v>8.125</v>
          </cell>
          <cell r="O417">
            <v>100321.5</v>
          </cell>
          <cell r="P417">
            <v>10032150</v>
          </cell>
          <cell r="Q417">
            <v>180942.47</v>
          </cell>
          <cell r="R417">
            <v>0</v>
          </cell>
          <cell r="S417">
            <v>32150</v>
          </cell>
          <cell r="T417">
            <v>10213092.470000001</v>
          </cell>
          <cell r="U417">
            <v>2.27</v>
          </cell>
          <cell r="V417">
            <v>2.31</v>
          </cell>
          <cell r="W417">
            <v>100000</v>
          </cell>
          <cell r="X417">
            <v>10000000</v>
          </cell>
          <cell r="Y417" t="str">
            <v>29-08-2025</v>
          </cell>
          <cell r="Z417" t="str">
            <v>Diversified</v>
          </cell>
          <cell r="AC417" t="str">
            <v>Diversified</v>
          </cell>
          <cell r="AD417">
            <v>651</v>
          </cell>
          <cell r="AE417" t="str">
            <v>Y</v>
          </cell>
          <cell r="AF417" t="str">
            <v>29-08-2024</v>
          </cell>
          <cell r="AG417">
            <v>8.125</v>
          </cell>
          <cell r="AH417">
            <v>32260</v>
          </cell>
          <cell r="AI417" t="str">
            <v>CH2208</v>
          </cell>
          <cell r="AJ417" t="str">
            <v>A1+</v>
          </cell>
          <cell r="AK417" t="str">
            <v>AA+</v>
          </cell>
          <cell r="AL417" t="str">
            <v>3</v>
          </cell>
          <cell r="AM417" t="str">
            <v>2</v>
          </cell>
        </row>
        <row r="418">
          <cell r="C418" t="str">
            <v>INE403D08181</v>
          </cell>
          <cell r="D418" t="str">
            <v>UT4825NC200</v>
          </cell>
          <cell r="E418" t="str">
            <v>NCD</v>
          </cell>
          <cell r="F418" t="str">
            <v>Bharti Telecom Ltd</v>
          </cell>
          <cell r="G418" t="str">
            <v>8.90% Bharti Telecom Ltd NCD MD 04-12-2025 SERIES XVI</v>
          </cell>
          <cell r="H418">
            <v>8.9</v>
          </cell>
          <cell r="I418" t="str">
            <v>04-12-2025</v>
          </cell>
          <cell r="J418" t="str">
            <v>CRISIL AA+</v>
          </cell>
          <cell r="K418">
            <v>0.9677</v>
          </cell>
          <cell r="L418">
            <v>100000</v>
          </cell>
          <cell r="M418">
            <v>200</v>
          </cell>
          <cell r="N418">
            <v>8.5</v>
          </cell>
          <cell r="O418">
            <v>100368.8</v>
          </cell>
          <cell r="P418">
            <v>20073760</v>
          </cell>
          <cell r="Q418">
            <v>1692459.02</v>
          </cell>
          <cell r="R418">
            <v>0</v>
          </cell>
          <cell r="S418">
            <v>55060</v>
          </cell>
          <cell r="T418">
            <v>21766219.02</v>
          </cell>
          <cell r="U418">
            <v>4.53</v>
          </cell>
          <cell r="V418">
            <v>4.92</v>
          </cell>
          <cell r="W418">
            <v>100093.5</v>
          </cell>
          <cell r="X418">
            <v>20018700</v>
          </cell>
          <cell r="Y418" t="str">
            <v>04-12-2024</v>
          </cell>
          <cell r="Z418" t="str">
            <v>Financial Services</v>
          </cell>
          <cell r="AC418" t="str">
            <v>Financial Services</v>
          </cell>
          <cell r="AD418">
            <v>384</v>
          </cell>
          <cell r="AE418" t="str">
            <v>Y</v>
          </cell>
          <cell r="AF418" t="str">
            <v>04-12-2023</v>
          </cell>
          <cell r="AG418">
            <v>8.5</v>
          </cell>
          <cell r="AH418">
            <v>55080</v>
          </cell>
          <cell r="AI418" t="str">
            <v>UT4825</v>
          </cell>
          <cell r="AJ418" t="str">
            <v>A1+</v>
          </cell>
          <cell r="AK418" t="str">
            <v>AA+</v>
          </cell>
          <cell r="AL418" t="str">
            <v>3</v>
          </cell>
          <cell r="AM418" t="str">
            <v>2</v>
          </cell>
        </row>
        <row r="419">
          <cell r="C419" t="str">
            <v>INE477A07373</v>
          </cell>
          <cell r="D419" t="str">
            <v>FI3427NC200</v>
          </cell>
          <cell r="E419" t="str">
            <v>NCD</v>
          </cell>
          <cell r="F419" t="str">
            <v>Can Fin Homes Ltd</v>
          </cell>
          <cell r="G419" t="str">
            <v>8.45% Can Fin Homes Ltd NCD MD 27-05-2026</v>
          </cell>
          <cell r="H419">
            <v>8.4499999999999993</v>
          </cell>
          <cell r="I419" t="str">
            <v>27-05-2026</v>
          </cell>
          <cell r="J419" t="str">
            <v>IND AA+</v>
          </cell>
          <cell r="K419">
            <v>1.4114</v>
          </cell>
          <cell r="L419">
            <v>100000</v>
          </cell>
          <cell r="M419">
            <v>100</v>
          </cell>
          <cell r="N419">
            <v>7.9950000000000001</v>
          </cell>
          <cell r="O419">
            <v>100616.8</v>
          </cell>
          <cell r="P419">
            <v>10061680</v>
          </cell>
          <cell r="Q419">
            <v>607199.44999999995</v>
          </cell>
          <cell r="R419">
            <v>0</v>
          </cell>
          <cell r="S419">
            <v>18330</v>
          </cell>
          <cell r="T419">
            <v>10668879.449999999</v>
          </cell>
          <cell r="U419">
            <v>2.27</v>
          </cell>
          <cell r="V419">
            <v>2.41</v>
          </cell>
          <cell r="W419">
            <v>100433.5</v>
          </cell>
          <cell r="X419">
            <v>10043350</v>
          </cell>
          <cell r="Y419" t="str">
            <v>27-02-2025</v>
          </cell>
          <cell r="Z419" t="str">
            <v>Financial Services</v>
          </cell>
          <cell r="AC419" t="str">
            <v>HOUSING FINANCE</v>
          </cell>
          <cell r="AD419">
            <v>558</v>
          </cell>
          <cell r="AE419" t="str">
            <v>Y</v>
          </cell>
          <cell r="AF419" t="str">
            <v>27-02-2024</v>
          </cell>
          <cell r="AG419">
            <v>7.9950000000000001</v>
          </cell>
          <cell r="AH419">
            <v>18400</v>
          </cell>
          <cell r="AI419" t="str">
            <v>FI3427</v>
          </cell>
          <cell r="AJ419" t="str">
            <v>A1+</v>
          </cell>
          <cell r="AK419" t="str">
            <v>AA+</v>
          </cell>
          <cell r="AL419" t="str">
            <v>3</v>
          </cell>
          <cell r="AM419" t="str">
            <v>2</v>
          </cell>
        </row>
        <row r="420">
          <cell r="AF420" t="str">
            <v/>
          </cell>
          <cell r="AG420" t="str">
            <v/>
          </cell>
          <cell r="AH420" t="str">
            <v/>
          </cell>
          <cell r="AI420" t="str">
            <v/>
          </cell>
          <cell r="AJ420" t="str">
            <v/>
          </cell>
          <cell r="AK420" t="str">
            <v/>
          </cell>
          <cell r="AL420" t="str">
            <v/>
          </cell>
          <cell r="AM420" t="str">
            <v/>
          </cell>
        </row>
        <row r="421">
          <cell r="C421" t="str">
            <v>IN002024Z248</v>
          </cell>
          <cell r="D421" t="str">
            <v>364TBL110925</v>
          </cell>
          <cell r="E421" t="str">
            <v>TBL</v>
          </cell>
          <cell r="F421" t="str">
            <v>Govt. of India - GSec / TBL</v>
          </cell>
          <cell r="G421" t="str">
            <v>364 Days - T Bill - 11/09/2025</v>
          </cell>
          <cell r="H421">
            <v>0</v>
          </cell>
          <cell r="I421" t="str">
            <v>11-09-2025</v>
          </cell>
          <cell r="J421" t="str">
            <v>Sovereign</v>
          </cell>
          <cell r="K421">
            <v>0.82</v>
          </cell>
          <cell r="L421">
            <v>100</v>
          </cell>
          <cell r="M421">
            <v>1500000</v>
          </cell>
          <cell r="N421">
            <v>6.58</v>
          </cell>
          <cell r="O421">
            <v>94.885499999999993</v>
          </cell>
          <cell r="P421">
            <v>142328250</v>
          </cell>
          <cell r="Q421">
            <v>0</v>
          </cell>
          <cell r="R421">
            <v>989048.19</v>
          </cell>
          <cell r="S421">
            <v>-89048.19</v>
          </cell>
          <cell r="T421">
            <v>142328250</v>
          </cell>
          <cell r="U421">
            <v>1.02</v>
          </cell>
          <cell r="V421">
            <v>1.02</v>
          </cell>
          <cell r="W421">
            <v>94.285499999999999</v>
          </cell>
          <cell r="X421">
            <v>141428250</v>
          </cell>
          <cell r="Z421" t="str">
            <v>Exempt - GSECs</v>
          </cell>
          <cell r="AC421" t="str">
            <v>Exempt - GSECs</v>
          </cell>
          <cell r="AD421">
            <v>300</v>
          </cell>
          <cell r="AE421" t="str">
            <v>Y</v>
          </cell>
          <cell r="AG421">
            <v>6.58</v>
          </cell>
          <cell r="AH421">
            <v>-87987.98</v>
          </cell>
          <cell r="AI421" t="str">
            <v>GOVT.</v>
          </cell>
          <cell r="AJ421" t="str">
            <v>GSEC</v>
          </cell>
          <cell r="AK421" t="str">
            <v>GSEC</v>
          </cell>
          <cell r="AL421" t="str">
            <v>1</v>
          </cell>
          <cell r="AM421" t="str">
            <v>1</v>
          </cell>
        </row>
        <row r="422">
          <cell r="AF422" t="str">
            <v/>
          </cell>
          <cell r="AG422" t="str">
            <v/>
          </cell>
          <cell r="AH422" t="str">
            <v/>
          </cell>
          <cell r="AI422" t="str">
            <v/>
          </cell>
          <cell r="AJ422" t="str">
            <v/>
          </cell>
          <cell r="AK422" t="str">
            <v/>
          </cell>
          <cell r="AL422" t="str">
            <v/>
          </cell>
          <cell r="AM422" t="str">
            <v/>
          </cell>
        </row>
        <row r="423">
          <cell r="C423" t="str">
            <v>IN0020220037</v>
          </cell>
          <cell r="D423" t="str">
            <v>7.38GSEC200627</v>
          </cell>
          <cell r="E423" t="str">
            <v>GSE</v>
          </cell>
          <cell r="F423" t="str">
            <v>Govt. of India - GSec / TBL</v>
          </cell>
          <cell r="G423" t="str">
            <v>7.38% Central Government Securities 20/06/2027</v>
          </cell>
          <cell r="H423">
            <v>7.38</v>
          </cell>
          <cell r="I423" t="str">
            <v>20-06-2027</v>
          </cell>
          <cell r="J423" t="str">
            <v>Sovereign</v>
          </cell>
          <cell r="K423">
            <v>2.3424</v>
          </cell>
          <cell r="L423">
            <v>100</v>
          </cell>
          <cell r="M423">
            <v>10500000</v>
          </cell>
          <cell r="N423">
            <v>6.8573000000000004</v>
          </cell>
          <cell r="O423">
            <v>101.4824</v>
          </cell>
          <cell r="P423">
            <v>1065565200</v>
          </cell>
          <cell r="Q423">
            <v>31426500</v>
          </cell>
          <cell r="R423">
            <v>0</v>
          </cell>
          <cell r="S423">
            <v>4873950</v>
          </cell>
          <cell r="T423">
            <v>1096991700</v>
          </cell>
          <cell r="U423">
            <v>4.5199999999999996</v>
          </cell>
          <cell r="V423">
            <v>4.6500000000000004</v>
          </cell>
          <cell r="W423">
            <v>101.01821428571429</v>
          </cell>
          <cell r="X423">
            <v>1060691250</v>
          </cell>
          <cell r="Y423" t="str">
            <v>20-12-2024</v>
          </cell>
          <cell r="Z423" t="str">
            <v>Exempt - GSECs</v>
          </cell>
          <cell r="AC423" t="str">
            <v>Exempt - GSECs</v>
          </cell>
          <cell r="AD423">
            <v>947</v>
          </cell>
          <cell r="AE423" t="str">
            <v>Y</v>
          </cell>
          <cell r="AF423" t="str">
            <v>20-06-2024</v>
          </cell>
          <cell r="AG423">
            <v>6.8573000000000004</v>
          </cell>
          <cell r="AH423">
            <v>4887600</v>
          </cell>
          <cell r="AI423" t="str">
            <v>GOVT.</v>
          </cell>
          <cell r="AJ423" t="str">
            <v>Gsec</v>
          </cell>
          <cell r="AK423" t="str">
            <v>Gsec</v>
          </cell>
          <cell r="AL423" t="str">
            <v>1</v>
          </cell>
          <cell r="AM423" t="str">
            <v>1</v>
          </cell>
        </row>
        <row r="424">
          <cell r="C424" t="str">
            <v>IN0020230085</v>
          </cell>
          <cell r="D424" t="str">
            <v>7.18GSE140833</v>
          </cell>
          <cell r="E424" t="str">
            <v>GSE</v>
          </cell>
          <cell r="F424" t="str">
            <v>Govt. of India - GSec / TBL</v>
          </cell>
          <cell r="G424" t="str">
            <v>7.18%  Government Securities - 14/08/2033</v>
          </cell>
          <cell r="H424">
            <v>7.18</v>
          </cell>
          <cell r="I424" t="str">
            <v>14-08-2033</v>
          </cell>
          <cell r="J424" t="str">
            <v>Sovereign</v>
          </cell>
          <cell r="K424">
            <v>6.5488999999999997</v>
          </cell>
          <cell r="L424">
            <v>100</v>
          </cell>
          <cell r="M424">
            <v>1100000</v>
          </cell>
          <cell r="N424">
            <v>7.016</v>
          </cell>
          <cell r="O424">
            <v>101.81950000000001</v>
          </cell>
          <cell r="P424">
            <v>112001450</v>
          </cell>
          <cell r="Q424">
            <v>2018377.78</v>
          </cell>
          <cell r="R424">
            <v>0</v>
          </cell>
          <cell r="S424">
            <v>1279378.58</v>
          </cell>
          <cell r="T424">
            <v>114019827.78</v>
          </cell>
          <cell r="U424">
            <v>0.48</v>
          </cell>
          <cell r="V424">
            <v>0.48</v>
          </cell>
          <cell r="W424">
            <v>100.65642856363637</v>
          </cell>
          <cell r="X424">
            <v>110722071.42</v>
          </cell>
          <cell r="Y424" t="str">
            <v>14-02-2025</v>
          </cell>
          <cell r="Z424" t="str">
            <v>Exempt - GSECs</v>
          </cell>
          <cell r="AC424" t="str">
            <v>Exempt - GSECs</v>
          </cell>
          <cell r="AD424">
            <v>3194</v>
          </cell>
          <cell r="AE424" t="str">
            <v>Y</v>
          </cell>
          <cell r="AF424" t="str">
            <v>14-08-2024</v>
          </cell>
          <cell r="AG424">
            <v>7.016</v>
          </cell>
          <cell r="AH424">
            <v>1279818.58</v>
          </cell>
          <cell r="AI424" t="str">
            <v>GOVT.</v>
          </cell>
          <cell r="AJ424" t="str">
            <v>Gsec</v>
          </cell>
          <cell r="AK424" t="str">
            <v>Gsec</v>
          </cell>
          <cell r="AL424" t="str">
            <v>1</v>
          </cell>
          <cell r="AM424" t="str">
            <v>1</v>
          </cell>
        </row>
        <row r="425">
          <cell r="C425" t="str">
            <v>IN0020230101</v>
          </cell>
          <cell r="D425" t="str">
            <v>7.37GSE231028</v>
          </cell>
          <cell r="E425" t="str">
            <v>GSE</v>
          </cell>
          <cell r="F425" t="str">
            <v>Govt. of India - GSec / TBL</v>
          </cell>
          <cell r="G425" t="str">
            <v>7.37% Government Securities-23/10/2028</v>
          </cell>
          <cell r="H425">
            <v>7.37</v>
          </cell>
          <cell r="I425" t="str">
            <v>23-10-2028</v>
          </cell>
          <cell r="J425" t="str">
            <v>Sovereign</v>
          </cell>
          <cell r="K425">
            <v>3.4780000000000002</v>
          </cell>
          <cell r="L425">
            <v>100</v>
          </cell>
          <cell r="M425">
            <v>500000</v>
          </cell>
          <cell r="N425">
            <v>6.8860000000000001</v>
          </cell>
          <cell r="O425">
            <v>102.03149999999999</v>
          </cell>
          <cell r="P425">
            <v>51015750</v>
          </cell>
          <cell r="Q425">
            <v>235430.56</v>
          </cell>
          <cell r="R425">
            <v>0</v>
          </cell>
          <cell r="S425">
            <v>45750</v>
          </cell>
          <cell r="T425">
            <v>51251180.560000002</v>
          </cell>
          <cell r="U425">
            <v>0.22</v>
          </cell>
          <cell r="V425">
            <v>0.22</v>
          </cell>
          <cell r="W425">
            <v>101.94</v>
          </cell>
          <cell r="X425">
            <v>50970000</v>
          </cell>
          <cell r="Y425" t="str">
            <v>23-04-2025</v>
          </cell>
          <cell r="Z425" t="str">
            <v>Exempt - GSECs</v>
          </cell>
          <cell r="AC425" t="str">
            <v>Exempt - GSECs</v>
          </cell>
          <cell r="AD425">
            <v>1438</v>
          </cell>
          <cell r="AE425" t="str">
            <v>Y</v>
          </cell>
          <cell r="AF425" t="str">
            <v>23-10-2024</v>
          </cell>
          <cell r="AG425">
            <v>6.8860000000000001</v>
          </cell>
          <cell r="AH425">
            <v>46550</v>
          </cell>
          <cell r="AI425" t="str">
            <v>GOVT.</v>
          </cell>
          <cell r="AJ425" t="str">
            <v>Gsec</v>
          </cell>
          <cell r="AK425" t="str">
            <v>Gsec</v>
          </cell>
          <cell r="AL425" t="str">
            <v>1</v>
          </cell>
          <cell r="AM425" t="str">
            <v>1</v>
          </cell>
        </row>
        <row r="426">
          <cell r="C426" t="str">
            <v>IN0020230119</v>
          </cell>
          <cell r="D426" t="str">
            <v>7.33GSE301026</v>
          </cell>
          <cell r="E426" t="str">
            <v>GSE</v>
          </cell>
          <cell r="F426" t="str">
            <v>Govt. of India - GSec / TBL</v>
          </cell>
          <cell r="G426" t="str">
            <v>7.33% Government Securities-30/10/2026</v>
          </cell>
          <cell r="H426">
            <v>7.33</v>
          </cell>
          <cell r="I426" t="str">
            <v>30-10-2026</v>
          </cell>
          <cell r="J426" t="str">
            <v>Sovereign</v>
          </cell>
          <cell r="K426">
            <v>1.8526</v>
          </cell>
          <cell r="L426">
            <v>100</v>
          </cell>
          <cell r="M426">
            <v>500000</v>
          </cell>
          <cell r="N426">
            <v>6.8121999999999998</v>
          </cell>
          <cell r="O426">
            <v>101.13209999999999</v>
          </cell>
          <cell r="P426">
            <v>50566050</v>
          </cell>
          <cell r="Q426">
            <v>162888.89000000001</v>
          </cell>
          <cell r="R426">
            <v>0</v>
          </cell>
          <cell r="S426">
            <v>218095.46</v>
          </cell>
          <cell r="T426">
            <v>50728938.890000001</v>
          </cell>
          <cell r="U426">
            <v>0.21</v>
          </cell>
          <cell r="V426">
            <v>0.22</v>
          </cell>
          <cell r="W426">
            <v>100.69590908000001</v>
          </cell>
          <cell r="X426">
            <v>50347954.539999999</v>
          </cell>
          <cell r="Y426" t="str">
            <v>30-04-2025</v>
          </cell>
          <cell r="Z426" t="str">
            <v>Exempt - GSECs</v>
          </cell>
          <cell r="AC426" t="str">
            <v>Exempt - GSECs</v>
          </cell>
          <cell r="AD426">
            <v>714</v>
          </cell>
          <cell r="AE426" t="str">
            <v>Y</v>
          </cell>
          <cell r="AF426" t="str">
            <v>30-10-2024</v>
          </cell>
          <cell r="AG426">
            <v>6.8121999999999998</v>
          </cell>
          <cell r="AH426">
            <v>218995.46</v>
          </cell>
          <cell r="AI426" t="str">
            <v>GOVT.</v>
          </cell>
          <cell r="AJ426" t="str">
            <v>Gsec</v>
          </cell>
          <cell r="AK426" t="str">
            <v>Gsec</v>
          </cell>
          <cell r="AL426" t="str">
            <v>1</v>
          </cell>
          <cell r="AM426" t="str">
            <v>1</v>
          </cell>
        </row>
        <row r="427">
          <cell r="C427" t="str">
            <v>IN0020230135</v>
          </cell>
          <cell r="D427" t="str">
            <v>7.32GSE131130</v>
          </cell>
          <cell r="E427" t="str">
            <v>GSE</v>
          </cell>
          <cell r="F427" t="str">
            <v>Govt. of India - GSec / TBL</v>
          </cell>
          <cell r="G427" t="str">
            <v>7.32% Government Securities-13/11/2030</v>
          </cell>
          <cell r="H427">
            <v>7.32</v>
          </cell>
          <cell r="I427" t="str">
            <v>13-11-2030</v>
          </cell>
          <cell r="J427" t="str">
            <v>Sovereign</v>
          </cell>
          <cell r="K427">
            <v>4.9672999999999998</v>
          </cell>
          <cell r="L427">
            <v>100</v>
          </cell>
          <cell r="M427">
            <v>3000000</v>
          </cell>
          <cell r="N427">
            <v>6.9595000000000002</v>
          </cell>
          <cell r="O427">
            <v>102.3147</v>
          </cell>
          <cell r="P427">
            <v>306944100</v>
          </cell>
          <cell r="Q427">
            <v>183000</v>
          </cell>
          <cell r="R427">
            <v>0</v>
          </cell>
          <cell r="S427">
            <v>3539100</v>
          </cell>
          <cell r="T427">
            <v>307127100</v>
          </cell>
          <cell r="U427">
            <v>1.3</v>
          </cell>
          <cell r="V427">
            <v>1.3</v>
          </cell>
          <cell r="W427">
            <v>101.13500000000001</v>
          </cell>
          <cell r="X427">
            <v>303405000</v>
          </cell>
          <cell r="Y427" t="str">
            <v>13-05-2025</v>
          </cell>
          <cell r="Z427" t="str">
            <v>Exempt - GSECs</v>
          </cell>
          <cell r="AC427" t="str">
            <v>Exempt - GSECs</v>
          </cell>
          <cell r="AD427">
            <v>2189</v>
          </cell>
          <cell r="AE427" t="str">
            <v>Y</v>
          </cell>
          <cell r="AF427" t="str">
            <v>13-11-2024</v>
          </cell>
          <cell r="AG427">
            <v>6.9595000000000002</v>
          </cell>
          <cell r="AH427">
            <v>3542700</v>
          </cell>
          <cell r="AI427" t="str">
            <v>GOVT.</v>
          </cell>
          <cell r="AJ427" t="str">
            <v>Gsec</v>
          </cell>
          <cell r="AK427" t="str">
            <v>Gsec</v>
          </cell>
          <cell r="AL427" t="str">
            <v>1</v>
          </cell>
          <cell r="AM427" t="str">
            <v>1</v>
          </cell>
        </row>
        <row r="428">
          <cell r="C428" t="str">
            <v>IN0020240019</v>
          </cell>
          <cell r="D428" t="str">
            <v>7.10GSE080434</v>
          </cell>
          <cell r="E428" t="str">
            <v>GSE</v>
          </cell>
          <cell r="F428" t="str">
            <v>Govt. of India - GSec / TBL</v>
          </cell>
          <cell r="G428" t="str">
            <v>7.10% Central Government Securities 08/04/2034</v>
          </cell>
          <cell r="H428">
            <v>7.1</v>
          </cell>
          <cell r="I428" t="str">
            <v>08-04-2034</v>
          </cell>
          <cell r="J428" t="str">
            <v>Sovereign</v>
          </cell>
          <cell r="K428">
            <v>6.9844999999999997</v>
          </cell>
          <cell r="L428">
            <v>100</v>
          </cell>
          <cell r="M428">
            <v>3400000</v>
          </cell>
          <cell r="N428">
            <v>6.9813999999999998</v>
          </cell>
          <cell r="O428">
            <v>101.60720000000001</v>
          </cell>
          <cell r="P428">
            <v>345464480</v>
          </cell>
          <cell r="Q428">
            <v>2548111.11</v>
          </cell>
          <cell r="R428">
            <v>0</v>
          </cell>
          <cell r="S428">
            <v>-1435520</v>
          </cell>
          <cell r="T428">
            <v>348012591.11000001</v>
          </cell>
          <cell r="U428">
            <v>1.47</v>
          </cell>
          <cell r="V428">
            <v>1.48</v>
          </cell>
          <cell r="W428">
            <v>102.02941176470588</v>
          </cell>
          <cell r="X428">
            <v>346900000</v>
          </cell>
          <cell r="Y428" t="str">
            <v>08-04-2025</v>
          </cell>
          <cell r="Z428" t="str">
            <v>Exempt - GSECs</v>
          </cell>
          <cell r="AC428" t="str">
            <v>Exempt - GSECs</v>
          </cell>
          <cell r="AD428">
            <v>3431</v>
          </cell>
          <cell r="AE428" t="str">
            <v>Y</v>
          </cell>
          <cell r="AF428" t="str">
            <v>08-10-2024</v>
          </cell>
          <cell r="AG428">
            <v>6.9813999999999998</v>
          </cell>
          <cell r="AH428">
            <v>-1433480</v>
          </cell>
          <cell r="AI428" t="str">
            <v>GOVT.</v>
          </cell>
          <cell r="AJ428" t="str">
            <v>GSEC</v>
          </cell>
          <cell r="AK428" t="str">
            <v>GSEC</v>
          </cell>
          <cell r="AL428" t="str">
            <v>1</v>
          </cell>
          <cell r="AM428" t="str">
            <v>1</v>
          </cell>
        </row>
        <row r="429">
          <cell r="C429" t="str">
            <v>IN0020240050</v>
          </cell>
          <cell r="D429" t="str">
            <v>7.05GSE220464</v>
          </cell>
          <cell r="E429" t="str">
            <v>GSE</v>
          </cell>
          <cell r="F429" t="str">
            <v>Govt. of India - GSec / TBL</v>
          </cell>
          <cell r="G429" t="str">
            <v>7.04% Central Government Securities 03/06/2029</v>
          </cell>
          <cell r="H429">
            <v>7.04</v>
          </cell>
          <cell r="I429" t="str">
            <v>03-06-2029</v>
          </cell>
          <cell r="J429" t="str">
            <v>Sovereign</v>
          </cell>
          <cell r="K429">
            <v>3.8515999999999999</v>
          </cell>
          <cell r="L429">
            <v>100</v>
          </cell>
          <cell r="M429">
            <v>5000000</v>
          </cell>
          <cell r="N429">
            <v>6.9227999999999996</v>
          </cell>
          <cell r="O429">
            <v>100.89319999999999</v>
          </cell>
          <cell r="P429">
            <v>504466000</v>
          </cell>
          <cell r="Q429">
            <v>15937777.779999999</v>
          </cell>
          <cell r="R429">
            <v>0</v>
          </cell>
          <cell r="S429">
            <v>-2901500</v>
          </cell>
          <cell r="T429">
            <v>520403777.77999997</v>
          </cell>
          <cell r="U429">
            <v>2.14</v>
          </cell>
          <cell r="V429">
            <v>2.21</v>
          </cell>
          <cell r="W429">
            <v>101.4735</v>
          </cell>
          <cell r="X429">
            <v>507367500</v>
          </cell>
          <cell r="Y429" t="str">
            <v>03-12-2024</v>
          </cell>
          <cell r="Z429" t="str">
            <v>Exempt - GSECs</v>
          </cell>
          <cell r="AC429" t="str">
            <v>Exempt - GSECs</v>
          </cell>
          <cell r="AD429">
            <v>1661</v>
          </cell>
          <cell r="AE429" t="str">
            <v>Y</v>
          </cell>
          <cell r="AF429" t="str">
            <v>03-06-2024</v>
          </cell>
          <cell r="AG429">
            <v>6.9227999999999996</v>
          </cell>
          <cell r="AH429">
            <v>-2900500</v>
          </cell>
          <cell r="AI429" t="str">
            <v>GOVT.</v>
          </cell>
          <cell r="AJ429" t="str">
            <v>GSEC</v>
          </cell>
          <cell r="AK429" t="str">
            <v>GSEC</v>
          </cell>
          <cell r="AL429" t="str">
            <v>1</v>
          </cell>
          <cell r="AM429" t="str">
            <v>1</v>
          </cell>
        </row>
        <row r="430">
          <cell r="AF430" t="str">
            <v/>
          </cell>
          <cell r="AG430" t="str">
            <v/>
          </cell>
          <cell r="AH430" t="str">
            <v/>
          </cell>
          <cell r="AI430" t="str">
            <v/>
          </cell>
          <cell r="AJ430" t="str">
            <v/>
          </cell>
          <cell r="AK430" t="str">
            <v/>
          </cell>
          <cell r="AL430" t="str">
            <v/>
          </cell>
          <cell r="AM430" t="str">
            <v/>
          </cell>
        </row>
        <row r="431">
          <cell r="C431" t="str">
            <v>INF0RQ622028</v>
          </cell>
          <cell r="D431" t="str">
            <v>CDMDF23</v>
          </cell>
          <cell r="E431" t="str">
            <v>CDMDF</v>
          </cell>
          <cell r="F431" t="str">
            <v>Corporate Debt Market Development Fund</v>
          </cell>
          <cell r="G431" t="str">
            <v>Corporate Debt Market Development Fund - Class A2</v>
          </cell>
          <cell r="H431">
            <v>0</v>
          </cell>
          <cell r="K431">
            <v>0</v>
          </cell>
          <cell r="L431">
            <v>10000</v>
          </cell>
          <cell r="M431">
            <v>76.796000000000006</v>
          </cell>
          <cell r="N431">
            <v>9.9999999999999995E-7</v>
          </cell>
          <cell r="O431">
            <v>10450.479300000001</v>
          </cell>
          <cell r="P431">
            <v>802555.01</v>
          </cell>
          <cell r="Q431">
            <v>0</v>
          </cell>
          <cell r="R431">
            <v>0</v>
          </cell>
          <cell r="S431">
            <v>34593.410000000003</v>
          </cell>
          <cell r="T431">
            <v>802555.01</v>
          </cell>
          <cell r="U431">
            <v>0.28999999999999998</v>
          </cell>
          <cell r="V431">
            <v>0.28999999999999998</v>
          </cell>
          <cell r="W431">
            <v>10000.020834418459</v>
          </cell>
          <cell r="X431">
            <v>767961.59999999998</v>
          </cell>
          <cell r="Z431" t="str">
            <v>Financial Services</v>
          </cell>
          <cell r="AE431" t="str">
            <v>N</v>
          </cell>
          <cell r="AG431">
            <v>9.9999999999999995E-7</v>
          </cell>
          <cell r="AH431">
            <v>34513.550000000003</v>
          </cell>
          <cell r="AI431" t="str">
            <v>CDMDF</v>
          </cell>
        </row>
        <row r="432">
          <cell r="C432" t="str">
            <v>IN0020230051</v>
          </cell>
          <cell r="D432" t="str">
            <v>7.30GSE190653</v>
          </cell>
          <cell r="E432" t="str">
            <v>GSE</v>
          </cell>
          <cell r="F432" t="str">
            <v>Govt. of India - GSec / TBL</v>
          </cell>
          <cell r="G432" t="str">
            <v>7.30% Government Securities - 19/06/2053</v>
          </cell>
          <cell r="H432">
            <v>7.3</v>
          </cell>
          <cell r="I432" t="str">
            <v>19-06-2053</v>
          </cell>
          <cell r="J432" t="str">
            <v>Sovereign</v>
          </cell>
          <cell r="K432">
            <v>12.2509</v>
          </cell>
          <cell r="L432">
            <v>100</v>
          </cell>
          <cell r="M432">
            <v>500000</v>
          </cell>
          <cell r="N432">
            <v>7.1519000000000004</v>
          </cell>
          <cell r="O432">
            <v>103.3186</v>
          </cell>
          <cell r="P432">
            <v>51659300</v>
          </cell>
          <cell r="Q432">
            <v>1490416.67</v>
          </cell>
          <cell r="R432">
            <v>0</v>
          </cell>
          <cell r="S432">
            <v>759300</v>
          </cell>
          <cell r="T432">
            <v>53149716.670000002</v>
          </cell>
          <cell r="U432">
            <v>18.850000000000001</v>
          </cell>
          <cell r="V432">
            <v>19.399999999999999</v>
          </cell>
          <cell r="W432">
            <v>101.8</v>
          </cell>
          <cell r="X432">
            <v>50900000</v>
          </cell>
          <cell r="Y432" t="str">
            <v>19-12-2024</v>
          </cell>
          <cell r="Z432" t="str">
            <v>Exempt - GSECs</v>
          </cell>
          <cell r="AC432" t="str">
            <v>Exempt - GSECs</v>
          </cell>
          <cell r="AD432">
            <v>10443</v>
          </cell>
          <cell r="AE432" t="str">
            <v>Y</v>
          </cell>
          <cell r="AF432" t="str">
            <v>19-06-2024</v>
          </cell>
          <cell r="AG432">
            <v>7.1519000000000004</v>
          </cell>
          <cell r="AH432">
            <v>759250</v>
          </cell>
          <cell r="AI432" t="str">
            <v>GOVT.</v>
          </cell>
          <cell r="AJ432" t="str">
            <v>Gsec</v>
          </cell>
          <cell r="AK432" t="str">
            <v>Gsec</v>
          </cell>
          <cell r="AL432" t="str">
            <v>1</v>
          </cell>
          <cell r="AM432" t="str">
            <v>1</v>
          </cell>
        </row>
        <row r="433">
          <cell r="C433" t="str">
            <v>IN0020240019</v>
          </cell>
          <cell r="D433" t="str">
            <v>7.10GSE080434</v>
          </cell>
          <cell r="E433" t="str">
            <v>GSE</v>
          </cell>
          <cell r="F433" t="str">
            <v>Govt. of India - GSec / TBL</v>
          </cell>
          <cell r="G433" t="str">
            <v>7.10% Central Government Securities 08/04/2034</v>
          </cell>
          <cell r="H433">
            <v>7.1</v>
          </cell>
          <cell r="I433" t="str">
            <v>08-04-2034</v>
          </cell>
          <cell r="J433" t="str">
            <v>Sovereign</v>
          </cell>
          <cell r="K433">
            <v>6.9844999999999997</v>
          </cell>
          <cell r="L433">
            <v>100</v>
          </cell>
          <cell r="M433">
            <v>600000</v>
          </cell>
          <cell r="N433">
            <v>6.9813999999999998</v>
          </cell>
          <cell r="O433">
            <v>101.60720000000001</v>
          </cell>
          <cell r="P433">
            <v>60964320</v>
          </cell>
          <cell r="Q433">
            <v>449666.67</v>
          </cell>
          <cell r="R433">
            <v>0</v>
          </cell>
          <cell r="S433">
            <v>-540589.09</v>
          </cell>
          <cell r="T433">
            <v>61413986.670000002</v>
          </cell>
          <cell r="U433">
            <v>22.25</v>
          </cell>
          <cell r="V433">
            <v>22.41</v>
          </cell>
          <cell r="W433">
            <v>102.50818181666666</v>
          </cell>
          <cell r="X433">
            <v>61504909.090000004</v>
          </cell>
          <cell r="Y433" t="str">
            <v>08-04-2025</v>
          </cell>
          <cell r="Z433" t="str">
            <v>Exempt - GSECs</v>
          </cell>
          <cell r="AC433" t="str">
            <v>Exempt - GSECs</v>
          </cell>
          <cell r="AD433">
            <v>3431</v>
          </cell>
          <cell r="AE433" t="str">
            <v>Y</v>
          </cell>
          <cell r="AF433" t="str">
            <v>08-10-2024</v>
          </cell>
          <cell r="AG433">
            <v>6.9813999999999998</v>
          </cell>
          <cell r="AH433">
            <v>-540229.09</v>
          </cell>
          <cell r="AI433" t="str">
            <v>GOVT.</v>
          </cell>
          <cell r="AJ433" t="str">
            <v>GSEC</v>
          </cell>
          <cell r="AK433" t="str">
            <v>GSEC</v>
          </cell>
          <cell r="AL433" t="str">
            <v>1</v>
          </cell>
          <cell r="AM433" t="str">
            <v>1</v>
          </cell>
        </row>
        <row r="434">
          <cell r="AF434" t="str">
            <v/>
          </cell>
          <cell r="AG434" t="str">
            <v/>
          </cell>
          <cell r="AH434" t="str">
            <v/>
          </cell>
          <cell r="AI434" t="str">
            <v/>
          </cell>
          <cell r="AJ434" t="str">
            <v/>
          </cell>
          <cell r="AK434" t="str">
            <v/>
          </cell>
          <cell r="AL434" t="str">
            <v/>
          </cell>
          <cell r="AM434" t="str">
            <v/>
          </cell>
        </row>
        <row r="435">
          <cell r="C435" t="str">
            <v>IN002024X227</v>
          </cell>
          <cell r="D435" t="str">
            <v>91TBL211124</v>
          </cell>
          <cell r="E435" t="str">
            <v>TBL</v>
          </cell>
          <cell r="F435" t="str">
            <v>Govt. of India - GSec / TBL</v>
          </cell>
          <cell r="G435" t="str">
            <v>91 Days - T Bill - 21/11/2024</v>
          </cell>
          <cell r="H435">
            <v>0</v>
          </cell>
          <cell r="I435" t="str">
            <v>21-11-2024</v>
          </cell>
          <cell r="J435" t="str">
            <v>Sovereign</v>
          </cell>
          <cell r="K435">
            <v>0.02</v>
          </cell>
          <cell r="L435">
            <v>100</v>
          </cell>
          <cell r="M435">
            <v>1500000</v>
          </cell>
          <cell r="N435">
            <v>6.35</v>
          </cell>
          <cell r="O435">
            <v>99.9131</v>
          </cell>
          <cell r="P435">
            <v>149869650</v>
          </cell>
          <cell r="Q435">
            <v>0</v>
          </cell>
          <cell r="R435">
            <v>580433.32999999996</v>
          </cell>
          <cell r="S435">
            <v>1566.67</v>
          </cell>
          <cell r="T435">
            <v>149869650</v>
          </cell>
          <cell r="U435">
            <v>1.47</v>
          </cell>
          <cell r="V435">
            <v>1.47</v>
          </cell>
          <cell r="W435">
            <v>99.525099999999995</v>
          </cell>
          <cell r="X435">
            <v>149287650</v>
          </cell>
          <cell r="Z435" t="str">
            <v>Exempt - GSECs</v>
          </cell>
          <cell r="AC435" t="str">
            <v>Exempt - GSECs</v>
          </cell>
          <cell r="AD435">
            <v>6</v>
          </cell>
          <cell r="AE435" t="str">
            <v>Y</v>
          </cell>
          <cell r="AG435">
            <v>6.35</v>
          </cell>
          <cell r="AH435">
            <v>1850.01</v>
          </cell>
          <cell r="AI435" t="str">
            <v>GOVT.</v>
          </cell>
          <cell r="AJ435" t="str">
            <v>GSEC</v>
          </cell>
          <cell r="AK435" t="str">
            <v>GSEC</v>
          </cell>
          <cell r="AL435" t="str">
            <v>1</v>
          </cell>
          <cell r="AM435" t="str">
            <v>1</v>
          </cell>
        </row>
        <row r="436">
          <cell r="C436" t="str">
            <v>IN002024Y100</v>
          </cell>
          <cell r="D436" t="str">
            <v>182TBL051224</v>
          </cell>
          <cell r="E436" t="str">
            <v>TBL</v>
          </cell>
          <cell r="F436" t="str">
            <v>Govt. of India - GSec / TBL</v>
          </cell>
          <cell r="G436" t="str">
            <v>182 Days - T Bill - 05/12/2024</v>
          </cell>
          <cell r="H436">
            <v>0</v>
          </cell>
          <cell r="I436" t="str">
            <v>05-12-2024</v>
          </cell>
          <cell r="J436" t="str">
            <v>Sovereign</v>
          </cell>
          <cell r="K436">
            <v>0.05</v>
          </cell>
          <cell r="L436">
            <v>100</v>
          </cell>
          <cell r="M436">
            <v>1500000</v>
          </cell>
          <cell r="N436">
            <v>6.32</v>
          </cell>
          <cell r="O436">
            <v>99.6721</v>
          </cell>
          <cell r="P436">
            <v>149508150</v>
          </cell>
          <cell r="Q436">
            <v>0</v>
          </cell>
          <cell r="R436">
            <v>207155.56</v>
          </cell>
          <cell r="S436">
            <v>144.44</v>
          </cell>
          <cell r="T436">
            <v>149508150</v>
          </cell>
          <cell r="U436">
            <v>1.47</v>
          </cell>
          <cell r="V436">
            <v>1.47</v>
          </cell>
          <cell r="W436">
            <v>99.533900000000003</v>
          </cell>
          <cell r="X436">
            <v>149300850</v>
          </cell>
          <cell r="Z436" t="str">
            <v>Exempt - GSECs</v>
          </cell>
          <cell r="AC436" t="str">
            <v>Exempt - GSECs</v>
          </cell>
          <cell r="AD436">
            <v>20</v>
          </cell>
          <cell r="AE436" t="str">
            <v>Y</v>
          </cell>
          <cell r="AG436">
            <v>6.32</v>
          </cell>
          <cell r="AH436">
            <v>238.89</v>
          </cell>
          <cell r="AI436" t="str">
            <v>GOVT.</v>
          </cell>
          <cell r="AJ436" t="str">
            <v>GSEC</v>
          </cell>
          <cell r="AK436" t="str">
            <v>GSEC</v>
          </cell>
          <cell r="AL436" t="str">
            <v>1</v>
          </cell>
          <cell r="AM436" t="str">
            <v>1</v>
          </cell>
        </row>
        <row r="437">
          <cell r="AF437" t="str">
            <v/>
          </cell>
          <cell r="AG437" t="str">
            <v/>
          </cell>
          <cell r="AH437" t="str">
            <v/>
          </cell>
          <cell r="AI437" t="str">
            <v/>
          </cell>
          <cell r="AJ437" t="str">
            <v/>
          </cell>
          <cell r="AK437" t="str">
            <v/>
          </cell>
          <cell r="AL437" t="str">
            <v/>
          </cell>
          <cell r="AM437" t="str">
            <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E8A3A-7DA0-4913-9F8B-C1E29A177F39}">
  <dimension ref="A1:C11"/>
  <sheetViews>
    <sheetView tabSelected="1" workbookViewId="0">
      <selection activeCell="G11" sqref="G11"/>
    </sheetView>
  </sheetViews>
  <sheetFormatPr defaultColWidth="8.85546875" defaultRowHeight="15" x14ac:dyDescent="0.25"/>
  <cols>
    <col min="1" max="1" width="6.140625" style="5" bestFit="1" customWidth="1"/>
    <col min="2" max="2" width="10.85546875" style="5" bestFit="1" customWidth="1"/>
    <col min="3" max="3" width="35" style="5" bestFit="1" customWidth="1"/>
    <col min="4" max="16384" width="8.85546875" style="5"/>
  </cols>
  <sheetData>
    <row r="1" spans="1:3" x14ac:dyDescent="0.25">
      <c r="A1" s="3" t="s">
        <v>565</v>
      </c>
      <c r="B1" s="4" t="s">
        <v>566</v>
      </c>
      <c r="C1" s="4" t="s">
        <v>567</v>
      </c>
    </row>
    <row r="2" spans="1:3" x14ac:dyDescent="0.25">
      <c r="A2" s="6">
        <v>1</v>
      </c>
      <c r="B2" s="7" t="s">
        <v>568</v>
      </c>
      <c r="C2" s="8" t="s">
        <v>569</v>
      </c>
    </row>
    <row r="3" spans="1:3" x14ac:dyDescent="0.25">
      <c r="A3" s="6">
        <v>2</v>
      </c>
      <c r="B3" s="7" t="s">
        <v>570</v>
      </c>
      <c r="C3" s="8" t="s">
        <v>119</v>
      </c>
    </row>
    <row r="4" spans="1:3" x14ac:dyDescent="0.25">
      <c r="A4" s="6">
        <v>3</v>
      </c>
      <c r="B4" s="7" t="s">
        <v>571</v>
      </c>
      <c r="C4" s="8" t="s">
        <v>142</v>
      </c>
    </row>
    <row r="5" spans="1:3" x14ac:dyDescent="0.25">
      <c r="A5" s="6">
        <v>4</v>
      </c>
      <c r="B5" s="7" t="s">
        <v>572</v>
      </c>
      <c r="C5" s="8" t="s">
        <v>203</v>
      </c>
    </row>
    <row r="6" spans="1:3" x14ac:dyDescent="0.25">
      <c r="A6" s="6">
        <v>5</v>
      </c>
      <c r="B6" s="7" t="s">
        <v>573</v>
      </c>
      <c r="C6" s="8" t="s">
        <v>259</v>
      </c>
    </row>
    <row r="7" spans="1:3" x14ac:dyDescent="0.25">
      <c r="A7" s="6">
        <v>6</v>
      </c>
      <c r="B7" s="7" t="s">
        <v>574</v>
      </c>
      <c r="C7" s="8" t="s">
        <v>419</v>
      </c>
    </row>
    <row r="8" spans="1:3" x14ac:dyDescent="0.25">
      <c r="A8" s="6">
        <v>7</v>
      </c>
      <c r="B8" s="7" t="s">
        <v>575</v>
      </c>
      <c r="C8" s="8" t="s">
        <v>435</v>
      </c>
    </row>
    <row r="9" spans="1:3" x14ac:dyDescent="0.25">
      <c r="A9" s="6">
        <v>8</v>
      </c>
      <c r="B9" s="7" t="s">
        <v>576</v>
      </c>
      <c r="C9" s="8" t="s">
        <v>489</v>
      </c>
    </row>
    <row r="10" spans="1:3" x14ac:dyDescent="0.25">
      <c r="A10" s="6">
        <v>9</v>
      </c>
      <c r="B10" s="7" t="s">
        <v>577</v>
      </c>
      <c r="C10" s="8" t="s">
        <v>493</v>
      </c>
    </row>
    <row r="11" spans="1:3" x14ac:dyDescent="0.25">
      <c r="A11" s="6">
        <v>10</v>
      </c>
      <c r="B11" s="7" t="s">
        <v>578</v>
      </c>
      <c r="C11" s="8" t="s">
        <v>560</v>
      </c>
    </row>
  </sheetData>
  <hyperlinks>
    <hyperlink ref="B3" location="SFRSTP!A1" display="SFRSTP" xr:uid="{73F98A63-29A2-419C-98B6-D1827CE5CC37}"/>
    <hyperlink ref="B4" location="SMMF!A1" display="SMMF" xr:uid="{C948BBDC-116D-4137-A15D-FE45BA8782FE}"/>
    <hyperlink ref="B5" location="SPLDF!A1" display="SPLDF" xr:uid="{E0F30E3A-69AE-4506-A87B-12A547F03A9C}"/>
    <hyperlink ref="B6" location="SPMON!A1" display="SPMON" xr:uid="{402AC286-5FE0-45CC-BBAD-E4DE0BBDFF24}"/>
    <hyperlink ref="B7" location="SPSDF!A1" display="SPSDF" xr:uid="{1634721D-4DB3-41D4-9986-E0A5B3DFA060}"/>
    <hyperlink ref="B8" location="SPUSDF!A1" display="SPUSDF" xr:uid="{E0796605-E7E4-4539-A6CE-75BFBDF6B0DA}"/>
    <hyperlink ref="B9" location="SUNBDS!A1" display="SUNBDS" xr:uid="{1912CCB8-0F83-4CF5-B7ED-EB46147CABE4}"/>
    <hyperlink ref="B10" location="SUNMIA!A1" display="SUNMIA" xr:uid="{5C605504-4D3E-49FD-B63E-54FEFE4B3244}"/>
    <hyperlink ref="B11" location="SUNONF!A1" display="SUNONF" xr:uid="{C73C3D8B-4816-4F74-833F-CD3F1C2C8C9F}"/>
    <hyperlink ref="B2" location="SFRLTP!A1" display="SFRLTP" xr:uid="{AA58562F-2ABC-4963-B18A-BBA278D5156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FEE36-4563-4BCF-9D8F-15ED9732E9DE}">
  <sheetPr>
    <outlinePr summaryBelow="0" summaryRight="0"/>
  </sheetPr>
  <dimension ref="A1:R146"/>
  <sheetViews>
    <sheetView showGridLines="0" workbookViewId="0">
      <selection activeCell="I129" sqref="I129"/>
    </sheetView>
  </sheetViews>
  <sheetFormatPr defaultRowHeight="12.75" x14ac:dyDescent="0.2"/>
  <cols>
    <col min="1" max="1" width="5.85546875" bestFit="1" customWidth="1"/>
    <col min="2" max="2" width="20.28515625" bestFit="1" customWidth="1"/>
    <col min="3" max="3" width="39.140625" bestFit="1" customWidth="1"/>
    <col min="4" max="4" width="11.28515625" bestFit="1" customWidth="1"/>
    <col min="5" max="5" width="9.42578125" bestFit="1" customWidth="1"/>
    <col min="6" max="6" width="10.140625" bestFit="1" customWidth="1"/>
    <col min="7" max="7" width="14" bestFit="1" customWidth="1"/>
    <col min="8" max="8" width="7.7109375" customWidth="1"/>
    <col min="9" max="9" width="5.7109375" bestFit="1" customWidth="1"/>
    <col min="10" max="10" width="50.7109375" style="2" customWidth="1"/>
  </cols>
  <sheetData>
    <row r="1" spans="1:10" ht="15" x14ac:dyDescent="0.2">
      <c r="A1" s="130" t="s">
        <v>0</v>
      </c>
      <c r="B1" s="130"/>
      <c r="C1" s="130"/>
      <c r="D1" s="130"/>
      <c r="E1" s="130"/>
      <c r="F1" s="130"/>
      <c r="G1" s="130"/>
      <c r="H1" s="130"/>
      <c r="I1" s="1" t="s">
        <v>562</v>
      </c>
    </row>
    <row r="2" spans="1:10" ht="15" x14ac:dyDescent="0.2">
      <c r="A2" s="130" t="s">
        <v>569</v>
      </c>
      <c r="B2" s="130"/>
      <c r="C2" s="130"/>
      <c r="D2" s="130"/>
      <c r="E2" s="130"/>
      <c r="F2" s="130"/>
      <c r="G2" s="130"/>
      <c r="H2" s="130"/>
      <c r="J2" s="26" t="s">
        <v>563</v>
      </c>
    </row>
    <row r="3" spans="1:10" ht="15" x14ac:dyDescent="0.2">
      <c r="A3" s="130" t="s">
        <v>579</v>
      </c>
      <c r="B3" s="130"/>
      <c r="C3" s="130"/>
      <c r="D3" s="130"/>
      <c r="E3" s="130"/>
      <c r="F3" s="130"/>
      <c r="G3" s="130"/>
      <c r="H3" s="130"/>
    </row>
    <row r="4" spans="1:10" s="2" customFormat="1" ht="30" x14ac:dyDescent="0.2">
      <c r="A4" s="27" t="s">
        <v>1</v>
      </c>
      <c r="B4" s="27" t="s">
        <v>2</v>
      </c>
      <c r="C4" s="27" t="s">
        <v>3</v>
      </c>
      <c r="D4" s="27" t="s">
        <v>4</v>
      </c>
      <c r="E4" s="27" t="s">
        <v>5</v>
      </c>
      <c r="F4" s="27" t="s">
        <v>6</v>
      </c>
      <c r="G4" s="27" t="s">
        <v>7</v>
      </c>
      <c r="H4" s="28" t="s">
        <v>564</v>
      </c>
    </row>
    <row r="5" spans="1:10" x14ac:dyDescent="0.2">
      <c r="A5" s="29"/>
      <c r="B5" s="29"/>
      <c r="C5" s="30" t="s">
        <v>8</v>
      </c>
      <c r="D5" s="29"/>
      <c r="E5" s="29"/>
      <c r="F5" s="29"/>
      <c r="G5" s="29"/>
      <c r="H5" s="31" t="str">
        <f>IFERROR(VLOOKUP(B5,'[1]Debt Holding Consolidated'!$C$1:$AM$65536,12,FALSE),"")</f>
        <v/>
      </c>
    </row>
    <row r="6" spans="1:10" x14ac:dyDescent="0.2">
      <c r="A6" s="29"/>
      <c r="B6" s="29"/>
      <c r="C6" s="30" t="s">
        <v>9</v>
      </c>
      <c r="D6" s="29"/>
      <c r="E6" s="29"/>
      <c r="F6" s="29"/>
      <c r="G6" s="29"/>
      <c r="H6" s="31" t="str">
        <f>IFERROR(VLOOKUP(B6,'[1]Debt Holding Consolidated'!$C$1:$AM$65536,12,FALSE),"")</f>
        <v/>
      </c>
    </row>
    <row r="7" spans="1:10" x14ac:dyDescent="0.2">
      <c r="A7" s="29"/>
      <c r="B7" s="29"/>
      <c r="C7" s="30" t="s">
        <v>10</v>
      </c>
      <c r="D7" s="29"/>
      <c r="E7" s="29" t="s">
        <v>11</v>
      </c>
      <c r="F7" s="32" t="s">
        <v>12</v>
      </c>
      <c r="G7" s="33">
        <v>0</v>
      </c>
      <c r="H7" s="31" t="str">
        <f>IFERROR(VLOOKUP(B7,'[1]Debt Holding Consolidated'!$C$1:$AM$65536,12,FALSE),"")</f>
        <v/>
      </c>
    </row>
    <row r="8" spans="1:10" x14ac:dyDescent="0.2">
      <c r="A8" s="29"/>
      <c r="B8" s="29"/>
      <c r="C8" s="34"/>
      <c r="D8" s="29"/>
      <c r="E8" s="29"/>
      <c r="F8" s="35"/>
      <c r="G8" s="35"/>
      <c r="H8" s="31" t="str">
        <f>IFERROR(VLOOKUP(B8,'[1]Debt Holding Consolidated'!$C$1:$AM$65536,12,FALSE),"")</f>
        <v/>
      </c>
    </row>
    <row r="9" spans="1:10" x14ac:dyDescent="0.2">
      <c r="A9" s="29"/>
      <c r="B9" s="29"/>
      <c r="C9" s="30" t="s">
        <v>13</v>
      </c>
      <c r="D9" s="29"/>
      <c r="E9" s="29"/>
      <c r="F9" s="29"/>
      <c r="G9" s="29"/>
      <c r="H9" s="31" t="str">
        <f>IFERROR(VLOOKUP(B9,'[1]Debt Holding Consolidated'!$C$1:$AM$65536,12,FALSE),"")</f>
        <v/>
      </c>
    </row>
    <row r="10" spans="1:10" x14ac:dyDescent="0.2">
      <c r="A10" s="29"/>
      <c r="B10" s="29"/>
      <c r="C10" s="30" t="s">
        <v>10</v>
      </c>
      <c r="D10" s="29"/>
      <c r="E10" s="29" t="s">
        <v>11</v>
      </c>
      <c r="F10" s="32" t="s">
        <v>12</v>
      </c>
      <c r="G10" s="33">
        <v>0</v>
      </c>
      <c r="H10" s="31" t="str">
        <f>IFERROR(VLOOKUP(B10,'[1]Debt Holding Consolidated'!$C$1:$AM$65536,12,FALSE),"")</f>
        <v/>
      </c>
    </row>
    <row r="11" spans="1:10" x14ac:dyDescent="0.2">
      <c r="A11" s="29"/>
      <c r="B11" s="29"/>
      <c r="C11" s="34"/>
      <c r="D11" s="29"/>
      <c r="E11" s="29"/>
      <c r="F11" s="35"/>
      <c r="G11" s="35"/>
      <c r="H11" s="31" t="str">
        <f>IFERROR(VLOOKUP(B11,'[1]Debt Holding Consolidated'!$C$1:$AM$65536,12,FALSE),"")</f>
        <v/>
      </c>
    </row>
    <row r="12" spans="1:10" ht="15" x14ac:dyDescent="0.2">
      <c r="A12" s="29"/>
      <c r="B12" s="29"/>
      <c r="C12" s="30" t="s">
        <v>14</v>
      </c>
      <c r="D12" s="29"/>
      <c r="E12" s="29"/>
      <c r="F12" s="29"/>
      <c r="G12" s="29"/>
      <c r="H12" s="31" t="str">
        <f>IFERROR(VLOOKUP(B12,'[1]Debt Holding Consolidated'!$C$1:$AM$65536,12,FALSE),"")</f>
        <v/>
      </c>
      <c r="J12" s="36"/>
    </row>
    <row r="13" spans="1:10" x14ac:dyDescent="0.2">
      <c r="A13" s="29"/>
      <c r="B13" s="29"/>
      <c r="C13" s="30" t="s">
        <v>10</v>
      </c>
      <c r="D13" s="29"/>
      <c r="E13" s="29" t="s">
        <v>11</v>
      </c>
      <c r="F13" s="32" t="s">
        <v>12</v>
      </c>
      <c r="G13" s="33">
        <v>0</v>
      </c>
      <c r="H13" s="31" t="str">
        <f>IFERROR(VLOOKUP(B13,'[1]Debt Holding Consolidated'!$C$1:$AM$65536,12,FALSE),"")</f>
        <v/>
      </c>
      <c r="J13" s="37"/>
    </row>
    <row r="14" spans="1:10" x14ac:dyDescent="0.2">
      <c r="A14" s="29"/>
      <c r="B14" s="29"/>
      <c r="C14" s="34"/>
      <c r="D14" s="29"/>
      <c r="E14" s="29"/>
      <c r="F14" s="35"/>
      <c r="G14" s="35"/>
      <c r="H14" s="31" t="str">
        <f>IFERROR(VLOOKUP(B14,'[1]Debt Holding Consolidated'!$C$1:$AM$65536,12,FALSE),"")</f>
        <v/>
      </c>
      <c r="J14" s="37"/>
    </row>
    <row r="15" spans="1:10" ht="25.5" x14ac:dyDescent="0.2">
      <c r="A15" s="29"/>
      <c r="B15" s="29"/>
      <c r="C15" s="30" t="s">
        <v>15</v>
      </c>
      <c r="D15" s="29"/>
      <c r="E15" s="29"/>
      <c r="F15" s="29"/>
      <c r="G15" s="29"/>
      <c r="H15" s="31" t="str">
        <f>IFERROR(VLOOKUP(B15,'[1]Debt Holding Consolidated'!$C$1:$AM$65536,12,FALSE),"")</f>
        <v/>
      </c>
      <c r="J15" s="37" t="s">
        <v>685</v>
      </c>
    </row>
    <row r="16" spans="1:10" x14ac:dyDescent="0.2">
      <c r="A16" s="29"/>
      <c r="B16" s="29"/>
      <c r="C16" s="30" t="s">
        <v>10</v>
      </c>
      <c r="D16" s="29"/>
      <c r="E16" s="29" t="s">
        <v>11</v>
      </c>
      <c r="F16" s="32" t="s">
        <v>12</v>
      </c>
      <c r="G16" s="33">
        <v>0</v>
      </c>
      <c r="H16" s="31" t="str">
        <f>IFERROR(VLOOKUP(B16,'[1]Debt Holding Consolidated'!$C$1:$AM$65536,12,FALSE),"")</f>
        <v/>
      </c>
    </row>
    <row r="17" spans="1:10" x14ac:dyDescent="0.2">
      <c r="A17" s="29"/>
      <c r="B17" s="29"/>
      <c r="C17" s="34"/>
      <c r="D17" s="29"/>
      <c r="E17" s="29"/>
      <c r="F17" s="35"/>
      <c r="G17" s="35"/>
      <c r="H17" s="31" t="str">
        <f>IFERROR(VLOOKUP(B17,'[1]Debt Holding Consolidated'!$C$1:$AM$65536,12,FALSE),"")</f>
        <v/>
      </c>
    </row>
    <row r="18" spans="1:10" x14ac:dyDescent="0.2">
      <c r="A18" s="29"/>
      <c r="B18" s="29"/>
      <c r="C18" s="30" t="s">
        <v>16</v>
      </c>
      <c r="D18" s="29"/>
      <c r="E18" s="29"/>
      <c r="F18" s="35"/>
      <c r="G18" s="35"/>
      <c r="H18" s="31" t="str">
        <f>IFERROR(VLOOKUP(B18,'[1]Debt Holding Consolidated'!$C$1:$AM$65536,12,FALSE),"")</f>
        <v/>
      </c>
    </row>
    <row r="19" spans="1:10" x14ac:dyDescent="0.2">
      <c r="A19" s="29"/>
      <c r="B19" s="29"/>
      <c r="C19" s="30" t="s">
        <v>10</v>
      </c>
      <c r="D19" s="29"/>
      <c r="E19" s="29" t="s">
        <v>11</v>
      </c>
      <c r="F19" s="32" t="s">
        <v>12</v>
      </c>
      <c r="G19" s="33">
        <v>0</v>
      </c>
      <c r="H19" s="31" t="str">
        <f>IFERROR(VLOOKUP(B19,'[1]Debt Holding Consolidated'!$C$1:$AM$65536,12,FALSE),"")</f>
        <v/>
      </c>
    </row>
    <row r="20" spans="1:10" x14ac:dyDescent="0.2">
      <c r="A20" s="29"/>
      <c r="B20" s="29"/>
      <c r="C20" s="34"/>
      <c r="D20" s="29"/>
      <c r="E20" s="29"/>
      <c r="F20" s="35"/>
      <c r="G20" s="35"/>
      <c r="H20" s="31" t="str">
        <f>IFERROR(VLOOKUP(B20,'[1]Debt Holding Consolidated'!$C$1:$AM$65536,12,FALSE),"")</f>
        <v/>
      </c>
    </row>
    <row r="21" spans="1:10" x14ac:dyDescent="0.2">
      <c r="A21" s="29"/>
      <c r="B21" s="29"/>
      <c r="C21" s="30" t="s">
        <v>17</v>
      </c>
      <c r="D21" s="29"/>
      <c r="E21" s="29"/>
      <c r="F21" s="35"/>
      <c r="G21" s="35"/>
      <c r="H21" s="31" t="str">
        <f>IFERROR(VLOOKUP(B21,'[1]Debt Holding Consolidated'!$C$1:$AM$65536,12,FALSE),"")</f>
        <v/>
      </c>
    </row>
    <row r="22" spans="1:10" ht="15" x14ac:dyDescent="0.2">
      <c r="A22" s="29"/>
      <c r="B22" s="29"/>
      <c r="C22" s="30" t="s">
        <v>10</v>
      </c>
      <c r="D22" s="29"/>
      <c r="E22" s="29" t="s">
        <v>11</v>
      </c>
      <c r="F22" s="32" t="s">
        <v>12</v>
      </c>
      <c r="G22" s="33">
        <v>0</v>
      </c>
      <c r="H22" s="31" t="str">
        <f>IFERROR(VLOOKUP(B22,'[1]Debt Holding Consolidated'!$C$1:$AM$65536,12,FALSE),"")</f>
        <v/>
      </c>
      <c r="J22" s="36"/>
    </row>
    <row r="23" spans="1:10" x14ac:dyDescent="0.2">
      <c r="A23" s="29"/>
      <c r="B23" s="29"/>
      <c r="C23" s="34"/>
      <c r="D23" s="29"/>
      <c r="E23" s="29"/>
      <c r="F23" s="35"/>
      <c r="G23" s="35"/>
      <c r="H23" s="31" t="str">
        <f>IFERROR(VLOOKUP(B23,'[1]Debt Holding Consolidated'!$C$1:$AM$65536,12,FALSE),"")</f>
        <v/>
      </c>
      <c r="J23" s="37"/>
    </row>
    <row r="24" spans="1:10" x14ac:dyDescent="0.2">
      <c r="A24" s="29"/>
      <c r="B24" s="29"/>
      <c r="C24" s="30" t="s">
        <v>18</v>
      </c>
      <c r="D24" s="29"/>
      <c r="E24" s="29"/>
      <c r="F24" s="38">
        <v>0</v>
      </c>
      <c r="G24" s="33">
        <v>0</v>
      </c>
      <c r="H24" s="31" t="str">
        <f>IFERROR(VLOOKUP(B24,'[1]Debt Holding Consolidated'!$C$1:$AM$65536,12,FALSE),"")</f>
        <v/>
      </c>
    </row>
    <row r="25" spans="1:10" x14ac:dyDescent="0.2">
      <c r="A25" s="29"/>
      <c r="B25" s="29"/>
      <c r="C25" s="34"/>
      <c r="D25" s="29"/>
      <c r="E25" s="29"/>
      <c r="F25" s="35"/>
      <c r="G25" s="35"/>
      <c r="H25" s="31" t="str">
        <f>IFERROR(VLOOKUP(B25,'[1]Debt Holding Consolidated'!$C$1:$AM$65536,12,FALSE),"")</f>
        <v/>
      </c>
    </row>
    <row r="26" spans="1:10" x14ac:dyDescent="0.2">
      <c r="A26" s="29"/>
      <c r="B26" s="29"/>
      <c r="C26" s="30" t="s">
        <v>19</v>
      </c>
      <c r="D26" s="29"/>
      <c r="E26" s="29"/>
      <c r="F26" s="35"/>
      <c r="G26" s="35"/>
      <c r="H26" s="31" t="str">
        <f>IFERROR(VLOOKUP(B26,'[1]Debt Holding Consolidated'!$C$1:$AM$65536,12,FALSE),"")</f>
        <v/>
      </c>
    </row>
    <row r="27" spans="1:10" x14ac:dyDescent="0.2">
      <c r="A27" s="29"/>
      <c r="B27" s="29"/>
      <c r="C27" s="30" t="s">
        <v>9</v>
      </c>
      <c r="D27" s="29"/>
      <c r="E27" s="29"/>
      <c r="F27" s="35"/>
      <c r="G27" s="35"/>
      <c r="H27" s="31" t="str">
        <f>IFERROR(VLOOKUP(B27,'[1]Debt Holding Consolidated'!$C$1:$AM$65536,12,FALSE),"")</f>
        <v/>
      </c>
      <c r="J27" s="37"/>
    </row>
    <row r="28" spans="1:10" ht="25.5" x14ac:dyDescent="0.2">
      <c r="A28" s="39">
        <v>1</v>
      </c>
      <c r="B28" s="40" t="s">
        <v>20</v>
      </c>
      <c r="C28" s="40" t="s">
        <v>21</v>
      </c>
      <c r="D28" s="40" t="s">
        <v>22</v>
      </c>
      <c r="E28" s="41">
        <v>5000</v>
      </c>
      <c r="F28" s="42">
        <v>5061.1549999999997</v>
      </c>
      <c r="G28" s="43">
        <v>6.8792190000000003E-2</v>
      </c>
      <c r="H28" s="31">
        <f>IFERROR(VLOOKUP(B28,'[1]Debt Holding Consolidated'!$C$1:$AM$65536,12,FALSE),"")</f>
        <v>7.4649999999999999</v>
      </c>
      <c r="J28" s="37" t="s">
        <v>686</v>
      </c>
    </row>
    <row r="29" spans="1:10" ht="25.5" x14ac:dyDescent="0.2">
      <c r="A29" s="39">
        <v>2</v>
      </c>
      <c r="B29" s="40" t="s">
        <v>23</v>
      </c>
      <c r="C29" s="40" t="s">
        <v>24</v>
      </c>
      <c r="D29" s="40" t="s">
        <v>22</v>
      </c>
      <c r="E29" s="41">
        <v>4000</v>
      </c>
      <c r="F29" s="42">
        <v>4016.9520000000002</v>
      </c>
      <c r="G29" s="43">
        <v>5.4599179999999997E-2</v>
      </c>
      <c r="H29" s="31">
        <f>IFERROR(VLOOKUP(B29,'[1]Debt Holding Consolidated'!$C$1:$AM$65536,12,FALSE),"")</f>
        <v>7.27</v>
      </c>
      <c r="J29" s="37"/>
    </row>
    <row r="30" spans="1:10" x14ac:dyDescent="0.2">
      <c r="A30" s="39">
        <v>3</v>
      </c>
      <c r="B30" s="40" t="s">
        <v>25</v>
      </c>
      <c r="C30" s="40" t="s">
        <v>26</v>
      </c>
      <c r="D30" s="40" t="s">
        <v>22</v>
      </c>
      <c r="E30" s="41">
        <v>4000</v>
      </c>
      <c r="F30" s="42">
        <v>3994.9319999999998</v>
      </c>
      <c r="G30" s="43">
        <v>5.4299880000000002E-2</v>
      </c>
      <c r="H30" s="31">
        <f>IFERROR(VLOOKUP(B30,'[1]Debt Holding Consolidated'!$C$1:$AM$65536,12,FALSE),"")</f>
        <v>7.45</v>
      </c>
    </row>
    <row r="31" spans="1:10" x14ac:dyDescent="0.2">
      <c r="A31" s="39">
        <v>4</v>
      </c>
      <c r="B31" s="40" t="s">
        <v>27</v>
      </c>
      <c r="C31" s="40" t="s">
        <v>28</v>
      </c>
      <c r="D31" s="40" t="s">
        <v>22</v>
      </c>
      <c r="E31" s="41">
        <v>300</v>
      </c>
      <c r="F31" s="42">
        <v>3001.431</v>
      </c>
      <c r="G31" s="43">
        <v>4.0796020000000002E-2</v>
      </c>
      <c r="H31" s="31">
        <f>IFERROR(VLOOKUP(B31,'[1]Debt Holding Consolidated'!$C$1:$AM$65536,12,FALSE),"")</f>
        <v>7.66</v>
      </c>
    </row>
    <row r="32" spans="1:10" ht="25.5" x14ac:dyDescent="0.2">
      <c r="A32" s="39">
        <v>5</v>
      </c>
      <c r="B32" s="40" t="s">
        <v>29</v>
      </c>
      <c r="C32" s="40" t="s">
        <v>30</v>
      </c>
      <c r="D32" s="40" t="s">
        <v>22</v>
      </c>
      <c r="E32" s="41">
        <v>2500</v>
      </c>
      <c r="F32" s="42">
        <v>2546.5250000000001</v>
      </c>
      <c r="G32" s="43">
        <v>3.4612850000000001E-2</v>
      </c>
      <c r="H32" s="31">
        <f>IFERROR(VLOOKUP(B32,'[1]Debt Holding Consolidated'!$C$1:$AM$65536,12,FALSE),"")</f>
        <v>7.1074999999999999</v>
      </c>
    </row>
    <row r="33" spans="1:8" ht="25.5" x14ac:dyDescent="0.2">
      <c r="A33" s="39">
        <v>6</v>
      </c>
      <c r="B33" s="40" t="s">
        <v>31</v>
      </c>
      <c r="C33" s="40" t="s">
        <v>32</v>
      </c>
      <c r="D33" s="40" t="s">
        <v>22</v>
      </c>
      <c r="E33" s="41">
        <v>2500</v>
      </c>
      <c r="F33" s="42">
        <v>2524.3674999999998</v>
      </c>
      <c r="G33" s="43">
        <v>3.4311689999999999E-2</v>
      </c>
      <c r="H33" s="31">
        <f>IFERROR(VLOOKUP(B33,'[1]Debt Holding Consolidated'!$C$1:$AM$65536,12,FALSE),"")</f>
        <v>7.48</v>
      </c>
    </row>
    <row r="34" spans="1:8" ht="25.5" x14ac:dyDescent="0.2">
      <c r="A34" s="39">
        <v>7</v>
      </c>
      <c r="B34" s="40" t="s">
        <v>33</v>
      </c>
      <c r="C34" s="40" t="s">
        <v>34</v>
      </c>
      <c r="D34" s="40" t="s">
        <v>35</v>
      </c>
      <c r="E34" s="41">
        <v>2500</v>
      </c>
      <c r="F34" s="42">
        <v>2520.8649999999998</v>
      </c>
      <c r="G34" s="43">
        <v>3.4264080000000002E-2</v>
      </c>
      <c r="H34" s="31">
        <f>IFERROR(VLOOKUP(B34,'[1]Debt Holding Consolidated'!$C$1:$AM$65536,12,FALSE),"")</f>
        <v>7.4363000000000001</v>
      </c>
    </row>
    <row r="35" spans="1:8" ht="25.5" x14ac:dyDescent="0.2">
      <c r="A35" s="39">
        <v>8</v>
      </c>
      <c r="B35" s="40" t="s">
        <v>36</v>
      </c>
      <c r="C35" s="40" t="s">
        <v>37</v>
      </c>
      <c r="D35" s="40" t="s">
        <v>22</v>
      </c>
      <c r="E35" s="41">
        <v>2500</v>
      </c>
      <c r="F35" s="42">
        <v>2514.92</v>
      </c>
      <c r="G35" s="43">
        <v>3.4183270000000002E-2</v>
      </c>
      <c r="H35" s="31">
        <f>IFERROR(VLOOKUP(B35,'[1]Debt Holding Consolidated'!$C$1:$AM$65536,12,FALSE),"")</f>
        <v>7.44</v>
      </c>
    </row>
    <row r="36" spans="1:8" x14ac:dyDescent="0.2">
      <c r="A36" s="39">
        <v>9</v>
      </c>
      <c r="B36" s="40" t="s">
        <v>38</v>
      </c>
      <c r="C36" s="40" t="s">
        <v>39</v>
      </c>
      <c r="D36" s="40" t="s">
        <v>22</v>
      </c>
      <c r="E36" s="41">
        <v>2500</v>
      </c>
      <c r="F36" s="42">
        <v>2502.665</v>
      </c>
      <c r="G36" s="43">
        <v>3.4016699999999997E-2</v>
      </c>
      <c r="H36" s="31">
        <f>IFERROR(VLOOKUP(B36,'[1]Debt Holding Consolidated'!$C$1:$AM$65536,12,FALSE),"")</f>
        <v>7.4050000000000002</v>
      </c>
    </row>
    <row r="37" spans="1:8" x14ac:dyDescent="0.2">
      <c r="A37" s="39">
        <v>10</v>
      </c>
      <c r="B37" s="40" t="s">
        <v>40</v>
      </c>
      <c r="C37" s="40" t="s">
        <v>41</v>
      </c>
      <c r="D37" s="40" t="s">
        <v>22</v>
      </c>
      <c r="E37" s="41">
        <v>2500</v>
      </c>
      <c r="F37" s="42">
        <v>2497.2750000000001</v>
      </c>
      <c r="G37" s="43">
        <v>3.3943439999999998E-2</v>
      </c>
      <c r="H37" s="31">
        <f>IFERROR(VLOOKUP(B37,'[1]Debt Holding Consolidated'!$C$1:$AM$65536,12,FALSE),"")</f>
        <v>7.5</v>
      </c>
    </row>
    <row r="38" spans="1:8" ht="25.5" x14ac:dyDescent="0.2">
      <c r="A38" s="39">
        <v>11</v>
      </c>
      <c r="B38" s="40" t="s">
        <v>42</v>
      </c>
      <c r="C38" s="40" t="s">
        <v>43</v>
      </c>
      <c r="D38" s="40" t="s">
        <v>22</v>
      </c>
      <c r="E38" s="41">
        <v>2500</v>
      </c>
      <c r="F38" s="42">
        <v>2492.5124999999998</v>
      </c>
      <c r="G38" s="43">
        <v>3.3878709999999999E-2</v>
      </c>
      <c r="H38" s="31">
        <f>IFERROR(VLOOKUP(B38,'[1]Debt Holding Consolidated'!$C$1:$AM$65536,12,FALSE),"")</f>
        <v>7.4</v>
      </c>
    </row>
    <row r="39" spans="1:8" x14ac:dyDescent="0.2">
      <c r="A39" s="39">
        <v>12</v>
      </c>
      <c r="B39" s="40" t="s">
        <v>44</v>
      </c>
      <c r="C39" s="40" t="s">
        <v>45</v>
      </c>
      <c r="D39" s="40" t="s">
        <v>22</v>
      </c>
      <c r="E39" s="41">
        <v>2500</v>
      </c>
      <c r="F39" s="42">
        <v>2490.3575000000001</v>
      </c>
      <c r="G39" s="43">
        <v>3.3849419999999998E-2</v>
      </c>
      <c r="H39" s="31">
        <f>IFERROR(VLOOKUP(B39,'[1]Debt Holding Consolidated'!$C$1:$AM$65536,12,FALSE),"")</f>
        <v>7.45</v>
      </c>
    </row>
    <row r="40" spans="1:8" ht="25.5" x14ac:dyDescent="0.2">
      <c r="A40" s="39">
        <v>13</v>
      </c>
      <c r="B40" s="40" t="s">
        <v>46</v>
      </c>
      <c r="C40" s="40" t="s">
        <v>47</v>
      </c>
      <c r="D40" s="40" t="s">
        <v>22</v>
      </c>
      <c r="E40" s="41">
        <v>2000</v>
      </c>
      <c r="F40" s="42">
        <v>2016.412</v>
      </c>
      <c r="G40" s="43">
        <v>2.7407460000000002E-2</v>
      </c>
      <c r="H40" s="31">
        <f>IFERROR(VLOOKUP(B40,'[1]Debt Holding Consolidated'!$C$1:$AM$65536,12,FALSE),"")</f>
        <v>7.3669000000000002</v>
      </c>
    </row>
    <row r="41" spans="1:8" x14ac:dyDescent="0.2">
      <c r="A41" s="39">
        <v>14</v>
      </c>
      <c r="B41" s="40" t="s">
        <v>48</v>
      </c>
      <c r="C41" s="40" t="s">
        <v>49</v>
      </c>
      <c r="D41" s="40" t="s">
        <v>22</v>
      </c>
      <c r="E41" s="41">
        <v>2000</v>
      </c>
      <c r="F41" s="42">
        <v>2013.164</v>
      </c>
      <c r="G41" s="43">
        <v>2.7363309999999998E-2</v>
      </c>
      <c r="H41" s="31">
        <f>IFERROR(VLOOKUP(B41,'[1]Debt Holding Consolidated'!$C$1:$AM$65536,12,FALSE),"")</f>
        <v>7.71</v>
      </c>
    </row>
    <row r="42" spans="1:8" ht="25.5" x14ac:dyDescent="0.2">
      <c r="A42" s="39">
        <v>15</v>
      </c>
      <c r="B42" s="40" t="s">
        <v>50</v>
      </c>
      <c r="C42" s="40" t="s">
        <v>51</v>
      </c>
      <c r="D42" s="40" t="s">
        <v>35</v>
      </c>
      <c r="E42" s="41">
        <v>200</v>
      </c>
      <c r="F42" s="42">
        <v>2010.8040000000001</v>
      </c>
      <c r="G42" s="43">
        <v>2.7331230000000001E-2</v>
      </c>
      <c r="H42" s="31">
        <f>IFERROR(VLOOKUP(B42,'[1]Debt Holding Consolidated'!$C$1:$AM$65536,12,FALSE),"")</f>
        <v>7.2324999999999999</v>
      </c>
    </row>
    <row r="43" spans="1:8" ht="25.5" x14ac:dyDescent="0.2">
      <c r="A43" s="39">
        <v>16</v>
      </c>
      <c r="B43" s="40" t="s">
        <v>52</v>
      </c>
      <c r="C43" s="40" t="s">
        <v>53</v>
      </c>
      <c r="D43" s="40" t="s">
        <v>22</v>
      </c>
      <c r="E43" s="41">
        <v>1500</v>
      </c>
      <c r="F43" s="42">
        <v>1529.1945000000001</v>
      </c>
      <c r="G43" s="43">
        <v>2.0785100000000001E-2</v>
      </c>
      <c r="H43" s="31">
        <f>IFERROR(VLOOKUP(B43,'[1]Debt Holding Consolidated'!$C$1:$AM$65536,12,FALSE),"")</f>
        <v>7.47</v>
      </c>
    </row>
    <row r="44" spans="1:8" x14ac:dyDescent="0.2">
      <c r="A44" s="39">
        <v>17</v>
      </c>
      <c r="B44" s="40" t="s">
        <v>54</v>
      </c>
      <c r="C44" s="40" t="s">
        <v>55</v>
      </c>
      <c r="D44" s="40" t="s">
        <v>22</v>
      </c>
      <c r="E44" s="41">
        <v>1500</v>
      </c>
      <c r="F44" s="42">
        <v>1506.366</v>
      </c>
      <c r="G44" s="43">
        <v>2.047481E-2</v>
      </c>
      <c r="H44" s="31">
        <f>IFERROR(VLOOKUP(B44,'[1]Debt Holding Consolidated'!$C$1:$AM$65536,12,FALSE),"")</f>
        <v>7.5</v>
      </c>
    </row>
    <row r="45" spans="1:8" ht="25.5" x14ac:dyDescent="0.2">
      <c r="A45" s="39">
        <v>18</v>
      </c>
      <c r="B45" s="40" t="s">
        <v>56</v>
      </c>
      <c r="C45" s="40" t="s">
        <v>57</v>
      </c>
      <c r="D45" s="40" t="s">
        <v>22</v>
      </c>
      <c r="E45" s="41">
        <v>1500</v>
      </c>
      <c r="F45" s="42">
        <v>1499.6205</v>
      </c>
      <c r="G45" s="43">
        <v>2.0383129999999999E-2</v>
      </c>
      <c r="H45" s="31">
        <f>IFERROR(VLOOKUP(B45,'[1]Debt Holding Consolidated'!$C$1:$AM$65536,12,FALSE),"")</f>
        <v>7.5593000000000004</v>
      </c>
    </row>
    <row r="46" spans="1:8" x14ac:dyDescent="0.2">
      <c r="A46" s="39">
        <v>19</v>
      </c>
      <c r="B46" s="40" t="s">
        <v>58</v>
      </c>
      <c r="C46" s="40" t="s">
        <v>59</v>
      </c>
      <c r="D46" s="40" t="s">
        <v>22</v>
      </c>
      <c r="E46" s="41">
        <v>100</v>
      </c>
      <c r="F46" s="42">
        <v>1007.492</v>
      </c>
      <c r="G46" s="43">
        <v>1.3694019999999999E-2</v>
      </c>
      <c r="H46" s="31">
        <f>IFERROR(VLOOKUP(B46,'[1]Debt Holding Consolidated'!$C$1:$AM$65536,12,FALSE),"")</f>
        <v>7.66</v>
      </c>
    </row>
    <row r="47" spans="1:8" ht="25.5" x14ac:dyDescent="0.2">
      <c r="A47" s="39">
        <v>20</v>
      </c>
      <c r="B47" s="40" t="s">
        <v>60</v>
      </c>
      <c r="C47" s="40" t="s">
        <v>61</v>
      </c>
      <c r="D47" s="40" t="s">
        <v>22</v>
      </c>
      <c r="E47" s="41">
        <v>1000</v>
      </c>
      <c r="F47" s="42">
        <v>999.91200000000003</v>
      </c>
      <c r="G47" s="43">
        <v>1.3591000000000001E-2</v>
      </c>
      <c r="H47" s="31">
        <f>IFERROR(VLOOKUP(B47,'[1]Debt Holding Consolidated'!$C$1:$AM$65536,12,FALSE),"")</f>
        <v>8.0150000000000006</v>
      </c>
    </row>
    <row r="48" spans="1:8" ht="25.5" x14ac:dyDescent="0.2">
      <c r="A48" s="39">
        <v>21</v>
      </c>
      <c r="B48" s="40" t="s">
        <v>62</v>
      </c>
      <c r="C48" s="40" t="s">
        <v>63</v>
      </c>
      <c r="D48" s="40" t="s">
        <v>22</v>
      </c>
      <c r="E48" s="41">
        <v>1000</v>
      </c>
      <c r="F48" s="42">
        <v>997.93700000000001</v>
      </c>
      <c r="G48" s="43">
        <v>1.3564150000000001E-2</v>
      </c>
      <c r="H48" s="31">
        <f>IFERROR(VLOOKUP(B48,'[1]Debt Holding Consolidated'!$C$1:$AM$65536,12,FALSE),"")</f>
        <v>7.53</v>
      </c>
    </row>
    <row r="49" spans="1:8" x14ac:dyDescent="0.2">
      <c r="A49" s="39">
        <v>22</v>
      </c>
      <c r="B49" s="40" t="s">
        <v>64</v>
      </c>
      <c r="C49" s="40" t="s">
        <v>65</v>
      </c>
      <c r="D49" s="40" t="s">
        <v>22</v>
      </c>
      <c r="E49" s="41">
        <v>500</v>
      </c>
      <c r="F49" s="42">
        <v>505.21249999999998</v>
      </c>
      <c r="G49" s="43">
        <v>6.8669500000000001E-3</v>
      </c>
      <c r="H49" s="31">
        <f>IFERROR(VLOOKUP(B49,'[1]Debt Holding Consolidated'!$C$1:$AM$65536,12,FALSE),"")</f>
        <v>7.7</v>
      </c>
    </row>
    <row r="50" spans="1:8" ht="25.5" x14ac:dyDescent="0.2">
      <c r="A50" s="39">
        <v>23</v>
      </c>
      <c r="B50" s="40" t="s">
        <v>66</v>
      </c>
      <c r="C50" s="40" t="s">
        <v>67</v>
      </c>
      <c r="D50" s="40" t="s">
        <v>22</v>
      </c>
      <c r="E50" s="41">
        <v>50</v>
      </c>
      <c r="F50" s="42">
        <v>499.99099999999999</v>
      </c>
      <c r="G50" s="43">
        <v>6.7959700000000001E-3</v>
      </c>
      <c r="H50" s="31">
        <f>IFERROR(VLOOKUP(B50,'[1]Debt Holding Consolidated'!$C$1:$AM$65536,12,FALSE),"")</f>
        <v>7.1130000000000004</v>
      </c>
    </row>
    <row r="51" spans="1:8" ht="25.5" x14ac:dyDescent="0.2">
      <c r="A51" s="39">
        <v>24</v>
      </c>
      <c r="B51" s="40" t="s">
        <v>68</v>
      </c>
      <c r="C51" s="40" t="s">
        <v>69</v>
      </c>
      <c r="D51" s="40" t="s">
        <v>35</v>
      </c>
      <c r="E51" s="41">
        <v>50</v>
      </c>
      <c r="F51" s="42">
        <v>497.71749999999997</v>
      </c>
      <c r="G51" s="43">
        <v>6.7650699999999998E-3</v>
      </c>
      <c r="H51" s="31">
        <f>IFERROR(VLOOKUP(B51,'[1]Debt Holding Consolidated'!$C$1:$AM$65536,12,FALSE),"")</f>
        <v>7.4610000000000003</v>
      </c>
    </row>
    <row r="52" spans="1:8" x14ac:dyDescent="0.2">
      <c r="A52" s="29"/>
      <c r="B52" s="29"/>
      <c r="C52" s="30" t="s">
        <v>10</v>
      </c>
      <c r="D52" s="29"/>
      <c r="E52" s="29" t="s">
        <v>11</v>
      </c>
      <c r="F52" s="38">
        <v>51247.780500000001</v>
      </c>
      <c r="G52" s="33">
        <v>0.69656963000000005</v>
      </c>
      <c r="H52" s="31" t="str">
        <f>IFERROR(VLOOKUP(B52,'[1]Debt Holding Consolidated'!$C$1:$AM$65536,12,FALSE),"")</f>
        <v/>
      </c>
    </row>
    <row r="53" spans="1:8" x14ac:dyDescent="0.2">
      <c r="A53" s="29"/>
      <c r="B53" s="29"/>
      <c r="C53" s="34"/>
      <c r="D53" s="29"/>
      <c r="E53" s="29"/>
      <c r="F53" s="35"/>
      <c r="G53" s="35"/>
      <c r="H53" s="31" t="str">
        <f>IFERROR(VLOOKUP(B53,'[1]Debt Holding Consolidated'!$C$1:$AM$65536,12,FALSE),"")</f>
        <v/>
      </c>
    </row>
    <row r="54" spans="1:8" x14ac:dyDescent="0.2">
      <c r="A54" s="29"/>
      <c r="B54" s="29"/>
      <c r="C54" s="30" t="s">
        <v>70</v>
      </c>
      <c r="D54" s="29"/>
      <c r="E54" s="29"/>
      <c r="F54" s="29"/>
      <c r="G54" s="29"/>
      <c r="H54" s="31" t="str">
        <f>IFERROR(VLOOKUP(B54,'[1]Debt Holding Consolidated'!$C$1:$AM$65536,12,FALSE),"")</f>
        <v/>
      </c>
    </row>
    <row r="55" spans="1:8" x14ac:dyDescent="0.2">
      <c r="A55" s="29"/>
      <c r="B55" s="29"/>
      <c r="C55" s="30" t="s">
        <v>10</v>
      </c>
      <c r="D55" s="29"/>
      <c r="E55" s="29" t="s">
        <v>11</v>
      </c>
      <c r="F55" s="32" t="s">
        <v>12</v>
      </c>
      <c r="G55" s="33">
        <v>0</v>
      </c>
      <c r="H55" s="31" t="str">
        <f>IFERROR(VLOOKUP(B55,'[1]Debt Holding Consolidated'!$C$1:$AM$65536,12,FALSE),"")</f>
        <v/>
      </c>
    </row>
    <row r="56" spans="1:8" x14ac:dyDescent="0.2">
      <c r="A56" s="29"/>
      <c r="B56" s="29"/>
      <c r="C56" s="34"/>
      <c r="D56" s="29"/>
      <c r="E56" s="29"/>
      <c r="F56" s="35"/>
      <c r="G56" s="35"/>
      <c r="H56" s="31" t="str">
        <f>IFERROR(VLOOKUP(B56,'[1]Debt Holding Consolidated'!$C$1:$AM$65536,12,FALSE),"")</f>
        <v/>
      </c>
    </row>
    <row r="57" spans="1:8" x14ac:dyDescent="0.2">
      <c r="A57" s="29"/>
      <c r="B57" s="29"/>
      <c r="C57" s="30" t="s">
        <v>71</v>
      </c>
      <c r="D57" s="29"/>
      <c r="E57" s="29"/>
      <c r="F57" s="29"/>
      <c r="G57" s="29"/>
      <c r="H57" s="31" t="str">
        <f>IFERROR(VLOOKUP(B57,'[1]Debt Holding Consolidated'!$C$1:$AM$65536,12,FALSE),"")</f>
        <v/>
      </c>
    </row>
    <row r="58" spans="1:8" ht="25.5" x14ac:dyDescent="0.2">
      <c r="A58" s="39">
        <v>1</v>
      </c>
      <c r="B58" s="40" t="s">
        <v>72</v>
      </c>
      <c r="C58" s="40" t="s">
        <v>73</v>
      </c>
      <c r="D58" s="40" t="s">
        <v>74</v>
      </c>
      <c r="E58" s="41">
        <v>11500000</v>
      </c>
      <c r="F58" s="42">
        <v>11684.828</v>
      </c>
      <c r="G58" s="43">
        <v>0.15882241</v>
      </c>
      <c r="H58" s="31">
        <f>IFERROR(VLOOKUP(B58,'[1]Debt Holding Consolidated'!$C$1:$AM$65536,12,FALSE),"")</f>
        <v>6.9813999999999998</v>
      </c>
    </row>
    <row r="59" spans="1:8" x14ac:dyDescent="0.2">
      <c r="A59" s="39">
        <v>2</v>
      </c>
      <c r="B59" s="40" t="s">
        <v>75</v>
      </c>
      <c r="C59" s="40" t="s">
        <v>76</v>
      </c>
      <c r="D59" s="40" t="s">
        <v>74</v>
      </c>
      <c r="E59" s="41">
        <v>2000000</v>
      </c>
      <c r="F59" s="42">
        <v>2046.2940000000001</v>
      </c>
      <c r="G59" s="43">
        <v>2.7813620000000001E-2</v>
      </c>
      <c r="H59" s="31">
        <f>IFERROR(VLOOKUP(B59,'[1]Debt Holding Consolidated'!$C$1:$AM$65536,12,FALSE),"")</f>
        <v>6.9595000000000002</v>
      </c>
    </row>
    <row r="60" spans="1:8" x14ac:dyDescent="0.2">
      <c r="A60" s="39">
        <v>3</v>
      </c>
      <c r="B60" s="40" t="s">
        <v>77</v>
      </c>
      <c r="C60" s="40" t="s">
        <v>78</v>
      </c>
      <c r="D60" s="40" t="s">
        <v>74</v>
      </c>
      <c r="E60" s="41">
        <v>1500000</v>
      </c>
      <c r="F60" s="42">
        <v>1549.779</v>
      </c>
      <c r="G60" s="43">
        <v>2.1064889999999999E-2</v>
      </c>
      <c r="H60" s="31">
        <f>IFERROR(VLOOKUP(B60,'[1]Debt Holding Consolidated'!$C$1:$AM$65536,12,FALSE),"")</f>
        <v>7.1519000000000004</v>
      </c>
    </row>
    <row r="61" spans="1:8" ht="25.5" x14ac:dyDescent="0.2">
      <c r="A61" s="39">
        <v>4</v>
      </c>
      <c r="B61" s="40" t="s">
        <v>79</v>
      </c>
      <c r="C61" s="40" t="s">
        <v>80</v>
      </c>
      <c r="D61" s="40" t="s">
        <v>74</v>
      </c>
      <c r="E61" s="41">
        <v>1000000</v>
      </c>
      <c r="F61" s="42">
        <v>1037.933</v>
      </c>
      <c r="G61" s="43">
        <v>1.410778E-2</v>
      </c>
      <c r="H61" s="31">
        <f>IFERROR(VLOOKUP(B61,'[1]Debt Holding Consolidated'!$C$1:$AM$65536,12,FALSE),"")</f>
        <v>7.1776999999999997</v>
      </c>
    </row>
    <row r="62" spans="1:8" x14ac:dyDescent="0.2">
      <c r="A62" s="39">
        <v>5</v>
      </c>
      <c r="B62" s="40" t="s">
        <v>81</v>
      </c>
      <c r="C62" s="40" t="s">
        <v>82</v>
      </c>
      <c r="D62" s="40" t="s">
        <v>74</v>
      </c>
      <c r="E62" s="41">
        <v>1000000</v>
      </c>
      <c r="F62" s="42">
        <v>1020.3150000000001</v>
      </c>
      <c r="G62" s="43">
        <v>1.386832E-2</v>
      </c>
      <c r="H62" s="31">
        <f>IFERROR(VLOOKUP(B62,'[1]Debt Holding Consolidated'!$C$1:$AM$65536,12,FALSE),"")</f>
        <v>6.8860000000000001</v>
      </c>
    </row>
    <row r="63" spans="1:8" ht="25.5" x14ac:dyDescent="0.2">
      <c r="A63" s="39">
        <v>6</v>
      </c>
      <c r="B63" s="40" t="s">
        <v>83</v>
      </c>
      <c r="C63" s="40" t="s">
        <v>84</v>
      </c>
      <c r="D63" s="40" t="s">
        <v>74</v>
      </c>
      <c r="E63" s="41">
        <v>500000</v>
      </c>
      <c r="F63" s="42">
        <v>513.99950000000001</v>
      </c>
      <c r="G63" s="43">
        <v>6.9863800000000004E-3</v>
      </c>
      <c r="H63" s="31">
        <f>IFERROR(VLOOKUP(B63,'[1]Debt Holding Consolidated'!$C$1:$AM$65536,12,FALSE),"")</f>
        <v>7.0387000000000004</v>
      </c>
    </row>
    <row r="64" spans="1:8" x14ac:dyDescent="0.2">
      <c r="A64" s="39">
        <v>7</v>
      </c>
      <c r="B64" s="40" t="s">
        <v>85</v>
      </c>
      <c r="C64" s="40" t="s">
        <v>86</v>
      </c>
      <c r="D64" s="40" t="s">
        <v>74</v>
      </c>
      <c r="E64" s="41">
        <v>500000</v>
      </c>
      <c r="F64" s="42">
        <v>510.54450000000003</v>
      </c>
      <c r="G64" s="43">
        <v>6.93942E-3</v>
      </c>
      <c r="H64" s="31">
        <f>IFERROR(VLOOKUP(B64,'[1]Debt Holding Consolidated'!$C$1:$AM$65536,12,FALSE),"")</f>
        <v>7.0457000000000001</v>
      </c>
    </row>
    <row r="65" spans="1:8" x14ac:dyDescent="0.2">
      <c r="A65" s="29"/>
      <c r="B65" s="29"/>
      <c r="C65" s="30" t="s">
        <v>10</v>
      </c>
      <c r="D65" s="29"/>
      <c r="E65" s="29" t="s">
        <v>11</v>
      </c>
      <c r="F65" s="38">
        <v>18363.692999999999</v>
      </c>
      <c r="G65" s="33">
        <v>0.24960282</v>
      </c>
      <c r="H65" s="31" t="str">
        <f>IFERROR(VLOOKUP(B65,'[1]Debt Holding Consolidated'!$C$1:$AM$65536,12,FALSE),"")</f>
        <v/>
      </c>
    </row>
    <row r="66" spans="1:8" x14ac:dyDescent="0.2">
      <c r="A66" s="29"/>
      <c r="B66" s="29"/>
      <c r="C66" s="34"/>
      <c r="D66" s="29"/>
      <c r="E66" s="29"/>
      <c r="F66" s="35"/>
      <c r="G66" s="35"/>
      <c r="H66" s="31" t="str">
        <f>IFERROR(VLOOKUP(B66,'[1]Debt Holding Consolidated'!$C$1:$AM$65536,12,FALSE),"")</f>
        <v/>
      </c>
    </row>
    <row r="67" spans="1:8" x14ac:dyDescent="0.2">
      <c r="A67" s="29"/>
      <c r="B67" s="29"/>
      <c r="C67" s="30" t="s">
        <v>87</v>
      </c>
      <c r="D67" s="29"/>
      <c r="E67" s="29"/>
      <c r="F67" s="35"/>
      <c r="G67" s="35"/>
      <c r="H67" s="31" t="str">
        <f>IFERROR(VLOOKUP(B67,'[1]Debt Holding Consolidated'!$C$1:$AM$65536,12,FALSE),"")</f>
        <v/>
      </c>
    </row>
    <row r="68" spans="1:8" x14ac:dyDescent="0.2">
      <c r="A68" s="29"/>
      <c r="B68" s="29"/>
      <c r="C68" s="30" t="s">
        <v>10</v>
      </c>
      <c r="D68" s="29"/>
      <c r="E68" s="29" t="s">
        <v>11</v>
      </c>
      <c r="F68" s="32" t="s">
        <v>12</v>
      </c>
      <c r="G68" s="33">
        <v>0</v>
      </c>
      <c r="H68" s="31" t="str">
        <f>IFERROR(VLOOKUP(B68,'[1]Debt Holding Consolidated'!$C$1:$AM$65536,12,FALSE),"")</f>
        <v/>
      </c>
    </row>
    <row r="69" spans="1:8" x14ac:dyDescent="0.2">
      <c r="A69" s="29"/>
      <c r="B69" s="29"/>
      <c r="C69" s="34"/>
      <c r="D69" s="29"/>
      <c r="E69" s="29"/>
      <c r="F69" s="35"/>
      <c r="G69" s="35"/>
      <c r="H69" s="31" t="str">
        <f>IFERROR(VLOOKUP(B69,'[1]Debt Holding Consolidated'!$C$1:$AM$65536,12,FALSE),"")</f>
        <v/>
      </c>
    </row>
    <row r="70" spans="1:8" x14ac:dyDescent="0.2">
      <c r="A70" s="29"/>
      <c r="B70" s="29"/>
      <c r="C70" s="30" t="s">
        <v>88</v>
      </c>
      <c r="D70" s="29"/>
      <c r="E70" s="29"/>
      <c r="F70" s="38">
        <v>69611.473499999993</v>
      </c>
      <c r="G70" s="33">
        <v>0.94617245000000005</v>
      </c>
      <c r="H70" s="31" t="str">
        <f>IFERROR(VLOOKUP(B70,'[1]Debt Holding Consolidated'!$C$1:$AM$65536,12,FALSE),"")</f>
        <v/>
      </c>
    </row>
    <row r="71" spans="1:8" x14ac:dyDescent="0.2">
      <c r="A71" s="29"/>
      <c r="B71" s="29"/>
      <c r="C71" s="34"/>
      <c r="D71" s="29"/>
      <c r="E71" s="29"/>
      <c r="F71" s="35"/>
      <c r="G71" s="35"/>
      <c r="H71" s="31" t="str">
        <f>IFERROR(VLOOKUP(B71,'[1]Debt Holding Consolidated'!$C$1:$AM$65536,12,FALSE),"")</f>
        <v/>
      </c>
    </row>
    <row r="72" spans="1:8" x14ac:dyDescent="0.2">
      <c r="A72" s="29"/>
      <c r="B72" s="29"/>
      <c r="C72" s="30" t="s">
        <v>89</v>
      </c>
      <c r="D72" s="29"/>
      <c r="E72" s="29"/>
      <c r="F72" s="35"/>
      <c r="G72" s="35"/>
      <c r="H72" s="31" t="str">
        <f>IFERROR(VLOOKUP(B72,'[1]Debt Holding Consolidated'!$C$1:$AM$65536,12,FALSE),"")</f>
        <v/>
      </c>
    </row>
    <row r="73" spans="1:8" x14ac:dyDescent="0.2">
      <c r="A73" s="29"/>
      <c r="B73" s="29"/>
      <c r="C73" s="30" t="s">
        <v>90</v>
      </c>
      <c r="D73" s="29"/>
      <c r="E73" s="29"/>
      <c r="F73" s="35"/>
      <c r="G73" s="35"/>
      <c r="H73" s="31" t="str">
        <f>IFERROR(VLOOKUP(B73,'[1]Debt Holding Consolidated'!$C$1:$AM$65536,12,FALSE),"")</f>
        <v/>
      </c>
    </row>
    <row r="74" spans="1:8" x14ac:dyDescent="0.2">
      <c r="A74" s="29"/>
      <c r="B74" s="29"/>
      <c r="C74" s="30" t="s">
        <v>10</v>
      </c>
      <c r="D74" s="29"/>
      <c r="E74" s="29" t="s">
        <v>11</v>
      </c>
      <c r="F74" s="32" t="s">
        <v>12</v>
      </c>
      <c r="G74" s="33">
        <v>0</v>
      </c>
      <c r="H74" s="31" t="str">
        <f>IFERROR(VLOOKUP(B74,'[1]Debt Holding Consolidated'!$C$1:$AM$65536,12,FALSE),"")</f>
        <v/>
      </c>
    </row>
    <row r="75" spans="1:8" x14ac:dyDescent="0.2">
      <c r="A75" s="29"/>
      <c r="B75" s="29"/>
      <c r="C75" s="34"/>
      <c r="D75" s="29"/>
      <c r="E75" s="29"/>
      <c r="F75" s="35"/>
      <c r="G75" s="35"/>
      <c r="H75" s="31" t="str">
        <f>IFERROR(VLOOKUP(B75,'[1]Debt Holding Consolidated'!$C$1:$AM$65536,12,FALSE),"")</f>
        <v/>
      </c>
    </row>
    <row r="76" spans="1:8" x14ac:dyDescent="0.2">
      <c r="A76" s="29"/>
      <c r="B76" s="29"/>
      <c r="C76" s="30" t="s">
        <v>91</v>
      </c>
      <c r="D76" s="29"/>
      <c r="E76" s="29"/>
      <c r="F76" s="35"/>
      <c r="G76" s="35"/>
      <c r="H76" s="31" t="str">
        <f>IFERROR(VLOOKUP(B76,'[1]Debt Holding Consolidated'!$C$1:$AM$65536,12,FALSE),"")</f>
        <v/>
      </c>
    </row>
    <row r="77" spans="1:8" x14ac:dyDescent="0.2">
      <c r="A77" s="29"/>
      <c r="B77" s="29"/>
      <c r="C77" s="30" t="s">
        <v>10</v>
      </c>
      <c r="D77" s="29"/>
      <c r="E77" s="29" t="s">
        <v>11</v>
      </c>
      <c r="F77" s="32" t="s">
        <v>12</v>
      </c>
      <c r="G77" s="33">
        <v>0</v>
      </c>
      <c r="H77" s="31" t="str">
        <f>IFERROR(VLOOKUP(B77,'[1]Debt Holding Consolidated'!$C$1:$AM$65536,12,FALSE),"")</f>
        <v/>
      </c>
    </row>
    <row r="78" spans="1:8" x14ac:dyDescent="0.2">
      <c r="A78" s="29"/>
      <c r="B78" s="29"/>
      <c r="C78" s="34"/>
      <c r="D78" s="29"/>
      <c r="E78" s="29"/>
      <c r="F78" s="35"/>
      <c r="G78" s="35"/>
      <c r="H78" s="31" t="str">
        <f>IFERROR(VLOOKUP(B78,'[1]Debt Holding Consolidated'!$C$1:$AM$65536,12,FALSE),"")</f>
        <v/>
      </c>
    </row>
    <row r="79" spans="1:8" x14ac:dyDescent="0.2">
      <c r="A79" s="29"/>
      <c r="B79" s="29"/>
      <c r="C79" s="30" t="s">
        <v>92</v>
      </c>
      <c r="D79" s="29"/>
      <c r="E79" s="29"/>
      <c r="F79" s="35"/>
      <c r="G79" s="35"/>
      <c r="H79" s="31" t="str">
        <f>IFERROR(VLOOKUP(B79,'[1]Debt Holding Consolidated'!$C$1:$AM$65536,12,FALSE),"")</f>
        <v/>
      </c>
    </row>
    <row r="80" spans="1:8" x14ac:dyDescent="0.2">
      <c r="A80" s="29"/>
      <c r="B80" s="29"/>
      <c r="C80" s="30" t="s">
        <v>10</v>
      </c>
      <c r="D80" s="29"/>
      <c r="E80" s="29" t="s">
        <v>11</v>
      </c>
      <c r="F80" s="32" t="s">
        <v>12</v>
      </c>
      <c r="G80" s="33">
        <v>0</v>
      </c>
      <c r="H80" s="31" t="str">
        <f>IFERROR(VLOOKUP(B80,'[1]Debt Holding Consolidated'!$C$1:$AM$65536,12,FALSE),"")</f>
        <v/>
      </c>
    </row>
    <row r="81" spans="1:18" x14ac:dyDescent="0.2">
      <c r="A81" s="29"/>
      <c r="B81" s="29"/>
      <c r="C81" s="34"/>
      <c r="D81" s="29"/>
      <c r="E81" s="29"/>
      <c r="F81" s="35"/>
      <c r="G81" s="35"/>
      <c r="H81" s="31" t="str">
        <f>IFERROR(VLOOKUP(B81,'[1]Debt Holding Consolidated'!$C$1:$AM$65536,12,FALSE),"")</f>
        <v/>
      </c>
    </row>
    <row r="82" spans="1:18" x14ac:dyDescent="0.2">
      <c r="A82" s="29"/>
      <c r="B82" s="29"/>
      <c r="C82" s="30" t="s">
        <v>93</v>
      </c>
      <c r="D82" s="29"/>
      <c r="E82" s="29"/>
      <c r="F82" s="35"/>
      <c r="G82" s="35"/>
      <c r="H82" s="31" t="str">
        <f>IFERROR(VLOOKUP(B82,'[1]Debt Holding Consolidated'!$C$1:$AM$65536,12,FALSE),"")</f>
        <v/>
      </c>
    </row>
    <row r="83" spans="1:18" x14ac:dyDescent="0.2">
      <c r="A83" s="39">
        <v>1</v>
      </c>
      <c r="B83" s="40"/>
      <c r="C83" s="40" t="s">
        <v>94</v>
      </c>
      <c r="D83" s="40"/>
      <c r="E83" s="44"/>
      <c r="F83" s="42">
        <v>1705.863094301</v>
      </c>
      <c r="G83" s="43">
        <v>2.3186419999999999E-2</v>
      </c>
      <c r="H83" s="31">
        <v>6.34</v>
      </c>
    </row>
    <row r="84" spans="1:18" x14ac:dyDescent="0.2">
      <c r="A84" s="29"/>
      <c r="B84" s="29"/>
      <c r="C84" s="30" t="s">
        <v>10</v>
      </c>
      <c r="D84" s="29"/>
      <c r="E84" s="29" t="s">
        <v>11</v>
      </c>
      <c r="F84" s="38">
        <v>1705.863094301</v>
      </c>
      <c r="G84" s="33">
        <v>2.3186419999999999E-2</v>
      </c>
      <c r="H84" s="31" t="s">
        <v>11</v>
      </c>
    </row>
    <row r="85" spans="1:18" x14ac:dyDescent="0.2">
      <c r="A85" s="29"/>
      <c r="B85" s="29"/>
      <c r="C85" s="34"/>
      <c r="D85" s="29"/>
      <c r="E85" s="29"/>
      <c r="F85" s="35"/>
      <c r="G85" s="35"/>
      <c r="H85" s="31" t="s">
        <v>11</v>
      </c>
    </row>
    <row r="86" spans="1:18" x14ac:dyDescent="0.2">
      <c r="A86" s="29"/>
      <c r="B86" s="29"/>
      <c r="C86" s="30" t="s">
        <v>95</v>
      </c>
      <c r="D86" s="29"/>
      <c r="E86" s="29"/>
      <c r="F86" s="38">
        <v>1705.863094301</v>
      </c>
      <c r="G86" s="33">
        <v>2.3186419999999999E-2</v>
      </c>
      <c r="H86" s="31" t="s">
        <v>11</v>
      </c>
    </row>
    <row r="87" spans="1:18" x14ac:dyDescent="0.2">
      <c r="A87" s="29"/>
      <c r="B87" s="29"/>
      <c r="C87" s="35"/>
      <c r="D87" s="29"/>
      <c r="E87" s="29"/>
      <c r="F87" s="29"/>
      <c r="G87" s="29"/>
      <c r="H87" s="31" t="s">
        <v>11</v>
      </c>
    </row>
    <row r="88" spans="1:18" x14ac:dyDescent="0.2">
      <c r="A88" s="29"/>
      <c r="B88" s="29"/>
      <c r="C88" s="30" t="s">
        <v>96</v>
      </c>
      <c r="D88" s="29"/>
      <c r="E88" s="29"/>
      <c r="F88" s="29"/>
      <c r="G88" s="29"/>
      <c r="H88" s="31" t="s">
        <v>11</v>
      </c>
    </row>
    <row r="89" spans="1:18" x14ac:dyDescent="0.2">
      <c r="A89" s="29"/>
      <c r="B89" s="29"/>
      <c r="C89" s="30" t="s">
        <v>97</v>
      </c>
      <c r="D89" s="29"/>
      <c r="E89" s="29"/>
      <c r="F89" s="29"/>
      <c r="G89" s="29"/>
      <c r="H89" s="31" t="s">
        <v>11</v>
      </c>
    </row>
    <row r="90" spans="1:18" x14ac:dyDescent="0.2">
      <c r="A90" s="29"/>
      <c r="B90" s="29"/>
      <c r="C90" s="30" t="s">
        <v>10</v>
      </c>
      <c r="D90" s="29"/>
      <c r="E90" s="29" t="s">
        <v>11</v>
      </c>
      <c r="F90" s="32" t="s">
        <v>12</v>
      </c>
      <c r="G90" s="33">
        <v>0</v>
      </c>
      <c r="H90" s="31" t="s">
        <v>11</v>
      </c>
    </row>
    <row r="91" spans="1:18" x14ac:dyDescent="0.2">
      <c r="A91" s="45"/>
      <c r="B91" s="45"/>
      <c r="C91" s="46"/>
      <c r="D91" s="45"/>
      <c r="E91" s="45"/>
      <c r="F91" s="47"/>
      <c r="G91" s="47"/>
      <c r="H91" s="31" t="s">
        <v>11</v>
      </c>
    </row>
    <row r="92" spans="1:18" x14ac:dyDescent="0.2">
      <c r="A92" s="45"/>
      <c r="B92" s="45"/>
      <c r="C92" s="17" t="s">
        <v>581</v>
      </c>
      <c r="D92" s="45"/>
      <c r="E92" s="45"/>
      <c r="F92" s="47"/>
      <c r="G92" s="47"/>
      <c r="H92" s="48"/>
      <c r="L92" s="9"/>
      <c r="M92" s="9"/>
      <c r="N92" s="9"/>
      <c r="O92" s="9"/>
      <c r="P92" s="10"/>
      <c r="Q92" s="10"/>
      <c r="R92" s="10"/>
    </row>
    <row r="93" spans="1:18" ht="25.5" x14ac:dyDescent="0.2">
      <c r="A93" s="49">
        <v>1</v>
      </c>
      <c r="B93" s="50" t="s">
        <v>98</v>
      </c>
      <c r="C93" s="50" t="s">
        <v>99</v>
      </c>
      <c r="D93" s="50"/>
      <c r="E93" s="51">
        <v>2586.3710000000001</v>
      </c>
      <c r="F93" s="48">
        <v>270.28816597600002</v>
      </c>
      <c r="G93" s="52">
        <v>3.67381E-3</v>
      </c>
      <c r="H93" s="31"/>
    </row>
    <row r="94" spans="1:18" x14ac:dyDescent="0.2">
      <c r="A94" s="45"/>
      <c r="B94" s="45"/>
      <c r="C94" s="17" t="s">
        <v>10</v>
      </c>
      <c r="D94" s="45"/>
      <c r="E94" s="45" t="s">
        <v>11</v>
      </c>
      <c r="F94" s="53">
        <f>SUM(F93)</f>
        <v>270.28816597600002</v>
      </c>
      <c r="G94" s="54">
        <f>SUM(G93)</f>
        <v>3.67381E-3</v>
      </c>
      <c r="H94" s="31" t="s">
        <v>11</v>
      </c>
    </row>
    <row r="95" spans="1:18" x14ac:dyDescent="0.2">
      <c r="A95" s="29"/>
      <c r="B95" s="29"/>
      <c r="C95" s="34"/>
      <c r="D95" s="29"/>
      <c r="E95" s="29"/>
      <c r="F95" s="35"/>
      <c r="G95" s="35"/>
      <c r="H95" s="31" t="s">
        <v>11</v>
      </c>
    </row>
    <row r="96" spans="1:18" x14ac:dyDescent="0.2">
      <c r="A96" s="29"/>
      <c r="B96" s="29"/>
      <c r="C96" s="30" t="s">
        <v>100</v>
      </c>
      <c r="D96" s="29"/>
      <c r="E96" s="29"/>
      <c r="F96" s="29"/>
      <c r="G96" s="29"/>
      <c r="H96" s="31" t="s">
        <v>11</v>
      </c>
    </row>
    <row r="97" spans="1:8" x14ac:dyDescent="0.2">
      <c r="A97" s="29"/>
      <c r="B97" s="29"/>
      <c r="C97" s="30" t="s">
        <v>101</v>
      </c>
      <c r="D97" s="29"/>
      <c r="E97" s="29"/>
      <c r="F97" s="29"/>
      <c r="G97" s="29"/>
      <c r="H97" s="31" t="s">
        <v>11</v>
      </c>
    </row>
    <row r="98" spans="1:8" x14ac:dyDescent="0.2">
      <c r="A98" s="29"/>
      <c r="B98" s="29"/>
      <c r="C98" s="30" t="s">
        <v>10</v>
      </c>
      <c r="D98" s="29"/>
      <c r="E98" s="29" t="s">
        <v>11</v>
      </c>
      <c r="F98" s="32" t="s">
        <v>12</v>
      </c>
      <c r="G98" s="33">
        <v>0</v>
      </c>
      <c r="H98" s="31" t="s">
        <v>11</v>
      </c>
    </row>
    <row r="99" spans="1:8" x14ac:dyDescent="0.2">
      <c r="A99" s="29"/>
      <c r="B99" s="29"/>
      <c r="C99" s="34"/>
      <c r="D99" s="29"/>
      <c r="E99" s="29"/>
      <c r="F99" s="35"/>
      <c r="G99" s="35"/>
      <c r="H99" s="31" t="s">
        <v>11</v>
      </c>
    </row>
    <row r="100" spans="1:8" x14ac:dyDescent="0.2">
      <c r="A100" s="29"/>
      <c r="B100" s="29"/>
      <c r="C100" s="30" t="s">
        <v>102</v>
      </c>
      <c r="D100" s="29"/>
      <c r="E100" s="29"/>
      <c r="F100" s="35"/>
      <c r="G100" s="35"/>
      <c r="H100" s="31" t="s">
        <v>11</v>
      </c>
    </row>
    <row r="101" spans="1:8" x14ac:dyDescent="0.2">
      <c r="A101" s="29"/>
      <c r="B101" s="29"/>
      <c r="C101" s="30" t="s">
        <v>10</v>
      </c>
      <c r="D101" s="29"/>
      <c r="E101" s="29" t="s">
        <v>11</v>
      </c>
      <c r="F101" s="32" t="s">
        <v>12</v>
      </c>
      <c r="G101" s="33">
        <v>0</v>
      </c>
      <c r="H101" s="31" t="s">
        <v>11</v>
      </c>
    </row>
    <row r="102" spans="1:8" x14ac:dyDescent="0.2">
      <c r="A102" s="29"/>
      <c r="B102" s="29"/>
      <c r="C102" s="34"/>
      <c r="D102" s="29"/>
      <c r="E102" s="29"/>
      <c r="F102" s="35"/>
      <c r="G102" s="35"/>
      <c r="H102" s="31" t="s">
        <v>11</v>
      </c>
    </row>
    <row r="103" spans="1:8" x14ac:dyDescent="0.2">
      <c r="A103" s="44"/>
      <c r="B103" s="40"/>
      <c r="C103" s="40" t="s">
        <v>103</v>
      </c>
      <c r="D103" s="40"/>
      <c r="E103" s="44"/>
      <c r="F103" s="42">
        <v>1984.03175502</v>
      </c>
      <c r="G103" s="43">
        <v>2.6967339999999999E-2</v>
      </c>
      <c r="H103" s="31" t="s">
        <v>11</v>
      </c>
    </row>
    <row r="104" spans="1:8" x14ac:dyDescent="0.2">
      <c r="A104" s="34"/>
      <c r="B104" s="34"/>
      <c r="C104" s="30" t="s">
        <v>104</v>
      </c>
      <c r="D104" s="35"/>
      <c r="E104" s="35"/>
      <c r="F104" s="38">
        <v>73571.656515297</v>
      </c>
      <c r="G104" s="55">
        <v>1.0000000200000001</v>
      </c>
      <c r="H104" s="31" t="s">
        <v>11</v>
      </c>
    </row>
    <row r="105" spans="1:8" x14ac:dyDescent="0.2">
      <c r="A105" s="56"/>
      <c r="B105" s="56"/>
      <c r="C105" s="56"/>
      <c r="D105" s="57"/>
      <c r="E105" s="57"/>
      <c r="F105" s="57"/>
      <c r="G105" s="57"/>
    </row>
    <row r="106" spans="1:8" x14ac:dyDescent="0.2">
      <c r="A106" s="58"/>
      <c r="B106" s="138" t="s">
        <v>582</v>
      </c>
      <c r="C106" s="138"/>
      <c r="D106" s="138"/>
      <c r="E106" s="138"/>
      <c r="F106" s="138"/>
      <c r="G106" s="138"/>
      <c r="H106" s="138"/>
    </row>
    <row r="107" spans="1:8" x14ac:dyDescent="0.2">
      <c r="A107" s="58"/>
      <c r="B107" s="138" t="s">
        <v>583</v>
      </c>
      <c r="C107" s="138"/>
      <c r="D107" s="138"/>
      <c r="E107" s="138"/>
      <c r="F107" s="138"/>
      <c r="G107" s="138"/>
      <c r="H107" s="138"/>
    </row>
    <row r="108" spans="1:8" x14ac:dyDescent="0.2">
      <c r="A108" s="58"/>
      <c r="B108" s="138" t="s">
        <v>584</v>
      </c>
      <c r="C108" s="138"/>
      <c r="D108" s="138"/>
      <c r="E108" s="138"/>
      <c r="F108" s="138"/>
      <c r="G108" s="138"/>
      <c r="H108" s="138"/>
    </row>
    <row r="109" spans="1:8" x14ac:dyDescent="0.2">
      <c r="A109" s="59"/>
      <c r="B109" s="59"/>
      <c r="C109" s="59"/>
      <c r="D109" s="60"/>
      <c r="E109" s="60"/>
      <c r="F109" s="60"/>
      <c r="G109" s="60"/>
    </row>
    <row r="110" spans="1:8" x14ac:dyDescent="0.2">
      <c r="A110" s="59"/>
      <c r="B110" s="131" t="s">
        <v>105</v>
      </c>
      <c r="C110" s="132"/>
      <c r="D110" s="133"/>
      <c r="E110" s="61"/>
      <c r="F110" s="60"/>
      <c r="G110" s="60"/>
    </row>
    <row r="111" spans="1:8" x14ac:dyDescent="0.2">
      <c r="A111" s="59"/>
      <c r="B111" s="134" t="s">
        <v>106</v>
      </c>
      <c r="C111" s="135"/>
      <c r="D111" s="30" t="s">
        <v>107</v>
      </c>
      <c r="E111" s="61"/>
      <c r="F111" s="60"/>
      <c r="G111" s="60"/>
    </row>
    <row r="112" spans="1:8" x14ac:dyDescent="0.2">
      <c r="A112" s="59"/>
      <c r="B112" s="134" t="s">
        <v>108</v>
      </c>
      <c r="C112" s="135"/>
      <c r="D112" s="30" t="s">
        <v>107</v>
      </c>
      <c r="E112" s="61"/>
      <c r="F112" s="60"/>
      <c r="G112" s="60"/>
    </row>
    <row r="113" spans="1:10" x14ac:dyDescent="0.2">
      <c r="A113" s="59"/>
      <c r="B113" s="134" t="s">
        <v>109</v>
      </c>
      <c r="C113" s="135"/>
      <c r="D113" s="35" t="s">
        <v>11</v>
      </c>
      <c r="E113" s="61"/>
      <c r="F113" s="60"/>
      <c r="G113" s="60"/>
    </row>
    <row r="114" spans="1:10" x14ac:dyDescent="0.2">
      <c r="A114" s="18"/>
      <c r="B114" s="62" t="s">
        <v>11</v>
      </c>
      <c r="C114" s="62" t="s">
        <v>585</v>
      </c>
      <c r="D114" s="62" t="s">
        <v>110</v>
      </c>
      <c r="E114" s="18"/>
      <c r="F114" s="18"/>
      <c r="G114" s="18"/>
      <c r="H114" s="63"/>
    </row>
    <row r="115" spans="1:10" x14ac:dyDescent="0.2">
      <c r="A115" s="64"/>
      <c r="B115" s="65" t="s">
        <v>111</v>
      </c>
      <c r="C115" s="66">
        <v>45596</v>
      </c>
      <c r="D115" s="66">
        <v>45611</v>
      </c>
      <c r="E115" s="64"/>
      <c r="F115" s="64"/>
      <c r="G115" s="64"/>
      <c r="J115"/>
    </row>
    <row r="116" spans="1:10" x14ac:dyDescent="0.2">
      <c r="A116" s="64"/>
      <c r="B116" s="40" t="s">
        <v>112</v>
      </c>
      <c r="C116" s="67">
        <v>39.242699999999999</v>
      </c>
      <c r="D116" s="67">
        <v>39.319499999999998</v>
      </c>
      <c r="E116" s="64"/>
      <c r="F116" s="68"/>
      <c r="G116" s="69"/>
    </row>
    <row r="117" spans="1:10" ht="25.5" x14ac:dyDescent="0.2">
      <c r="A117" s="64"/>
      <c r="B117" s="40" t="s">
        <v>674</v>
      </c>
      <c r="C117" s="67">
        <v>17.4025</v>
      </c>
      <c r="D117" s="67">
        <v>17.416599999999999</v>
      </c>
      <c r="E117" s="64"/>
      <c r="F117" s="68"/>
      <c r="G117" s="69"/>
      <c r="J117"/>
    </row>
    <row r="118" spans="1:10" ht="25.5" x14ac:dyDescent="0.2">
      <c r="A118" s="64"/>
      <c r="B118" s="40" t="s">
        <v>675</v>
      </c>
      <c r="C118" s="67">
        <v>19.261399999999998</v>
      </c>
      <c r="D118" s="67">
        <v>19.299099999999999</v>
      </c>
      <c r="E118" s="64"/>
      <c r="F118" s="68"/>
      <c r="G118" s="69"/>
      <c r="J118"/>
    </row>
    <row r="119" spans="1:10" ht="25.5" x14ac:dyDescent="0.2">
      <c r="A119" s="64"/>
      <c r="B119" s="40" t="s">
        <v>676</v>
      </c>
      <c r="C119" s="67">
        <v>17.347000000000001</v>
      </c>
      <c r="D119" s="67">
        <v>17.380800000000001</v>
      </c>
      <c r="E119" s="64"/>
      <c r="F119" s="68"/>
      <c r="G119" s="69"/>
      <c r="J119"/>
    </row>
    <row r="120" spans="1:10" ht="25.5" x14ac:dyDescent="0.2">
      <c r="A120" s="64"/>
      <c r="B120" s="40" t="s">
        <v>677</v>
      </c>
      <c r="C120" s="67">
        <v>17.4602</v>
      </c>
      <c r="D120" s="67">
        <v>17.494299999999999</v>
      </c>
      <c r="E120" s="64"/>
      <c r="F120" s="68"/>
      <c r="G120" s="69"/>
      <c r="J120"/>
    </row>
    <row r="121" spans="1:10" x14ac:dyDescent="0.2">
      <c r="A121" s="64"/>
      <c r="B121" s="40" t="s">
        <v>113</v>
      </c>
      <c r="C121" s="67">
        <v>38.007399999999997</v>
      </c>
      <c r="D121" s="67">
        <v>38.078200000000002</v>
      </c>
      <c r="E121" s="64"/>
      <c r="F121" s="68"/>
      <c r="G121" s="69"/>
      <c r="J121"/>
    </row>
    <row r="122" spans="1:10" ht="25.5" x14ac:dyDescent="0.2">
      <c r="A122" s="64"/>
      <c r="B122" s="40" t="s">
        <v>678</v>
      </c>
      <c r="C122" s="67">
        <v>16.4511</v>
      </c>
      <c r="D122" s="67">
        <v>16.4617</v>
      </c>
      <c r="E122" s="64"/>
      <c r="F122" s="68"/>
      <c r="G122" s="69"/>
      <c r="J122"/>
    </row>
    <row r="123" spans="1:10" ht="25.5" x14ac:dyDescent="0.2">
      <c r="A123" s="64"/>
      <c r="B123" s="40" t="s">
        <v>648</v>
      </c>
      <c r="C123" s="67">
        <v>18.694299999999998</v>
      </c>
      <c r="D123" s="67">
        <v>18.729099999999999</v>
      </c>
      <c r="E123" s="64"/>
      <c r="F123" s="68"/>
      <c r="G123" s="69"/>
      <c r="J123"/>
    </row>
    <row r="124" spans="1:10" ht="25.5" x14ac:dyDescent="0.2">
      <c r="A124" s="64"/>
      <c r="B124" s="40" t="s">
        <v>679</v>
      </c>
      <c r="C124" s="67">
        <v>17.2362</v>
      </c>
      <c r="D124" s="67">
        <v>17.2683</v>
      </c>
      <c r="E124" s="64"/>
      <c r="F124" s="68"/>
      <c r="G124" s="69"/>
    </row>
    <row r="125" spans="1:10" ht="25.5" x14ac:dyDescent="0.2">
      <c r="A125" s="64"/>
      <c r="B125" s="40" t="s">
        <v>680</v>
      </c>
      <c r="C125" s="67">
        <v>16.945799999999998</v>
      </c>
      <c r="D125" s="67">
        <v>16.977399999999999</v>
      </c>
      <c r="E125" s="64"/>
      <c r="F125" s="68"/>
      <c r="G125" s="69"/>
    </row>
    <row r="126" spans="1:10" x14ac:dyDescent="0.2">
      <c r="A126" s="64"/>
      <c r="B126" s="64"/>
      <c r="C126" s="64"/>
      <c r="D126" s="64"/>
      <c r="E126" s="64"/>
      <c r="F126" s="64"/>
      <c r="G126" s="64"/>
    </row>
    <row r="127" spans="1:10" x14ac:dyDescent="0.2">
      <c r="A127" s="64"/>
      <c r="B127" s="134" t="s">
        <v>649</v>
      </c>
      <c r="C127" s="135"/>
      <c r="D127" s="30" t="s">
        <v>11</v>
      </c>
      <c r="E127" s="64"/>
      <c r="F127" s="64"/>
      <c r="G127" s="64"/>
    </row>
    <row r="128" spans="1:10" x14ac:dyDescent="0.2">
      <c r="A128" s="64"/>
      <c r="B128" s="70" t="s">
        <v>111</v>
      </c>
      <c r="C128" s="71" t="s">
        <v>114</v>
      </c>
      <c r="D128" s="71" t="s">
        <v>115</v>
      </c>
      <c r="E128" s="64"/>
      <c r="F128" s="64"/>
      <c r="G128" s="64"/>
    </row>
    <row r="129" spans="1:15" ht="25.5" x14ac:dyDescent="0.2">
      <c r="A129" s="64"/>
      <c r="B129" s="40" t="s">
        <v>674</v>
      </c>
      <c r="C129" s="72">
        <v>0.02</v>
      </c>
      <c r="D129" s="44" t="s">
        <v>116</v>
      </c>
      <c r="E129" s="64"/>
      <c r="F129" s="68"/>
      <c r="G129" s="69"/>
    </row>
    <row r="130" spans="1:15" ht="25.5" x14ac:dyDescent="0.2">
      <c r="A130" s="64"/>
      <c r="B130" s="40" t="s">
        <v>678</v>
      </c>
      <c r="C130" s="72">
        <v>0.02</v>
      </c>
      <c r="D130" s="44" t="s">
        <v>116</v>
      </c>
      <c r="E130" s="64"/>
      <c r="F130" s="68"/>
      <c r="G130" s="69"/>
    </row>
    <row r="131" spans="1:15" x14ac:dyDescent="0.2">
      <c r="A131" s="64"/>
      <c r="B131" s="73"/>
      <c r="C131" s="73"/>
      <c r="D131" s="74"/>
      <c r="E131" s="64"/>
      <c r="F131" s="68"/>
      <c r="G131" s="69"/>
    </row>
    <row r="132" spans="1:15" ht="25.5" customHeight="1" x14ac:dyDescent="0.2">
      <c r="A132" s="18"/>
      <c r="B132" s="136" t="s">
        <v>117</v>
      </c>
      <c r="C132" s="137"/>
      <c r="D132" s="17" t="s">
        <v>107</v>
      </c>
      <c r="E132" s="19"/>
      <c r="F132" s="18"/>
      <c r="G132" s="18"/>
    </row>
    <row r="133" spans="1:15" ht="26.25" customHeight="1" x14ac:dyDescent="0.2">
      <c r="A133" s="18"/>
      <c r="B133" s="136" t="s">
        <v>118</v>
      </c>
      <c r="C133" s="137"/>
      <c r="D133" s="17" t="s">
        <v>107</v>
      </c>
      <c r="E133" s="19"/>
      <c r="F133" s="18"/>
      <c r="G133" s="18"/>
    </row>
    <row r="134" spans="1:15" x14ac:dyDescent="0.2">
      <c r="A134" s="18"/>
      <c r="B134" s="136" t="s">
        <v>586</v>
      </c>
      <c r="C134" s="137"/>
      <c r="D134" s="17" t="s">
        <v>107</v>
      </c>
      <c r="E134" s="19"/>
      <c r="F134" s="18"/>
      <c r="G134" s="18"/>
    </row>
    <row r="135" spans="1:15" x14ac:dyDescent="0.2">
      <c r="A135" s="20"/>
      <c r="B135" s="20"/>
      <c r="C135" s="20"/>
      <c r="D135" s="20"/>
      <c r="E135" s="20"/>
      <c r="F135" s="20"/>
      <c r="G135" s="20"/>
    </row>
    <row r="136" spans="1:15" s="11" customFormat="1" x14ac:dyDescent="0.2">
      <c r="B136" s="139" t="s">
        <v>587</v>
      </c>
      <c r="C136" s="140"/>
      <c r="D136" s="141"/>
      <c r="I136"/>
      <c r="J136" s="2"/>
      <c r="K136" s="9"/>
      <c r="L136" s="9"/>
      <c r="M136" s="9"/>
      <c r="N136" s="9"/>
      <c r="O136" s="9"/>
    </row>
    <row r="137" spans="1:15" s="11" customFormat="1" ht="38.25" x14ac:dyDescent="0.2">
      <c r="B137" s="129" t="s">
        <v>588</v>
      </c>
      <c r="C137" s="129"/>
      <c r="D137" s="12" t="s">
        <v>569</v>
      </c>
      <c r="I137"/>
      <c r="J137" s="2"/>
      <c r="K137" s="9"/>
      <c r="L137" s="9"/>
      <c r="M137" s="9"/>
      <c r="N137" s="9"/>
      <c r="O137" s="9"/>
    </row>
    <row r="138" spans="1:15" s="11" customFormat="1" x14ac:dyDescent="0.2">
      <c r="B138" s="142" t="s">
        <v>589</v>
      </c>
      <c r="C138" s="142"/>
      <c r="D138" s="13"/>
      <c r="I138"/>
      <c r="J138" s="2"/>
      <c r="K138" s="9"/>
      <c r="L138" s="9"/>
      <c r="M138" s="9"/>
      <c r="N138" s="9"/>
      <c r="O138" s="9"/>
    </row>
    <row r="139" spans="1:15" s="11" customFormat="1" x14ac:dyDescent="0.2">
      <c r="B139" s="143"/>
      <c r="C139" s="144"/>
      <c r="D139" s="14"/>
      <c r="I139"/>
      <c r="J139" s="2"/>
      <c r="K139" s="9"/>
      <c r="L139" s="9"/>
      <c r="M139" s="9"/>
      <c r="N139" s="9"/>
      <c r="O139" s="9"/>
    </row>
    <row r="140" spans="1:15" s="11" customFormat="1" x14ac:dyDescent="0.2">
      <c r="B140" s="142" t="s">
        <v>590</v>
      </c>
      <c r="C140" s="142"/>
      <c r="D140" s="16">
        <v>7.314801751186141</v>
      </c>
      <c r="I140"/>
      <c r="J140" s="2"/>
      <c r="K140" s="9"/>
      <c r="L140" s="9"/>
      <c r="M140" s="9"/>
      <c r="N140" s="9"/>
      <c r="O140" s="9"/>
    </row>
    <row r="141" spans="1:15" s="11" customFormat="1" x14ac:dyDescent="0.2">
      <c r="B141" s="143"/>
      <c r="C141" s="144"/>
      <c r="D141" s="14"/>
      <c r="I141"/>
      <c r="J141" s="2"/>
      <c r="K141" s="9"/>
      <c r="L141" s="9"/>
      <c r="M141" s="9"/>
      <c r="N141" s="9"/>
      <c r="O141" s="9"/>
    </row>
    <row r="142" spans="1:15" s="11" customFormat="1" x14ac:dyDescent="0.2">
      <c r="B142" s="142" t="s">
        <v>591</v>
      </c>
      <c r="C142" s="142"/>
      <c r="D142" s="16">
        <v>4.4315646108936226</v>
      </c>
      <c r="I142"/>
      <c r="J142" s="2"/>
      <c r="K142" s="9"/>
      <c r="L142" s="9"/>
      <c r="M142" s="9"/>
      <c r="N142" s="9"/>
      <c r="O142" s="9"/>
    </row>
    <row r="143" spans="1:15" s="11" customFormat="1" x14ac:dyDescent="0.2">
      <c r="B143" s="142" t="s">
        <v>592</v>
      </c>
      <c r="C143" s="142"/>
      <c r="D143" s="16">
        <v>6.286975578650936</v>
      </c>
      <c r="I143"/>
      <c r="J143" s="2"/>
      <c r="K143" s="9"/>
      <c r="L143" s="9"/>
      <c r="M143" s="9"/>
      <c r="N143" s="9"/>
      <c r="O143" s="9"/>
    </row>
    <row r="144" spans="1:15" s="11" customFormat="1" x14ac:dyDescent="0.2">
      <c r="B144" s="143"/>
      <c r="C144" s="144"/>
      <c r="D144" s="14"/>
      <c r="I144"/>
      <c r="J144" s="2"/>
      <c r="K144" s="9"/>
      <c r="L144" s="9"/>
      <c r="M144" s="9"/>
      <c r="N144" s="9"/>
      <c r="O144" s="9"/>
    </row>
    <row r="145" spans="2:15" s="11" customFormat="1" x14ac:dyDescent="0.2">
      <c r="B145" s="142" t="s">
        <v>593</v>
      </c>
      <c r="C145" s="142"/>
      <c r="D145" s="75" t="s">
        <v>681</v>
      </c>
      <c r="I145"/>
      <c r="J145" s="2"/>
      <c r="K145" s="9"/>
      <c r="L145" s="9"/>
      <c r="M145" s="9"/>
      <c r="N145" s="9"/>
      <c r="O145" s="15"/>
    </row>
    <row r="146" spans="2:15" s="11" customFormat="1" x14ac:dyDescent="0.2">
      <c r="B146" s="143" t="s">
        <v>594</v>
      </c>
      <c r="C146" s="145"/>
      <c r="D146" s="144"/>
      <c r="I146"/>
      <c r="J146" s="2"/>
      <c r="K146" s="9"/>
      <c r="L146" s="9"/>
      <c r="M146" s="9"/>
      <c r="N146" s="9"/>
      <c r="O146" s="9"/>
    </row>
  </sheetData>
  <mergeCells count="25">
    <mergeCell ref="B143:C143"/>
    <mergeCell ref="B144:C144"/>
    <mergeCell ref="B145:C145"/>
    <mergeCell ref="B146:D146"/>
    <mergeCell ref="B138:C138"/>
    <mergeCell ref="B139:C139"/>
    <mergeCell ref="B140:C140"/>
    <mergeCell ref="B141:C141"/>
    <mergeCell ref="B142:C142"/>
    <mergeCell ref="B137:C137"/>
    <mergeCell ref="A1:H1"/>
    <mergeCell ref="A2:H2"/>
    <mergeCell ref="A3:H3"/>
    <mergeCell ref="B110:D110"/>
    <mergeCell ref="B111:C111"/>
    <mergeCell ref="B112:C112"/>
    <mergeCell ref="B113:C113"/>
    <mergeCell ref="B127:C127"/>
    <mergeCell ref="B133:C133"/>
    <mergeCell ref="B106:H106"/>
    <mergeCell ref="B107:H107"/>
    <mergeCell ref="B108:H108"/>
    <mergeCell ref="B132:C132"/>
    <mergeCell ref="B136:D136"/>
    <mergeCell ref="B134:C134"/>
  </mergeCells>
  <hyperlinks>
    <hyperlink ref="I1" location="Index!B2" display="Index" xr:uid="{8907D689-9D4F-4BEE-AC20-BA26E8DDEAE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9C488-86C1-4B3C-B165-DCFC137BC8FE}">
  <sheetPr>
    <outlinePr summaryBelow="0" summaryRight="0"/>
  </sheetPr>
  <dimension ref="A1:R134"/>
  <sheetViews>
    <sheetView showGridLines="0" workbookViewId="0">
      <selection sqref="A1:XFD1048576"/>
    </sheetView>
  </sheetViews>
  <sheetFormatPr defaultRowHeight="12.75" x14ac:dyDescent="0.2"/>
  <cols>
    <col min="1" max="1" width="5.85546875" bestFit="1" customWidth="1"/>
    <col min="2" max="2" width="19.28515625" bestFit="1" customWidth="1"/>
    <col min="3" max="3" width="39.140625" bestFit="1" customWidth="1"/>
    <col min="4" max="4" width="11.28515625" bestFit="1" customWidth="1"/>
    <col min="5" max="5" width="9.42578125" bestFit="1" customWidth="1"/>
    <col min="6" max="6" width="10.140625" bestFit="1" customWidth="1"/>
    <col min="7" max="7" width="14" bestFit="1" customWidth="1"/>
    <col min="8" max="8" width="7.28515625" customWidth="1"/>
    <col min="9" max="9" width="5.7109375" bestFit="1" customWidth="1"/>
    <col min="10" max="10" width="50.7109375" style="2" customWidth="1"/>
  </cols>
  <sheetData>
    <row r="1" spans="1:10" ht="15" x14ac:dyDescent="0.2">
      <c r="A1" s="130" t="s">
        <v>0</v>
      </c>
      <c r="B1" s="130"/>
      <c r="C1" s="130"/>
      <c r="D1" s="130"/>
      <c r="E1" s="130"/>
      <c r="F1" s="130"/>
      <c r="G1" s="130"/>
      <c r="H1" s="130"/>
      <c r="I1" s="1" t="s">
        <v>562</v>
      </c>
    </row>
    <row r="2" spans="1:10" ht="15" x14ac:dyDescent="0.2">
      <c r="A2" s="130" t="s">
        <v>119</v>
      </c>
      <c r="B2" s="130"/>
      <c r="C2" s="130"/>
      <c r="D2" s="130"/>
      <c r="E2" s="130"/>
      <c r="F2" s="130"/>
      <c r="G2" s="130"/>
      <c r="H2" s="130"/>
      <c r="J2" s="26" t="s">
        <v>563</v>
      </c>
    </row>
    <row r="3" spans="1:10" ht="15" x14ac:dyDescent="0.2">
      <c r="A3" s="130" t="s">
        <v>579</v>
      </c>
      <c r="B3" s="130"/>
      <c r="C3" s="130"/>
      <c r="D3" s="130"/>
      <c r="E3" s="130"/>
      <c r="F3" s="130"/>
      <c r="G3" s="130"/>
      <c r="H3" s="130"/>
    </row>
    <row r="4" spans="1:10" s="2" customFormat="1" ht="30" x14ac:dyDescent="0.2">
      <c r="A4" s="27" t="s">
        <v>1</v>
      </c>
      <c r="B4" s="27" t="s">
        <v>2</v>
      </c>
      <c r="C4" s="27" t="s">
        <v>3</v>
      </c>
      <c r="D4" s="27" t="s">
        <v>4</v>
      </c>
      <c r="E4" s="27" t="s">
        <v>5</v>
      </c>
      <c r="F4" s="27" t="s">
        <v>6</v>
      </c>
      <c r="G4" s="27" t="s">
        <v>7</v>
      </c>
      <c r="H4" s="28" t="s">
        <v>564</v>
      </c>
    </row>
    <row r="5" spans="1:10" x14ac:dyDescent="0.2">
      <c r="A5" s="29"/>
      <c r="B5" s="29"/>
      <c r="C5" s="30" t="s">
        <v>8</v>
      </c>
      <c r="D5" s="29"/>
      <c r="E5" s="29"/>
      <c r="F5" s="29"/>
      <c r="G5" s="29"/>
      <c r="H5" s="31" t="str">
        <f>IFERROR(VLOOKUP(B5,'[1]Debt Holding Consolidated'!$C$1:$AM$65536,12,FALSE),"")</f>
        <v/>
      </c>
    </row>
    <row r="6" spans="1:10" x14ac:dyDescent="0.2">
      <c r="A6" s="29"/>
      <c r="B6" s="29"/>
      <c r="C6" s="30" t="s">
        <v>9</v>
      </c>
      <c r="D6" s="29"/>
      <c r="E6" s="29"/>
      <c r="F6" s="29"/>
      <c r="G6" s="29"/>
      <c r="H6" s="31" t="str">
        <f>IFERROR(VLOOKUP(B6,'[1]Debt Holding Consolidated'!$C$1:$AM$65536,12,FALSE),"")</f>
        <v/>
      </c>
    </row>
    <row r="7" spans="1:10" x14ac:dyDescent="0.2">
      <c r="A7" s="29"/>
      <c r="B7" s="29"/>
      <c r="C7" s="30" t="s">
        <v>10</v>
      </c>
      <c r="D7" s="29"/>
      <c r="E7" s="29" t="s">
        <v>11</v>
      </c>
      <c r="F7" s="32" t="s">
        <v>12</v>
      </c>
      <c r="G7" s="33">
        <v>0</v>
      </c>
      <c r="H7" s="31" t="str">
        <f>IFERROR(VLOOKUP(B7,'[1]Debt Holding Consolidated'!$C$1:$AM$65536,12,FALSE),"")</f>
        <v/>
      </c>
    </row>
    <row r="8" spans="1:10" x14ac:dyDescent="0.2">
      <c r="A8" s="29"/>
      <c r="B8" s="29"/>
      <c r="C8" s="34"/>
      <c r="D8" s="29"/>
      <c r="E8" s="29"/>
      <c r="F8" s="35"/>
      <c r="G8" s="35"/>
      <c r="H8" s="31" t="str">
        <f>IFERROR(VLOOKUP(B8,'[1]Debt Holding Consolidated'!$C$1:$AM$65536,12,FALSE),"")</f>
        <v/>
      </c>
    </row>
    <row r="9" spans="1:10" x14ac:dyDescent="0.2">
      <c r="A9" s="29"/>
      <c r="B9" s="29"/>
      <c r="C9" s="30" t="s">
        <v>13</v>
      </c>
      <c r="D9" s="29"/>
      <c r="E9" s="29"/>
      <c r="F9" s="29"/>
      <c r="G9" s="29"/>
      <c r="H9" s="31" t="str">
        <f>IFERROR(VLOOKUP(B9,'[1]Debt Holding Consolidated'!$C$1:$AM$65536,12,FALSE),"")</f>
        <v/>
      </c>
    </row>
    <row r="10" spans="1:10" x14ac:dyDescent="0.2">
      <c r="A10" s="29"/>
      <c r="B10" s="29"/>
      <c r="C10" s="30" t="s">
        <v>10</v>
      </c>
      <c r="D10" s="29"/>
      <c r="E10" s="29" t="s">
        <v>11</v>
      </c>
      <c r="F10" s="32" t="s">
        <v>12</v>
      </c>
      <c r="G10" s="33">
        <v>0</v>
      </c>
      <c r="H10" s="31" t="str">
        <f>IFERROR(VLOOKUP(B10,'[1]Debt Holding Consolidated'!$C$1:$AM$65536,12,FALSE),"")</f>
        <v/>
      </c>
    </row>
    <row r="11" spans="1:10" x14ac:dyDescent="0.2">
      <c r="A11" s="29"/>
      <c r="B11" s="29"/>
      <c r="C11" s="34"/>
      <c r="D11" s="29"/>
      <c r="E11" s="29"/>
      <c r="F11" s="35"/>
      <c r="G11" s="35"/>
      <c r="H11" s="31" t="str">
        <f>IFERROR(VLOOKUP(B11,'[1]Debt Holding Consolidated'!$C$1:$AM$65536,12,FALSE),"")</f>
        <v/>
      </c>
    </row>
    <row r="12" spans="1:10" ht="15" x14ac:dyDescent="0.2">
      <c r="A12" s="29"/>
      <c r="B12" s="29"/>
      <c r="C12" s="30" t="s">
        <v>14</v>
      </c>
      <c r="D12" s="29"/>
      <c r="E12" s="29"/>
      <c r="F12" s="29"/>
      <c r="G12" s="29"/>
      <c r="H12" s="31" t="str">
        <f>IFERROR(VLOOKUP(B12,'[1]Debt Holding Consolidated'!$C$1:$AM$65536,12,FALSE),"")</f>
        <v/>
      </c>
      <c r="J12" s="36"/>
    </row>
    <row r="13" spans="1:10" x14ac:dyDescent="0.2">
      <c r="A13" s="29"/>
      <c r="B13" s="29"/>
      <c r="C13" s="30" t="s">
        <v>10</v>
      </c>
      <c r="D13" s="29"/>
      <c r="E13" s="29" t="s">
        <v>11</v>
      </c>
      <c r="F13" s="32" t="s">
        <v>12</v>
      </c>
      <c r="G13" s="33">
        <v>0</v>
      </c>
      <c r="H13" s="31" t="str">
        <f>IFERROR(VLOOKUP(B13,'[1]Debt Holding Consolidated'!$C$1:$AM$65536,12,FALSE),"")</f>
        <v/>
      </c>
      <c r="J13" s="37"/>
    </row>
    <row r="14" spans="1:10" x14ac:dyDescent="0.2">
      <c r="A14" s="29"/>
      <c r="B14" s="29"/>
      <c r="C14" s="34"/>
      <c r="D14" s="29"/>
      <c r="E14" s="29"/>
      <c r="F14" s="35"/>
      <c r="G14" s="35"/>
      <c r="H14" s="31" t="str">
        <f>IFERROR(VLOOKUP(B14,'[1]Debt Holding Consolidated'!$C$1:$AM$65536,12,FALSE),"")</f>
        <v/>
      </c>
      <c r="J14" s="37"/>
    </row>
    <row r="15" spans="1:10" ht="25.5" x14ac:dyDescent="0.2">
      <c r="A15" s="29"/>
      <c r="B15" s="29"/>
      <c r="C15" s="30" t="s">
        <v>15</v>
      </c>
      <c r="D15" s="29"/>
      <c r="E15" s="29"/>
      <c r="F15" s="29"/>
      <c r="G15" s="29"/>
      <c r="H15" s="31" t="str">
        <f>IFERROR(VLOOKUP(B15,'[1]Debt Holding Consolidated'!$C$1:$AM$65536,12,FALSE),"")</f>
        <v/>
      </c>
      <c r="J15" s="37" t="s">
        <v>687</v>
      </c>
    </row>
    <row r="16" spans="1:10" x14ac:dyDescent="0.2">
      <c r="A16" s="29"/>
      <c r="B16" s="29"/>
      <c r="C16" s="30" t="s">
        <v>10</v>
      </c>
      <c r="D16" s="29"/>
      <c r="E16" s="29" t="s">
        <v>11</v>
      </c>
      <c r="F16" s="32" t="s">
        <v>12</v>
      </c>
      <c r="G16" s="33">
        <v>0</v>
      </c>
      <c r="H16" s="31" t="str">
        <f>IFERROR(VLOOKUP(B16,'[1]Debt Holding Consolidated'!$C$1:$AM$65536,12,FALSE),"")</f>
        <v/>
      </c>
    </row>
    <row r="17" spans="1:10" x14ac:dyDescent="0.2">
      <c r="A17" s="29"/>
      <c r="B17" s="29"/>
      <c r="C17" s="34"/>
      <c r="D17" s="29"/>
      <c r="E17" s="29"/>
      <c r="F17" s="35"/>
      <c r="G17" s="35"/>
      <c r="H17" s="31" t="str">
        <f>IFERROR(VLOOKUP(B17,'[1]Debt Holding Consolidated'!$C$1:$AM$65536,12,FALSE),"")</f>
        <v/>
      </c>
    </row>
    <row r="18" spans="1:10" x14ac:dyDescent="0.2">
      <c r="A18" s="29"/>
      <c r="B18" s="29"/>
      <c r="C18" s="30" t="s">
        <v>16</v>
      </c>
      <c r="D18" s="29"/>
      <c r="E18" s="29"/>
      <c r="F18" s="35"/>
      <c r="G18" s="35"/>
      <c r="H18" s="31" t="str">
        <f>IFERROR(VLOOKUP(B18,'[1]Debt Holding Consolidated'!$C$1:$AM$65536,12,FALSE),"")</f>
        <v/>
      </c>
    </row>
    <row r="19" spans="1:10" x14ac:dyDescent="0.2">
      <c r="A19" s="29"/>
      <c r="B19" s="29"/>
      <c r="C19" s="30" t="s">
        <v>10</v>
      </c>
      <c r="D19" s="29"/>
      <c r="E19" s="29" t="s">
        <v>11</v>
      </c>
      <c r="F19" s="32" t="s">
        <v>12</v>
      </c>
      <c r="G19" s="33">
        <v>0</v>
      </c>
      <c r="H19" s="31" t="str">
        <f>IFERROR(VLOOKUP(B19,'[1]Debt Holding Consolidated'!$C$1:$AM$65536,12,FALSE),"")</f>
        <v/>
      </c>
    </row>
    <row r="20" spans="1:10" x14ac:dyDescent="0.2">
      <c r="A20" s="29"/>
      <c r="B20" s="29"/>
      <c r="C20" s="34"/>
      <c r="D20" s="29"/>
      <c r="E20" s="29"/>
      <c r="F20" s="35"/>
      <c r="G20" s="35"/>
      <c r="H20" s="31" t="str">
        <f>IFERROR(VLOOKUP(B20,'[1]Debt Holding Consolidated'!$C$1:$AM$65536,12,FALSE),"")</f>
        <v/>
      </c>
    </row>
    <row r="21" spans="1:10" x14ac:dyDescent="0.2">
      <c r="A21" s="29"/>
      <c r="B21" s="29"/>
      <c r="C21" s="30" t="s">
        <v>17</v>
      </c>
      <c r="D21" s="29"/>
      <c r="E21" s="29"/>
      <c r="F21" s="35"/>
      <c r="G21" s="35"/>
      <c r="H21" s="31" t="str">
        <f>IFERROR(VLOOKUP(B21,'[1]Debt Holding Consolidated'!$C$1:$AM$65536,12,FALSE),"")</f>
        <v/>
      </c>
    </row>
    <row r="22" spans="1:10" ht="15" x14ac:dyDescent="0.2">
      <c r="A22" s="29"/>
      <c r="B22" s="29"/>
      <c r="C22" s="30" t="s">
        <v>10</v>
      </c>
      <c r="D22" s="29"/>
      <c r="E22" s="29" t="s">
        <v>11</v>
      </c>
      <c r="F22" s="32" t="s">
        <v>12</v>
      </c>
      <c r="G22" s="33">
        <v>0</v>
      </c>
      <c r="H22" s="31" t="str">
        <f>IFERROR(VLOOKUP(B22,'[1]Debt Holding Consolidated'!$C$1:$AM$65536,12,FALSE),"")</f>
        <v/>
      </c>
      <c r="J22" s="36"/>
    </row>
    <row r="23" spans="1:10" x14ac:dyDescent="0.2">
      <c r="A23" s="29"/>
      <c r="B23" s="29"/>
      <c r="C23" s="34"/>
      <c r="D23" s="29"/>
      <c r="E23" s="29"/>
      <c r="F23" s="35"/>
      <c r="G23" s="35"/>
      <c r="H23" s="31" t="str">
        <f>IFERROR(VLOOKUP(B23,'[1]Debt Holding Consolidated'!$C$1:$AM$65536,12,FALSE),"")</f>
        <v/>
      </c>
      <c r="J23" s="37"/>
    </row>
    <row r="24" spans="1:10" x14ac:dyDescent="0.2">
      <c r="A24" s="29"/>
      <c r="B24" s="29"/>
      <c r="C24" s="30" t="s">
        <v>18</v>
      </c>
      <c r="D24" s="29"/>
      <c r="E24" s="29"/>
      <c r="F24" s="38">
        <v>0</v>
      </c>
      <c r="G24" s="33">
        <v>0</v>
      </c>
      <c r="H24" s="31" t="str">
        <f>IFERROR(VLOOKUP(B24,'[1]Debt Holding Consolidated'!$C$1:$AM$65536,12,FALSE),"")</f>
        <v/>
      </c>
    </row>
    <row r="25" spans="1:10" x14ac:dyDescent="0.2">
      <c r="A25" s="29"/>
      <c r="B25" s="29"/>
      <c r="C25" s="34"/>
      <c r="D25" s="29"/>
      <c r="E25" s="29"/>
      <c r="F25" s="35"/>
      <c r="G25" s="35"/>
      <c r="H25" s="31" t="str">
        <f>IFERROR(VLOOKUP(B25,'[1]Debt Holding Consolidated'!$C$1:$AM$65536,12,FALSE),"")</f>
        <v/>
      </c>
    </row>
    <row r="26" spans="1:10" x14ac:dyDescent="0.2">
      <c r="A26" s="29"/>
      <c r="B26" s="29"/>
      <c r="C26" s="30" t="s">
        <v>19</v>
      </c>
      <c r="D26" s="29"/>
      <c r="E26" s="29"/>
      <c r="F26" s="35"/>
      <c r="G26" s="35"/>
      <c r="H26" s="31" t="str">
        <f>IFERROR(VLOOKUP(B26,'[1]Debt Holding Consolidated'!$C$1:$AM$65536,12,FALSE),"")</f>
        <v/>
      </c>
    </row>
    <row r="27" spans="1:10" x14ac:dyDescent="0.2">
      <c r="A27" s="29"/>
      <c r="B27" s="29"/>
      <c r="C27" s="30" t="s">
        <v>9</v>
      </c>
      <c r="D27" s="29"/>
      <c r="E27" s="29"/>
      <c r="F27" s="35"/>
      <c r="G27" s="35"/>
      <c r="H27" s="31" t="str">
        <f>IFERROR(VLOOKUP(B27,'[1]Debt Holding Consolidated'!$C$1:$AM$65536,12,FALSE),"")</f>
        <v/>
      </c>
      <c r="J27" s="37"/>
    </row>
    <row r="28" spans="1:10" ht="25.5" x14ac:dyDescent="0.2">
      <c r="A28" s="39">
        <v>1</v>
      </c>
      <c r="B28" s="40" t="s">
        <v>50</v>
      </c>
      <c r="C28" s="40" t="s">
        <v>51</v>
      </c>
      <c r="D28" s="40" t="s">
        <v>35</v>
      </c>
      <c r="E28" s="41">
        <v>300</v>
      </c>
      <c r="F28" s="42">
        <v>3016.2060000000001</v>
      </c>
      <c r="G28" s="43">
        <v>9.0120919999999993E-2</v>
      </c>
      <c r="H28" s="31">
        <f>IFERROR(VLOOKUP(B28,'[1]Debt Holding Consolidated'!$C$1:$AM$65536,12,FALSE),"")</f>
        <v>7.2324999999999999</v>
      </c>
      <c r="J28" s="37" t="s">
        <v>686</v>
      </c>
    </row>
    <row r="29" spans="1:10" x14ac:dyDescent="0.2">
      <c r="A29" s="39">
        <v>2</v>
      </c>
      <c r="B29" s="40" t="s">
        <v>120</v>
      </c>
      <c r="C29" s="40" t="s">
        <v>121</v>
      </c>
      <c r="D29" s="40" t="s">
        <v>35</v>
      </c>
      <c r="E29" s="41">
        <v>250</v>
      </c>
      <c r="F29" s="42">
        <v>2508.8975</v>
      </c>
      <c r="G29" s="43">
        <v>7.4963100000000005E-2</v>
      </c>
      <c r="H29" s="31">
        <f>IFERROR(VLOOKUP(B29,'[1]Debt Holding Consolidated'!$C$1:$AM$65536,12,FALSE),"")</f>
        <v>7.4050000000000002</v>
      </c>
      <c r="J29" s="37"/>
    </row>
    <row r="30" spans="1:10" x14ac:dyDescent="0.2">
      <c r="A30" s="39">
        <v>3</v>
      </c>
      <c r="B30" s="40" t="s">
        <v>122</v>
      </c>
      <c r="C30" s="40" t="s">
        <v>123</v>
      </c>
      <c r="D30" s="40" t="s">
        <v>22</v>
      </c>
      <c r="E30" s="41">
        <v>2500</v>
      </c>
      <c r="F30" s="42">
        <v>2501.1950000000002</v>
      </c>
      <c r="G30" s="43">
        <v>7.4732960000000001E-2</v>
      </c>
      <c r="H30" s="31">
        <f>IFERROR(VLOOKUP(B30,'[1]Debt Holding Consolidated'!$C$1:$AM$65536,12,FALSE),"")</f>
        <v>7.66</v>
      </c>
    </row>
    <row r="31" spans="1:10" x14ac:dyDescent="0.2">
      <c r="A31" s="39">
        <v>4</v>
      </c>
      <c r="B31" s="40" t="s">
        <v>124</v>
      </c>
      <c r="C31" s="40" t="s">
        <v>125</v>
      </c>
      <c r="D31" s="40" t="s">
        <v>22</v>
      </c>
      <c r="E31" s="41">
        <v>2000</v>
      </c>
      <c r="F31" s="42">
        <v>2009.4179999999999</v>
      </c>
      <c r="G31" s="43">
        <v>6.0039200000000001E-2</v>
      </c>
      <c r="H31" s="31">
        <f>IFERROR(VLOOKUP(B31,'[1]Debt Holding Consolidated'!$C$1:$AM$65536,12,FALSE),"")</f>
        <v>7.37</v>
      </c>
    </row>
    <row r="32" spans="1:10" ht="25.5" x14ac:dyDescent="0.2">
      <c r="A32" s="39">
        <v>5</v>
      </c>
      <c r="B32" s="40" t="s">
        <v>126</v>
      </c>
      <c r="C32" s="40" t="s">
        <v>127</v>
      </c>
      <c r="D32" s="40" t="s">
        <v>35</v>
      </c>
      <c r="E32" s="41">
        <v>200</v>
      </c>
      <c r="F32" s="42">
        <v>1997.7080000000001</v>
      </c>
      <c r="G32" s="43">
        <v>5.9689319999999997E-2</v>
      </c>
      <c r="H32" s="31">
        <f>IFERROR(VLOOKUP(B32,'[1]Debt Holding Consolidated'!$C$1:$AM$65536,12,FALSE),"")</f>
        <v>7.66</v>
      </c>
    </row>
    <row r="33" spans="1:8" ht="25.5" x14ac:dyDescent="0.2">
      <c r="A33" s="39">
        <v>6</v>
      </c>
      <c r="B33" s="40" t="s">
        <v>128</v>
      </c>
      <c r="C33" s="40" t="s">
        <v>129</v>
      </c>
      <c r="D33" s="40" t="s">
        <v>35</v>
      </c>
      <c r="E33" s="41">
        <v>200</v>
      </c>
      <c r="F33" s="42">
        <v>1953.874</v>
      </c>
      <c r="G33" s="43">
        <v>5.8379609999999998E-2</v>
      </c>
      <c r="H33" s="31">
        <f>IFERROR(VLOOKUP(B33,'[1]Debt Holding Consolidated'!$C$1:$AM$65536,12,FALSE),"")</f>
        <v>7.5</v>
      </c>
    </row>
    <row r="34" spans="1:8" ht="25.5" x14ac:dyDescent="0.2">
      <c r="A34" s="39">
        <v>7</v>
      </c>
      <c r="B34" s="40" t="s">
        <v>36</v>
      </c>
      <c r="C34" s="40" t="s">
        <v>37</v>
      </c>
      <c r="D34" s="40" t="s">
        <v>22</v>
      </c>
      <c r="E34" s="41">
        <v>1500</v>
      </c>
      <c r="F34" s="42">
        <v>1508.952</v>
      </c>
      <c r="G34" s="43">
        <v>4.508583E-2</v>
      </c>
      <c r="H34" s="31">
        <f>IFERROR(VLOOKUP(B34,'[1]Debt Holding Consolidated'!$C$1:$AM$65536,12,FALSE),"")</f>
        <v>7.44</v>
      </c>
    </row>
    <row r="35" spans="1:8" ht="25.5" x14ac:dyDescent="0.2">
      <c r="A35" s="39">
        <v>8</v>
      </c>
      <c r="B35" s="40" t="s">
        <v>42</v>
      </c>
      <c r="C35" s="40" t="s">
        <v>43</v>
      </c>
      <c r="D35" s="40" t="s">
        <v>22</v>
      </c>
      <c r="E35" s="41">
        <v>1500</v>
      </c>
      <c r="F35" s="42">
        <v>1495.5074999999999</v>
      </c>
      <c r="G35" s="43">
        <v>4.4684120000000001E-2</v>
      </c>
      <c r="H35" s="31">
        <f>IFERROR(VLOOKUP(B35,'[1]Debt Holding Consolidated'!$C$1:$AM$65536,12,FALSE),"")</f>
        <v>7.4</v>
      </c>
    </row>
    <row r="36" spans="1:8" ht="25.5" x14ac:dyDescent="0.2">
      <c r="A36" s="39">
        <v>9</v>
      </c>
      <c r="B36" s="40" t="s">
        <v>130</v>
      </c>
      <c r="C36" s="40" t="s">
        <v>131</v>
      </c>
      <c r="D36" s="40" t="s">
        <v>35</v>
      </c>
      <c r="E36" s="41">
        <v>150</v>
      </c>
      <c r="F36" s="42">
        <v>1495.2465</v>
      </c>
      <c r="G36" s="43">
        <v>4.4676319999999999E-2</v>
      </c>
      <c r="H36" s="31">
        <f>IFERROR(VLOOKUP(B36,'[1]Debt Holding Consolidated'!$C$1:$AM$65536,12,FALSE),"")</f>
        <v>7.6449999999999996</v>
      </c>
    </row>
    <row r="37" spans="1:8" ht="25.5" x14ac:dyDescent="0.2">
      <c r="A37" s="39">
        <v>10</v>
      </c>
      <c r="B37" s="40" t="s">
        <v>132</v>
      </c>
      <c r="C37" s="40" t="s">
        <v>133</v>
      </c>
      <c r="D37" s="40" t="s">
        <v>22</v>
      </c>
      <c r="E37" s="41">
        <v>1000</v>
      </c>
      <c r="F37" s="42">
        <v>1018.163</v>
      </c>
      <c r="G37" s="43">
        <v>3.0421589999999998E-2</v>
      </c>
      <c r="H37" s="31">
        <f>IFERROR(VLOOKUP(B37,'[1]Debt Holding Consolidated'!$C$1:$AM$65536,12,FALSE),"")</f>
        <v>7.0723000000000003</v>
      </c>
    </row>
    <row r="38" spans="1:8" ht="25.5" x14ac:dyDescent="0.2">
      <c r="A38" s="39">
        <v>11</v>
      </c>
      <c r="B38" s="40" t="s">
        <v>23</v>
      </c>
      <c r="C38" s="40" t="s">
        <v>24</v>
      </c>
      <c r="D38" s="40" t="s">
        <v>22</v>
      </c>
      <c r="E38" s="41">
        <v>1000</v>
      </c>
      <c r="F38" s="42">
        <v>1004.2380000000001</v>
      </c>
      <c r="G38" s="43">
        <v>3.0005529999999999E-2</v>
      </c>
      <c r="H38" s="31">
        <f>IFERROR(VLOOKUP(B38,'[1]Debt Holding Consolidated'!$C$1:$AM$65536,12,FALSE),"")</f>
        <v>7.27</v>
      </c>
    </row>
    <row r="39" spans="1:8" ht="25.5" x14ac:dyDescent="0.2">
      <c r="A39" s="39">
        <v>12</v>
      </c>
      <c r="B39" s="40" t="s">
        <v>29</v>
      </c>
      <c r="C39" s="40" t="s">
        <v>30</v>
      </c>
      <c r="D39" s="40" t="s">
        <v>22</v>
      </c>
      <c r="E39" s="41">
        <v>500</v>
      </c>
      <c r="F39" s="42">
        <v>509.30500000000001</v>
      </c>
      <c r="G39" s="43">
        <v>1.521747E-2</v>
      </c>
      <c r="H39" s="31">
        <f>IFERROR(VLOOKUP(B39,'[1]Debt Holding Consolidated'!$C$1:$AM$65536,12,FALSE),"")</f>
        <v>7.1074999999999999</v>
      </c>
    </row>
    <row r="40" spans="1:8" ht="25.5" x14ac:dyDescent="0.2">
      <c r="A40" s="39">
        <v>13</v>
      </c>
      <c r="B40" s="40" t="s">
        <v>134</v>
      </c>
      <c r="C40" s="40" t="s">
        <v>135</v>
      </c>
      <c r="D40" s="40" t="s">
        <v>22</v>
      </c>
      <c r="E40" s="41">
        <v>500</v>
      </c>
      <c r="F40" s="42">
        <v>506.6395</v>
      </c>
      <c r="G40" s="43">
        <v>1.513783E-2</v>
      </c>
      <c r="H40" s="31">
        <f>IFERROR(VLOOKUP(B40,'[1]Debt Holding Consolidated'!$C$1:$AM$65536,12,FALSE),"")</f>
        <v>7.2249999999999996</v>
      </c>
    </row>
    <row r="41" spans="1:8" ht="25.5" x14ac:dyDescent="0.2">
      <c r="A41" s="39">
        <v>14</v>
      </c>
      <c r="B41" s="40" t="s">
        <v>46</v>
      </c>
      <c r="C41" s="40" t="s">
        <v>47</v>
      </c>
      <c r="D41" s="40" t="s">
        <v>22</v>
      </c>
      <c r="E41" s="41">
        <v>500</v>
      </c>
      <c r="F41" s="42">
        <v>504.10300000000001</v>
      </c>
      <c r="G41" s="43">
        <v>1.506204E-2</v>
      </c>
      <c r="H41" s="31">
        <f>IFERROR(VLOOKUP(B41,'[1]Debt Holding Consolidated'!$C$1:$AM$65536,12,FALSE),"")</f>
        <v>7.3669000000000002</v>
      </c>
    </row>
    <row r="42" spans="1:8" ht="25.5" x14ac:dyDescent="0.2">
      <c r="A42" s="39">
        <v>15</v>
      </c>
      <c r="B42" s="40" t="s">
        <v>136</v>
      </c>
      <c r="C42" s="40" t="s">
        <v>137</v>
      </c>
      <c r="D42" s="40" t="s">
        <v>22</v>
      </c>
      <c r="E42" s="41">
        <v>500</v>
      </c>
      <c r="F42" s="42">
        <v>502.54899999999998</v>
      </c>
      <c r="G42" s="43">
        <v>1.501561E-2</v>
      </c>
      <c r="H42" s="31">
        <f>IFERROR(VLOOKUP(B42,'[1]Debt Holding Consolidated'!$C$1:$AM$65536,12,FALSE),"")</f>
        <v>7.4</v>
      </c>
    </row>
    <row r="43" spans="1:8" x14ac:dyDescent="0.2">
      <c r="A43" s="39">
        <v>16</v>
      </c>
      <c r="B43" s="40" t="s">
        <v>54</v>
      </c>
      <c r="C43" s="40" t="s">
        <v>55</v>
      </c>
      <c r="D43" s="40" t="s">
        <v>22</v>
      </c>
      <c r="E43" s="41">
        <v>500</v>
      </c>
      <c r="F43" s="42">
        <v>502.12200000000001</v>
      </c>
      <c r="G43" s="43">
        <v>1.500285E-2</v>
      </c>
      <c r="H43" s="31">
        <f>IFERROR(VLOOKUP(B43,'[1]Debt Holding Consolidated'!$C$1:$AM$65536,12,FALSE),"")</f>
        <v>7.5</v>
      </c>
    </row>
    <row r="44" spans="1:8" ht="25.5" x14ac:dyDescent="0.2">
      <c r="A44" s="39">
        <v>17</v>
      </c>
      <c r="B44" s="40" t="s">
        <v>138</v>
      </c>
      <c r="C44" s="40" t="s">
        <v>139</v>
      </c>
      <c r="D44" s="40" t="s">
        <v>35</v>
      </c>
      <c r="E44" s="41">
        <v>50</v>
      </c>
      <c r="F44" s="42">
        <v>499.12650000000002</v>
      </c>
      <c r="G44" s="43">
        <v>1.4913350000000001E-2</v>
      </c>
      <c r="H44" s="31">
        <f>IFERROR(VLOOKUP(B44,'[1]Debt Holding Consolidated'!$C$1:$AM$65536,12,FALSE),"")</f>
        <v>7.66</v>
      </c>
    </row>
    <row r="45" spans="1:8" x14ac:dyDescent="0.2">
      <c r="A45" s="29"/>
      <c r="B45" s="29"/>
      <c r="C45" s="30" t="s">
        <v>10</v>
      </c>
      <c r="D45" s="29"/>
      <c r="E45" s="29" t="s">
        <v>11</v>
      </c>
      <c r="F45" s="38">
        <v>23533.250499999998</v>
      </c>
      <c r="G45" s="33">
        <v>0.70314765000000001</v>
      </c>
      <c r="H45" s="31" t="str">
        <f>IFERROR(VLOOKUP(B45,'[1]Debt Holding Consolidated'!$C$1:$AM$65536,12,FALSE),"")</f>
        <v/>
      </c>
    </row>
    <row r="46" spans="1:8" x14ac:dyDescent="0.2">
      <c r="A46" s="29"/>
      <c r="B46" s="29"/>
      <c r="C46" s="34"/>
      <c r="D46" s="29"/>
      <c r="E46" s="29"/>
      <c r="F46" s="35"/>
      <c r="G46" s="35"/>
      <c r="H46" s="31" t="str">
        <f>IFERROR(VLOOKUP(B46,'[1]Debt Holding Consolidated'!$C$1:$AM$65536,12,FALSE),"")</f>
        <v/>
      </c>
    </row>
    <row r="47" spans="1:8" x14ac:dyDescent="0.2">
      <c r="A47" s="29"/>
      <c r="B47" s="29"/>
      <c r="C47" s="30" t="s">
        <v>70</v>
      </c>
      <c r="D47" s="29"/>
      <c r="E47" s="29"/>
      <c r="F47" s="29"/>
      <c r="G47" s="29"/>
      <c r="H47" s="31" t="str">
        <f>IFERROR(VLOOKUP(B47,'[1]Debt Holding Consolidated'!$C$1:$AM$65536,12,FALSE),"")</f>
        <v/>
      </c>
    </row>
    <row r="48" spans="1:8" x14ac:dyDescent="0.2">
      <c r="A48" s="29"/>
      <c r="B48" s="29"/>
      <c r="C48" s="30" t="s">
        <v>10</v>
      </c>
      <c r="D48" s="29"/>
      <c r="E48" s="29" t="s">
        <v>11</v>
      </c>
      <c r="F48" s="32" t="s">
        <v>12</v>
      </c>
      <c r="G48" s="33">
        <v>0</v>
      </c>
      <c r="H48" s="31" t="str">
        <f>IFERROR(VLOOKUP(B48,'[1]Debt Holding Consolidated'!$C$1:$AM$65536,12,FALSE),"")</f>
        <v/>
      </c>
    </row>
    <row r="49" spans="1:8" x14ac:dyDescent="0.2">
      <c r="A49" s="29"/>
      <c r="B49" s="29"/>
      <c r="C49" s="34"/>
      <c r="D49" s="29"/>
      <c r="E49" s="29"/>
      <c r="F49" s="35"/>
      <c r="G49" s="35"/>
      <c r="H49" s="31" t="str">
        <f>IFERROR(VLOOKUP(B49,'[1]Debt Holding Consolidated'!$C$1:$AM$65536,12,FALSE),"")</f>
        <v/>
      </c>
    </row>
    <row r="50" spans="1:8" x14ac:dyDescent="0.2">
      <c r="A50" s="29"/>
      <c r="B50" s="29"/>
      <c r="C50" s="30" t="s">
        <v>71</v>
      </c>
      <c r="D50" s="29"/>
      <c r="E50" s="29"/>
      <c r="F50" s="29"/>
      <c r="G50" s="29"/>
      <c r="H50" s="31" t="str">
        <f>IFERROR(VLOOKUP(B50,'[1]Debt Holding Consolidated'!$C$1:$AM$65536,12,FALSE),"")</f>
        <v/>
      </c>
    </row>
    <row r="51" spans="1:8" ht="25.5" x14ac:dyDescent="0.2">
      <c r="A51" s="39">
        <v>1</v>
      </c>
      <c r="B51" s="40" t="s">
        <v>72</v>
      </c>
      <c r="C51" s="40" t="s">
        <v>73</v>
      </c>
      <c r="D51" s="40" t="s">
        <v>74</v>
      </c>
      <c r="E51" s="41">
        <v>4800000</v>
      </c>
      <c r="F51" s="42">
        <v>4877.1455999999998</v>
      </c>
      <c r="G51" s="43">
        <v>0.14572376000000001</v>
      </c>
      <c r="H51" s="31">
        <f>IFERROR(VLOOKUP(B51,'[1]Debt Holding Consolidated'!$C$1:$AM$65536,12,FALSE),"")</f>
        <v>6.9813999999999998</v>
      </c>
    </row>
    <row r="52" spans="1:8" x14ac:dyDescent="0.2">
      <c r="A52" s="39">
        <v>2</v>
      </c>
      <c r="B52" s="40" t="s">
        <v>75</v>
      </c>
      <c r="C52" s="40" t="s">
        <v>76</v>
      </c>
      <c r="D52" s="40" t="s">
        <v>74</v>
      </c>
      <c r="E52" s="41">
        <v>1000000</v>
      </c>
      <c r="F52" s="42">
        <v>1023.147</v>
      </c>
      <c r="G52" s="43">
        <v>3.0570509999999999E-2</v>
      </c>
      <c r="H52" s="31">
        <f>IFERROR(VLOOKUP(B52,'[1]Debt Holding Consolidated'!$C$1:$AM$65536,12,FALSE),"")</f>
        <v>6.9595000000000002</v>
      </c>
    </row>
    <row r="53" spans="1:8" ht="25.5" x14ac:dyDescent="0.2">
      <c r="A53" s="39">
        <v>3</v>
      </c>
      <c r="B53" s="40" t="s">
        <v>79</v>
      </c>
      <c r="C53" s="40" t="s">
        <v>80</v>
      </c>
      <c r="D53" s="40" t="s">
        <v>74</v>
      </c>
      <c r="E53" s="41">
        <v>500000</v>
      </c>
      <c r="F53" s="42">
        <v>518.9665</v>
      </c>
      <c r="G53" s="43">
        <v>1.550615E-2</v>
      </c>
      <c r="H53" s="31">
        <f>IFERROR(VLOOKUP(B53,'[1]Debt Holding Consolidated'!$C$1:$AM$65536,12,FALSE),"")</f>
        <v>7.1776999999999997</v>
      </c>
    </row>
    <row r="54" spans="1:8" x14ac:dyDescent="0.2">
      <c r="A54" s="39">
        <v>4</v>
      </c>
      <c r="B54" s="40" t="s">
        <v>77</v>
      </c>
      <c r="C54" s="40" t="s">
        <v>78</v>
      </c>
      <c r="D54" s="40" t="s">
        <v>74</v>
      </c>
      <c r="E54" s="41">
        <v>500000</v>
      </c>
      <c r="F54" s="42">
        <v>516.59299999999996</v>
      </c>
      <c r="G54" s="43">
        <v>1.5435229999999999E-2</v>
      </c>
      <c r="H54" s="31">
        <f>IFERROR(VLOOKUP(B54,'[1]Debt Holding Consolidated'!$C$1:$AM$65536,12,FALSE),"")</f>
        <v>7.1519000000000004</v>
      </c>
    </row>
    <row r="55" spans="1:8" ht="25.5" x14ac:dyDescent="0.2">
      <c r="A55" s="39">
        <v>5</v>
      </c>
      <c r="B55" s="40" t="s">
        <v>83</v>
      </c>
      <c r="C55" s="40" t="s">
        <v>84</v>
      </c>
      <c r="D55" s="40" t="s">
        <v>74</v>
      </c>
      <c r="E55" s="41">
        <v>500000</v>
      </c>
      <c r="F55" s="42">
        <v>513.99950000000001</v>
      </c>
      <c r="G55" s="43">
        <v>1.535774E-2</v>
      </c>
      <c r="H55" s="31">
        <f>IFERROR(VLOOKUP(B55,'[1]Debt Holding Consolidated'!$C$1:$AM$65536,12,FALSE),"")</f>
        <v>7.0387000000000004</v>
      </c>
    </row>
    <row r="56" spans="1:8" x14ac:dyDescent="0.2">
      <c r="A56" s="29"/>
      <c r="B56" s="29"/>
      <c r="C56" s="30" t="s">
        <v>10</v>
      </c>
      <c r="D56" s="29"/>
      <c r="E56" s="29" t="s">
        <v>11</v>
      </c>
      <c r="F56" s="38">
        <v>7449.8516</v>
      </c>
      <c r="G56" s="33">
        <v>0.22259339</v>
      </c>
      <c r="H56" s="31" t="str">
        <f>IFERROR(VLOOKUP(B56,'[1]Debt Holding Consolidated'!$C$1:$AM$65536,12,FALSE),"")</f>
        <v/>
      </c>
    </row>
    <row r="57" spans="1:8" x14ac:dyDescent="0.2">
      <c r="A57" s="29"/>
      <c r="B57" s="29"/>
      <c r="C57" s="34"/>
      <c r="D57" s="29"/>
      <c r="E57" s="29"/>
      <c r="F57" s="35"/>
      <c r="G57" s="35"/>
      <c r="H57" s="31" t="str">
        <f>IFERROR(VLOOKUP(B57,'[1]Debt Holding Consolidated'!$C$1:$AM$65536,12,FALSE),"")</f>
        <v/>
      </c>
    </row>
    <row r="58" spans="1:8" x14ac:dyDescent="0.2">
      <c r="A58" s="29"/>
      <c r="B58" s="29"/>
      <c r="C58" s="30" t="s">
        <v>87</v>
      </c>
      <c r="D58" s="29"/>
      <c r="E58" s="29"/>
      <c r="F58" s="35"/>
      <c r="G58" s="35"/>
      <c r="H58" s="31" t="str">
        <f>IFERROR(VLOOKUP(B58,'[1]Debt Holding Consolidated'!$C$1:$AM$65536,12,FALSE),"")</f>
        <v/>
      </c>
    </row>
    <row r="59" spans="1:8" x14ac:dyDescent="0.2">
      <c r="A59" s="29"/>
      <c r="B59" s="29"/>
      <c r="C59" s="30" t="s">
        <v>10</v>
      </c>
      <c r="D59" s="29"/>
      <c r="E59" s="29" t="s">
        <v>11</v>
      </c>
      <c r="F59" s="32" t="s">
        <v>12</v>
      </c>
      <c r="G59" s="33">
        <v>0</v>
      </c>
      <c r="H59" s="31" t="str">
        <f>IFERROR(VLOOKUP(B59,'[1]Debt Holding Consolidated'!$C$1:$AM$65536,12,FALSE),"")</f>
        <v/>
      </c>
    </row>
    <row r="60" spans="1:8" x14ac:dyDescent="0.2">
      <c r="A60" s="29"/>
      <c r="B60" s="29"/>
      <c r="C60" s="34"/>
      <c r="D60" s="29"/>
      <c r="E60" s="29"/>
      <c r="F60" s="35"/>
      <c r="G60" s="35"/>
      <c r="H60" s="31" t="str">
        <f>IFERROR(VLOOKUP(B60,'[1]Debt Holding Consolidated'!$C$1:$AM$65536,12,FALSE),"")</f>
        <v/>
      </c>
    </row>
    <row r="61" spans="1:8" x14ac:dyDescent="0.2">
      <c r="A61" s="29"/>
      <c r="B61" s="29"/>
      <c r="C61" s="30" t="s">
        <v>88</v>
      </c>
      <c r="D61" s="29"/>
      <c r="E61" s="29"/>
      <c r="F61" s="38">
        <v>30983.1021</v>
      </c>
      <c r="G61" s="33">
        <v>0.92574104000000002</v>
      </c>
      <c r="H61" s="31" t="str">
        <f>IFERROR(VLOOKUP(B61,'[1]Debt Holding Consolidated'!$C$1:$AM$65536,12,FALSE),"")</f>
        <v/>
      </c>
    </row>
    <row r="62" spans="1:8" x14ac:dyDescent="0.2">
      <c r="A62" s="29"/>
      <c r="B62" s="29"/>
      <c r="C62" s="34"/>
      <c r="D62" s="29"/>
      <c r="E62" s="29"/>
      <c r="F62" s="35"/>
      <c r="G62" s="35"/>
      <c r="H62" s="31" t="str">
        <f>IFERROR(VLOOKUP(B62,'[1]Debt Holding Consolidated'!$C$1:$AM$65536,12,FALSE),"")</f>
        <v/>
      </c>
    </row>
    <row r="63" spans="1:8" x14ac:dyDescent="0.2">
      <c r="A63" s="29"/>
      <c r="B63" s="29"/>
      <c r="C63" s="30" t="s">
        <v>89</v>
      </c>
      <c r="D63" s="29"/>
      <c r="E63" s="29"/>
      <c r="F63" s="35"/>
      <c r="G63" s="35"/>
      <c r="H63" s="31" t="str">
        <f>IFERROR(VLOOKUP(B63,'[1]Debt Holding Consolidated'!$C$1:$AM$65536,12,FALSE),"")</f>
        <v/>
      </c>
    </row>
    <row r="64" spans="1:8" x14ac:dyDescent="0.2">
      <c r="A64" s="29"/>
      <c r="B64" s="29"/>
      <c r="C64" s="30" t="s">
        <v>90</v>
      </c>
      <c r="D64" s="29"/>
      <c r="E64" s="29"/>
      <c r="F64" s="35"/>
      <c r="G64" s="35"/>
      <c r="H64" s="31" t="str">
        <f>IFERROR(VLOOKUP(B64,'[1]Debt Holding Consolidated'!$C$1:$AM$65536,12,FALSE),"")</f>
        <v/>
      </c>
    </row>
    <row r="65" spans="1:8" x14ac:dyDescent="0.2">
      <c r="A65" s="29"/>
      <c r="B65" s="29"/>
      <c r="C65" s="30" t="s">
        <v>10</v>
      </c>
      <c r="D65" s="29"/>
      <c r="E65" s="29" t="s">
        <v>11</v>
      </c>
      <c r="F65" s="32" t="s">
        <v>12</v>
      </c>
      <c r="G65" s="33">
        <v>0</v>
      </c>
      <c r="H65" s="31" t="str">
        <f>IFERROR(VLOOKUP(B65,'[1]Debt Holding Consolidated'!$C$1:$AM$65536,12,FALSE),"")</f>
        <v/>
      </c>
    </row>
    <row r="66" spans="1:8" x14ac:dyDescent="0.2">
      <c r="A66" s="29"/>
      <c r="B66" s="29"/>
      <c r="C66" s="34"/>
      <c r="D66" s="29"/>
      <c r="E66" s="29"/>
      <c r="F66" s="35"/>
      <c r="G66" s="35"/>
      <c r="H66" s="31" t="str">
        <f>IFERROR(VLOOKUP(B66,'[1]Debt Holding Consolidated'!$C$1:$AM$65536,12,FALSE),"")</f>
        <v/>
      </c>
    </row>
    <row r="67" spans="1:8" x14ac:dyDescent="0.2">
      <c r="A67" s="29"/>
      <c r="B67" s="29"/>
      <c r="C67" s="30" t="s">
        <v>91</v>
      </c>
      <c r="D67" s="29"/>
      <c r="E67" s="29"/>
      <c r="F67" s="35"/>
      <c r="G67" s="35"/>
      <c r="H67" s="31" t="str">
        <f>IFERROR(VLOOKUP(B67,'[1]Debt Holding Consolidated'!$C$1:$AM$65536,12,FALSE),"")</f>
        <v/>
      </c>
    </row>
    <row r="68" spans="1:8" x14ac:dyDescent="0.2">
      <c r="A68" s="29"/>
      <c r="B68" s="29"/>
      <c r="C68" s="30" t="s">
        <v>10</v>
      </c>
      <c r="D68" s="29"/>
      <c r="E68" s="29" t="s">
        <v>11</v>
      </c>
      <c r="F68" s="32" t="s">
        <v>12</v>
      </c>
      <c r="G68" s="33">
        <v>0</v>
      </c>
      <c r="H68" s="31" t="str">
        <f>IFERROR(VLOOKUP(B68,'[1]Debt Holding Consolidated'!$C$1:$AM$65536,12,FALSE),"")</f>
        <v/>
      </c>
    </row>
    <row r="69" spans="1:8" x14ac:dyDescent="0.2">
      <c r="A69" s="29"/>
      <c r="B69" s="29"/>
      <c r="C69" s="34"/>
      <c r="D69" s="29"/>
      <c r="E69" s="29"/>
      <c r="F69" s="35"/>
      <c r="G69" s="35"/>
      <c r="H69" s="31" t="str">
        <f>IFERROR(VLOOKUP(B69,'[1]Debt Holding Consolidated'!$C$1:$AM$65536,12,FALSE),"")</f>
        <v/>
      </c>
    </row>
    <row r="70" spans="1:8" x14ac:dyDescent="0.2">
      <c r="A70" s="29"/>
      <c r="B70" s="29"/>
      <c r="C70" s="30" t="s">
        <v>92</v>
      </c>
      <c r="D70" s="29"/>
      <c r="E70" s="29"/>
      <c r="F70" s="35"/>
      <c r="G70" s="35"/>
      <c r="H70" s="31" t="str">
        <f>IFERROR(VLOOKUP(B70,'[1]Debt Holding Consolidated'!$C$1:$AM$65536,12,FALSE),"")</f>
        <v/>
      </c>
    </row>
    <row r="71" spans="1:8" x14ac:dyDescent="0.2">
      <c r="A71" s="29"/>
      <c r="B71" s="29"/>
      <c r="C71" s="30" t="s">
        <v>10</v>
      </c>
      <c r="D71" s="29"/>
      <c r="E71" s="29" t="s">
        <v>11</v>
      </c>
      <c r="F71" s="32" t="s">
        <v>12</v>
      </c>
      <c r="G71" s="33">
        <v>0</v>
      </c>
      <c r="H71" s="31" t="str">
        <f>IFERROR(VLOOKUP(B71,'[1]Debt Holding Consolidated'!$C$1:$AM$65536,12,FALSE),"")</f>
        <v/>
      </c>
    </row>
    <row r="72" spans="1:8" x14ac:dyDescent="0.2">
      <c r="A72" s="29"/>
      <c r="B72" s="29"/>
      <c r="C72" s="34"/>
      <c r="D72" s="29"/>
      <c r="E72" s="29"/>
      <c r="F72" s="35"/>
      <c r="G72" s="35"/>
      <c r="H72" s="31" t="str">
        <f>IFERROR(VLOOKUP(B72,'[1]Debt Holding Consolidated'!$C$1:$AM$65536,12,FALSE),"")</f>
        <v/>
      </c>
    </row>
    <row r="73" spans="1:8" x14ac:dyDescent="0.2">
      <c r="A73" s="29"/>
      <c r="B73" s="29"/>
      <c r="C73" s="30" t="s">
        <v>93</v>
      </c>
      <c r="D73" s="29"/>
      <c r="E73" s="29"/>
      <c r="F73" s="35"/>
      <c r="G73" s="35"/>
      <c r="H73" s="31" t="str">
        <f>IFERROR(VLOOKUP(B73,'[1]Debt Holding Consolidated'!$C$1:$AM$65536,12,FALSE),"")</f>
        <v/>
      </c>
    </row>
    <row r="74" spans="1:8" x14ac:dyDescent="0.2">
      <c r="A74" s="39">
        <v>1</v>
      </c>
      <c r="B74" s="40"/>
      <c r="C74" s="40" t="s">
        <v>94</v>
      </c>
      <c r="D74" s="40"/>
      <c r="E74" s="44"/>
      <c r="F74" s="42">
        <v>1242.3420388980001</v>
      </c>
      <c r="G74" s="43">
        <v>3.7119819999999998E-2</v>
      </c>
      <c r="H74" s="31">
        <v>6.34</v>
      </c>
    </row>
    <row r="75" spans="1:8" x14ac:dyDescent="0.2">
      <c r="A75" s="29"/>
      <c r="B75" s="29"/>
      <c r="C75" s="30" t="s">
        <v>10</v>
      </c>
      <c r="D75" s="29"/>
      <c r="E75" s="29" t="s">
        <v>11</v>
      </c>
      <c r="F75" s="38">
        <v>1242.3420388980001</v>
      </c>
      <c r="G75" s="33">
        <v>3.7119819999999998E-2</v>
      </c>
      <c r="H75" s="31" t="s">
        <v>11</v>
      </c>
    </row>
    <row r="76" spans="1:8" x14ac:dyDescent="0.2">
      <c r="A76" s="29"/>
      <c r="B76" s="29"/>
      <c r="C76" s="34"/>
      <c r="D76" s="29"/>
      <c r="E76" s="29"/>
      <c r="F76" s="35"/>
      <c r="G76" s="35"/>
      <c r="H76" s="31" t="s">
        <v>11</v>
      </c>
    </row>
    <row r="77" spans="1:8" x14ac:dyDescent="0.2">
      <c r="A77" s="29"/>
      <c r="B77" s="29"/>
      <c r="C77" s="30" t="s">
        <v>95</v>
      </c>
      <c r="D77" s="29"/>
      <c r="E77" s="29"/>
      <c r="F77" s="38">
        <v>1242.3420388980001</v>
      </c>
      <c r="G77" s="33">
        <v>3.7119819999999998E-2</v>
      </c>
      <c r="H77" s="31" t="s">
        <v>11</v>
      </c>
    </row>
    <row r="78" spans="1:8" x14ac:dyDescent="0.2">
      <c r="A78" s="29"/>
      <c r="B78" s="29"/>
      <c r="C78" s="35"/>
      <c r="D78" s="29"/>
      <c r="E78" s="29"/>
      <c r="F78" s="29"/>
      <c r="G78" s="29"/>
      <c r="H78" s="31" t="s">
        <v>11</v>
      </c>
    </row>
    <row r="79" spans="1:8" x14ac:dyDescent="0.2">
      <c r="A79" s="29"/>
      <c r="B79" s="29"/>
      <c r="C79" s="30" t="s">
        <v>96</v>
      </c>
      <c r="D79" s="29"/>
      <c r="E79" s="29"/>
      <c r="F79" s="29"/>
      <c r="G79" s="29"/>
      <c r="H79" s="31" t="s">
        <v>11</v>
      </c>
    </row>
    <row r="80" spans="1:8" x14ac:dyDescent="0.2">
      <c r="A80" s="29"/>
      <c r="B80" s="29"/>
      <c r="C80" s="30" t="s">
        <v>97</v>
      </c>
      <c r="D80" s="29"/>
      <c r="E80" s="29"/>
      <c r="F80" s="29"/>
      <c r="G80" s="29"/>
      <c r="H80" s="31" t="s">
        <v>11</v>
      </c>
    </row>
    <row r="81" spans="1:18" x14ac:dyDescent="0.2">
      <c r="A81" s="29"/>
      <c r="B81" s="29"/>
      <c r="C81" s="30" t="s">
        <v>10</v>
      </c>
      <c r="D81" s="29"/>
      <c r="E81" s="29" t="s">
        <v>11</v>
      </c>
      <c r="F81" s="32" t="s">
        <v>12</v>
      </c>
      <c r="G81" s="33">
        <v>0</v>
      </c>
      <c r="H81" s="31" t="s">
        <v>11</v>
      </c>
    </row>
    <row r="82" spans="1:18" x14ac:dyDescent="0.2">
      <c r="A82" s="45"/>
      <c r="B82" s="45"/>
      <c r="C82" s="46"/>
      <c r="D82" s="45"/>
      <c r="E82" s="45"/>
      <c r="F82" s="47"/>
      <c r="G82" s="47"/>
      <c r="H82" s="31" t="s">
        <v>11</v>
      </c>
    </row>
    <row r="83" spans="1:18" x14ac:dyDescent="0.2">
      <c r="A83" s="45"/>
      <c r="B83" s="45"/>
      <c r="C83" s="17" t="s">
        <v>581</v>
      </c>
      <c r="D83" s="45"/>
      <c r="E83" s="45"/>
      <c r="F83" s="47"/>
      <c r="G83" s="47"/>
      <c r="H83" s="48"/>
      <c r="L83" s="9"/>
      <c r="M83" s="9"/>
      <c r="N83" s="9"/>
      <c r="O83" s="9"/>
      <c r="P83" s="10"/>
      <c r="Q83" s="10"/>
      <c r="R83" s="10"/>
    </row>
    <row r="84" spans="1:18" ht="25.5" x14ac:dyDescent="0.2">
      <c r="A84" s="49">
        <v>1</v>
      </c>
      <c r="B84" s="50" t="s">
        <v>98</v>
      </c>
      <c r="C84" s="50" t="s">
        <v>99</v>
      </c>
      <c r="D84" s="50"/>
      <c r="E84" s="51">
        <v>1138.2429999999999</v>
      </c>
      <c r="F84" s="48">
        <v>118.951849099</v>
      </c>
      <c r="G84" s="52">
        <v>3.5541499999999998E-3</v>
      </c>
      <c r="H84" s="31"/>
    </row>
    <row r="85" spans="1:18" x14ac:dyDescent="0.2">
      <c r="A85" s="45"/>
      <c r="B85" s="45"/>
      <c r="C85" s="17" t="s">
        <v>10</v>
      </c>
      <c r="D85" s="45"/>
      <c r="E85" s="45" t="s">
        <v>11</v>
      </c>
      <c r="F85" s="53">
        <f>SUM(F84)</f>
        <v>118.951849099</v>
      </c>
      <c r="G85" s="54">
        <f>SUM(G84)</f>
        <v>3.5541499999999998E-3</v>
      </c>
      <c r="H85" s="31" t="s">
        <v>11</v>
      </c>
    </row>
    <row r="86" spans="1:18" x14ac:dyDescent="0.2">
      <c r="A86" s="29"/>
      <c r="B86" s="29"/>
      <c r="C86" s="34"/>
      <c r="D86" s="29"/>
      <c r="E86" s="29"/>
      <c r="F86" s="35"/>
      <c r="G86" s="35"/>
      <c r="H86" s="31" t="s">
        <v>11</v>
      </c>
    </row>
    <row r="87" spans="1:18" x14ac:dyDescent="0.2">
      <c r="A87" s="29"/>
      <c r="B87" s="29"/>
      <c r="C87" s="30" t="s">
        <v>100</v>
      </c>
      <c r="D87" s="29"/>
      <c r="E87" s="29"/>
      <c r="F87" s="29"/>
      <c r="G87" s="29"/>
      <c r="H87" s="31" t="s">
        <v>11</v>
      </c>
    </row>
    <row r="88" spans="1:18" x14ac:dyDescent="0.2">
      <c r="A88" s="29"/>
      <c r="B88" s="29"/>
      <c r="C88" s="30" t="s">
        <v>101</v>
      </c>
      <c r="D88" s="29"/>
      <c r="E88" s="29"/>
      <c r="F88" s="29"/>
      <c r="G88" s="29"/>
      <c r="H88" s="31" t="s">
        <v>11</v>
      </c>
    </row>
    <row r="89" spans="1:18" x14ac:dyDescent="0.2">
      <c r="A89" s="29"/>
      <c r="B89" s="29"/>
      <c r="C89" s="30" t="s">
        <v>10</v>
      </c>
      <c r="D89" s="29"/>
      <c r="E89" s="29" t="s">
        <v>11</v>
      </c>
      <c r="F89" s="32" t="s">
        <v>12</v>
      </c>
      <c r="G89" s="33">
        <v>0</v>
      </c>
      <c r="H89" s="31" t="s">
        <v>11</v>
      </c>
    </row>
    <row r="90" spans="1:18" x14ac:dyDescent="0.2">
      <c r="A90" s="29"/>
      <c r="B90" s="29"/>
      <c r="C90" s="34"/>
      <c r="D90" s="29"/>
      <c r="E90" s="29"/>
      <c r="F90" s="35"/>
      <c r="G90" s="35"/>
      <c r="H90" s="31" t="s">
        <v>11</v>
      </c>
    </row>
    <row r="91" spans="1:18" x14ac:dyDescent="0.2">
      <c r="A91" s="29"/>
      <c r="B91" s="29"/>
      <c r="C91" s="30" t="s">
        <v>102</v>
      </c>
      <c r="D91" s="29"/>
      <c r="E91" s="29"/>
      <c r="F91" s="35"/>
      <c r="G91" s="35"/>
      <c r="H91" s="31" t="s">
        <v>11</v>
      </c>
    </row>
    <row r="92" spans="1:18" x14ac:dyDescent="0.2">
      <c r="A92" s="29"/>
      <c r="B92" s="29"/>
      <c r="C92" s="30" t="s">
        <v>10</v>
      </c>
      <c r="D92" s="29"/>
      <c r="E92" s="29" t="s">
        <v>11</v>
      </c>
      <c r="F92" s="32" t="s">
        <v>12</v>
      </c>
      <c r="G92" s="33">
        <v>0</v>
      </c>
      <c r="H92" s="31" t="s">
        <v>11</v>
      </c>
    </row>
    <row r="93" spans="1:18" x14ac:dyDescent="0.2">
      <c r="A93" s="29"/>
      <c r="B93" s="29"/>
      <c r="C93" s="34"/>
      <c r="D93" s="29"/>
      <c r="E93" s="29"/>
      <c r="F93" s="35"/>
      <c r="G93" s="35"/>
      <c r="H93" s="31" t="s">
        <v>11</v>
      </c>
    </row>
    <row r="94" spans="1:18" x14ac:dyDescent="0.2">
      <c r="A94" s="44"/>
      <c r="B94" s="40"/>
      <c r="C94" s="40" t="s">
        <v>103</v>
      </c>
      <c r="D94" s="40"/>
      <c r="E94" s="44"/>
      <c r="F94" s="42">
        <f>1124.03612513-0.000271206998825073</f>
        <v>1124.0358539230012</v>
      </c>
      <c r="G94" s="43">
        <v>3.3584969999999999E-2</v>
      </c>
      <c r="H94" s="31" t="s">
        <v>11</v>
      </c>
    </row>
    <row r="95" spans="1:18" x14ac:dyDescent="0.2">
      <c r="A95" s="34"/>
      <c r="B95" s="34"/>
      <c r="C95" s="30" t="s">
        <v>104</v>
      </c>
      <c r="D95" s="35"/>
      <c r="E95" s="35"/>
      <c r="F95" s="38">
        <f>33468.432113127-0.000271206998825073</f>
        <v>33468.431841919999</v>
      </c>
      <c r="G95" s="55">
        <v>0.99999998000000001</v>
      </c>
      <c r="H95" s="31" t="s">
        <v>11</v>
      </c>
    </row>
    <row r="96" spans="1:18" x14ac:dyDescent="0.2">
      <c r="A96" s="56"/>
      <c r="B96" s="56"/>
      <c r="C96" s="56"/>
      <c r="D96" s="57"/>
      <c r="E96" s="57"/>
      <c r="F96" s="57"/>
      <c r="G96" s="57"/>
    </row>
    <row r="97" spans="1:10" x14ac:dyDescent="0.2">
      <c r="A97" s="58"/>
      <c r="B97" s="138" t="s">
        <v>582</v>
      </c>
      <c r="C97" s="138"/>
      <c r="D97" s="138"/>
      <c r="E97" s="138"/>
      <c r="F97" s="138"/>
      <c r="G97" s="138"/>
      <c r="H97" s="138"/>
    </row>
    <row r="98" spans="1:10" x14ac:dyDescent="0.2">
      <c r="A98" s="58"/>
      <c r="B98" s="138" t="s">
        <v>583</v>
      </c>
      <c r="C98" s="138"/>
      <c r="D98" s="138"/>
      <c r="E98" s="138"/>
      <c r="F98" s="138"/>
      <c r="G98" s="138"/>
      <c r="H98" s="138"/>
    </row>
    <row r="99" spans="1:10" x14ac:dyDescent="0.2">
      <c r="A99" s="58"/>
      <c r="B99" s="138" t="s">
        <v>584</v>
      </c>
      <c r="C99" s="138"/>
      <c r="D99" s="138"/>
      <c r="E99" s="138"/>
      <c r="F99" s="138"/>
      <c r="G99" s="138"/>
      <c r="H99" s="138"/>
    </row>
    <row r="100" spans="1:10" x14ac:dyDescent="0.2">
      <c r="A100" s="59"/>
      <c r="B100" s="59"/>
      <c r="C100" s="59"/>
      <c r="D100" s="60"/>
      <c r="E100" s="60"/>
      <c r="F100" s="60"/>
      <c r="G100" s="60"/>
    </row>
    <row r="101" spans="1:10" x14ac:dyDescent="0.2">
      <c r="A101" s="59"/>
      <c r="B101" s="131" t="s">
        <v>105</v>
      </c>
      <c r="C101" s="132"/>
      <c r="D101" s="133"/>
      <c r="E101" s="61"/>
      <c r="F101" s="60"/>
      <c r="G101" s="60"/>
    </row>
    <row r="102" spans="1:10" x14ac:dyDescent="0.2">
      <c r="A102" s="59"/>
      <c r="B102" s="134" t="s">
        <v>106</v>
      </c>
      <c r="C102" s="135"/>
      <c r="D102" s="30" t="s">
        <v>107</v>
      </c>
      <c r="E102" s="61"/>
      <c r="F102" s="60"/>
      <c r="G102" s="60"/>
    </row>
    <row r="103" spans="1:10" x14ac:dyDescent="0.2">
      <c r="A103" s="59"/>
      <c r="B103" s="134" t="s">
        <v>108</v>
      </c>
      <c r="C103" s="135"/>
      <c r="D103" s="30" t="s">
        <v>107</v>
      </c>
      <c r="E103" s="61"/>
      <c r="F103" s="60"/>
      <c r="G103" s="60"/>
    </row>
    <row r="104" spans="1:10" x14ac:dyDescent="0.2">
      <c r="A104" s="59"/>
      <c r="B104" s="134" t="s">
        <v>109</v>
      </c>
      <c r="C104" s="135"/>
      <c r="D104" s="35" t="s">
        <v>11</v>
      </c>
      <c r="E104" s="61"/>
      <c r="F104" s="60"/>
      <c r="G104" s="60"/>
    </row>
    <row r="105" spans="1:10" x14ac:dyDescent="0.2">
      <c r="A105" s="18"/>
      <c r="B105" s="62" t="s">
        <v>11</v>
      </c>
      <c r="C105" s="62" t="s">
        <v>585</v>
      </c>
      <c r="D105" s="62" t="s">
        <v>110</v>
      </c>
      <c r="E105" s="18"/>
      <c r="F105" s="18"/>
      <c r="G105" s="18"/>
      <c r="H105" s="63"/>
    </row>
    <row r="106" spans="1:10" x14ac:dyDescent="0.2">
      <c r="A106" s="64"/>
      <c r="B106" s="65" t="s">
        <v>111</v>
      </c>
      <c r="C106" s="66">
        <v>45596</v>
      </c>
      <c r="D106" s="66">
        <v>45611</v>
      </c>
      <c r="E106" s="64"/>
      <c r="F106" s="64"/>
      <c r="G106" s="64"/>
      <c r="J106"/>
    </row>
    <row r="107" spans="1:10" x14ac:dyDescent="0.2">
      <c r="A107" s="64"/>
      <c r="B107" s="40" t="s">
        <v>112</v>
      </c>
      <c r="C107" s="67">
        <v>41.295400000000001</v>
      </c>
      <c r="D107" s="67">
        <v>41.375399999999999</v>
      </c>
      <c r="E107" s="64"/>
      <c r="F107" s="68"/>
      <c r="G107" s="69"/>
    </row>
    <row r="108" spans="1:10" x14ac:dyDescent="0.2">
      <c r="A108" s="64"/>
      <c r="B108" s="40" t="s">
        <v>140</v>
      </c>
      <c r="C108" s="67">
        <v>20.658799999999999</v>
      </c>
      <c r="D108" s="67">
        <v>20.698799999999999</v>
      </c>
      <c r="E108" s="64"/>
      <c r="F108" s="68"/>
      <c r="G108" s="69"/>
    </row>
    <row r="109" spans="1:10" ht="25.5" x14ac:dyDescent="0.2">
      <c r="A109" s="64"/>
      <c r="B109" s="40" t="s">
        <v>674</v>
      </c>
      <c r="C109" s="67">
        <v>11.5219</v>
      </c>
      <c r="D109" s="67">
        <v>11.5085</v>
      </c>
      <c r="E109" s="64"/>
      <c r="F109" s="68"/>
      <c r="G109" s="69"/>
    </row>
    <row r="110" spans="1:10" x14ac:dyDescent="0.2">
      <c r="A110" s="64"/>
      <c r="B110" s="40" t="s">
        <v>113</v>
      </c>
      <c r="C110" s="67">
        <v>40.755600000000001</v>
      </c>
      <c r="D110" s="67">
        <v>40.8322</v>
      </c>
      <c r="E110" s="64"/>
      <c r="F110" s="68"/>
      <c r="G110" s="69"/>
    </row>
    <row r="111" spans="1:10" x14ac:dyDescent="0.2">
      <c r="A111" s="64"/>
      <c r="B111" s="40" t="s">
        <v>141</v>
      </c>
      <c r="C111" s="67">
        <v>20.5519</v>
      </c>
      <c r="D111" s="67">
        <v>20.590499999999999</v>
      </c>
      <c r="E111" s="64"/>
      <c r="F111" s="68"/>
      <c r="G111" s="69"/>
    </row>
    <row r="112" spans="1:10" ht="25.5" x14ac:dyDescent="0.2">
      <c r="A112" s="64"/>
      <c r="B112" s="40" t="s">
        <v>678</v>
      </c>
      <c r="C112" s="67">
        <v>11.574199999999999</v>
      </c>
      <c r="D112" s="67">
        <v>11.561299999999999</v>
      </c>
      <c r="E112" s="64"/>
      <c r="F112" s="68"/>
      <c r="G112" s="69"/>
    </row>
    <row r="113" spans="1:15" x14ac:dyDescent="0.2">
      <c r="A113" s="64"/>
      <c r="B113" s="64"/>
      <c r="C113" s="64"/>
      <c r="D113" s="64"/>
      <c r="E113" s="64"/>
      <c r="F113" s="64"/>
      <c r="G113" s="64"/>
    </row>
    <row r="114" spans="1:15" x14ac:dyDescent="0.2">
      <c r="A114" s="64"/>
      <c r="B114" s="134" t="s">
        <v>649</v>
      </c>
      <c r="C114" s="135"/>
      <c r="D114" s="30" t="s">
        <v>11</v>
      </c>
      <c r="E114" s="64"/>
      <c r="F114" s="64"/>
      <c r="G114" s="64"/>
    </row>
    <row r="115" spans="1:15" x14ac:dyDescent="0.2">
      <c r="A115" s="64"/>
      <c r="B115" s="70" t="s">
        <v>111</v>
      </c>
      <c r="C115" s="71" t="s">
        <v>114</v>
      </c>
      <c r="D115" s="71" t="s">
        <v>115</v>
      </c>
      <c r="E115" s="64"/>
      <c r="F115" s="64"/>
      <c r="G115" s="64"/>
    </row>
    <row r="116" spans="1:15" ht="25.5" x14ac:dyDescent="0.2">
      <c r="A116" s="64"/>
      <c r="B116" s="40" t="s">
        <v>674</v>
      </c>
      <c r="C116" s="72">
        <v>3.5700000000000003E-2</v>
      </c>
      <c r="D116" s="44" t="s">
        <v>116</v>
      </c>
      <c r="E116" s="64"/>
      <c r="F116" s="68"/>
      <c r="G116" s="69"/>
    </row>
    <row r="117" spans="1:15" ht="25.5" x14ac:dyDescent="0.2">
      <c r="A117" s="64"/>
      <c r="B117" s="40" t="s">
        <v>678</v>
      </c>
      <c r="C117" s="72">
        <v>3.4700000000000002E-2</v>
      </c>
      <c r="D117" s="72">
        <v>3.4700000000000002E-2</v>
      </c>
      <c r="E117" s="64"/>
      <c r="F117" s="68"/>
      <c r="G117" s="69"/>
      <c r="J117"/>
    </row>
    <row r="118" spans="1:15" x14ac:dyDescent="0.2">
      <c r="A118" s="64"/>
      <c r="B118" s="73"/>
      <c r="C118" s="73"/>
      <c r="D118" s="74"/>
      <c r="E118" s="64"/>
      <c r="F118" s="68"/>
      <c r="G118" s="69"/>
      <c r="J118"/>
    </row>
    <row r="119" spans="1:15" s="11" customFormat="1" x14ac:dyDescent="0.2">
      <c r="A119" s="77"/>
      <c r="B119" s="136" t="s">
        <v>595</v>
      </c>
      <c r="C119" s="137"/>
      <c r="D119" s="17" t="s">
        <v>107</v>
      </c>
      <c r="E119" s="77"/>
      <c r="F119" s="76"/>
      <c r="G119" s="77"/>
      <c r="I119"/>
      <c r="J119"/>
      <c r="K119" s="9"/>
      <c r="L119" s="9"/>
      <c r="M119" s="9"/>
      <c r="N119" s="9"/>
      <c r="O119" s="15"/>
    </row>
    <row r="120" spans="1:15" ht="24.75" customHeight="1" x14ac:dyDescent="0.2">
      <c r="A120" s="18"/>
      <c r="B120" s="136" t="s">
        <v>596</v>
      </c>
      <c r="C120" s="137"/>
      <c r="D120" s="17" t="s">
        <v>107</v>
      </c>
      <c r="E120" s="19"/>
      <c r="F120" s="18"/>
      <c r="G120" s="18"/>
      <c r="J120"/>
    </row>
    <row r="121" spans="1:15" ht="25.5" customHeight="1" x14ac:dyDescent="0.2">
      <c r="A121" s="18"/>
      <c r="B121" s="136" t="s">
        <v>597</v>
      </c>
      <c r="C121" s="137"/>
      <c r="D121" s="17" t="s">
        <v>107</v>
      </c>
      <c r="E121" s="19"/>
      <c r="F121" s="18"/>
      <c r="G121" s="18"/>
      <c r="J121"/>
    </row>
    <row r="122" spans="1:15" x14ac:dyDescent="0.2">
      <c r="A122" s="18"/>
      <c r="B122" s="136" t="s">
        <v>598</v>
      </c>
      <c r="C122" s="137"/>
      <c r="D122" s="17" t="s">
        <v>107</v>
      </c>
      <c r="E122" s="19"/>
      <c r="F122" s="18"/>
      <c r="G122" s="18"/>
      <c r="J122"/>
    </row>
    <row r="123" spans="1:15" x14ac:dyDescent="0.2">
      <c r="A123" s="20"/>
      <c r="B123" s="20"/>
      <c r="C123" s="20"/>
      <c r="D123" s="20"/>
      <c r="E123" s="20"/>
      <c r="F123" s="20"/>
      <c r="G123" s="20"/>
      <c r="J123"/>
    </row>
    <row r="124" spans="1:15" s="11" customFormat="1" x14ac:dyDescent="0.2">
      <c r="B124" s="139" t="s">
        <v>587</v>
      </c>
      <c r="C124" s="140"/>
      <c r="D124" s="141"/>
      <c r="I124"/>
      <c r="J124" s="2"/>
      <c r="K124" s="9"/>
      <c r="L124" s="9"/>
      <c r="M124" s="9"/>
      <c r="N124" s="9"/>
      <c r="O124" s="15"/>
    </row>
    <row r="125" spans="1:15" s="11" customFormat="1" ht="38.25" x14ac:dyDescent="0.2">
      <c r="B125" s="129" t="s">
        <v>588</v>
      </c>
      <c r="C125" s="129"/>
      <c r="D125" s="12" t="s">
        <v>119</v>
      </c>
      <c r="I125"/>
      <c r="J125" s="2"/>
      <c r="K125" s="9"/>
      <c r="L125" s="9"/>
      <c r="M125" s="9"/>
      <c r="N125" s="9"/>
      <c r="O125" s="15"/>
    </row>
    <row r="126" spans="1:15" s="11" customFormat="1" x14ac:dyDescent="0.2">
      <c r="B126" s="142" t="s">
        <v>589</v>
      </c>
      <c r="C126" s="142"/>
      <c r="D126" s="13"/>
      <c r="I126"/>
      <c r="J126" s="2"/>
      <c r="K126" s="9"/>
      <c r="L126" s="9"/>
      <c r="M126" s="9"/>
      <c r="N126" s="9"/>
      <c r="O126" s="15"/>
    </row>
    <row r="127" spans="1:15" s="11" customFormat="1" x14ac:dyDescent="0.2">
      <c r="B127" s="142"/>
      <c r="C127" s="142"/>
      <c r="D127" s="14"/>
      <c r="I127"/>
      <c r="J127"/>
      <c r="K127" s="9"/>
      <c r="L127" s="9"/>
      <c r="M127" s="9"/>
      <c r="N127" s="9"/>
      <c r="O127" s="15"/>
    </row>
    <row r="128" spans="1:15" s="11" customFormat="1" x14ac:dyDescent="0.2">
      <c r="B128" s="142" t="s">
        <v>590</v>
      </c>
      <c r="C128" s="142"/>
      <c r="D128" s="16">
        <v>7.2929026952143285</v>
      </c>
      <c r="I128"/>
      <c r="J128"/>
      <c r="K128" s="9"/>
      <c r="L128" s="9"/>
      <c r="M128" s="9"/>
      <c r="N128" s="9"/>
      <c r="O128" s="15"/>
    </row>
    <row r="129" spans="2:18" s="11" customFormat="1" x14ac:dyDescent="0.2">
      <c r="B129" s="142"/>
      <c r="C129" s="142"/>
      <c r="D129" s="14"/>
      <c r="I129"/>
      <c r="J129" s="2"/>
      <c r="K129" s="9"/>
      <c r="L129" s="9"/>
      <c r="M129" s="9"/>
      <c r="N129" s="9"/>
      <c r="O129" s="15"/>
    </row>
    <row r="130" spans="2:18" s="11" customFormat="1" x14ac:dyDescent="0.2">
      <c r="B130" s="142" t="s">
        <v>591</v>
      </c>
      <c r="C130" s="142"/>
      <c r="D130" s="16">
        <v>3.8284913244718637</v>
      </c>
      <c r="I130"/>
      <c r="J130" s="2"/>
      <c r="K130" s="9"/>
      <c r="L130" s="9"/>
      <c r="M130" s="9"/>
      <c r="N130" s="9"/>
      <c r="O130" s="15"/>
    </row>
    <row r="131" spans="2:18" s="11" customFormat="1" x14ac:dyDescent="0.2">
      <c r="B131" s="142" t="s">
        <v>592</v>
      </c>
      <c r="C131" s="142"/>
      <c r="D131" s="16">
        <v>5.3692776477800175</v>
      </c>
      <c r="I131"/>
      <c r="J131" s="2"/>
      <c r="K131" s="9"/>
      <c r="L131" s="9"/>
      <c r="M131" s="9"/>
      <c r="N131" s="9"/>
      <c r="O131" s="15"/>
    </row>
    <row r="132" spans="2:18" s="11" customFormat="1" x14ac:dyDescent="0.2">
      <c r="B132" s="142"/>
      <c r="C132" s="142"/>
      <c r="D132" s="14"/>
      <c r="I132"/>
      <c r="J132" s="2"/>
      <c r="K132" s="9"/>
      <c r="L132" s="9"/>
      <c r="M132" s="9"/>
      <c r="N132" s="9"/>
      <c r="O132" s="15"/>
      <c r="R132"/>
    </row>
    <row r="133" spans="2:18" s="11" customFormat="1" x14ac:dyDescent="0.2">
      <c r="B133" s="142" t="s">
        <v>593</v>
      </c>
      <c r="C133" s="142"/>
      <c r="D133" s="75" t="s">
        <v>681</v>
      </c>
      <c r="I133"/>
      <c r="J133" s="2"/>
      <c r="K133" s="9"/>
      <c r="L133" s="9"/>
      <c r="M133" s="9"/>
      <c r="N133" s="9"/>
      <c r="O133" s="15"/>
    </row>
    <row r="134" spans="2:18" s="11" customFormat="1" x14ac:dyDescent="0.2">
      <c r="B134" s="143" t="s">
        <v>594</v>
      </c>
      <c r="C134" s="145"/>
      <c r="D134" s="144"/>
      <c r="I134"/>
      <c r="J134" s="2"/>
      <c r="K134" s="9"/>
      <c r="L134" s="9"/>
      <c r="M134" s="9"/>
      <c r="N134" s="9"/>
      <c r="O134" s="15"/>
      <c r="R134"/>
    </row>
  </sheetData>
  <mergeCells count="26">
    <mergeCell ref="B131:C131"/>
    <mergeCell ref="B132:C132"/>
    <mergeCell ref="B133:C133"/>
    <mergeCell ref="B134:D134"/>
    <mergeCell ref="B126:C126"/>
    <mergeCell ref="B127:C127"/>
    <mergeCell ref="B128:C128"/>
    <mergeCell ref="B129:C129"/>
    <mergeCell ref="B130:C130"/>
    <mergeCell ref="B99:H99"/>
    <mergeCell ref="B119:C119"/>
    <mergeCell ref="B101:D101"/>
    <mergeCell ref="B102:C102"/>
    <mergeCell ref="B103:C103"/>
    <mergeCell ref="B104:C104"/>
    <mergeCell ref="B114:C114"/>
    <mergeCell ref="A1:H1"/>
    <mergeCell ref="A2:H2"/>
    <mergeCell ref="A3:H3"/>
    <mergeCell ref="B97:H97"/>
    <mergeCell ref="B98:H98"/>
    <mergeCell ref="B121:C121"/>
    <mergeCell ref="B122:C122"/>
    <mergeCell ref="B125:C125"/>
    <mergeCell ref="B124:D124"/>
    <mergeCell ref="B120:C120"/>
  </mergeCells>
  <hyperlinks>
    <hyperlink ref="I1" location="Index!B2" display="Index" xr:uid="{94584E76-40E2-418E-9662-4F27E0562561}"/>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E1F9E-F75A-4C59-ACD1-3FE340A9F1C3}">
  <sheetPr>
    <outlinePr summaryBelow="0" summaryRight="0"/>
  </sheetPr>
  <dimension ref="A1:R145"/>
  <sheetViews>
    <sheetView showGridLines="0" workbookViewId="0">
      <selection sqref="A1:H1"/>
    </sheetView>
  </sheetViews>
  <sheetFormatPr defaultRowHeight="12.75" x14ac:dyDescent="0.2"/>
  <cols>
    <col min="1" max="1" width="5.85546875" bestFit="1" customWidth="1"/>
    <col min="2" max="2" width="20.28515625" bestFit="1" customWidth="1"/>
    <col min="3" max="3" width="39.140625" bestFit="1" customWidth="1"/>
    <col min="4" max="4" width="11.28515625" bestFit="1" customWidth="1"/>
    <col min="5" max="5" width="8.7109375" bestFit="1" customWidth="1"/>
    <col min="6" max="6" width="10.140625" bestFit="1" customWidth="1"/>
    <col min="7" max="7" width="14" bestFit="1" customWidth="1"/>
    <col min="8" max="8" width="8.85546875" bestFit="1" customWidth="1"/>
    <col min="9" max="9" width="5.7109375" bestFit="1" customWidth="1"/>
    <col min="10" max="10" width="50.7109375" style="2" customWidth="1"/>
  </cols>
  <sheetData>
    <row r="1" spans="1:10" ht="15" x14ac:dyDescent="0.2">
      <c r="A1" s="130" t="s">
        <v>0</v>
      </c>
      <c r="B1" s="130"/>
      <c r="C1" s="130"/>
      <c r="D1" s="130"/>
      <c r="E1" s="130"/>
      <c r="F1" s="130"/>
      <c r="G1" s="130"/>
      <c r="H1" s="130"/>
      <c r="I1" s="1" t="s">
        <v>562</v>
      </c>
    </row>
    <row r="2" spans="1:10" ht="15" x14ac:dyDescent="0.2">
      <c r="A2" s="130" t="s">
        <v>142</v>
      </c>
      <c r="B2" s="130"/>
      <c r="C2" s="130"/>
      <c r="D2" s="130"/>
      <c r="E2" s="130"/>
      <c r="F2" s="130"/>
      <c r="G2" s="130"/>
      <c r="H2" s="130"/>
      <c r="J2" s="26" t="s">
        <v>563</v>
      </c>
    </row>
    <row r="3" spans="1:10" ht="15" x14ac:dyDescent="0.2">
      <c r="A3" s="130" t="s">
        <v>579</v>
      </c>
      <c r="B3" s="130"/>
      <c r="C3" s="130"/>
      <c r="D3" s="130"/>
      <c r="E3" s="130"/>
      <c r="F3" s="130"/>
      <c r="G3" s="130"/>
      <c r="H3" s="130"/>
    </row>
    <row r="4" spans="1:10" s="2" customFormat="1" ht="30" x14ac:dyDescent="0.2">
      <c r="A4" s="27" t="s">
        <v>1</v>
      </c>
      <c r="B4" s="27" t="s">
        <v>2</v>
      </c>
      <c r="C4" s="27" t="s">
        <v>3</v>
      </c>
      <c r="D4" s="27" t="s">
        <v>4</v>
      </c>
      <c r="E4" s="27" t="s">
        <v>5</v>
      </c>
      <c r="F4" s="27" t="s">
        <v>6</v>
      </c>
      <c r="G4" s="27" t="s">
        <v>7</v>
      </c>
      <c r="H4" s="28" t="s">
        <v>580</v>
      </c>
    </row>
    <row r="5" spans="1:10" x14ac:dyDescent="0.2">
      <c r="A5" s="29"/>
      <c r="B5" s="29"/>
      <c r="C5" s="30" t="s">
        <v>8</v>
      </c>
      <c r="D5" s="29"/>
      <c r="E5" s="29"/>
      <c r="F5" s="29"/>
      <c r="G5" s="29"/>
      <c r="H5" s="31" t="str">
        <f>IFERROR(VLOOKUP(B5,'[1]Debt Holding Consolidated'!$C$1:$AM$65536,12,FALSE),"")</f>
        <v/>
      </c>
    </row>
    <row r="6" spans="1:10" x14ac:dyDescent="0.2">
      <c r="A6" s="29"/>
      <c r="B6" s="29"/>
      <c r="C6" s="30" t="s">
        <v>9</v>
      </c>
      <c r="D6" s="29"/>
      <c r="E6" s="29"/>
      <c r="F6" s="29"/>
      <c r="G6" s="29"/>
      <c r="H6" s="31" t="str">
        <f>IFERROR(VLOOKUP(B6,'[1]Debt Holding Consolidated'!$C$1:$AM$65536,12,FALSE),"")</f>
        <v/>
      </c>
    </row>
    <row r="7" spans="1:10" x14ac:dyDescent="0.2">
      <c r="A7" s="29"/>
      <c r="B7" s="29"/>
      <c r="C7" s="30" t="s">
        <v>10</v>
      </c>
      <c r="D7" s="29"/>
      <c r="E7" s="29" t="s">
        <v>11</v>
      </c>
      <c r="F7" s="32" t="s">
        <v>12</v>
      </c>
      <c r="G7" s="33">
        <v>0</v>
      </c>
      <c r="H7" s="31" t="str">
        <f>IFERROR(VLOOKUP(B7,'[1]Debt Holding Consolidated'!$C$1:$AM$65536,12,FALSE),"")</f>
        <v/>
      </c>
    </row>
    <row r="8" spans="1:10" x14ac:dyDescent="0.2">
      <c r="A8" s="29"/>
      <c r="B8" s="29"/>
      <c r="C8" s="34"/>
      <c r="D8" s="29"/>
      <c r="E8" s="29"/>
      <c r="F8" s="35"/>
      <c r="G8" s="35"/>
      <c r="H8" s="31" t="str">
        <f>IFERROR(VLOOKUP(B8,'[1]Debt Holding Consolidated'!$C$1:$AM$65536,12,FALSE),"")</f>
        <v/>
      </c>
    </row>
    <row r="9" spans="1:10" x14ac:dyDescent="0.2">
      <c r="A9" s="29"/>
      <c r="B9" s="29"/>
      <c r="C9" s="30" t="s">
        <v>13</v>
      </c>
      <c r="D9" s="29"/>
      <c r="E9" s="29"/>
      <c r="F9" s="29"/>
      <c r="G9" s="29"/>
      <c r="H9" s="31" t="str">
        <f>IFERROR(VLOOKUP(B9,'[1]Debt Holding Consolidated'!$C$1:$AM$65536,12,FALSE),"")</f>
        <v/>
      </c>
    </row>
    <row r="10" spans="1:10" x14ac:dyDescent="0.2">
      <c r="A10" s="29"/>
      <c r="B10" s="29"/>
      <c r="C10" s="30" t="s">
        <v>10</v>
      </c>
      <c r="D10" s="29"/>
      <c r="E10" s="29" t="s">
        <v>11</v>
      </c>
      <c r="F10" s="32" t="s">
        <v>12</v>
      </c>
      <c r="G10" s="33">
        <v>0</v>
      </c>
      <c r="H10" s="31" t="str">
        <f>IFERROR(VLOOKUP(B10,'[1]Debt Holding Consolidated'!$C$1:$AM$65536,12,FALSE),"")</f>
        <v/>
      </c>
    </row>
    <row r="11" spans="1:10" x14ac:dyDescent="0.2">
      <c r="A11" s="29"/>
      <c r="B11" s="29"/>
      <c r="C11" s="34"/>
      <c r="D11" s="29"/>
      <c r="E11" s="29"/>
      <c r="F11" s="35"/>
      <c r="G11" s="35"/>
      <c r="H11" s="31" t="str">
        <f>IFERROR(VLOOKUP(B11,'[1]Debt Holding Consolidated'!$C$1:$AM$65536,12,FALSE),"")</f>
        <v/>
      </c>
    </row>
    <row r="12" spans="1:10" ht="15" x14ac:dyDescent="0.2">
      <c r="A12" s="29"/>
      <c r="B12" s="29"/>
      <c r="C12" s="30" t="s">
        <v>14</v>
      </c>
      <c r="D12" s="29"/>
      <c r="E12" s="29"/>
      <c r="F12" s="29"/>
      <c r="G12" s="29"/>
      <c r="H12" s="31" t="str">
        <f>IFERROR(VLOOKUP(B12,'[1]Debt Holding Consolidated'!$C$1:$AM$65536,12,FALSE),"")</f>
        <v/>
      </c>
      <c r="J12" s="36"/>
    </row>
    <row r="13" spans="1:10" x14ac:dyDescent="0.2">
      <c r="A13" s="29"/>
      <c r="B13" s="29"/>
      <c r="C13" s="30" t="s">
        <v>10</v>
      </c>
      <c r="D13" s="29"/>
      <c r="E13" s="29" t="s">
        <v>11</v>
      </c>
      <c r="F13" s="32" t="s">
        <v>12</v>
      </c>
      <c r="G13" s="33">
        <v>0</v>
      </c>
      <c r="H13" s="31" t="str">
        <f>IFERROR(VLOOKUP(B13,'[1]Debt Holding Consolidated'!$C$1:$AM$65536,12,FALSE),"")</f>
        <v/>
      </c>
      <c r="J13" s="37"/>
    </row>
    <row r="14" spans="1:10" x14ac:dyDescent="0.2">
      <c r="A14" s="29"/>
      <c r="B14" s="29"/>
      <c r="C14" s="34"/>
      <c r="D14" s="29"/>
      <c r="E14" s="29"/>
      <c r="F14" s="35"/>
      <c r="G14" s="35"/>
      <c r="H14" s="31" t="str">
        <f>IFERROR(VLOOKUP(B14,'[1]Debt Holding Consolidated'!$C$1:$AM$65536,12,FALSE),"")</f>
        <v/>
      </c>
      <c r="J14" s="37"/>
    </row>
    <row r="15" spans="1:10" ht="25.5" x14ac:dyDescent="0.2">
      <c r="A15" s="29"/>
      <c r="B15" s="29"/>
      <c r="C15" s="30" t="s">
        <v>15</v>
      </c>
      <c r="D15" s="29"/>
      <c r="E15" s="29"/>
      <c r="F15" s="29"/>
      <c r="G15" s="29"/>
      <c r="H15" s="31" t="str">
        <f>IFERROR(VLOOKUP(B15,'[1]Debt Holding Consolidated'!$C$1:$AM$65536,12,FALSE),"")</f>
        <v/>
      </c>
      <c r="J15" s="37" t="s">
        <v>688</v>
      </c>
    </row>
    <row r="16" spans="1:10" x14ac:dyDescent="0.2">
      <c r="A16" s="29"/>
      <c r="B16" s="29"/>
      <c r="C16" s="30" t="s">
        <v>10</v>
      </c>
      <c r="D16" s="29"/>
      <c r="E16" s="29" t="s">
        <v>11</v>
      </c>
      <c r="F16" s="32" t="s">
        <v>12</v>
      </c>
      <c r="G16" s="33">
        <v>0</v>
      </c>
      <c r="H16" s="31" t="str">
        <f>IFERROR(VLOOKUP(B16,'[1]Debt Holding Consolidated'!$C$1:$AM$65536,12,FALSE),"")</f>
        <v/>
      </c>
    </row>
    <row r="17" spans="1:10" x14ac:dyDescent="0.2">
      <c r="A17" s="29"/>
      <c r="B17" s="29"/>
      <c r="C17" s="34"/>
      <c r="D17" s="29"/>
      <c r="E17" s="29"/>
      <c r="F17" s="35"/>
      <c r="G17" s="35"/>
      <c r="H17" s="31" t="str">
        <f>IFERROR(VLOOKUP(B17,'[1]Debt Holding Consolidated'!$C$1:$AM$65536,12,FALSE),"")</f>
        <v/>
      </c>
    </row>
    <row r="18" spans="1:10" x14ac:dyDescent="0.2">
      <c r="A18" s="29"/>
      <c r="B18" s="29"/>
      <c r="C18" s="30" t="s">
        <v>16</v>
      </c>
      <c r="D18" s="29"/>
      <c r="E18" s="29"/>
      <c r="F18" s="35"/>
      <c r="G18" s="35"/>
      <c r="H18" s="31" t="str">
        <f>IFERROR(VLOOKUP(B18,'[1]Debt Holding Consolidated'!$C$1:$AM$65536,12,FALSE),"")</f>
        <v/>
      </c>
    </row>
    <row r="19" spans="1:10" x14ac:dyDescent="0.2">
      <c r="A19" s="29"/>
      <c r="B19" s="29"/>
      <c r="C19" s="30" t="s">
        <v>10</v>
      </c>
      <c r="D19" s="29"/>
      <c r="E19" s="29" t="s">
        <v>11</v>
      </c>
      <c r="F19" s="32" t="s">
        <v>12</v>
      </c>
      <c r="G19" s="33">
        <v>0</v>
      </c>
      <c r="H19" s="31" t="str">
        <f>IFERROR(VLOOKUP(B19,'[1]Debt Holding Consolidated'!$C$1:$AM$65536,12,FALSE),"")</f>
        <v/>
      </c>
    </row>
    <row r="20" spans="1:10" x14ac:dyDescent="0.2">
      <c r="A20" s="29"/>
      <c r="B20" s="29"/>
      <c r="C20" s="34"/>
      <c r="D20" s="29"/>
      <c r="E20" s="29"/>
      <c r="F20" s="35"/>
      <c r="G20" s="35"/>
      <c r="H20" s="31" t="str">
        <f>IFERROR(VLOOKUP(B20,'[1]Debt Holding Consolidated'!$C$1:$AM$65536,12,FALSE),"")</f>
        <v/>
      </c>
    </row>
    <row r="21" spans="1:10" x14ac:dyDescent="0.2">
      <c r="A21" s="29"/>
      <c r="B21" s="29"/>
      <c r="C21" s="30" t="s">
        <v>17</v>
      </c>
      <c r="D21" s="29"/>
      <c r="E21" s="29"/>
      <c r="F21" s="35"/>
      <c r="G21" s="35"/>
      <c r="H21" s="31" t="str">
        <f>IFERROR(VLOOKUP(B21,'[1]Debt Holding Consolidated'!$C$1:$AM$65536,12,FALSE),"")</f>
        <v/>
      </c>
    </row>
    <row r="22" spans="1:10" ht="15" x14ac:dyDescent="0.2">
      <c r="A22" s="29"/>
      <c r="B22" s="29"/>
      <c r="C22" s="30" t="s">
        <v>10</v>
      </c>
      <c r="D22" s="29"/>
      <c r="E22" s="29" t="s">
        <v>11</v>
      </c>
      <c r="F22" s="32" t="s">
        <v>12</v>
      </c>
      <c r="G22" s="33">
        <v>0</v>
      </c>
      <c r="H22" s="31" t="str">
        <f>IFERROR(VLOOKUP(B22,'[1]Debt Holding Consolidated'!$C$1:$AM$65536,12,FALSE),"")</f>
        <v/>
      </c>
      <c r="J22" s="36"/>
    </row>
    <row r="23" spans="1:10" x14ac:dyDescent="0.2">
      <c r="A23" s="29"/>
      <c r="B23" s="29"/>
      <c r="C23" s="34"/>
      <c r="D23" s="29"/>
      <c r="E23" s="29"/>
      <c r="F23" s="35"/>
      <c r="G23" s="35"/>
      <c r="H23" s="31" t="str">
        <f>IFERROR(VLOOKUP(B23,'[1]Debt Holding Consolidated'!$C$1:$AM$65536,12,FALSE),"")</f>
        <v/>
      </c>
      <c r="J23" s="37"/>
    </row>
    <row r="24" spans="1:10" x14ac:dyDescent="0.2">
      <c r="A24" s="29"/>
      <c r="B24" s="29"/>
      <c r="C24" s="30" t="s">
        <v>18</v>
      </c>
      <c r="D24" s="29"/>
      <c r="E24" s="29"/>
      <c r="F24" s="38">
        <v>0</v>
      </c>
      <c r="G24" s="33">
        <v>0</v>
      </c>
      <c r="H24" s="31" t="str">
        <f>IFERROR(VLOOKUP(B24,'[1]Debt Holding Consolidated'!$C$1:$AM$65536,12,FALSE),"")</f>
        <v/>
      </c>
    </row>
    <row r="25" spans="1:10" x14ac:dyDescent="0.2">
      <c r="A25" s="29"/>
      <c r="B25" s="29"/>
      <c r="C25" s="34"/>
      <c r="D25" s="29"/>
      <c r="E25" s="29"/>
      <c r="F25" s="35"/>
      <c r="G25" s="35"/>
      <c r="H25" s="31" t="str">
        <f>IFERROR(VLOOKUP(B25,'[1]Debt Holding Consolidated'!$C$1:$AM$65536,12,FALSE),"")</f>
        <v/>
      </c>
    </row>
    <row r="26" spans="1:10" x14ac:dyDescent="0.2">
      <c r="A26" s="29"/>
      <c r="B26" s="29"/>
      <c r="C26" s="30" t="s">
        <v>19</v>
      </c>
      <c r="D26" s="29"/>
      <c r="E26" s="29"/>
      <c r="F26" s="35"/>
      <c r="G26" s="35"/>
      <c r="H26" s="31" t="str">
        <f>IFERROR(VLOOKUP(B26,'[1]Debt Holding Consolidated'!$C$1:$AM$65536,12,FALSE),"")</f>
        <v/>
      </c>
    </row>
    <row r="27" spans="1:10" x14ac:dyDescent="0.2">
      <c r="A27" s="29"/>
      <c r="B27" s="29"/>
      <c r="C27" s="30" t="s">
        <v>9</v>
      </c>
      <c r="D27" s="29"/>
      <c r="E27" s="29"/>
      <c r="F27" s="35"/>
      <c r="G27" s="35"/>
      <c r="H27" s="31" t="str">
        <f>IFERROR(VLOOKUP(B27,'[1]Debt Holding Consolidated'!$C$1:$AM$65536,12,FALSE),"")</f>
        <v/>
      </c>
      <c r="J27" s="37"/>
    </row>
    <row r="28" spans="1:10" ht="25.5" x14ac:dyDescent="0.2">
      <c r="A28" s="29"/>
      <c r="B28" s="29"/>
      <c r="C28" s="30" t="s">
        <v>10</v>
      </c>
      <c r="D28" s="29"/>
      <c r="E28" s="29" t="s">
        <v>11</v>
      </c>
      <c r="F28" s="32" t="s">
        <v>12</v>
      </c>
      <c r="G28" s="33">
        <v>0</v>
      </c>
      <c r="H28" s="31" t="str">
        <f>IFERROR(VLOOKUP(B28,'[1]Debt Holding Consolidated'!$C$1:$AM$65536,12,FALSE),"")</f>
        <v/>
      </c>
      <c r="J28" s="37" t="s">
        <v>689</v>
      </c>
    </row>
    <row r="29" spans="1:10" x14ac:dyDescent="0.2">
      <c r="A29" s="29"/>
      <c r="B29" s="29"/>
      <c r="C29" s="34"/>
      <c r="D29" s="29"/>
      <c r="E29" s="29"/>
      <c r="F29" s="35"/>
      <c r="G29" s="35"/>
      <c r="H29" s="31" t="str">
        <f>IFERROR(VLOOKUP(B29,'[1]Debt Holding Consolidated'!$C$1:$AM$65536,12,FALSE),"")</f>
        <v/>
      </c>
      <c r="J29" s="37"/>
    </row>
    <row r="30" spans="1:10" x14ac:dyDescent="0.2">
      <c r="A30" s="29"/>
      <c r="B30" s="29"/>
      <c r="C30" s="30" t="s">
        <v>70</v>
      </c>
      <c r="D30" s="29"/>
      <c r="E30" s="29"/>
      <c r="F30" s="29"/>
      <c r="G30" s="29"/>
      <c r="H30" s="31" t="str">
        <f>IFERROR(VLOOKUP(B30,'[1]Debt Holding Consolidated'!$C$1:$AM$65536,12,FALSE),"")</f>
        <v/>
      </c>
    </row>
    <row r="31" spans="1:10" x14ac:dyDescent="0.2">
      <c r="A31" s="29"/>
      <c r="B31" s="29"/>
      <c r="C31" s="30" t="s">
        <v>10</v>
      </c>
      <c r="D31" s="29"/>
      <c r="E31" s="29" t="s">
        <v>11</v>
      </c>
      <c r="F31" s="32" t="s">
        <v>12</v>
      </c>
      <c r="G31" s="33">
        <v>0</v>
      </c>
      <c r="H31" s="31" t="str">
        <f>IFERROR(VLOOKUP(B31,'[1]Debt Holding Consolidated'!$C$1:$AM$65536,12,FALSE),"")</f>
        <v/>
      </c>
    </row>
    <row r="32" spans="1:10" x14ac:dyDescent="0.2">
      <c r="A32" s="29"/>
      <c r="B32" s="29"/>
      <c r="C32" s="34"/>
      <c r="D32" s="29"/>
      <c r="E32" s="29"/>
      <c r="F32" s="35"/>
      <c r="G32" s="35"/>
      <c r="H32" s="31" t="str">
        <f>IFERROR(VLOOKUP(B32,'[1]Debt Holding Consolidated'!$C$1:$AM$65536,12,FALSE),"")</f>
        <v/>
      </c>
    </row>
    <row r="33" spans="1:8" x14ac:dyDescent="0.2">
      <c r="A33" s="29"/>
      <c r="B33" s="29"/>
      <c r="C33" s="30" t="s">
        <v>71</v>
      </c>
      <c r="D33" s="29"/>
      <c r="E33" s="29"/>
      <c r="F33" s="29"/>
      <c r="G33" s="29"/>
      <c r="H33" s="31" t="str">
        <f>IFERROR(VLOOKUP(B33,'[1]Debt Holding Consolidated'!$C$1:$AM$65536,12,FALSE),"")</f>
        <v/>
      </c>
    </row>
    <row r="34" spans="1:8" x14ac:dyDescent="0.2">
      <c r="A34" s="29"/>
      <c r="B34" s="29"/>
      <c r="C34" s="30" t="s">
        <v>10</v>
      </c>
      <c r="D34" s="29"/>
      <c r="E34" s="29" t="s">
        <v>11</v>
      </c>
      <c r="F34" s="32" t="s">
        <v>12</v>
      </c>
      <c r="G34" s="33">
        <v>0</v>
      </c>
      <c r="H34" s="31" t="str">
        <f>IFERROR(VLOOKUP(B34,'[1]Debt Holding Consolidated'!$C$1:$AM$65536,12,FALSE),"")</f>
        <v/>
      </c>
    </row>
    <row r="35" spans="1:8" x14ac:dyDescent="0.2">
      <c r="A35" s="29"/>
      <c r="B35" s="29"/>
      <c r="C35" s="34"/>
      <c r="D35" s="29"/>
      <c r="E35" s="29"/>
      <c r="F35" s="35"/>
      <c r="G35" s="35"/>
      <c r="H35" s="31" t="str">
        <f>IFERROR(VLOOKUP(B35,'[1]Debt Holding Consolidated'!$C$1:$AM$65536,12,FALSE),"")</f>
        <v/>
      </c>
    </row>
    <row r="36" spans="1:8" x14ac:dyDescent="0.2">
      <c r="A36" s="29"/>
      <c r="B36" s="29"/>
      <c r="C36" s="30" t="s">
        <v>87</v>
      </c>
      <c r="D36" s="29"/>
      <c r="E36" s="29"/>
      <c r="F36" s="35"/>
      <c r="G36" s="35"/>
      <c r="H36" s="31" t="str">
        <f>IFERROR(VLOOKUP(B36,'[1]Debt Holding Consolidated'!$C$1:$AM$65536,12,FALSE),"")</f>
        <v/>
      </c>
    </row>
    <row r="37" spans="1:8" x14ac:dyDescent="0.2">
      <c r="A37" s="29"/>
      <c r="B37" s="29"/>
      <c r="C37" s="30" t="s">
        <v>10</v>
      </c>
      <c r="D37" s="29"/>
      <c r="E37" s="29" t="s">
        <v>11</v>
      </c>
      <c r="F37" s="32" t="s">
        <v>12</v>
      </c>
      <c r="G37" s="33">
        <v>0</v>
      </c>
      <c r="H37" s="31" t="str">
        <f>IFERROR(VLOOKUP(B37,'[1]Debt Holding Consolidated'!$C$1:$AM$65536,12,FALSE),"")</f>
        <v/>
      </c>
    </row>
    <row r="38" spans="1:8" x14ac:dyDescent="0.2">
      <c r="A38" s="29"/>
      <c r="B38" s="29"/>
      <c r="C38" s="34"/>
      <c r="D38" s="29"/>
      <c r="E38" s="29"/>
      <c r="F38" s="35"/>
      <c r="G38" s="35"/>
      <c r="H38" s="31" t="str">
        <f>IFERROR(VLOOKUP(B38,'[1]Debt Holding Consolidated'!$C$1:$AM$65536,12,FALSE),"")</f>
        <v/>
      </c>
    </row>
    <row r="39" spans="1:8" x14ac:dyDescent="0.2">
      <c r="A39" s="29"/>
      <c r="B39" s="29"/>
      <c r="C39" s="30" t="s">
        <v>88</v>
      </c>
      <c r="D39" s="29"/>
      <c r="E39" s="29"/>
      <c r="F39" s="38">
        <v>0</v>
      </c>
      <c r="G39" s="33">
        <v>0</v>
      </c>
      <c r="H39" s="31" t="str">
        <f>IFERROR(VLOOKUP(B39,'[1]Debt Holding Consolidated'!$C$1:$AM$65536,12,FALSE),"")</f>
        <v/>
      </c>
    </row>
    <row r="40" spans="1:8" x14ac:dyDescent="0.2">
      <c r="A40" s="29"/>
      <c r="B40" s="29"/>
      <c r="C40" s="34"/>
      <c r="D40" s="29"/>
      <c r="E40" s="29"/>
      <c r="F40" s="35"/>
      <c r="G40" s="35"/>
      <c r="H40" s="31" t="str">
        <f>IFERROR(VLOOKUP(B40,'[1]Debt Holding Consolidated'!$C$1:$AM$65536,12,FALSE),"")</f>
        <v/>
      </c>
    </row>
    <row r="41" spans="1:8" x14ac:dyDescent="0.2">
      <c r="A41" s="29"/>
      <c r="B41" s="29"/>
      <c r="C41" s="30" t="s">
        <v>89</v>
      </c>
      <c r="D41" s="29"/>
      <c r="E41" s="29"/>
      <c r="F41" s="35"/>
      <c r="G41" s="35"/>
      <c r="H41" s="31" t="str">
        <f>IFERROR(VLOOKUP(B41,'[1]Debt Holding Consolidated'!$C$1:$AM$65536,12,FALSE),"")</f>
        <v/>
      </c>
    </row>
    <row r="42" spans="1:8" x14ac:dyDescent="0.2">
      <c r="A42" s="29"/>
      <c r="B42" s="29"/>
      <c r="C42" s="30" t="s">
        <v>90</v>
      </c>
      <c r="D42" s="29"/>
      <c r="E42" s="29"/>
      <c r="F42" s="35"/>
      <c r="G42" s="35"/>
      <c r="H42" s="31" t="str">
        <f>IFERROR(VLOOKUP(B42,'[1]Debt Holding Consolidated'!$C$1:$AM$65536,12,FALSE),"")</f>
        <v/>
      </c>
    </row>
    <row r="43" spans="1:8" x14ac:dyDescent="0.2">
      <c r="A43" s="39">
        <v>1</v>
      </c>
      <c r="B43" s="40" t="s">
        <v>143</v>
      </c>
      <c r="C43" s="40" t="s">
        <v>144</v>
      </c>
      <c r="D43" s="40" t="s">
        <v>145</v>
      </c>
      <c r="E43" s="41">
        <v>900</v>
      </c>
      <c r="F43" s="42">
        <v>4412.2139999999999</v>
      </c>
      <c r="G43" s="43">
        <v>9.0492470000000005E-2</v>
      </c>
      <c r="H43" s="31">
        <f>IFERROR(VLOOKUP(B43,'[1]Debt Holding Consolidated'!$C$1:$AM$65536,12,FALSE),"")</f>
        <v>7.19</v>
      </c>
    </row>
    <row r="44" spans="1:8" ht="25.5" x14ac:dyDescent="0.2">
      <c r="A44" s="39">
        <v>2</v>
      </c>
      <c r="B44" s="40" t="s">
        <v>146</v>
      </c>
      <c r="C44" s="40" t="s">
        <v>694</v>
      </c>
      <c r="D44" s="40" t="s">
        <v>145</v>
      </c>
      <c r="E44" s="41">
        <v>500</v>
      </c>
      <c r="F44" s="42">
        <v>2450.3175000000001</v>
      </c>
      <c r="G44" s="43">
        <v>5.0254880000000002E-2</v>
      </c>
      <c r="H44" s="31">
        <f>IFERROR(VLOOKUP(B44,'[1]Debt Holding Consolidated'!$C$1:$AM$65536,12,FALSE),"")</f>
        <v>7.1851000000000003</v>
      </c>
    </row>
    <row r="45" spans="1:8" x14ac:dyDescent="0.2">
      <c r="A45" s="39">
        <v>3</v>
      </c>
      <c r="B45" s="40" t="s">
        <v>147</v>
      </c>
      <c r="C45" s="40" t="s">
        <v>695</v>
      </c>
      <c r="D45" s="40" t="s">
        <v>145</v>
      </c>
      <c r="E45" s="41">
        <v>500</v>
      </c>
      <c r="F45" s="42">
        <v>2448.15</v>
      </c>
      <c r="G45" s="43">
        <v>5.021043E-2</v>
      </c>
      <c r="H45" s="31">
        <f>IFERROR(VLOOKUP(B45,'[1]Debt Holding Consolidated'!$C$1:$AM$65536,12,FALSE),"")</f>
        <v>7.2249999999999996</v>
      </c>
    </row>
    <row r="46" spans="1:8" ht="25.5" x14ac:dyDescent="0.2">
      <c r="A46" s="39">
        <v>4</v>
      </c>
      <c r="B46" s="40" t="s">
        <v>148</v>
      </c>
      <c r="C46" s="40" t="s">
        <v>696</v>
      </c>
      <c r="D46" s="40" t="s">
        <v>145</v>
      </c>
      <c r="E46" s="41">
        <v>500</v>
      </c>
      <c r="F46" s="42">
        <v>2443.8850000000002</v>
      </c>
      <c r="G46" s="43">
        <v>5.0122949999999999E-2</v>
      </c>
      <c r="H46" s="31">
        <f>IFERROR(VLOOKUP(B46,'[1]Debt Holding Consolidated'!$C$1:$AM$65536,12,FALSE),"")</f>
        <v>7.2249999999999996</v>
      </c>
    </row>
    <row r="47" spans="1:8" x14ac:dyDescent="0.2">
      <c r="A47" s="39">
        <v>5</v>
      </c>
      <c r="B47" s="40" t="s">
        <v>149</v>
      </c>
      <c r="C47" s="40" t="s">
        <v>697</v>
      </c>
      <c r="D47" s="40" t="s">
        <v>150</v>
      </c>
      <c r="E47" s="41">
        <v>500</v>
      </c>
      <c r="F47" s="42">
        <v>2441.9899999999998</v>
      </c>
      <c r="G47" s="43">
        <v>5.0084089999999998E-2</v>
      </c>
      <c r="H47" s="31">
        <f>IFERROR(VLOOKUP(B47,'[1]Debt Holding Consolidated'!$C$1:$AM$65536,12,FALSE),"")</f>
        <v>7.1661000000000001</v>
      </c>
    </row>
    <row r="48" spans="1:8" x14ac:dyDescent="0.2">
      <c r="A48" s="39">
        <v>6</v>
      </c>
      <c r="B48" s="40" t="s">
        <v>151</v>
      </c>
      <c r="C48" s="40" t="s">
        <v>698</v>
      </c>
      <c r="D48" s="40" t="s">
        <v>152</v>
      </c>
      <c r="E48" s="41">
        <v>500</v>
      </c>
      <c r="F48" s="42">
        <v>2412.2674999999999</v>
      </c>
      <c r="G48" s="43">
        <v>4.9474490000000003E-2</v>
      </c>
      <c r="H48" s="31">
        <f>IFERROR(VLOOKUP(B48,'[1]Debt Holding Consolidated'!$C$1:$AM$65536,12,FALSE),"")</f>
        <v>7.375</v>
      </c>
    </row>
    <row r="49" spans="1:8" x14ac:dyDescent="0.2">
      <c r="A49" s="39">
        <v>7</v>
      </c>
      <c r="B49" s="40" t="s">
        <v>153</v>
      </c>
      <c r="C49" s="40" t="s">
        <v>699</v>
      </c>
      <c r="D49" s="40" t="s">
        <v>145</v>
      </c>
      <c r="E49" s="41">
        <v>500</v>
      </c>
      <c r="F49" s="42">
        <v>2325.5174999999999</v>
      </c>
      <c r="G49" s="43">
        <v>4.7695290000000001E-2</v>
      </c>
      <c r="H49" s="31">
        <f>IFERROR(VLOOKUP(B49,'[1]Debt Holding Consolidated'!$C$1:$AM$65536,12,FALSE),"")</f>
        <v>7.915</v>
      </c>
    </row>
    <row r="50" spans="1:8" x14ac:dyDescent="0.2">
      <c r="A50" s="39">
        <v>8</v>
      </c>
      <c r="B50" s="40" t="s">
        <v>154</v>
      </c>
      <c r="C50" s="40" t="s">
        <v>700</v>
      </c>
      <c r="D50" s="40" t="s">
        <v>145</v>
      </c>
      <c r="E50" s="41">
        <v>400</v>
      </c>
      <c r="F50" s="42">
        <v>1923.662</v>
      </c>
      <c r="G50" s="43">
        <v>3.9453420000000003E-2</v>
      </c>
      <c r="H50" s="31">
        <f>IFERROR(VLOOKUP(B50,'[1]Debt Holding Consolidated'!$C$1:$AM$65536,12,FALSE),"")</f>
        <v>7.5049999999999999</v>
      </c>
    </row>
    <row r="51" spans="1:8" x14ac:dyDescent="0.2">
      <c r="A51" s="39">
        <v>9</v>
      </c>
      <c r="B51" s="40" t="s">
        <v>155</v>
      </c>
      <c r="C51" s="40" t="s">
        <v>156</v>
      </c>
      <c r="D51" s="40" t="s">
        <v>145</v>
      </c>
      <c r="E51" s="41">
        <v>300</v>
      </c>
      <c r="F51" s="42">
        <v>1464.21</v>
      </c>
      <c r="G51" s="43">
        <v>3.0030270000000001E-2</v>
      </c>
      <c r="H51" s="31">
        <f>IFERROR(VLOOKUP(B51,'[1]Debt Holding Consolidated'!$C$1:$AM$65536,12,FALSE),"")</f>
        <v>7.1950000000000003</v>
      </c>
    </row>
    <row r="52" spans="1:8" x14ac:dyDescent="0.2">
      <c r="A52" s="39">
        <v>10</v>
      </c>
      <c r="B52" s="40" t="s">
        <v>157</v>
      </c>
      <c r="C52" s="40" t="s">
        <v>158</v>
      </c>
      <c r="D52" s="40" t="s">
        <v>145</v>
      </c>
      <c r="E52" s="41">
        <v>300</v>
      </c>
      <c r="F52" s="42">
        <v>1444.7474999999999</v>
      </c>
      <c r="G52" s="43">
        <v>2.9631109999999999E-2</v>
      </c>
      <c r="H52" s="31">
        <f>IFERROR(VLOOKUP(B52,'[1]Debt Holding Consolidated'!$C$1:$AM$65536,12,FALSE),"")</f>
        <v>7.4250999999999996</v>
      </c>
    </row>
    <row r="53" spans="1:8" x14ac:dyDescent="0.2">
      <c r="A53" s="39">
        <v>11</v>
      </c>
      <c r="B53" s="40" t="s">
        <v>159</v>
      </c>
      <c r="C53" s="40" t="s">
        <v>160</v>
      </c>
      <c r="D53" s="40" t="s">
        <v>145</v>
      </c>
      <c r="E53" s="41">
        <v>200</v>
      </c>
      <c r="F53" s="42">
        <v>981.47900000000004</v>
      </c>
      <c r="G53" s="43">
        <v>2.012968E-2</v>
      </c>
      <c r="H53" s="31">
        <f>IFERROR(VLOOKUP(B53,'[1]Debt Holding Consolidated'!$C$1:$AM$65536,12,FALSE),"")</f>
        <v>7.1750999999999996</v>
      </c>
    </row>
    <row r="54" spans="1:8" x14ac:dyDescent="0.2">
      <c r="A54" s="39">
        <v>12</v>
      </c>
      <c r="B54" s="40" t="s">
        <v>161</v>
      </c>
      <c r="C54" s="40" t="s">
        <v>162</v>
      </c>
      <c r="D54" s="40" t="s">
        <v>145</v>
      </c>
      <c r="E54" s="41">
        <v>200</v>
      </c>
      <c r="F54" s="42">
        <v>978.38400000000001</v>
      </c>
      <c r="G54" s="43">
        <v>2.0066210000000001E-2</v>
      </c>
      <c r="H54" s="31">
        <f>IFERROR(VLOOKUP(B54,'[1]Debt Holding Consolidated'!$C$1:$AM$65536,12,FALSE),"")</f>
        <v>7.2652000000000001</v>
      </c>
    </row>
    <row r="55" spans="1:8" x14ac:dyDescent="0.2">
      <c r="A55" s="39">
        <v>13</v>
      </c>
      <c r="B55" s="40" t="s">
        <v>163</v>
      </c>
      <c r="C55" s="40" t="s">
        <v>164</v>
      </c>
      <c r="D55" s="40" t="s">
        <v>150</v>
      </c>
      <c r="E55" s="41">
        <v>160</v>
      </c>
      <c r="F55" s="42">
        <v>761.06240000000003</v>
      </c>
      <c r="G55" s="43">
        <v>1.5609039999999999E-2</v>
      </c>
      <c r="H55" s="31">
        <f>IFERROR(VLOOKUP(B55,'[1]Debt Holding Consolidated'!$C$1:$AM$65536,12,FALSE),"")</f>
        <v>7.44</v>
      </c>
    </row>
    <row r="56" spans="1:8" x14ac:dyDescent="0.2">
      <c r="A56" s="39">
        <v>14</v>
      </c>
      <c r="B56" s="40" t="s">
        <v>165</v>
      </c>
      <c r="C56" s="40" t="s">
        <v>166</v>
      </c>
      <c r="D56" s="40" t="s">
        <v>145</v>
      </c>
      <c r="E56" s="41">
        <v>140</v>
      </c>
      <c r="F56" s="42">
        <v>686.83370000000002</v>
      </c>
      <c r="G56" s="43">
        <v>1.4086639999999999E-2</v>
      </c>
      <c r="H56" s="31">
        <f>IFERROR(VLOOKUP(B56,'[1]Debt Holding Consolidated'!$C$1:$AM$65536,12,FALSE),"")</f>
        <v>7.2133000000000003</v>
      </c>
    </row>
    <row r="57" spans="1:8" x14ac:dyDescent="0.2">
      <c r="A57" s="39">
        <v>15</v>
      </c>
      <c r="B57" s="40" t="s">
        <v>167</v>
      </c>
      <c r="C57" s="40" t="s">
        <v>168</v>
      </c>
      <c r="D57" s="40" t="s">
        <v>145</v>
      </c>
      <c r="E57" s="41">
        <v>140</v>
      </c>
      <c r="F57" s="42">
        <v>686.44029999999998</v>
      </c>
      <c r="G57" s="43">
        <v>1.407857E-2</v>
      </c>
      <c r="H57" s="31">
        <f>IFERROR(VLOOKUP(B57,'[1]Debt Holding Consolidated'!$C$1:$AM$65536,12,FALSE),"")</f>
        <v>7.2102000000000004</v>
      </c>
    </row>
    <row r="58" spans="1:8" x14ac:dyDescent="0.2">
      <c r="A58" s="39">
        <v>16</v>
      </c>
      <c r="B58" s="40" t="s">
        <v>169</v>
      </c>
      <c r="C58" s="40" t="s">
        <v>170</v>
      </c>
      <c r="D58" s="40" t="s">
        <v>150</v>
      </c>
      <c r="E58" s="41">
        <v>100</v>
      </c>
      <c r="F58" s="42">
        <v>492.70049999999998</v>
      </c>
      <c r="G58" s="43">
        <v>1.0105060000000001E-2</v>
      </c>
      <c r="H58" s="31">
        <f>IFERROR(VLOOKUP(B58,'[1]Debt Holding Consolidated'!$C$1:$AM$65536,12,FALSE),"")</f>
        <v>7.1151</v>
      </c>
    </row>
    <row r="59" spans="1:8" x14ac:dyDescent="0.2">
      <c r="A59" s="39">
        <v>17</v>
      </c>
      <c r="B59" s="40" t="s">
        <v>171</v>
      </c>
      <c r="C59" s="40" t="s">
        <v>172</v>
      </c>
      <c r="D59" s="40" t="s">
        <v>145</v>
      </c>
      <c r="E59" s="41">
        <v>100</v>
      </c>
      <c r="F59" s="42">
        <v>492.18450000000001</v>
      </c>
      <c r="G59" s="43">
        <v>1.0094479999999999E-2</v>
      </c>
      <c r="H59" s="31">
        <f>IFERROR(VLOOKUP(B59,'[1]Debt Holding Consolidated'!$C$1:$AM$65536,12,FALSE),"")</f>
        <v>7.2449000000000003</v>
      </c>
    </row>
    <row r="60" spans="1:8" x14ac:dyDescent="0.2">
      <c r="A60" s="39">
        <v>18</v>
      </c>
      <c r="B60" s="40" t="s">
        <v>173</v>
      </c>
      <c r="C60" s="40" t="s">
        <v>174</v>
      </c>
      <c r="D60" s="40" t="s">
        <v>150</v>
      </c>
      <c r="E60" s="41">
        <v>100</v>
      </c>
      <c r="F60" s="42">
        <v>490.0505</v>
      </c>
      <c r="G60" s="43">
        <v>1.0050709999999999E-2</v>
      </c>
      <c r="H60" s="31">
        <f>IFERROR(VLOOKUP(B60,'[1]Debt Holding Consolidated'!$C$1:$AM$65536,12,FALSE),"")</f>
        <v>7.1950000000000003</v>
      </c>
    </row>
    <row r="61" spans="1:8" x14ac:dyDescent="0.2">
      <c r="A61" s="39">
        <v>19</v>
      </c>
      <c r="B61" s="40" t="s">
        <v>175</v>
      </c>
      <c r="C61" s="40" t="s">
        <v>176</v>
      </c>
      <c r="D61" s="40" t="s">
        <v>152</v>
      </c>
      <c r="E61" s="41">
        <v>100</v>
      </c>
      <c r="F61" s="42">
        <v>483.39600000000002</v>
      </c>
      <c r="G61" s="43">
        <v>9.9142299999999996E-3</v>
      </c>
      <c r="H61" s="31">
        <f>IFERROR(VLOOKUP(B61,'[1]Debt Holding Consolidated'!$C$1:$AM$65536,12,FALSE),"")</f>
        <v>7.375</v>
      </c>
    </row>
    <row r="62" spans="1:8" x14ac:dyDescent="0.2">
      <c r="A62" s="39">
        <v>20</v>
      </c>
      <c r="B62" s="40" t="s">
        <v>177</v>
      </c>
      <c r="C62" s="40" t="s">
        <v>178</v>
      </c>
      <c r="D62" s="40" t="s">
        <v>145</v>
      </c>
      <c r="E62" s="41">
        <v>100</v>
      </c>
      <c r="F62" s="42">
        <v>481.97199999999998</v>
      </c>
      <c r="G62" s="43">
        <v>9.8850199999999996E-3</v>
      </c>
      <c r="H62" s="31">
        <f>IFERROR(VLOOKUP(B62,'[1]Debt Holding Consolidated'!$C$1:$AM$65536,12,FALSE),"")</f>
        <v>7.4199000000000002</v>
      </c>
    </row>
    <row r="63" spans="1:8" x14ac:dyDescent="0.2">
      <c r="A63" s="39">
        <v>21</v>
      </c>
      <c r="B63" s="40" t="s">
        <v>179</v>
      </c>
      <c r="C63" s="40" t="s">
        <v>180</v>
      </c>
      <c r="D63" s="40" t="s">
        <v>145</v>
      </c>
      <c r="E63" s="41">
        <v>100</v>
      </c>
      <c r="F63" s="42">
        <v>478.589</v>
      </c>
      <c r="G63" s="43">
        <v>9.8156400000000005E-3</v>
      </c>
      <c r="H63" s="31">
        <f>IFERROR(VLOOKUP(B63,'[1]Debt Holding Consolidated'!$C$1:$AM$65536,12,FALSE),"")</f>
        <v>7.4225000000000003</v>
      </c>
    </row>
    <row r="64" spans="1:8" x14ac:dyDescent="0.2">
      <c r="A64" s="39">
        <v>22</v>
      </c>
      <c r="B64" s="40" t="s">
        <v>181</v>
      </c>
      <c r="C64" s="40" t="s">
        <v>182</v>
      </c>
      <c r="D64" s="40" t="s">
        <v>145</v>
      </c>
      <c r="E64" s="41">
        <v>100</v>
      </c>
      <c r="F64" s="42">
        <v>470.29349999999999</v>
      </c>
      <c r="G64" s="43">
        <v>9.6454999999999996E-3</v>
      </c>
      <c r="H64" s="31">
        <f>IFERROR(VLOOKUP(B64,'[1]Debt Holding Consolidated'!$C$1:$AM$65536,12,FALSE),"")</f>
        <v>7.51</v>
      </c>
    </row>
    <row r="65" spans="1:8" x14ac:dyDescent="0.2">
      <c r="A65" s="29"/>
      <c r="B65" s="29"/>
      <c r="C65" s="30" t="s">
        <v>10</v>
      </c>
      <c r="D65" s="29"/>
      <c r="E65" s="29" t="s">
        <v>11</v>
      </c>
      <c r="F65" s="38">
        <v>31250.346399999999</v>
      </c>
      <c r="G65" s="33">
        <v>0.64093018000000002</v>
      </c>
      <c r="H65" s="31" t="str">
        <f>IFERROR(VLOOKUP(B65,'[1]Debt Holding Consolidated'!$C$1:$AM$65536,12,FALSE),"")</f>
        <v/>
      </c>
    </row>
    <row r="66" spans="1:8" x14ac:dyDescent="0.2">
      <c r="A66" s="29"/>
      <c r="B66" s="29"/>
      <c r="C66" s="34"/>
      <c r="D66" s="29"/>
      <c r="E66" s="29"/>
      <c r="F66" s="35"/>
      <c r="G66" s="35"/>
      <c r="H66" s="31" t="str">
        <f>IFERROR(VLOOKUP(B66,'[1]Debt Holding Consolidated'!$C$1:$AM$65536,12,FALSE),"")</f>
        <v/>
      </c>
    </row>
    <row r="67" spans="1:8" x14ac:dyDescent="0.2">
      <c r="A67" s="29"/>
      <c r="B67" s="29"/>
      <c r="C67" s="30" t="s">
        <v>91</v>
      </c>
      <c r="D67" s="29"/>
      <c r="E67" s="29"/>
      <c r="F67" s="35"/>
      <c r="G67" s="35"/>
      <c r="H67" s="31" t="str">
        <f>IFERROR(VLOOKUP(B67,'[1]Debt Holding Consolidated'!$C$1:$AM$65536,12,FALSE),"")</f>
        <v/>
      </c>
    </row>
    <row r="68" spans="1:8" ht="25.5" x14ac:dyDescent="0.2">
      <c r="A68" s="39">
        <v>1</v>
      </c>
      <c r="B68" s="40" t="s">
        <v>183</v>
      </c>
      <c r="C68" s="40" t="s">
        <v>701</v>
      </c>
      <c r="D68" s="40" t="s">
        <v>145</v>
      </c>
      <c r="E68" s="41">
        <v>500</v>
      </c>
      <c r="F68" s="42">
        <v>2461.1550000000002</v>
      </c>
      <c r="G68" s="43">
        <v>5.0477149999999998E-2</v>
      </c>
      <c r="H68" s="31">
        <f>IFERROR(VLOOKUP(B68,'[1]Debt Holding Consolidated'!$C$1:$AM$65536,12,FALSE),"")</f>
        <v>7.7850000000000001</v>
      </c>
    </row>
    <row r="69" spans="1:8" ht="25.5" x14ac:dyDescent="0.2">
      <c r="A69" s="39">
        <v>2</v>
      </c>
      <c r="B69" s="40" t="s">
        <v>184</v>
      </c>
      <c r="C69" s="40" t="s">
        <v>702</v>
      </c>
      <c r="D69" s="40" t="s">
        <v>145</v>
      </c>
      <c r="E69" s="41">
        <v>500</v>
      </c>
      <c r="F69" s="42">
        <v>2456.3049999999998</v>
      </c>
      <c r="G69" s="43">
        <v>5.0377680000000001E-2</v>
      </c>
      <c r="H69" s="31">
        <f>IFERROR(VLOOKUP(B69,'[1]Debt Holding Consolidated'!$C$1:$AM$65536,12,FALSE),"")</f>
        <v>7.55</v>
      </c>
    </row>
    <row r="70" spans="1:8" x14ac:dyDescent="0.2">
      <c r="A70" s="39">
        <v>3</v>
      </c>
      <c r="B70" s="40" t="s">
        <v>185</v>
      </c>
      <c r="C70" s="40" t="s">
        <v>186</v>
      </c>
      <c r="D70" s="40" t="s">
        <v>145</v>
      </c>
      <c r="E70" s="41">
        <v>500</v>
      </c>
      <c r="F70" s="42">
        <v>2323.0349999999999</v>
      </c>
      <c r="G70" s="43">
        <v>4.764438E-2</v>
      </c>
      <c r="H70" s="31">
        <f>IFERROR(VLOOKUP(B70,'[1]Debt Holding Consolidated'!$C$1:$AM$65536,12,FALSE),"")</f>
        <v>8.3000000000000007</v>
      </c>
    </row>
    <row r="71" spans="1:8" x14ac:dyDescent="0.2">
      <c r="A71" s="39">
        <v>4</v>
      </c>
      <c r="B71" s="40" t="s">
        <v>187</v>
      </c>
      <c r="C71" s="40" t="s">
        <v>188</v>
      </c>
      <c r="D71" s="40" t="s">
        <v>145</v>
      </c>
      <c r="E71" s="41">
        <v>300</v>
      </c>
      <c r="F71" s="42">
        <v>1406.5245</v>
      </c>
      <c r="G71" s="43">
        <v>2.8847169999999998E-2</v>
      </c>
      <c r="H71" s="31">
        <f>IFERROR(VLOOKUP(B71,'[1]Debt Holding Consolidated'!$C$1:$AM$65536,12,FALSE),"")</f>
        <v>7.75</v>
      </c>
    </row>
    <row r="72" spans="1:8" x14ac:dyDescent="0.2">
      <c r="A72" s="39">
        <v>5</v>
      </c>
      <c r="B72" s="40" t="s">
        <v>189</v>
      </c>
      <c r="C72" s="40" t="s">
        <v>190</v>
      </c>
      <c r="D72" s="40" t="s">
        <v>145</v>
      </c>
      <c r="E72" s="41">
        <v>200</v>
      </c>
      <c r="F72" s="42">
        <v>980.178</v>
      </c>
      <c r="G72" s="43">
        <v>2.0102999999999999E-2</v>
      </c>
      <c r="H72" s="31">
        <f>IFERROR(VLOOKUP(B72,'[1]Debt Holding Consolidated'!$C$1:$AM$65536,12,FALSE),"")</f>
        <v>7.61</v>
      </c>
    </row>
    <row r="73" spans="1:8" x14ac:dyDescent="0.2">
      <c r="A73" s="39">
        <v>6</v>
      </c>
      <c r="B73" s="40" t="s">
        <v>191</v>
      </c>
      <c r="C73" s="40" t="s">
        <v>192</v>
      </c>
      <c r="D73" s="40" t="s">
        <v>145</v>
      </c>
      <c r="E73" s="41">
        <v>200</v>
      </c>
      <c r="F73" s="42">
        <v>975.75699999999995</v>
      </c>
      <c r="G73" s="43">
        <v>2.0012329999999998E-2</v>
      </c>
      <c r="H73" s="31">
        <f>IFERROR(VLOOKUP(B73,'[1]Debt Holding Consolidated'!$C$1:$AM$65536,12,FALSE),"")</f>
        <v>7.2549999999999999</v>
      </c>
    </row>
    <row r="74" spans="1:8" ht="25.5" x14ac:dyDescent="0.2">
      <c r="A74" s="39">
        <v>7</v>
      </c>
      <c r="B74" s="40" t="s">
        <v>193</v>
      </c>
      <c r="C74" s="40" t="s">
        <v>194</v>
      </c>
      <c r="D74" s="40" t="s">
        <v>145</v>
      </c>
      <c r="E74" s="41">
        <v>200</v>
      </c>
      <c r="F74" s="42">
        <v>962.125</v>
      </c>
      <c r="G74" s="43">
        <v>1.9732739999999999E-2</v>
      </c>
      <c r="H74" s="31">
        <f>IFERROR(VLOOKUP(B74,'[1]Debt Holding Consolidated'!$C$1:$AM$65536,12,FALSE),"")</f>
        <v>7.4450000000000003</v>
      </c>
    </row>
    <row r="75" spans="1:8" x14ac:dyDescent="0.2">
      <c r="A75" s="39">
        <v>8</v>
      </c>
      <c r="B75" s="40" t="s">
        <v>195</v>
      </c>
      <c r="C75" s="40" t="s">
        <v>196</v>
      </c>
      <c r="D75" s="40" t="s">
        <v>145</v>
      </c>
      <c r="E75" s="41">
        <v>100</v>
      </c>
      <c r="F75" s="42">
        <v>499.15100000000001</v>
      </c>
      <c r="G75" s="43">
        <v>1.0237359999999999E-2</v>
      </c>
      <c r="H75" s="31">
        <f>IFERROR(VLOOKUP(B75,'[1]Debt Holding Consolidated'!$C$1:$AM$65536,12,FALSE),"")</f>
        <v>6.8994999999999997</v>
      </c>
    </row>
    <row r="76" spans="1:8" x14ac:dyDescent="0.2">
      <c r="A76" s="29"/>
      <c r="B76" s="29"/>
      <c r="C76" s="30" t="s">
        <v>10</v>
      </c>
      <c r="D76" s="29"/>
      <c r="E76" s="29" t="s">
        <v>11</v>
      </c>
      <c r="F76" s="38">
        <v>12064.2305</v>
      </c>
      <c r="G76" s="33">
        <v>0.24743181</v>
      </c>
      <c r="H76" s="31" t="str">
        <f>IFERROR(VLOOKUP(B76,'[1]Debt Holding Consolidated'!$C$1:$AM$65536,12,FALSE),"")</f>
        <v/>
      </c>
    </row>
    <row r="77" spans="1:8" x14ac:dyDescent="0.2">
      <c r="A77" s="29"/>
      <c r="B77" s="29"/>
      <c r="C77" s="34"/>
      <c r="D77" s="29"/>
      <c r="E77" s="29"/>
      <c r="F77" s="35"/>
      <c r="G77" s="35"/>
      <c r="H77" s="31" t="str">
        <f>IFERROR(VLOOKUP(B77,'[1]Debt Holding Consolidated'!$C$1:$AM$65536,12,FALSE),"")</f>
        <v/>
      </c>
    </row>
    <row r="78" spans="1:8" x14ac:dyDescent="0.2">
      <c r="A78" s="29"/>
      <c r="B78" s="29"/>
      <c r="C78" s="30" t="s">
        <v>92</v>
      </c>
      <c r="D78" s="29"/>
      <c r="E78" s="29"/>
      <c r="F78" s="35"/>
      <c r="G78" s="35"/>
      <c r="H78" s="31" t="str">
        <f>IFERROR(VLOOKUP(B78,'[1]Debt Holding Consolidated'!$C$1:$AM$65536,12,FALSE),"")</f>
        <v/>
      </c>
    </row>
    <row r="79" spans="1:8" x14ac:dyDescent="0.2">
      <c r="A79" s="39">
        <v>1</v>
      </c>
      <c r="B79" s="40" t="s">
        <v>197</v>
      </c>
      <c r="C79" s="40" t="s">
        <v>198</v>
      </c>
      <c r="D79" s="40" t="s">
        <v>74</v>
      </c>
      <c r="E79" s="41">
        <v>2500000</v>
      </c>
      <c r="F79" s="42">
        <v>2427.17</v>
      </c>
      <c r="G79" s="43">
        <v>4.978014E-2</v>
      </c>
      <c r="H79" s="31">
        <f>IFERROR(VLOOKUP(B79,'[1]Debt Holding Consolidated'!$C$1:$AM$65536,12,FALSE),"")</f>
        <v>6.5979000000000001</v>
      </c>
    </row>
    <row r="80" spans="1:8" x14ac:dyDescent="0.2">
      <c r="A80" s="39">
        <v>2</v>
      </c>
      <c r="B80" s="40" t="s">
        <v>199</v>
      </c>
      <c r="C80" s="40" t="s">
        <v>200</v>
      </c>
      <c r="D80" s="40" t="s">
        <v>74</v>
      </c>
      <c r="E80" s="41">
        <v>1000000</v>
      </c>
      <c r="F80" s="42">
        <v>979.60299999999995</v>
      </c>
      <c r="G80" s="43">
        <v>2.0091210000000002E-2</v>
      </c>
      <c r="H80" s="31">
        <f>IFERROR(VLOOKUP(B80,'[1]Debt Holding Consolidated'!$C$1:$AM$65536,12,FALSE),"")</f>
        <v>6.4960000000000004</v>
      </c>
    </row>
    <row r="81" spans="1:18" x14ac:dyDescent="0.2">
      <c r="A81" s="39">
        <v>3</v>
      </c>
      <c r="B81" s="40" t="s">
        <v>201</v>
      </c>
      <c r="C81" s="40" t="s">
        <v>202</v>
      </c>
      <c r="D81" s="40" t="s">
        <v>74</v>
      </c>
      <c r="E81" s="41">
        <v>1000000</v>
      </c>
      <c r="F81" s="42">
        <v>968.47799999999995</v>
      </c>
      <c r="G81" s="43">
        <v>1.9863039999999998E-2</v>
      </c>
      <c r="H81" s="31">
        <f>IFERROR(VLOOKUP(B81,'[1]Debt Holding Consolidated'!$C$1:$AM$65536,12,FALSE),"")</f>
        <v>6.6</v>
      </c>
    </row>
    <row r="82" spans="1:18" x14ac:dyDescent="0.2">
      <c r="A82" s="29"/>
      <c r="B82" s="29"/>
      <c r="C82" s="30" t="s">
        <v>10</v>
      </c>
      <c r="D82" s="29"/>
      <c r="E82" s="29" t="s">
        <v>11</v>
      </c>
      <c r="F82" s="38">
        <v>4375.2510000000002</v>
      </c>
      <c r="G82" s="33">
        <v>8.9734389999999997E-2</v>
      </c>
      <c r="H82" s="31" t="str">
        <f>IFERROR(VLOOKUP(B82,'[1]Debt Holding Consolidated'!$C$1:$AM$65536,12,FALSE),"")</f>
        <v/>
      </c>
    </row>
    <row r="83" spans="1:18" x14ac:dyDescent="0.2">
      <c r="A83" s="29"/>
      <c r="B83" s="29"/>
      <c r="C83" s="34"/>
      <c r="D83" s="29"/>
      <c r="E83" s="29"/>
      <c r="F83" s="35"/>
      <c r="G83" s="35"/>
      <c r="H83" s="31" t="str">
        <f>IFERROR(VLOOKUP(B83,'[1]Debt Holding Consolidated'!$C$1:$AM$65536,12,FALSE),"")</f>
        <v/>
      </c>
    </row>
    <row r="84" spans="1:18" x14ac:dyDescent="0.2">
      <c r="A84" s="29"/>
      <c r="B84" s="29"/>
      <c r="C84" s="30" t="s">
        <v>93</v>
      </c>
      <c r="D84" s="29"/>
      <c r="E84" s="29"/>
      <c r="F84" s="35"/>
      <c r="G84" s="35"/>
      <c r="H84" s="31" t="str">
        <f>IFERROR(VLOOKUP(B84,'[1]Debt Holding Consolidated'!$C$1:$AM$65536,12,FALSE),"")</f>
        <v/>
      </c>
    </row>
    <row r="85" spans="1:18" x14ac:dyDescent="0.2">
      <c r="A85" s="39">
        <v>1</v>
      </c>
      <c r="B85" s="40"/>
      <c r="C85" s="40" t="s">
        <v>94</v>
      </c>
      <c r="D85" s="40"/>
      <c r="E85" s="44"/>
      <c r="F85" s="42">
        <v>1017.270763301</v>
      </c>
      <c r="G85" s="43">
        <v>2.086375E-2</v>
      </c>
      <c r="H85" s="31">
        <v>6.34</v>
      </c>
    </row>
    <row r="86" spans="1:18" x14ac:dyDescent="0.2">
      <c r="A86" s="29"/>
      <c r="B86" s="29"/>
      <c r="C86" s="30" t="s">
        <v>10</v>
      </c>
      <c r="D86" s="29"/>
      <c r="E86" s="29" t="s">
        <v>11</v>
      </c>
      <c r="F86" s="38">
        <v>1017.270763301</v>
      </c>
      <c r="G86" s="33">
        <v>2.086375E-2</v>
      </c>
      <c r="H86" s="31" t="s">
        <v>11</v>
      </c>
    </row>
    <row r="87" spans="1:18" x14ac:dyDescent="0.2">
      <c r="A87" s="29"/>
      <c r="B87" s="29"/>
      <c r="C87" s="34"/>
      <c r="D87" s="29"/>
      <c r="E87" s="29"/>
      <c r="F87" s="35"/>
      <c r="G87" s="35"/>
      <c r="H87" s="31" t="s">
        <v>11</v>
      </c>
    </row>
    <row r="88" spans="1:18" x14ac:dyDescent="0.2">
      <c r="A88" s="29"/>
      <c r="B88" s="29"/>
      <c r="C88" s="30" t="s">
        <v>95</v>
      </c>
      <c r="D88" s="29"/>
      <c r="E88" s="29"/>
      <c r="F88" s="38">
        <v>48707.098663301003</v>
      </c>
      <c r="G88" s="33">
        <v>0.99896012999999995</v>
      </c>
      <c r="H88" s="31" t="s">
        <v>11</v>
      </c>
    </row>
    <row r="89" spans="1:18" x14ac:dyDescent="0.2">
      <c r="A89" s="29"/>
      <c r="B89" s="29"/>
      <c r="C89" s="35"/>
      <c r="D89" s="29"/>
      <c r="E89" s="29"/>
      <c r="F89" s="29"/>
      <c r="G89" s="29"/>
      <c r="H89" s="31" t="s">
        <v>11</v>
      </c>
    </row>
    <row r="90" spans="1:18" x14ac:dyDescent="0.2">
      <c r="A90" s="29"/>
      <c r="B90" s="29"/>
      <c r="C90" s="30" t="s">
        <v>96</v>
      </c>
      <c r="D90" s="29"/>
      <c r="E90" s="29"/>
      <c r="F90" s="29"/>
      <c r="G90" s="29"/>
      <c r="H90" s="31" t="s">
        <v>11</v>
      </c>
    </row>
    <row r="91" spans="1:18" x14ac:dyDescent="0.2">
      <c r="A91" s="29"/>
      <c r="B91" s="29"/>
      <c r="C91" s="30" t="s">
        <v>97</v>
      </c>
      <c r="D91" s="29"/>
      <c r="E91" s="29"/>
      <c r="F91" s="29"/>
      <c r="G91" s="29"/>
      <c r="H91" s="31" t="s">
        <v>11</v>
      </c>
    </row>
    <row r="92" spans="1:18" x14ac:dyDescent="0.2">
      <c r="A92" s="29"/>
      <c r="B92" s="29"/>
      <c r="C92" s="30" t="s">
        <v>10</v>
      </c>
      <c r="D92" s="29"/>
      <c r="E92" s="29" t="s">
        <v>11</v>
      </c>
      <c r="F92" s="32" t="s">
        <v>12</v>
      </c>
      <c r="G92" s="33">
        <v>0</v>
      </c>
      <c r="H92" s="31" t="s">
        <v>11</v>
      </c>
    </row>
    <row r="93" spans="1:18" x14ac:dyDescent="0.2">
      <c r="A93" s="45"/>
      <c r="B93" s="45"/>
      <c r="C93" s="46"/>
      <c r="D93" s="45"/>
      <c r="E93" s="45"/>
      <c r="F93" s="47"/>
      <c r="G93" s="47"/>
      <c r="H93" s="31" t="s">
        <v>11</v>
      </c>
    </row>
    <row r="94" spans="1:18" x14ac:dyDescent="0.2">
      <c r="A94" s="45"/>
      <c r="B94" s="45"/>
      <c r="C94" s="17" t="s">
        <v>581</v>
      </c>
      <c r="D94" s="45"/>
      <c r="E94" s="45"/>
      <c r="F94" s="47"/>
      <c r="G94" s="47"/>
      <c r="H94" s="48"/>
      <c r="L94" s="9"/>
      <c r="M94" s="9"/>
      <c r="N94" s="9"/>
      <c r="O94" s="9"/>
      <c r="P94" s="10"/>
      <c r="Q94" s="10"/>
      <c r="R94" s="10"/>
    </row>
    <row r="95" spans="1:18" ht="25.5" x14ac:dyDescent="0.2">
      <c r="A95" s="49">
        <v>1</v>
      </c>
      <c r="B95" s="50" t="s">
        <v>98</v>
      </c>
      <c r="C95" s="50" t="s">
        <v>99</v>
      </c>
      <c r="D95" s="50"/>
      <c r="E95" s="51">
        <v>649.726</v>
      </c>
      <c r="F95" s="48">
        <v>67.899481136999995</v>
      </c>
      <c r="G95" s="52">
        <v>1.39259E-3</v>
      </c>
      <c r="H95" s="31"/>
    </row>
    <row r="96" spans="1:18" x14ac:dyDescent="0.2">
      <c r="A96" s="45"/>
      <c r="B96" s="45"/>
      <c r="C96" s="17" t="s">
        <v>10</v>
      </c>
      <c r="D96" s="45"/>
      <c r="E96" s="45" t="s">
        <v>11</v>
      </c>
      <c r="F96" s="53">
        <f>SUM(F95)</f>
        <v>67.899481136999995</v>
      </c>
      <c r="G96" s="54">
        <f>SUM(G95)</f>
        <v>1.39259E-3</v>
      </c>
      <c r="H96" s="31" t="s">
        <v>11</v>
      </c>
    </row>
    <row r="97" spans="1:8" x14ac:dyDescent="0.2">
      <c r="A97" s="29"/>
      <c r="B97" s="29"/>
      <c r="C97" s="34"/>
      <c r="D97" s="29"/>
      <c r="E97" s="29"/>
      <c r="F97" s="35"/>
      <c r="G97" s="35"/>
      <c r="H97" s="31" t="s">
        <v>11</v>
      </c>
    </row>
    <row r="98" spans="1:8" x14ac:dyDescent="0.2">
      <c r="A98" s="29"/>
      <c r="B98" s="29"/>
      <c r="C98" s="30" t="s">
        <v>100</v>
      </c>
      <c r="D98" s="29"/>
      <c r="E98" s="29"/>
      <c r="F98" s="29"/>
      <c r="G98" s="29"/>
      <c r="H98" s="31" t="s">
        <v>11</v>
      </c>
    </row>
    <row r="99" spans="1:8" x14ac:dyDescent="0.2">
      <c r="A99" s="29"/>
      <c r="B99" s="29"/>
      <c r="C99" s="30" t="s">
        <v>101</v>
      </c>
      <c r="D99" s="29"/>
      <c r="E99" s="29"/>
      <c r="F99" s="29"/>
      <c r="G99" s="29"/>
      <c r="H99" s="31" t="s">
        <v>11</v>
      </c>
    </row>
    <row r="100" spans="1:8" x14ac:dyDescent="0.2">
      <c r="A100" s="29"/>
      <c r="B100" s="29"/>
      <c r="C100" s="30" t="s">
        <v>10</v>
      </c>
      <c r="D100" s="29"/>
      <c r="E100" s="29" t="s">
        <v>11</v>
      </c>
      <c r="F100" s="32" t="s">
        <v>12</v>
      </c>
      <c r="G100" s="33">
        <v>0</v>
      </c>
      <c r="H100" s="31" t="s">
        <v>11</v>
      </c>
    </row>
    <row r="101" spans="1:8" x14ac:dyDescent="0.2">
      <c r="A101" s="29"/>
      <c r="B101" s="29"/>
      <c r="C101" s="34"/>
      <c r="D101" s="29"/>
      <c r="E101" s="29"/>
      <c r="F101" s="35"/>
      <c r="G101" s="35"/>
      <c r="H101" s="31" t="s">
        <v>11</v>
      </c>
    </row>
    <row r="102" spans="1:8" x14ac:dyDescent="0.2">
      <c r="A102" s="29"/>
      <c r="B102" s="29"/>
      <c r="C102" s="30" t="s">
        <v>102</v>
      </c>
      <c r="D102" s="29"/>
      <c r="E102" s="29"/>
      <c r="F102" s="35"/>
      <c r="G102" s="35"/>
      <c r="H102" s="31" t="s">
        <v>11</v>
      </c>
    </row>
    <row r="103" spans="1:8" x14ac:dyDescent="0.2">
      <c r="A103" s="29"/>
      <c r="B103" s="29"/>
      <c r="C103" s="30" t="s">
        <v>10</v>
      </c>
      <c r="D103" s="29"/>
      <c r="E103" s="29" t="s">
        <v>11</v>
      </c>
      <c r="F103" s="32" t="s">
        <v>12</v>
      </c>
      <c r="G103" s="33">
        <v>0</v>
      </c>
      <c r="H103" s="31" t="s">
        <v>11</v>
      </c>
    </row>
    <row r="104" spans="1:8" x14ac:dyDescent="0.2">
      <c r="A104" s="29"/>
      <c r="B104" s="29"/>
      <c r="C104" s="34"/>
      <c r="D104" s="29"/>
      <c r="E104" s="29"/>
      <c r="F104" s="35"/>
      <c r="G104" s="35"/>
      <c r="H104" s="31" t="s">
        <v>11</v>
      </c>
    </row>
    <row r="105" spans="1:8" x14ac:dyDescent="0.2">
      <c r="A105" s="44"/>
      <c r="B105" s="40"/>
      <c r="C105" s="40" t="s">
        <v>103</v>
      </c>
      <c r="D105" s="40"/>
      <c r="E105" s="44"/>
      <c r="F105" s="42">
        <v>-17.19756302</v>
      </c>
      <c r="G105" s="43">
        <v>-3.5271E-4</v>
      </c>
      <c r="H105" s="31" t="s">
        <v>11</v>
      </c>
    </row>
    <row r="106" spans="1:8" x14ac:dyDescent="0.2">
      <c r="A106" s="34"/>
      <c r="B106" s="34"/>
      <c r="C106" s="30" t="s">
        <v>104</v>
      </c>
      <c r="D106" s="35"/>
      <c r="E106" s="35"/>
      <c r="F106" s="38">
        <v>48757.800581418</v>
      </c>
      <c r="G106" s="55">
        <v>1.0000000099999999</v>
      </c>
      <c r="H106" s="31" t="s">
        <v>11</v>
      </c>
    </row>
    <row r="107" spans="1:8" x14ac:dyDescent="0.2">
      <c r="A107" s="56"/>
      <c r="B107" s="56"/>
      <c r="C107" s="56"/>
      <c r="D107" s="57"/>
      <c r="E107" s="57"/>
      <c r="F107" s="57"/>
      <c r="G107" s="57"/>
    </row>
    <row r="108" spans="1:8" x14ac:dyDescent="0.2">
      <c r="A108" s="58"/>
      <c r="B108" s="138" t="s">
        <v>582</v>
      </c>
      <c r="C108" s="138"/>
      <c r="D108" s="138"/>
      <c r="E108" s="138"/>
      <c r="F108" s="138"/>
      <c r="G108" s="138"/>
      <c r="H108" s="138"/>
    </row>
    <row r="109" spans="1:8" x14ac:dyDescent="0.2">
      <c r="A109" s="58"/>
      <c r="B109" s="138" t="s">
        <v>583</v>
      </c>
      <c r="C109" s="138"/>
      <c r="D109" s="138"/>
      <c r="E109" s="138"/>
      <c r="F109" s="138"/>
      <c r="G109" s="138"/>
      <c r="H109" s="138"/>
    </row>
    <row r="110" spans="1:8" x14ac:dyDescent="0.2">
      <c r="A110" s="58"/>
      <c r="B110" s="138" t="s">
        <v>584</v>
      </c>
      <c r="C110" s="138"/>
      <c r="D110" s="138"/>
      <c r="E110" s="138"/>
      <c r="F110" s="138"/>
      <c r="G110" s="138"/>
      <c r="H110" s="138"/>
    </row>
    <row r="111" spans="1:8" x14ac:dyDescent="0.2">
      <c r="A111" s="58"/>
      <c r="B111" s="148" t="s">
        <v>733</v>
      </c>
      <c r="C111" s="138"/>
      <c r="D111" s="138"/>
      <c r="E111" s="138"/>
      <c r="F111" s="138"/>
      <c r="G111" s="138"/>
      <c r="H111" s="138"/>
    </row>
    <row r="112" spans="1:8" ht="12.75" customHeight="1" x14ac:dyDescent="0.2">
      <c r="A112" s="148"/>
      <c r="B112" s="138"/>
      <c r="C112" s="138"/>
      <c r="D112" s="138"/>
      <c r="E112" s="138"/>
      <c r="F112" s="138"/>
      <c r="G112" s="138"/>
    </row>
    <row r="113" spans="1:10" x14ac:dyDescent="0.2">
      <c r="A113" s="59"/>
      <c r="B113" s="131" t="s">
        <v>105</v>
      </c>
      <c r="C113" s="132"/>
      <c r="D113" s="133"/>
      <c r="E113" s="61"/>
      <c r="F113" s="60"/>
      <c r="G113" s="60"/>
    </row>
    <row r="114" spans="1:10" x14ac:dyDescent="0.2">
      <c r="A114" s="59"/>
      <c r="B114" s="134" t="s">
        <v>106</v>
      </c>
      <c r="C114" s="135"/>
      <c r="D114" s="30" t="s">
        <v>107</v>
      </c>
      <c r="E114" s="61"/>
      <c r="F114" s="60"/>
      <c r="G114" s="60"/>
    </row>
    <row r="115" spans="1:10" x14ac:dyDescent="0.2">
      <c r="A115" s="59"/>
      <c r="B115" s="134" t="s">
        <v>108</v>
      </c>
      <c r="C115" s="135"/>
      <c r="D115" s="30" t="s">
        <v>107</v>
      </c>
      <c r="E115" s="61"/>
      <c r="F115" s="60"/>
      <c r="G115" s="60"/>
    </row>
    <row r="116" spans="1:10" x14ac:dyDescent="0.2">
      <c r="A116" s="59"/>
      <c r="B116" s="134" t="s">
        <v>109</v>
      </c>
      <c r="C116" s="135"/>
      <c r="D116" s="35" t="s">
        <v>11</v>
      </c>
      <c r="E116" s="61"/>
      <c r="F116" s="60"/>
      <c r="G116" s="60"/>
      <c r="J116"/>
    </row>
    <row r="117" spans="1:10" x14ac:dyDescent="0.2">
      <c r="A117" s="18"/>
      <c r="B117" s="62" t="s">
        <v>11</v>
      </c>
      <c r="C117" s="62" t="s">
        <v>585</v>
      </c>
      <c r="D117" s="62" t="s">
        <v>110</v>
      </c>
      <c r="E117" s="18"/>
      <c r="F117" s="18"/>
      <c r="G117" s="18"/>
      <c r="H117" s="63"/>
    </row>
    <row r="118" spans="1:10" x14ac:dyDescent="0.2">
      <c r="A118" s="64"/>
      <c r="B118" s="65" t="s">
        <v>111</v>
      </c>
      <c r="C118" s="66">
        <v>45596</v>
      </c>
      <c r="D118" s="66">
        <v>45611</v>
      </c>
      <c r="E118" s="64"/>
      <c r="F118" s="64"/>
      <c r="G118" s="64"/>
    </row>
    <row r="119" spans="1:10" x14ac:dyDescent="0.2">
      <c r="A119" s="64"/>
      <c r="B119" s="40" t="s">
        <v>112</v>
      </c>
      <c r="C119" s="67">
        <v>14.3355</v>
      </c>
      <c r="D119" s="67">
        <v>14.3786</v>
      </c>
      <c r="E119" s="64"/>
      <c r="F119" s="68"/>
      <c r="G119" s="69"/>
    </row>
    <row r="120" spans="1:10" ht="25.5" x14ac:dyDescent="0.2">
      <c r="A120" s="64"/>
      <c r="B120" s="40" t="s">
        <v>674</v>
      </c>
      <c r="C120" s="67">
        <v>11.182499999999999</v>
      </c>
      <c r="D120" s="67">
        <v>11.154</v>
      </c>
      <c r="E120" s="64"/>
      <c r="F120" s="68"/>
      <c r="G120" s="69"/>
    </row>
    <row r="121" spans="1:10" ht="25.5" x14ac:dyDescent="0.2">
      <c r="A121" s="64"/>
      <c r="B121" s="40" t="s">
        <v>675</v>
      </c>
      <c r="C121" s="67">
        <v>12.4107</v>
      </c>
      <c r="D121" s="67">
        <v>12.448</v>
      </c>
      <c r="E121" s="64"/>
      <c r="F121" s="68"/>
      <c r="G121" s="69"/>
    </row>
    <row r="122" spans="1:10" x14ac:dyDescent="0.2">
      <c r="A122" s="64"/>
      <c r="B122" s="40" t="s">
        <v>113</v>
      </c>
      <c r="C122" s="67">
        <v>14.256</v>
      </c>
      <c r="D122" s="67">
        <v>14.2982</v>
      </c>
      <c r="E122" s="64"/>
      <c r="F122" s="68"/>
      <c r="G122" s="69"/>
      <c r="J122"/>
    </row>
    <row r="123" spans="1:10" ht="25.5" x14ac:dyDescent="0.2">
      <c r="A123" s="64"/>
      <c r="B123" s="40" t="s">
        <v>678</v>
      </c>
      <c r="C123" s="67">
        <v>11.1614</v>
      </c>
      <c r="D123" s="67">
        <v>11.1335</v>
      </c>
      <c r="E123" s="64"/>
      <c r="F123" s="68"/>
      <c r="G123" s="69"/>
      <c r="J123"/>
    </row>
    <row r="124" spans="1:10" ht="25.5" x14ac:dyDescent="0.2">
      <c r="A124" s="64"/>
      <c r="B124" s="40" t="s">
        <v>648</v>
      </c>
      <c r="C124" s="67">
        <v>12.340299999999999</v>
      </c>
      <c r="D124" s="67">
        <v>12.376799999999999</v>
      </c>
      <c r="E124" s="64"/>
      <c r="F124" s="68"/>
      <c r="G124" s="69"/>
      <c r="J124"/>
    </row>
    <row r="125" spans="1:10" x14ac:dyDescent="0.2">
      <c r="A125" s="64"/>
      <c r="B125" s="64"/>
      <c r="C125" s="64"/>
      <c r="D125" s="64"/>
      <c r="E125" s="64"/>
      <c r="F125" s="64"/>
      <c r="G125" s="64"/>
      <c r="J125"/>
    </row>
    <row r="126" spans="1:10" x14ac:dyDescent="0.2">
      <c r="A126" s="64"/>
      <c r="B126" s="134" t="s">
        <v>649</v>
      </c>
      <c r="C126" s="135"/>
      <c r="D126" s="30" t="s">
        <v>11</v>
      </c>
      <c r="E126" s="64"/>
      <c r="F126" s="64"/>
      <c r="G126" s="64"/>
      <c r="J126"/>
    </row>
    <row r="127" spans="1:10" x14ac:dyDescent="0.2">
      <c r="A127" s="64"/>
      <c r="B127" s="70" t="s">
        <v>111</v>
      </c>
      <c r="C127" s="71" t="s">
        <v>114</v>
      </c>
      <c r="D127" s="71" t="s">
        <v>115</v>
      </c>
      <c r="E127" s="64"/>
      <c r="F127" s="64"/>
      <c r="G127" s="64"/>
    </row>
    <row r="128" spans="1:10" ht="25.5" x14ac:dyDescent="0.2">
      <c r="A128" s="64"/>
      <c r="B128" s="40" t="s">
        <v>674</v>
      </c>
      <c r="C128" s="72">
        <v>6.2100000000000002E-2</v>
      </c>
      <c r="D128" s="44" t="s">
        <v>116</v>
      </c>
      <c r="E128" s="64"/>
      <c r="F128" s="68"/>
      <c r="G128" s="69"/>
    </row>
    <row r="129" spans="1:15" ht="25.5" x14ac:dyDescent="0.2">
      <c r="A129" s="64"/>
      <c r="B129" s="40" t="s">
        <v>678</v>
      </c>
      <c r="C129" s="72">
        <v>6.0900000000000003E-2</v>
      </c>
      <c r="D129" s="44" t="s">
        <v>116</v>
      </c>
      <c r="E129" s="64"/>
      <c r="F129" s="68"/>
      <c r="G129" s="69"/>
    </row>
    <row r="130" spans="1:15" x14ac:dyDescent="0.2">
      <c r="A130" s="64"/>
      <c r="B130" s="73"/>
      <c r="C130" s="73"/>
      <c r="D130" s="74"/>
      <c r="E130" s="64"/>
      <c r="F130" s="68"/>
      <c r="G130" s="69"/>
      <c r="J130"/>
    </row>
    <row r="131" spans="1:15" x14ac:dyDescent="0.2">
      <c r="A131" s="18"/>
      <c r="B131" s="136" t="s">
        <v>117</v>
      </c>
      <c r="C131" s="137"/>
      <c r="D131" s="17" t="s">
        <v>107</v>
      </c>
      <c r="E131" s="19"/>
      <c r="F131" s="18"/>
      <c r="G131" s="18"/>
      <c r="J131"/>
    </row>
    <row r="132" spans="1:15" ht="25.5" customHeight="1" x14ac:dyDescent="0.2">
      <c r="A132" s="18"/>
      <c r="B132" s="136" t="s">
        <v>118</v>
      </c>
      <c r="C132" s="137"/>
      <c r="D132" s="17" t="s">
        <v>107</v>
      </c>
      <c r="E132" s="19"/>
      <c r="F132" s="18"/>
      <c r="G132" s="18"/>
    </row>
    <row r="133" spans="1:15" ht="26.25" customHeight="1" x14ac:dyDescent="0.2">
      <c r="A133" s="18"/>
      <c r="B133" s="136" t="s">
        <v>586</v>
      </c>
      <c r="C133" s="137"/>
      <c r="D133" s="17" t="s">
        <v>107</v>
      </c>
      <c r="E133" s="19"/>
      <c r="F133" s="18"/>
      <c r="G133" s="18"/>
    </row>
    <row r="134" spans="1:15" x14ac:dyDescent="0.2">
      <c r="A134" s="20"/>
      <c r="B134" s="20"/>
      <c r="C134" s="20"/>
      <c r="D134" s="20"/>
      <c r="E134" s="20"/>
      <c r="F134" s="20"/>
      <c r="G134" s="20"/>
    </row>
    <row r="135" spans="1:15" s="11" customFormat="1" x14ac:dyDescent="0.2">
      <c r="B135" s="139" t="s">
        <v>587</v>
      </c>
      <c r="C135" s="140"/>
      <c r="D135" s="141"/>
      <c r="I135"/>
      <c r="J135" s="2"/>
      <c r="K135" s="9"/>
      <c r="L135" s="9"/>
      <c r="M135" s="9"/>
      <c r="N135" s="9"/>
      <c r="O135" s="15"/>
    </row>
    <row r="136" spans="1:15" s="11" customFormat="1" ht="38.25" x14ac:dyDescent="0.2">
      <c r="B136" s="146" t="s">
        <v>588</v>
      </c>
      <c r="C136" s="147"/>
      <c r="D136" s="12" t="s">
        <v>142</v>
      </c>
      <c r="I136"/>
      <c r="J136" s="2"/>
      <c r="K136" s="9"/>
      <c r="L136" s="9"/>
      <c r="M136" s="9"/>
      <c r="N136" s="9"/>
      <c r="O136" s="15"/>
    </row>
    <row r="137" spans="1:15" s="11" customFormat="1" x14ac:dyDescent="0.2">
      <c r="B137" s="143" t="s">
        <v>589</v>
      </c>
      <c r="C137" s="144"/>
      <c r="D137" s="13"/>
      <c r="I137"/>
      <c r="J137" s="2"/>
      <c r="K137" s="9"/>
      <c r="L137" s="9"/>
      <c r="M137" s="9"/>
      <c r="N137" s="9"/>
      <c r="O137" s="15"/>
    </row>
    <row r="138" spans="1:15" s="11" customFormat="1" x14ac:dyDescent="0.2">
      <c r="B138" s="143"/>
      <c r="C138" s="144"/>
      <c r="D138" s="14"/>
      <c r="I138"/>
      <c r="J138" s="2"/>
      <c r="K138" s="9"/>
      <c r="L138" s="9"/>
      <c r="M138" s="9"/>
      <c r="N138" s="9"/>
      <c r="O138" s="15"/>
    </row>
    <row r="139" spans="1:15" s="11" customFormat="1" x14ac:dyDescent="0.2">
      <c r="B139" s="143" t="s">
        <v>590</v>
      </c>
      <c r="C139" s="149"/>
      <c r="D139" s="16">
        <v>7.3272173427008012</v>
      </c>
      <c r="I139"/>
      <c r="J139" s="2"/>
      <c r="K139" s="9"/>
      <c r="L139" s="9"/>
      <c r="M139" s="9"/>
      <c r="N139" s="9"/>
      <c r="O139" s="15"/>
    </row>
    <row r="140" spans="1:15" s="11" customFormat="1" x14ac:dyDescent="0.2">
      <c r="B140" s="143"/>
      <c r="C140" s="144"/>
      <c r="D140" s="14"/>
      <c r="I140"/>
      <c r="J140" s="2"/>
      <c r="K140" s="9"/>
      <c r="L140" s="9"/>
      <c r="M140" s="9"/>
      <c r="N140" s="9"/>
      <c r="O140" s="15"/>
    </row>
    <row r="141" spans="1:15" s="11" customFormat="1" x14ac:dyDescent="0.2">
      <c r="B141" s="143" t="s">
        <v>591</v>
      </c>
      <c r="C141" s="149"/>
      <c r="D141" s="16">
        <v>0.41910810820838307</v>
      </c>
      <c r="I141"/>
      <c r="J141" s="2"/>
      <c r="K141" s="9"/>
      <c r="L141" s="9"/>
      <c r="M141" s="9"/>
      <c r="N141" s="9"/>
      <c r="O141" s="15"/>
    </row>
    <row r="142" spans="1:15" s="11" customFormat="1" x14ac:dyDescent="0.2">
      <c r="B142" s="143" t="s">
        <v>592</v>
      </c>
      <c r="C142" s="149"/>
      <c r="D142" s="16">
        <v>0.41910810820838307</v>
      </c>
      <c r="I142"/>
      <c r="J142" s="2"/>
      <c r="K142" s="9"/>
      <c r="L142" s="9"/>
      <c r="M142" s="9"/>
      <c r="N142" s="9"/>
      <c r="O142" s="15"/>
    </row>
    <row r="143" spans="1:15" s="11" customFormat="1" x14ac:dyDescent="0.2">
      <c r="B143" s="143"/>
      <c r="C143" s="144"/>
      <c r="D143" s="14"/>
      <c r="I143"/>
      <c r="J143" s="2"/>
      <c r="K143" s="9"/>
      <c r="L143" s="9"/>
      <c r="M143" s="9"/>
      <c r="N143" s="9"/>
      <c r="O143" s="15"/>
    </row>
    <row r="144" spans="1:15" s="11" customFormat="1" x14ac:dyDescent="0.2">
      <c r="B144" s="142" t="s">
        <v>593</v>
      </c>
      <c r="C144" s="142"/>
      <c r="D144" s="75" t="s">
        <v>681</v>
      </c>
      <c r="I144"/>
      <c r="J144" s="2"/>
      <c r="K144" s="9"/>
      <c r="L144" s="9"/>
      <c r="M144" s="9"/>
      <c r="N144" s="9"/>
      <c r="O144" s="15"/>
    </row>
    <row r="145" spans="2:17" s="11" customFormat="1" x14ac:dyDescent="0.2">
      <c r="B145" s="143" t="s">
        <v>594</v>
      </c>
      <c r="C145" s="145"/>
      <c r="D145" s="144"/>
      <c r="I145"/>
      <c r="J145" s="2"/>
      <c r="K145" s="9"/>
      <c r="L145" s="9"/>
      <c r="M145" s="9"/>
      <c r="N145" s="9"/>
      <c r="O145" s="15"/>
      <c r="P145"/>
      <c r="Q145"/>
    </row>
  </sheetData>
  <mergeCells count="27">
    <mergeCell ref="B142:C142"/>
    <mergeCell ref="B143:C143"/>
    <mergeCell ref="B144:C144"/>
    <mergeCell ref="B145:D145"/>
    <mergeCell ref="B137:C137"/>
    <mergeCell ref="B138:C138"/>
    <mergeCell ref="B139:C139"/>
    <mergeCell ref="B140:C140"/>
    <mergeCell ref="B141:C141"/>
    <mergeCell ref="A1:H1"/>
    <mergeCell ref="A2:H2"/>
    <mergeCell ref="A3:H3"/>
    <mergeCell ref="B108:H108"/>
    <mergeCell ref="B109:H109"/>
    <mergeCell ref="B110:H110"/>
    <mergeCell ref="B133:C133"/>
    <mergeCell ref="B136:C136"/>
    <mergeCell ref="B113:D113"/>
    <mergeCell ref="B114:C114"/>
    <mergeCell ref="B115:C115"/>
    <mergeCell ref="B116:C116"/>
    <mergeCell ref="B126:C126"/>
    <mergeCell ref="B132:C132"/>
    <mergeCell ref="B131:C131"/>
    <mergeCell ref="B135:D135"/>
    <mergeCell ref="A112:G112"/>
    <mergeCell ref="B111:H111"/>
  </mergeCells>
  <hyperlinks>
    <hyperlink ref="I1" location="Index!B2" display="Index" xr:uid="{506AFCC9-FB49-4449-80A8-82039B783B7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D06E7-8898-41D1-A24B-1468A90B79B9}">
  <sheetPr>
    <outlinePr summaryBelow="0" summaryRight="0"/>
  </sheetPr>
  <dimension ref="A1:T174"/>
  <sheetViews>
    <sheetView showGridLines="0" workbookViewId="0">
      <selection sqref="A1:XFD1048576"/>
    </sheetView>
  </sheetViews>
  <sheetFormatPr defaultRowHeight="12.75" x14ac:dyDescent="0.2"/>
  <cols>
    <col min="1" max="1" width="5.85546875" bestFit="1" customWidth="1"/>
    <col min="2" max="2" width="20.28515625" bestFit="1" customWidth="1"/>
    <col min="3" max="3" width="39.140625" bestFit="1" customWidth="1"/>
    <col min="4" max="4" width="11.28515625" bestFit="1" customWidth="1"/>
    <col min="5" max="5" width="9.42578125" bestFit="1" customWidth="1"/>
    <col min="6" max="6" width="10.140625" bestFit="1" customWidth="1"/>
    <col min="7" max="7" width="14" bestFit="1" customWidth="1"/>
    <col min="8" max="8" width="10" customWidth="1"/>
    <col min="9" max="9" width="11.42578125" customWidth="1"/>
    <col min="10" max="10" width="50.7109375" style="2" customWidth="1"/>
  </cols>
  <sheetData>
    <row r="1" spans="1:10" ht="15" x14ac:dyDescent="0.2">
      <c r="A1" s="130" t="s">
        <v>0</v>
      </c>
      <c r="B1" s="130"/>
      <c r="C1" s="130"/>
      <c r="D1" s="130"/>
      <c r="E1" s="130"/>
      <c r="F1" s="130"/>
      <c r="G1" s="130"/>
      <c r="H1" s="130"/>
      <c r="I1" s="1" t="s">
        <v>562</v>
      </c>
    </row>
    <row r="2" spans="1:10" ht="15" x14ac:dyDescent="0.2">
      <c r="A2" s="130" t="s">
        <v>203</v>
      </c>
      <c r="B2" s="130"/>
      <c r="C2" s="130"/>
      <c r="D2" s="130"/>
      <c r="E2" s="130"/>
      <c r="F2" s="130"/>
      <c r="G2" s="130"/>
      <c r="H2" s="130"/>
      <c r="J2" s="26" t="s">
        <v>563</v>
      </c>
    </row>
    <row r="3" spans="1:10" ht="15" x14ac:dyDescent="0.2">
      <c r="A3" s="130" t="s">
        <v>579</v>
      </c>
      <c r="B3" s="130"/>
      <c r="C3" s="130"/>
      <c r="D3" s="130"/>
      <c r="E3" s="130"/>
      <c r="F3" s="130"/>
      <c r="G3" s="130"/>
      <c r="H3" s="130"/>
    </row>
    <row r="4" spans="1:10" s="2" customFormat="1" ht="30" x14ac:dyDescent="0.2">
      <c r="A4" s="27" t="s">
        <v>1</v>
      </c>
      <c r="B4" s="27" t="s">
        <v>2</v>
      </c>
      <c r="C4" s="27" t="s">
        <v>3</v>
      </c>
      <c r="D4" s="27" t="s">
        <v>4</v>
      </c>
      <c r="E4" s="27" t="s">
        <v>5</v>
      </c>
      <c r="F4" s="27" t="s">
        <v>6</v>
      </c>
      <c r="G4" s="27" t="s">
        <v>7</v>
      </c>
      <c r="H4" s="28" t="s">
        <v>564</v>
      </c>
    </row>
    <row r="5" spans="1:10" x14ac:dyDescent="0.2">
      <c r="A5" s="29"/>
      <c r="B5" s="29"/>
      <c r="C5" s="30" t="s">
        <v>8</v>
      </c>
      <c r="D5" s="29"/>
      <c r="E5" s="29"/>
      <c r="F5" s="29"/>
      <c r="G5" s="29"/>
      <c r="H5" s="31" t="str">
        <f>IFERROR(VLOOKUP(B5,'[1]Debt Holding Consolidated'!$C$1:$AM$65536,12,FALSE),"")</f>
        <v/>
      </c>
    </row>
    <row r="6" spans="1:10" x14ac:dyDescent="0.2">
      <c r="A6" s="29"/>
      <c r="B6" s="29"/>
      <c r="C6" s="30" t="s">
        <v>9</v>
      </c>
      <c r="D6" s="29"/>
      <c r="E6" s="29"/>
      <c r="F6" s="29"/>
      <c r="G6" s="29"/>
      <c r="H6" s="31" t="str">
        <f>IFERROR(VLOOKUP(B6,'[1]Debt Holding Consolidated'!$C$1:$AM$65536,12,FALSE),"")</f>
        <v/>
      </c>
    </row>
    <row r="7" spans="1:10" x14ac:dyDescent="0.2">
      <c r="A7" s="29"/>
      <c r="B7" s="29"/>
      <c r="C7" s="30" t="s">
        <v>10</v>
      </c>
      <c r="D7" s="29"/>
      <c r="E7" s="29" t="s">
        <v>11</v>
      </c>
      <c r="F7" s="32" t="s">
        <v>12</v>
      </c>
      <c r="G7" s="33">
        <v>0</v>
      </c>
      <c r="H7" s="31" t="str">
        <f>IFERROR(VLOOKUP(B7,'[1]Debt Holding Consolidated'!$C$1:$AM$65536,12,FALSE),"")</f>
        <v/>
      </c>
    </row>
    <row r="8" spans="1:10" x14ac:dyDescent="0.2">
      <c r="A8" s="29"/>
      <c r="B8" s="29"/>
      <c r="C8" s="34"/>
      <c r="D8" s="29"/>
      <c r="E8" s="29"/>
      <c r="F8" s="35"/>
      <c r="G8" s="35"/>
      <c r="H8" s="31" t="str">
        <f>IFERROR(VLOOKUP(B8,'[1]Debt Holding Consolidated'!$C$1:$AM$65536,12,FALSE),"")</f>
        <v/>
      </c>
    </row>
    <row r="9" spans="1:10" x14ac:dyDescent="0.2">
      <c r="A9" s="29"/>
      <c r="B9" s="29"/>
      <c r="C9" s="30" t="s">
        <v>13</v>
      </c>
      <c r="D9" s="29"/>
      <c r="E9" s="29"/>
      <c r="F9" s="29"/>
      <c r="G9" s="29"/>
      <c r="H9" s="31" t="str">
        <f>IFERROR(VLOOKUP(B9,'[1]Debt Holding Consolidated'!$C$1:$AM$65536,12,FALSE),"")</f>
        <v/>
      </c>
    </row>
    <row r="10" spans="1:10" x14ac:dyDescent="0.2">
      <c r="A10" s="29"/>
      <c r="B10" s="29"/>
      <c r="C10" s="30" t="s">
        <v>10</v>
      </c>
      <c r="D10" s="29"/>
      <c r="E10" s="29" t="s">
        <v>11</v>
      </c>
      <c r="F10" s="32" t="s">
        <v>12</v>
      </c>
      <c r="G10" s="33">
        <v>0</v>
      </c>
      <c r="H10" s="31" t="str">
        <f>IFERROR(VLOOKUP(B10,'[1]Debt Holding Consolidated'!$C$1:$AM$65536,12,FALSE),"")</f>
        <v/>
      </c>
    </row>
    <row r="11" spans="1:10" x14ac:dyDescent="0.2">
      <c r="A11" s="29"/>
      <c r="B11" s="29"/>
      <c r="C11" s="34"/>
      <c r="D11" s="29"/>
      <c r="E11" s="29"/>
      <c r="F11" s="35"/>
      <c r="G11" s="35"/>
      <c r="H11" s="31" t="str">
        <f>IFERROR(VLOOKUP(B11,'[1]Debt Holding Consolidated'!$C$1:$AM$65536,12,FALSE),"")</f>
        <v/>
      </c>
    </row>
    <row r="12" spans="1:10" ht="15" x14ac:dyDescent="0.2">
      <c r="A12" s="29"/>
      <c r="B12" s="29"/>
      <c r="C12" s="30" t="s">
        <v>14</v>
      </c>
      <c r="D12" s="29"/>
      <c r="E12" s="29"/>
      <c r="F12" s="29"/>
      <c r="G12" s="29"/>
      <c r="H12" s="31" t="str">
        <f>IFERROR(VLOOKUP(B12,'[1]Debt Holding Consolidated'!$C$1:$AM$65536,12,FALSE),"")</f>
        <v/>
      </c>
      <c r="J12" s="36"/>
    </row>
    <row r="13" spans="1:10" x14ac:dyDescent="0.2">
      <c r="A13" s="29"/>
      <c r="B13" s="29"/>
      <c r="C13" s="30" t="s">
        <v>10</v>
      </c>
      <c r="D13" s="29"/>
      <c r="E13" s="29" t="s">
        <v>11</v>
      </c>
      <c r="F13" s="32" t="s">
        <v>12</v>
      </c>
      <c r="G13" s="33">
        <v>0</v>
      </c>
      <c r="H13" s="31" t="str">
        <f>IFERROR(VLOOKUP(B13,'[1]Debt Holding Consolidated'!$C$1:$AM$65536,12,FALSE),"")</f>
        <v/>
      </c>
      <c r="J13" s="37"/>
    </row>
    <row r="14" spans="1:10" x14ac:dyDescent="0.2">
      <c r="A14" s="29"/>
      <c r="B14" s="29"/>
      <c r="C14" s="34"/>
      <c r="D14" s="29"/>
      <c r="E14" s="29"/>
      <c r="F14" s="35"/>
      <c r="G14" s="35"/>
      <c r="H14" s="31" t="str">
        <f>IFERROR(VLOOKUP(B14,'[1]Debt Holding Consolidated'!$C$1:$AM$65536,12,FALSE),"")</f>
        <v/>
      </c>
    </row>
    <row r="15" spans="1:10" x14ac:dyDescent="0.2">
      <c r="A15" s="29"/>
      <c r="B15" s="29"/>
      <c r="C15" s="30" t="s">
        <v>15</v>
      </c>
      <c r="D15" s="29"/>
      <c r="E15" s="29"/>
      <c r="F15" s="29"/>
      <c r="G15" s="29"/>
      <c r="H15" s="31" t="str">
        <f>IFERROR(VLOOKUP(B15,'[1]Debt Holding Consolidated'!$C$1:$AM$65536,12,FALSE),"")</f>
        <v/>
      </c>
      <c r="J15" s="37"/>
    </row>
    <row r="16" spans="1:10" ht="25.5" x14ac:dyDescent="0.2">
      <c r="A16" s="29"/>
      <c r="B16" s="29"/>
      <c r="C16" s="30" t="s">
        <v>10</v>
      </c>
      <c r="D16" s="29"/>
      <c r="E16" s="29" t="s">
        <v>11</v>
      </c>
      <c r="F16" s="32" t="s">
        <v>12</v>
      </c>
      <c r="G16" s="33">
        <v>0</v>
      </c>
      <c r="H16" s="31" t="str">
        <f>IFERROR(VLOOKUP(B16,'[1]Debt Holding Consolidated'!$C$1:$AM$65536,12,FALSE),"")</f>
        <v/>
      </c>
      <c r="J16" s="37" t="s">
        <v>629</v>
      </c>
    </row>
    <row r="17" spans="1:10" x14ac:dyDescent="0.2">
      <c r="A17" s="29"/>
      <c r="B17" s="29"/>
      <c r="C17" s="34"/>
      <c r="D17" s="29"/>
      <c r="E17" s="29"/>
      <c r="F17" s="35"/>
      <c r="G17" s="35"/>
      <c r="H17" s="31" t="str">
        <f>IFERROR(VLOOKUP(B17,'[1]Debt Holding Consolidated'!$C$1:$AM$65536,12,FALSE),"")</f>
        <v/>
      </c>
    </row>
    <row r="18" spans="1:10" x14ac:dyDescent="0.2">
      <c r="A18" s="29"/>
      <c r="B18" s="29"/>
      <c r="C18" s="30" t="s">
        <v>16</v>
      </c>
      <c r="D18" s="29"/>
      <c r="E18" s="29"/>
      <c r="F18" s="35"/>
      <c r="G18" s="35"/>
      <c r="H18" s="31" t="str">
        <f>IFERROR(VLOOKUP(B18,'[1]Debt Holding Consolidated'!$C$1:$AM$65536,12,FALSE),"")</f>
        <v/>
      </c>
    </row>
    <row r="19" spans="1:10" x14ac:dyDescent="0.2">
      <c r="A19" s="29"/>
      <c r="B19" s="29"/>
      <c r="C19" s="30" t="s">
        <v>10</v>
      </c>
      <c r="D19" s="29"/>
      <c r="E19" s="29" t="s">
        <v>11</v>
      </c>
      <c r="F19" s="32" t="s">
        <v>12</v>
      </c>
      <c r="G19" s="33">
        <v>0</v>
      </c>
      <c r="H19" s="31" t="str">
        <f>IFERROR(VLOOKUP(B19,'[1]Debt Holding Consolidated'!$C$1:$AM$65536,12,FALSE),"")</f>
        <v/>
      </c>
    </row>
    <row r="20" spans="1:10" x14ac:dyDescent="0.2">
      <c r="A20" s="29"/>
      <c r="B20" s="29"/>
      <c r="C20" s="34"/>
      <c r="D20" s="29"/>
      <c r="E20" s="29"/>
      <c r="F20" s="35"/>
      <c r="G20" s="35"/>
      <c r="H20" s="31" t="str">
        <f>IFERROR(VLOOKUP(B20,'[1]Debt Holding Consolidated'!$C$1:$AM$65536,12,FALSE),"")</f>
        <v/>
      </c>
    </row>
    <row r="21" spans="1:10" x14ac:dyDescent="0.2">
      <c r="A21" s="29"/>
      <c r="B21" s="29"/>
      <c r="C21" s="30" t="s">
        <v>17</v>
      </c>
      <c r="D21" s="29"/>
      <c r="E21" s="29"/>
      <c r="F21" s="35"/>
      <c r="G21" s="35"/>
      <c r="H21" s="31" t="str">
        <f>IFERROR(VLOOKUP(B21,'[1]Debt Holding Consolidated'!$C$1:$AM$65536,12,FALSE),"")</f>
        <v/>
      </c>
    </row>
    <row r="22" spans="1:10" ht="15" x14ac:dyDescent="0.2">
      <c r="A22" s="29"/>
      <c r="B22" s="29"/>
      <c r="C22" s="30" t="s">
        <v>10</v>
      </c>
      <c r="D22" s="29"/>
      <c r="E22" s="29" t="s">
        <v>11</v>
      </c>
      <c r="F22" s="32" t="s">
        <v>12</v>
      </c>
      <c r="G22" s="33">
        <v>0</v>
      </c>
      <c r="H22" s="31" t="str">
        <f>IFERROR(VLOOKUP(B22,'[1]Debt Holding Consolidated'!$C$1:$AM$65536,12,FALSE),"")</f>
        <v/>
      </c>
      <c r="J22" s="36"/>
    </row>
    <row r="23" spans="1:10" x14ac:dyDescent="0.2">
      <c r="A23" s="29"/>
      <c r="B23" s="29"/>
      <c r="C23" s="34"/>
      <c r="D23" s="29"/>
      <c r="E23" s="29"/>
      <c r="F23" s="35"/>
      <c r="G23" s="35"/>
      <c r="H23" s="31" t="str">
        <f>IFERROR(VLOOKUP(B23,'[1]Debt Holding Consolidated'!$C$1:$AM$65536,12,FALSE),"")</f>
        <v/>
      </c>
      <c r="J23" s="37"/>
    </row>
    <row r="24" spans="1:10" x14ac:dyDescent="0.2">
      <c r="A24" s="29"/>
      <c r="B24" s="29"/>
      <c r="C24" s="30" t="s">
        <v>18</v>
      </c>
      <c r="D24" s="29"/>
      <c r="E24" s="29"/>
      <c r="F24" s="38">
        <v>0</v>
      </c>
      <c r="G24" s="33">
        <v>0</v>
      </c>
      <c r="H24" s="31" t="str">
        <f>IFERROR(VLOOKUP(B24,'[1]Debt Holding Consolidated'!$C$1:$AM$65536,12,FALSE),"")</f>
        <v/>
      </c>
    </row>
    <row r="25" spans="1:10" x14ac:dyDescent="0.2">
      <c r="A25" s="29"/>
      <c r="B25" s="29"/>
      <c r="C25" s="34"/>
      <c r="D25" s="29"/>
      <c r="E25" s="29"/>
      <c r="F25" s="35"/>
      <c r="G25" s="35"/>
      <c r="H25" s="31" t="str">
        <f>IFERROR(VLOOKUP(B25,'[1]Debt Holding Consolidated'!$C$1:$AM$65536,12,FALSE),"")</f>
        <v/>
      </c>
    </row>
    <row r="26" spans="1:10" x14ac:dyDescent="0.2">
      <c r="A26" s="29"/>
      <c r="B26" s="29"/>
      <c r="C26" s="30" t="s">
        <v>19</v>
      </c>
      <c r="D26" s="29"/>
      <c r="E26" s="29"/>
      <c r="F26" s="35"/>
      <c r="G26" s="35"/>
      <c r="H26" s="31" t="str">
        <f>IFERROR(VLOOKUP(B26,'[1]Debt Holding Consolidated'!$C$1:$AM$65536,12,FALSE),"")</f>
        <v/>
      </c>
    </row>
    <row r="27" spans="1:10" x14ac:dyDescent="0.2">
      <c r="A27" s="29"/>
      <c r="B27" s="29"/>
      <c r="C27" s="30" t="s">
        <v>9</v>
      </c>
      <c r="D27" s="29"/>
      <c r="E27" s="29"/>
      <c r="F27" s="35"/>
      <c r="G27" s="35"/>
      <c r="H27" s="31" t="str">
        <f>IFERROR(VLOOKUP(B27,'[1]Debt Holding Consolidated'!$C$1:$AM$65536,12,FALSE),"")</f>
        <v/>
      </c>
    </row>
    <row r="28" spans="1:10" ht="25.5" x14ac:dyDescent="0.2">
      <c r="A28" s="39">
        <v>1</v>
      </c>
      <c r="B28" s="40" t="s">
        <v>204</v>
      </c>
      <c r="C28" s="40" t="s">
        <v>205</v>
      </c>
      <c r="D28" s="40" t="s">
        <v>22</v>
      </c>
      <c r="E28" s="41">
        <v>250</v>
      </c>
      <c r="F28" s="42">
        <v>2492.7600000000002</v>
      </c>
      <c r="G28" s="43">
        <v>5.9978749999999997E-2</v>
      </c>
      <c r="H28" s="31">
        <f>IFERROR(VLOOKUP(B28,'[1]Debt Holding Consolidated'!$C$1:$AM$65536,12,FALSE),"")</f>
        <v>7.4950000000000001</v>
      </c>
    </row>
    <row r="29" spans="1:10" ht="25.5" x14ac:dyDescent="0.2">
      <c r="A29" s="39">
        <v>2</v>
      </c>
      <c r="B29" s="40" t="s">
        <v>206</v>
      </c>
      <c r="C29" s="40" t="s">
        <v>207</v>
      </c>
      <c r="D29" s="40" t="s">
        <v>208</v>
      </c>
      <c r="E29" s="41">
        <v>2000</v>
      </c>
      <c r="F29" s="42">
        <v>2001.7719999999999</v>
      </c>
      <c r="G29" s="43">
        <v>4.8164999999999999E-2</v>
      </c>
      <c r="H29" s="31">
        <f>IFERROR(VLOOKUP(B29,'[1]Debt Holding Consolidated'!$C$1:$AM$65536,12,FALSE),"")</f>
        <v>7.3250000000000002</v>
      </c>
      <c r="J29" s="37" t="s">
        <v>630</v>
      </c>
    </row>
    <row r="30" spans="1:10" x14ac:dyDescent="0.2">
      <c r="A30" s="39">
        <v>3</v>
      </c>
      <c r="B30" s="40" t="s">
        <v>209</v>
      </c>
      <c r="C30" s="40" t="s">
        <v>210</v>
      </c>
      <c r="D30" s="40" t="s">
        <v>211</v>
      </c>
      <c r="E30" s="41">
        <v>1500</v>
      </c>
      <c r="F30" s="42">
        <v>1509.252</v>
      </c>
      <c r="G30" s="43">
        <v>3.6314390000000002E-2</v>
      </c>
      <c r="H30" s="31">
        <f>IFERROR(VLOOKUP(B30,'[1]Debt Holding Consolidated'!$C$1:$AM$65536,12,FALSE),"")</f>
        <v>7.9950000000000001</v>
      </c>
    </row>
    <row r="31" spans="1:10" ht="25.5" x14ac:dyDescent="0.2">
      <c r="A31" s="39">
        <v>4</v>
      </c>
      <c r="B31" s="40" t="s">
        <v>212</v>
      </c>
      <c r="C31" s="40" t="s">
        <v>213</v>
      </c>
      <c r="D31" s="40" t="s">
        <v>22</v>
      </c>
      <c r="E31" s="41">
        <v>140</v>
      </c>
      <c r="F31" s="42">
        <v>1378.5912000000001</v>
      </c>
      <c r="G31" s="43">
        <v>3.3170539999999998E-2</v>
      </c>
      <c r="H31" s="31">
        <f>IFERROR(VLOOKUP(B31,'[1]Debt Holding Consolidated'!$C$1:$AM$65536,12,FALSE),"")</f>
        <v>7.68</v>
      </c>
    </row>
    <row r="32" spans="1:10" x14ac:dyDescent="0.2">
      <c r="A32" s="39">
        <v>5</v>
      </c>
      <c r="B32" s="40" t="s">
        <v>214</v>
      </c>
      <c r="C32" s="40" t="s">
        <v>215</v>
      </c>
      <c r="D32" s="40" t="s">
        <v>216</v>
      </c>
      <c r="E32" s="41">
        <v>1200</v>
      </c>
      <c r="F32" s="42">
        <v>1204.4256</v>
      </c>
      <c r="G32" s="43">
        <v>2.8979910000000001E-2</v>
      </c>
      <c r="H32" s="31">
        <f>IFERROR(VLOOKUP(B32,'[1]Debt Holding Consolidated'!$C$1:$AM$65536,12,FALSE),"")</f>
        <v>8.5</v>
      </c>
    </row>
    <row r="33" spans="1:8" x14ac:dyDescent="0.2">
      <c r="A33" s="39">
        <v>6</v>
      </c>
      <c r="B33" s="40" t="s">
        <v>217</v>
      </c>
      <c r="C33" s="40" t="s">
        <v>218</v>
      </c>
      <c r="D33" s="40" t="s">
        <v>216</v>
      </c>
      <c r="E33" s="41">
        <v>1000</v>
      </c>
      <c r="F33" s="42">
        <v>1003.373</v>
      </c>
      <c r="G33" s="43">
        <v>2.4142340000000002E-2</v>
      </c>
      <c r="H33" s="31">
        <f>IFERROR(VLOOKUP(B33,'[1]Debt Holding Consolidated'!$C$1:$AM$65536,12,FALSE),"")</f>
        <v>8.8800000000000008</v>
      </c>
    </row>
    <row r="34" spans="1:8" ht="25.5" x14ac:dyDescent="0.2">
      <c r="A34" s="39">
        <v>7</v>
      </c>
      <c r="B34" s="40" t="s">
        <v>219</v>
      </c>
      <c r="C34" s="40" t="s">
        <v>220</v>
      </c>
      <c r="D34" s="40" t="s">
        <v>211</v>
      </c>
      <c r="E34" s="41">
        <v>1000</v>
      </c>
      <c r="F34" s="42">
        <v>1000.875</v>
      </c>
      <c r="G34" s="43">
        <v>2.4082240000000001E-2</v>
      </c>
      <c r="H34" s="31">
        <f>IFERROR(VLOOKUP(B34,'[1]Debt Holding Consolidated'!$C$1:$AM$65536,12,FALSE),"")</f>
        <v>8.1232000000000006</v>
      </c>
    </row>
    <row r="35" spans="1:8" x14ac:dyDescent="0.2">
      <c r="A35" s="39">
        <v>8</v>
      </c>
      <c r="B35" s="40" t="s">
        <v>221</v>
      </c>
      <c r="C35" s="40" t="s">
        <v>222</v>
      </c>
      <c r="D35" s="40" t="s">
        <v>22</v>
      </c>
      <c r="E35" s="41">
        <v>1000</v>
      </c>
      <c r="F35" s="42">
        <v>1000.241</v>
      </c>
      <c r="G35" s="43">
        <v>2.4066980000000002E-2</v>
      </c>
      <c r="H35" s="31">
        <f>IFERROR(VLOOKUP(B35,'[1]Debt Holding Consolidated'!$C$1:$AM$65536,12,FALSE),"")</f>
        <v>7.5</v>
      </c>
    </row>
    <row r="36" spans="1:8" ht="25.5" x14ac:dyDescent="0.2">
      <c r="A36" s="39">
        <v>9</v>
      </c>
      <c r="B36" s="40" t="s">
        <v>223</v>
      </c>
      <c r="C36" s="40" t="s">
        <v>224</v>
      </c>
      <c r="D36" s="40" t="s">
        <v>225</v>
      </c>
      <c r="E36" s="41">
        <v>1000</v>
      </c>
      <c r="F36" s="42">
        <v>998.01199999999994</v>
      </c>
      <c r="G36" s="43">
        <v>2.4013349999999999E-2</v>
      </c>
      <c r="H36" s="31">
        <f>IFERROR(VLOOKUP(B36,'[1]Debt Holding Consolidated'!$C$1:$AM$65536,12,FALSE),"")</f>
        <v>9.36</v>
      </c>
    </row>
    <row r="37" spans="1:8" ht="25.5" x14ac:dyDescent="0.2">
      <c r="A37" s="39">
        <v>10</v>
      </c>
      <c r="B37" s="40" t="s">
        <v>42</v>
      </c>
      <c r="C37" s="40" t="s">
        <v>43</v>
      </c>
      <c r="D37" s="40" t="s">
        <v>22</v>
      </c>
      <c r="E37" s="41">
        <v>1000</v>
      </c>
      <c r="F37" s="42">
        <v>997.005</v>
      </c>
      <c r="G37" s="43">
        <v>2.3989119999999999E-2</v>
      </c>
      <c r="H37" s="31">
        <f>IFERROR(VLOOKUP(B37,'[1]Debt Holding Consolidated'!$C$1:$AM$65536,12,FALSE),"")</f>
        <v>7.4</v>
      </c>
    </row>
    <row r="38" spans="1:8" ht="25.5" x14ac:dyDescent="0.2">
      <c r="A38" s="39">
        <v>11</v>
      </c>
      <c r="B38" s="40" t="s">
        <v>226</v>
      </c>
      <c r="C38" s="40" t="s">
        <v>227</v>
      </c>
      <c r="D38" s="40" t="s">
        <v>22</v>
      </c>
      <c r="E38" s="41">
        <v>100</v>
      </c>
      <c r="F38" s="42">
        <v>996.97400000000005</v>
      </c>
      <c r="G38" s="43">
        <v>2.3988369999999998E-2</v>
      </c>
      <c r="H38" s="31">
        <f>IFERROR(VLOOKUP(B38,'[1]Debt Holding Consolidated'!$C$1:$AM$65536,12,FALSE),"")</f>
        <v>7.63</v>
      </c>
    </row>
    <row r="39" spans="1:8" x14ac:dyDescent="0.2">
      <c r="A39" s="39">
        <v>12</v>
      </c>
      <c r="B39" s="40" t="s">
        <v>228</v>
      </c>
      <c r="C39" s="40" t="s">
        <v>229</v>
      </c>
      <c r="D39" s="40" t="s">
        <v>216</v>
      </c>
      <c r="E39" s="41">
        <v>100</v>
      </c>
      <c r="F39" s="42">
        <v>996.14300000000003</v>
      </c>
      <c r="G39" s="43">
        <v>2.3968380000000001E-2</v>
      </c>
      <c r="H39" s="31">
        <f>IFERROR(VLOOKUP(B39,'[1]Debt Holding Consolidated'!$C$1:$AM$65536,12,FALSE),"")</f>
        <v>8.6300000000000008</v>
      </c>
    </row>
    <row r="40" spans="1:8" x14ac:dyDescent="0.2">
      <c r="A40" s="39">
        <v>13</v>
      </c>
      <c r="B40" s="40" t="s">
        <v>230</v>
      </c>
      <c r="C40" s="40" t="s">
        <v>231</v>
      </c>
      <c r="D40" s="40" t="s">
        <v>216</v>
      </c>
      <c r="E40" s="41">
        <v>900</v>
      </c>
      <c r="F40" s="42">
        <v>902.89350000000002</v>
      </c>
      <c r="G40" s="43">
        <v>2.1724690000000001E-2</v>
      </c>
      <c r="H40" s="31">
        <f>IFERROR(VLOOKUP(B40,'[1]Debt Holding Consolidated'!$C$1:$AM$65536,12,FALSE),"")</f>
        <v>8.125</v>
      </c>
    </row>
    <row r="41" spans="1:8" x14ac:dyDescent="0.2">
      <c r="A41" s="39">
        <v>14</v>
      </c>
      <c r="B41" s="40" t="s">
        <v>54</v>
      </c>
      <c r="C41" s="40" t="s">
        <v>55</v>
      </c>
      <c r="D41" s="40" t="s">
        <v>22</v>
      </c>
      <c r="E41" s="41">
        <v>500</v>
      </c>
      <c r="F41" s="42">
        <v>502.12200000000001</v>
      </c>
      <c r="G41" s="43">
        <v>1.2081649999999999E-2</v>
      </c>
      <c r="H41" s="31">
        <f>IFERROR(VLOOKUP(B41,'[1]Debt Holding Consolidated'!$C$1:$AM$65536,12,FALSE),"")</f>
        <v>7.5</v>
      </c>
    </row>
    <row r="42" spans="1:8" x14ac:dyDescent="0.2">
      <c r="A42" s="39">
        <v>15</v>
      </c>
      <c r="B42" s="40" t="s">
        <v>232</v>
      </c>
      <c r="C42" s="40" t="s">
        <v>233</v>
      </c>
      <c r="D42" s="40" t="s">
        <v>216</v>
      </c>
      <c r="E42" s="41">
        <v>500</v>
      </c>
      <c r="F42" s="42">
        <v>501.33049999999997</v>
      </c>
      <c r="G42" s="43">
        <v>1.206261E-2</v>
      </c>
      <c r="H42" s="31">
        <f>IFERROR(VLOOKUP(B42,'[1]Debt Holding Consolidated'!$C$1:$AM$65536,12,FALSE),"")</f>
        <v>8.9499999999999993</v>
      </c>
    </row>
    <row r="43" spans="1:8" ht="25.5" x14ac:dyDescent="0.2">
      <c r="A43" s="39">
        <v>16</v>
      </c>
      <c r="B43" s="40" t="s">
        <v>234</v>
      </c>
      <c r="C43" s="40" t="s">
        <v>235</v>
      </c>
      <c r="D43" s="40" t="s">
        <v>236</v>
      </c>
      <c r="E43" s="41">
        <v>50</v>
      </c>
      <c r="F43" s="42">
        <v>500.91300000000001</v>
      </c>
      <c r="G43" s="43">
        <v>1.205256E-2</v>
      </c>
      <c r="H43" s="31">
        <f>IFERROR(VLOOKUP(B43,'[1]Debt Holding Consolidated'!$C$1:$AM$65536,12,FALSE),"")</f>
        <v>8.25</v>
      </c>
    </row>
    <row r="44" spans="1:8" x14ac:dyDescent="0.2">
      <c r="A44" s="39">
        <v>17</v>
      </c>
      <c r="B44" s="40" t="s">
        <v>237</v>
      </c>
      <c r="C44" s="40" t="s">
        <v>238</v>
      </c>
      <c r="D44" s="40" t="s">
        <v>35</v>
      </c>
      <c r="E44" s="41">
        <v>500</v>
      </c>
      <c r="F44" s="42">
        <v>500.54500000000002</v>
      </c>
      <c r="G44" s="43">
        <v>1.2043709999999999E-2</v>
      </c>
      <c r="H44" s="31">
        <f>IFERROR(VLOOKUP(B44,'[1]Debt Holding Consolidated'!$C$1:$AM$65536,12,FALSE),"")</f>
        <v>7.4966999999999997</v>
      </c>
    </row>
    <row r="45" spans="1:8" ht="25.5" x14ac:dyDescent="0.2">
      <c r="A45" s="39">
        <v>18</v>
      </c>
      <c r="B45" s="40" t="s">
        <v>60</v>
      </c>
      <c r="C45" s="40" t="s">
        <v>61</v>
      </c>
      <c r="D45" s="40" t="s">
        <v>22</v>
      </c>
      <c r="E45" s="41">
        <v>500</v>
      </c>
      <c r="F45" s="42">
        <v>499.95600000000002</v>
      </c>
      <c r="G45" s="43">
        <v>1.202953E-2</v>
      </c>
      <c r="H45" s="31">
        <f>IFERROR(VLOOKUP(B45,'[1]Debt Holding Consolidated'!$C$1:$AM$65536,12,FALSE),"")</f>
        <v>8.0150000000000006</v>
      </c>
    </row>
    <row r="46" spans="1:8" x14ac:dyDescent="0.2">
      <c r="A46" s="39">
        <v>19</v>
      </c>
      <c r="B46" s="40" t="s">
        <v>239</v>
      </c>
      <c r="C46" s="40" t="s">
        <v>240</v>
      </c>
      <c r="D46" s="40" t="s">
        <v>216</v>
      </c>
      <c r="E46" s="41">
        <v>500</v>
      </c>
      <c r="F46" s="42">
        <v>498.97399999999999</v>
      </c>
      <c r="G46" s="43">
        <v>1.200591E-2</v>
      </c>
      <c r="H46" s="31">
        <f>IFERROR(VLOOKUP(B46,'[1]Debt Holding Consolidated'!$C$1:$AM$65536,12,FALSE),"")</f>
        <v>8.8800000000000008</v>
      </c>
    </row>
    <row r="47" spans="1:8" x14ac:dyDescent="0.2">
      <c r="A47" s="29"/>
      <c r="B47" s="29"/>
      <c r="C47" s="30" t="s">
        <v>10</v>
      </c>
      <c r="D47" s="29"/>
      <c r="E47" s="29" t="s">
        <v>11</v>
      </c>
      <c r="F47" s="38">
        <v>19486.157800000001</v>
      </c>
      <c r="G47" s="33">
        <v>0.46886002999999998</v>
      </c>
      <c r="H47" s="31" t="str">
        <f>IFERROR(VLOOKUP(B47,'[1]Debt Holding Consolidated'!$C$1:$AM$65536,12,FALSE),"")</f>
        <v/>
      </c>
    </row>
    <row r="48" spans="1:8" x14ac:dyDescent="0.2">
      <c r="A48" s="29"/>
      <c r="B48" s="29"/>
      <c r="C48" s="34"/>
      <c r="D48" s="29"/>
      <c r="E48" s="29"/>
      <c r="F48" s="35"/>
      <c r="G48" s="35"/>
      <c r="H48" s="31" t="str">
        <f>IFERROR(VLOOKUP(B48,'[1]Debt Holding Consolidated'!$C$1:$AM$65536,12,FALSE),"")</f>
        <v/>
      </c>
    </row>
    <row r="49" spans="1:8" x14ac:dyDescent="0.2">
      <c r="A49" s="29"/>
      <c r="B49" s="29"/>
      <c r="C49" s="30" t="s">
        <v>70</v>
      </c>
      <c r="D49" s="29"/>
      <c r="E49" s="29"/>
      <c r="F49" s="29"/>
      <c r="G49" s="29"/>
      <c r="H49" s="31" t="str">
        <f>IFERROR(VLOOKUP(B49,'[1]Debt Holding Consolidated'!$C$1:$AM$65536,12,FALSE),"")</f>
        <v/>
      </c>
    </row>
    <row r="50" spans="1:8" x14ac:dyDescent="0.2">
      <c r="A50" s="29"/>
      <c r="B50" s="29"/>
      <c r="C50" s="30" t="s">
        <v>10</v>
      </c>
      <c r="D50" s="29"/>
      <c r="E50" s="29" t="s">
        <v>11</v>
      </c>
      <c r="F50" s="32" t="s">
        <v>12</v>
      </c>
      <c r="G50" s="33">
        <v>0</v>
      </c>
      <c r="H50" s="31" t="str">
        <f>IFERROR(VLOOKUP(B50,'[1]Debt Holding Consolidated'!$C$1:$AM$65536,12,FALSE),"")</f>
        <v/>
      </c>
    </row>
    <row r="51" spans="1:8" x14ac:dyDescent="0.2">
      <c r="A51" s="29"/>
      <c r="B51" s="29"/>
      <c r="C51" s="34"/>
      <c r="D51" s="29"/>
      <c r="E51" s="29"/>
      <c r="F51" s="35"/>
      <c r="G51" s="35"/>
      <c r="H51" s="31" t="str">
        <f>IFERROR(VLOOKUP(B51,'[1]Debt Holding Consolidated'!$C$1:$AM$65536,12,FALSE),"")</f>
        <v/>
      </c>
    </row>
    <row r="52" spans="1:8" x14ac:dyDescent="0.2">
      <c r="A52" s="29"/>
      <c r="B52" s="29"/>
      <c r="C52" s="30" t="s">
        <v>71</v>
      </c>
      <c r="D52" s="29"/>
      <c r="E52" s="29"/>
      <c r="F52" s="29"/>
      <c r="G52" s="29"/>
      <c r="H52" s="31" t="str">
        <f>IFERROR(VLOOKUP(B52,'[1]Debt Holding Consolidated'!$C$1:$AM$65536,12,FALSE),"")</f>
        <v/>
      </c>
    </row>
    <row r="53" spans="1:8" ht="25.5" x14ac:dyDescent="0.2">
      <c r="A53" s="39">
        <v>1</v>
      </c>
      <c r="B53" s="40" t="s">
        <v>241</v>
      </c>
      <c r="C53" s="40" t="s">
        <v>242</v>
      </c>
      <c r="D53" s="40" t="s">
        <v>74</v>
      </c>
      <c r="E53" s="41">
        <v>1000000</v>
      </c>
      <c r="F53" s="42">
        <v>1014.824</v>
      </c>
      <c r="G53" s="43">
        <v>2.4417870000000001E-2</v>
      </c>
      <c r="H53" s="31">
        <f>IFERROR(VLOOKUP(B53,'[1]Debt Holding Consolidated'!$C$1:$AM$65536,12,FALSE),"")</f>
        <v>6.8573000000000004</v>
      </c>
    </row>
    <row r="54" spans="1:8" x14ac:dyDescent="0.2">
      <c r="A54" s="39">
        <v>2</v>
      </c>
      <c r="B54" s="40" t="s">
        <v>75</v>
      </c>
      <c r="C54" s="40" t="s">
        <v>76</v>
      </c>
      <c r="D54" s="40" t="s">
        <v>74</v>
      </c>
      <c r="E54" s="41">
        <v>500000</v>
      </c>
      <c r="F54" s="42">
        <v>511.57350000000002</v>
      </c>
      <c r="G54" s="43">
        <v>1.230906E-2</v>
      </c>
      <c r="H54" s="31">
        <f>IFERROR(VLOOKUP(B54,'[1]Debt Holding Consolidated'!$C$1:$AM$65536,12,FALSE),"")</f>
        <v>6.9595000000000002</v>
      </c>
    </row>
    <row r="55" spans="1:8" ht="25.5" x14ac:dyDescent="0.2">
      <c r="A55" s="39">
        <v>3</v>
      </c>
      <c r="B55" s="40" t="s">
        <v>243</v>
      </c>
      <c r="C55" s="40" t="s">
        <v>244</v>
      </c>
      <c r="D55" s="40" t="s">
        <v>74</v>
      </c>
      <c r="E55" s="41">
        <v>400000</v>
      </c>
      <c r="F55" s="42">
        <v>403.57279999999997</v>
      </c>
      <c r="G55" s="43">
        <v>9.7104400000000007E-3</v>
      </c>
      <c r="H55" s="31">
        <f>IFERROR(VLOOKUP(B55,'[1]Debt Holding Consolidated'!$C$1:$AM$65536,12,FALSE),"")</f>
        <v>6.9227999999999996</v>
      </c>
    </row>
    <row r="56" spans="1:8" x14ac:dyDescent="0.2">
      <c r="A56" s="29"/>
      <c r="B56" s="29"/>
      <c r="C56" s="30" t="s">
        <v>10</v>
      </c>
      <c r="D56" s="29"/>
      <c r="E56" s="29" t="s">
        <v>11</v>
      </c>
      <c r="F56" s="38">
        <v>1929.9703</v>
      </c>
      <c r="G56" s="33">
        <v>4.6437369999999999E-2</v>
      </c>
      <c r="H56" s="31" t="str">
        <f>IFERROR(VLOOKUP(B56,'[1]Debt Holding Consolidated'!$C$1:$AM$65536,12,FALSE),"")</f>
        <v/>
      </c>
    </row>
    <row r="57" spans="1:8" x14ac:dyDescent="0.2">
      <c r="A57" s="29"/>
      <c r="B57" s="29"/>
      <c r="C57" s="34"/>
      <c r="D57" s="29"/>
      <c r="E57" s="29"/>
      <c r="F57" s="35"/>
      <c r="G57" s="35"/>
      <c r="H57" s="31" t="str">
        <f>IFERROR(VLOOKUP(B57,'[1]Debt Holding Consolidated'!$C$1:$AM$65536,12,FALSE),"")</f>
        <v/>
      </c>
    </row>
    <row r="58" spans="1:8" x14ac:dyDescent="0.2">
      <c r="A58" s="29"/>
      <c r="B58" s="29"/>
      <c r="C58" s="30" t="s">
        <v>87</v>
      </c>
      <c r="D58" s="29"/>
      <c r="E58" s="29"/>
      <c r="F58" s="35"/>
      <c r="G58" s="35"/>
      <c r="H58" s="31" t="str">
        <f>IFERROR(VLOOKUP(B58,'[1]Debt Holding Consolidated'!$C$1:$AM$65536,12,FALSE),"")</f>
        <v/>
      </c>
    </row>
    <row r="59" spans="1:8" x14ac:dyDescent="0.2">
      <c r="A59" s="29"/>
      <c r="B59" s="29"/>
      <c r="C59" s="30" t="s">
        <v>10</v>
      </c>
      <c r="D59" s="29"/>
      <c r="E59" s="29" t="s">
        <v>11</v>
      </c>
      <c r="F59" s="32" t="s">
        <v>12</v>
      </c>
      <c r="G59" s="33">
        <v>0</v>
      </c>
      <c r="H59" s="31" t="str">
        <f>IFERROR(VLOOKUP(B59,'[1]Debt Holding Consolidated'!$C$1:$AM$65536,12,FALSE),"")</f>
        <v/>
      </c>
    </row>
    <row r="60" spans="1:8" x14ac:dyDescent="0.2">
      <c r="A60" s="29"/>
      <c r="B60" s="29"/>
      <c r="C60" s="34"/>
      <c r="D60" s="29"/>
      <c r="E60" s="29"/>
      <c r="F60" s="35"/>
      <c r="G60" s="35"/>
      <c r="H60" s="31" t="str">
        <f>IFERROR(VLOOKUP(B60,'[1]Debt Holding Consolidated'!$C$1:$AM$65536,12,FALSE),"")</f>
        <v/>
      </c>
    </row>
    <row r="61" spans="1:8" x14ac:dyDescent="0.2">
      <c r="A61" s="29"/>
      <c r="B61" s="29"/>
      <c r="C61" s="30" t="s">
        <v>88</v>
      </c>
      <c r="D61" s="29"/>
      <c r="E61" s="29"/>
      <c r="F61" s="38">
        <v>21416.128100000002</v>
      </c>
      <c r="G61" s="33">
        <v>0.51529740000000002</v>
      </c>
      <c r="H61" s="31" t="str">
        <f>IFERROR(VLOOKUP(B61,'[1]Debt Holding Consolidated'!$C$1:$AM$65536,12,FALSE),"")</f>
        <v/>
      </c>
    </row>
    <row r="62" spans="1:8" x14ac:dyDescent="0.2">
      <c r="A62" s="29"/>
      <c r="B62" s="29"/>
      <c r="C62" s="34"/>
      <c r="D62" s="29"/>
      <c r="E62" s="29"/>
      <c r="F62" s="35"/>
      <c r="G62" s="35"/>
      <c r="H62" s="31" t="str">
        <f>IFERROR(VLOOKUP(B62,'[1]Debt Holding Consolidated'!$C$1:$AM$65536,12,FALSE),"")</f>
        <v/>
      </c>
    </row>
    <row r="63" spans="1:8" x14ac:dyDescent="0.2">
      <c r="A63" s="29"/>
      <c r="B63" s="29"/>
      <c r="C63" s="30" t="s">
        <v>89</v>
      </c>
      <c r="D63" s="29"/>
      <c r="E63" s="29"/>
      <c r="F63" s="35"/>
      <c r="G63" s="35"/>
      <c r="H63" s="31" t="str">
        <f>IFERROR(VLOOKUP(B63,'[1]Debt Holding Consolidated'!$C$1:$AM$65536,12,FALSE),"")</f>
        <v/>
      </c>
    </row>
    <row r="64" spans="1:8" x14ac:dyDescent="0.2">
      <c r="A64" s="29"/>
      <c r="B64" s="29"/>
      <c r="C64" s="30" t="s">
        <v>90</v>
      </c>
      <c r="D64" s="29"/>
      <c r="E64" s="29"/>
      <c r="F64" s="35"/>
      <c r="G64" s="35"/>
      <c r="H64" s="31" t="str">
        <f>IFERROR(VLOOKUP(B64,'[1]Debt Holding Consolidated'!$C$1:$AM$65536,12,FALSE),"")</f>
        <v/>
      </c>
    </row>
    <row r="65" spans="1:8" x14ac:dyDescent="0.2">
      <c r="A65" s="39">
        <v>1</v>
      </c>
      <c r="B65" s="40" t="s">
        <v>245</v>
      </c>
      <c r="C65" s="40" t="s">
        <v>246</v>
      </c>
      <c r="D65" s="40" t="s">
        <v>145</v>
      </c>
      <c r="E65" s="41">
        <v>500</v>
      </c>
      <c r="F65" s="42">
        <v>2338.2525000000001</v>
      </c>
      <c r="G65" s="43">
        <v>5.6261119999999998E-2</v>
      </c>
      <c r="H65" s="31">
        <f>IFERROR(VLOOKUP(B65,'[1]Debt Holding Consolidated'!$C$1:$AM$65536,12,FALSE),"")</f>
        <v>7.915</v>
      </c>
    </row>
    <row r="66" spans="1:8" x14ac:dyDescent="0.2">
      <c r="A66" s="39">
        <v>2</v>
      </c>
      <c r="B66" s="40" t="s">
        <v>247</v>
      </c>
      <c r="C66" s="40" t="s">
        <v>248</v>
      </c>
      <c r="D66" s="40" t="s">
        <v>145</v>
      </c>
      <c r="E66" s="41">
        <v>400</v>
      </c>
      <c r="F66" s="42">
        <v>1955.6980000000001</v>
      </c>
      <c r="G66" s="43">
        <v>4.705641E-2</v>
      </c>
      <c r="H66" s="31">
        <f>IFERROR(VLOOKUP(B66,'[1]Debt Holding Consolidated'!$C$1:$AM$65536,12,FALSE),"")</f>
        <v>7.1898999999999997</v>
      </c>
    </row>
    <row r="67" spans="1:8" x14ac:dyDescent="0.2">
      <c r="A67" s="39">
        <v>3</v>
      </c>
      <c r="B67" s="40" t="s">
        <v>249</v>
      </c>
      <c r="C67" s="40" t="s">
        <v>250</v>
      </c>
      <c r="D67" s="40" t="s">
        <v>150</v>
      </c>
      <c r="E67" s="41">
        <v>300</v>
      </c>
      <c r="F67" s="42">
        <v>1464.7260000000001</v>
      </c>
      <c r="G67" s="43">
        <v>3.5243040000000003E-2</v>
      </c>
      <c r="H67" s="31">
        <f>IFERROR(VLOOKUP(B67,'[1]Debt Holding Consolidated'!$C$1:$AM$65536,12,FALSE),"")</f>
        <v>7.2050000000000001</v>
      </c>
    </row>
    <row r="68" spans="1:8" x14ac:dyDescent="0.2">
      <c r="A68" s="39">
        <v>4</v>
      </c>
      <c r="B68" s="40" t="s">
        <v>169</v>
      </c>
      <c r="C68" s="40" t="s">
        <v>170</v>
      </c>
      <c r="D68" s="40" t="s">
        <v>150</v>
      </c>
      <c r="E68" s="41">
        <v>200</v>
      </c>
      <c r="F68" s="42">
        <v>985.40099999999995</v>
      </c>
      <c r="G68" s="43">
        <v>2.3709910000000001E-2</v>
      </c>
      <c r="H68" s="31">
        <f>IFERROR(VLOOKUP(B68,'[1]Debt Holding Consolidated'!$C$1:$AM$65536,12,FALSE),"")</f>
        <v>7.1151</v>
      </c>
    </row>
    <row r="69" spans="1:8" ht="25.5" x14ac:dyDescent="0.2">
      <c r="A69" s="39">
        <v>5</v>
      </c>
      <c r="B69" s="40" t="s">
        <v>251</v>
      </c>
      <c r="C69" s="40" t="s">
        <v>252</v>
      </c>
      <c r="D69" s="40" t="s">
        <v>145</v>
      </c>
      <c r="E69" s="41">
        <v>200</v>
      </c>
      <c r="F69" s="42">
        <v>983.97900000000004</v>
      </c>
      <c r="G69" s="43">
        <v>2.3675700000000001E-2</v>
      </c>
      <c r="H69" s="31">
        <f>IFERROR(VLOOKUP(B69,'[1]Debt Holding Consolidated'!$C$1:$AM$65536,12,FALSE),"")</f>
        <v>7.16</v>
      </c>
    </row>
    <row r="70" spans="1:8" x14ac:dyDescent="0.2">
      <c r="A70" s="39">
        <v>6</v>
      </c>
      <c r="B70" s="40" t="s">
        <v>165</v>
      </c>
      <c r="C70" s="40" t="s">
        <v>166</v>
      </c>
      <c r="D70" s="40" t="s">
        <v>145</v>
      </c>
      <c r="E70" s="41">
        <v>200</v>
      </c>
      <c r="F70" s="42">
        <v>981.19100000000003</v>
      </c>
      <c r="G70" s="43">
        <v>2.360862E-2</v>
      </c>
      <c r="H70" s="31">
        <f>IFERROR(VLOOKUP(B70,'[1]Debt Holding Consolidated'!$C$1:$AM$65536,12,FALSE),"")</f>
        <v>7.2133000000000003</v>
      </c>
    </row>
    <row r="71" spans="1:8" x14ac:dyDescent="0.2">
      <c r="A71" s="39">
        <v>7</v>
      </c>
      <c r="B71" s="40" t="s">
        <v>167</v>
      </c>
      <c r="C71" s="40" t="s">
        <v>168</v>
      </c>
      <c r="D71" s="40" t="s">
        <v>145</v>
      </c>
      <c r="E71" s="41">
        <v>200</v>
      </c>
      <c r="F71" s="42">
        <v>980.62900000000002</v>
      </c>
      <c r="G71" s="43">
        <v>2.3595089999999999E-2</v>
      </c>
      <c r="H71" s="31">
        <f>IFERROR(VLOOKUP(B71,'[1]Debt Holding Consolidated'!$C$1:$AM$65536,12,FALSE),"")</f>
        <v>7.2102000000000004</v>
      </c>
    </row>
    <row r="72" spans="1:8" ht="25.5" x14ac:dyDescent="0.2">
      <c r="A72" s="39">
        <v>8</v>
      </c>
      <c r="B72" s="40" t="s">
        <v>253</v>
      </c>
      <c r="C72" s="40" t="s">
        <v>254</v>
      </c>
      <c r="D72" s="40" t="s">
        <v>145</v>
      </c>
      <c r="E72" s="41">
        <v>200</v>
      </c>
      <c r="F72" s="42">
        <v>980.27700000000004</v>
      </c>
      <c r="G72" s="43">
        <v>2.3586619999999999E-2</v>
      </c>
      <c r="H72" s="31">
        <f>IFERROR(VLOOKUP(B72,'[1]Debt Holding Consolidated'!$C$1:$AM$65536,12,FALSE),"")</f>
        <v>7.2</v>
      </c>
    </row>
    <row r="73" spans="1:8" x14ac:dyDescent="0.2">
      <c r="A73" s="39">
        <v>9</v>
      </c>
      <c r="B73" s="40" t="s">
        <v>155</v>
      </c>
      <c r="C73" s="40" t="s">
        <v>156</v>
      </c>
      <c r="D73" s="40" t="s">
        <v>145</v>
      </c>
      <c r="E73" s="41">
        <v>200</v>
      </c>
      <c r="F73" s="42">
        <v>976.14</v>
      </c>
      <c r="G73" s="43">
        <v>2.348708E-2</v>
      </c>
      <c r="H73" s="31">
        <f>IFERROR(VLOOKUP(B73,'[1]Debt Holding Consolidated'!$C$1:$AM$65536,12,FALSE),"")</f>
        <v>7.1950000000000003</v>
      </c>
    </row>
    <row r="74" spans="1:8" x14ac:dyDescent="0.2">
      <c r="A74" s="39">
        <v>10</v>
      </c>
      <c r="B74" s="40" t="s">
        <v>157</v>
      </c>
      <c r="C74" s="40" t="s">
        <v>158</v>
      </c>
      <c r="D74" s="40" t="s">
        <v>145</v>
      </c>
      <c r="E74" s="41">
        <v>200</v>
      </c>
      <c r="F74" s="42">
        <v>963.16499999999996</v>
      </c>
      <c r="G74" s="43">
        <v>2.317489E-2</v>
      </c>
      <c r="H74" s="31">
        <f>IFERROR(VLOOKUP(B74,'[1]Debt Holding Consolidated'!$C$1:$AM$65536,12,FALSE),"")</f>
        <v>7.4250999999999996</v>
      </c>
    </row>
    <row r="75" spans="1:8" x14ac:dyDescent="0.2">
      <c r="A75" s="39">
        <v>11</v>
      </c>
      <c r="B75" s="40" t="s">
        <v>181</v>
      </c>
      <c r="C75" s="40" t="s">
        <v>182</v>
      </c>
      <c r="D75" s="40" t="s">
        <v>145</v>
      </c>
      <c r="E75" s="41">
        <v>200</v>
      </c>
      <c r="F75" s="42">
        <v>940.58699999999999</v>
      </c>
      <c r="G75" s="43">
        <v>2.2631640000000001E-2</v>
      </c>
      <c r="H75" s="31">
        <f>IFERROR(VLOOKUP(B75,'[1]Debt Holding Consolidated'!$C$1:$AM$65536,12,FALSE),"")</f>
        <v>7.51</v>
      </c>
    </row>
    <row r="76" spans="1:8" x14ac:dyDescent="0.2">
      <c r="A76" s="39">
        <v>12</v>
      </c>
      <c r="B76" s="40" t="s">
        <v>255</v>
      </c>
      <c r="C76" s="40" t="s">
        <v>256</v>
      </c>
      <c r="D76" s="40" t="s">
        <v>145</v>
      </c>
      <c r="E76" s="41">
        <v>100</v>
      </c>
      <c r="F76" s="42">
        <v>498.79199999999997</v>
      </c>
      <c r="G76" s="43">
        <v>1.200153E-2</v>
      </c>
      <c r="H76" s="31">
        <f>IFERROR(VLOOKUP(B76,'[1]Debt Holding Consolidated'!$C$1:$AM$65536,12,FALSE),"")</f>
        <v>6.7998000000000003</v>
      </c>
    </row>
    <row r="77" spans="1:8" x14ac:dyDescent="0.2">
      <c r="A77" s="29"/>
      <c r="B77" s="29"/>
      <c r="C77" s="30" t="s">
        <v>10</v>
      </c>
      <c r="D77" s="29"/>
      <c r="E77" s="29" t="s">
        <v>11</v>
      </c>
      <c r="F77" s="38">
        <v>14048.8375</v>
      </c>
      <c r="G77" s="33">
        <v>0.33803165000000002</v>
      </c>
      <c r="H77" s="31" t="str">
        <f>IFERROR(VLOOKUP(B77,'[1]Debt Holding Consolidated'!$C$1:$AM$65536,12,FALSE),"")</f>
        <v/>
      </c>
    </row>
    <row r="78" spans="1:8" x14ac:dyDescent="0.2">
      <c r="A78" s="29"/>
      <c r="B78" s="29"/>
      <c r="C78" s="34"/>
      <c r="D78" s="29"/>
      <c r="E78" s="29"/>
      <c r="F78" s="35"/>
      <c r="G78" s="35"/>
      <c r="H78" s="31" t="str">
        <f>IFERROR(VLOOKUP(B78,'[1]Debt Holding Consolidated'!$C$1:$AM$65536,12,FALSE),"")</f>
        <v/>
      </c>
    </row>
    <row r="79" spans="1:8" x14ac:dyDescent="0.2">
      <c r="A79" s="29"/>
      <c r="B79" s="29"/>
      <c r="C79" s="30" t="s">
        <v>91</v>
      </c>
      <c r="D79" s="29"/>
      <c r="E79" s="29"/>
      <c r="F79" s="35"/>
      <c r="G79" s="35"/>
      <c r="H79" s="31" t="str">
        <f>IFERROR(VLOOKUP(B79,'[1]Debt Holding Consolidated'!$C$1:$AM$65536,12,FALSE),"")</f>
        <v/>
      </c>
    </row>
    <row r="80" spans="1:8" ht="25.5" x14ac:dyDescent="0.2">
      <c r="A80" s="39">
        <v>1</v>
      </c>
      <c r="B80" s="40" t="s">
        <v>257</v>
      </c>
      <c r="C80" s="40" t="s">
        <v>258</v>
      </c>
      <c r="D80" s="40" t="s">
        <v>145</v>
      </c>
      <c r="E80" s="41">
        <v>300</v>
      </c>
      <c r="F80" s="42">
        <v>1460.2635</v>
      </c>
      <c r="G80" s="43">
        <v>3.5135670000000001E-2</v>
      </c>
      <c r="H80" s="31">
        <f>IFERROR(VLOOKUP(B80,'[1]Debt Holding Consolidated'!$C$1:$AM$65536,12,FALSE),"")</f>
        <v>8.4175000000000004</v>
      </c>
    </row>
    <row r="81" spans="1:18" x14ac:dyDescent="0.2">
      <c r="A81" s="29"/>
      <c r="B81" s="29"/>
      <c r="C81" s="30" t="s">
        <v>10</v>
      </c>
      <c r="D81" s="29"/>
      <c r="E81" s="29" t="s">
        <v>11</v>
      </c>
      <c r="F81" s="38">
        <v>1460.2635</v>
      </c>
      <c r="G81" s="33">
        <v>3.5135670000000001E-2</v>
      </c>
      <c r="H81" s="31" t="str">
        <f>IFERROR(VLOOKUP(B81,'[1]Debt Holding Consolidated'!$C$1:$AM$65536,12,FALSE),"")</f>
        <v/>
      </c>
    </row>
    <row r="82" spans="1:18" x14ac:dyDescent="0.2">
      <c r="A82" s="29"/>
      <c r="B82" s="29"/>
      <c r="C82" s="34"/>
      <c r="D82" s="29"/>
      <c r="E82" s="29"/>
      <c r="F82" s="35"/>
      <c r="G82" s="35"/>
      <c r="H82" s="31" t="str">
        <f>IFERROR(VLOOKUP(B82,'[1]Debt Holding Consolidated'!$C$1:$AM$65536,12,FALSE),"")</f>
        <v/>
      </c>
    </row>
    <row r="83" spans="1:18" x14ac:dyDescent="0.2">
      <c r="A83" s="29"/>
      <c r="B83" s="29"/>
      <c r="C83" s="30" t="s">
        <v>92</v>
      </c>
      <c r="D83" s="29"/>
      <c r="E83" s="29"/>
      <c r="F83" s="35"/>
      <c r="G83" s="35"/>
      <c r="H83" s="31" t="str">
        <f>IFERROR(VLOOKUP(B83,'[1]Debt Holding Consolidated'!$C$1:$AM$65536,12,FALSE),"")</f>
        <v/>
      </c>
    </row>
    <row r="84" spans="1:18" x14ac:dyDescent="0.2">
      <c r="A84" s="29"/>
      <c r="B84" s="29"/>
      <c r="C84" s="30" t="s">
        <v>10</v>
      </c>
      <c r="D84" s="29"/>
      <c r="E84" s="29" t="s">
        <v>11</v>
      </c>
      <c r="F84" s="32" t="s">
        <v>12</v>
      </c>
      <c r="G84" s="33">
        <v>0</v>
      </c>
      <c r="H84" s="31" t="str">
        <f>IFERROR(VLOOKUP(B84,'[1]Debt Holding Consolidated'!$C$1:$AM$65536,12,FALSE),"")</f>
        <v/>
      </c>
    </row>
    <row r="85" spans="1:18" x14ac:dyDescent="0.2">
      <c r="A85" s="29"/>
      <c r="B85" s="29"/>
      <c r="C85" s="34"/>
      <c r="D85" s="29"/>
      <c r="E85" s="29"/>
      <c r="F85" s="35"/>
      <c r="G85" s="35"/>
      <c r="H85" s="31" t="str">
        <f>IFERROR(VLOOKUP(B85,'[1]Debt Holding Consolidated'!$C$1:$AM$65536,12,FALSE),"")</f>
        <v/>
      </c>
    </row>
    <row r="86" spans="1:18" x14ac:dyDescent="0.2">
      <c r="A86" s="29"/>
      <c r="B86" s="29"/>
      <c r="C86" s="30" t="s">
        <v>93</v>
      </c>
      <c r="D86" s="29"/>
      <c r="E86" s="29"/>
      <c r="F86" s="35"/>
      <c r="G86" s="35"/>
      <c r="H86" s="31" t="str">
        <f>IFERROR(VLOOKUP(B86,'[1]Debt Holding Consolidated'!$C$1:$AM$65536,12,FALSE),"")</f>
        <v/>
      </c>
    </row>
    <row r="87" spans="1:18" x14ac:dyDescent="0.2">
      <c r="A87" s="39">
        <v>1</v>
      </c>
      <c r="B87" s="40"/>
      <c r="C87" s="40" t="s">
        <v>94</v>
      </c>
      <c r="D87" s="40"/>
      <c r="E87" s="44"/>
      <c r="F87" s="42">
        <v>3819.7880738929998</v>
      </c>
      <c r="G87" s="43">
        <v>9.1908619999999996E-2</v>
      </c>
      <c r="H87" s="31">
        <v>6.34</v>
      </c>
    </row>
    <row r="88" spans="1:18" x14ac:dyDescent="0.2">
      <c r="A88" s="29"/>
      <c r="B88" s="29"/>
      <c r="C88" s="30" t="s">
        <v>10</v>
      </c>
      <c r="D88" s="29"/>
      <c r="E88" s="29" t="s">
        <v>11</v>
      </c>
      <c r="F88" s="38">
        <v>3819.7880738929998</v>
      </c>
      <c r="G88" s="33">
        <v>9.1908619999999996E-2</v>
      </c>
      <c r="H88" s="31" t="s">
        <v>11</v>
      </c>
    </row>
    <row r="89" spans="1:18" x14ac:dyDescent="0.2">
      <c r="A89" s="29"/>
      <c r="B89" s="29"/>
      <c r="C89" s="34"/>
      <c r="D89" s="29"/>
      <c r="E89" s="29"/>
      <c r="F89" s="35"/>
      <c r="G89" s="35"/>
      <c r="H89" s="31" t="s">
        <v>11</v>
      </c>
    </row>
    <row r="90" spans="1:18" x14ac:dyDescent="0.2">
      <c r="A90" s="29"/>
      <c r="B90" s="29"/>
      <c r="C90" s="30" t="s">
        <v>95</v>
      </c>
      <c r="D90" s="29"/>
      <c r="E90" s="29"/>
      <c r="F90" s="38">
        <v>19328.889073892999</v>
      </c>
      <c r="G90" s="33">
        <v>0.46507594000000002</v>
      </c>
      <c r="H90" s="31" t="s">
        <v>11</v>
      </c>
    </row>
    <row r="91" spans="1:18" x14ac:dyDescent="0.2">
      <c r="A91" s="29"/>
      <c r="B91" s="29"/>
      <c r="C91" s="35"/>
      <c r="D91" s="29"/>
      <c r="E91" s="29"/>
      <c r="F91" s="29"/>
      <c r="G91" s="29"/>
      <c r="H91" s="31" t="s">
        <v>11</v>
      </c>
    </row>
    <row r="92" spans="1:18" x14ac:dyDescent="0.2">
      <c r="A92" s="29"/>
      <c r="B92" s="29"/>
      <c r="C92" s="30" t="s">
        <v>96</v>
      </c>
      <c r="D92" s="29"/>
      <c r="E92" s="29"/>
      <c r="F92" s="29"/>
      <c r="G92" s="29"/>
      <c r="H92" s="31" t="s">
        <v>11</v>
      </c>
    </row>
    <row r="93" spans="1:18" x14ac:dyDescent="0.2">
      <c r="A93" s="29"/>
      <c r="B93" s="29"/>
      <c r="C93" s="30" t="s">
        <v>97</v>
      </c>
      <c r="D93" s="29"/>
      <c r="E93" s="29"/>
      <c r="F93" s="29"/>
      <c r="G93" s="29"/>
      <c r="H93" s="31" t="s">
        <v>11</v>
      </c>
    </row>
    <row r="94" spans="1:18" x14ac:dyDescent="0.2">
      <c r="A94" s="29"/>
      <c r="B94" s="29"/>
      <c r="C94" s="30" t="s">
        <v>10</v>
      </c>
      <c r="D94" s="29"/>
      <c r="E94" s="29" t="s">
        <v>11</v>
      </c>
      <c r="F94" s="32" t="s">
        <v>12</v>
      </c>
      <c r="G94" s="33">
        <v>0</v>
      </c>
      <c r="H94" s="31" t="s">
        <v>11</v>
      </c>
    </row>
    <row r="95" spans="1:18" x14ac:dyDescent="0.2">
      <c r="A95" s="45"/>
      <c r="B95" s="45"/>
      <c r="C95" s="46"/>
      <c r="D95" s="45"/>
      <c r="E95" s="45"/>
      <c r="F95" s="47"/>
      <c r="G95" s="47"/>
      <c r="H95" s="31" t="s">
        <v>11</v>
      </c>
    </row>
    <row r="96" spans="1:18" x14ac:dyDescent="0.2">
      <c r="A96" s="45"/>
      <c r="B96" s="45"/>
      <c r="C96" s="17" t="s">
        <v>581</v>
      </c>
      <c r="D96" s="45"/>
      <c r="E96" s="45"/>
      <c r="F96" s="47"/>
      <c r="G96" s="47"/>
      <c r="H96" s="48"/>
      <c r="L96" s="9"/>
      <c r="M96" s="9"/>
      <c r="N96" s="9"/>
      <c r="O96" s="9"/>
      <c r="P96" s="10"/>
      <c r="Q96" s="10"/>
      <c r="R96" s="10"/>
    </row>
    <row r="97" spans="1:8" ht="25.5" x14ac:dyDescent="0.2">
      <c r="A97" s="49">
        <v>1</v>
      </c>
      <c r="B97" s="50" t="s">
        <v>98</v>
      </c>
      <c r="C97" s="50" t="s">
        <v>99</v>
      </c>
      <c r="D97" s="50"/>
      <c r="E97" s="51">
        <v>1043.4449999999999</v>
      </c>
      <c r="F97" s="48">
        <v>109.045003732</v>
      </c>
      <c r="G97" s="52">
        <v>2.6237500000000002E-3</v>
      </c>
      <c r="H97" s="31"/>
    </row>
    <row r="98" spans="1:8" x14ac:dyDescent="0.2">
      <c r="A98" s="45"/>
      <c r="B98" s="45"/>
      <c r="C98" s="17" t="s">
        <v>10</v>
      </c>
      <c r="D98" s="45"/>
      <c r="E98" s="45" t="s">
        <v>11</v>
      </c>
      <c r="F98" s="53">
        <f>SUM(F97)</f>
        <v>109.045003732</v>
      </c>
      <c r="G98" s="54">
        <f>SUM(G97)</f>
        <v>2.6237500000000002E-3</v>
      </c>
      <c r="H98" s="31" t="s">
        <v>11</v>
      </c>
    </row>
    <row r="99" spans="1:8" x14ac:dyDescent="0.2">
      <c r="A99" s="29"/>
      <c r="B99" s="29"/>
      <c r="C99" s="34"/>
      <c r="D99" s="29"/>
      <c r="E99" s="29"/>
      <c r="F99" s="35"/>
      <c r="G99" s="35"/>
      <c r="H99" s="31" t="s">
        <v>11</v>
      </c>
    </row>
    <row r="100" spans="1:8" x14ac:dyDescent="0.2">
      <c r="A100" s="29"/>
      <c r="B100" s="29"/>
      <c r="C100" s="30" t="s">
        <v>100</v>
      </c>
      <c r="D100" s="29"/>
      <c r="E100" s="29"/>
      <c r="F100" s="29"/>
      <c r="G100" s="29"/>
      <c r="H100" s="31" t="s">
        <v>11</v>
      </c>
    </row>
    <row r="101" spans="1:8" x14ac:dyDescent="0.2">
      <c r="A101" s="29"/>
      <c r="B101" s="29"/>
      <c r="C101" s="30" t="s">
        <v>101</v>
      </c>
      <c r="D101" s="29"/>
      <c r="E101" s="29"/>
      <c r="F101" s="29"/>
      <c r="G101" s="29"/>
      <c r="H101" s="31" t="s">
        <v>11</v>
      </c>
    </row>
    <row r="102" spans="1:8" x14ac:dyDescent="0.2">
      <c r="A102" s="29"/>
      <c r="B102" s="29"/>
      <c r="C102" s="30" t="s">
        <v>10</v>
      </c>
      <c r="D102" s="29"/>
      <c r="E102" s="29" t="s">
        <v>11</v>
      </c>
      <c r="F102" s="32" t="s">
        <v>12</v>
      </c>
      <c r="G102" s="33">
        <v>0</v>
      </c>
      <c r="H102" s="31" t="s">
        <v>11</v>
      </c>
    </row>
    <row r="103" spans="1:8" x14ac:dyDescent="0.2">
      <c r="A103" s="29"/>
      <c r="B103" s="29"/>
      <c r="C103" s="34"/>
      <c r="D103" s="29"/>
      <c r="E103" s="29"/>
      <c r="F103" s="35"/>
      <c r="G103" s="35"/>
      <c r="H103" s="31" t="s">
        <v>11</v>
      </c>
    </row>
    <row r="104" spans="1:8" x14ac:dyDescent="0.2">
      <c r="A104" s="29"/>
      <c r="B104" s="29"/>
      <c r="C104" s="30" t="s">
        <v>102</v>
      </c>
      <c r="D104" s="29"/>
      <c r="E104" s="29"/>
      <c r="F104" s="35"/>
      <c r="G104" s="35"/>
      <c r="H104" s="31" t="s">
        <v>11</v>
      </c>
    </row>
    <row r="105" spans="1:8" x14ac:dyDescent="0.2">
      <c r="A105" s="29"/>
      <c r="B105" s="29"/>
      <c r="C105" s="30" t="s">
        <v>10</v>
      </c>
      <c r="D105" s="29"/>
      <c r="E105" s="29" t="s">
        <v>11</v>
      </c>
      <c r="F105" s="32" t="s">
        <v>12</v>
      </c>
      <c r="G105" s="33">
        <v>0</v>
      </c>
      <c r="H105" s="31" t="s">
        <v>11</v>
      </c>
    </row>
    <row r="106" spans="1:8" x14ac:dyDescent="0.2">
      <c r="A106" s="29"/>
      <c r="B106" s="40"/>
      <c r="C106" s="40"/>
      <c r="D106" s="30"/>
      <c r="E106" s="29"/>
      <c r="F106" s="40"/>
      <c r="G106" s="44"/>
      <c r="H106" s="31" t="s">
        <v>11</v>
      </c>
    </row>
    <row r="107" spans="1:8" x14ac:dyDescent="0.2">
      <c r="A107" s="44"/>
      <c r="B107" s="40"/>
      <c r="C107" s="40" t="s">
        <v>103</v>
      </c>
      <c r="D107" s="40"/>
      <c r="E107" s="44"/>
      <c r="F107" s="42">
        <f>706.65442663+0.0000246249961853027</f>
        <v>706.65445125499616</v>
      </c>
      <c r="G107" s="43">
        <v>1.7002940000000001E-2</v>
      </c>
      <c r="H107" s="31" t="s">
        <v>11</v>
      </c>
    </row>
    <row r="108" spans="1:8" x14ac:dyDescent="0.2">
      <c r="A108" s="34"/>
      <c r="B108" s="34"/>
      <c r="C108" s="30" t="s">
        <v>104</v>
      </c>
      <c r="D108" s="35"/>
      <c r="E108" s="35"/>
      <c r="F108" s="38">
        <f>41560.716604255+0.0000246249961853027</f>
        <v>41560.71662888</v>
      </c>
      <c r="G108" s="55">
        <v>1.00000003</v>
      </c>
      <c r="H108" s="31" t="s">
        <v>11</v>
      </c>
    </row>
    <row r="109" spans="1:8" x14ac:dyDescent="0.2">
      <c r="A109" s="56"/>
      <c r="B109" s="56"/>
      <c r="C109" s="56"/>
      <c r="D109" s="57"/>
      <c r="E109" s="57"/>
      <c r="F109" s="57"/>
      <c r="G109" s="57"/>
    </row>
    <row r="110" spans="1:8" x14ac:dyDescent="0.2">
      <c r="A110" s="58"/>
      <c r="B110" s="138" t="s">
        <v>582</v>
      </c>
      <c r="C110" s="138"/>
      <c r="D110" s="138"/>
      <c r="E110" s="138"/>
      <c r="F110" s="138"/>
      <c r="G110" s="138"/>
      <c r="H110" s="138"/>
    </row>
    <row r="111" spans="1:8" x14ac:dyDescent="0.2">
      <c r="A111" s="58"/>
      <c r="B111" s="138" t="s">
        <v>583</v>
      </c>
      <c r="C111" s="138"/>
      <c r="D111" s="138"/>
      <c r="E111" s="138"/>
      <c r="F111" s="138"/>
      <c r="G111" s="138"/>
      <c r="H111" s="138"/>
    </row>
    <row r="112" spans="1:8" x14ac:dyDescent="0.2">
      <c r="A112" s="58"/>
      <c r="B112" s="138" t="s">
        <v>584</v>
      </c>
      <c r="C112" s="138"/>
      <c r="D112" s="138"/>
      <c r="E112" s="138"/>
      <c r="F112" s="138"/>
      <c r="G112" s="138"/>
      <c r="H112" s="138"/>
    </row>
    <row r="113" spans="1:10" x14ac:dyDescent="0.2">
      <c r="A113" s="59"/>
      <c r="B113" s="59"/>
      <c r="C113" s="59"/>
      <c r="D113" s="60"/>
      <c r="E113" s="60"/>
      <c r="F113" s="60"/>
      <c r="G113" s="60"/>
    </row>
    <row r="114" spans="1:10" x14ac:dyDescent="0.2">
      <c r="A114" s="59"/>
      <c r="B114" s="131" t="s">
        <v>105</v>
      </c>
      <c r="C114" s="132"/>
      <c r="D114" s="133"/>
      <c r="E114" s="61"/>
      <c r="F114" s="60"/>
      <c r="G114" s="60"/>
    </row>
    <row r="115" spans="1:10" ht="25.5" x14ac:dyDescent="0.2">
      <c r="A115" s="59"/>
      <c r="B115" s="134" t="s">
        <v>106</v>
      </c>
      <c r="C115" s="135"/>
      <c r="D115" s="17" t="s">
        <v>599</v>
      </c>
      <c r="E115" s="61"/>
      <c r="F115" s="60"/>
      <c r="G115" s="60"/>
    </row>
    <row r="116" spans="1:10" x14ac:dyDescent="0.2">
      <c r="A116" s="59"/>
      <c r="B116" s="134" t="s">
        <v>108</v>
      </c>
      <c r="C116" s="135"/>
      <c r="D116" s="30" t="s">
        <v>107</v>
      </c>
      <c r="E116" s="61"/>
      <c r="F116" s="60"/>
      <c r="G116" s="60"/>
      <c r="J116"/>
    </row>
    <row r="117" spans="1:10" x14ac:dyDescent="0.2">
      <c r="A117" s="59"/>
      <c r="B117" s="134" t="s">
        <v>109</v>
      </c>
      <c r="C117" s="135"/>
      <c r="D117" s="35" t="s">
        <v>11</v>
      </c>
      <c r="E117" s="61"/>
      <c r="F117" s="60"/>
      <c r="G117" s="60"/>
    </row>
    <row r="118" spans="1:10" x14ac:dyDescent="0.2">
      <c r="A118" s="18"/>
      <c r="B118" s="62" t="s">
        <v>11</v>
      </c>
      <c r="C118" s="62" t="s">
        <v>585</v>
      </c>
      <c r="D118" s="62" t="s">
        <v>110</v>
      </c>
      <c r="E118" s="18"/>
      <c r="F118" s="18"/>
      <c r="G118" s="18"/>
      <c r="H118" s="63"/>
      <c r="J118"/>
    </row>
    <row r="119" spans="1:10" x14ac:dyDescent="0.2">
      <c r="A119" s="64"/>
      <c r="B119" s="65" t="s">
        <v>111</v>
      </c>
      <c r="C119" s="66">
        <v>45596</v>
      </c>
      <c r="D119" s="66">
        <v>45611</v>
      </c>
      <c r="E119" s="64"/>
      <c r="F119" s="64"/>
      <c r="G119" s="64"/>
      <c r="J119"/>
    </row>
    <row r="120" spans="1:10" x14ac:dyDescent="0.2">
      <c r="A120" s="64"/>
      <c r="B120" s="40" t="s">
        <v>112</v>
      </c>
      <c r="C120" s="67">
        <v>3519.4614000000001</v>
      </c>
      <c r="D120" s="67">
        <v>3529.3856999999998</v>
      </c>
      <c r="E120" s="64"/>
      <c r="F120" s="68"/>
      <c r="G120" s="69"/>
      <c r="J120"/>
    </row>
    <row r="121" spans="1:10" ht="25.5" x14ac:dyDescent="0.2">
      <c r="A121" s="64"/>
      <c r="B121" s="40" t="s">
        <v>674</v>
      </c>
      <c r="C121" s="67">
        <v>1097.8996999999999</v>
      </c>
      <c r="D121" s="67">
        <v>1095.1405999999999</v>
      </c>
      <c r="E121" s="64"/>
      <c r="F121" s="68"/>
      <c r="G121" s="69"/>
      <c r="J121"/>
    </row>
    <row r="122" spans="1:10" ht="25.5" x14ac:dyDescent="0.2">
      <c r="A122" s="64"/>
      <c r="B122" s="40" t="s">
        <v>675</v>
      </c>
      <c r="C122" s="67">
        <v>1224.7157999999999</v>
      </c>
      <c r="D122" s="67">
        <v>1228.1692</v>
      </c>
      <c r="E122" s="64"/>
      <c r="F122" s="68"/>
      <c r="G122" s="69"/>
      <c r="J122"/>
    </row>
    <row r="123" spans="1:10" x14ac:dyDescent="0.2">
      <c r="A123" s="64"/>
      <c r="B123" s="40" t="s">
        <v>113</v>
      </c>
      <c r="C123" s="67">
        <v>3299.2343000000001</v>
      </c>
      <c r="D123" s="67">
        <v>3307.5313000000001</v>
      </c>
      <c r="E123" s="64"/>
      <c r="F123" s="68"/>
      <c r="G123" s="69"/>
    </row>
    <row r="124" spans="1:10" x14ac:dyDescent="0.2">
      <c r="A124" s="64"/>
      <c r="B124" s="40" t="s">
        <v>141</v>
      </c>
      <c r="C124" s="67">
        <v>1277.7029</v>
      </c>
      <c r="D124" s="67">
        <v>1280.9160999999999</v>
      </c>
      <c r="E124" s="64"/>
      <c r="F124" s="68"/>
      <c r="G124" s="69"/>
    </row>
    <row r="125" spans="1:10" ht="25.5" x14ac:dyDescent="0.2">
      <c r="A125" s="64"/>
      <c r="B125" s="40" t="s">
        <v>678</v>
      </c>
      <c r="C125" s="67">
        <v>1087.8652999999999</v>
      </c>
      <c r="D125" s="67">
        <v>1085.4173000000001</v>
      </c>
      <c r="E125" s="64"/>
      <c r="F125" s="68"/>
      <c r="G125" s="69"/>
    </row>
    <row r="126" spans="1:10" ht="25.5" x14ac:dyDescent="0.2">
      <c r="A126" s="64"/>
      <c r="B126" s="40" t="s">
        <v>648</v>
      </c>
      <c r="C126" s="67">
        <v>1187.3124</v>
      </c>
      <c r="D126" s="67">
        <v>1190.2983999999999</v>
      </c>
      <c r="E126" s="64"/>
      <c r="F126" s="68"/>
      <c r="G126" s="69"/>
    </row>
    <row r="127" spans="1:10" x14ac:dyDescent="0.2">
      <c r="A127" s="64"/>
      <c r="B127" s="64"/>
      <c r="C127" s="64"/>
      <c r="D127" s="64"/>
      <c r="E127" s="64"/>
      <c r="F127" s="64"/>
      <c r="G127" s="64"/>
    </row>
    <row r="128" spans="1:10" x14ac:dyDescent="0.2">
      <c r="A128" s="64"/>
      <c r="B128" s="134" t="s">
        <v>649</v>
      </c>
      <c r="C128" s="135"/>
      <c r="D128" s="30" t="s">
        <v>11</v>
      </c>
      <c r="E128" s="64"/>
      <c r="F128" s="64"/>
      <c r="G128" s="64"/>
    </row>
    <row r="129" spans="1:17" x14ac:dyDescent="0.2">
      <c r="A129" s="64"/>
      <c r="B129" s="70" t="s">
        <v>111</v>
      </c>
      <c r="C129" s="71" t="s">
        <v>114</v>
      </c>
      <c r="D129" s="71" t="s">
        <v>115</v>
      </c>
      <c r="E129" s="64"/>
      <c r="F129" s="64"/>
      <c r="G129" s="64"/>
    </row>
    <row r="130" spans="1:17" ht="25.5" x14ac:dyDescent="0.2">
      <c r="A130" s="64"/>
      <c r="B130" s="40" t="s">
        <v>674</v>
      </c>
      <c r="C130" s="72">
        <v>5.8552</v>
      </c>
      <c r="D130" s="72">
        <v>5.8552</v>
      </c>
      <c r="E130" s="64"/>
      <c r="F130" s="68"/>
      <c r="G130" s="69"/>
    </row>
    <row r="131" spans="1:17" ht="25.5" x14ac:dyDescent="0.2">
      <c r="A131" s="64"/>
      <c r="B131" s="40" t="s">
        <v>678</v>
      </c>
      <c r="C131" s="72">
        <v>5.1412000000000004</v>
      </c>
      <c r="D131" s="72">
        <v>5.1412000000000004</v>
      </c>
      <c r="E131" s="64"/>
      <c r="F131" s="68"/>
      <c r="G131" s="69"/>
    </row>
    <row r="132" spans="1:17" x14ac:dyDescent="0.2">
      <c r="A132" s="64"/>
      <c r="B132" s="73"/>
      <c r="C132" s="73"/>
      <c r="D132" s="74"/>
      <c r="E132" s="64"/>
      <c r="F132" s="68"/>
      <c r="G132" s="69"/>
    </row>
    <row r="133" spans="1:17" s="11" customFormat="1" x14ac:dyDescent="0.2">
      <c r="A133" s="77"/>
      <c r="B133" s="136" t="s">
        <v>595</v>
      </c>
      <c r="C133" s="137"/>
      <c r="D133" s="17" t="s">
        <v>107</v>
      </c>
      <c r="G133" s="77"/>
      <c r="I133"/>
      <c r="J133" s="2"/>
      <c r="K133" s="9"/>
      <c r="L133" s="9"/>
      <c r="M133" s="9"/>
      <c r="N133" s="9"/>
      <c r="O133" s="15"/>
    </row>
    <row r="134" spans="1:17" ht="25.5" customHeight="1" x14ac:dyDescent="0.2">
      <c r="A134" s="18"/>
      <c r="B134" s="136" t="s">
        <v>596</v>
      </c>
      <c r="C134" s="137"/>
      <c r="D134" s="17" t="s">
        <v>107</v>
      </c>
      <c r="E134" s="19"/>
      <c r="F134" s="18"/>
      <c r="G134" s="18"/>
    </row>
    <row r="135" spans="1:17" ht="26.25" customHeight="1" x14ac:dyDescent="0.2">
      <c r="A135" s="18"/>
      <c r="B135" s="136" t="s">
        <v>597</v>
      </c>
      <c r="C135" s="137"/>
      <c r="D135" s="17" t="s">
        <v>107</v>
      </c>
      <c r="E135" s="19"/>
      <c r="F135" s="18"/>
      <c r="G135" s="18"/>
    </row>
    <row r="136" spans="1:17" x14ac:dyDescent="0.2">
      <c r="A136" s="18"/>
      <c r="B136" s="136" t="s">
        <v>598</v>
      </c>
      <c r="C136" s="137"/>
      <c r="D136" s="17" t="s">
        <v>107</v>
      </c>
      <c r="E136" s="19"/>
      <c r="F136" s="18"/>
      <c r="G136" s="18"/>
    </row>
    <row r="137" spans="1:17" x14ac:dyDescent="0.2">
      <c r="A137" s="18"/>
      <c r="B137" s="76"/>
      <c r="C137" s="76"/>
      <c r="D137" s="78"/>
      <c r="E137" s="18"/>
      <c r="F137" s="18"/>
      <c r="G137" s="18"/>
    </row>
    <row r="138" spans="1:17" s="11" customFormat="1" x14ac:dyDescent="0.2">
      <c r="B138" s="139" t="s">
        <v>587</v>
      </c>
      <c r="C138" s="140"/>
      <c r="D138" s="141"/>
      <c r="I138"/>
      <c r="J138" s="2"/>
      <c r="K138" s="9"/>
      <c r="L138" s="9"/>
      <c r="M138" s="9"/>
      <c r="N138" s="9"/>
      <c r="O138" s="15"/>
    </row>
    <row r="139" spans="1:17" s="11" customFormat="1" ht="51" x14ac:dyDescent="0.2">
      <c r="B139" s="129" t="s">
        <v>588</v>
      </c>
      <c r="C139" s="129"/>
      <c r="D139" s="12" t="s">
        <v>203</v>
      </c>
      <c r="I139"/>
      <c r="J139" s="2"/>
      <c r="K139" s="9"/>
      <c r="L139" s="9"/>
      <c r="M139" s="9"/>
      <c r="N139" s="9"/>
      <c r="O139" s="15"/>
    </row>
    <row r="140" spans="1:17" s="11" customFormat="1" x14ac:dyDescent="0.2">
      <c r="B140" s="142" t="s">
        <v>589</v>
      </c>
      <c r="C140" s="142"/>
      <c r="D140" s="13"/>
      <c r="I140"/>
      <c r="J140" s="2"/>
      <c r="K140" s="9"/>
      <c r="L140" s="9"/>
      <c r="M140" s="9"/>
      <c r="N140" s="9"/>
      <c r="O140" s="15"/>
    </row>
    <row r="141" spans="1:17" s="11" customFormat="1" x14ac:dyDescent="0.2">
      <c r="B141" s="142"/>
      <c r="C141" s="142"/>
      <c r="D141" s="14"/>
      <c r="I141"/>
      <c r="J141" s="2"/>
      <c r="K141" s="9"/>
      <c r="L141" s="9"/>
      <c r="M141" s="9"/>
      <c r="N141" s="9"/>
      <c r="O141" s="15"/>
    </row>
    <row r="142" spans="1:17" s="11" customFormat="1" x14ac:dyDescent="0.2">
      <c r="B142" s="142" t="s">
        <v>590</v>
      </c>
      <c r="C142" s="142"/>
      <c r="D142" s="16">
        <v>7.5842133407194074</v>
      </c>
      <c r="I142"/>
      <c r="J142" s="2"/>
      <c r="K142" s="9"/>
      <c r="L142" s="9"/>
      <c r="M142" s="9"/>
      <c r="N142" s="9"/>
      <c r="O142" s="15"/>
    </row>
    <row r="143" spans="1:17" s="11" customFormat="1" x14ac:dyDescent="0.2">
      <c r="B143" s="142"/>
      <c r="C143" s="142"/>
      <c r="D143" s="14"/>
      <c r="I143"/>
      <c r="J143" s="2"/>
      <c r="K143" s="9"/>
      <c r="L143" s="9"/>
      <c r="M143" s="9"/>
      <c r="N143" s="9"/>
      <c r="O143" s="15"/>
      <c r="P143"/>
      <c r="Q143"/>
    </row>
    <row r="144" spans="1:17" s="11" customFormat="1" x14ac:dyDescent="0.2">
      <c r="B144" s="142" t="s">
        <v>591</v>
      </c>
      <c r="C144" s="142"/>
      <c r="D144" s="16">
        <v>0.88314859026605419</v>
      </c>
      <c r="I144"/>
      <c r="J144" s="2"/>
      <c r="K144" s="9"/>
      <c r="L144" s="9"/>
      <c r="M144" s="9"/>
      <c r="N144" s="9"/>
      <c r="O144" s="15"/>
      <c r="P144"/>
      <c r="Q144"/>
    </row>
    <row r="145" spans="1:20" s="11" customFormat="1" x14ac:dyDescent="0.2">
      <c r="B145" s="142" t="s">
        <v>600</v>
      </c>
      <c r="C145" s="142"/>
      <c r="D145" s="16">
        <v>1.0573166702559795</v>
      </c>
      <c r="I145"/>
      <c r="J145" s="2"/>
      <c r="K145" s="9"/>
      <c r="L145" s="9"/>
      <c r="M145" s="9"/>
      <c r="N145" s="9"/>
      <c r="O145"/>
      <c r="P145"/>
      <c r="Q145"/>
    </row>
    <row r="146" spans="1:20" s="11" customFormat="1" x14ac:dyDescent="0.2">
      <c r="B146" s="142"/>
      <c r="C146" s="142"/>
      <c r="D146" s="14"/>
      <c r="I146"/>
      <c r="J146" s="2"/>
      <c r="K146" s="9"/>
      <c r="L146" s="9"/>
      <c r="M146" s="9"/>
      <c r="N146" s="9"/>
      <c r="O146"/>
      <c r="P146"/>
      <c r="Q146"/>
    </row>
    <row r="147" spans="1:20" s="11" customFormat="1" x14ac:dyDescent="0.2">
      <c r="B147" s="142" t="s">
        <v>593</v>
      </c>
      <c r="C147" s="142"/>
      <c r="D147" s="75" t="s">
        <v>681</v>
      </c>
      <c r="I147"/>
      <c r="J147" s="2"/>
      <c r="K147" s="9"/>
      <c r="L147" s="9"/>
      <c r="M147" s="9"/>
      <c r="N147" s="9"/>
      <c r="O147" s="15"/>
    </row>
    <row r="148" spans="1:20" s="11" customFormat="1" x14ac:dyDescent="0.2">
      <c r="B148" s="143" t="s">
        <v>594</v>
      </c>
      <c r="C148" s="145"/>
      <c r="D148" s="144"/>
      <c r="I148"/>
      <c r="J148" s="2"/>
      <c r="K148" s="9"/>
      <c r="L148" s="9"/>
      <c r="M148" s="9"/>
      <c r="N148" s="9"/>
      <c r="O148"/>
      <c r="P148"/>
      <c r="Q148"/>
      <c r="R148"/>
      <c r="S148"/>
      <c r="T148"/>
    </row>
    <row r="149" spans="1:20" x14ac:dyDescent="0.2">
      <c r="A149" s="20"/>
      <c r="B149" s="20"/>
      <c r="C149" s="20"/>
      <c r="D149" s="20"/>
      <c r="E149" s="20"/>
      <c r="F149" s="20"/>
      <c r="G149" s="20"/>
    </row>
    <row r="150" spans="1:20" s="11" customFormat="1" x14ac:dyDescent="0.2">
      <c r="B150" s="79" t="s">
        <v>682</v>
      </c>
      <c r="C150" s="79"/>
      <c r="D150" s="79"/>
      <c r="E150" s="79"/>
      <c r="F150" s="79"/>
      <c r="G150" s="79"/>
      <c r="H150" s="79"/>
      <c r="I150"/>
      <c r="J150" s="2"/>
      <c r="K150" s="9"/>
      <c r="L150" s="9"/>
      <c r="M150" s="9"/>
      <c r="N150" s="9"/>
      <c r="O150" s="15"/>
    </row>
    <row r="151" spans="1:20" s="11" customFormat="1" x14ac:dyDescent="0.2">
      <c r="B151" s="80"/>
      <c r="C151" s="80"/>
      <c r="D151" s="80"/>
      <c r="E151" s="80"/>
      <c r="F151" s="80"/>
      <c r="G151" s="80"/>
      <c r="H151" s="80"/>
      <c r="I151"/>
      <c r="J151" s="2"/>
      <c r="K151" s="9"/>
      <c r="L151" s="9"/>
      <c r="M151" s="9"/>
      <c r="N151" s="9"/>
      <c r="O151" s="15"/>
    </row>
    <row r="152" spans="1:20" s="11" customFormat="1" ht="76.5" x14ac:dyDescent="0.2">
      <c r="A152" s="81"/>
      <c r="B152" s="82" t="s">
        <v>601</v>
      </c>
      <c r="C152" s="82" t="s">
        <v>602</v>
      </c>
      <c r="D152" s="82" t="s">
        <v>603</v>
      </c>
      <c r="E152" s="82" t="s">
        <v>604</v>
      </c>
      <c r="F152" s="82" t="s">
        <v>605</v>
      </c>
      <c r="G152" s="80"/>
      <c r="H152" s="80"/>
      <c r="I152"/>
      <c r="J152" s="2"/>
      <c r="K152" s="9"/>
      <c r="L152" s="9"/>
      <c r="M152" s="9"/>
      <c r="N152" s="9"/>
      <c r="O152" s="15"/>
    </row>
    <row r="153" spans="1:20" s="11" customFormat="1" x14ac:dyDescent="0.2">
      <c r="A153" s="83"/>
      <c r="B153" s="84" t="s">
        <v>606</v>
      </c>
      <c r="C153" s="84" t="s">
        <v>607</v>
      </c>
      <c r="D153" s="21">
        <v>0</v>
      </c>
      <c r="E153" s="22">
        <v>0</v>
      </c>
      <c r="F153" s="85">
        <v>300</v>
      </c>
      <c r="G153" s="80"/>
      <c r="H153" s="80"/>
      <c r="I153"/>
      <c r="J153" s="2"/>
      <c r="K153" s="9"/>
      <c r="L153" s="9"/>
      <c r="M153" s="9"/>
      <c r="N153" s="9"/>
      <c r="O153" s="15"/>
    </row>
    <row r="154" spans="1:20" s="11" customFormat="1" x14ac:dyDescent="0.2">
      <c r="A154" s="86"/>
      <c r="B154" s="86"/>
      <c r="C154" s="86"/>
      <c r="D154" s="86"/>
      <c r="E154" s="86"/>
      <c r="F154" s="86"/>
      <c r="G154" s="86"/>
      <c r="I154"/>
      <c r="J154" s="2"/>
      <c r="K154" s="9"/>
      <c r="L154" s="9"/>
      <c r="M154" s="9"/>
      <c r="N154" s="9"/>
      <c r="O154" s="15"/>
    </row>
    <row r="155" spans="1:20" ht="13.5" x14ac:dyDescent="0.25">
      <c r="B155" s="87" t="s">
        <v>608</v>
      </c>
      <c r="C155" s="87" t="s">
        <v>609</v>
      </c>
      <c r="D155" s="150" t="s">
        <v>603</v>
      </c>
      <c r="E155" s="150"/>
      <c r="F155" s="150"/>
      <c r="G155" s="151" t="s">
        <v>604</v>
      </c>
      <c r="H155" s="151"/>
      <c r="K155" s="9"/>
      <c r="L155" s="9"/>
      <c r="M155" s="9"/>
      <c r="N155" s="9"/>
      <c r="P155" s="9"/>
    </row>
    <row r="156" spans="1:20" ht="27" x14ac:dyDescent="0.25">
      <c r="B156" s="88" t="s">
        <v>610</v>
      </c>
      <c r="C156" s="89" t="s">
        <v>611</v>
      </c>
      <c r="D156" s="152">
        <v>0</v>
      </c>
      <c r="E156" s="152"/>
      <c r="F156" s="152"/>
      <c r="G156" s="152">
        <v>0</v>
      </c>
      <c r="H156" s="152"/>
      <c r="K156" s="9"/>
      <c r="L156" s="9"/>
      <c r="M156" s="9"/>
      <c r="N156" s="9"/>
      <c r="P156" s="9"/>
    </row>
    <row r="157" spans="1:20" ht="27" x14ac:dyDescent="0.25">
      <c r="B157" s="88" t="s">
        <v>612</v>
      </c>
      <c r="C157" s="89" t="s">
        <v>613</v>
      </c>
      <c r="D157" s="152">
        <v>0</v>
      </c>
      <c r="E157" s="152"/>
      <c r="F157" s="152"/>
      <c r="G157" s="152">
        <v>0</v>
      </c>
      <c r="H157" s="152"/>
      <c r="K157" s="9"/>
      <c r="L157" s="9"/>
      <c r="M157" s="9"/>
      <c r="N157" s="9"/>
      <c r="P157" s="9"/>
    </row>
    <row r="158" spans="1:20" ht="27" x14ac:dyDescent="0.25">
      <c r="B158" s="88" t="s">
        <v>614</v>
      </c>
      <c r="C158" s="89" t="s">
        <v>615</v>
      </c>
      <c r="D158" s="152">
        <v>0</v>
      </c>
      <c r="E158" s="152"/>
      <c r="F158" s="152"/>
      <c r="G158" s="152">
        <v>0</v>
      </c>
      <c r="H158" s="152"/>
      <c r="K158" s="9"/>
      <c r="L158" s="9"/>
      <c r="M158" s="9"/>
      <c r="N158" s="9"/>
      <c r="P158" s="9"/>
    </row>
    <row r="159" spans="1:20" ht="13.5" x14ac:dyDescent="0.25">
      <c r="B159" s="88"/>
      <c r="C159" s="88"/>
      <c r="D159" s="153"/>
      <c r="E159" s="153"/>
      <c r="F159" s="153"/>
      <c r="G159" s="153"/>
      <c r="H159" s="153"/>
      <c r="K159" s="9"/>
      <c r="L159" s="9"/>
      <c r="M159" s="9"/>
      <c r="N159" s="9"/>
      <c r="P159" s="9"/>
    </row>
    <row r="160" spans="1:20" ht="13.5" x14ac:dyDescent="0.25">
      <c r="B160" s="151" t="s">
        <v>616</v>
      </c>
      <c r="C160" s="151"/>
      <c r="D160" s="151"/>
      <c r="E160" s="151"/>
      <c r="F160" s="151"/>
      <c r="G160" s="151"/>
      <c r="H160" s="151"/>
      <c r="K160" s="9"/>
      <c r="L160" s="9"/>
      <c r="M160" s="9"/>
      <c r="N160" s="9"/>
      <c r="P160" s="9"/>
    </row>
    <row r="161" spans="2:16" ht="13.5" customHeight="1" x14ac:dyDescent="0.2">
      <c r="B161" s="155" t="s">
        <v>608</v>
      </c>
      <c r="C161" s="155" t="s">
        <v>609</v>
      </c>
      <c r="D161" s="155" t="s">
        <v>617</v>
      </c>
      <c r="E161" s="155"/>
      <c r="F161" s="155"/>
      <c r="G161" s="155"/>
      <c r="H161" s="154" t="s">
        <v>618</v>
      </c>
      <c r="I161" s="154" t="s">
        <v>619</v>
      </c>
      <c r="J161" s="154" t="s">
        <v>620</v>
      </c>
      <c r="K161" s="9"/>
      <c r="L161" s="9"/>
      <c r="M161" s="9"/>
      <c r="N161" s="9"/>
      <c r="O161" s="9"/>
      <c r="P161" s="9"/>
    </row>
    <row r="162" spans="2:16" ht="94.5" customHeight="1" x14ac:dyDescent="0.2">
      <c r="B162" s="155"/>
      <c r="C162" s="155"/>
      <c r="D162" s="90" t="s">
        <v>621</v>
      </c>
      <c r="E162" s="90" t="s">
        <v>622</v>
      </c>
      <c r="F162" s="90" t="s">
        <v>623</v>
      </c>
      <c r="G162" s="90" t="s">
        <v>624</v>
      </c>
      <c r="H162" s="154"/>
      <c r="I162" s="154"/>
      <c r="J162" s="154"/>
      <c r="K162" s="9"/>
      <c r="L162" s="9"/>
      <c r="M162" s="9"/>
      <c r="N162" s="9"/>
      <c r="O162" s="9"/>
      <c r="P162" s="9"/>
    </row>
    <row r="163" spans="2:16" ht="27" x14ac:dyDescent="0.25">
      <c r="B163" s="88" t="s">
        <v>610</v>
      </c>
      <c r="C163" s="89" t="s">
        <v>611</v>
      </c>
      <c r="D163" s="91">
        <v>1500</v>
      </c>
      <c r="E163" s="91">
        <v>99.850684900000005</v>
      </c>
      <c r="F163" s="92">
        <v>36.275342200000004</v>
      </c>
      <c r="G163" s="93">
        <v>1636.1260271000001</v>
      </c>
      <c r="H163" s="23">
        <v>726.67232000000001</v>
      </c>
      <c r="I163" s="23">
        <f>1250521/10^5</f>
        <v>12.50521</v>
      </c>
      <c r="J163" s="23">
        <f>H163+I163</f>
        <v>739.17753000000005</v>
      </c>
      <c r="K163" s="9"/>
      <c r="L163" s="9"/>
      <c r="M163" s="9"/>
      <c r="N163" s="9"/>
      <c r="O163" s="9"/>
      <c r="P163" s="9"/>
    </row>
    <row r="164" spans="2:16" ht="27" x14ac:dyDescent="0.25">
      <c r="B164" s="88" t="s">
        <v>612</v>
      </c>
      <c r="C164" s="89" t="s">
        <v>613</v>
      </c>
      <c r="D164" s="91">
        <v>2517.2199999999998</v>
      </c>
      <c r="E164" s="91">
        <v>183.25361600000002</v>
      </c>
      <c r="F164" s="92">
        <v>45.813405699999997</v>
      </c>
      <c r="G164" s="93">
        <v>2746.2870217</v>
      </c>
      <c r="H164" s="23">
        <v>1225.53333</v>
      </c>
      <c r="I164" s="23">
        <f>2109013/10^5</f>
        <v>21.090129999999998</v>
      </c>
      <c r="J164" s="23">
        <f>H164+I164</f>
        <v>1246.62346</v>
      </c>
      <c r="K164" s="9"/>
      <c r="L164" s="9"/>
      <c r="M164" s="9"/>
      <c r="N164" s="9"/>
      <c r="O164" s="9"/>
      <c r="P164" s="9"/>
    </row>
    <row r="165" spans="2:16" ht="27" x14ac:dyDescent="0.25">
      <c r="B165" s="88" t="s">
        <v>614</v>
      </c>
      <c r="C165" s="89" t="s">
        <v>615</v>
      </c>
      <c r="D165" s="91">
        <v>4882.25</v>
      </c>
      <c r="E165" s="91">
        <v>323.21163799999999</v>
      </c>
      <c r="F165" s="92">
        <v>117.42144879999999</v>
      </c>
      <c r="G165" s="93">
        <v>5322.8830868000005</v>
      </c>
      <c r="H165" s="23">
        <v>2364.0489899999998</v>
      </c>
      <c r="I165" s="23">
        <f>4068280/10^5</f>
        <v>40.6828</v>
      </c>
      <c r="J165" s="23">
        <f>H165+I165</f>
        <v>2404.7317899999998</v>
      </c>
      <c r="K165" s="9"/>
      <c r="L165" s="9"/>
      <c r="M165" s="9"/>
      <c r="N165" s="9"/>
      <c r="O165" s="9"/>
      <c r="P165" s="9"/>
    </row>
    <row r="166" spans="2:16" x14ac:dyDescent="0.2">
      <c r="I166" s="9"/>
      <c r="K166" s="9"/>
      <c r="L166" s="9"/>
      <c r="M166" s="9"/>
      <c r="N166" s="9"/>
      <c r="O166" s="9"/>
      <c r="P166" s="9"/>
    </row>
    <row r="167" spans="2:16" x14ac:dyDescent="0.2">
      <c r="I167" s="9"/>
      <c r="K167" s="9"/>
      <c r="L167" s="9"/>
      <c r="M167" s="9"/>
      <c r="N167" s="9"/>
      <c r="O167" s="9"/>
      <c r="P167" s="9"/>
    </row>
    <row r="168" spans="2:16" ht="13.5" x14ac:dyDescent="0.25">
      <c r="B168" s="94" t="s">
        <v>625</v>
      </c>
      <c r="I168" s="9"/>
      <c r="K168" s="9"/>
      <c r="L168" s="9"/>
      <c r="M168" s="9"/>
      <c r="N168" s="9"/>
      <c r="O168" s="9"/>
      <c r="P168" s="9"/>
    </row>
    <row r="169" spans="2:16" x14ac:dyDescent="0.2">
      <c r="B169" s="9"/>
      <c r="C169" s="9"/>
      <c r="D169" s="9"/>
      <c r="E169" s="9"/>
      <c r="F169" s="9"/>
      <c r="G169" s="9"/>
      <c r="H169" s="9"/>
      <c r="I169" s="9"/>
      <c r="K169" s="9"/>
      <c r="L169" s="9"/>
      <c r="M169" s="9"/>
      <c r="N169" s="9"/>
      <c r="O169" s="9"/>
      <c r="P169" s="9"/>
    </row>
    <row r="170" spans="2:16" x14ac:dyDescent="0.2">
      <c r="B170" s="95" t="s">
        <v>626</v>
      </c>
      <c r="C170" s="9"/>
      <c r="D170" s="9"/>
      <c r="E170" s="9"/>
      <c r="F170" s="9"/>
      <c r="G170" s="9"/>
      <c r="H170" s="9"/>
      <c r="I170" s="9"/>
      <c r="K170" s="9"/>
      <c r="L170" s="9"/>
      <c r="M170" s="9"/>
      <c r="N170" s="9"/>
      <c r="O170" s="9"/>
      <c r="P170" s="9"/>
    </row>
    <row r="171" spans="2:16" x14ac:dyDescent="0.2">
      <c r="B171" s="9"/>
      <c r="C171" s="9"/>
      <c r="D171" s="9"/>
      <c r="E171" s="9"/>
      <c r="F171" s="9"/>
      <c r="G171" s="9"/>
      <c r="H171" s="9"/>
      <c r="I171" s="9"/>
      <c r="K171" s="9"/>
      <c r="L171" s="9"/>
      <c r="M171" s="9"/>
      <c r="N171" s="9"/>
      <c r="O171" s="9"/>
      <c r="P171" s="9"/>
    </row>
    <row r="172" spans="2:16" x14ac:dyDescent="0.2">
      <c r="B172" s="95" t="s">
        <v>627</v>
      </c>
      <c r="C172" s="9"/>
      <c r="D172" s="9"/>
      <c r="E172" s="9"/>
      <c r="F172" s="9"/>
      <c r="G172" s="9"/>
      <c r="H172" s="9"/>
      <c r="I172" s="9"/>
      <c r="K172" s="9"/>
      <c r="L172" s="9"/>
      <c r="M172" s="9"/>
      <c r="N172" s="9"/>
      <c r="O172" s="9"/>
      <c r="P172" s="9"/>
    </row>
    <row r="174" spans="2:16" x14ac:dyDescent="0.2">
      <c r="B174" s="95" t="s">
        <v>628</v>
      </c>
      <c r="K174" s="9"/>
      <c r="L174" s="9"/>
      <c r="M174" s="9"/>
      <c r="N174" s="9"/>
      <c r="O174" s="9"/>
    </row>
  </sheetData>
  <mergeCells count="43">
    <mergeCell ref="J161:J162"/>
    <mergeCell ref="B161:B162"/>
    <mergeCell ref="C161:C162"/>
    <mergeCell ref="D161:G161"/>
    <mergeCell ref="H161:H162"/>
    <mergeCell ref="I161:I162"/>
    <mergeCell ref="D158:F158"/>
    <mergeCell ref="G158:H158"/>
    <mergeCell ref="D159:F159"/>
    <mergeCell ref="G159:H159"/>
    <mergeCell ref="B160:H160"/>
    <mergeCell ref="D155:F155"/>
    <mergeCell ref="G155:H155"/>
    <mergeCell ref="D156:F156"/>
    <mergeCell ref="G156:H156"/>
    <mergeCell ref="D157:F157"/>
    <mergeCell ref="G157:H157"/>
    <mergeCell ref="B144:C144"/>
    <mergeCell ref="B145:C145"/>
    <mergeCell ref="B146:C146"/>
    <mergeCell ref="B147:C147"/>
    <mergeCell ref="B148:D148"/>
    <mergeCell ref="B139:C139"/>
    <mergeCell ref="B140:C140"/>
    <mergeCell ref="B141:C141"/>
    <mergeCell ref="B142:C142"/>
    <mergeCell ref="B143:C143"/>
    <mergeCell ref="A1:H1"/>
    <mergeCell ref="A2:H2"/>
    <mergeCell ref="A3:H3"/>
    <mergeCell ref="B110:H110"/>
    <mergeCell ref="B111:H111"/>
    <mergeCell ref="B138:D138"/>
    <mergeCell ref="B112:H112"/>
    <mergeCell ref="B135:C135"/>
    <mergeCell ref="B136:C136"/>
    <mergeCell ref="B114:D114"/>
    <mergeCell ref="B115:C115"/>
    <mergeCell ref="B116:C116"/>
    <mergeCell ref="B117:C117"/>
    <mergeCell ref="B128:C128"/>
    <mergeCell ref="B134:C134"/>
    <mergeCell ref="B133:C133"/>
  </mergeCells>
  <hyperlinks>
    <hyperlink ref="I1" location="Index!B2" display="Index" xr:uid="{A934DC9F-BA17-4434-818E-9EA6AA770DB3}"/>
    <hyperlink ref="B170" r:id="rId1" xr:uid="{1794ABC5-EC20-412A-8D7B-6619D7E55E1C}"/>
    <hyperlink ref="B172" r:id="rId2" xr:uid="{6AB65DE4-613E-4105-8CE7-4DC273C51F27}"/>
    <hyperlink ref="B174" r:id="rId3" xr:uid="{F75E8B2A-511C-43FC-93E0-D67AC45A8753}"/>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C80F3-3747-4F09-B35F-CCAEFD10BEBD}">
  <sheetPr>
    <outlinePr summaryBelow="0" summaryRight="0"/>
  </sheetPr>
  <dimension ref="A1:R213"/>
  <sheetViews>
    <sheetView showGridLines="0" workbookViewId="0">
      <selection sqref="A1:H1"/>
    </sheetView>
  </sheetViews>
  <sheetFormatPr defaultRowHeight="12.75" x14ac:dyDescent="0.2"/>
  <cols>
    <col min="1" max="1" width="5.85546875" bestFit="1" customWidth="1"/>
    <col min="2" max="2" width="20.28515625" bestFit="1" customWidth="1"/>
    <col min="3" max="3" width="39.140625" bestFit="1" customWidth="1"/>
    <col min="4" max="4" width="11.28515625" bestFit="1" customWidth="1"/>
    <col min="5" max="5" width="10.42578125" bestFit="1" customWidth="1"/>
    <col min="6" max="6" width="10.140625" bestFit="1" customWidth="1"/>
    <col min="7" max="7" width="14" bestFit="1" customWidth="1"/>
    <col min="8" max="8" width="8.85546875" bestFit="1" customWidth="1"/>
    <col min="9" max="9" width="5.7109375" bestFit="1" customWidth="1"/>
    <col min="10" max="10" width="50.7109375" style="2" customWidth="1"/>
  </cols>
  <sheetData>
    <row r="1" spans="1:10" ht="15" x14ac:dyDescent="0.2">
      <c r="A1" s="130" t="s">
        <v>0</v>
      </c>
      <c r="B1" s="130"/>
      <c r="C1" s="130"/>
      <c r="D1" s="130"/>
      <c r="E1" s="130"/>
      <c r="F1" s="130"/>
      <c r="G1" s="130"/>
      <c r="H1" s="130"/>
      <c r="I1" s="1" t="s">
        <v>562</v>
      </c>
    </row>
    <row r="2" spans="1:10" ht="15" x14ac:dyDescent="0.2">
      <c r="A2" s="130" t="s">
        <v>259</v>
      </c>
      <c r="B2" s="130"/>
      <c r="C2" s="130"/>
      <c r="D2" s="130"/>
      <c r="E2" s="130"/>
      <c r="F2" s="130"/>
      <c r="G2" s="130"/>
      <c r="H2" s="130"/>
      <c r="J2" s="26" t="s">
        <v>563</v>
      </c>
    </row>
    <row r="3" spans="1:10" ht="15" x14ac:dyDescent="0.2">
      <c r="A3" s="130" t="s">
        <v>579</v>
      </c>
      <c r="B3" s="130"/>
      <c r="C3" s="130"/>
      <c r="D3" s="130"/>
      <c r="E3" s="130"/>
      <c r="F3" s="130"/>
      <c r="G3" s="130"/>
      <c r="H3" s="130"/>
    </row>
    <row r="4" spans="1:10" s="2" customFormat="1" ht="30" x14ac:dyDescent="0.2">
      <c r="A4" s="27" t="s">
        <v>1</v>
      </c>
      <c r="B4" s="27" t="s">
        <v>2</v>
      </c>
      <c r="C4" s="27" t="s">
        <v>3</v>
      </c>
      <c r="D4" s="27" t="s">
        <v>4</v>
      </c>
      <c r="E4" s="27" t="s">
        <v>5</v>
      </c>
      <c r="F4" s="27" t="s">
        <v>6</v>
      </c>
      <c r="G4" s="27" t="s">
        <v>7</v>
      </c>
      <c r="H4" s="28" t="s">
        <v>580</v>
      </c>
    </row>
    <row r="5" spans="1:10" x14ac:dyDescent="0.2">
      <c r="A5" s="29"/>
      <c r="B5" s="29"/>
      <c r="C5" s="30" t="s">
        <v>8</v>
      </c>
      <c r="D5" s="29"/>
      <c r="E5" s="29"/>
      <c r="F5" s="29"/>
      <c r="G5" s="29"/>
      <c r="H5" s="31" t="str">
        <f>IFERROR(VLOOKUP(B5,'[1]Debt Holding Consolidated'!$C$1:$AM$65536,12,FALSE),"")</f>
        <v/>
      </c>
    </row>
    <row r="6" spans="1:10" x14ac:dyDescent="0.2">
      <c r="A6" s="29"/>
      <c r="B6" s="29"/>
      <c r="C6" s="30" t="s">
        <v>9</v>
      </c>
      <c r="D6" s="29"/>
      <c r="E6" s="29"/>
      <c r="F6" s="29"/>
      <c r="G6" s="29"/>
      <c r="H6" s="31" t="str">
        <f>IFERROR(VLOOKUP(B6,'[1]Debt Holding Consolidated'!$C$1:$AM$65536,12,FALSE),"")</f>
        <v/>
      </c>
    </row>
    <row r="7" spans="1:10" x14ac:dyDescent="0.2">
      <c r="A7" s="29"/>
      <c r="B7" s="29"/>
      <c r="C7" s="30" t="s">
        <v>10</v>
      </c>
      <c r="D7" s="29"/>
      <c r="E7" s="29" t="s">
        <v>11</v>
      </c>
      <c r="F7" s="32" t="s">
        <v>12</v>
      </c>
      <c r="G7" s="33">
        <v>0</v>
      </c>
      <c r="H7" s="31" t="str">
        <f>IFERROR(VLOOKUP(B7,'[1]Debt Holding Consolidated'!$C$1:$AM$65536,12,FALSE),"")</f>
        <v/>
      </c>
    </row>
    <row r="8" spans="1:10" x14ac:dyDescent="0.2">
      <c r="A8" s="29"/>
      <c r="B8" s="29"/>
      <c r="C8" s="34"/>
      <c r="D8" s="29"/>
      <c r="E8" s="29"/>
      <c r="F8" s="35"/>
      <c r="G8" s="35"/>
      <c r="H8" s="31" t="str">
        <f>IFERROR(VLOOKUP(B8,'[1]Debt Holding Consolidated'!$C$1:$AM$65536,12,FALSE),"")</f>
        <v/>
      </c>
    </row>
    <row r="9" spans="1:10" x14ac:dyDescent="0.2">
      <c r="A9" s="29"/>
      <c r="B9" s="29"/>
      <c r="C9" s="30" t="s">
        <v>13</v>
      </c>
      <c r="D9" s="29"/>
      <c r="E9" s="29"/>
      <c r="F9" s="29"/>
      <c r="G9" s="29"/>
      <c r="H9" s="31" t="str">
        <f>IFERROR(VLOOKUP(B9,'[1]Debt Holding Consolidated'!$C$1:$AM$65536,12,FALSE),"")</f>
        <v/>
      </c>
    </row>
    <row r="10" spans="1:10" x14ac:dyDescent="0.2">
      <c r="A10" s="29"/>
      <c r="B10" s="29"/>
      <c r="C10" s="30" t="s">
        <v>10</v>
      </c>
      <c r="D10" s="29"/>
      <c r="E10" s="29" t="s">
        <v>11</v>
      </c>
      <c r="F10" s="32" t="s">
        <v>12</v>
      </c>
      <c r="G10" s="33">
        <v>0</v>
      </c>
      <c r="H10" s="31" t="str">
        <f>IFERROR(VLOOKUP(B10,'[1]Debt Holding Consolidated'!$C$1:$AM$65536,12,FALSE),"")</f>
        <v/>
      </c>
    </row>
    <row r="11" spans="1:10" x14ac:dyDescent="0.2">
      <c r="A11" s="29"/>
      <c r="B11" s="29"/>
      <c r="C11" s="34"/>
      <c r="D11" s="29"/>
      <c r="E11" s="29"/>
      <c r="F11" s="35"/>
      <c r="G11" s="35"/>
      <c r="H11" s="31" t="str">
        <f>IFERROR(VLOOKUP(B11,'[1]Debt Holding Consolidated'!$C$1:$AM$65536,12,FALSE),"")</f>
        <v/>
      </c>
    </row>
    <row r="12" spans="1:10" ht="15" x14ac:dyDescent="0.2">
      <c r="A12" s="29"/>
      <c r="B12" s="29"/>
      <c r="C12" s="30" t="s">
        <v>14</v>
      </c>
      <c r="D12" s="29"/>
      <c r="E12" s="29"/>
      <c r="F12" s="29"/>
      <c r="G12" s="29"/>
      <c r="H12" s="31" t="str">
        <f>IFERROR(VLOOKUP(B12,'[1]Debt Holding Consolidated'!$C$1:$AM$65536,12,FALSE),"")</f>
        <v/>
      </c>
      <c r="J12" s="36"/>
    </row>
    <row r="13" spans="1:10" x14ac:dyDescent="0.2">
      <c r="A13" s="29"/>
      <c r="B13" s="29"/>
      <c r="C13" s="30" t="s">
        <v>10</v>
      </c>
      <c r="D13" s="29"/>
      <c r="E13" s="29" t="s">
        <v>11</v>
      </c>
      <c r="F13" s="32" t="s">
        <v>12</v>
      </c>
      <c r="G13" s="33">
        <v>0</v>
      </c>
      <c r="H13" s="31" t="str">
        <f>IFERROR(VLOOKUP(B13,'[1]Debt Holding Consolidated'!$C$1:$AM$65536,12,FALSE),"")</f>
        <v/>
      </c>
      <c r="J13" s="37"/>
    </row>
    <row r="14" spans="1:10" x14ac:dyDescent="0.2">
      <c r="A14" s="29"/>
      <c r="B14" s="29"/>
      <c r="C14" s="34"/>
      <c r="D14" s="29"/>
      <c r="E14" s="29"/>
      <c r="F14" s="35"/>
      <c r="G14" s="35"/>
      <c r="H14" s="31" t="str">
        <f>IFERROR(VLOOKUP(B14,'[1]Debt Holding Consolidated'!$C$1:$AM$65536,12,FALSE),"")</f>
        <v/>
      </c>
      <c r="J14" s="37"/>
    </row>
    <row r="15" spans="1:10" x14ac:dyDescent="0.2">
      <c r="A15" s="29"/>
      <c r="B15" s="29"/>
      <c r="C15" s="30" t="s">
        <v>15</v>
      </c>
      <c r="D15" s="29"/>
      <c r="E15" s="29"/>
      <c r="F15" s="29"/>
      <c r="G15" s="29"/>
      <c r="H15" s="31" t="str">
        <f>IFERROR(VLOOKUP(B15,'[1]Debt Holding Consolidated'!$C$1:$AM$65536,12,FALSE),"")</f>
        <v/>
      </c>
      <c r="J15" s="2" t="s">
        <v>690</v>
      </c>
    </row>
    <row r="16" spans="1:10" x14ac:dyDescent="0.2">
      <c r="A16" s="29"/>
      <c r="B16" s="29"/>
      <c r="C16" s="30" t="s">
        <v>10</v>
      </c>
      <c r="D16" s="29"/>
      <c r="E16" s="29" t="s">
        <v>11</v>
      </c>
      <c r="F16" s="32" t="s">
        <v>12</v>
      </c>
      <c r="G16" s="33">
        <v>0</v>
      </c>
      <c r="H16" s="31" t="str">
        <f>IFERROR(VLOOKUP(B16,'[1]Debt Holding Consolidated'!$C$1:$AM$65536,12,FALSE),"")</f>
        <v/>
      </c>
    </row>
    <row r="17" spans="1:10" x14ac:dyDescent="0.2">
      <c r="A17" s="29"/>
      <c r="B17" s="29"/>
      <c r="C17" s="34"/>
      <c r="D17" s="29"/>
      <c r="E17" s="29"/>
      <c r="F17" s="35"/>
      <c r="G17" s="35"/>
      <c r="H17" s="31" t="str">
        <f>IFERROR(VLOOKUP(B17,'[1]Debt Holding Consolidated'!$C$1:$AM$65536,12,FALSE),"")</f>
        <v/>
      </c>
    </row>
    <row r="18" spans="1:10" x14ac:dyDescent="0.2">
      <c r="A18" s="29"/>
      <c r="B18" s="29"/>
      <c r="C18" s="30" t="s">
        <v>16</v>
      </c>
      <c r="D18" s="29"/>
      <c r="E18" s="29"/>
      <c r="F18" s="35"/>
      <c r="G18" s="35"/>
      <c r="H18" s="31" t="str">
        <f>IFERROR(VLOOKUP(B18,'[1]Debt Holding Consolidated'!$C$1:$AM$65536,12,FALSE),"")</f>
        <v/>
      </c>
    </row>
    <row r="19" spans="1:10" x14ac:dyDescent="0.2">
      <c r="A19" s="29"/>
      <c r="B19" s="29"/>
      <c r="C19" s="30" t="s">
        <v>10</v>
      </c>
      <c r="D19" s="29"/>
      <c r="E19" s="29" t="s">
        <v>11</v>
      </c>
      <c r="F19" s="32" t="s">
        <v>12</v>
      </c>
      <c r="G19" s="33">
        <v>0</v>
      </c>
      <c r="H19" s="31" t="str">
        <f>IFERROR(VLOOKUP(B19,'[1]Debt Holding Consolidated'!$C$1:$AM$65536,12,FALSE),"")</f>
        <v/>
      </c>
    </row>
    <row r="20" spans="1:10" x14ac:dyDescent="0.2">
      <c r="A20" s="29"/>
      <c r="B20" s="29"/>
      <c r="C20" s="34"/>
      <c r="D20" s="29"/>
      <c r="E20" s="29"/>
      <c r="F20" s="35"/>
      <c r="G20" s="35"/>
      <c r="H20" s="31" t="str">
        <f>IFERROR(VLOOKUP(B20,'[1]Debt Holding Consolidated'!$C$1:$AM$65536,12,FALSE),"")</f>
        <v/>
      </c>
    </row>
    <row r="21" spans="1:10" x14ac:dyDescent="0.2">
      <c r="A21" s="29"/>
      <c r="B21" s="29"/>
      <c r="C21" s="30" t="s">
        <v>17</v>
      </c>
      <c r="D21" s="29"/>
      <c r="E21" s="29"/>
      <c r="F21" s="35"/>
      <c r="G21" s="35"/>
      <c r="H21" s="31" t="str">
        <f>IFERROR(VLOOKUP(B21,'[1]Debt Holding Consolidated'!$C$1:$AM$65536,12,FALSE),"")</f>
        <v/>
      </c>
    </row>
    <row r="22" spans="1:10" ht="15" x14ac:dyDescent="0.2">
      <c r="A22" s="29"/>
      <c r="B22" s="29"/>
      <c r="C22" s="30" t="s">
        <v>10</v>
      </c>
      <c r="D22" s="29"/>
      <c r="E22" s="29" t="s">
        <v>11</v>
      </c>
      <c r="F22" s="32" t="s">
        <v>12</v>
      </c>
      <c r="G22" s="33">
        <v>0</v>
      </c>
      <c r="H22" s="31" t="str">
        <f>IFERROR(VLOOKUP(B22,'[1]Debt Holding Consolidated'!$C$1:$AM$65536,12,FALSE),"")</f>
        <v/>
      </c>
      <c r="J22" s="36"/>
    </row>
    <row r="23" spans="1:10" x14ac:dyDescent="0.2">
      <c r="A23" s="29"/>
      <c r="B23" s="29"/>
      <c r="C23" s="34"/>
      <c r="D23" s="29"/>
      <c r="E23" s="29"/>
      <c r="F23" s="35"/>
      <c r="G23" s="35"/>
      <c r="H23" s="31" t="str">
        <f>IFERROR(VLOOKUP(B23,'[1]Debt Holding Consolidated'!$C$1:$AM$65536,12,FALSE),"")</f>
        <v/>
      </c>
      <c r="J23" s="37"/>
    </row>
    <row r="24" spans="1:10" x14ac:dyDescent="0.2">
      <c r="A24" s="29"/>
      <c r="B24" s="29"/>
      <c r="C24" s="30" t="s">
        <v>18</v>
      </c>
      <c r="D24" s="29"/>
      <c r="E24" s="29"/>
      <c r="F24" s="38">
        <v>0</v>
      </c>
      <c r="G24" s="33">
        <v>0</v>
      </c>
      <c r="H24" s="31" t="str">
        <f>IFERROR(VLOOKUP(B24,'[1]Debt Holding Consolidated'!$C$1:$AM$65536,12,FALSE),"")</f>
        <v/>
      </c>
    </row>
    <row r="25" spans="1:10" x14ac:dyDescent="0.2">
      <c r="A25" s="29"/>
      <c r="B25" s="29"/>
      <c r="C25" s="34"/>
      <c r="D25" s="29"/>
      <c r="E25" s="29"/>
      <c r="F25" s="35"/>
      <c r="G25" s="35"/>
      <c r="H25" s="31" t="str">
        <f>IFERROR(VLOOKUP(B25,'[1]Debt Holding Consolidated'!$C$1:$AM$65536,12,FALSE),"")</f>
        <v/>
      </c>
    </row>
    <row r="26" spans="1:10" x14ac:dyDescent="0.2">
      <c r="A26" s="29"/>
      <c r="B26" s="29"/>
      <c r="C26" s="30" t="s">
        <v>19</v>
      </c>
      <c r="D26" s="29"/>
      <c r="E26" s="29"/>
      <c r="F26" s="35"/>
      <c r="G26" s="35"/>
      <c r="H26" s="31" t="str">
        <f>IFERROR(VLOOKUP(B26,'[1]Debt Holding Consolidated'!$C$1:$AM$65536,12,FALSE),"")</f>
        <v/>
      </c>
    </row>
    <row r="27" spans="1:10" x14ac:dyDescent="0.2">
      <c r="A27" s="29"/>
      <c r="B27" s="29"/>
      <c r="C27" s="30" t="s">
        <v>9</v>
      </c>
      <c r="D27" s="29"/>
      <c r="E27" s="29"/>
      <c r="F27" s="35"/>
      <c r="G27" s="35"/>
      <c r="H27" s="31" t="str">
        <f>IFERROR(VLOOKUP(B27,'[1]Debt Holding Consolidated'!$C$1:$AM$65536,12,FALSE),"")</f>
        <v/>
      </c>
    </row>
    <row r="28" spans="1:10" x14ac:dyDescent="0.2">
      <c r="A28" s="39">
        <v>1</v>
      </c>
      <c r="B28" s="40" t="s">
        <v>260</v>
      </c>
      <c r="C28" s="40" t="s">
        <v>261</v>
      </c>
      <c r="D28" s="40" t="s">
        <v>22</v>
      </c>
      <c r="E28" s="41">
        <v>1000</v>
      </c>
      <c r="F28" s="42">
        <v>9997.17</v>
      </c>
      <c r="G28" s="43">
        <v>1.3210589999999999E-2</v>
      </c>
      <c r="H28" s="31">
        <f>IFERROR(VLOOKUP(B28,'[1]Debt Holding Consolidated'!$C$1:$AM$65536,12,FALSE),"")</f>
        <v>6.93</v>
      </c>
      <c r="J28" s="37" t="s">
        <v>691</v>
      </c>
    </row>
    <row r="29" spans="1:10" ht="25.5" x14ac:dyDescent="0.2">
      <c r="A29" s="39">
        <v>2</v>
      </c>
      <c r="B29" s="40" t="s">
        <v>262</v>
      </c>
      <c r="C29" s="40" t="s">
        <v>263</v>
      </c>
      <c r="D29" s="40" t="s">
        <v>22</v>
      </c>
      <c r="E29" s="41">
        <v>1000</v>
      </c>
      <c r="F29" s="42">
        <v>9981.1299999999992</v>
      </c>
      <c r="G29" s="43">
        <v>1.318939E-2</v>
      </c>
      <c r="H29" s="31">
        <f>IFERROR(VLOOKUP(B29,'[1]Debt Holding Consolidated'!$C$1:$AM$65536,12,FALSE),"")</f>
        <v>7.2149999999999999</v>
      </c>
    </row>
    <row r="30" spans="1:10" x14ac:dyDescent="0.2">
      <c r="A30" s="39">
        <v>3</v>
      </c>
      <c r="B30" s="40" t="s">
        <v>264</v>
      </c>
      <c r="C30" s="40" t="s">
        <v>703</v>
      </c>
      <c r="D30" s="40" t="s">
        <v>22</v>
      </c>
      <c r="E30" s="41">
        <v>750</v>
      </c>
      <c r="F30" s="42">
        <v>7481.8649999999998</v>
      </c>
      <c r="G30" s="43">
        <v>9.8867799999999995E-3</v>
      </c>
      <c r="H30" s="31">
        <f>IFERROR(VLOOKUP(B30,'[1]Debt Holding Consolidated'!$C$1:$AM$65536,12,FALSE),"")</f>
        <v>7.32</v>
      </c>
    </row>
    <row r="31" spans="1:10" ht="25.5" x14ac:dyDescent="0.2">
      <c r="A31" s="39">
        <v>4</v>
      </c>
      <c r="B31" s="40" t="s">
        <v>265</v>
      </c>
      <c r="C31" s="40" t="s">
        <v>704</v>
      </c>
      <c r="D31" s="40" t="s">
        <v>216</v>
      </c>
      <c r="E31" s="41">
        <v>5000</v>
      </c>
      <c r="F31" s="42">
        <v>5005.57</v>
      </c>
      <c r="G31" s="43">
        <v>6.6145199999999996E-3</v>
      </c>
      <c r="H31" s="31">
        <f>IFERROR(VLOOKUP(B31,'[1]Debt Holding Consolidated'!$C$1:$AM$65536,12,FALSE),"")</f>
        <v>7.5350000000000001</v>
      </c>
    </row>
    <row r="32" spans="1:10" x14ac:dyDescent="0.2">
      <c r="A32" s="39">
        <v>5</v>
      </c>
      <c r="B32" s="40" t="s">
        <v>266</v>
      </c>
      <c r="C32" s="40" t="s">
        <v>705</v>
      </c>
      <c r="D32" s="40" t="s">
        <v>22</v>
      </c>
      <c r="E32" s="41">
        <v>1000</v>
      </c>
      <c r="F32" s="42">
        <v>5003.6450000000004</v>
      </c>
      <c r="G32" s="43">
        <v>6.6119799999999999E-3</v>
      </c>
      <c r="H32" s="31">
        <f>IFERROR(VLOOKUP(B32,'[1]Debt Holding Consolidated'!$C$1:$AM$65536,12,FALSE),"")</f>
        <v>7.49</v>
      </c>
    </row>
    <row r="33" spans="1:8" ht="25.5" x14ac:dyDescent="0.2">
      <c r="A33" s="39">
        <v>6</v>
      </c>
      <c r="B33" s="40" t="s">
        <v>267</v>
      </c>
      <c r="C33" s="40" t="s">
        <v>706</v>
      </c>
      <c r="D33" s="40" t="s">
        <v>35</v>
      </c>
      <c r="E33" s="41">
        <v>500</v>
      </c>
      <c r="F33" s="42">
        <v>4976.585</v>
      </c>
      <c r="G33" s="43">
        <v>6.5762199999999998E-3</v>
      </c>
      <c r="H33" s="31">
        <f>IFERROR(VLOOKUP(B33,'[1]Debt Holding Consolidated'!$C$1:$AM$65536,12,FALSE),"")</f>
        <v>7.22</v>
      </c>
    </row>
    <row r="34" spans="1:8" x14ac:dyDescent="0.2">
      <c r="A34" s="29"/>
      <c r="B34" s="29"/>
      <c r="C34" s="30" t="s">
        <v>10</v>
      </c>
      <c r="D34" s="29"/>
      <c r="E34" s="29" t="s">
        <v>11</v>
      </c>
      <c r="F34" s="38">
        <v>42445.964999999997</v>
      </c>
      <c r="G34" s="33">
        <v>5.6089479999999997E-2</v>
      </c>
      <c r="H34" s="31" t="str">
        <f>IFERROR(VLOOKUP(B34,'[1]Debt Holding Consolidated'!$C$1:$AM$65536,12,FALSE),"")</f>
        <v/>
      </c>
    </row>
    <row r="35" spans="1:8" x14ac:dyDescent="0.2">
      <c r="A35" s="29"/>
      <c r="B35" s="29"/>
      <c r="C35" s="34"/>
      <c r="D35" s="29"/>
      <c r="E35" s="29"/>
      <c r="F35" s="35"/>
      <c r="G35" s="35"/>
      <c r="H35" s="31" t="str">
        <f>IFERROR(VLOOKUP(B35,'[1]Debt Holding Consolidated'!$C$1:$AM$65536,12,FALSE),"")</f>
        <v/>
      </c>
    </row>
    <row r="36" spans="1:8" x14ac:dyDescent="0.2">
      <c r="A36" s="29"/>
      <c r="B36" s="29"/>
      <c r="C36" s="30" t="s">
        <v>70</v>
      </c>
      <c r="D36" s="29"/>
      <c r="E36" s="29"/>
      <c r="F36" s="29"/>
      <c r="G36" s="29"/>
      <c r="H36" s="31" t="str">
        <f>IFERROR(VLOOKUP(B36,'[1]Debt Holding Consolidated'!$C$1:$AM$65536,12,FALSE),"")</f>
        <v/>
      </c>
    </row>
    <row r="37" spans="1:8" x14ac:dyDescent="0.2">
      <c r="A37" s="29"/>
      <c r="B37" s="29"/>
      <c r="C37" s="30" t="s">
        <v>10</v>
      </c>
      <c r="D37" s="29"/>
      <c r="E37" s="29" t="s">
        <v>11</v>
      </c>
      <c r="F37" s="32" t="s">
        <v>12</v>
      </c>
      <c r="G37" s="33">
        <v>0</v>
      </c>
      <c r="H37" s="31" t="str">
        <f>IFERROR(VLOOKUP(B37,'[1]Debt Holding Consolidated'!$C$1:$AM$65536,12,FALSE),"")</f>
        <v/>
      </c>
    </row>
    <row r="38" spans="1:8" x14ac:dyDescent="0.2">
      <c r="A38" s="29"/>
      <c r="B38" s="29"/>
      <c r="C38" s="34"/>
      <c r="D38" s="29"/>
      <c r="E38" s="29"/>
      <c r="F38" s="35"/>
      <c r="G38" s="35"/>
      <c r="H38" s="31" t="str">
        <f>IFERROR(VLOOKUP(B38,'[1]Debt Holding Consolidated'!$C$1:$AM$65536,12,FALSE),"")</f>
        <v/>
      </c>
    </row>
    <row r="39" spans="1:8" x14ac:dyDescent="0.2">
      <c r="A39" s="29"/>
      <c r="B39" s="29"/>
      <c r="C39" s="30" t="s">
        <v>71</v>
      </c>
      <c r="D39" s="29"/>
      <c r="E39" s="29"/>
      <c r="F39" s="29"/>
      <c r="G39" s="29"/>
      <c r="H39" s="31" t="str">
        <f>IFERROR(VLOOKUP(B39,'[1]Debt Holding Consolidated'!$C$1:$AM$65536,12,FALSE),"")</f>
        <v/>
      </c>
    </row>
    <row r="40" spans="1:8" x14ac:dyDescent="0.2">
      <c r="A40" s="29"/>
      <c r="B40" s="29"/>
      <c r="C40" s="30" t="s">
        <v>10</v>
      </c>
      <c r="D40" s="29"/>
      <c r="E40" s="29" t="s">
        <v>11</v>
      </c>
      <c r="F40" s="32" t="s">
        <v>12</v>
      </c>
      <c r="G40" s="33">
        <v>0</v>
      </c>
      <c r="H40" s="31" t="str">
        <f>IFERROR(VLOOKUP(B40,'[1]Debt Holding Consolidated'!$C$1:$AM$65536,12,FALSE),"")</f>
        <v/>
      </c>
    </row>
    <row r="41" spans="1:8" x14ac:dyDescent="0.2">
      <c r="A41" s="29"/>
      <c r="B41" s="29"/>
      <c r="C41" s="34"/>
      <c r="D41" s="29"/>
      <c r="E41" s="29"/>
      <c r="F41" s="35"/>
      <c r="G41" s="35"/>
      <c r="H41" s="31" t="str">
        <f>IFERROR(VLOOKUP(B41,'[1]Debt Holding Consolidated'!$C$1:$AM$65536,12,FALSE),"")</f>
        <v/>
      </c>
    </row>
    <row r="42" spans="1:8" x14ac:dyDescent="0.2">
      <c r="A42" s="29"/>
      <c r="B42" s="29"/>
      <c r="C42" s="30" t="s">
        <v>87</v>
      </c>
      <c r="D42" s="29"/>
      <c r="E42" s="29"/>
      <c r="F42" s="35"/>
      <c r="G42" s="35"/>
      <c r="H42" s="31" t="str">
        <f>IFERROR(VLOOKUP(B42,'[1]Debt Holding Consolidated'!$C$1:$AM$65536,12,FALSE),"")</f>
        <v/>
      </c>
    </row>
    <row r="43" spans="1:8" x14ac:dyDescent="0.2">
      <c r="A43" s="29"/>
      <c r="B43" s="29"/>
      <c r="C43" s="30" t="s">
        <v>10</v>
      </c>
      <c r="D43" s="29"/>
      <c r="E43" s="29" t="s">
        <v>11</v>
      </c>
      <c r="F43" s="32" t="s">
        <v>12</v>
      </c>
      <c r="G43" s="33">
        <v>0</v>
      </c>
      <c r="H43" s="31" t="str">
        <f>IFERROR(VLOOKUP(B43,'[1]Debt Holding Consolidated'!$C$1:$AM$65536,12,FALSE),"")</f>
        <v/>
      </c>
    </row>
    <row r="44" spans="1:8" x14ac:dyDescent="0.2">
      <c r="A44" s="29"/>
      <c r="B44" s="29"/>
      <c r="C44" s="34"/>
      <c r="D44" s="29"/>
      <c r="E44" s="29"/>
      <c r="F44" s="35"/>
      <c r="G44" s="35"/>
      <c r="H44" s="31" t="str">
        <f>IFERROR(VLOOKUP(B44,'[1]Debt Holding Consolidated'!$C$1:$AM$65536,12,FALSE),"")</f>
        <v/>
      </c>
    </row>
    <row r="45" spans="1:8" x14ac:dyDescent="0.2">
      <c r="A45" s="29"/>
      <c r="B45" s="29"/>
      <c r="C45" s="30" t="s">
        <v>88</v>
      </c>
      <c r="D45" s="29"/>
      <c r="E45" s="29"/>
      <c r="F45" s="38">
        <v>42445.964999999997</v>
      </c>
      <c r="G45" s="33">
        <v>5.6089479999999997E-2</v>
      </c>
      <c r="H45" s="31" t="str">
        <f>IFERROR(VLOOKUP(B45,'[1]Debt Holding Consolidated'!$C$1:$AM$65536,12,FALSE),"")</f>
        <v/>
      </c>
    </row>
    <row r="46" spans="1:8" x14ac:dyDescent="0.2">
      <c r="A46" s="29"/>
      <c r="B46" s="29"/>
      <c r="C46" s="34"/>
      <c r="D46" s="29"/>
      <c r="E46" s="29"/>
      <c r="F46" s="35"/>
      <c r="G46" s="35"/>
      <c r="H46" s="31" t="str">
        <f>IFERROR(VLOOKUP(B46,'[1]Debt Holding Consolidated'!$C$1:$AM$65536,12,FALSE),"")</f>
        <v/>
      </c>
    </row>
    <row r="47" spans="1:8" x14ac:dyDescent="0.2">
      <c r="A47" s="29"/>
      <c r="B47" s="29"/>
      <c r="C47" s="30" t="s">
        <v>89</v>
      </c>
      <c r="D47" s="29"/>
      <c r="E47" s="29"/>
      <c r="F47" s="35"/>
      <c r="G47" s="35"/>
      <c r="H47" s="31" t="str">
        <f>IFERROR(VLOOKUP(B47,'[1]Debt Holding Consolidated'!$C$1:$AM$65536,12,FALSE),"")</f>
        <v/>
      </c>
    </row>
    <row r="48" spans="1:8" x14ac:dyDescent="0.2">
      <c r="A48" s="29"/>
      <c r="B48" s="29"/>
      <c r="C48" s="30" t="s">
        <v>90</v>
      </c>
      <c r="D48" s="29"/>
      <c r="E48" s="29"/>
      <c r="F48" s="35"/>
      <c r="G48" s="35"/>
      <c r="H48" s="31" t="str">
        <f>IFERROR(VLOOKUP(B48,'[1]Debt Holding Consolidated'!$C$1:$AM$65536,12,FALSE),"")</f>
        <v/>
      </c>
    </row>
    <row r="49" spans="1:8" x14ac:dyDescent="0.2">
      <c r="A49" s="39">
        <v>1</v>
      </c>
      <c r="B49" s="40" t="s">
        <v>268</v>
      </c>
      <c r="C49" s="40" t="s">
        <v>269</v>
      </c>
      <c r="D49" s="40" t="s">
        <v>152</v>
      </c>
      <c r="E49" s="41">
        <v>3000</v>
      </c>
      <c r="F49" s="42">
        <v>14944.32</v>
      </c>
      <c r="G49" s="43">
        <v>1.974791E-2</v>
      </c>
      <c r="H49" s="31">
        <f>IFERROR(VLOOKUP(B49,'[1]Debt Holding Consolidated'!$C$1:$AM$65536,12,FALSE),"")</f>
        <v>6.8002000000000002</v>
      </c>
    </row>
    <row r="50" spans="1:8" x14ac:dyDescent="0.2">
      <c r="A50" s="39">
        <v>2</v>
      </c>
      <c r="B50" s="40" t="s">
        <v>270</v>
      </c>
      <c r="C50" s="40" t="s">
        <v>271</v>
      </c>
      <c r="D50" s="40" t="s">
        <v>145</v>
      </c>
      <c r="E50" s="41">
        <v>3000</v>
      </c>
      <c r="F50" s="42">
        <v>14927.7</v>
      </c>
      <c r="G50" s="43">
        <v>1.9725949999999999E-2</v>
      </c>
      <c r="H50" s="31">
        <f>IFERROR(VLOOKUP(B50,'[1]Debt Holding Consolidated'!$C$1:$AM$65536,12,FALSE),"")</f>
        <v>6.7995000000000001</v>
      </c>
    </row>
    <row r="51" spans="1:8" x14ac:dyDescent="0.2">
      <c r="A51" s="39">
        <v>3</v>
      </c>
      <c r="B51" s="40" t="s">
        <v>272</v>
      </c>
      <c r="C51" s="40" t="s">
        <v>273</v>
      </c>
      <c r="D51" s="40" t="s">
        <v>152</v>
      </c>
      <c r="E51" s="41">
        <v>3000</v>
      </c>
      <c r="F51" s="42">
        <v>14886.3</v>
      </c>
      <c r="G51" s="43">
        <v>1.967124E-2</v>
      </c>
      <c r="H51" s="31">
        <f>IFERROR(VLOOKUP(B51,'[1]Debt Holding Consolidated'!$C$1:$AM$65536,12,FALSE),"")</f>
        <v>6.8</v>
      </c>
    </row>
    <row r="52" spans="1:8" x14ac:dyDescent="0.2">
      <c r="A52" s="39">
        <v>4</v>
      </c>
      <c r="B52" s="40" t="s">
        <v>274</v>
      </c>
      <c r="C52" s="40" t="s">
        <v>275</v>
      </c>
      <c r="D52" s="40" t="s">
        <v>145</v>
      </c>
      <c r="E52" s="41">
        <v>2000</v>
      </c>
      <c r="F52" s="42">
        <v>9957.33</v>
      </c>
      <c r="G52" s="43">
        <v>1.315794E-2</v>
      </c>
      <c r="H52" s="31">
        <f>IFERROR(VLOOKUP(B52,'[1]Debt Holding Consolidated'!$C$1:$AM$65536,12,FALSE),"")</f>
        <v>6.8000999999999996</v>
      </c>
    </row>
    <row r="53" spans="1:8" ht="25.5" x14ac:dyDescent="0.2">
      <c r="A53" s="39">
        <v>5</v>
      </c>
      <c r="B53" s="40" t="s">
        <v>276</v>
      </c>
      <c r="C53" s="40" t="s">
        <v>277</v>
      </c>
      <c r="D53" s="40" t="s">
        <v>145</v>
      </c>
      <c r="E53" s="41">
        <v>2000</v>
      </c>
      <c r="F53" s="42">
        <v>9953.61</v>
      </c>
      <c r="G53" s="43">
        <v>1.315302E-2</v>
      </c>
      <c r="H53" s="31">
        <f>IFERROR(VLOOKUP(B53,'[1]Debt Holding Consolidated'!$C$1:$AM$65536,12,FALSE),"")</f>
        <v>6.8048999999999999</v>
      </c>
    </row>
    <row r="54" spans="1:8" x14ac:dyDescent="0.2">
      <c r="A54" s="39">
        <v>6</v>
      </c>
      <c r="B54" s="40" t="s">
        <v>278</v>
      </c>
      <c r="C54" s="40" t="s">
        <v>279</v>
      </c>
      <c r="D54" s="40" t="s">
        <v>150</v>
      </c>
      <c r="E54" s="41">
        <v>2000</v>
      </c>
      <c r="F54" s="42">
        <v>9953.5400000000009</v>
      </c>
      <c r="G54" s="43">
        <v>1.315293E-2</v>
      </c>
      <c r="H54" s="31">
        <f>IFERROR(VLOOKUP(B54,'[1]Debt Holding Consolidated'!$C$1:$AM$65536,12,FALSE),"")</f>
        <v>6.8150000000000004</v>
      </c>
    </row>
    <row r="55" spans="1:8" x14ac:dyDescent="0.2">
      <c r="A55" s="39">
        <v>7</v>
      </c>
      <c r="B55" s="40" t="s">
        <v>280</v>
      </c>
      <c r="C55" s="40" t="s">
        <v>281</v>
      </c>
      <c r="D55" s="40" t="s">
        <v>145</v>
      </c>
      <c r="E55" s="41">
        <v>2000</v>
      </c>
      <c r="F55" s="42">
        <v>9930.99</v>
      </c>
      <c r="G55" s="43">
        <v>1.312313E-2</v>
      </c>
      <c r="H55" s="31">
        <f>IFERROR(VLOOKUP(B55,'[1]Debt Holding Consolidated'!$C$1:$AM$65536,12,FALSE),"")</f>
        <v>6.8552999999999997</v>
      </c>
    </row>
    <row r="56" spans="1:8" x14ac:dyDescent="0.2">
      <c r="A56" s="39">
        <v>8</v>
      </c>
      <c r="B56" s="40" t="s">
        <v>282</v>
      </c>
      <c r="C56" s="40" t="s">
        <v>283</v>
      </c>
      <c r="D56" s="40" t="s">
        <v>145</v>
      </c>
      <c r="E56" s="41">
        <v>2000</v>
      </c>
      <c r="F56" s="42">
        <v>9928.17</v>
      </c>
      <c r="G56" s="43">
        <v>1.311941E-2</v>
      </c>
      <c r="H56" s="31">
        <f>IFERROR(VLOOKUP(B56,'[1]Debt Holding Consolidated'!$C$1:$AM$65536,12,FALSE),"")</f>
        <v>6.95</v>
      </c>
    </row>
    <row r="57" spans="1:8" x14ac:dyDescent="0.2">
      <c r="A57" s="39">
        <v>9</v>
      </c>
      <c r="B57" s="40" t="s">
        <v>284</v>
      </c>
      <c r="C57" s="40" t="s">
        <v>285</v>
      </c>
      <c r="D57" s="40" t="s">
        <v>145</v>
      </c>
      <c r="E57" s="41">
        <v>2000</v>
      </c>
      <c r="F57" s="42">
        <v>9893.41</v>
      </c>
      <c r="G57" s="43">
        <v>1.307347E-2</v>
      </c>
      <c r="H57" s="31">
        <f>IFERROR(VLOOKUP(B57,'[1]Debt Holding Consolidated'!$C$1:$AM$65536,12,FALSE),"")</f>
        <v>7.1498999999999997</v>
      </c>
    </row>
    <row r="58" spans="1:8" x14ac:dyDescent="0.2">
      <c r="A58" s="39">
        <v>10</v>
      </c>
      <c r="B58" s="40" t="s">
        <v>286</v>
      </c>
      <c r="C58" s="40" t="s">
        <v>707</v>
      </c>
      <c r="D58" s="40" t="s">
        <v>145</v>
      </c>
      <c r="E58" s="41">
        <v>2000</v>
      </c>
      <c r="F58" s="42">
        <v>9882.08</v>
      </c>
      <c r="G58" s="43">
        <v>1.3058500000000001E-2</v>
      </c>
      <c r="H58" s="31">
        <f>IFERROR(VLOOKUP(B58,'[1]Debt Holding Consolidated'!$C$1:$AM$65536,12,FALSE),"")</f>
        <v>7.1401000000000003</v>
      </c>
    </row>
    <row r="59" spans="1:8" x14ac:dyDescent="0.2">
      <c r="A59" s="39">
        <v>11</v>
      </c>
      <c r="B59" s="40" t="s">
        <v>287</v>
      </c>
      <c r="C59" s="40" t="s">
        <v>708</v>
      </c>
      <c r="D59" s="40" t="s">
        <v>145</v>
      </c>
      <c r="E59" s="41">
        <v>2000</v>
      </c>
      <c r="F59" s="42">
        <v>9879.27</v>
      </c>
      <c r="G59" s="43">
        <v>1.305479E-2</v>
      </c>
      <c r="H59" s="31">
        <f>IFERROR(VLOOKUP(B59,'[1]Debt Holding Consolidated'!$C$1:$AM$65536,12,FALSE),"")</f>
        <v>7.1942000000000004</v>
      </c>
    </row>
    <row r="60" spans="1:8" x14ac:dyDescent="0.2">
      <c r="A60" s="39">
        <v>12</v>
      </c>
      <c r="B60" s="40" t="s">
        <v>288</v>
      </c>
      <c r="C60" s="40" t="s">
        <v>289</v>
      </c>
      <c r="D60" s="40" t="s">
        <v>145</v>
      </c>
      <c r="E60" s="41">
        <v>2000</v>
      </c>
      <c r="F60" s="42">
        <v>9847.81</v>
      </c>
      <c r="G60" s="43">
        <v>1.3013220000000001E-2</v>
      </c>
      <c r="H60" s="31">
        <f>IFERROR(VLOOKUP(B60,'[1]Debt Holding Consolidated'!$C$1:$AM$65536,12,FALSE),"")</f>
        <v>7.1401000000000003</v>
      </c>
    </row>
    <row r="61" spans="1:8" x14ac:dyDescent="0.2">
      <c r="A61" s="39">
        <v>13</v>
      </c>
      <c r="B61" s="40" t="s">
        <v>290</v>
      </c>
      <c r="C61" s="40" t="s">
        <v>709</v>
      </c>
      <c r="D61" s="40" t="s">
        <v>145</v>
      </c>
      <c r="E61" s="41">
        <v>2000</v>
      </c>
      <c r="F61" s="42">
        <v>9847.6</v>
      </c>
      <c r="G61" s="43">
        <v>1.3012940000000001E-2</v>
      </c>
      <c r="H61" s="31">
        <f>IFERROR(VLOOKUP(B61,'[1]Debt Holding Consolidated'!$C$1:$AM$65536,12,FALSE),"")</f>
        <v>7.1501000000000001</v>
      </c>
    </row>
    <row r="62" spans="1:8" x14ac:dyDescent="0.2">
      <c r="A62" s="39">
        <v>14</v>
      </c>
      <c r="B62" s="40" t="s">
        <v>291</v>
      </c>
      <c r="C62" s="40" t="s">
        <v>710</v>
      </c>
      <c r="D62" s="40" t="s">
        <v>145</v>
      </c>
      <c r="E62" s="41">
        <v>2000</v>
      </c>
      <c r="F62" s="42">
        <v>9844.33</v>
      </c>
      <c r="G62" s="43">
        <v>1.300862E-2</v>
      </c>
      <c r="H62" s="31">
        <f>IFERROR(VLOOKUP(B62,'[1]Debt Holding Consolidated'!$C$1:$AM$65536,12,FALSE),"")</f>
        <v>7.2149999999999999</v>
      </c>
    </row>
    <row r="63" spans="1:8" x14ac:dyDescent="0.2">
      <c r="A63" s="39">
        <v>15</v>
      </c>
      <c r="B63" s="40" t="s">
        <v>292</v>
      </c>
      <c r="C63" s="40" t="s">
        <v>711</v>
      </c>
      <c r="D63" s="40" t="s">
        <v>152</v>
      </c>
      <c r="E63" s="41">
        <v>2000</v>
      </c>
      <c r="F63" s="42">
        <v>9840.18</v>
      </c>
      <c r="G63" s="43">
        <v>1.300313E-2</v>
      </c>
      <c r="H63" s="31">
        <f>IFERROR(VLOOKUP(B63,'[1]Debt Holding Consolidated'!$C$1:$AM$65536,12,FALSE),"")</f>
        <v>7.1424000000000003</v>
      </c>
    </row>
    <row r="64" spans="1:8" x14ac:dyDescent="0.2">
      <c r="A64" s="39">
        <v>16</v>
      </c>
      <c r="B64" s="40" t="s">
        <v>293</v>
      </c>
      <c r="C64" s="40" t="s">
        <v>294</v>
      </c>
      <c r="D64" s="40" t="s">
        <v>145</v>
      </c>
      <c r="E64" s="41">
        <v>1500</v>
      </c>
      <c r="F64" s="42">
        <v>7467.7650000000003</v>
      </c>
      <c r="G64" s="43">
        <v>9.8681499999999991E-3</v>
      </c>
      <c r="H64" s="31">
        <f>IFERROR(VLOOKUP(B64,'[1]Debt Holding Consolidated'!$C$1:$AM$65536,12,FALSE),"")</f>
        <v>6.8506999999999998</v>
      </c>
    </row>
    <row r="65" spans="1:8" x14ac:dyDescent="0.2">
      <c r="A65" s="39">
        <v>17</v>
      </c>
      <c r="B65" s="40" t="s">
        <v>295</v>
      </c>
      <c r="C65" s="40" t="s">
        <v>296</v>
      </c>
      <c r="D65" s="40" t="s">
        <v>152</v>
      </c>
      <c r="E65" s="41">
        <v>1500</v>
      </c>
      <c r="F65" s="42">
        <v>7465.23</v>
      </c>
      <c r="G65" s="43">
        <v>9.8648E-3</v>
      </c>
      <c r="H65" s="31">
        <f>IFERROR(VLOOKUP(B65,'[1]Debt Holding Consolidated'!$C$1:$AM$65536,12,FALSE),"")</f>
        <v>6.8000999999999996</v>
      </c>
    </row>
    <row r="66" spans="1:8" x14ac:dyDescent="0.2">
      <c r="A66" s="39">
        <v>18</v>
      </c>
      <c r="B66" s="40" t="s">
        <v>297</v>
      </c>
      <c r="C66" s="40" t="s">
        <v>298</v>
      </c>
      <c r="D66" s="40" t="s">
        <v>145</v>
      </c>
      <c r="E66" s="41">
        <v>1500</v>
      </c>
      <c r="F66" s="42">
        <v>7463.85</v>
      </c>
      <c r="G66" s="43">
        <v>9.8629700000000004E-3</v>
      </c>
      <c r="H66" s="31">
        <f>IFERROR(VLOOKUP(B66,'[1]Debt Holding Consolidated'!$C$1:$AM$65536,12,FALSE),"")</f>
        <v>6.8000999999999996</v>
      </c>
    </row>
    <row r="67" spans="1:8" x14ac:dyDescent="0.2">
      <c r="A67" s="39">
        <v>19</v>
      </c>
      <c r="B67" s="40" t="s">
        <v>299</v>
      </c>
      <c r="C67" s="40" t="s">
        <v>300</v>
      </c>
      <c r="D67" s="40" t="s">
        <v>145</v>
      </c>
      <c r="E67" s="41">
        <v>1500</v>
      </c>
      <c r="F67" s="42">
        <v>7452.4125000000004</v>
      </c>
      <c r="G67" s="43">
        <v>9.8478599999999999E-3</v>
      </c>
      <c r="H67" s="31">
        <f>IFERROR(VLOOKUP(B67,'[1]Debt Holding Consolidated'!$C$1:$AM$65536,12,FALSE),"")</f>
        <v>6.8552999999999997</v>
      </c>
    </row>
    <row r="68" spans="1:8" x14ac:dyDescent="0.2">
      <c r="A68" s="39">
        <v>20</v>
      </c>
      <c r="B68" s="40" t="s">
        <v>301</v>
      </c>
      <c r="C68" s="40" t="s">
        <v>302</v>
      </c>
      <c r="D68" s="40" t="s">
        <v>145</v>
      </c>
      <c r="E68" s="41">
        <v>1000</v>
      </c>
      <c r="F68" s="42">
        <v>4995.375</v>
      </c>
      <c r="G68" s="43">
        <v>6.6010499999999998E-3</v>
      </c>
      <c r="H68" s="31">
        <f>IFERROR(VLOOKUP(B68,'[1]Debt Holding Consolidated'!$C$1:$AM$65536,12,FALSE),"")</f>
        <v>6.7613000000000003</v>
      </c>
    </row>
    <row r="69" spans="1:8" x14ac:dyDescent="0.2">
      <c r="A69" s="39">
        <v>21</v>
      </c>
      <c r="B69" s="40" t="s">
        <v>303</v>
      </c>
      <c r="C69" s="40" t="s">
        <v>304</v>
      </c>
      <c r="D69" s="40" t="s">
        <v>152</v>
      </c>
      <c r="E69" s="41">
        <v>1000</v>
      </c>
      <c r="F69" s="42">
        <v>4990.7049999999999</v>
      </c>
      <c r="G69" s="43">
        <v>6.59488E-3</v>
      </c>
      <c r="H69" s="31">
        <f>IFERROR(VLOOKUP(B69,'[1]Debt Holding Consolidated'!$C$1:$AM$65536,12,FALSE),"")</f>
        <v>6.7995999999999999</v>
      </c>
    </row>
    <row r="70" spans="1:8" x14ac:dyDescent="0.2">
      <c r="A70" s="39">
        <v>22</v>
      </c>
      <c r="B70" s="40" t="s">
        <v>305</v>
      </c>
      <c r="C70" s="40" t="s">
        <v>306</v>
      </c>
      <c r="D70" s="40" t="s">
        <v>145</v>
      </c>
      <c r="E70" s="41">
        <v>1000</v>
      </c>
      <c r="F70" s="42">
        <v>4982.3649999999998</v>
      </c>
      <c r="G70" s="43">
        <v>6.5838600000000004E-3</v>
      </c>
      <c r="H70" s="31">
        <f>IFERROR(VLOOKUP(B70,'[1]Debt Holding Consolidated'!$C$1:$AM$65536,12,FALSE),"")</f>
        <v>6.8</v>
      </c>
    </row>
    <row r="71" spans="1:8" x14ac:dyDescent="0.2">
      <c r="A71" s="39">
        <v>23</v>
      </c>
      <c r="B71" s="40" t="s">
        <v>307</v>
      </c>
      <c r="C71" s="40" t="s">
        <v>308</v>
      </c>
      <c r="D71" s="40" t="s">
        <v>150</v>
      </c>
      <c r="E71" s="41">
        <v>1000</v>
      </c>
      <c r="F71" s="42">
        <v>4981.5200000000004</v>
      </c>
      <c r="G71" s="43">
        <v>6.5827400000000001E-3</v>
      </c>
      <c r="H71" s="31">
        <f>IFERROR(VLOOKUP(B71,'[1]Debt Holding Consolidated'!$C$1:$AM$65536,12,FALSE),"")</f>
        <v>6.7701000000000002</v>
      </c>
    </row>
    <row r="72" spans="1:8" x14ac:dyDescent="0.2">
      <c r="A72" s="39">
        <v>24</v>
      </c>
      <c r="B72" s="40" t="s">
        <v>309</v>
      </c>
      <c r="C72" s="40" t="s">
        <v>712</v>
      </c>
      <c r="D72" s="40" t="s">
        <v>150</v>
      </c>
      <c r="E72" s="41">
        <v>1000</v>
      </c>
      <c r="F72" s="42">
        <v>4977.6949999999997</v>
      </c>
      <c r="G72" s="43">
        <v>6.5776899999999998E-3</v>
      </c>
      <c r="H72" s="31">
        <f>IFERROR(VLOOKUP(B72,'[1]Debt Holding Consolidated'!$C$1:$AM$65536,12,FALSE),"")</f>
        <v>6.8150000000000004</v>
      </c>
    </row>
    <row r="73" spans="1:8" x14ac:dyDescent="0.2">
      <c r="A73" s="39">
        <v>25</v>
      </c>
      <c r="B73" s="40" t="s">
        <v>310</v>
      </c>
      <c r="C73" s="40" t="s">
        <v>311</v>
      </c>
      <c r="D73" s="40" t="s">
        <v>145</v>
      </c>
      <c r="E73" s="41">
        <v>1000</v>
      </c>
      <c r="F73" s="42">
        <v>4975.5450000000001</v>
      </c>
      <c r="G73" s="43">
        <v>6.5748500000000001E-3</v>
      </c>
      <c r="H73" s="31">
        <f>IFERROR(VLOOKUP(B73,'[1]Debt Holding Consolidated'!$C$1:$AM$65536,12,FALSE),"")</f>
        <v>6.9001999999999999</v>
      </c>
    </row>
    <row r="74" spans="1:8" x14ac:dyDescent="0.2">
      <c r="A74" s="39">
        <v>26</v>
      </c>
      <c r="B74" s="40" t="s">
        <v>312</v>
      </c>
      <c r="C74" s="40" t="s">
        <v>313</v>
      </c>
      <c r="D74" s="40" t="s">
        <v>145</v>
      </c>
      <c r="E74" s="41">
        <v>1000</v>
      </c>
      <c r="F74" s="42">
        <v>4974.9750000000004</v>
      </c>
      <c r="G74" s="43">
        <v>6.5740900000000003E-3</v>
      </c>
      <c r="H74" s="31">
        <f>IFERROR(VLOOKUP(B74,'[1]Debt Holding Consolidated'!$C$1:$AM$65536,12,FALSE),"")</f>
        <v>6.8000999999999996</v>
      </c>
    </row>
    <row r="75" spans="1:8" x14ac:dyDescent="0.2">
      <c r="A75" s="39">
        <v>27</v>
      </c>
      <c r="B75" s="40" t="s">
        <v>314</v>
      </c>
      <c r="C75" s="40" t="s">
        <v>315</v>
      </c>
      <c r="D75" s="40" t="s">
        <v>145</v>
      </c>
      <c r="E75" s="41">
        <v>1000</v>
      </c>
      <c r="F75" s="42">
        <v>4972.03</v>
      </c>
      <c r="G75" s="43">
        <v>6.5702E-3</v>
      </c>
      <c r="H75" s="31">
        <f>IFERROR(VLOOKUP(B75,'[1]Debt Holding Consolidated'!$C$1:$AM$65536,12,FALSE),"")</f>
        <v>6.8451000000000004</v>
      </c>
    </row>
    <row r="76" spans="1:8" x14ac:dyDescent="0.2">
      <c r="A76" s="39">
        <v>28</v>
      </c>
      <c r="B76" s="40" t="s">
        <v>316</v>
      </c>
      <c r="C76" s="40" t="s">
        <v>317</v>
      </c>
      <c r="D76" s="40" t="s">
        <v>145</v>
      </c>
      <c r="E76" s="41">
        <v>1000</v>
      </c>
      <c r="F76" s="42">
        <v>4964.4449999999997</v>
      </c>
      <c r="G76" s="43">
        <v>6.5601799999999997E-3</v>
      </c>
      <c r="H76" s="31">
        <f>IFERROR(VLOOKUP(B76,'[1]Debt Holding Consolidated'!$C$1:$AM$65536,12,FALSE),"")</f>
        <v>6.8799000000000001</v>
      </c>
    </row>
    <row r="77" spans="1:8" x14ac:dyDescent="0.2">
      <c r="A77" s="39">
        <v>29</v>
      </c>
      <c r="B77" s="40" t="s">
        <v>318</v>
      </c>
      <c r="C77" s="40" t="s">
        <v>319</v>
      </c>
      <c r="D77" s="40" t="s">
        <v>145</v>
      </c>
      <c r="E77" s="41">
        <v>1000</v>
      </c>
      <c r="F77" s="42">
        <v>4962.7749999999996</v>
      </c>
      <c r="G77" s="43">
        <v>6.5579699999999998E-3</v>
      </c>
      <c r="H77" s="31">
        <f>IFERROR(VLOOKUP(B77,'[1]Debt Holding Consolidated'!$C$1:$AM$65536,12,FALSE),"")</f>
        <v>6.8451000000000004</v>
      </c>
    </row>
    <row r="78" spans="1:8" x14ac:dyDescent="0.2">
      <c r="A78" s="39">
        <v>30</v>
      </c>
      <c r="B78" s="40" t="s">
        <v>320</v>
      </c>
      <c r="C78" s="40" t="s">
        <v>321</v>
      </c>
      <c r="D78" s="40" t="s">
        <v>145</v>
      </c>
      <c r="E78" s="41">
        <v>1000</v>
      </c>
      <c r="F78" s="42">
        <v>4961.71</v>
      </c>
      <c r="G78" s="43">
        <v>6.5565700000000003E-3</v>
      </c>
      <c r="H78" s="31">
        <f>IFERROR(VLOOKUP(B78,'[1]Debt Holding Consolidated'!$C$1:$AM$65536,12,FALSE),"")</f>
        <v>6.8703000000000003</v>
      </c>
    </row>
    <row r="79" spans="1:8" ht="25.5" x14ac:dyDescent="0.2">
      <c r="A79" s="39">
        <v>31</v>
      </c>
      <c r="B79" s="40" t="s">
        <v>322</v>
      </c>
      <c r="C79" s="40" t="s">
        <v>323</v>
      </c>
      <c r="D79" s="40" t="s">
        <v>145</v>
      </c>
      <c r="E79" s="41">
        <v>1000</v>
      </c>
      <c r="F79" s="42">
        <v>4946.63</v>
      </c>
      <c r="G79" s="43">
        <v>6.5366399999999998E-3</v>
      </c>
      <c r="H79" s="31">
        <f>IFERROR(VLOOKUP(B79,'[1]Debt Holding Consolidated'!$C$1:$AM$65536,12,FALSE),"")</f>
        <v>7.1600999999999999</v>
      </c>
    </row>
    <row r="80" spans="1:8" x14ac:dyDescent="0.2">
      <c r="A80" s="39">
        <v>32</v>
      </c>
      <c r="B80" s="40" t="s">
        <v>324</v>
      </c>
      <c r="C80" s="40" t="s">
        <v>713</v>
      </c>
      <c r="D80" s="40" t="s">
        <v>152</v>
      </c>
      <c r="E80" s="41">
        <v>1000</v>
      </c>
      <c r="F80" s="42">
        <v>4922.9350000000004</v>
      </c>
      <c r="G80" s="43">
        <v>6.5053300000000001E-3</v>
      </c>
      <c r="H80" s="31">
        <f>IFERROR(VLOOKUP(B80,'[1]Debt Holding Consolidated'!$C$1:$AM$65536,12,FALSE),"")</f>
        <v>7.1424000000000003</v>
      </c>
    </row>
    <row r="81" spans="1:10" x14ac:dyDescent="0.2">
      <c r="A81" s="39">
        <v>33</v>
      </c>
      <c r="B81" s="40" t="s">
        <v>325</v>
      </c>
      <c r="C81" s="40" t="s">
        <v>714</v>
      </c>
      <c r="D81" s="40" t="s">
        <v>145</v>
      </c>
      <c r="E81" s="41">
        <v>1000</v>
      </c>
      <c r="F81" s="42">
        <v>4921.9549999999999</v>
      </c>
      <c r="G81" s="43">
        <v>6.5040300000000001E-3</v>
      </c>
      <c r="H81" s="31">
        <f>IFERROR(VLOOKUP(B81,'[1]Debt Holding Consolidated'!$C$1:$AM$65536,12,FALSE),"")</f>
        <v>7.1451000000000002</v>
      </c>
    </row>
    <row r="82" spans="1:10" x14ac:dyDescent="0.2">
      <c r="A82" s="39">
        <v>34</v>
      </c>
      <c r="B82" s="40" t="s">
        <v>326</v>
      </c>
      <c r="C82" s="40" t="s">
        <v>715</v>
      </c>
      <c r="D82" s="40" t="s">
        <v>145</v>
      </c>
      <c r="E82" s="41">
        <v>1000</v>
      </c>
      <c r="F82" s="42">
        <v>4916.0450000000001</v>
      </c>
      <c r="G82" s="43">
        <v>6.4962199999999996E-3</v>
      </c>
      <c r="H82" s="31">
        <f>IFERROR(VLOOKUP(B82,'[1]Debt Holding Consolidated'!$C$1:$AM$65536,12,FALSE),"")</f>
        <v>7.1650999999999998</v>
      </c>
    </row>
    <row r="83" spans="1:10" x14ac:dyDescent="0.2">
      <c r="A83" s="39">
        <v>35</v>
      </c>
      <c r="B83" s="40" t="s">
        <v>327</v>
      </c>
      <c r="C83" s="40" t="s">
        <v>716</v>
      </c>
      <c r="D83" s="40" t="s">
        <v>145</v>
      </c>
      <c r="E83" s="41">
        <v>500</v>
      </c>
      <c r="F83" s="42">
        <v>2495.3825000000002</v>
      </c>
      <c r="G83" s="43">
        <v>3.2974800000000002E-3</v>
      </c>
      <c r="H83" s="31">
        <f>IFERROR(VLOOKUP(B83,'[1]Debt Holding Consolidated'!$C$1:$AM$65536,12,FALSE),"")</f>
        <v>6.7549999999999999</v>
      </c>
    </row>
    <row r="84" spans="1:10" x14ac:dyDescent="0.2">
      <c r="A84" s="39">
        <v>36</v>
      </c>
      <c r="B84" s="40" t="s">
        <v>328</v>
      </c>
      <c r="C84" s="40" t="s">
        <v>329</v>
      </c>
      <c r="D84" s="40" t="s">
        <v>145</v>
      </c>
      <c r="E84" s="41">
        <v>500</v>
      </c>
      <c r="F84" s="42">
        <v>2484.1624999999999</v>
      </c>
      <c r="G84" s="43">
        <v>3.2826499999999998E-3</v>
      </c>
      <c r="H84" s="31">
        <f>IFERROR(VLOOKUP(B84,'[1]Debt Holding Consolidated'!$C$1:$AM$65536,12,FALSE),"")</f>
        <v>6.8449999999999998</v>
      </c>
      <c r="J84"/>
    </row>
    <row r="85" spans="1:10" x14ac:dyDescent="0.2">
      <c r="A85" s="39">
        <v>37</v>
      </c>
      <c r="B85" s="40" t="s">
        <v>330</v>
      </c>
      <c r="C85" s="40" t="s">
        <v>331</v>
      </c>
      <c r="D85" s="40" t="s">
        <v>145</v>
      </c>
      <c r="E85" s="41">
        <v>500</v>
      </c>
      <c r="F85" s="42">
        <v>2481.2925</v>
      </c>
      <c r="G85" s="43">
        <v>3.2788600000000002E-3</v>
      </c>
      <c r="H85" s="31">
        <f>IFERROR(VLOOKUP(B85,'[1]Debt Holding Consolidated'!$C$1:$AM$65536,12,FALSE),"")</f>
        <v>6.8799000000000001</v>
      </c>
      <c r="J85"/>
    </row>
    <row r="86" spans="1:10" ht="25.5" x14ac:dyDescent="0.2">
      <c r="A86" s="39">
        <v>38</v>
      </c>
      <c r="B86" s="40" t="s">
        <v>332</v>
      </c>
      <c r="C86" s="40" t="s">
        <v>717</v>
      </c>
      <c r="D86" s="40" t="s">
        <v>145</v>
      </c>
      <c r="E86" s="41">
        <v>500</v>
      </c>
      <c r="F86" s="42">
        <v>2469.96</v>
      </c>
      <c r="G86" s="43">
        <v>3.2638900000000002E-3</v>
      </c>
      <c r="H86" s="31">
        <f>IFERROR(VLOOKUP(B86,'[1]Debt Holding Consolidated'!$C$1:$AM$65536,12,FALSE),"")</f>
        <v>7.16</v>
      </c>
      <c r="J86"/>
    </row>
    <row r="87" spans="1:10" x14ac:dyDescent="0.2">
      <c r="A87" s="29"/>
      <c r="B87" s="29"/>
      <c r="C87" s="30" t="s">
        <v>10</v>
      </c>
      <c r="D87" s="29"/>
      <c r="E87" s="29" t="s">
        <v>11</v>
      </c>
      <c r="F87" s="38">
        <v>277743.40000000002</v>
      </c>
      <c r="G87" s="33">
        <v>0.36701916000000001</v>
      </c>
      <c r="H87" s="31" t="str">
        <f>IFERROR(VLOOKUP(B87,'[1]Debt Holding Consolidated'!$C$1:$AM$65536,12,FALSE),"")</f>
        <v/>
      </c>
      <c r="J87"/>
    </row>
    <row r="88" spans="1:10" x14ac:dyDescent="0.2">
      <c r="A88" s="29"/>
      <c r="B88" s="29"/>
      <c r="C88" s="34"/>
      <c r="D88" s="29"/>
      <c r="E88" s="29"/>
      <c r="F88" s="35"/>
      <c r="G88" s="35"/>
      <c r="H88" s="31" t="str">
        <f>IFERROR(VLOOKUP(B88,'[1]Debt Holding Consolidated'!$C$1:$AM$65536,12,FALSE),"")</f>
        <v/>
      </c>
      <c r="J88"/>
    </row>
    <row r="89" spans="1:10" x14ac:dyDescent="0.2">
      <c r="A89" s="29"/>
      <c r="B89" s="29"/>
      <c r="C89" s="30" t="s">
        <v>91</v>
      </c>
      <c r="D89" s="29"/>
      <c r="E89" s="29"/>
      <c r="F89" s="35"/>
      <c r="G89" s="35"/>
      <c r="H89" s="31" t="str">
        <f>IFERROR(VLOOKUP(B89,'[1]Debt Holding Consolidated'!$C$1:$AM$65536,12,FALSE),"")</f>
        <v/>
      </c>
      <c r="J89"/>
    </row>
    <row r="90" spans="1:10" ht="25.5" x14ac:dyDescent="0.2">
      <c r="A90" s="39">
        <v>1</v>
      </c>
      <c r="B90" s="40" t="s">
        <v>333</v>
      </c>
      <c r="C90" s="40" t="s">
        <v>334</v>
      </c>
      <c r="D90" s="40" t="s">
        <v>145</v>
      </c>
      <c r="E90" s="41">
        <v>2500</v>
      </c>
      <c r="F90" s="42">
        <v>12437.174999999999</v>
      </c>
      <c r="G90" s="43">
        <v>1.6434890000000001E-2</v>
      </c>
      <c r="H90" s="31">
        <f>IFERROR(VLOOKUP(B90,'[1]Debt Holding Consolidated'!$C$1:$AM$65536,12,FALSE),"")</f>
        <v>6.8299000000000003</v>
      </c>
      <c r="J90"/>
    </row>
    <row r="91" spans="1:10" ht="25.5" x14ac:dyDescent="0.2">
      <c r="A91" s="39">
        <v>2</v>
      </c>
      <c r="B91" s="40" t="s">
        <v>335</v>
      </c>
      <c r="C91" s="40" t="s">
        <v>718</v>
      </c>
      <c r="D91" s="40" t="s">
        <v>145</v>
      </c>
      <c r="E91" s="41">
        <v>2500</v>
      </c>
      <c r="F91" s="42">
        <v>12346.237499999999</v>
      </c>
      <c r="G91" s="43">
        <v>1.6314720000000001E-2</v>
      </c>
      <c r="H91" s="31">
        <f>IFERROR(VLOOKUP(B91,'[1]Debt Holding Consolidated'!$C$1:$AM$65536,12,FALSE),"")</f>
        <v>7.7050000000000001</v>
      </c>
      <c r="J91"/>
    </row>
    <row r="92" spans="1:10" x14ac:dyDescent="0.2">
      <c r="A92" s="39">
        <v>3</v>
      </c>
      <c r="B92" s="40" t="s">
        <v>336</v>
      </c>
      <c r="C92" s="40" t="s">
        <v>719</v>
      </c>
      <c r="D92" s="40" t="s">
        <v>145</v>
      </c>
      <c r="E92" s="41">
        <v>2500</v>
      </c>
      <c r="F92" s="42">
        <v>12280.2875</v>
      </c>
      <c r="G92" s="43">
        <v>1.622757E-2</v>
      </c>
      <c r="H92" s="31">
        <f>IFERROR(VLOOKUP(B92,'[1]Debt Holding Consolidated'!$C$1:$AM$65536,12,FALSE),"")</f>
        <v>7.5060000000000002</v>
      </c>
      <c r="J92"/>
    </row>
    <row r="93" spans="1:10" x14ac:dyDescent="0.2">
      <c r="A93" s="39">
        <v>4</v>
      </c>
      <c r="B93" s="40" t="s">
        <v>337</v>
      </c>
      <c r="C93" s="40" t="s">
        <v>338</v>
      </c>
      <c r="D93" s="40" t="s">
        <v>145</v>
      </c>
      <c r="E93" s="41">
        <v>2000</v>
      </c>
      <c r="F93" s="42">
        <v>9988.42</v>
      </c>
      <c r="G93" s="43">
        <v>1.3199020000000001E-2</v>
      </c>
      <c r="H93" s="31">
        <f>IFERROR(VLOOKUP(B93,'[1]Debt Holding Consolidated'!$C$1:$AM$65536,12,FALSE),"")</f>
        <v>7.05</v>
      </c>
      <c r="J93"/>
    </row>
    <row r="94" spans="1:10" x14ac:dyDescent="0.2">
      <c r="A94" s="39">
        <v>5</v>
      </c>
      <c r="B94" s="40" t="s">
        <v>339</v>
      </c>
      <c r="C94" s="40" t="s">
        <v>340</v>
      </c>
      <c r="D94" s="40" t="s">
        <v>150</v>
      </c>
      <c r="E94" s="41">
        <v>2000</v>
      </c>
      <c r="F94" s="42">
        <v>9955.99</v>
      </c>
      <c r="G94" s="43">
        <v>1.315617E-2</v>
      </c>
      <c r="H94" s="31">
        <f>IFERROR(VLOOKUP(B94,'[1]Debt Holding Consolidated'!$C$1:$AM$65536,12,FALSE),"")</f>
        <v>7.0149999999999997</v>
      </c>
      <c r="J94"/>
    </row>
    <row r="95" spans="1:10" ht="25.5" x14ac:dyDescent="0.2">
      <c r="A95" s="39">
        <v>6</v>
      </c>
      <c r="B95" s="40" t="s">
        <v>341</v>
      </c>
      <c r="C95" s="40" t="s">
        <v>342</v>
      </c>
      <c r="D95" s="40" t="s">
        <v>145</v>
      </c>
      <c r="E95" s="41">
        <v>2000</v>
      </c>
      <c r="F95" s="42">
        <v>9949.58</v>
      </c>
      <c r="G95" s="43">
        <v>1.31477E-2</v>
      </c>
      <c r="H95" s="31">
        <f>IFERROR(VLOOKUP(B95,'[1]Debt Holding Consolidated'!$C$1:$AM$65536,12,FALSE),"")</f>
        <v>7.1150000000000002</v>
      </c>
      <c r="J95"/>
    </row>
    <row r="96" spans="1:10" ht="25.5" x14ac:dyDescent="0.2">
      <c r="A96" s="39">
        <v>7</v>
      </c>
      <c r="B96" s="40" t="s">
        <v>343</v>
      </c>
      <c r="C96" s="40" t="s">
        <v>344</v>
      </c>
      <c r="D96" s="40" t="s">
        <v>145</v>
      </c>
      <c r="E96" s="41">
        <v>2000</v>
      </c>
      <c r="F96" s="42">
        <v>9948.4500000000007</v>
      </c>
      <c r="G96" s="43">
        <v>1.314621E-2</v>
      </c>
      <c r="H96" s="31">
        <f>IFERROR(VLOOKUP(B96,'[1]Debt Holding Consolidated'!$C$1:$AM$65536,12,FALSE),"")</f>
        <v>7.5655000000000001</v>
      </c>
      <c r="J96"/>
    </row>
    <row r="97" spans="1:10" x14ac:dyDescent="0.2">
      <c r="A97" s="39">
        <v>8</v>
      </c>
      <c r="B97" s="40" t="s">
        <v>345</v>
      </c>
      <c r="C97" s="40" t="s">
        <v>346</v>
      </c>
      <c r="D97" s="40" t="s">
        <v>152</v>
      </c>
      <c r="E97" s="41">
        <v>2000</v>
      </c>
      <c r="F97" s="42">
        <v>9946.65</v>
      </c>
      <c r="G97" s="43">
        <v>1.314383E-2</v>
      </c>
      <c r="H97" s="31">
        <f>IFERROR(VLOOKUP(B97,'[1]Debt Holding Consolidated'!$C$1:$AM$65536,12,FALSE),"")</f>
        <v>7.53</v>
      </c>
      <c r="J97"/>
    </row>
    <row r="98" spans="1:10" x14ac:dyDescent="0.2">
      <c r="A98" s="39">
        <v>9</v>
      </c>
      <c r="B98" s="40" t="s">
        <v>347</v>
      </c>
      <c r="C98" s="40" t="s">
        <v>348</v>
      </c>
      <c r="D98" s="40" t="s">
        <v>145</v>
      </c>
      <c r="E98" s="41">
        <v>2000</v>
      </c>
      <c r="F98" s="42">
        <v>9946.65</v>
      </c>
      <c r="G98" s="43">
        <v>1.314383E-2</v>
      </c>
      <c r="H98" s="31">
        <f>IFERROR(VLOOKUP(B98,'[1]Debt Holding Consolidated'!$C$1:$AM$65536,12,FALSE),"")</f>
        <v>7.53</v>
      </c>
    </row>
    <row r="99" spans="1:10" x14ac:dyDescent="0.2">
      <c r="A99" s="39">
        <v>10</v>
      </c>
      <c r="B99" s="40" t="s">
        <v>349</v>
      </c>
      <c r="C99" s="40" t="s">
        <v>350</v>
      </c>
      <c r="D99" s="40" t="s">
        <v>145</v>
      </c>
      <c r="E99" s="41">
        <v>2000</v>
      </c>
      <c r="F99" s="42">
        <v>9940.06</v>
      </c>
      <c r="G99" s="43">
        <v>1.313512E-2</v>
      </c>
      <c r="H99" s="31">
        <f>IFERROR(VLOOKUP(B99,'[1]Debt Holding Consolidated'!$C$1:$AM$65536,12,FALSE),"")</f>
        <v>7.1</v>
      </c>
    </row>
    <row r="100" spans="1:10" x14ac:dyDescent="0.2">
      <c r="A100" s="39">
        <v>11</v>
      </c>
      <c r="B100" s="40" t="s">
        <v>351</v>
      </c>
      <c r="C100" s="40" t="s">
        <v>352</v>
      </c>
      <c r="D100" s="40" t="s">
        <v>145</v>
      </c>
      <c r="E100" s="41">
        <v>2000</v>
      </c>
      <c r="F100" s="42">
        <v>9924.16</v>
      </c>
      <c r="G100" s="43">
        <v>1.311411E-2</v>
      </c>
      <c r="H100" s="31">
        <f>IFERROR(VLOOKUP(B100,'[1]Debt Holding Consolidated'!$C$1:$AM$65536,12,FALSE),"")</f>
        <v>7.34</v>
      </c>
    </row>
    <row r="101" spans="1:10" x14ac:dyDescent="0.2">
      <c r="A101" s="39">
        <v>12</v>
      </c>
      <c r="B101" s="40" t="s">
        <v>353</v>
      </c>
      <c r="C101" s="40" t="s">
        <v>354</v>
      </c>
      <c r="D101" s="40" t="s">
        <v>145</v>
      </c>
      <c r="E101" s="41">
        <v>2000</v>
      </c>
      <c r="F101" s="42">
        <v>9916.74</v>
      </c>
      <c r="G101" s="43">
        <v>1.3104299999999999E-2</v>
      </c>
      <c r="H101" s="31">
        <f>IFERROR(VLOOKUP(B101,'[1]Debt Holding Consolidated'!$C$1:$AM$65536,12,FALSE),"")</f>
        <v>7.4745999999999997</v>
      </c>
      <c r="J101"/>
    </row>
    <row r="102" spans="1:10" x14ac:dyDescent="0.2">
      <c r="A102" s="39">
        <v>13</v>
      </c>
      <c r="B102" s="40" t="s">
        <v>355</v>
      </c>
      <c r="C102" s="40" t="s">
        <v>720</v>
      </c>
      <c r="D102" s="40" t="s">
        <v>145</v>
      </c>
      <c r="E102" s="41">
        <v>2000</v>
      </c>
      <c r="F102" s="42">
        <v>9866.5499999999993</v>
      </c>
      <c r="G102" s="43">
        <v>1.3037979999999999E-2</v>
      </c>
      <c r="H102" s="31">
        <f>IFERROR(VLOOKUP(B102,'[1]Debt Holding Consolidated'!$C$1:$AM$65536,12,FALSE),"")</f>
        <v>7.1550000000000002</v>
      </c>
      <c r="J102"/>
    </row>
    <row r="103" spans="1:10" x14ac:dyDescent="0.2">
      <c r="A103" s="39">
        <v>14</v>
      </c>
      <c r="B103" s="40" t="s">
        <v>195</v>
      </c>
      <c r="C103" s="40" t="s">
        <v>196</v>
      </c>
      <c r="D103" s="40" t="s">
        <v>145</v>
      </c>
      <c r="E103" s="41">
        <v>1900</v>
      </c>
      <c r="F103" s="42">
        <v>9483.8690000000006</v>
      </c>
      <c r="G103" s="43">
        <v>1.253229E-2</v>
      </c>
      <c r="H103" s="31">
        <f>IFERROR(VLOOKUP(B103,'[1]Debt Holding Consolidated'!$C$1:$AM$65536,12,FALSE),"")</f>
        <v>6.8994999999999997</v>
      </c>
      <c r="J103"/>
    </row>
    <row r="104" spans="1:10" ht="25.5" x14ac:dyDescent="0.2">
      <c r="A104" s="39">
        <v>15</v>
      </c>
      <c r="B104" s="40" t="s">
        <v>356</v>
      </c>
      <c r="C104" s="40" t="s">
        <v>357</v>
      </c>
      <c r="D104" s="40" t="s">
        <v>150</v>
      </c>
      <c r="E104" s="41">
        <v>1500</v>
      </c>
      <c r="F104" s="42">
        <v>7495.7174999999997</v>
      </c>
      <c r="G104" s="43">
        <v>9.9050800000000001E-3</v>
      </c>
      <c r="H104" s="31">
        <f>IFERROR(VLOOKUP(B104,'[1]Debt Holding Consolidated'!$C$1:$AM$65536,12,FALSE),"")</f>
        <v>6.95</v>
      </c>
      <c r="J104"/>
    </row>
    <row r="105" spans="1:10" ht="25.5" x14ac:dyDescent="0.2">
      <c r="A105" s="39">
        <v>16</v>
      </c>
      <c r="B105" s="40" t="s">
        <v>358</v>
      </c>
      <c r="C105" s="40" t="s">
        <v>359</v>
      </c>
      <c r="D105" s="40" t="s">
        <v>145</v>
      </c>
      <c r="E105" s="41">
        <v>1500</v>
      </c>
      <c r="F105" s="42">
        <v>7483.11</v>
      </c>
      <c r="G105" s="43">
        <v>9.8884200000000002E-3</v>
      </c>
      <c r="H105" s="31">
        <f>IFERROR(VLOOKUP(B105,'[1]Debt Holding Consolidated'!$C$1:$AM$65536,12,FALSE),"")</f>
        <v>7.49</v>
      </c>
      <c r="J105"/>
    </row>
    <row r="106" spans="1:10" x14ac:dyDescent="0.2">
      <c r="A106" s="39">
        <v>17</v>
      </c>
      <c r="B106" s="40" t="s">
        <v>360</v>
      </c>
      <c r="C106" s="40" t="s">
        <v>361</v>
      </c>
      <c r="D106" s="40" t="s">
        <v>145</v>
      </c>
      <c r="E106" s="41">
        <v>1500</v>
      </c>
      <c r="F106" s="42">
        <v>7474.3050000000003</v>
      </c>
      <c r="G106" s="43">
        <v>9.8767899999999999E-3</v>
      </c>
      <c r="H106" s="31">
        <f>IFERROR(VLOOKUP(B106,'[1]Debt Holding Consolidated'!$C$1:$AM$65536,12,FALSE),"")</f>
        <v>7.3804999999999996</v>
      </c>
      <c r="J106"/>
    </row>
    <row r="107" spans="1:10" x14ac:dyDescent="0.2">
      <c r="A107" s="39">
        <v>18</v>
      </c>
      <c r="B107" s="40" t="s">
        <v>362</v>
      </c>
      <c r="C107" s="40" t="s">
        <v>363</v>
      </c>
      <c r="D107" s="40" t="s">
        <v>145</v>
      </c>
      <c r="E107" s="41">
        <v>1500</v>
      </c>
      <c r="F107" s="42">
        <v>7461.3149999999996</v>
      </c>
      <c r="G107" s="43">
        <v>9.8596199999999995E-3</v>
      </c>
      <c r="H107" s="31">
        <f>IFERROR(VLOOKUP(B107,'[1]Debt Holding Consolidated'!$C$1:$AM$65536,12,FALSE),"")</f>
        <v>7.01</v>
      </c>
      <c r="J107"/>
    </row>
    <row r="108" spans="1:10" ht="25.5" x14ac:dyDescent="0.2">
      <c r="A108" s="39">
        <v>19</v>
      </c>
      <c r="B108" s="40" t="s">
        <v>364</v>
      </c>
      <c r="C108" s="40" t="s">
        <v>365</v>
      </c>
      <c r="D108" s="40" t="s">
        <v>145</v>
      </c>
      <c r="E108" s="41">
        <v>1500</v>
      </c>
      <c r="F108" s="42">
        <v>7431.87</v>
      </c>
      <c r="G108" s="43">
        <v>9.8207099999999999E-3</v>
      </c>
      <c r="H108" s="31">
        <f>IFERROR(VLOOKUP(B108,'[1]Debt Holding Consolidated'!$C$1:$AM$65536,12,FALSE),"")</f>
        <v>7.6050000000000004</v>
      </c>
      <c r="J108"/>
    </row>
    <row r="109" spans="1:10" ht="25.5" x14ac:dyDescent="0.2">
      <c r="A109" s="39">
        <v>20</v>
      </c>
      <c r="B109" s="40" t="s">
        <v>366</v>
      </c>
      <c r="C109" s="40" t="s">
        <v>721</v>
      </c>
      <c r="D109" s="40" t="s">
        <v>145</v>
      </c>
      <c r="E109" s="41">
        <v>1500</v>
      </c>
      <c r="F109" s="42">
        <v>7386.93</v>
      </c>
      <c r="G109" s="43">
        <v>9.7613300000000004E-3</v>
      </c>
      <c r="H109" s="31">
        <f>IFERROR(VLOOKUP(B109,'[1]Debt Holding Consolidated'!$C$1:$AM$65536,12,FALSE),"")</f>
        <v>7.55</v>
      </c>
    </row>
    <row r="110" spans="1:10" x14ac:dyDescent="0.2">
      <c r="A110" s="39">
        <v>21</v>
      </c>
      <c r="B110" s="40" t="s">
        <v>367</v>
      </c>
      <c r="C110" s="40" t="s">
        <v>368</v>
      </c>
      <c r="D110" s="40" t="s">
        <v>145</v>
      </c>
      <c r="E110" s="41">
        <v>1000</v>
      </c>
      <c r="F110" s="42">
        <v>4990.41</v>
      </c>
      <c r="G110" s="43">
        <v>6.5944899999999997E-3</v>
      </c>
      <c r="H110" s="31">
        <f>IFERROR(VLOOKUP(B110,'[1]Debt Holding Consolidated'!$C$1:$AM$65536,12,FALSE),"")</f>
        <v>7.0149999999999997</v>
      </c>
    </row>
    <row r="111" spans="1:10" x14ac:dyDescent="0.2">
      <c r="A111" s="39">
        <v>22</v>
      </c>
      <c r="B111" s="40" t="s">
        <v>369</v>
      </c>
      <c r="C111" s="40" t="s">
        <v>370</v>
      </c>
      <c r="D111" s="40" t="s">
        <v>145</v>
      </c>
      <c r="E111" s="41">
        <v>1000</v>
      </c>
      <c r="F111" s="42">
        <v>4989.6400000000003</v>
      </c>
      <c r="G111" s="43">
        <v>6.5934699999999997E-3</v>
      </c>
      <c r="H111" s="31">
        <f>IFERROR(VLOOKUP(B111,'[1]Debt Holding Consolidated'!$C$1:$AM$65536,12,FALSE),"")</f>
        <v>6.8905000000000003</v>
      </c>
    </row>
    <row r="112" spans="1:10" x14ac:dyDescent="0.2">
      <c r="A112" s="39">
        <v>23</v>
      </c>
      <c r="B112" s="40" t="s">
        <v>371</v>
      </c>
      <c r="C112" s="40" t="s">
        <v>372</v>
      </c>
      <c r="D112" s="40" t="s">
        <v>145</v>
      </c>
      <c r="E112" s="41">
        <v>1000</v>
      </c>
      <c r="F112" s="42">
        <v>4989.5150000000003</v>
      </c>
      <c r="G112" s="43">
        <v>6.5933099999999998E-3</v>
      </c>
      <c r="H112" s="31">
        <f>IFERROR(VLOOKUP(B112,'[1]Debt Holding Consolidated'!$C$1:$AM$65536,12,FALSE),"")</f>
        <v>6.9749999999999996</v>
      </c>
    </row>
    <row r="113" spans="1:8" x14ac:dyDescent="0.2">
      <c r="A113" s="39">
        <v>24</v>
      </c>
      <c r="B113" s="40" t="s">
        <v>373</v>
      </c>
      <c r="C113" s="40" t="s">
        <v>374</v>
      </c>
      <c r="D113" s="40" t="s">
        <v>145</v>
      </c>
      <c r="E113" s="41">
        <v>1000</v>
      </c>
      <c r="F113" s="42">
        <v>4986.7349999999997</v>
      </c>
      <c r="G113" s="43">
        <v>6.58963E-3</v>
      </c>
      <c r="H113" s="31">
        <f>IFERROR(VLOOKUP(B113,'[1]Debt Holding Consolidated'!$C$1:$AM$65536,12,FALSE),"")</f>
        <v>7.47</v>
      </c>
    </row>
    <row r="114" spans="1:8" x14ac:dyDescent="0.2">
      <c r="A114" s="39">
        <v>25</v>
      </c>
      <c r="B114" s="40" t="s">
        <v>375</v>
      </c>
      <c r="C114" s="40" t="s">
        <v>376</v>
      </c>
      <c r="D114" s="40" t="s">
        <v>145</v>
      </c>
      <c r="E114" s="41">
        <v>1000</v>
      </c>
      <c r="F114" s="42">
        <v>4983.2250000000004</v>
      </c>
      <c r="G114" s="43">
        <v>6.5849999999999997E-3</v>
      </c>
      <c r="H114" s="31">
        <f>IFERROR(VLOOKUP(B114,'[1]Debt Holding Consolidated'!$C$1:$AM$65536,12,FALSE),"")</f>
        <v>7.68</v>
      </c>
    </row>
    <row r="115" spans="1:8" x14ac:dyDescent="0.2">
      <c r="A115" s="39">
        <v>26</v>
      </c>
      <c r="B115" s="40" t="s">
        <v>377</v>
      </c>
      <c r="C115" s="40" t="s">
        <v>378</v>
      </c>
      <c r="D115" s="40" t="s">
        <v>145</v>
      </c>
      <c r="E115" s="41">
        <v>1000</v>
      </c>
      <c r="F115" s="42">
        <v>4980.6750000000002</v>
      </c>
      <c r="G115" s="43">
        <v>6.5816299999999998E-3</v>
      </c>
      <c r="H115" s="31">
        <f>IFERROR(VLOOKUP(B115,'[1]Debt Holding Consolidated'!$C$1:$AM$65536,12,FALSE),"")</f>
        <v>7.0810000000000004</v>
      </c>
    </row>
    <row r="116" spans="1:8" x14ac:dyDescent="0.2">
      <c r="A116" s="39">
        <v>27</v>
      </c>
      <c r="B116" s="40" t="s">
        <v>379</v>
      </c>
      <c r="C116" s="40" t="s">
        <v>380</v>
      </c>
      <c r="D116" s="40" t="s">
        <v>145</v>
      </c>
      <c r="E116" s="41">
        <v>1000</v>
      </c>
      <c r="F116" s="42">
        <v>4979.0349999999999</v>
      </c>
      <c r="G116" s="43">
        <v>6.5794599999999996E-3</v>
      </c>
      <c r="H116" s="31">
        <f>IFERROR(VLOOKUP(B116,'[1]Debt Holding Consolidated'!$C$1:$AM$65536,12,FALSE),"")</f>
        <v>7.6851000000000003</v>
      </c>
    </row>
    <row r="117" spans="1:8" ht="25.5" x14ac:dyDescent="0.2">
      <c r="A117" s="39">
        <v>28</v>
      </c>
      <c r="B117" s="40" t="s">
        <v>381</v>
      </c>
      <c r="C117" s="40" t="s">
        <v>382</v>
      </c>
      <c r="D117" s="40" t="s">
        <v>150</v>
      </c>
      <c r="E117" s="41">
        <v>1000</v>
      </c>
      <c r="F117" s="42">
        <v>4974.3</v>
      </c>
      <c r="G117" s="43">
        <v>6.5732000000000004E-3</v>
      </c>
      <c r="H117" s="31">
        <f>IFERROR(VLOOKUP(B117,'[1]Debt Holding Consolidated'!$C$1:$AM$65536,12,FALSE),"")</f>
        <v>6.9840999999999998</v>
      </c>
    </row>
    <row r="118" spans="1:8" ht="25.5" x14ac:dyDescent="0.2">
      <c r="A118" s="39">
        <v>29</v>
      </c>
      <c r="B118" s="40" t="s">
        <v>383</v>
      </c>
      <c r="C118" s="40" t="s">
        <v>722</v>
      </c>
      <c r="D118" s="40" t="s">
        <v>145</v>
      </c>
      <c r="E118" s="41">
        <v>1000</v>
      </c>
      <c r="F118" s="42">
        <v>4916.1149999999998</v>
      </c>
      <c r="G118" s="43">
        <v>6.4963099999999999E-3</v>
      </c>
      <c r="H118" s="31">
        <f>IFERROR(VLOOKUP(B118,'[1]Debt Holding Consolidated'!$C$1:$AM$65536,12,FALSE),"")</f>
        <v>7.7850000000000001</v>
      </c>
    </row>
    <row r="119" spans="1:8" x14ac:dyDescent="0.2">
      <c r="A119" s="39">
        <v>30</v>
      </c>
      <c r="B119" s="40" t="s">
        <v>384</v>
      </c>
      <c r="C119" s="40" t="s">
        <v>723</v>
      </c>
      <c r="D119" s="40" t="s">
        <v>145</v>
      </c>
      <c r="E119" s="41">
        <v>1000</v>
      </c>
      <c r="F119" s="42">
        <v>4915.5249999999996</v>
      </c>
      <c r="G119" s="43">
        <v>6.4955300000000002E-3</v>
      </c>
      <c r="H119" s="31">
        <f>IFERROR(VLOOKUP(B119,'[1]Debt Holding Consolidated'!$C$1:$AM$65536,12,FALSE),"")</f>
        <v>7.21</v>
      </c>
    </row>
    <row r="120" spans="1:8" x14ac:dyDescent="0.2">
      <c r="A120" s="39">
        <v>31</v>
      </c>
      <c r="B120" s="40" t="s">
        <v>385</v>
      </c>
      <c r="C120" s="40" t="s">
        <v>724</v>
      </c>
      <c r="D120" s="40" t="s">
        <v>145</v>
      </c>
      <c r="E120" s="41">
        <v>1000</v>
      </c>
      <c r="F120" s="42">
        <v>4911.08</v>
      </c>
      <c r="G120" s="43">
        <v>6.4896600000000004E-3</v>
      </c>
      <c r="H120" s="31">
        <f>IFERROR(VLOOKUP(B120,'[1]Debt Holding Consolidated'!$C$1:$AM$65536,12,FALSE),"")</f>
        <v>7.51</v>
      </c>
    </row>
    <row r="121" spans="1:8" x14ac:dyDescent="0.2">
      <c r="A121" s="39">
        <v>32</v>
      </c>
      <c r="B121" s="40" t="s">
        <v>386</v>
      </c>
      <c r="C121" s="40" t="s">
        <v>725</v>
      </c>
      <c r="D121" s="40" t="s">
        <v>145</v>
      </c>
      <c r="E121" s="41">
        <v>1000</v>
      </c>
      <c r="F121" s="42">
        <v>4911.0249999999996</v>
      </c>
      <c r="G121" s="43">
        <v>6.4895899999999999E-3</v>
      </c>
      <c r="H121" s="31">
        <f>IFERROR(VLOOKUP(B121,'[1]Debt Holding Consolidated'!$C$1:$AM$65536,12,FALSE),"")</f>
        <v>7.43</v>
      </c>
    </row>
    <row r="122" spans="1:8" ht="25.5" x14ac:dyDescent="0.2">
      <c r="A122" s="39">
        <v>33</v>
      </c>
      <c r="B122" s="40" t="s">
        <v>387</v>
      </c>
      <c r="C122" s="40" t="s">
        <v>388</v>
      </c>
      <c r="D122" s="40" t="s">
        <v>145</v>
      </c>
      <c r="E122" s="41">
        <v>800</v>
      </c>
      <c r="F122" s="42">
        <v>3995.1</v>
      </c>
      <c r="G122" s="43">
        <v>5.27926E-3</v>
      </c>
      <c r="H122" s="31">
        <f>IFERROR(VLOOKUP(B122,'[1]Debt Holding Consolidated'!$C$1:$AM$65536,12,FALSE),"")</f>
        <v>7.4649999999999999</v>
      </c>
    </row>
    <row r="123" spans="1:8" x14ac:dyDescent="0.2">
      <c r="A123" s="39">
        <v>34</v>
      </c>
      <c r="B123" s="40" t="s">
        <v>389</v>
      </c>
      <c r="C123" s="40" t="s">
        <v>390</v>
      </c>
      <c r="D123" s="40" t="s">
        <v>145</v>
      </c>
      <c r="E123" s="41">
        <v>500</v>
      </c>
      <c r="F123" s="42">
        <v>2494.4650000000001</v>
      </c>
      <c r="G123" s="43">
        <v>3.29627E-3</v>
      </c>
      <c r="H123" s="31">
        <f>IFERROR(VLOOKUP(B123,'[1]Debt Holding Consolidated'!$C$1:$AM$65536,12,FALSE),"")</f>
        <v>6.7496999999999998</v>
      </c>
    </row>
    <row r="124" spans="1:8" x14ac:dyDescent="0.2">
      <c r="A124" s="39">
        <v>35</v>
      </c>
      <c r="B124" s="40" t="s">
        <v>391</v>
      </c>
      <c r="C124" s="40" t="s">
        <v>392</v>
      </c>
      <c r="D124" s="40" t="s">
        <v>145</v>
      </c>
      <c r="E124" s="41">
        <v>500</v>
      </c>
      <c r="F124" s="42">
        <v>2479.35</v>
      </c>
      <c r="G124" s="43">
        <v>3.2762899999999998E-3</v>
      </c>
      <c r="H124" s="31">
        <f>IFERROR(VLOOKUP(B124,'[1]Debt Holding Consolidated'!$C$1:$AM$65536,12,FALSE),"")</f>
        <v>7.6</v>
      </c>
    </row>
    <row r="125" spans="1:8" x14ac:dyDescent="0.2">
      <c r="A125" s="39">
        <v>36</v>
      </c>
      <c r="B125" s="40" t="s">
        <v>393</v>
      </c>
      <c r="C125" s="40" t="s">
        <v>726</v>
      </c>
      <c r="D125" s="40" t="s">
        <v>145</v>
      </c>
      <c r="E125" s="41">
        <v>500</v>
      </c>
      <c r="F125" s="42">
        <v>2463.6475</v>
      </c>
      <c r="G125" s="43">
        <v>3.2555399999999999E-3</v>
      </c>
      <c r="H125" s="31">
        <f>IFERROR(VLOOKUP(B125,'[1]Debt Holding Consolidated'!$C$1:$AM$65536,12,FALSE),"")</f>
        <v>7.48</v>
      </c>
    </row>
    <row r="126" spans="1:8" x14ac:dyDescent="0.2">
      <c r="A126" s="39">
        <v>37</v>
      </c>
      <c r="B126" s="40" t="s">
        <v>394</v>
      </c>
      <c r="C126" s="40" t="s">
        <v>727</v>
      </c>
      <c r="D126" s="40" t="s">
        <v>145</v>
      </c>
      <c r="E126" s="41">
        <v>500</v>
      </c>
      <c r="F126" s="42">
        <v>2458.16</v>
      </c>
      <c r="G126" s="43">
        <v>3.24829E-3</v>
      </c>
      <c r="H126" s="31">
        <f>IFERROR(VLOOKUP(B126,'[1]Debt Holding Consolidated'!$C$1:$AM$65536,12,FALSE),"")</f>
        <v>7.67</v>
      </c>
    </row>
    <row r="127" spans="1:8" x14ac:dyDescent="0.2">
      <c r="A127" s="29"/>
      <c r="B127" s="29"/>
      <c r="C127" s="30" t="s">
        <v>10</v>
      </c>
      <c r="D127" s="29"/>
      <c r="E127" s="29" t="s">
        <v>11</v>
      </c>
      <c r="F127" s="38">
        <v>264082.06900000002</v>
      </c>
      <c r="G127" s="33">
        <v>0.34896662000000001</v>
      </c>
      <c r="H127" s="31" t="str">
        <f>IFERROR(VLOOKUP(B127,'[1]Debt Holding Consolidated'!$C$1:$AM$65536,12,FALSE),"")</f>
        <v/>
      </c>
    </row>
    <row r="128" spans="1:8" x14ac:dyDescent="0.2">
      <c r="A128" s="29"/>
      <c r="B128" s="29"/>
      <c r="C128" s="34"/>
      <c r="D128" s="29"/>
      <c r="E128" s="29"/>
      <c r="F128" s="35"/>
      <c r="G128" s="35"/>
      <c r="H128" s="31" t="str">
        <f>IFERROR(VLOOKUP(B128,'[1]Debt Holding Consolidated'!$C$1:$AM$65536,12,FALSE),"")</f>
        <v/>
      </c>
    </row>
    <row r="129" spans="1:8" x14ac:dyDescent="0.2">
      <c r="A129" s="29"/>
      <c r="B129" s="29"/>
      <c r="C129" s="30" t="s">
        <v>92</v>
      </c>
      <c r="D129" s="29"/>
      <c r="E129" s="29"/>
      <c r="F129" s="35"/>
      <c r="G129" s="35"/>
      <c r="H129" s="31" t="str">
        <f>IFERROR(VLOOKUP(B129,'[1]Debt Holding Consolidated'!$C$1:$AM$65536,12,FALSE),"")</f>
        <v/>
      </c>
    </row>
    <row r="130" spans="1:8" x14ac:dyDescent="0.2">
      <c r="A130" s="39">
        <v>1</v>
      </c>
      <c r="B130" s="40" t="s">
        <v>395</v>
      </c>
      <c r="C130" s="40" t="s">
        <v>396</v>
      </c>
      <c r="D130" s="40" t="s">
        <v>74</v>
      </c>
      <c r="E130" s="41">
        <v>17500000</v>
      </c>
      <c r="F130" s="42">
        <v>17484.7925</v>
      </c>
      <c r="G130" s="43">
        <v>2.3104969999999999E-2</v>
      </c>
      <c r="H130" s="31">
        <f>IFERROR(VLOOKUP(B130,'[1]Debt Holding Consolidated'!$C$1:$AM$65536,12,FALSE),"")</f>
        <v>6.35</v>
      </c>
    </row>
    <row r="131" spans="1:8" x14ac:dyDescent="0.2">
      <c r="A131" s="39">
        <v>2</v>
      </c>
      <c r="B131" s="40" t="s">
        <v>397</v>
      </c>
      <c r="C131" s="40" t="s">
        <v>398</v>
      </c>
      <c r="D131" s="40" t="s">
        <v>74</v>
      </c>
      <c r="E131" s="41">
        <v>15000000</v>
      </c>
      <c r="F131" s="42">
        <v>14823.12</v>
      </c>
      <c r="G131" s="43">
        <v>1.9587750000000001E-2</v>
      </c>
      <c r="H131" s="31">
        <f>IFERROR(VLOOKUP(B131,'[1]Debt Holding Consolidated'!$C$1:$AM$65536,12,FALSE),"")</f>
        <v>6.4050000000000002</v>
      </c>
    </row>
    <row r="132" spans="1:8" x14ac:dyDescent="0.2">
      <c r="A132" s="39">
        <v>3</v>
      </c>
      <c r="B132" s="40" t="s">
        <v>399</v>
      </c>
      <c r="C132" s="40" t="s">
        <v>400</v>
      </c>
      <c r="D132" s="40" t="s">
        <v>74</v>
      </c>
      <c r="E132" s="41">
        <v>12000000</v>
      </c>
      <c r="F132" s="42">
        <v>11946.096</v>
      </c>
      <c r="G132" s="43">
        <v>1.5785960000000002E-2</v>
      </c>
      <c r="H132" s="31">
        <f>IFERROR(VLOOKUP(B132,'[1]Debt Holding Consolidated'!$C$1:$AM$65536,12,FALSE),"")</f>
        <v>6.3346</v>
      </c>
    </row>
    <row r="133" spans="1:8" x14ac:dyDescent="0.2">
      <c r="A133" s="39">
        <v>4</v>
      </c>
      <c r="B133" s="40" t="s">
        <v>401</v>
      </c>
      <c r="C133" s="40" t="s">
        <v>402</v>
      </c>
      <c r="D133" s="40" t="s">
        <v>74</v>
      </c>
      <c r="E133" s="41">
        <v>10000000</v>
      </c>
      <c r="F133" s="42">
        <v>9979.17</v>
      </c>
      <c r="G133" s="43">
        <v>1.31868E-2</v>
      </c>
      <c r="H133" s="31">
        <f>IFERROR(VLOOKUP(B133,'[1]Debt Holding Consolidated'!$C$1:$AM$65536,12,FALSE),"")</f>
        <v>6.35</v>
      </c>
    </row>
    <row r="134" spans="1:8" x14ac:dyDescent="0.2">
      <c r="A134" s="39">
        <v>5</v>
      </c>
      <c r="B134" s="40" t="s">
        <v>403</v>
      </c>
      <c r="C134" s="40" t="s">
        <v>404</v>
      </c>
      <c r="D134" s="40" t="s">
        <v>74</v>
      </c>
      <c r="E134" s="41">
        <v>10000000</v>
      </c>
      <c r="F134" s="42">
        <v>9979.17</v>
      </c>
      <c r="G134" s="43">
        <v>1.31868E-2</v>
      </c>
      <c r="H134" s="31">
        <f>IFERROR(VLOOKUP(B134,'[1]Debt Holding Consolidated'!$C$1:$AM$65536,12,FALSE),"")</f>
        <v>6.35</v>
      </c>
    </row>
    <row r="135" spans="1:8" x14ac:dyDescent="0.2">
      <c r="A135" s="39">
        <v>6</v>
      </c>
      <c r="B135" s="40" t="s">
        <v>405</v>
      </c>
      <c r="C135" s="40" t="s">
        <v>406</v>
      </c>
      <c r="D135" s="40" t="s">
        <v>74</v>
      </c>
      <c r="E135" s="41">
        <v>10000000</v>
      </c>
      <c r="F135" s="42">
        <v>9930.35</v>
      </c>
      <c r="G135" s="43">
        <v>1.312229E-2</v>
      </c>
      <c r="H135" s="31">
        <f>IFERROR(VLOOKUP(B135,'[1]Debt Holding Consolidated'!$C$1:$AM$65536,12,FALSE),"")</f>
        <v>6.4</v>
      </c>
    </row>
    <row r="136" spans="1:8" x14ac:dyDescent="0.2">
      <c r="A136" s="39">
        <v>7</v>
      </c>
      <c r="B136" s="40" t="s">
        <v>407</v>
      </c>
      <c r="C136" s="40" t="s">
        <v>408</v>
      </c>
      <c r="D136" s="40" t="s">
        <v>74</v>
      </c>
      <c r="E136" s="41">
        <v>10000000</v>
      </c>
      <c r="F136" s="42">
        <v>9917.83</v>
      </c>
      <c r="G136" s="43">
        <v>1.3105739999999999E-2</v>
      </c>
      <c r="H136" s="31">
        <f>IFERROR(VLOOKUP(B136,'[1]Debt Holding Consolidated'!$C$1:$AM$65536,12,FALSE),"")</f>
        <v>6.4347000000000003</v>
      </c>
    </row>
    <row r="137" spans="1:8" x14ac:dyDescent="0.2">
      <c r="A137" s="39">
        <v>8</v>
      </c>
      <c r="B137" s="40" t="s">
        <v>409</v>
      </c>
      <c r="C137" s="40" t="s">
        <v>410</v>
      </c>
      <c r="D137" s="40" t="s">
        <v>74</v>
      </c>
      <c r="E137" s="41">
        <v>10000000</v>
      </c>
      <c r="F137" s="42">
        <v>9905.6299999999992</v>
      </c>
      <c r="G137" s="43">
        <v>1.308962E-2</v>
      </c>
      <c r="H137" s="31">
        <f>IFERROR(VLOOKUP(B137,'[1]Debt Holding Consolidated'!$C$1:$AM$65536,12,FALSE),"")</f>
        <v>6.4397000000000002</v>
      </c>
    </row>
    <row r="138" spans="1:8" x14ac:dyDescent="0.2">
      <c r="A138" s="39">
        <v>9</v>
      </c>
      <c r="B138" s="40" t="s">
        <v>411</v>
      </c>
      <c r="C138" s="40" t="s">
        <v>412</v>
      </c>
      <c r="D138" s="40" t="s">
        <v>74</v>
      </c>
      <c r="E138" s="41">
        <v>10000000</v>
      </c>
      <c r="F138" s="42">
        <v>9869.76</v>
      </c>
      <c r="G138" s="43">
        <v>1.304222E-2</v>
      </c>
      <c r="H138" s="31">
        <f>IFERROR(VLOOKUP(B138,'[1]Debt Holding Consolidated'!$C$1:$AM$65536,12,FALSE),"")</f>
        <v>6.4223999999999997</v>
      </c>
    </row>
    <row r="139" spans="1:8" x14ac:dyDescent="0.2">
      <c r="A139" s="39">
        <v>10</v>
      </c>
      <c r="B139" s="40" t="s">
        <v>413</v>
      </c>
      <c r="C139" s="40" t="s">
        <v>414</v>
      </c>
      <c r="D139" s="40" t="s">
        <v>74</v>
      </c>
      <c r="E139" s="41">
        <v>10000000</v>
      </c>
      <c r="F139" s="42">
        <v>9857.49</v>
      </c>
      <c r="G139" s="43">
        <v>1.3026009999999999E-2</v>
      </c>
      <c r="H139" s="31">
        <f>IFERROR(VLOOKUP(B139,'[1]Debt Holding Consolidated'!$C$1:$AM$65536,12,FALSE),"")</f>
        <v>6.4349999999999996</v>
      </c>
    </row>
    <row r="140" spans="1:8" x14ac:dyDescent="0.2">
      <c r="A140" s="39">
        <v>11</v>
      </c>
      <c r="B140" s="40" t="s">
        <v>415</v>
      </c>
      <c r="C140" s="40" t="s">
        <v>416</v>
      </c>
      <c r="D140" s="40" t="s">
        <v>74</v>
      </c>
      <c r="E140" s="41">
        <v>5000000</v>
      </c>
      <c r="F140" s="42">
        <v>4983.6049999999996</v>
      </c>
      <c r="G140" s="43">
        <v>6.5855000000000002E-3</v>
      </c>
      <c r="H140" s="31">
        <f>IFERROR(VLOOKUP(B140,'[1]Debt Holding Consolidated'!$C$1:$AM$65536,12,FALSE),"")</f>
        <v>6.32</v>
      </c>
    </row>
    <row r="141" spans="1:8" x14ac:dyDescent="0.2">
      <c r="A141" s="39">
        <v>12</v>
      </c>
      <c r="B141" s="40" t="s">
        <v>417</v>
      </c>
      <c r="C141" s="40" t="s">
        <v>418</v>
      </c>
      <c r="D141" s="40" t="s">
        <v>74</v>
      </c>
      <c r="E141" s="41">
        <v>2000000</v>
      </c>
      <c r="F141" s="42">
        <v>1981.126</v>
      </c>
      <c r="G141" s="43">
        <v>2.6179200000000001E-3</v>
      </c>
      <c r="H141" s="31">
        <f>IFERROR(VLOOKUP(B141,'[1]Debt Holding Consolidated'!$C$1:$AM$65536,12,FALSE),"")</f>
        <v>6.4397000000000002</v>
      </c>
    </row>
    <row r="142" spans="1:8" x14ac:dyDescent="0.2">
      <c r="A142" s="29"/>
      <c r="B142" s="29"/>
      <c r="C142" s="30" t="s">
        <v>10</v>
      </c>
      <c r="D142" s="29"/>
      <c r="E142" s="29" t="s">
        <v>11</v>
      </c>
      <c r="F142" s="38">
        <v>120658.1395</v>
      </c>
      <c r="G142" s="33">
        <v>0.15944158</v>
      </c>
      <c r="H142" s="31" t="str">
        <f>IFERROR(VLOOKUP(B142,'[1]Debt Holding Consolidated'!$C$1:$AM$65536,12,FALSE),"")</f>
        <v/>
      </c>
    </row>
    <row r="143" spans="1:8" x14ac:dyDescent="0.2">
      <c r="A143" s="29"/>
      <c r="B143" s="29"/>
      <c r="C143" s="34"/>
      <c r="D143" s="29"/>
      <c r="E143" s="29"/>
      <c r="F143" s="35"/>
      <c r="G143" s="35"/>
      <c r="H143" s="31" t="str">
        <f>IFERROR(VLOOKUP(B143,'[1]Debt Holding Consolidated'!$C$1:$AM$65536,12,FALSE),"")</f>
        <v/>
      </c>
    </row>
    <row r="144" spans="1:8" x14ac:dyDescent="0.2">
      <c r="A144" s="29"/>
      <c r="B144" s="29"/>
      <c r="C144" s="30" t="s">
        <v>93</v>
      </c>
      <c r="D144" s="29"/>
      <c r="E144" s="29"/>
      <c r="F144" s="35"/>
      <c r="G144" s="35"/>
      <c r="H144" s="31" t="str">
        <f>IFERROR(VLOOKUP(B144,'[1]Debt Holding Consolidated'!$C$1:$AM$65536,12,FALSE),"")</f>
        <v/>
      </c>
    </row>
    <row r="145" spans="1:18" x14ac:dyDescent="0.2">
      <c r="A145" s="39">
        <v>1</v>
      </c>
      <c r="B145" s="40"/>
      <c r="C145" s="40" t="s">
        <v>94</v>
      </c>
      <c r="D145" s="40"/>
      <c r="E145" s="44"/>
      <c r="F145" s="42">
        <v>48088.255376734</v>
      </c>
      <c r="G145" s="43">
        <v>6.3545379999999999E-2</v>
      </c>
      <c r="H145" s="31">
        <v>6.34</v>
      </c>
    </row>
    <row r="146" spans="1:18" x14ac:dyDescent="0.2">
      <c r="A146" s="29"/>
      <c r="B146" s="29"/>
      <c r="C146" s="30" t="s">
        <v>10</v>
      </c>
      <c r="D146" s="29"/>
      <c r="E146" s="29" t="s">
        <v>11</v>
      </c>
      <c r="F146" s="38">
        <v>48088.255376734</v>
      </c>
      <c r="G146" s="33">
        <v>6.3545379999999999E-2</v>
      </c>
      <c r="H146" s="31" t="s">
        <v>11</v>
      </c>
    </row>
    <row r="147" spans="1:18" x14ac:dyDescent="0.2">
      <c r="A147" s="29"/>
      <c r="B147" s="29"/>
      <c r="C147" s="34"/>
      <c r="D147" s="29"/>
      <c r="E147" s="29"/>
      <c r="F147" s="35"/>
      <c r="G147" s="35"/>
      <c r="H147" s="31" t="s">
        <v>11</v>
      </c>
    </row>
    <row r="148" spans="1:18" x14ac:dyDescent="0.2">
      <c r="A148" s="29"/>
      <c r="B148" s="29"/>
      <c r="C148" s="30" t="s">
        <v>95</v>
      </c>
      <c r="D148" s="29"/>
      <c r="E148" s="29"/>
      <c r="F148" s="38">
        <v>710571.86387673405</v>
      </c>
      <c r="G148" s="33">
        <v>0.93897273999999997</v>
      </c>
      <c r="H148" s="31" t="s">
        <v>11</v>
      </c>
    </row>
    <row r="149" spans="1:18" x14ac:dyDescent="0.2">
      <c r="A149" s="29"/>
      <c r="B149" s="29"/>
      <c r="C149" s="35"/>
      <c r="D149" s="29"/>
      <c r="E149" s="29"/>
      <c r="F149" s="29"/>
      <c r="G149" s="29"/>
      <c r="H149" s="31" t="s">
        <v>11</v>
      </c>
    </row>
    <row r="150" spans="1:18" x14ac:dyDescent="0.2">
      <c r="A150" s="29"/>
      <c r="B150" s="29"/>
      <c r="C150" s="30" t="s">
        <v>96</v>
      </c>
      <c r="D150" s="29"/>
      <c r="E150" s="29"/>
      <c r="F150" s="29"/>
      <c r="G150" s="29"/>
      <c r="H150" s="31" t="s">
        <v>11</v>
      </c>
    </row>
    <row r="151" spans="1:18" x14ac:dyDescent="0.2">
      <c r="A151" s="29"/>
      <c r="B151" s="29"/>
      <c r="C151" s="30" t="s">
        <v>97</v>
      </c>
      <c r="D151" s="29"/>
      <c r="E151" s="29"/>
      <c r="F151" s="29"/>
      <c r="G151" s="29"/>
      <c r="H151" s="31" t="s">
        <v>11</v>
      </c>
    </row>
    <row r="152" spans="1:18" x14ac:dyDescent="0.2">
      <c r="A152" s="29"/>
      <c r="B152" s="29"/>
      <c r="C152" s="30" t="s">
        <v>10</v>
      </c>
      <c r="D152" s="29"/>
      <c r="E152" s="29" t="s">
        <v>11</v>
      </c>
      <c r="F152" s="32" t="s">
        <v>12</v>
      </c>
      <c r="G152" s="33">
        <v>0</v>
      </c>
      <c r="H152" s="31" t="s">
        <v>11</v>
      </c>
    </row>
    <row r="153" spans="1:18" x14ac:dyDescent="0.2">
      <c r="A153" s="45"/>
      <c r="B153" s="45"/>
      <c r="C153" s="46"/>
      <c r="D153" s="45"/>
      <c r="E153" s="45"/>
      <c r="F153" s="47"/>
      <c r="G153" s="47"/>
      <c r="H153" s="31" t="s">
        <v>11</v>
      </c>
    </row>
    <row r="154" spans="1:18" x14ac:dyDescent="0.2">
      <c r="A154" s="45"/>
      <c r="B154" s="45"/>
      <c r="C154" s="17" t="s">
        <v>581</v>
      </c>
      <c r="D154" s="45"/>
      <c r="E154" s="45"/>
      <c r="F154" s="47"/>
      <c r="G154" s="47"/>
      <c r="H154" s="48"/>
      <c r="L154" s="9"/>
      <c r="M154" s="9"/>
      <c r="N154" s="9"/>
      <c r="O154" s="9"/>
      <c r="P154" s="10"/>
      <c r="Q154" s="10"/>
      <c r="R154" s="10"/>
    </row>
    <row r="155" spans="1:18" ht="25.5" x14ac:dyDescent="0.2">
      <c r="A155" s="49">
        <v>1</v>
      </c>
      <c r="B155" s="50" t="s">
        <v>98</v>
      </c>
      <c r="C155" s="50" t="s">
        <v>99</v>
      </c>
      <c r="D155" s="50"/>
      <c r="E155" s="51">
        <v>13479.374400000001</v>
      </c>
      <c r="F155" s="48">
        <v>1408.659231441</v>
      </c>
      <c r="G155" s="52">
        <v>1.86145E-3</v>
      </c>
      <c r="H155" s="31"/>
    </row>
    <row r="156" spans="1:18" x14ac:dyDescent="0.2">
      <c r="A156" s="45"/>
      <c r="B156" s="45"/>
      <c r="C156" s="17" t="s">
        <v>10</v>
      </c>
      <c r="D156" s="45"/>
      <c r="E156" s="45" t="s">
        <v>11</v>
      </c>
      <c r="F156" s="53">
        <f>SUM(F155)</f>
        <v>1408.659231441</v>
      </c>
      <c r="G156" s="54">
        <f>SUM(G155)</f>
        <v>1.86145E-3</v>
      </c>
      <c r="H156" s="31" t="s">
        <v>11</v>
      </c>
    </row>
    <row r="157" spans="1:18" x14ac:dyDescent="0.2">
      <c r="A157" s="29"/>
      <c r="B157" s="29"/>
      <c r="C157" s="34"/>
      <c r="D157" s="29"/>
      <c r="E157" s="29"/>
      <c r="F157" s="35"/>
      <c r="G157" s="35"/>
      <c r="H157" s="31" t="s">
        <v>11</v>
      </c>
    </row>
    <row r="158" spans="1:18" x14ac:dyDescent="0.2">
      <c r="A158" s="29"/>
      <c r="B158" s="29"/>
      <c r="C158" s="30" t="s">
        <v>100</v>
      </c>
      <c r="D158" s="29"/>
      <c r="E158" s="29"/>
      <c r="F158" s="29"/>
      <c r="G158" s="29"/>
      <c r="H158" s="31" t="s">
        <v>11</v>
      </c>
    </row>
    <row r="159" spans="1:18" x14ac:dyDescent="0.2">
      <c r="A159" s="29"/>
      <c r="B159" s="29"/>
      <c r="C159" s="30" t="s">
        <v>101</v>
      </c>
      <c r="D159" s="29"/>
      <c r="E159" s="29"/>
      <c r="F159" s="29"/>
      <c r="G159" s="29"/>
      <c r="H159" s="31" t="s">
        <v>11</v>
      </c>
    </row>
    <row r="160" spans="1:18" x14ac:dyDescent="0.2">
      <c r="A160" s="29"/>
      <c r="B160" s="29"/>
      <c r="C160" s="30" t="s">
        <v>10</v>
      </c>
      <c r="D160" s="29"/>
      <c r="E160" s="29" t="s">
        <v>11</v>
      </c>
      <c r="F160" s="32" t="s">
        <v>12</v>
      </c>
      <c r="G160" s="33">
        <v>0</v>
      </c>
      <c r="H160" s="31" t="s">
        <v>11</v>
      </c>
    </row>
    <row r="161" spans="1:10" x14ac:dyDescent="0.2">
      <c r="A161" s="29"/>
      <c r="B161" s="29"/>
      <c r="C161" s="34"/>
      <c r="D161" s="29"/>
      <c r="E161" s="29"/>
      <c r="F161" s="35"/>
      <c r="G161" s="35"/>
      <c r="H161" s="31" t="s">
        <v>11</v>
      </c>
    </row>
    <row r="162" spans="1:10" x14ac:dyDescent="0.2">
      <c r="A162" s="29"/>
      <c r="B162" s="29"/>
      <c r="C162" s="30" t="s">
        <v>102</v>
      </c>
      <c r="D162" s="29"/>
      <c r="E162" s="29"/>
      <c r="F162" s="35"/>
      <c r="G162" s="35"/>
      <c r="H162" s="31" t="s">
        <v>11</v>
      </c>
    </row>
    <row r="163" spans="1:10" x14ac:dyDescent="0.2">
      <c r="A163" s="29"/>
      <c r="B163" s="29"/>
      <c r="C163" s="30" t="s">
        <v>10</v>
      </c>
      <c r="D163" s="29"/>
      <c r="E163" s="29" t="s">
        <v>11</v>
      </c>
      <c r="F163" s="32" t="s">
        <v>12</v>
      </c>
      <c r="G163" s="33">
        <v>0</v>
      </c>
      <c r="H163" s="31" t="s">
        <v>11</v>
      </c>
    </row>
    <row r="164" spans="1:10" x14ac:dyDescent="0.2">
      <c r="A164" s="29"/>
      <c r="B164" s="40"/>
      <c r="C164" s="40"/>
      <c r="D164" s="30"/>
      <c r="E164" s="29"/>
      <c r="F164" s="40"/>
      <c r="G164" s="44"/>
      <c r="H164" s="31" t="s">
        <v>11</v>
      </c>
    </row>
    <row r="165" spans="1:10" x14ac:dyDescent="0.2">
      <c r="A165" s="44"/>
      <c r="B165" s="40"/>
      <c r="C165" s="40" t="s">
        <v>103</v>
      </c>
      <c r="D165" s="40"/>
      <c r="E165" s="44"/>
      <c r="F165" s="42">
        <f>2328.04503295-0.000801055145263672</f>
        <v>2328.0442318948549</v>
      </c>
      <c r="G165" s="43">
        <v>3.0763499999999998E-3</v>
      </c>
      <c r="H165" s="31" t="s">
        <v>11</v>
      </c>
    </row>
    <row r="166" spans="1:10" x14ac:dyDescent="0.2">
      <c r="A166" s="34"/>
      <c r="B166" s="34"/>
      <c r="C166" s="30" t="s">
        <v>104</v>
      </c>
      <c r="D166" s="35"/>
      <c r="E166" s="35"/>
      <c r="F166" s="38">
        <f>756754.533141125-0.000801055145263672</f>
        <v>756754.53234006988</v>
      </c>
      <c r="G166" s="55">
        <v>1.0000000200000001</v>
      </c>
      <c r="H166" s="31" t="s">
        <v>11</v>
      </c>
    </row>
    <row r="167" spans="1:10" x14ac:dyDescent="0.2">
      <c r="A167" s="56"/>
      <c r="B167" s="56"/>
      <c r="C167" s="56"/>
      <c r="D167" s="57"/>
      <c r="E167" s="57"/>
      <c r="F167" s="57"/>
      <c r="G167" s="57"/>
    </row>
    <row r="168" spans="1:10" x14ac:dyDescent="0.2">
      <c r="A168" s="58"/>
      <c r="B168" s="138" t="s">
        <v>582</v>
      </c>
      <c r="C168" s="138"/>
      <c r="D168" s="138"/>
      <c r="E168" s="138"/>
      <c r="F168" s="138"/>
      <c r="G168" s="138"/>
      <c r="H168" s="138"/>
    </row>
    <row r="169" spans="1:10" x14ac:dyDescent="0.2">
      <c r="A169" s="58"/>
      <c r="B169" s="138" t="s">
        <v>583</v>
      </c>
      <c r="C169" s="138"/>
      <c r="D169" s="138"/>
      <c r="E169" s="138"/>
      <c r="F169" s="138"/>
      <c r="G169" s="138"/>
      <c r="H169" s="138"/>
      <c r="J169"/>
    </row>
    <row r="170" spans="1:10" x14ac:dyDescent="0.2">
      <c r="A170" s="58"/>
      <c r="B170" s="138" t="s">
        <v>584</v>
      </c>
      <c r="C170" s="138"/>
      <c r="D170" s="138"/>
      <c r="E170" s="138"/>
      <c r="F170" s="138"/>
      <c r="G170" s="138"/>
      <c r="H170" s="138"/>
    </row>
    <row r="171" spans="1:10" x14ac:dyDescent="0.2">
      <c r="A171" s="58"/>
      <c r="B171" s="148" t="s">
        <v>732</v>
      </c>
      <c r="C171" s="138"/>
      <c r="D171" s="138"/>
      <c r="E171" s="138"/>
      <c r="F171" s="138"/>
      <c r="G171" s="138"/>
      <c r="H171" s="138"/>
    </row>
    <row r="172" spans="1:10" x14ac:dyDescent="0.2">
      <c r="A172" s="59"/>
      <c r="B172" s="59"/>
      <c r="C172" s="59"/>
      <c r="D172" s="60"/>
      <c r="E172" s="60"/>
      <c r="F172" s="60"/>
      <c r="G172" s="60"/>
    </row>
    <row r="173" spans="1:10" x14ac:dyDescent="0.2">
      <c r="A173" s="59"/>
      <c r="B173" s="131" t="s">
        <v>105</v>
      </c>
      <c r="C173" s="132"/>
      <c r="D173" s="133"/>
      <c r="E173" s="61"/>
      <c r="F173" s="60"/>
      <c r="G173" s="60"/>
    </row>
    <row r="174" spans="1:10" ht="25.5" x14ac:dyDescent="0.2">
      <c r="A174" s="59"/>
      <c r="B174" s="134" t="s">
        <v>106</v>
      </c>
      <c r="C174" s="135"/>
      <c r="D174" s="17" t="s">
        <v>599</v>
      </c>
      <c r="E174" s="61"/>
      <c r="F174" s="60"/>
      <c r="G174" s="60"/>
    </row>
    <row r="175" spans="1:10" x14ac:dyDescent="0.2">
      <c r="A175" s="59"/>
      <c r="B175" s="134" t="s">
        <v>108</v>
      </c>
      <c r="C175" s="135"/>
      <c r="D175" s="30" t="s">
        <v>107</v>
      </c>
      <c r="E175" s="61"/>
      <c r="F175" s="60"/>
      <c r="G175" s="60"/>
    </row>
    <row r="176" spans="1:10" x14ac:dyDescent="0.2">
      <c r="A176" s="59"/>
      <c r="B176" s="134" t="s">
        <v>109</v>
      </c>
      <c r="C176" s="135"/>
      <c r="D176" s="35" t="s">
        <v>11</v>
      </c>
      <c r="E176" s="61"/>
      <c r="F176" s="60"/>
      <c r="G176" s="60"/>
    </row>
    <row r="177" spans="1:8" x14ac:dyDescent="0.2">
      <c r="A177" s="18"/>
      <c r="B177" s="62" t="s">
        <v>11</v>
      </c>
      <c r="C177" s="62" t="s">
        <v>585</v>
      </c>
      <c r="D177" s="62" t="s">
        <v>110</v>
      </c>
      <c r="E177" s="18"/>
      <c r="F177" s="18"/>
      <c r="G177" s="18"/>
      <c r="H177" s="63"/>
    </row>
    <row r="178" spans="1:8" x14ac:dyDescent="0.2">
      <c r="A178" s="64"/>
      <c r="B178" s="65" t="s">
        <v>111</v>
      </c>
      <c r="C178" s="66">
        <v>45596</v>
      </c>
      <c r="D178" s="66">
        <v>45611</v>
      </c>
      <c r="E178" s="64"/>
      <c r="F178" s="64"/>
      <c r="G178" s="64"/>
    </row>
    <row r="179" spans="1:8" x14ac:dyDescent="0.2">
      <c r="A179" s="64"/>
      <c r="B179" s="40" t="s">
        <v>112</v>
      </c>
      <c r="C179" s="67">
        <v>2223.6936000000001</v>
      </c>
      <c r="D179" s="67">
        <v>2230.2157000000002</v>
      </c>
      <c r="E179" s="64"/>
      <c r="F179" s="68"/>
      <c r="G179" s="69"/>
    </row>
    <row r="180" spans="1:8" x14ac:dyDescent="0.2">
      <c r="A180" s="64"/>
      <c r="B180" s="40" t="s">
        <v>140</v>
      </c>
      <c r="C180" s="67">
        <v>1222.8257000000001</v>
      </c>
      <c r="D180" s="67">
        <v>1226.4118000000001</v>
      </c>
      <c r="E180" s="64"/>
      <c r="F180" s="68"/>
      <c r="G180" s="69"/>
    </row>
    <row r="181" spans="1:8" ht="25.5" x14ac:dyDescent="0.2">
      <c r="A181" s="64"/>
      <c r="B181" s="40" t="s">
        <v>674</v>
      </c>
      <c r="C181" s="67">
        <v>1026.8494000000001</v>
      </c>
      <c r="D181" s="67">
        <v>1024.3688</v>
      </c>
      <c r="E181" s="64"/>
      <c r="F181" s="68"/>
      <c r="G181" s="69"/>
    </row>
    <row r="182" spans="1:8" ht="25.5" x14ac:dyDescent="0.2">
      <c r="A182" s="64"/>
      <c r="B182" s="40" t="s">
        <v>675</v>
      </c>
      <c r="C182" s="67">
        <v>1132.0164</v>
      </c>
      <c r="D182" s="67">
        <v>1135.3318999999999</v>
      </c>
      <c r="E182" s="64"/>
      <c r="F182" s="68"/>
      <c r="G182" s="69"/>
    </row>
    <row r="183" spans="1:8" x14ac:dyDescent="0.2">
      <c r="A183" s="64"/>
      <c r="B183" s="40" t="s">
        <v>113</v>
      </c>
      <c r="C183" s="67">
        <v>2201.0934000000002</v>
      </c>
      <c r="D183" s="67">
        <v>2207.3768</v>
      </c>
      <c r="E183" s="64"/>
      <c r="F183" s="68"/>
      <c r="G183" s="69"/>
    </row>
    <row r="184" spans="1:8" x14ac:dyDescent="0.2">
      <c r="A184" s="64"/>
      <c r="B184" s="40" t="s">
        <v>141</v>
      </c>
      <c r="C184" s="67">
        <v>1218.3717999999999</v>
      </c>
      <c r="D184" s="67">
        <v>1221.8498999999999</v>
      </c>
      <c r="E184" s="64"/>
      <c r="F184" s="68"/>
      <c r="G184" s="69"/>
    </row>
    <row r="185" spans="1:8" ht="25.5" x14ac:dyDescent="0.2">
      <c r="A185" s="64"/>
      <c r="B185" s="40" t="s">
        <v>678</v>
      </c>
      <c r="C185" s="67">
        <v>1026.7211</v>
      </c>
      <c r="D185" s="67">
        <v>1024.308</v>
      </c>
      <c r="E185" s="64"/>
      <c r="F185" s="68"/>
      <c r="G185" s="69"/>
    </row>
    <row r="186" spans="1:8" ht="25.5" x14ac:dyDescent="0.2">
      <c r="A186" s="64"/>
      <c r="B186" s="40" t="s">
        <v>648</v>
      </c>
      <c r="C186" s="67">
        <v>1128.1198999999999</v>
      </c>
      <c r="D186" s="67">
        <v>1131.3404</v>
      </c>
      <c r="E186" s="64"/>
      <c r="F186" s="68"/>
      <c r="G186" s="69"/>
    </row>
    <row r="187" spans="1:8" x14ac:dyDescent="0.2">
      <c r="A187" s="64"/>
      <c r="B187" s="64"/>
      <c r="C187" s="64"/>
      <c r="D187" s="64"/>
      <c r="E187" s="64"/>
      <c r="F187" s="64"/>
      <c r="G187" s="64"/>
    </row>
    <row r="188" spans="1:8" x14ac:dyDescent="0.2">
      <c r="A188" s="64"/>
      <c r="B188" s="134" t="s">
        <v>649</v>
      </c>
      <c r="C188" s="135"/>
      <c r="D188" s="30" t="s">
        <v>11</v>
      </c>
      <c r="E188" s="64"/>
      <c r="F188" s="64"/>
      <c r="G188" s="64"/>
    </row>
    <row r="189" spans="1:8" x14ac:dyDescent="0.2">
      <c r="A189" s="64"/>
      <c r="B189" s="70" t="s">
        <v>111</v>
      </c>
      <c r="C189" s="71" t="s">
        <v>114</v>
      </c>
      <c r="D189" s="71" t="s">
        <v>115</v>
      </c>
      <c r="E189" s="64"/>
      <c r="F189" s="64"/>
      <c r="G189" s="64"/>
    </row>
    <row r="190" spans="1:8" ht="25.5" x14ac:dyDescent="0.2">
      <c r="A190" s="64"/>
      <c r="B190" s="40" t="s">
        <v>674</v>
      </c>
      <c r="C190" s="72">
        <v>5.4924999999999997</v>
      </c>
      <c r="D190" s="72">
        <v>5.4924999999999997</v>
      </c>
      <c r="E190" s="64"/>
      <c r="F190" s="68"/>
      <c r="G190" s="69"/>
    </row>
    <row r="191" spans="1:8" ht="25.5" x14ac:dyDescent="0.2">
      <c r="A191" s="64"/>
      <c r="B191" s="40" t="s">
        <v>678</v>
      </c>
      <c r="C191" s="72">
        <v>5.3441999999999998</v>
      </c>
      <c r="D191" s="72">
        <v>5.3441999999999998</v>
      </c>
      <c r="E191" s="64"/>
      <c r="F191" s="68"/>
      <c r="G191" s="69"/>
    </row>
    <row r="192" spans="1:8" x14ac:dyDescent="0.2">
      <c r="A192" s="64"/>
      <c r="B192" s="73"/>
      <c r="C192" s="73"/>
      <c r="D192" s="74"/>
      <c r="E192" s="64"/>
      <c r="F192" s="68"/>
      <c r="G192" s="69"/>
    </row>
    <row r="193" spans="1:18" s="11" customFormat="1" x14ac:dyDescent="0.2">
      <c r="A193" s="77"/>
      <c r="B193" s="136" t="s">
        <v>595</v>
      </c>
      <c r="C193" s="137"/>
      <c r="D193" s="17" t="s">
        <v>107</v>
      </c>
      <c r="E193" s="77"/>
      <c r="F193" s="77"/>
      <c r="G193" s="77"/>
      <c r="I193"/>
      <c r="J193" s="2"/>
      <c r="K193" s="9"/>
      <c r="L193" s="9"/>
      <c r="M193" s="9"/>
      <c r="N193" s="9"/>
      <c r="O193" s="15"/>
      <c r="P193"/>
      <c r="Q193"/>
    </row>
    <row r="194" spans="1:18" ht="27.75" customHeight="1" x14ac:dyDescent="0.2">
      <c r="A194" s="18"/>
      <c r="B194" s="136" t="s">
        <v>596</v>
      </c>
      <c r="C194" s="137"/>
      <c r="D194" s="17" t="s">
        <v>107</v>
      </c>
      <c r="E194" s="19"/>
      <c r="F194" s="18"/>
      <c r="G194" s="18"/>
    </row>
    <row r="195" spans="1:18" ht="26.25" customHeight="1" x14ac:dyDescent="0.2">
      <c r="A195" s="18"/>
      <c r="B195" s="136" t="s">
        <v>597</v>
      </c>
      <c r="C195" s="137"/>
      <c r="D195" s="17" t="s">
        <v>107</v>
      </c>
      <c r="E195" s="19"/>
      <c r="F195" s="18"/>
      <c r="G195" s="18"/>
    </row>
    <row r="196" spans="1:18" x14ac:dyDescent="0.2">
      <c r="A196" s="18"/>
      <c r="B196" s="136" t="s">
        <v>598</v>
      </c>
      <c r="C196" s="137"/>
      <c r="D196" s="17" t="s">
        <v>107</v>
      </c>
      <c r="E196" s="19"/>
      <c r="F196" s="18"/>
      <c r="G196" s="18"/>
    </row>
    <row r="197" spans="1:18" x14ac:dyDescent="0.2">
      <c r="A197" s="20"/>
      <c r="B197" s="20"/>
      <c r="C197" s="20"/>
      <c r="D197" s="20"/>
      <c r="E197" s="20"/>
      <c r="F197" s="20"/>
      <c r="G197" s="20"/>
    </row>
    <row r="198" spans="1:18" s="11" customFormat="1" x14ac:dyDescent="0.2">
      <c r="B198" s="79" t="s">
        <v>682</v>
      </c>
      <c r="C198" s="79"/>
      <c r="D198" s="79"/>
      <c r="E198" s="79"/>
      <c r="F198" s="79"/>
      <c r="G198" s="79"/>
      <c r="I198"/>
      <c r="J198" s="2"/>
      <c r="K198" s="9"/>
      <c r="L198" s="9"/>
      <c r="M198" s="9"/>
      <c r="N198" s="9"/>
      <c r="O198"/>
    </row>
    <row r="199" spans="1:18" s="11" customFormat="1" x14ac:dyDescent="0.2">
      <c r="B199" s="79"/>
      <c r="C199" s="79"/>
      <c r="D199" s="79"/>
      <c r="E199" s="79"/>
      <c r="F199" s="79"/>
      <c r="G199" s="79"/>
      <c r="I199"/>
      <c r="J199" s="2"/>
      <c r="K199" s="9"/>
      <c r="L199" s="9"/>
      <c r="M199" s="9"/>
      <c r="N199" s="9"/>
      <c r="O199"/>
    </row>
    <row r="200" spans="1:18" s="11" customFormat="1" ht="63.75" x14ac:dyDescent="0.2">
      <c r="B200" s="82" t="s">
        <v>602</v>
      </c>
      <c r="C200" s="82" t="s">
        <v>601</v>
      </c>
      <c r="D200" s="82" t="s">
        <v>631</v>
      </c>
      <c r="E200" s="82" t="s">
        <v>632</v>
      </c>
      <c r="F200" s="82" t="s">
        <v>605</v>
      </c>
      <c r="I200"/>
      <c r="J200" s="2"/>
      <c r="K200" s="9"/>
      <c r="L200" s="9"/>
      <c r="M200" s="9"/>
      <c r="N200" s="9"/>
      <c r="O200"/>
    </row>
    <row r="201" spans="1:18" s="11" customFormat="1" ht="25.5" x14ac:dyDescent="0.2">
      <c r="B201" s="13" t="s">
        <v>607</v>
      </c>
      <c r="C201" s="84" t="s">
        <v>606</v>
      </c>
      <c r="D201" s="96">
        <v>0</v>
      </c>
      <c r="E201" s="24">
        <v>0</v>
      </c>
      <c r="F201" s="85">
        <v>5650</v>
      </c>
      <c r="I201"/>
      <c r="J201" s="2"/>
      <c r="K201" s="9"/>
      <c r="L201" s="9"/>
      <c r="M201" s="9"/>
      <c r="N201" s="9"/>
      <c r="O201"/>
      <c r="R201"/>
    </row>
    <row r="202" spans="1:18" s="11" customFormat="1" x14ac:dyDescent="0.2">
      <c r="I202"/>
      <c r="J202" s="2"/>
      <c r="K202" s="9"/>
      <c r="L202" s="9"/>
      <c r="M202" s="9"/>
      <c r="N202" s="9"/>
      <c r="O202"/>
      <c r="R202"/>
    </row>
    <row r="203" spans="1:18" s="11" customFormat="1" x14ac:dyDescent="0.2">
      <c r="B203" s="139" t="s">
        <v>587</v>
      </c>
      <c r="C203" s="140"/>
      <c r="D203" s="141"/>
      <c r="I203"/>
      <c r="J203" s="2"/>
      <c r="K203" s="9"/>
      <c r="L203" s="9"/>
      <c r="M203" s="9"/>
      <c r="N203" s="9"/>
      <c r="O203"/>
      <c r="R203"/>
    </row>
    <row r="204" spans="1:18" s="11" customFormat="1" ht="25.5" x14ac:dyDescent="0.2">
      <c r="B204" s="129" t="s">
        <v>588</v>
      </c>
      <c r="C204" s="129"/>
      <c r="D204" s="12" t="s">
        <v>259</v>
      </c>
      <c r="I204"/>
      <c r="J204" s="2"/>
      <c r="K204" s="9"/>
      <c r="L204" s="9"/>
      <c r="M204" s="9"/>
      <c r="N204" s="9"/>
      <c r="O204"/>
      <c r="R204"/>
    </row>
    <row r="205" spans="1:18" s="11" customFormat="1" x14ac:dyDescent="0.2">
      <c r="B205" s="142" t="s">
        <v>589</v>
      </c>
      <c r="C205" s="142"/>
      <c r="D205" s="13"/>
      <c r="I205"/>
      <c r="J205" s="2"/>
      <c r="K205" s="9"/>
      <c r="L205" s="9"/>
      <c r="M205" s="9"/>
      <c r="N205" s="9"/>
      <c r="O205"/>
      <c r="R205"/>
    </row>
    <row r="206" spans="1:18" s="11" customFormat="1" x14ac:dyDescent="0.2">
      <c r="B206" s="142"/>
      <c r="C206" s="142"/>
      <c r="D206" s="14"/>
      <c r="I206"/>
      <c r="J206" s="2"/>
      <c r="K206" s="9"/>
      <c r="L206" s="9"/>
      <c r="M206" s="9"/>
      <c r="N206" s="9"/>
      <c r="O206"/>
      <c r="R206"/>
    </row>
    <row r="207" spans="1:18" s="11" customFormat="1" x14ac:dyDescent="0.2">
      <c r="B207" s="142" t="s">
        <v>590</v>
      </c>
      <c r="C207" s="142"/>
      <c r="D207" s="16">
        <v>6.9553820796106764</v>
      </c>
      <c r="I207"/>
      <c r="J207" s="2"/>
      <c r="K207" s="9"/>
      <c r="L207" s="9"/>
      <c r="M207" s="9"/>
      <c r="N207" s="9"/>
      <c r="O207"/>
      <c r="R207"/>
    </row>
    <row r="208" spans="1:18" s="11" customFormat="1" x14ac:dyDescent="0.2">
      <c r="B208" s="142"/>
      <c r="C208" s="142"/>
      <c r="D208" s="14"/>
      <c r="I208"/>
      <c r="J208" s="2"/>
      <c r="K208" s="9"/>
      <c r="L208" s="9"/>
      <c r="M208" s="9"/>
      <c r="N208" s="9"/>
      <c r="O208"/>
      <c r="R208"/>
    </row>
    <row r="209" spans="2:18" s="11" customFormat="1" x14ac:dyDescent="0.2">
      <c r="B209" s="142" t="s">
        <v>591</v>
      </c>
      <c r="C209" s="142"/>
      <c r="D209" s="16">
        <v>0.10484325950557852</v>
      </c>
      <c r="I209"/>
      <c r="J209" s="2"/>
      <c r="K209" s="9"/>
      <c r="L209" s="9"/>
      <c r="M209" s="9"/>
      <c r="N209" s="9"/>
      <c r="O209"/>
      <c r="R209"/>
    </row>
    <row r="210" spans="2:18" s="11" customFormat="1" x14ac:dyDescent="0.2">
      <c r="B210" s="142" t="s">
        <v>592</v>
      </c>
      <c r="C210" s="142"/>
      <c r="D210" s="16">
        <v>0.10508988276916918</v>
      </c>
      <c r="I210"/>
      <c r="J210" s="2"/>
      <c r="K210" s="9"/>
      <c r="L210" s="9"/>
      <c r="M210" s="9"/>
      <c r="N210" s="9"/>
      <c r="O210"/>
      <c r="R210"/>
    </row>
    <row r="211" spans="2:18" s="11" customFormat="1" x14ac:dyDescent="0.2">
      <c r="B211" s="142"/>
      <c r="C211" s="142"/>
      <c r="D211" s="14"/>
      <c r="I211"/>
      <c r="J211" s="2"/>
      <c r="K211" s="9"/>
      <c r="L211" s="9"/>
      <c r="M211" s="9"/>
      <c r="N211" s="9"/>
      <c r="O211"/>
      <c r="P211"/>
      <c r="Q211"/>
      <c r="R211"/>
    </row>
    <row r="212" spans="2:18" s="11" customFormat="1" x14ac:dyDescent="0.2">
      <c r="B212" s="142" t="s">
        <v>593</v>
      </c>
      <c r="C212" s="142"/>
      <c r="D212" s="75" t="s">
        <v>681</v>
      </c>
      <c r="I212"/>
      <c r="J212" s="2"/>
      <c r="K212" s="9"/>
      <c r="L212" s="9"/>
      <c r="M212" s="9"/>
      <c r="N212" s="9"/>
      <c r="O212" s="15"/>
    </row>
    <row r="213" spans="2:18" s="11" customFormat="1" x14ac:dyDescent="0.2">
      <c r="B213" s="143" t="s">
        <v>594</v>
      </c>
      <c r="C213" s="145"/>
      <c r="D213" s="144"/>
      <c r="I213"/>
      <c r="J213" s="2"/>
      <c r="K213" s="9"/>
      <c r="L213" s="9"/>
      <c r="M213" s="9"/>
      <c r="N213" s="9"/>
      <c r="O213"/>
      <c r="P213"/>
      <c r="Q213"/>
      <c r="R213"/>
    </row>
  </sheetData>
  <mergeCells count="27">
    <mergeCell ref="B213:D213"/>
    <mergeCell ref="B206:C206"/>
    <mergeCell ref="B207:C207"/>
    <mergeCell ref="B208:C208"/>
    <mergeCell ref="B209:C209"/>
    <mergeCell ref="B210:C210"/>
    <mergeCell ref="B203:D203"/>
    <mergeCell ref="B204:C204"/>
    <mergeCell ref="B205:C205"/>
    <mergeCell ref="B211:C211"/>
    <mergeCell ref="B212:C212"/>
    <mergeCell ref="A1:H1"/>
    <mergeCell ref="A2:H2"/>
    <mergeCell ref="A3:H3"/>
    <mergeCell ref="B168:H168"/>
    <mergeCell ref="B169:H169"/>
    <mergeCell ref="B170:H170"/>
    <mergeCell ref="B195:C195"/>
    <mergeCell ref="B196:C196"/>
    <mergeCell ref="B173:D173"/>
    <mergeCell ref="B174:C174"/>
    <mergeCell ref="B175:C175"/>
    <mergeCell ref="B176:C176"/>
    <mergeCell ref="B188:C188"/>
    <mergeCell ref="B194:C194"/>
    <mergeCell ref="B171:H171"/>
    <mergeCell ref="B193:C193"/>
  </mergeCells>
  <hyperlinks>
    <hyperlink ref="I1" location="Index!B2" display="Index" xr:uid="{E362F456-2594-4263-AEB1-FB458D5D733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DBDFD-4D16-45EA-B275-A897938A3BF3}">
  <sheetPr>
    <outlinePr summaryBelow="0" summaryRight="0"/>
  </sheetPr>
  <dimension ref="A1:S172"/>
  <sheetViews>
    <sheetView showGridLines="0" workbookViewId="0">
      <selection sqref="A1:XFD1048576"/>
    </sheetView>
  </sheetViews>
  <sheetFormatPr defaultRowHeight="12.75" x14ac:dyDescent="0.2"/>
  <cols>
    <col min="1" max="1" width="5.85546875" bestFit="1" customWidth="1"/>
    <col min="2" max="2" width="20.28515625" bestFit="1" customWidth="1"/>
    <col min="3" max="3" width="39.140625" bestFit="1" customWidth="1"/>
    <col min="4" max="4" width="11.28515625" bestFit="1" customWidth="1"/>
    <col min="5" max="5" width="8.7109375" bestFit="1" customWidth="1"/>
    <col min="6" max="6" width="10.140625" bestFit="1" customWidth="1"/>
    <col min="7" max="7" width="14" bestFit="1" customWidth="1"/>
    <col min="8" max="8" width="12" customWidth="1"/>
    <col min="9" max="9" width="12.28515625" customWidth="1"/>
    <col min="10" max="10" width="50.7109375" style="2" customWidth="1"/>
  </cols>
  <sheetData>
    <row r="1" spans="1:10" ht="15" x14ac:dyDescent="0.2">
      <c r="A1" s="130" t="s">
        <v>0</v>
      </c>
      <c r="B1" s="130"/>
      <c r="C1" s="130"/>
      <c r="D1" s="130"/>
      <c r="E1" s="130"/>
      <c r="F1" s="130"/>
      <c r="G1" s="130"/>
      <c r="H1" s="130"/>
      <c r="I1" s="1" t="s">
        <v>562</v>
      </c>
    </row>
    <row r="2" spans="1:10" ht="15" x14ac:dyDescent="0.2">
      <c r="A2" s="130" t="s">
        <v>419</v>
      </c>
      <c r="B2" s="130"/>
      <c r="C2" s="130"/>
      <c r="D2" s="130"/>
      <c r="E2" s="130"/>
      <c r="F2" s="130"/>
      <c r="G2" s="130"/>
      <c r="H2" s="130"/>
      <c r="J2" s="26" t="s">
        <v>563</v>
      </c>
    </row>
    <row r="3" spans="1:10" ht="15" x14ac:dyDescent="0.2">
      <c r="A3" s="130" t="s">
        <v>579</v>
      </c>
      <c r="B3" s="130"/>
      <c r="C3" s="130"/>
      <c r="D3" s="130"/>
      <c r="E3" s="130"/>
      <c r="F3" s="130"/>
      <c r="G3" s="130"/>
      <c r="H3" s="130"/>
    </row>
    <row r="4" spans="1:10" s="2" customFormat="1" ht="30" x14ac:dyDescent="0.2">
      <c r="A4" s="27" t="s">
        <v>1</v>
      </c>
      <c r="B4" s="27" t="s">
        <v>2</v>
      </c>
      <c r="C4" s="27" t="s">
        <v>3</v>
      </c>
      <c r="D4" s="27" t="s">
        <v>4</v>
      </c>
      <c r="E4" s="27" t="s">
        <v>5</v>
      </c>
      <c r="F4" s="27" t="s">
        <v>6</v>
      </c>
      <c r="G4" s="27" t="s">
        <v>7</v>
      </c>
      <c r="H4" s="28" t="s">
        <v>564</v>
      </c>
    </row>
    <row r="5" spans="1:10" x14ac:dyDescent="0.2">
      <c r="A5" s="29"/>
      <c r="B5" s="29"/>
      <c r="C5" s="30" t="s">
        <v>8</v>
      </c>
      <c r="D5" s="29"/>
      <c r="E5" s="29"/>
      <c r="F5" s="29"/>
      <c r="G5" s="29"/>
      <c r="H5" s="31" t="str">
        <f>IFERROR(VLOOKUP(B5,'[1]Debt Holding Consolidated'!$C$1:$AM$65536,12,FALSE),"")</f>
        <v/>
      </c>
    </row>
    <row r="6" spans="1:10" x14ac:dyDescent="0.2">
      <c r="A6" s="29"/>
      <c r="B6" s="29"/>
      <c r="C6" s="30" t="s">
        <v>9</v>
      </c>
      <c r="D6" s="29"/>
      <c r="E6" s="29"/>
      <c r="F6" s="29"/>
      <c r="G6" s="29"/>
      <c r="H6" s="31" t="str">
        <f>IFERROR(VLOOKUP(B6,'[1]Debt Holding Consolidated'!$C$1:$AM$65536,12,FALSE),"")</f>
        <v/>
      </c>
    </row>
    <row r="7" spans="1:10" x14ac:dyDescent="0.2">
      <c r="A7" s="29"/>
      <c r="B7" s="29"/>
      <c r="C7" s="30" t="s">
        <v>10</v>
      </c>
      <c r="D7" s="29"/>
      <c r="E7" s="29" t="s">
        <v>11</v>
      </c>
      <c r="F7" s="32" t="s">
        <v>12</v>
      </c>
      <c r="G7" s="33">
        <v>0</v>
      </c>
      <c r="H7" s="31" t="str">
        <f>IFERROR(VLOOKUP(B7,'[1]Debt Holding Consolidated'!$C$1:$AM$65536,12,FALSE),"")</f>
        <v/>
      </c>
    </row>
    <row r="8" spans="1:10" x14ac:dyDescent="0.2">
      <c r="A8" s="29"/>
      <c r="B8" s="29"/>
      <c r="C8" s="34"/>
      <c r="D8" s="29"/>
      <c r="E8" s="29"/>
      <c r="F8" s="35"/>
      <c r="G8" s="35"/>
      <c r="H8" s="31" t="str">
        <f>IFERROR(VLOOKUP(B8,'[1]Debt Holding Consolidated'!$C$1:$AM$65536,12,FALSE),"")</f>
        <v/>
      </c>
    </row>
    <row r="9" spans="1:10" x14ac:dyDescent="0.2">
      <c r="A9" s="29"/>
      <c r="B9" s="29"/>
      <c r="C9" s="30" t="s">
        <v>13</v>
      </c>
      <c r="D9" s="29"/>
      <c r="E9" s="29"/>
      <c r="F9" s="29"/>
      <c r="G9" s="29"/>
      <c r="H9" s="31" t="str">
        <f>IFERROR(VLOOKUP(B9,'[1]Debt Holding Consolidated'!$C$1:$AM$65536,12,FALSE),"")</f>
        <v/>
      </c>
    </row>
    <row r="10" spans="1:10" x14ac:dyDescent="0.2">
      <c r="A10" s="29"/>
      <c r="B10" s="29"/>
      <c r="C10" s="30" t="s">
        <v>10</v>
      </c>
      <c r="D10" s="29"/>
      <c r="E10" s="29" t="s">
        <v>11</v>
      </c>
      <c r="F10" s="32" t="s">
        <v>12</v>
      </c>
      <c r="G10" s="33">
        <v>0</v>
      </c>
      <c r="H10" s="31" t="str">
        <f>IFERROR(VLOOKUP(B10,'[1]Debt Holding Consolidated'!$C$1:$AM$65536,12,FALSE),"")</f>
        <v/>
      </c>
    </row>
    <row r="11" spans="1:10" x14ac:dyDescent="0.2">
      <c r="A11" s="29"/>
      <c r="B11" s="29"/>
      <c r="C11" s="34"/>
      <c r="D11" s="29"/>
      <c r="E11" s="29"/>
      <c r="F11" s="35"/>
      <c r="G11" s="35"/>
      <c r="H11" s="31" t="str">
        <f>IFERROR(VLOOKUP(B11,'[1]Debt Holding Consolidated'!$C$1:$AM$65536,12,FALSE),"")</f>
        <v/>
      </c>
    </row>
    <row r="12" spans="1:10" ht="15" x14ac:dyDescent="0.2">
      <c r="A12" s="29"/>
      <c r="B12" s="29"/>
      <c r="C12" s="30" t="s">
        <v>14</v>
      </c>
      <c r="D12" s="29"/>
      <c r="E12" s="29"/>
      <c r="F12" s="29"/>
      <c r="G12" s="29"/>
      <c r="H12" s="31" t="str">
        <f>IFERROR(VLOOKUP(B12,'[1]Debt Holding Consolidated'!$C$1:$AM$65536,12,FALSE),"")</f>
        <v/>
      </c>
      <c r="J12" s="36"/>
    </row>
    <row r="13" spans="1:10" x14ac:dyDescent="0.2">
      <c r="A13" s="29"/>
      <c r="B13" s="29"/>
      <c r="C13" s="30" t="s">
        <v>10</v>
      </c>
      <c r="D13" s="29"/>
      <c r="E13" s="29" t="s">
        <v>11</v>
      </c>
      <c r="F13" s="32" t="s">
        <v>12</v>
      </c>
      <c r="G13" s="33">
        <v>0</v>
      </c>
      <c r="H13" s="31" t="str">
        <f>IFERROR(VLOOKUP(B13,'[1]Debt Holding Consolidated'!$C$1:$AM$65536,12,FALSE),"")</f>
        <v/>
      </c>
      <c r="J13" s="37"/>
    </row>
    <row r="14" spans="1:10" ht="25.5" x14ac:dyDescent="0.2">
      <c r="A14" s="29"/>
      <c r="B14" s="29"/>
      <c r="C14" s="34"/>
      <c r="D14" s="29"/>
      <c r="E14" s="29"/>
      <c r="F14" s="35"/>
      <c r="G14" s="35"/>
      <c r="H14" s="31" t="str">
        <f>IFERROR(VLOOKUP(B14,'[1]Debt Holding Consolidated'!$C$1:$AM$65536,12,FALSE),"")</f>
        <v/>
      </c>
      <c r="J14" s="37" t="s">
        <v>644</v>
      </c>
    </row>
    <row r="15" spans="1:10" x14ac:dyDescent="0.2">
      <c r="A15" s="29"/>
      <c r="B15" s="29"/>
      <c r="C15" s="30" t="s">
        <v>15</v>
      </c>
      <c r="D15" s="29"/>
      <c r="E15" s="29"/>
      <c r="F15" s="29"/>
      <c r="G15" s="29"/>
      <c r="H15" s="31" t="str">
        <f>IFERROR(VLOOKUP(B15,'[1]Debt Holding Consolidated'!$C$1:$AM$65536,12,FALSE),"")</f>
        <v/>
      </c>
    </row>
    <row r="16" spans="1:10" x14ac:dyDescent="0.2">
      <c r="A16" s="29"/>
      <c r="B16" s="29"/>
      <c r="C16" s="30" t="s">
        <v>10</v>
      </c>
      <c r="D16" s="29"/>
      <c r="E16" s="29" t="s">
        <v>11</v>
      </c>
      <c r="F16" s="32" t="s">
        <v>12</v>
      </c>
      <c r="G16" s="33">
        <v>0</v>
      </c>
      <c r="H16" s="31" t="str">
        <f>IFERROR(VLOOKUP(B16,'[1]Debt Holding Consolidated'!$C$1:$AM$65536,12,FALSE),"")</f>
        <v/>
      </c>
    </row>
    <row r="17" spans="1:10" x14ac:dyDescent="0.2">
      <c r="A17" s="29"/>
      <c r="B17" s="29"/>
      <c r="C17" s="34"/>
      <c r="D17" s="29"/>
      <c r="E17" s="29"/>
      <c r="F17" s="35"/>
      <c r="G17" s="35"/>
      <c r="H17" s="31" t="str">
        <f>IFERROR(VLOOKUP(B17,'[1]Debt Holding Consolidated'!$C$1:$AM$65536,12,FALSE),"")</f>
        <v/>
      </c>
    </row>
    <row r="18" spans="1:10" x14ac:dyDescent="0.2">
      <c r="A18" s="29"/>
      <c r="B18" s="29"/>
      <c r="C18" s="30" t="s">
        <v>16</v>
      </c>
      <c r="D18" s="29"/>
      <c r="E18" s="29"/>
      <c r="F18" s="35"/>
      <c r="G18" s="35"/>
      <c r="H18" s="31" t="str">
        <f>IFERROR(VLOOKUP(B18,'[1]Debt Holding Consolidated'!$C$1:$AM$65536,12,FALSE),"")</f>
        <v/>
      </c>
    </row>
    <row r="19" spans="1:10" x14ac:dyDescent="0.2">
      <c r="A19" s="29"/>
      <c r="B19" s="29"/>
      <c r="C19" s="30" t="s">
        <v>10</v>
      </c>
      <c r="D19" s="29"/>
      <c r="E19" s="29" t="s">
        <v>11</v>
      </c>
      <c r="F19" s="32" t="s">
        <v>12</v>
      </c>
      <c r="G19" s="33">
        <v>0</v>
      </c>
      <c r="H19" s="31" t="str">
        <f>IFERROR(VLOOKUP(B19,'[1]Debt Holding Consolidated'!$C$1:$AM$65536,12,FALSE),"")</f>
        <v/>
      </c>
    </row>
    <row r="20" spans="1:10" x14ac:dyDescent="0.2">
      <c r="A20" s="29"/>
      <c r="B20" s="29"/>
      <c r="C20" s="34"/>
      <c r="D20" s="29"/>
      <c r="E20" s="29"/>
      <c r="F20" s="35"/>
      <c r="G20" s="35"/>
      <c r="H20" s="31" t="str">
        <f>IFERROR(VLOOKUP(B20,'[1]Debt Holding Consolidated'!$C$1:$AM$65536,12,FALSE),"")</f>
        <v/>
      </c>
    </row>
    <row r="21" spans="1:10" x14ac:dyDescent="0.2">
      <c r="A21" s="29"/>
      <c r="B21" s="29"/>
      <c r="C21" s="30" t="s">
        <v>17</v>
      </c>
      <c r="D21" s="29"/>
      <c r="E21" s="29"/>
      <c r="F21" s="35"/>
      <c r="G21" s="35"/>
      <c r="H21" s="31" t="str">
        <f>IFERROR(VLOOKUP(B21,'[1]Debt Holding Consolidated'!$C$1:$AM$65536,12,FALSE),"")</f>
        <v/>
      </c>
    </row>
    <row r="22" spans="1:10" ht="15" x14ac:dyDescent="0.2">
      <c r="A22" s="29"/>
      <c r="B22" s="29"/>
      <c r="C22" s="30" t="s">
        <v>10</v>
      </c>
      <c r="D22" s="29"/>
      <c r="E22" s="29" t="s">
        <v>11</v>
      </c>
      <c r="F22" s="32" t="s">
        <v>12</v>
      </c>
      <c r="G22" s="33">
        <v>0</v>
      </c>
      <c r="H22" s="31" t="str">
        <f>IFERROR(VLOOKUP(B22,'[1]Debt Holding Consolidated'!$C$1:$AM$65536,12,FALSE),"")</f>
        <v/>
      </c>
      <c r="J22" s="36"/>
    </row>
    <row r="23" spans="1:10" x14ac:dyDescent="0.2">
      <c r="A23" s="29"/>
      <c r="B23" s="29"/>
      <c r="C23" s="34"/>
      <c r="D23" s="29"/>
      <c r="E23" s="29"/>
      <c r="F23" s="35"/>
      <c r="G23" s="35"/>
      <c r="H23" s="31" t="str">
        <f>IFERROR(VLOOKUP(B23,'[1]Debt Holding Consolidated'!$C$1:$AM$65536,12,FALSE),"")</f>
        <v/>
      </c>
      <c r="J23" s="37"/>
    </row>
    <row r="24" spans="1:10" x14ac:dyDescent="0.2">
      <c r="A24" s="29"/>
      <c r="B24" s="29"/>
      <c r="C24" s="30" t="s">
        <v>18</v>
      </c>
      <c r="D24" s="29"/>
      <c r="E24" s="29"/>
      <c r="F24" s="38">
        <v>0</v>
      </c>
      <c r="G24" s="33">
        <v>0</v>
      </c>
      <c r="H24" s="31" t="str">
        <f>IFERROR(VLOOKUP(B24,'[1]Debt Holding Consolidated'!$C$1:$AM$65536,12,FALSE),"")</f>
        <v/>
      </c>
    </row>
    <row r="25" spans="1:10" x14ac:dyDescent="0.2">
      <c r="A25" s="29"/>
      <c r="B25" s="29"/>
      <c r="C25" s="34"/>
      <c r="D25" s="29"/>
      <c r="E25" s="29"/>
      <c r="F25" s="35"/>
      <c r="G25" s="35"/>
      <c r="H25" s="31" t="str">
        <f>IFERROR(VLOOKUP(B25,'[1]Debt Holding Consolidated'!$C$1:$AM$65536,12,FALSE),"")</f>
        <v/>
      </c>
    </row>
    <row r="26" spans="1:10" x14ac:dyDescent="0.2">
      <c r="A26" s="29"/>
      <c r="B26" s="29"/>
      <c r="C26" s="30" t="s">
        <v>19</v>
      </c>
      <c r="D26" s="29"/>
      <c r="E26" s="29"/>
      <c r="F26" s="35"/>
      <c r="G26" s="35"/>
      <c r="H26" s="31" t="str">
        <f>IFERROR(VLOOKUP(B26,'[1]Debt Holding Consolidated'!$C$1:$AM$65536,12,FALSE),"")</f>
        <v/>
      </c>
    </row>
    <row r="27" spans="1:10" ht="25.5" x14ac:dyDescent="0.2">
      <c r="A27" s="29"/>
      <c r="B27" s="29"/>
      <c r="C27" s="30" t="s">
        <v>9</v>
      </c>
      <c r="D27" s="29"/>
      <c r="E27" s="29"/>
      <c r="F27" s="35"/>
      <c r="G27" s="35"/>
      <c r="H27" s="31" t="str">
        <f>IFERROR(VLOOKUP(B27,'[1]Debt Holding Consolidated'!$C$1:$AM$65536,12,FALSE),"")</f>
        <v/>
      </c>
      <c r="J27" s="2" t="s">
        <v>645</v>
      </c>
    </row>
    <row r="28" spans="1:10" x14ac:dyDescent="0.2">
      <c r="A28" s="39">
        <v>1</v>
      </c>
      <c r="B28" s="40" t="s">
        <v>214</v>
      </c>
      <c r="C28" s="40" t="s">
        <v>215</v>
      </c>
      <c r="D28" s="40" t="s">
        <v>216</v>
      </c>
      <c r="E28" s="41">
        <v>1100</v>
      </c>
      <c r="F28" s="42">
        <v>1104.0568000000001</v>
      </c>
      <c r="G28" s="43">
        <v>4.6604880000000001E-2</v>
      </c>
      <c r="H28" s="31">
        <f>IFERROR(VLOOKUP(B28,'[1]Debt Holding Consolidated'!$C$1:$AM$65536,12,FALSE),"")</f>
        <v>8.5</v>
      </c>
      <c r="J28" s="37"/>
    </row>
    <row r="29" spans="1:10" ht="25.5" x14ac:dyDescent="0.2">
      <c r="A29" s="39">
        <v>2</v>
      </c>
      <c r="B29" s="40" t="s">
        <v>420</v>
      </c>
      <c r="C29" s="40" t="s">
        <v>421</v>
      </c>
      <c r="D29" s="40" t="s">
        <v>22</v>
      </c>
      <c r="E29" s="41">
        <v>1000</v>
      </c>
      <c r="F29" s="42">
        <v>1009.771</v>
      </c>
      <c r="G29" s="43">
        <v>4.2624849999999999E-2</v>
      </c>
      <c r="H29" s="31">
        <f>IFERROR(VLOOKUP(B29,'[1]Debt Holding Consolidated'!$C$1:$AM$65536,12,FALSE),"")</f>
        <v>7.4160000000000004</v>
      </c>
    </row>
    <row r="30" spans="1:10" ht="25.5" x14ac:dyDescent="0.2">
      <c r="A30" s="39">
        <v>3</v>
      </c>
      <c r="B30" s="40" t="s">
        <v>36</v>
      </c>
      <c r="C30" s="40" t="s">
        <v>37</v>
      </c>
      <c r="D30" s="40" t="s">
        <v>22</v>
      </c>
      <c r="E30" s="41">
        <v>1000</v>
      </c>
      <c r="F30" s="42">
        <v>1005.968</v>
      </c>
      <c r="G30" s="43">
        <v>4.246432E-2</v>
      </c>
      <c r="H30" s="31">
        <f>IFERROR(VLOOKUP(B30,'[1]Debt Holding Consolidated'!$C$1:$AM$65536,12,FALSE),"")</f>
        <v>7.44</v>
      </c>
    </row>
    <row r="31" spans="1:10" ht="25.5" x14ac:dyDescent="0.2">
      <c r="A31" s="39">
        <v>4</v>
      </c>
      <c r="B31" s="40" t="s">
        <v>219</v>
      </c>
      <c r="C31" s="40" t="s">
        <v>220</v>
      </c>
      <c r="D31" s="40" t="s">
        <v>211</v>
      </c>
      <c r="E31" s="41">
        <v>1000</v>
      </c>
      <c r="F31" s="42">
        <v>1000.875</v>
      </c>
      <c r="G31" s="43">
        <v>4.2249330000000002E-2</v>
      </c>
      <c r="H31" s="31">
        <f>IFERROR(VLOOKUP(B31,'[1]Debt Holding Consolidated'!$C$1:$AM$65536,12,FALSE),"")</f>
        <v>8.1232000000000006</v>
      </c>
    </row>
    <row r="32" spans="1:10" ht="25.5" x14ac:dyDescent="0.2">
      <c r="A32" s="39">
        <v>5</v>
      </c>
      <c r="B32" s="40" t="s">
        <v>138</v>
      </c>
      <c r="C32" s="40" t="s">
        <v>139</v>
      </c>
      <c r="D32" s="40" t="s">
        <v>35</v>
      </c>
      <c r="E32" s="41">
        <v>100</v>
      </c>
      <c r="F32" s="42">
        <v>998.25300000000004</v>
      </c>
      <c r="G32" s="43">
        <v>4.213865E-2</v>
      </c>
      <c r="H32" s="31">
        <f>IFERROR(VLOOKUP(B32,'[1]Debt Holding Consolidated'!$C$1:$AM$65536,12,FALSE),"")</f>
        <v>7.66</v>
      </c>
    </row>
    <row r="33" spans="1:8" x14ac:dyDescent="0.2">
      <c r="A33" s="39">
        <v>6</v>
      </c>
      <c r="B33" s="40" t="s">
        <v>58</v>
      </c>
      <c r="C33" s="40" t="s">
        <v>59</v>
      </c>
      <c r="D33" s="40" t="s">
        <v>22</v>
      </c>
      <c r="E33" s="41">
        <v>50</v>
      </c>
      <c r="F33" s="42">
        <v>503.74599999999998</v>
      </c>
      <c r="G33" s="43">
        <v>2.1264330000000001E-2</v>
      </c>
      <c r="H33" s="31">
        <f>IFERROR(VLOOKUP(B33,'[1]Debt Holding Consolidated'!$C$1:$AM$65536,12,FALSE),"")</f>
        <v>7.66</v>
      </c>
    </row>
    <row r="34" spans="1:8" ht="25.5" x14ac:dyDescent="0.2">
      <c r="A34" s="39">
        <v>7</v>
      </c>
      <c r="B34" s="40" t="s">
        <v>422</v>
      </c>
      <c r="C34" s="40" t="s">
        <v>423</v>
      </c>
      <c r="D34" s="40" t="s">
        <v>35</v>
      </c>
      <c r="E34" s="41">
        <v>500</v>
      </c>
      <c r="F34" s="42">
        <v>502.78550000000001</v>
      </c>
      <c r="G34" s="43">
        <v>2.1223780000000001E-2</v>
      </c>
      <c r="H34" s="31">
        <f>IFERROR(VLOOKUP(B34,'[1]Debt Holding Consolidated'!$C$1:$AM$65536,12,FALSE),"")</f>
        <v>7.5</v>
      </c>
    </row>
    <row r="35" spans="1:8" ht="25.5" x14ac:dyDescent="0.2">
      <c r="A35" s="39">
        <v>8</v>
      </c>
      <c r="B35" s="40" t="s">
        <v>424</v>
      </c>
      <c r="C35" s="40" t="s">
        <v>425</v>
      </c>
      <c r="D35" s="40" t="s">
        <v>236</v>
      </c>
      <c r="E35" s="41">
        <v>500</v>
      </c>
      <c r="F35" s="42">
        <v>502.70299999999997</v>
      </c>
      <c r="G35" s="43">
        <v>2.1220300000000001E-2</v>
      </c>
      <c r="H35" s="31">
        <f>IFERROR(VLOOKUP(B35,'[1]Debt Holding Consolidated'!$C$1:$AM$65536,12,FALSE),"")</f>
        <v>8.3650000000000002</v>
      </c>
    </row>
    <row r="36" spans="1:8" x14ac:dyDescent="0.2">
      <c r="A36" s="39">
        <v>9</v>
      </c>
      <c r="B36" s="40" t="s">
        <v>124</v>
      </c>
      <c r="C36" s="40" t="s">
        <v>125</v>
      </c>
      <c r="D36" s="40" t="s">
        <v>22</v>
      </c>
      <c r="E36" s="41">
        <v>500</v>
      </c>
      <c r="F36" s="42">
        <v>502.35449999999997</v>
      </c>
      <c r="G36" s="43">
        <v>2.120559E-2</v>
      </c>
      <c r="H36" s="31">
        <f>IFERROR(VLOOKUP(B36,'[1]Debt Holding Consolidated'!$C$1:$AM$65536,12,FALSE),"")</f>
        <v>7.37</v>
      </c>
    </row>
    <row r="37" spans="1:8" x14ac:dyDescent="0.2">
      <c r="A37" s="39">
        <v>10</v>
      </c>
      <c r="B37" s="40" t="s">
        <v>206</v>
      </c>
      <c r="C37" s="40" t="s">
        <v>207</v>
      </c>
      <c r="D37" s="40" t="s">
        <v>208</v>
      </c>
      <c r="E37" s="41">
        <v>500</v>
      </c>
      <c r="F37" s="42">
        <v>500.44299999999998</v>
      </c>
      <c r="G37" s="43">
        <v>2.1124899999999999E-2</v>
      </c>
      <c r="H37" s="31">
        <f>IFERROR(VLOOKUP(B37,'[1]Debt Holding Consolidated'!$C$1:$AM$65536,12,FALSE),"")</f>
        <v>7.3250000000000002</v>
      </c>
    </row>
    <row r="38" spans="1:8" ht="25.5" x14ac:dyDescent="0.2">
      <c r="A38" s="39">
        <v>11</v>
      </c>
      <c r="B38" s="40" t="s">
        <v>60</v>
      </c>
      <c r="C38" s="40" t="s">
        <v>61</v>
      </c>
      <c r="D38" s="40" t="s">
        <v>22</v>
      </c>
      <c r="E38" s="41">
        <v>500</v>
      </c>
      <c r="F38" s="42">
        <v>499.95600000000002</v>
      </c>
      <c r="G38" s="43">
        <v>2.1104339999999999E-2</v>
      </c>
      <c r="H38" s="31">
        <f>IFERROR(VLOOKUP(B38,'[1]Debt Holding Consolidated'!$C$1:$AM$65536,12,FALSE),"")</f>
        <v>8.0150000000000006</v>
      </c>
    </row>
    <row r="39" spans="1:8" x14ac:dyDescent="0.2">
      <c r="A39" s="39">
        <v>12</v>
      </c>
      <c r="B39" s="40" t="s">
        <v>426</v>
      </c>
      <c r="C39" s="40" t="s">
        <v>427</v>
      </c>
      <c r="D39" s="40" t="s">
        <v>22</v>
      </c>
      <c r="E39" s="41">
        <v>500</v>
      </c>
      <c r="F39" s="42">
        <v>499.79599999999999</v>
      </c>
      <c r="G39" s="43">
        <v>2.1097589999999999E-2</v>
      </c>
      <c r="H39" s="31">
        <f>IFERROR(VLOOKUP(B39,'[1]Debt Holding Consolidated'!$C$1:$AM$65536,12,FALSE),"")</f>
        <v>7.5</v>
      </c>
    </row>
    <row r="40" spans="1:8" x14ac:dyDescent="0.2">
      <c r="A40" s="39">
        <v>13</v>
      </c>
      <c r="B40" s="40" t="s">
        <v>239</v>
      </c>
      <c r="C40" s="40" t="s">
        <v>240</v>
      </c>
      <c r="D40" s="40" t="s">
        <v>216</v>
      </c>
      <c r="E40" s="41">
        <v>500</v>
      </c>
      <c r="F40" s="42">
        <v>498.97399999999999</v>
      </c>
      <c r="G40" s="43">
        <v>2.1062890000000001E-2</v>
      </c>
      <c r="H40" s="31">
        <f>IFERROR(VLOOKUP(B40,'[1]Debt Holding Consolidated'!$C$1:$AM$65536,12,FALSE),"")</f>
        <v>8.8800000000000008</v>
      </c>
    </row>
    <row r="41" spans="1:8" ht="25.5" x14ac:dyDescent="0.2">
      <c r="A41" s="39">
        <v>14</v>
      </c>
      <c r="B41" s="40" t="s">
        <v>428</v>
      </c>
      <c r="C41" s="40" t="s">
        <v>429</v>
      </c>
      <c r="D41" s="40" t="s">
        <v>22</v>
      </c>
      <c r="E41" s="41">
        <v>50</v>
      </c>
      <c r="F41" s="42">
        <v>497.09500000000003</v>
      </c>
      <c r="G41" s="43">
        <v>2.098357E-2</v>
      </c>
      <c r="H41" s="31">
        <f>IFERROR(VLOOKUP(B41,'[1]Debt Holding Consolidated'!$C$1:$AM$65536,12,FALSE),"")</f>
        <v>7.5</v>
      </c>
    </row>
    <row r="42" spans="1:8" x14ac:dyDescent="0.2">
      <c r="A42" s="39">
        <v>15</v>
      </c>
      <c r="B42" s="40" t="s">
        <v>430</v>
      </c>
      <c r="C42" s="40" t="s">
        <v>431</v>
      </c>
      <c r="D42" s="40" t="s">
        <v>22</v>
      </c>
      <c r="E42" s="41">
        <v>50</v>
      </c>
      <c r="F42" s="42">
        <v>487.416</v>
      </c>
      <c r="G42" s="43">
        <v>2.0575E-2</v>
      </c>
      <c r="H42" s="31">
        <f>IFERROR(VLOOKUP(B42,'[1]Debt Holding Consolidated'!$C$1:$AM$65536,12,FALSE),"")</f>
        <v>7.7</v>
      </c>
    </row>
    <row r="43" spans="1:8" x14ac:dyDescent="0.2">
      <c r="A43" s="39">
        <v>16</v>
      </c>
      <c r="B43" s="40" t="s">
        <v>209</v>
      </c>
      <c r="C43" s="40" t="s">
        <v>210</v>
      </c>
      <c r="D43" s="40" t="s">
        <v>211</v>
      </c>
      <c r="E43" s="41">
        <v>300</v>
      </c>
      <c r="F43" s="42">
        <v>301.85039999999998</v>
      </c>
      <c r="G43" s="43">
        <v>1.2741830000000001E-2</v>
      </c>
      <c r="H43" s="31">
        <f>IFERROR(VLOOKUP(B43,'[1]Debt Holding Consolidated'!$C$1:$AM$65536,12,FALSE),"")</f>
        <v>7.9950000000000001</v>
      </c>
    </row>
    <row r="44" spans="1:8" x14ac:dyDescent="0.2">
      <c r="A44" s="29"/>
      <c r="B44" s="29"/>
      <c r="C44" s="30" t="s">
        <v>10</v>
      </c>
      <c r="D44" s="29"/>
      <c r="E44" s="29" t="s">
        <v>11</v>
      </c>
      <c r="F44" s="38">
        <v>10416.0432</v>
      </c>
      <c r="G44" s="33">
        <v>0.43968615</v>
      </c>
      <c r="H44" s="31" t="str">
        <f>IFERROR(VLOOKUP(B44,'[1]Debt Holding Consolidated'!$C$1:$AM$65536,12,FALSE),"")</f>
        <v/>
      </c>
    </row>
    <row r="45" spans="1:8" x14ac:dyDescent="0.2">
      <c r="A45" s="29"/>
      <c r="B45" s="29"/>
      <c r="C45" s="34"/>
      <c r="D45" s="29"/>
      <c r="E45" s="29"/>
      <c r="F45" s="35"/>
      <c r="G45" s="35"/>
      <c r="H45" s="31" t="str">
        <f>IFERROR(VLOOKUP(B45,'[1]Debt Holding Consolidated'!$C$1:$AM$65536,12,FALSE),"")</f>
        <v/>
      </c>
    </row>
    <row r="46" spans="1:8" x14ac:dyDescent="0.2">
      <c r="A46" s="29"/>
      <c r="B46" s="29"/>
      <c r="C46" s="30" t="s">
        <v>70</v>
      </c>
      <c r="D46" s="29"/>
      <c r="E46" s="29"/>
      <c r="F46" s="29"/>
      <c r="G46" s="29"/>
      <c r="H46" s="31" t="str">
        <f>IFERROR(VLOOKUP(B46,'[1]Debt Holding Consolidated'!$C$1:$AM$65536,12,FALSE),"")</f>
        <v/>
      </c>
    </row>
    <row r="47" spans="1:8" x14ac:dyDescent="0.2">
      <c r="A47" s="29"/>
      <c r="B47" s="29"/>
      <c r="C47" s="30" t="s">
        <v>10</v>
      </c>
      <c r="D47" s="29"/>
      <c r="E47" s="29" t="s">
        <v>11</v>
      </c>
      <c r="F47" s="32" t="s">
        <v>12</v>
      </c>
      <c r="G47" s="33">
        <v>0</v>
      </c>
      <c r="H47" s="31" t="str">
        <f>IFERROR(VLOOKUP(B47,'[1]Debt Holding Consolidated'!$C$1:$AM$65536,12,FALSE),"")</f>
        <v/>
      </c>
    </row>
    <row r="48" spans="1:8" x14ac:dyDescent="0.2">
      <c r="A48" s="29"/>
      <c r="B48" s="29"/>
      <c r="C48" s="34"/>
      <c r="D48" s="29"/>
      <c r="E48" s="29"/>
      <c r="F48" s="35"/>
      <c r="G48" s="35"/>
      <c r="H48" s="31" t="str">
        <f>IFERROR(VLOOKUP(B48,'[1]Debt Holding Consolidated'!$C$1:$AM$65536,12,FALSE),"")</f>
        <v/>
      </c>
    </row>
    <row r="49" spans="1:8" x14ac:dyDescent="0.2">
      <c r="A49" s="29"/>
      <c r="B49" s="29"/>
      <c r="C49" s="30" t="s">
        <v>71</v>
      </c>
      <c r="D49" s="29"/>
      <c r="E49" s="29"/>
      <c r="F49" s="29"/>
      <c r="G49" s="29"/>
      <c r="H49" s="31" t="str">
        <f>IFERROR(VLOOKUP(B49,'[1]Debt Holding Consolidated'!$C$1:$AM$65536,12,FALSE),"")</f>
        <v/>
      </c>
    </row>
    <row r="50" spans="1:8" ht="25.5" x14ac:dyDescent="0.2">
      <c r="A50" s="39">
        <v>1</v>
      </c>
      <c r="B50" s="40" t="s">
        <v>72</v>
      </c>
      <c r="C50" s="40" t="s">
        <v>73</v>
      </c>
      <c r="D50" s="40" t="s">
        <v>74</v>
      </c>
      <c r="E50" s="41">
        <v>3600000</v>
      </c>
      <c r="F50" s="42">
        <v>3657.8591999999999</v>
      </c>
      <c r="G50" s="43">
        <v>0.15440699999999999</v>
      </c>
      <c r="H50" s="31">
        <f>IFERROR(VLOOKUP(B50,'[1]Debt Holding Consolidated'!$C$1:$AM$65536,12,FALSE),"")</f>
        <v>6.9813999999999998</v>
      </c>
    </row>
    <row r="51" spans="1:8" x14ac:dyDescent="0.2">
      <c r="A51" s="39">
        <v>2</v>
      </c>
      <c r="B51" s="40" t="s">
        <v>81</v>
      </c>
      <c r="C51" s="40" t="s">
        <v>82</v>
      </c>
      <c r="D51" s="40" t="s">
        <v>74</v>
      </c>
      <c r="E51" s="41">
        <v>1500000</v>
      </c>
      <c r="F51" s="42">
        <v>1530.4725000000001</v>
      </c>
      <c r="G51" s="43">
        <v>6.4604910000000002E-2</v>
      </c>
      <c r="H51" s="31">
        <f>IFERROR(VLOOKUP(B51,'[1]Debt Holding Consolidated'!$C$1:$AM$65536,12,FALSE),"")</f>
        <v>6.8860000000000001</v>
      </c>
    </row>
    <row r="52" spans="1:8" ht="25.5" x14ac:dyDescent="0.2">
      <c r="A52" s="39">
        <v>3</v>
      </c>
      <c r="B52" s="40" t="s">
        <v>241</v>
      </c>
      <c r="C52" s="40" t="s">
        <v>242</v>
      </c>
      <c r="D52" s="40" t="s">
        <v>74</v>
      </c>
      <c r="E52" s="41">
        <v>1000000</v>
      </c>
      <c r="F52" s="42">
        <v>1014.824</v>
      </c>
      <c r="G52" s="43">
        <v>4.2838149999999998E-2</v>
      </c>
      <c r="H52" s="31">
        <f>IFERROR(VLOOKUP(B52,'[1]Debt Holding Consolidated'!$C$1:$AM$65536,12,FALSE),"")</f>
        <v>6.8573000000000004</v>
      </c>
    </row>
    <row r="53" spans="1:8" ht="25.5" x14ac:dyDescent="0.2">
      <c r="A53" s="39">
        <v>4</v>
      </c>
      <c r="B53" s="40" t="s">
        <v>432</v>
      </c>
      <c r="C53" s="40" t="s">
        <v>433</v>
      </c>
      <c r="D53" s="40" t="s">
        <v>74</v>
      </c>
      <c r="E53" s="41">
        <v>500000</v>
      </c>
      <c r="F53" s="42">
        <v>511.06099999999998</v>
      </c>
      <c r="G53" s="43">
        <v>2.157311E-2</v>
      </c>
      <c r="H53" s="31">
        <f>IFERROR(VLOOKUP(B53,'[1]Debt Holding Consolidated'!$C$1:$AM$65536,12,FALSE),"")</f>
        <v>7.2363</v>
      </c>
    </row>
    <row r="54" spans="1:8" x14ac:dyDescent="0.2">
      <c r="A54" s="39">
        <v>5</v>
      </c>
      <c r="B54" s="40" t="s">
        <v>85</v>
      </c>
      <c r="C54" s="40" t="s">
        <v>86</v>
      </c>
      <c r="D54" s="40" t="s">
        <v>74</v>
      </c>
      <c r="E54" s="41">
        <v>500000</v>
      </c>
      <c r="F54" s="42">
        <v>510.54450000000003</v>
      </c>
      <c r="G54" s="43">
        <v>2.1551310000000001E-2</v>
      </c>
      <c r="H54" s="31">
        <f>IFERROR(VLOOKUP(B54,'[1]Debt Holding Consolidated'!$C$1:$AM$65536,12,FALSE),"")</f>
        <v>7.0457000000000001</v>
      </c>
    </row>
    <row r="55" spans="1:8" ht="25.5" x14ac:dyDescent="0.2">
      <c r="A55" s="39">
        <v>6</v>
      </c>
      <c r="B55" s="40" t="s">
        <v>434</v>
      </c>
      <c r="C55" s="40" t="s">
        <v>633</v>
      </c>
      <c r="D55" s="40" t="s">
        <v>74</v>
      </c>
      <c r="E55" s="41">
        <v>500000</v>
      </c>
      <c r="F55" s="42">
        <v>503.74400000000003</v>
      </c>
      <c r="G55" s="43">
        <v>2.126424E-2</v>
      </c>
      <c r="H55" s="31">
        <f>IFERROR(VLOOKUP(B55,'[1]Debt Holding Consolidated'!$C$1:$AM$65536,12,FALSE),"")</f>
        <v>0</v>
      </c>
    </row>
    <row r="56" spans="1:8" x14ac:dyDescent="0.2">
      <c r="A56" s="29"/>
      <c r="B56" s="29"/>
      <c r="C56" s="30" t="s">
        <v>10</v>
      </c>
      <c r="D56" s="29"/>
      <c r="E56" s="29" t="s">
        <v>11</v>
      </c>
      <c r="F56" s="38">
        <v>7728.5051999999996</v>
      </c>
      <c r="G56" s="33">
        <v>0.32623871999999998</v>
      </c>
      <c r="H56" s="31" t="str">
        <f>IFERROR(VLOOKUP(B56,'[1]Debt Holding Consolidated'!$C$1:$AM$65536,12,FALSE),"")</f>
        <v/>
      </c>
    </row>
    <row r="57" spans="1:8" x14ac:dyDescent="0.2">
      <c r="A57" s="29"/>
      <c r="B57" s="29"/>
      <c r="C57" s="34"/>
      <c r="D57" s="29"/>
      <c r="E57" s="29"/>
      <c r="F57" s="35"/>
      <c r="G57" s="35"/>
      <c r="H57" s="31" t="str">
        <f>IFERROR(VLOOKUP(B57,'[1]Debt Holding Consolidated'!$C$1:$AM$65536,12,FALSE),"")</f>
        <v/>
      </c>
    </row>
    <row r="58" spans="1:8" x14ac:dyDescent="0.2">
      <c r="A58" s="29"/>
      <c r="B58" s="29"/>
      <c r="C58" s="30" t="s">
        <v>87</v>
      </c>
      <c r="D58" s="29"/>
      <c r="E58" s="29"/>
      <c r="F58" s="35"/>
      <c r="G58" s="35"/>
      <c r="H58" s="31" t="str">
        <f>IFERROR(VLOOKUP(B58,'[1]Debt Holding Consolidated'!$C$1:$AM$65536,12,FALSE),"")</f>
        <v/>
      </c>
    </row>
    <row r="59" spans="1:8" x14ac:dyDescent="0.2">
      <c r="A59" s="29"/>
      <c r="B59" s="29"/>
      <c r="C59" s="30" t="s">
        <v>10</v>
      </c>
      <c r="D59" s="29"/>
      <c r="E59" s="29" t="s">
        <v>11</v>
      </c>
      <c r="F59" s="32" t="s">
        <v>12</v>
      </c>
      <c r="G59" s="33">
        <v>0</v>
      </c>
      <c r="H59" s="31" t="str">
        <f>IFERROR(VLOOKUP(B59,'[1]Debt Holding Consolidated'!$C$1:$AM$65536,12,FALSE),"")</f>
        <v/>
      </c>
    </row>
    <row r="60" spans="1:8" x14ac:dyDescent="0.2">
      <c r="A60" s="29"/>
      <c r="B60" s="29"/>
      <c r="C60" s="34"/>
      <c r="D60" s="29"/>
      <c r="E60" s="29"/>
      <c r="F60" s="35"/>
      <c r="G60" s="35"/>
      <c r="H60" s="31" t="str">
        <f>IFERROR(VLOOKUP(B60,'[1]Debt Holding Consolidated'!$C$1:$AM$65536,12,FALSE),"")</f>
        <v/>
      </c>
    </row>
    <row r="61" spans="1:8" x14ac:dyDescent="0.2">
      <c r="A61" s="29"/>
      <c r="B61" s="29"/>
      <c r="C61" s="30" t="s">
        <v>88</v>
      </c>
      <c r="D61" s="29"/>
      <c r="E61" s="29"/>
      <c r="F61" s="38">
        <v>18144.5484</v>
      </c>
      <c r="G61" s="33">
        <v>0.76592486999999998</v>
      </c>
      <c r="H61" s="31" t="str">
        <f>IFERROR(VLOOKUP(B61,'[1]Debt Holding Consolidated'!$C$1:$AM$65536,12,FALSE),"")</f>
        <v/>
      </c>
    </row>
    <row r="62" spans="1:8" x14ac:dyDescent="0.2">
      <c r="A62" s="29"/>
      <c r="B62" s="29"/>
      <c r="C62" s="34"/>
      <c r="D62" s="29"/>
      <c r="E62" s="29"/>
      <c r="F62" s="35"/>
      <c r="G62" s="35"/>
      <c r="H62" s="31" t="str">
        <f>IFERROR(VLOOKUP(B62,'[1]Debt Holding Consolidated'!$C$1:$AM$65536,12,FALSE),"")</f>
        <v/>
      </c>
    </row>
    <row r="63" spans="1:8" x14ac:dyDescent="0.2">
      <c r="A63" s="29"/>
      <c r="B63" s="29"/>
      <c r="C63" s="30" t="s">
        <v>89</v>
      </c>
      <c r="D63" s="29"/>
      <c r="E63" s="29"/>
      <c r="F63" s="35"/>
      <c r="G63" s="35"/>
      <c r="H63" s="31" t="str">
        <f>IFERROR(VLOOKUP(B63,'[1]Debt Holding Consolidated'!$C$1:$AM$65536,12,FALSE),"")</f>
        <v/>
      </c>
    </row>
    <row r="64" spans="1:8" x14ac:dyDescent="0.2">
      <c r="A64" s="29"/>
      <c r="B64" s="29"/>
      <c r="C64" s="30" t="s">
        <v>90</v>
      </c>
      <c r="D64" s="29"/>
      <c r="E64" s="29"/>
      <c r="F64" s="35"/>
      <c r="G64" s="35"/>
      <c r="H64" s="31" t="str">
        <f>IFERROR(VLOOKUP(B64,'[1]Debt Holding Consolidated'!$C$1:$AM$65536,12,FALSE),"")</f>
        <v/>
      </c>
    </row>
    <row r="65" spans="1:8" x14ac:dyDescent="0.2">
      <c r="A65" s="39">
        <v>1</v>
      </c>
      <c r="B65" s="40" t="s">
        <v>169</v>
      </c>
      <c r="C65" s="40" t="s">
        <v>170</v>
      </c>
      <c r="D65" s="40" t="s">
        <v>150</v>
      </c>
      <c r="E65" s="41">
        <v>100</v>
      </c>
      <c r="F65" s="42">
        <v>492.70049999999998</v>
      </c>
      <c r="G65" s="43">
        <v>2.0798069999999998E-2</v>
      </c>
      <c r="H65" s="31">
        <f>IFERROR(VLOOKUP(B65,'[1]Debt Holding Consolidated'!$C$1:$AM$65536,12,FALSE),"")</f>
        <v>7.1151</v>
      </c>
    </row>
    <row r="66" spans="1:8" x14ac:dyDescent="0.2">
      <c r="A66" s="39">
        <v>2</v>
      </c>
      <c r="B66" s="40" t="s">
        <v>173</v>
      </c>
      <c r="C66" s="40" t="s">
        <v>174</v>
      </c>
      <c r="D66" s="40" t="s">
        <v>150</v>
      </c>
      <c r="E66" s="41">
        <v>100</v>
      </c>
      <c r="F66" s="42">
        <v>490.0505</v>
      </c>
      <c r="G66" s="43">
        <v>2.068621E-2</v>
      </c>
      <c r="H66" s="31">
        <f>IFERROR(VLOOKUP(B66,'[1]Debt Holding Consolidated'!$C$1:$AM$65536,12,FALSE),"")</f>
        <v>7.1950000000000003</v>
      </c>
    </row>
    <row r="67" spans="1:8" x14ac:dyDescent="0.2">
      <c r="A67" s="39">
        <v>3</v>
      </c>
      <c r="B67" s="40" t="s">
        <v>247</v>
      </c>
      <c r="C67" s="40" t="s">
        <v>248</v>
      </c>
      <c r="D67" s="40" t="s">
        <v>145</v>
      </c>
      <c r="E67" s="41">
        <v>100</v>
      </c>
      <c r="F67" s="42">
        <v>488.92450000000002</v>
      </c>
      <c r="G67" s="43">
        <v>2.0638670000000001E-2</v>
      </c>
      <c r="H67" s="31">
        <f>IFERROR(VLOOKUP(B67,'[1]Debt Holding Consolidated'!$C$1:$AM$65536,12,FALSE),"")</f>
        <v>7.1898999999999997</v>
      </c>
    </row>
    <row r="68" spans="1:8" x14ac:dyDescent="0.2">
      <c r="A68" s="39">
        <v>4</v>
      </c>
      <c r="B68" s="40" t="s">
        <v>154</v>
      </c>
      <c r="C68" s="40" t="s">
        <v>700</v>
      </c>
      <c r="D68" s="40" t="s">
        <v>145</v>
      </c>
      <c r="E68" s="41">
        <v>100</v>
      </c>
      <c r="F68" s="42">
        <v>480.91550000000001</v>
      </c>
      <c r="G68" s="43">
        <v>2.0300599999999999E-2</v>
      </c>
      <c r="H68" s="31">
        <f>IFERROR(VLOOKUP(B68,'[1]Debt Holding Consolidated'!$C$1:$AM$65536,12,FALSE),"")</f>
        <v>7.5049999999999999</v>
      </c>
    </row>
    <row r="69" spans="1:8" x14ac:dyDescent="0.2">
      <c r="A69" s="39">
        <v>5</v>
      </c>
      <c r="B69" s="40" t="s">
        <v>181</v>
      </c>
      <c r="C69" s="40" t="s">
        <v>182</v>
      </c>
      <c r="D69" s="40" t="s">
        <v>145</v>
      </c>
      <c r="E69" s="41">
        <v>100</v>
      </c>
      <c r="F69" s="42">
        <v>470.29349999999999</v>
      </c>
      <c r="G69" s="43">
        <v>1.985222E-2</v>
      </c>
      <c r="H69" s="31">
        <f>IFERROR(VLOOKUP(B69,'[1]Debt Holding Consolidated'!$C$1:$AM$65536,12,FALSE),"")</f>
        <v>7.51</v>
      </c>
    </row>
    <row r="70" spans="1:8" x14ac:dyDescent="0.2">
      <c r="A70" s="29"/>
      <c r="B70" s="29"/>
      <c r="C70" s="30" t="s">
        <v>10</v>
      </c>
      <c r="D70" s="29"/>
      <c r="E70" s="29" t="s">
        <v>11</v>
      </c>
      <c r="F70" s="38">
        <v>2422.8845000000001</v>
      </c>
      <c r="G70" s="33">
        <v>0.10227577</v>
      </c>
      <c r="H70" s="31" t="str">
        <f>IFERROR(VLOOKUP(B70,'[1]Debt Holding Consolidated'!$C$1:$AM$65536,12,FALSE),"")</f>
        <v/>
      </c>
    </row>
    <row r="71" spans="1:8" x14ac:dyDescent="0.2">
      <c r="A71" s="29"/>
      <c r="B71" s="29"/>
      <c r="C71" s="34"/>
      <c r="D71" s="29"/>
      <c r="E71" s="29"/>
      <c r="F71" s="35"/>
      <c r="G71" s="35"/>
      <c r="H71" s="31" t="str">
        <f>IFERROR(VLOOKUP(B71,'[1]Debt Holding Consolidated'!$C$1:$AM$65536,12,FALSE),"")</f>
        <v/>
      </c>
    </row>
    <row r="72" spans="1:8" x14ac:dyDescent="0.2">
      <c r="A72" s="29"/>
      <c r="B72" s="29"/>
      <c r="C72" s="30" t="s">
        <v>91</v>
      </c>
      <c r="D72" s="29"/>
      <c r="E72" s="29"/>
      <c r="F72" s="35"/>
      <c r="G72" s="35"/>
      <c r="H72" s="31" t="str">
        <f>IFERROR(VLOOKUP(B72,'[1]Debt Holding Consolidated'!$C$1:$AM$65536,12,FALSE),"")</f>
        <v/>
      </c>
    </row>
    <row r="73" spans="1:8" x14ac:dyDescent="0.2">
      <c r="A73" s="29"/>
      <c r="B73" s="29"/>
      <c r="C73" s="30" t="s">
        <v>10</v>
      </c>
      <c r="D73" s="29"/>
      <c r="E73" s="29" t="s">
        <v>11</v>
      </c>
      <c r="F73" s="32" t="s">
        <v>12</v>
      </c>
      <c r="G73" s="33">
        <v>0</v>
      </c>
      <c r="H73" s="31" t="str">
        <f>IFERROR(VLOOKUP(B73,'[1]Debt Holding Consolidated'!$C$1:$AM$65536,12,FALSE),"")</f>
        <v/>
      </c>
    </row>
    <row r="74" spans="1:8" x14ac:dyDescent="0.2">
      <c r="A74" s="29"/>
      <c r="B74" s="29"/>
      <c r="C74" s="34"/>
      <c r="D74" s="29"/>
      <c r="E74" s="29"/>
      <c r="F74" s="35"/>
      <c r="G74" s="35"/>
      <c r="H74" s="31" t="str">
        <f>IFERROR(VLOOKUP(B74,'[1]Debt Holding Consolidated'!$C$1:$AM$65536,12,FALSE),"")</f>
        <v/>
      </c>
    </row>
    <row r="75" spans="1:8" x14ac:dyDescent="0.2">
      <c r="A75" s="29"/>
      <c r="B75" s="29"/>
      <c r="C75" s="30" t="s">
        <v>92</v>
      </c>
      <c r="D75" s="29"/>
      <c r="E75" s="29"/>
      <c r="F75" s="35"/>
      <c r="G75" s="35"/>
      <c r="H75" s="31" t="str">
        <f>IFERROR(VLOOKUP(B75,'[1]Debt Holding Consolidated'!$C$1:$AM$65536,12,FALSE),"")</f>
        <v/>
      </c>
    </row>
    <row r="76" spans="1:8" x14ac:dyDescent="0.2">
      <c r="A76" s="29"/>
      <c r="B76" s="29"/>
      <c r="C76" s="30" t="s">
        <v>10</v>
      </c>
      <c r="D76" s="29"/>
      <c r="E76" s="29" t="s">
        <v>11</v>
      </c>
      <c r="F76" s="32" t="s">
        <v>12</v>
      </c>
      <c r="G76" s="33">
        <v>0</v>
      </c>
      <c r="H76" s="31" t="str">
        <f>IFERROR(VLOOKUP(B76,'[1]Debt Holding Consolidated'!$C$1:$AM$65536,12,FALSE),"")</f>
        <v/>
      </c>
    </row>
    <row r="77" spans="1:8" x14ac:dyDescent="0.2">
      <c r="A77" s="29"/>
      <c r="B77" s="29"/>
      <c r="C77" s="34"/>
      <c r="D77" s="29"/>
      <c r="E77" s="29"/>
      <c r="F77" s="35"/>
      <c r="G77" s="35"/>
      <c r="H77" s="31" t="str">
        <f>IFERROR(VLOOKUP(B77,'[1]Debt Holding Consolidated'!$C$1:$AM$65536,12,FALSE),"")</f>
        <v/>
      </c>
    </row>
    <row r="78" spans="1:8" x14ac:dyDescent="0.2">
      <c r="A78" s="29"/>
      <c r="B78" s="29"/>
      <c r="C78" s="30" t="s">
        <v>93</v>
      </c>
      <c r="D78" s="29"/>
      <c r="E78" s="29"/>
      <c r="F78" s="35"/>
      <c r="G78" s="35"/>
      <c r="H78" s="31" t="str">
        <f>IFERROR(VLOOKUP(B78,'[1]Debt Holding Consolidated'!$C$1:$AM$65536,12,FALSE),"")</f>
        <v/>
      </c>
    </row>
    <row r="79" spans="1:8" x14ac:dyDescent="0.2">
      <c r="A79" s="39">
        <v>1</v>
      </c>
      <c r="B79" s="40"/>
      <c r="C79" s="40" t="s">
        <v>94</v>
      </c>
      <c r="D79" s="40"/>
      <c r="E79" s="44"/>
      <c r="F79" s="42">
        <v>2554.7170998880001</v>
      </c>
      <c r="G79" s="43">
        <v>0.10784073</v>
      </c>
      <c r="H79" s="31">
        <v>6.34</v>
      </c>
    </row>
    <row r="80" spans="1:8" x14ac:dyDescent="0.2">
      <c r="A80" s="29"/>
      <c r="B80" s="29"/>
      <c r="C80" s="30" t="s">
        <v>10</v>
      </c>
      <c r="D80" s="29"/>
      <c r="E80" s="29" t="s">
        <v>11</v>
      </c>
      <c r="F80" s="38">
        <v>2554.7170998880001</v>
      </c>
      <c r="G80" s="33">
        <v>0.10784073</v>
      </c>
      <c r="H80" s="31" t="s">
        <v>11</v>
      </c>
    </row>
    <row r="81" spans="1:18" x14ac:dyDescent="0.2">
      <c r="A81" s="29"/>
      <c r="B81" s="29"/>
      <c r="C81" s="34"/>
      <c r="D81" s="29"/>
      <c r="E81" s="29"/>
      <c r="F81" s="35"/>
      <c r="G81" s="35"/>
      <c r="H81" s="31" t="s">
        <v>11</v>
      </c>
    </row>
    <row r="82" spans="1:18" x14ac:dyDescent="0.2">
      <c r="A82" s="29"/>
      <c r="B82" s="29"/>
      <c r="C82" s="30" t="s">
        <v>95</v>
      </c>
      <c r="D82" s="29"/>
      <c r="E82" s="29"/>
      <c r="F82" s="38">
        <v>4977.6015998880002</v>
      </c>
      <c r="G82" s="33">
        <v>0.21011650000000001</v>
      </c>
      <c r="H82" s="31" t="s">
        <v>11</v>
      </c>
    </row>
    <row r="83" spans="1:18" x14ac:dyDescent="0.2">
      <c r="A83" s="29"/>
      <c r="B83" s="29"/>
      <c r="C83" s="35"/>
      <c r="D83" s="29"/>
      <c r="E83" s="29"/>
      <c r="F83" s="29"/>
      <c r="G83" s="29"/>
      <c r="H83" s="31" t="s">
        <v>11</v>
      </c>
    </row>
    <row r="84" spans="1:18" x14ac:dyDescent="0.2">
      <c r="A84" s="29"/>
      <c r="B84" s="29"/>
      <c r="C84" s="30" t="s">
        <v>96</v>
      </c>
      <c r="D84" s="29"/>
      <c r="E84" s="29"/>
      <c r="F84" s="29"/>
      <c r="G84" s="29"/>
      <c r="H84" s="31" t="s">
        <v>11</v>
      </c>
      <c r="J84"/>
    </row>
    <row r="85" spans="1:18" x14ac:dyDescent="0.2">
      <c r="A85" s="29"/>
      <c r="B85" s="29"/>
      <c r="C85" s="30" t="s">
        <v>97</v>
      </c>
      <c r="D85" s="29"/>
      <c r="E85" s="29"/>
      <c r="F85" s="29"/>
      <c r="G85" s="29"/>
      <c r="H85" s="31" t="s">
        <v>11</v>
      </c>
      <c r="J85"/>
    </row>
    <row r="86" spans="1:18" x14ac:dyDescent="0.2">
      <c r="A86" s="29"/>
      <c r="B86" s="29"/>
      <c r="C86" s="30" t="s">
        <v>10</v>
      </c>
      <c r="D86" s="29"/>
      <c r="E86" s="29" t="s">
        <v>11</v>
      </c>
      <c r="F86" s="32" t="s">
        <v>12</v>
      </c>
      <c r="G86" s="33">
        <v>0</v>
      </c>
      <c r="H86" s="31" t="s">
        <v>11</v>
      </c>
      <c r="J86"/>
    </row>
    <row r="87" spans="1:18" x14ac:dyDescent="0.2">
      <c r="A87" s="45"/>
      <c r="B87" s="45"/>
      <c r="C87" s="46"/>
      <c r="D87" s="45"/>
      <c r="E87" s="45"/>
      <c r="F87" s="47"/>
      <c r="G87" s="47"/>
      <c r="H87" s="31" t="s">
        <v>11</v>
      </c>
      <c r="J87"/>
    </row>
    <row r="88" spans="1:18" x14ac:dyDescent="0.2">
      <c r="A88" s="45"/>
      <c r="B88" s="45"/>
      <c r="C88" s="17" t="s">
        <v>581</v>
      </c>
      <c r="D88" s="45"/>
      <c r="E88" s="45"/>
      <c r="F88" s="47"/>
      <c r="G88" s="47"/>
      <c r="H88" s="48"/>
      <c r="J88"/>
      <c r="L88" s="9"/>
      <c r="M88" s="9"/>
      <c r="N88" s="9"/>
      <c r="O88" s="9"/>
      <c r="P88" s="10"/>
      <c r="Q88" s="10"/>
      <c r="R88" s="10"/>
    </row>
    <row r="89" spans="1:18" ht="25.5" x14ac:dyDescent="0.2">
      <c r="A89" s="49">
        <v>1</v>
      </c>
      <c r="B89" s="50" t="s">
        <v>98</v>
      </c>
      <c r="C89" s="50" t="s">
        <v>99</v>
      </c>
      <c r="D89" s="50"/>
      <c r="E89" s="51">
        <v>511.47399999999999</v>
      </c>
      <c r="F89" s="48">
        <v>53.451484495000003</v>
      </c>
      <c r="G89" s="52">
        <v>2.25632E-3</v>
      </c>
      <c r="H89" s="31"/>
      <c r="J89"/>
    </row>
    <row r="90" spans="1:18" x14ac:dyDescent="0.2">
      <c r="A90" s="45"/>
      <c r="B90" s="45"/>
      <c r="C90" s="17" t="s">
        <v>10</v>
      </c>
      <c r="D90" s="45"/>
      <c r="E90" s="45" t="s">
        <v>11</v>
      </c>
      <c r="F90" s="53">
        <f>SUM(F89)</f>
        <v>53.451484495000003</v>
      </c>
      <c r="G90" s="54">
        <f>SUM(G89)</f>
        <v>2.25632E-3</v>
      </c>
      <c r="H90" s="31" t="s">
        <v>11</v>
      </c>
      <c r="J90"/>
    </row>
    <row r="91" spans="1:18" x14ac:dyDescent="0.2">
      <c r="A91" s="29"/>
      <c r="B91" s="29"/>
      <c r="C91" s="34"/>
      <c r="D91" s="29"/>
      <c r="E91" s="29"/>
      <c r="F91" s="35"/>
      <c r="G91" s="35"/>
      <c r="H91" s="31" t="s">
        <v>11</v>
      </c>
      <c r="J91"/>
    </row>
    <row r="92" spans="1:18" x14ac:dyDescent="0.2">
      <c r="A92" s="29"/>
      <c r="B92" s="29"/>
      <c r="C92" s="30" t="s">
        <v>100</v>
      </c>
      <c r="D92" s="29"/>
      <c r="E92" s="29"/>
      <c r="F92" s="29"/>
      <c r="G92" s="29"/>
      <c r="H92" s="31" t="s">
        <v>11</v>
      </c>
      <c r="J92"/>
    </row>
    <row r="93" spans="1:18" x14ac:dyDescent="0.2">
      <c r="A93" s="29"/>
      <c r="B93" s="29"/>
      <c r="C93" s="30" t="s">
        <v>101</v>
      </c>
      <c r="D93" s="29"/>
      <c r="E93" s="29"/>
      <c r="F93" s="29"/>
      <c r="G93" s="29"/>
      <c r="H93" s="31" t="s">
        <v>11</v>
      </c>
      <c r="J93"/>
    </row>
    <row r="94" spans="1:18" x14ac:dyDescent="0.2">
      <c r="A94" s="29"/>
      <c r="B94" s="29"/>
      <c r="C94" s="30" t="s">
        <v>10</v>
      </c>
      <c r="D94" s="29"/>
      <c r="E94" s="29" t="s">
        <v>11</v>
      </c>
      <c r="F94" s="32" t="s">
        <v>12</v>
      </c>
      <c r="G94" s="33">
        <v>0</v>
      </c>
      <c r="H94" s="31" t="s">
        <v>11</v>
      </c>
      <c r="J94"/>
    </row>
    <row r="95" spans="1:18" x14ac:dyDescent="0.2">
      <c r="A95" s="29"/>
      <c r="B95" s="29"/>
      <c r="C95" s="34"/>
      <c r="D95" s="29"/>
      <c r="E95" s="29"/>
      <c r="F95" s="35"/>
      <c r="G95" s="35"/>
      <c r="H95" s="31" t="s">
        <v>11</v>
      </c>
      <c r="J95"/>
    </row>
    <row r="96" spans="1:18" x14ac:dyDescent="0.2">
      <c r="A96" s="29"/>
      <c r="B96" s="29"/>
      <c r="C96" s="30" t="s">
        <v>102</v>
      </c>
      <c r="D96" s="29"/>
      <c r="E96" s="29"/>
      <c r="F96" s="35"/>
      <c r="G96" s="35"/>
      <c r="H96" s="31" t="s">
        <v>11</v>
      </c>
      <c r="J96"/>
    </row>
    <row r="97" spans="1:10" x14ac:dyDescent="0.2">
      <c r="A97" s="29"/>
      <c r="B97" s="29"/>
      <c r="C97" s="30" t="s">
        <v>10</v>
      </c>
      <c r="D97" s="29"/>
      <c r="E97" s="29" t="s">
        <v>11</v>
      </c>
      <c r="F97" s="32" t="s">
        <v>12</v>
      </c>
      <c r="G97" s="33">
        <v>0</v>
      </c>
      <c r="H97" s="31" t="s">
        <v>11</v>
      </c>
      <c r="J97"/>
    </row>
    <row r="98" spans="1:10" x14ac:dyDescent="0.2">
      <c r="A98" s="29"/>
      <c r="B98" s="40"/>
      <c r="C98" s="40"/>
      <c r="D98" s="30"/>
      <c r="E98" s="29"/>
      <c r="F98" s="40"/>
      <c r="G98" s="44"/>
      <c r="H98" s="31" t="s">
        <v>11</v>
      </c>
    </row>
    <row r="99" spans="1:10" x14ac:dyDescent="0.2">
      <c r="A99" s="44"/>
      <c r="B99" s="40"/>
      <c r="C99" s="40" t="s">
        <v>103</v>
      </c>
      <c r="D99" s="40"/>
      <c r="E99" s="44"/>
      <c r="F99" s="42">
        <f>514.1228902+0.0000491470003128052</f>
        <v>514.1229393470004</v>
      </c>
      <c r="G99" s="43">
        <v>2.170236E-2</v>
      </c>
      <c r="H99" s="31" t="s">
        <v>11</v>
      </c>
    </row>
    <row r="100" spans="1:10" x14ac:dyDescent="0.2">
      <c r="A100" s="34"/>
      <c r="B100" s="34"/>
      <c r="C100" s="30" t="s">
        <v>104</v>
      </c>
      <c r="D100" s="35"/>
      <c r="E100" s="35"/>
      <c r="F100" s="38">
        <f>23689.724374583+0.0000491470003128052</f>
        <v>23689.72442373</v>
      </c>
      <c r="G100" s="55">
        <v>1.0000000499999999</v>
      </c>
      <c r="H100" s="31" t="s">
        <v>11</v>
      </c>
      <c r="J100"/>
    </row>
    <row r="101" spans="1:10" x14ac:dyDescent="0.2">
      <c r="A101" s="56"/>
      <c r="B101" s="56"/>
      <c r="C101" s="56"/>
      <c r="D101" s="57"/>
      <c r="E101" s="57"/>
      <c r="F101" s="57"/>
      <c r="G101" s="57"/>
      <c r="J101"/>
    </row>
    <row r="102" spans="1:10" x14ac:dyDescent="0.2">
      <c r="A102" s="58"/>
      <c r="B102" s="138" t="s">
        <v>582</v>
      </c>
      <c r="C102" s="138"/>
      <c r="D102" s="138"/>
      <c r="E102" s="138"/>
      <c r="F102" s="138"/>
      <c r="G102" s="138"/>
      <c r="H102" s="138"/>
      <c r="J102"/>
    </row>
    <row r="103" spans="1:10" x14ac:dyDescent="0.2">
      <c r="A103" s="58"/>
      <c r="B103" s="138" t="s">
        <v>583</v>
      </c>
      <c r="C103" s="138"/>
      <c r="D103" s="138"/>
      <c r="E103" s="138"/>
      <c r="F103" s="138"/>
      <c r="G103" s="138"/>
      <c r="H103" s="138"/>
      <c r="J103"/>
    </row>
    <row r="104" spans="1:10" x14ac:dyDescent="0.2">
      <c r="A104" s="58"/>
      <c r="B104" s="138" t="s">
        <v>584</v>
      </c>
      <c r="C104" s="138"/>
      <c r="D104" s="138"/>
      <c r="E104" s="138"/>
      <c r="F104" s="138"/>
      <c r="G104" s="138"/>
      <c r="H104" s="138"/>
      <c r="J104"/>
    </row>
    <row r="105" spans="1:10" s="98" customFormat="1" ht="67.5" customHeight="1" x14ac:dyDescent="0.2">
      <c r="A105" s="97"/>
      <c r="B105" s="156" t="s">
        <v>634</v>
      </c>
      <c r="C105" s="156"/>
      <c r="D105" s="156"/>
      <c r="E105" s="156"/>
      <c r="F105" s="156"/>
      <c r="G105" s="156"/>
      <c r="H105" s="156"/>
      <c r="I105"/>
      <c r="J105"/>
    </row>
    <row r="106" spans="1:10" x14ac:dyDescent="0.2">
      <c r="A106" s="59"/>
      <c r="B106" s="59"/>
      <c r="C106" s="59"/>
      <c r="D106" s="60"/>
      <c r="E106" s="60"/>
      <c r="F106" s="60"/>
      <c r="G106" s="60"/>
      <c r="J106"/>
    </row>
    <row r="107" spans="1:10" x14ac:dyDescent="0.2">
      <c r="A107" s="59"/>
      <c r="B107" s="131" t="s">
        <v>105</v>
      </c>
      <c r="C107" s="132"/>
      <c r="D107" s="133"/>
      <c r="E107" s="61"/>
      <c r="F107" s="60"/>
      <c r="G107" s="60"/>
      <c r="J107"/>
    </row>
    <row r="108" spans="1:10" ht="25.5" x14ac:dyDescent="0.2">
      <c r="A108" s="59"/>
      <c r="B108" s="134" t="s">
        <v>106</v>
      </c>
      <c r="C108" s="135"/>
      <c r="D108" s="17" t="s">
        <v>599</v>
      </c>
      <c r="E108" s="61"/>
      <c r="F108" s="60"/>
      <c r="G108" s="60"/>
    </row>
    <row r="109" spans="1:10" x14ac:dyDescent="0.2">
      <c r="A109" s="59"/>
      <c r="B109" s="134" t="s">
        <v>108</v>
      </c>
      <c r="C109" s="135"/>
      <c r="D109" s="30" t="s">
        <v>107</v>
      </c>
      <c r="E109" s="61"/>
      <c r="F109" s="60"/>
      <c r="G109" s="60"/>
    </row>
    <row r="110" spans="1:10" x14ac:dyDescent="0.2">
      <c r="A110" s="59"/>
      <c r="B110" s="134" t="s">
        <v>109</v>
      </c>
      <c r="C110" s="135"/>
      <c r="D110" s="35" t="s">
        <v>11</v>
      </c>
      <c r="E110" s="61"/>
      <c r="F110" s="60"/>
      <c r="G110" s="60"/>
    </row>
    <row r="111" spans="1:10" x14ac:dyDescent="0.2">
      <c r="A111" s="18"/>
      <c r="B111" s="62" t="s">
        <v>11</v>
      </c>
      <c r="C111" s="62" t="s">
        <v>585</v>
      </c>
      <c r="D111" s="62" t="s">
        <v>110</v>
      </c>
      <c r="E111" s="18"/>
      <c r="F111" s="18"/>
      <c r="G111" s="18"/>
      <c r="H111" s="63"/>
      <c r="J111"/>
    </row>
    <row r="112" spans="1:10" x14ac:dyDescent="0.2">
      <c r="A112" s="64"/>
      <c r="B112" s="65" t="s">
        <v>111</v>
      </c>
      <c r="C112" s="66">
        <v>45596</v>
      </c>
      <c r="D112" s="66">
        <v>45611</v>
      </c>
      <c r="E112" s="64"/>
      <c r="F112" s="64"/>
      <c r="G112" s="64"/>
    </row>
    <row r="113" spans="1:7" x14ac:dyDescent="0.2">
      <c r="A113" s="64"/>
      <c r="B113" s="40" t="s">
        <v>112</v>
      </c>
      <c r="C113" s="67">
        <v>45.246699999999997</v>
      </c>
      <c r="D113" s="67">
        <v>45.350499999999997</v>
      </c>
      <c r="E113" s="64"/>
      <c r="F113" s="68"/>
      <c r="G113" s="69"/>
    </row>
    <row r="114" spans="1:7" ht="25.5" x14ac:dyDescent="0.2">
      <c r="A114" s="64"/>
      <c r="B114" s="40" t="s">
        <v>674</v>
      </c>
      <c r="C114" s="67">
        <v>12.901400000000001</v>
      </c>
      <c r="D114" s="67">
        <v>12.885400000000001</v>
      </c>
      <c r="E114" s="64"/>
      <c r="F114" s="68"/>
      <c r="G114" s="69"/>
    </row>
    <row r="115" spans="1:7" ht="25.5" x14ac:dyDescent="0.2">
      <c r="A115" s="64"/>
      <c r="B115" s="40" t="s">
        <v>675</v>
      </c>
      <c r="C115" s="67">
        <v>14.6259</v>
      </c>
      <c r="D115" s="67">
        <v>14.6595</v>
      </c>
      <c r="E115" s="64"/>
      <c r="F115" s="68"/>
      <c r="G115" s="69"/>
    </row>
    <row r="116" spans="1:7" ht="25.5" x14ac:dyDescent="0.2">
      <c r="A116" s="64"/>
      <c r="B116" s="40" t="s">
        <v>676</v>
      </c>
      <c r="C116" s="67">
        <v>14.456099999999999</v>
      </c>
      <c r="D116" s="67">
        <v>14.4893</v>
      </c>
      <c r="E116" s="64"/>
      <c r="F116" s="68"/>
      <c r="G116" s="69"/>
    </row>
    <row r="117" spans="1:7" ht="25.5" x14ac:dyDescent="0.2">
      <c r="A117" s="64"/>
      <c r="B117" s="40" t="s">
        <v>677</v>
      </c>
      <c r="C117" s="67">
        <v>14.4579</v>
      </c>
      <c r="D117" s="67">
        <v>14.491099999999999</v>
      </c>
      <c r="E117" s="64"/>
      <c r="F117" s="68"/>
      <c r="G117" s="69"/>
    </row>
    <row r="118" spans="1:7" x14ac:dyDescent="0.2">
      <c r="A118" s="64"/>
      <c r="B118" s="40" t="s">
        <v>113</v>
      </c>
      <c r="C118" s="67">
        <v>41.983499999999999</v>
      </c>
      <c r="D118" s="67">
        <v>42.070599999999999</v>
      </c>
      <c r="E118" s="64"/>
      <c r="F118" s="68"/>
      <c r="G118" s="69"/>
    </row>
    <row r="119" spans="1:7" x14ac:dyDescent="0.2">
      <c r="A119" s="64"/>
      <c r="B119" s="40" t="s">
        <v>141</v>
      </c>
      <c r="C119" s="67">
        <v>15.1655</v>
      </c>
      <c r="D119" s="67">
        <v>15.196999999999999</v>
      </c>
      <c r="E119" s="64"/>
      <c r="F119" s="68"/>
      <c r="G119" s="69"/>
    </row>
    <row r="120" spans="1:7" ht="25.5" x14ac:dyDescent="0.2">
      <c r="A120" s="64"/>
      <c r="B120" s="40" t="s">
        <v>678</v>
      </c>
      <c r="C120" s="67">
        <v>12.864000000000001</v>
      </c>
      <c r="D120" s="67">
        <v>12.8505</v>
      </c>
      <c r="E120" s="64"/>
      <c r="F120" s="68"/>
      <c r="G120" s="69"/>
    </row>
    <row r="121" spans="1:7" ht="25.5" x14ac:dyDescent="0.2">
      <c r="A121" s="64"/>
      <c r="B121" s="40" t="s">
        <v>648</v>
      </c>
      <c r="C121" s="67">
        <v>14.3446</v>
      </c>
      <c r="D121" s="67">
        <v>14.3744</v>
      </c>
      <c r="E121" s="64"/>
      <c r="F121" s="68"/>
      <c r="G121" s="69"/>
    </row>
    <row r="122" spans="1:7" ht="25.5" x14ac:dyDescent="0.2">
      <c r="A122" s="64"/>
      <c r="B122" s="40" t="s">
        <v>679</v>
      </c>
      <c r="C122" s="67">
        <v>14.1752</v>
      </c>
      <c r="D122" s="67">
        <v>14.204599999999999</v>
      </c>
      <c r="E122" s="64"/>
      <c r="F122" s="68"/>
      <c r="G122" s="69"/>
    </row>
    <row r="123" spans="1:7" ht="25.5" x14ac:dyDescent="0.2">
      <c r="A123" s="64"/>
      <c r="B123" s="40" t="s">
        <v>680</v>
      </c>
      <c r="C123" s="67">
        <v>14.1751</v>
      </c>
      <c r="D123" s="67">
        <v>14.204499999999999</v>
      </c>
      <c r="E123" s="64"/>
      <c r="F123" s="68"/>
      <c r="G123" s="69"/>
    </row>
    <row r="124" spans="1:7" x14ac:dyDescent="0.2">
      <c r="A124" s="64"/>
      <c r="B124" s="64"/>
      <c r="C124" s="64"/>
      <c r="D124" s="64"/>
      <c r="E124" s="64"/>
      <c r="F124" s="64"/>
      <c r="G124" s="64"/>
    </row>
    <row r="125" spans="1:7" x14ac:dyDescent="0.2">
      <c r="A125" s="64"/>
      <c r="B125" s="134" t="s">
        <v>649</v>
      </c>
      <c r="C125" s="135"/>
      <c r="D125" s="30" t="s">
        <v>11</v>
      </c>
      <c r="E125" s="64"/>
      <c r="F125" s="64"/>
      <c r="G125" s="64"/>
    </row>
    <row r="126" spans="1:7" x14ac:dyDescent="0.2">
      <c r="A126" s="64"/>
      <c r="B126" s="70" t="s">
        <v>111</v>
      </c>
      <c r="C126" s="71" t="s">
        <v>114</v>
      </c>
      <c r="D126" s="71" t="s">
        <v>115</v>
      </c>
      <c r="E126" s="64"/>
      <c r="F126" s="64"/>
      <c r="G126" s="64"/>
    </row>
    <row r="127" spans="1:7" ht="25.5" x14ac:dyDescent="0.2">
      <c r="A127" s="64"/>
      <c r="B127" s="40" t="s">
        <v>674</v>
      </c>
      <c r="C127" s="72">
        <v>4.5600000000000002E-2</v>
      </c>
      <c r="D127" s="44" t="s">
        <v>116</v>
      </c>
      <c r="E127" s="64"/>
      <c r="F127" s="68"/>
      <c r="G127" s="69"/>
    </row>
    <row r="128" spans="1:7" ht="25.5" x14ac:dyDescent="0.2">
      <c r="A128" s="64"/>
      <c r="B128" s="40" t="s">
        <v>678</v>
      </c>
      <c r="C128" s="72">
        <v>4.02E-2</v>
      </c>
      <c r="D128" s="72">
        <v>4.02E-2</v>
      </c>
      <c r="E128" s="64"/>
      <c r="F128" s="68"/>
      <c r="G128" s="69"/>
    </row>
    <row r="129" spans="1:19" x14ac:dyDescent="0.2">
      <c r="A129" s="64"/>
      <c r="B129" s="73"/>
      <c r="C129" s="73"/>
      <c r="D129" s="74"/>
      <c r="E129" s="64"/>
      <c r="F129" s="68"/>
      <c r="G129" s="69"/>
    </row>
    <row r="130" spans="1:19" s="11" customFormat="1" x14ac:dyDescent="0.2">
      <c r="A130" s="77"/>
      <c r="B130" s="136" t="s">
        <v>595</v>
      </c>
      <c r="C130" s="137"/>
      <c r="D130" s="17" t="s">
        <v>107</v>
      </c>
      <c r="E130" s="77"/>
      <c r="F130" s="77"/>
      <c r="G130" s="77"/>
      <c r="I130"/>
      <c r="J130" s="2"/>
      <c r="K130"/>
      <c r="L130" s="9"/>
      <c r="M130" s="9"/>
      <c r="N130" s="9"/>
      <c r="O130" s="15"/>
      <c r="P130"/>
      <c r="Q130"/>
    </row>
    <row r="131" spans="1:19" ht="25.5" customHeight="1" x14ac:dyDescent="0.2">
      <c r="A131" s="18"/>
      <c r="B131" s="136" t="s">
        <v>596</v>
      </c>
      <c r="C131" s="137"/>
      <c r="D131" s="17" t="s">
        <v>107</v>
      </c>
      <c r="E131" s="19"/>
      <c r="F131" s="18"/>
      <c r="G131" s="18"/>
    </row>
    <row r="132" spans="1:19" ht="24.75" customHeight="1" x14ac:dyDescent="0.2">
      <c r="A132" s="18"/>
      <c r="B132" s="136" t="s">
        <v>597</v>
      </c>
      <c r="C132" s="137"/>
      <c r="D132" s="17" t="s">
        <v>107</v>
      </c>
      <c r="E132" s="19"/>
      <c r="F132" s="18"/>
      <c r="G132" s="18"/>
    </row>
    <row r="133" spans="1:19" x14ac:dyDescent="0.2">
      <c r="A133" s="18"/>
      <c r="B133" s="136" t="s">
        <v>598</v>
      </c>
      <c r="C133" s="137"/>
      <c r="D133" s="17" t="s">
        <v>107</v>
      </c>
      <c r="E133" s="19"/>
      <c r="F133" s="18"/>
      <c r="G133" s="18"/>
    </row>
    <row r="134" spans="1:19" x14ac:dyDescent="0.2">
      <c r="A134" s="20"/>
      <c r="B134" s="20"/>
      <c r="C134" s="20"/>
      <c r="D134" s="20"/>
      <c r="E134" s="20"/>
      <c r="F134" s="20"/>
      <c r="G134" s="20"/>
    </row>
    <row r="135" spans="1:19" s="11" customFormat="1" x14ac:dyDescent="0.2">
      <c r="B135" s="139" t="s">
        <v>587</v>
      </c>
      <c r="C135" s="140"/>
      <c r="D135" s="141"/>
      <c r="I135"/>
      <c r="J135" s="2"/>
      <c r="K135"/>
      <c r="L135" s="9"/>
      <c r="M135" s="9"/>
      <c r="N135" s="9"/>
      <c r="O135" s="15"/>
      <c r="R135"/>
      <c r="S135"/>
    </row>
    <row r="136" spans="1:19" s="11" customFormat="1" ht="51" customHeight="1" x14ac:dyDescent="0.2">
      <c r="B136" s="129" t="s">
        <v>588</v>
      </c>
      <c r="C136" s="129"/>
      <c r="D136" s="12" t="s">
        <v>419</v>
      </c>
      <c r="I136"/>
      <c r="J136" s="2"/>
      <c r="K136"/>
      <c r="L136" s="9"/>
      <c r="M136" s="9"/>
      <c r="N136" s="9"/>
      <c r="O136" s="15"/>
      <c r="R136"/>
      <c r="S136"/>
    </row>
    <row r="137" spans="1:19" s="11" customFormat="1" x14ac:dyDescent="0.2">
      <c r="B137" s="142" t="s">
        <v>589</v>
      </c>
      <c r="C137" s="142"/>
      <c r="D137" s="13"/>
      <c r="I137"/>
      <c r="J137" s="2"/>
      <c r="K137"/>
      <c r="L137" s="9"/>
      <c r="M137" s="9"/>
      <c r="N137" s="9"/>
      <c r="O137" s="15"/>
      <c r="R137"/>
      <c r="S137"/>
    </row>
    <row r="138" spans="1:19" s="11" customFormat="1" x14ac:dyDescent="0.2">
      <c r="B138" s="142"/>
      <c r="C138" s="142"/>
      <c r="D138" s="14"/>
      <c r="I138"/>
      <c r="J138" s="2"/>
      <c r="K138"/>
      <c r="L138" s="9"/>
      <c r="M138" s="9"/>
      <c r="N138" s="9"/>
      <c r="O138" s="15"/>
      <c r="R138"/>
      <c r="S138"/>
    </row>
    <row r="139" spans="1:19" s="11" customFormat="1" x14ac:dyDescent="0.2">
      <c r="B139" s="142" t="s">
        <v>590</v>
      </c>
      <c r="C139" s="142"/>
      <c r="D139" s="16">
        <v>7.3365311136795661</v>
      </c>
      <c r="I139"/>
      <c r="J139" s="2"/>
      <c r="K139"/>
      <c r="L139" s="9"/>
      <c r="M139" s="9"/>
      <c r="N139" s="9"/>
      <c r="O139" s="15"/>
    </row>
    <row r="140" spans="1:19" s="11" customFormat="1" x14ac:dyDescent="0.2">
      <c r="B140" s="142"/>
      <c r="C140" s="142"/>
      <c r="D140" s="14"/>
      <c r="I140"/>
      <c r="J140" s="2"/>
      <c r="K140"/>
      <c r="L140" s="9"/>
      <c r="M140" s="9"/>
      <c r="N140" s="9"/>
      <c r="O140" s="15"/>
    </row>
    <row r="141" spans="1:19" s="11" customFormat="1" x14ac:dyDescent="0.2">
      <c r="B141" s="142" t="s">
        <v>591</v>
      </c>
      <c r="C141" s="142"/>
      <c r="D141" s="16">
        <v>2.7311490921816208</v>
      </c>
      <c r="I141"/>
      <c r="J141" s="2"/>
      <c r="K141"/>
      <c r="L141" s="9"/>
      <c r="M141" s="9"/>
      <c r="N141" s="9"/>
      <c r="O141" s="15"/>
    </row>
    <row r="142" spans="1:19" s="11" customFormat="1" x14ac:dyDescent="0.2">
      <c r="B142" s="142" t="s">
        <v>600</v>
      </c>
      <c r="C142" s="142"/>
      <c r="D142" s="16">
        <v>3.5263080706697827</v>
      </c>
      <c r="I142"/>
      <c r="J142" s="2"/>
      <c r="K142"/>
      <c r="L142" s="9"/>
      <c r="M142" s="9"/>
      <c r="N142" s="9"/>
      <c r="O142" s="15"/>
    </row>
    <row r="143" spans="1:19" s="11" customFormat="1" x14ac:dyDescent="0.2">
      <c r="B143" s="142"/>
      <c r="C143" s="142"/>
      <c r="D143" s="14"/>
      <c r="I143"/>
      <c r="J143" s="2"/>
      <c r="K143"/>
      <c r="L143" s="9"/>
      <c r="M143" s="9"/>
      <c r="N143" s="9"/>
      <c r="O143" s="15"/>
    </row>
    <row r="144" spans="1:19" s="11" customFormat="1" x14ac:dyDescent="0.2">
      <c r="B144" s="142" t="s">
        <v>593</v>
      </c>
      <c r="C144" s="142"/>
      <c r="D144" s="75" t="s">
        <v>681</v>
      </c>
      <c r="I144"/>
      <c r="J144" s="2"/>
      <c r="K144" s="9"/>
      <c r="L144" s="9"/>
      <c r="M144" s="9"/>
      <c r="N144" s="9"/>
      <c r="O144" s="15"/>
    </row>
    <row r="145" spans="2:15" s="11" customFormat="1" x14ac:dyDescent="0.2">
      <c r="B145" s="143" t="s">
        <v>594</v>
      </c>
      <c r="C145" s="145"/>
      <c r="D145" s="144"/>
      <c r="I145"/>
      <c r="J145" s="2"/>
      <c r="K145"/>
      <c r="L145" s="9"/>
      <c r="M145" s="9"/>
      <c r="N145" s="9"/>
      <c r="O145" s="15"/>
    </row>
    <row r="147" spans="2:15" ht="13.5" x14ac:dyDescent="0.2">
      <c r="B147" s="157" t="s">
        <v>682</v>
      </c>
      <c r="C147" s="157"/>
      <c r="D147" s="157"/>
      <c r="E147" s="157"/>
      <c r="F147" s="157"/>
      <c r="G147" s="157"/>
      <c r="H147" s="157"/>
      <c r="J147"/>
    </row>
    <row r="148" spans="2:15" ht="13.5" x14ac:dyDescent="0.2">
      <c r="B148" s="99"/>
      <c r="C148" s="99"/>
      <c r="D148" s="99"/>
      <c r="E148" s="99"/>
      <c r="F148" s="99"/>
      <c r="G148" s="99"/>
      <c r="H148" s="99"/>
      <c r="J148" s="9"/>
      <c r="K148" s="9"/>
      <c r="L148" s="9"/>
      <c r="M148" s="9"/>
      <c r="N148" s="9"/>
      <c r="O148" s="9"/>
    </row>
    <row r="149" spans="2:15" ht="13.5" x14ac:dyDescent="0.25">
      <c r="B149" s="87" t="s">
        <v>608</v>
      </c>
      <c r="C149" s="87" t="s">
        <v>609</v>
      </c>
      <c r="D149" s="158" t="s">
        <v>603</v>
      </c>
      <c r="E149" s="159"/>
      <c r="F149" s="160"/>
      <c r="G149" s="161" t="s">
        <v>604</v>
      </c>
      <c r="H149" s="162"/>
      <c r="J149" s="9"/>
      <c r="K149" s="9"/>
      <c r="L149" s="9"/>
      <c r="M149" s="9"/>
      <c r="N149" s="9"/>
      <c r="O149" s="9"/>
    </row>
    <row r="150" spans="2:15" ht="27" x14ac:dyDescent="0.25">
      <c r="B150" s="88" t="s">
        <v>614</v>
      </c>
      <c r="C150" s="89" t="s">
        <v>635</v>
      </c>
      <c r="D150" s="163">
        <v>0</v>
      </c>
      <c r="E150" s="164"/>
      <c r="F150" s="165"/>
      <c r="G150" s="163">
        <v>0</v>
      </c>
      <c r="H150" s="165"/>
      <c r="J150" s="9"/>
      <c r="K150" s="9"/>
      <c r="L150" s="9"/>
      <c r="M150" s="9"/>
      <c r="N150" s="9"/>
      <c r="O150" s="9"/>
    </row>
    <row r="151" spans="2:15" ht="27" x14ac:dyDescent="0.25">
      <c r="B151" s="88" t="s">
        <v>610</v>
      </c>
      <c r="C151" s="89" t="s">
        <v>636</v>
      </c>
      <c r="D151" s="163">
        <v>0</v>
      </c>
      <c r="E151" s="164"/>
      <c r="F151" s="165"/>
      <c r="G151" s="163">
        <v>0</v>
      </c>
      <c r="H151" s="165"/>
      <c r="J151" s="9"/>
      <c r="K151" s="9"/>
      <c r="L151" s="9"/>
      <c r="M151" s="9"/>
      <c r="N151" s="9"/>
      <c r="O151" s="9"/>
    </row>
    <row r="152" spans="2:15" ht="27" x14ac:dyDescent="0.25">
      <c r="B152" s="88" t="s">
        <v>637</v>
      </c>
      <c r="C152" s="89" t="s">
        <v>638</v>
      </c>
      <c r="D152" s="163">
        <v>0</v>
      </c>
      <c r="E152" s="164"/>
      <c r="F152" s="165"/>
      <c r="G152" s="163">
        <v>0</v>
      </c>
      <c r="H152" s="165"/>
      <c r="J152" s="9"/>
      <c r="K152" s="9"/>
      <c r="L152" s="9"/>
      <c r="M152" s="9"/>
      <c r="N152" s="9"/>
      <c r="O152" s="9"/>
    </row>
    <row r="153" spans="2:15" ht="27" x14ac:dyDescent="0.25">
      <c r="B153" s="88" t="s">
        <v>612</v>
      </c>
      <c r="C153" s="89" t="s">
        <v>639</v>
      </c>
      <c r="D153" s="163">
        <v>0</v>
      </c>
      <c r="E153" s="164"/>
      <c r="F153" s="165"/>
      <c r="G153" s="163">
        <v>0</v>
      </c>
      <c r="H153" s="165"/>
      <c r="J153" s="9"/>
      <c r="K153" s="9"/>
      <c r="L153" s="9"/>
      <c r="M153" s="9"/>
      <c r="N153" s="9"/>
      <c r="O153" s="9"/>
    </row>
    <row r="154" spans="2:15" ht="13.5" x14ac:dyDescent="0.25">
      <c r="B154" s="88"/>
      <c r="C154" s="88"/>
      <c r="D154" s="153"/>
      <c r="E154" s="153"/>
      <c r="F154" s="153"/>
      <c r="G154" s="153"/>
      <c r="H154" s="153"/>
      <c r="J154" s="9"/>
      <c r="K154" s="9"/>
      <c r="L154" s="9"/>
      <c r="M154" s="9"/>
      <c r="N154" s="9"/>
      <c r="O154" s="9"/>
    </row>
    <row r="155" spans="2:15" ht="13.5" x14ac:dyDescent="0.25">
      <c r="B155" s="151" t="s">
        <v>616</v>
      </c>
      <c r="C155" s="151"/>
      <c r="D155" s="151"/>
      <c r="E155" s="151"/>
      <c r="F155" s="151"/>
      <c r="G155" s="151"/>
      <c r="H155" s="151"/>
      <c r="J155" s="9"/>
      <c r="K155" s="9"/>
      <c r="L155" s="9"/>
      <c r="M155" s="9"/>
      <c r="N155" s="9"/>
      <c r="O155" s="9"/>
    </row>
    <row r="156" spans="2:15" ht="13.5" customHeight="1" x14ac:dyDescent="0.2">
      <c r="B156" s="155" t="s">
        <v>608</v>
      </c>
      <c r="C156" s="155" t="s">
        <v>609</v>
      </c>
      <c r="D156" s="155" t="s">
        <v>617</v>
      </c>
      <c r="E156" s="155"/>
      <c r="F156" s="155"/>
      <c r="G156" s="155"/>
      <c r="H156" s="154" t="s">
        <v>618</v>
      </c>
      <c r="I156" s="154" t="s">
        <v>640</v>
      </c>
      <c r="J156" s="154" t="s">
        <v>620</v>
      </c>
      <c r="K156" s="9"/>
      <c r="L156" s="9"/>
      <c r="M156" s="9"/>
      <c r="N156" s="9"/>
      <c r="O156" s="9"/>
    </row>
    <row r="157" spans="2:15" ht="121.5" x14ac:dyDescent="0.2">
      <c r="B157" s="155"/>
      <c r="C157" s="155"/>
      <c r="D157" s="90" t="s">
        <v>621</v>
      </c>
      <c r="E157" s="90" t="s">
        <v>622</v>
      </c>
      <c r="F157" s="90" t="s">
        <v>623</v>
      </c>
      <c r="G157" s="90" t="s">
        <v>641</v>
      </c>
      <c r="H157" s="154"/>
      <c r="I157" s="154"/>
      <c r="J157" s="154"/>
      <c r="K157" s="9"/>
      <c r="L157" s="9"/>
      <c r="M157" s="9"/>
      <c r="N157" s="9"/>
      <c r="O157" s="9"/>
    </row>
    <row r="158" spans="2:15" ht="27" x14ac:dyDescent="0.25">
      <c r="B158" s="88" t="s">
        <v>614</v>
      </c>
      <c r="C158" s="89" t="s">
        <v>635</v>
      </c>
      <c r="D158" s="91">
        <v>3000</v>
      </c>
      <c r="E158" s="91">
        <v>198.60410960000002</v>
      </c>
      <c r="F158" s="92">
        <v>72.152053199999997</v>
      </c>
      <c r="G158" s="93">
        <v>3270.7561627999999</v>
      </c>
      <c r="H158" s="23">
        <v>1452.6372699999999</v>
      </c>
      <c r="I158" s="23">
        <f>2499839/10^5</f>
        <v>24.998390000000001</v>
      </c>
      <c r="J158" s="23">
        <f>H158+I158</f>
        <v>1477.6356599999999</v>
      </c>
      <c r="K158" s="9"/>
      <c r="L158" s="9"/>
      <c r="M158" s="9"/>
      <c r="N158" s="9"/>
      <c r="O158" s="9"/>
    </row>
    <row r="159" spans="2:15" ht="27" x14ac:dyDescent="0.25">
      <c r="B159" s="88" t="s">
        <v>610</v>
      </c>
      <c r="C159" s="89" t="s">
        <v>636</v>
      </c>
      <c r="D159" s="91">
        <v>500</v>
      </c>
      <c r="E159" s="91">
        <v>33.283561599999999</v>
      </c>
      <c r="F159" s="92">
        <v>12.091777499999999</v>
      </c>
      <c r="G159" s="93">
        <f>D159+E159+F159</f>
        <v>545.37533910000002</v>
      </c>
      <c r="H159" s="23">
        <v>242.22076999999999</v>
      </c>
      <c r="I159" s="23">
        <f>416840/10^5</f>
        <v>4.1684000000000001</v>
      </c>
      <c r="J159" s="23">
        <f>H159+I159</f>
        <v>246.38916999999998</v>
      </c>
      <c r="K159" s="9"/>
      <c r="L159" s="9"/>
      <c r="M159" s="9"/>
      <c r="N159" s="9"/>
      <c r="O159" s="9"/>
    </row>
    <row r="160" spans="2:15" ht="27" x14ac:dyDescent="0.25">
      <c r="B160" s="88" t="s">
        <v>637</v>
      </c>
      <c r="C160" s="89" t="s">
        <v>642</v>
      </c>
      <c r="D160" s="91">
        <v>2000</v>
      </c>
      <c r="E160" s="91">
        <v>39.762295099999996</v>
      </c>
      <c r="F160" s="92">
        <v>64.029485721917808</v>
      </c>
      <c r="G160" s="93">
        <v>2103.7917808219199</v>
      </c>
      <c r="H160" s="23">
        <v>933.64715000000001</v>
      </c>
      <c r="I160" s="23">
        <f>1606686/10^5</f>
        <v>16.066859999999998</v>
      </c>
      <c r="J160" s="23">
        <f>H160+I160</f>
        <v>949.71401000000003</v>
      </c>
      <c r="K160" s="9"/>
      <c r="L160" s="9"/>
      <c r="M160" s="9"/>
      <c r="N160" s="9"/>
      <c r="O160" s="9"/>
    </row>
    <row r="161" spans="2:15" ht="27" x14ac:dyDescent="0.25">
      <c r="B161" s="88" t="s">
        <v>612</v>
      </c>
      <c r="C161" s="89" t="s">
        <v>639</v>
      </c>
      <c r="D161" s="91">
        <v>1882.78</v>
      </c>
      <c r="E161" s="91">
        <v>137.066384</v>
      </c>
      <c r="F161" s="92">
        <v>34.266601500000007</v>
      </c>
      <c r="G161" s="93">
        <v>2054.1129854999999</v>
      </c>
      <c r="H161" s="23">
        <v>916.65184999999997</v>
      </c>
      <c r="I161" s="23">
        <f>1577458/10^5</f>
        <v>15.77458</v>
      </c>
      <c r="J161" s="23">
        <f>H161+I161</f>
        <v>932.42642999999998</v>
      </c>
      <c r="K161" s="9"/>
      <c r="L161" s="9"/>
      <c r="M161" s="9"/>
      <c r="N161" s="9"/>
      <c r="O161" s="9"/>
    </row>
    <row r="162" spans="2:15" ht="13.5" x14ac:dyDescent="0.25">
      <c r="B162" s="100"/>
      <c r="C162" s="101"/>
      <c r="D162" s="102"/>
      <c r="E162" s="102"/>
      <c r="F162" s="103"/>
      <c r="G162" s="104"/>
      <c r="H162" s="25"/>
      <c r="K162" s="9"/>
      <c r="L162" s="9"/>
      <c r="M162" s="9"/>
      <c r="N162" s="9"/>
      <c r="O162" s="9"/>
    </row>
    <row r="163" spans="2:15" ht="39.75" customHeight="1" x14ac:dyDescent="0.2">
      <c r="B163" s="166" t="s">
        <v>643</v>
      </c>
      <c r="C163" s="166"/>
      <c r="D163" s="166"/>
      <c r="E163" s="166"/>
      <c r="F163" s="166"/>
      <c r="G163" s="166"/>
      <c r="H163" s="166"/>
      <c r="I163" s="166"/>
      <c r="K163" s="9"/>
      <c r="L163" s="9"/>
      <c r="M163" s="9"/>
      <c r="N163" s="9"/>
      <c r="O163" s="9"/>
    </row>
    <row r="164" spans="2:15" x14ac:dyDescent="0.2">
      <c r="B164" s="9"/>
      <c r="C164" s="9"/>
      <c r="D164" s="9"/>
      <c r="E164" s="9"/>
      <c r="F164" s="9"/>
      <c r="G164" s="9"/>
      <c r="H164" s="9"/>
      <c r="K164" s="9"/>
      <c r="L164" s="9"/>
      <c r="M164" s="9"/>
      <c r="N164" s="9"/>
      <c r="O164" s="9"/>
    </row>
    <row r="165" spans="2:15" ht="13.5" x14ac:dyDescent="0.25">
      <c r="B165" s="94" t="s">
        <v>625</v>
      </c>
      <c r="C165" s="9"/>
      <c r="D165" s="9"/>
      <c r="E165" s="9"/>
      <c r="F165" s="9"/>
      <c r="G165" s="9"/>
      <c r="H165" s="9"/>
      <c r="K165" s="9"/>
      <c r="L165" s="9"/>
      <c r="M165" s="9"/>
      <c r="N165" s="9"/>
      <c r="O165" s="9"/>
    </row>
    <row r="166" spans="2:15" x14ac:dyDescent="0.2">
      <c r="B166" s="9"/>
      <c r="C166" s="9"/>
      <c r="D166" s="9"/>
      <c r="E166" s="9"/>
      <c r="F166" s="9"/>
      <c r="G166" s="9"/>
      <c r="H166" s="9"/>
      <c r="I166" s="9"/>
      <c r="K166" s="9"/>
      <c r="L166" s="9"/>
      <c r="M166" s="9"/>
      <c r="N166" s="9"/>
      <c r="O166" s="9"/>
    </row>
    <row r="167" spans="2:15" x14ac:dyDescent="0.2">
      <c r="B167" s="95" t="s">
        <v>626</v>
      </c>
      <c r="C167" s="9"/>
      <c r="D167" s="9"/>
      <c r="E167" s="9"/>
      <c r="F167" s="9"/>
      <c r="G167" s="9"/>
      <c r="H167" s="9"/>
      <c r="I167" s="9"/>
      <c r="K167" s="9"/>
      <c r="L167" s="9"/>
      <c r="M167" s="9"/>
      <c r="N167" s="9"/>
      <c r="O167" s="9"/>
    </row>
    <row r="168" spans="2:15" x14ac:dyDescent="0.2">
      <c r="B168" s="9"/>
      <c r="C168" s="9"/>
      <c r="D168" s="9"/>
      <c r="E168" s="9"/>
      <c r="F168" s="9"/>
      <c r="G168" s="9"/>
      <c r="H168" s="9"/>
      <c r="I168" s="9"/>
      <c r="K168" s="9"/>
      <c r="L168" s="9"/>
      <c r="M168" s="9"/>
      <c r="N168" s="9"/>
      <c r="O168" s="9"/>
    </row>
    <row r="169" spans="2:15" x14ac:dyDescent="0.2">
      <c r="B169" s="95" t="s">
        <v>627</v>
      </c>
      <c r="C169" s="9"/>
      <c r="D169" s="9"/>
      <c r="E169" s="9"/>
      <c r="F169" s="9"/>
      <c r="G169" s="9"/>
      <c r="H169" s="9"/>
      <c r="I169" s="9"/>
      <c r="K169" s="9"/>
      <c r="L169" s="9"/>
      <c r="M169" s="9"/>
      <c r="N169" s="9"/>
      <c r="O169" s="9"/>
    </row>
    <row r="170" spans="2:15" x14ac:dyDescent="0.2">
      <c r="I170" s="9"/>
      <c r="K170" s="9"/>
      <c r="L170" s="9"/>
      <c r="M170" s="9"/>
      <c r="N170" s="9"/>
      <c r="O170" s="9"/>
    </row>
    <row r="171" spans="2:15" x14ac:dyDescent="0.2">
      <c r="B171" s="95" t="s">
        <v>628</v>
      </c>
      <c r="K171" s="9"/>
      <c r="L171" s="9"/>
      <c r="M171" s="9"/>
      <c r="N171" s="9"/>
      <c r="O171" s="9"/>
    </row>
    <row r="172" spans="2:15" x14ac:dyDescent="0.2">
      <c r="I172" s="9"/>
      <c r="K172" s="9"/>
      <c r="L172" s="9"/>
      <c r="M172" s="9"/>
      <c r="N172" s="9"/>
      <c r="O172" s="9"/>
    </row>
  </sheetData>
  <mergeCells count="48">
    <mergeCell ref="D154:F154"/>
    <mergeCell ref="G154:H154"/>
    <mergeCell ref="B155:H155"/>
    <mergeCell ref="J156:J157"/>
    <mergeCell ref="B163:I163"/>
    <mergeCell ref="B156:B157"/>
    <mergeCell ref="C156:C157"/>
    <mergeCell ref="D156:G156"/>
    <mergeCell ref="H156:H157"/>
    <mergeCell ref="I156:I157"/>
    <mergeCell ref="D151:F151"/>
    <mergeCell ref="G151:H151"/>
    <mergeCell ref="D152:F152"/>
    <mergeCell ref="G152:H152"/>
    <mergeCell ref="D153:F153"/>
    <mergeCell ref="G153:H153"/>
    <mergeCell ref="B145:D145"/>
    <mergeCell ref="B147:H147"/>
    <mergeCell ref="D149:F149"/>
    <mergeCell ref="G149:H149"/>
    <mergeCell ref="D150:F150"/>
    <mergeCell ref="G150:H150"/>
    <mergeCell ref="B140:C140"/>
    <mergeCell ref="B141:C141"/>
    <mergeCell ref="B142:C142"/>
    <mergeCell ref="B143:C143"/>
    <mergeCell ref="B144:C144"/>
    <mergeCell ref="B135:D135"/>
    <mergeCell ref="B136:C136"/>
    <mergeCell ref="B137:C137"/>
    <mergeCell ref="B138:C138"/>
    <mergeCell ref="B139:C139"/>
    <mergeCell ref="A1:H1"/>
    <mergeCell ref="A2:H2"/>
    <mergeCell ref="A3:H3"/>
    <mergeCell ref="B102:H102"/>
    <mergeCell ref="B103:H103"/>
    <mergeCell ref="B104:H104"/>
    <mergeCell ref="B132:C132"/>
    <mergeCell ref="B133:C133"/>
    <mergeCell ref="B107:D107"/>
    <mergeCell ref="B108:C108"/>
    <mergeCell ref="B109:C109"/>
    <mergeCell ref="B110:C110"/>
    <mergeCell ref="B125:C125"/>
    <mergeCell ref="B131:C131"/>
    <mergeCell ref="B105:H105"/>
    <mergeCell ref="B130:C130"/>
  </mergeCells>
  <hyperlinks>
    <hyperlink ref="I1" location="Index!B2" display="Index" xr:uid="{515CB425-9D06-4EE9-B322-24BE5A5F55C9}"/>
    <hyperlink ref="B167" r:id="rId1" xr:uid="{9B8FFF38-EE82-4E3E-AF95-04864609D36D}"/>
    <hyperlink ref="B169" r:id="rId2" xr:uid="{F62CC128-2DD8-4F0B-931E-DC2C00AB75E7}"/>
    <hyperlink ref="B171" r:id="rId3" xr:uid="{21BFD444-CFAB-47D2-840C-F9BD2D2026F6}"/>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FAED2-B5E1-4E6E-B2FB-FAF4B074AC02}">
  <sheetPr>
    <outlinePr summaryBelow="0" summaryRight="0"/>
  </sheetPr>
  <dimension ref="A1:R178"/>
  <sheetViews>
    <sheetView showGridLines="0" workbookViewId="0">
      <selection sqref="A1:XFD1048576"/>
    </sheetView>
  </sheetViews>
  <sheetFormatPr defaultRowHeight="12.75" x14ac:dyDescent="0.2"/>
  <cols>
    <col min="1" max="1" width="5.85546875" bestFit="1" customWidth="1"/>
    <col min="2" max="2" width="20.28515625" bestFit="1" customWidth="1"/>
    <col min="3" max="3" width="39.140625" bestFit="1" customWidth="1"/>
    <col min="4" max="4" width="14.140625" customWidth="1"/>
    <col min="5" max="5" width="9.42578125" bestFit="1" customWidth="1"/>
    <col min="6" max="6" width="12.42578125" customWidth="1"/>
    <col min="7" max="7" width="14" bestFit="1" customWidth="1"/>
    <col min="8" max="8" width="8.85546875" bestFit="1" customWidth="1"/>
    <col min="9" max="9" width="5.7109375" bestFit="1" customWidth="1"/>
    <col min="10" max="10" width="50.7109375" style="2" customWidth="1"/>
  </cols>
  <sheetData>
    <row r="1" spans="1:10" ht="15" x14ac:dyDescent="0.2">
      <c r="A1" s="130" t="s">
        <v>0</v>
      </c>
      <c r="B1" s="130"/>
      <c r="C1" s="130"/>
      <c r="D1" s="130"/>
      <c r="E1" s="130"/>
      <c r="F1" s="130"/>
      <c r="G1" s="130"/>
      <c r="H1" s="130"/>
      <c r="I1" s="1" t="s">
        <v>562</v>
      </c>
    </row>
    <row r="2" spans="1:10" ht="15" x14ac:dyDescent="0.2">
      <c r="A2" s="130" t="s">
        <v>435</v>
      </c>
      <c r="B2" s="130"/>
      <c r="C2" s="130"/>
      <c r="D2" s="130"/>
      <c r="E2" s="130"/>
      <c r="F2" s="130"/>
      <c r="G2" s="130"/>
      <c r="H2" s="130"/>
      <c r="J2" s="26" t="s">
        <v>729</v>
      </c>
    </row>
    <row r="3" spans="1:10" ht="15" x14ac:dyDescent="0.2">
      <c r="A3" s="130" t="s">
        <v>579</v>
      </c>
      <c r="B3" s="130"/>
      <c r="C3" s="130"/>
      <c r="D3" s="130"/>
      <c r="E3" s="130"/>
      <c r="F3" s="130"/>
      <c r="G3" s="130"/>
      <c r="H3" s="130"/>
    </row>
    <row r="4" spans="1:10" s="2" customFormat="1" ht="30" x14ac:dyDescent="0.2">
      <c r="A4" s="27" t="s">
        <v>1</v>
      </c>
      <c r="B4" s="27" t="s">
        <v>2</v>
      </c>
      <c r="C4" s="27" t="s">
        <v>3</v>
      </c>
      <c r="D4" s="27" t="s">
        <v>4</v>
      </c>
      <c r="E4" s="27" t="s">
        <v>5</v>
      </c>
      <c r="F4" s="27" t="s">
        <v>6</v>
      </c>
      <c r="G4" s="27" t="s">
        <v>7</v>
      </c>
      <c r="H4" s="28" t="s">
        <v>580</v>
      </c>
    </row>
    <row r="5" spans="1:10" x14ac:dyDescent="0.2">
      <c r="A5" s="29"/>
      <c r="B5" s="29"/>
      <c r="C5" s="30" t="s">
        <v>8</v>
      </c>
      <c r="D5" s="29"/>
      <c r="E5" s="29"/>
      <c r="F5" s="29"/>
      <c r="G5" s="29"/>
      <c r="H5" s="31" t="str">
        <f>IFERROR(VLOOKUP(B5,'[1]Debt Holding Consolidated'!$C$1:$AM$65536,12,FALSE),"")</f>
        <v/>
      </c>
    </row>
    <row r="6" spans="1:10" x14ac:dyDescent="0.2">
      <c r="A6" s="29"/>
      <c r="B6" s="29"/>
      <c r="C6" s="30" t="s">
        <v>9</v>
      </c>
      <c r="D6" s="29"/>
      <c r="E6" s="29"/>
      <c r="F6" s="29"/>
      <c r="G6" s="29"/>
      <c r="H6" s="31" t="str">
        <f>IFERROR(VLOOKUP(B6,'[1]Debt Holding Consolidated'!$C$1:$AM$65536,12,FALSE),"")</f>
        <v/>
      </c>
    </row>
    <row r="7" spans="1:10" x14ac:dyDescent="0.2">
      <c r="A7" s="29"/>
      <c r="B7" s="29"/>
      <c r="C7" s="30" t="s">
        <v>10</v>
      </c>
      <c r="D7" s="29"/>
      <c r="E7" s="29" t="s">
        <v>11</v>
      </c>
      <c r="F7" s="32" t="s">
        <v>12</v>
      </c>
      <c r="G7" s="33">
        <v>0</v>
      </c>
      <c r="H7" s="31" t="str">
        <f>IFERROR(VLOOKUP(B7,'[1]Debt Holding Consolidated'!$C$1:$AM$65536,12,FALSE),"")</f>
        <v/>
      </c>
    </row>
    <row r="8" spans="1:10" x14ac:dyDescent="0.2">
      <c r="A8" s="29"/>
      <c r="B8" s="29"/>
      <c r="C8" s="34"/>
      <c r="D8" s="29"/>
      <c r="E8" s="29"/>
      <c r="F8" s="35"/>
      <c r="G8" s="35"/>
      <c r="H8" s="31" t="str">
        <f>IFERROR(VLOOKUP(B8,'[1]Debt Holding Consolidated'!$C$1:$AM$65536,12,FALSE),"")</f>
        <v/>
      </c>
    </row>
    <row r="9" spans="1:10" x14ac:dyDescent="0.2">
      <c r="A9" s="29"/>
      <c r="B9" s="29"/>
      <c r="C9" s="30" t="s">
        <v>13</v>
      </c>
      <c r="D9" s="29"/>
      <c r="E9" s="29"/>
      <c r="F9" s="29"/>
      <c r="G9" s="29"/>
      <c r="H9" s="31" t="str">
        <f>IFERROR(VLOOKUP(B9,'[1]Debt Holding Consolidated'!$C$1:$AM$65536,12,FALSE),"")</f>
        <v/>
      </c>
    </row>
    <row r="10" spans="1:10" x14ac:dyDescent="0.2">
      <c r="A10" s="29"/>
      <c r="B10" s="29"/>
      <c r="C10" s="30" t="s">
        <v>10</v>
      </c>
      <c r="D10" s="29"/>
      <c r="E10" s="29" t="s">
        <v>11</v>
      </c>
      <c r="F10" s="32" t="s">
        <v>12</v>
      </c>
      <c r="G10" s="33">
        <v>0</v>
      </c>
      <c r="H10" s="31" t="str">
        <f>IFERROR(VLOOKUP(B10,'[1]Debt Holding Consolidated'!$C$1:$AM$65536,12,FALSE),"")</f>
        <v/>
      </c>
    </row>
    <row r="11" spans="1:10" x14ac:dyDescent="0.2">
      <c r="A11" s="29"/>
      <c r="B11" s="29"/>
      <c r="C11" s="34"/>
      <c r="D11" s="29"/>
      <c r="E11" s="29"/>
      <c r="F11" s="35"/>
      <c r="G11" s="35"/>
      <c r="H11" s="31" t="str">
        <f>IFERROR(VLOOKUP(B11,'[1]Debt Holding Consolidated'!$C$1:$AM$65536,12,FALSE),"")</f>
        <v/>
      </c>
    </row>
    <row r="12" spans="1:10" ht="15" x14ac:dyDescent="0.2">
      <c r="A12" s="29"/>
      <c r="B12" s="29"/>
      <c r="C12" s="30" t="s">
        <v>14</v>
      </c>
      <c r="D12" s="29"/>
      <c r="E12" s="29"/>
      <c r="F12" s="29"/>
      <c r="G12" s="29"/>
      <c r="H12" s="31" t="str">
        <f>IFERROR(VLOOKUP(B12,'[1]Debt Holding Consolidated'!$C$1:$AM$65536,12,FALSE),"")</f>
        <v/>
      </c>
      <c r="J12" s="36"/>
    </row>
    <row r="13" spans="1:10" x14ac:dyDescent="0.2">
      <c r="A13" s="29"/>
      <c r="B13" s="29"/>
      <c r="C13" s="30" t="s">
        <v>10</v>
      </c>
      <c r="D13" s="29"/>
      <c r="E13" s="29" t="s">
        <v>11</v>
      </c>
      <c r="F13" s="32" t="s">
        <v>12</v>
      </c>
      <c r="G13" s="33">
        <v>0</v>
      </c>
      <c r="H13" s="31" t="str">
        <f>IFERROR(VLOOKUP(B13,'[1]Debt Holding Consolidated'!$C$1:$AM$65536,12,FALSE),"")</f>
        <v/>
      </c>
      <c r="J13" s="37"/>
    </row>
    <row r="14" spans="1:10" x14ac:dyDescent="0.2">
      <c r="A14" s="29"/>
      <c r="B14" s="29"/>
      <c r="C14" s="34"/>
      <c r="D14" s="29"/>
      <c r="E14" s="29"/>
      <c r="F14" s="35"/>
      <c r="G14" s="35"/>
      <c r="H14" s="31" t="str">
        <f>IFERROR(VLOOKUP(B14,'[1]Debt Holding Consolidated'!$C$1:$AM$65536,12,FALSE),"")</f>
        <v/>
      </c>
      <c r="J14" s="37"/>
    </row>
    <row r="15" spans="1:10" ht="25.5" x14ac:dyDescent="0.2">
      <c r="A15" s="29"/>
      <c r="B15" s="29"/>
      <c r="C15" s="30" t="s">
        <v>15</v>
      </c>
      <c r="D15" s="29"/>
      <c r="E15" s="29"/>
      <c r="F15" s="29"/>
      <c r="G15" s="29"/>
      <c r="H15" s="31" t="str">
        <f>IFERROR(VLOOKUP(B15,'[1]Debt Holding Consolidated'!$C$1:$AM$65536,12,FALSE),"")</f>
        <v/>
      </c>
      <c r="J15" s="2" t="s">
        <v>730</v>
      </c>
    </row>
    <row r="16" spans="1:10" x14ac:dyDescent="0.2">
      <c r="A16" s="29"/>
      <c r="B16" s="29"/>
      <c r="C16" s="30" t="s">
        <v>10</v>
      </c>
      <c r="D16" s="29"/>
      <c r="E16" s="29" t="s">
        <v>11</v>
      </c>
      <c r="F16" s="32" t="s">
        <v>12</v>
      </c>
      <c r="G16" s="33">
        <v>0</v>
      </c>
      <c r="H16" s="31" t="str">
        <f>IFERROR(VLOOKUP(B16,'[1]Debt Holding Consolidated'!$C$1:$AM$65536,12,FALSE),"")</f>
        <v/>
      </c>
    </row>
    <row r="17" spans="1:10" x14ac:dyDescent="0.2">
      <c r="A17" s="29"/>
      <c r="B17" s="29"/>
      <c r="C17" s="34"/>
      <c r="D17" s="29"/>
      <c r="E17" s="29"/>
      <c r="F17" s="35"/>
      <c r="G17" s="35"/>
      <c r="H17" s="31" t="str">
        <f>IFERROR(VLOOKUP(B17,'[1]Debt Holding Consolidated'!$C$1:$AM$65536,12,FALSE),"")</f>
        <v/>
      </c>
    </row>
    <row r="18" spans="1:10" x14ac:dyDescent="0.2">
      <c r="A18" s="29"/>
      <c r="B18" s="29"/>
      <c r="C18" s="30" t="s">
        <v>16</v>
      </c>
      <c r="D18" s="29"/>
      <c r="E18" s="29"/>
      <c r="F18" s="35"/>
      <c r="G18" s="35"/>
      <c r="H18" s="31" t="str">
        <f>IFERROR(VLOOKUP(B18,'[1]Debt Holding Consolidated'!$C$1:$AM$65536,12,FALSE),"")</f>
        <v/>
      </c>
    </row>
    <row r="19" spans="1:10" x14ac:dyDescent="0.2">
      <c r="A19" s="29"/>
      <c r="B19" s="29"/>
      <c r="C19" s="30" t="s">
        <v>10</v>
      </c>
      <c r="D19" s="29"/>
      <c r="E19" s="29" t="s">
        <v>11</v>
      </c>
      <c r="F19" s="32" t="s">
        <v>12</v>
      </c>
      <c r="G19" s="33">
        <v>0</v>
      </c>
      <c r="H19" s="31" t="str">
        <f>IFERROR(VLOOKUP(B19,'[1]Debt Holding Consolidated'!$C$1:$AM$65536,12,FALSE),"")</f>
        <v/>
      </c>
    </row>
    <row r="20" spans="1:10" x14ac:dyDescent="0.2">
      <c r="A20" s="29"/>
      <c r="B20" s="29"/>
      <c r="C20" s="34"/>
      <c r="D20" s="29"/>
      <c r="E20" s="29"/>
      <c r="F20" s="35"/>
      <c r="G20" s="35"/>
      <c r="H20" s="31" t="str">
        <f>IFERROR(VLOOKUP(B20,'[1]Debt Holding Consolidated'!$C$1:$AM$65536,12,FALSE),"")</f>
        <v/>
      </c>
    </row>
    <row r="21" spans="1:10" x14ac:dyDescent="0.2">
      <c r="A21" s="29"/>
      <c r="B21" s="29"/>
      <c r="C21" s="30" t="s">
        <v>17</v>
      </c>
      <c r="D21" s="29"/>
      <c r="E21" s="29"/>
      <c r="F21" s="35"/>
      <c r="G21" s="35"/>
      <c r="H21" s="31" t="str">
        <f>IFERROR(VLOOKUP(B21,'[1]Debt Holding Consolidated'!$C$1:$AM$65536,12,FALSE),"")</f>
        <v/>
      </c>
    </row>
    <row r="22" spans="1:10" ht="15" x14ac:dyDescent="0.2">
      <c r="A22" s="29"/>
      <c r="B22" s="29"/>
      <c r="C22" s="30" t="s">
        <v>10</v>
      </c>
      <c r="D22" s="29"/>
      <c r="E22" s="29" t="s">
        <v>11</v>
      </c>
      <c r="F22" s="32" t="s">
        <v>12</v>
      </c>
      <c r="G22" s="33">
        <v>0</v>
      </c>
      <c r="H22" s="31" t="str">
        <f>IFERROR(VLOOKUP(B22,'[1]Debt Holding Consolidated'!$C$1:$AM$65536,12,FALSE),"")</f>
        <v/>
      </c>
      <c r="J22" s="36"/>
    </row>
    <row r="23" spans="1:10" x14ac:dyDescent="0.2">
      <c r="A23" s="29"/>
      <c r="B23" s="29"/>
      <c r="C23" s="34"/>
      <c r="D23" s="29"/>
      <c r="E23" s="29"/>
      <c r="F23" s="35"/>
      <c r="G23" s="35"/>
      <c r="H23" s="31" t="str">
        <f>IFERROR(VLOOKUP(B23,'[1]Debt Holding Consolidated'!$C$1:$AM$65536,12,FALSE),"")</f>
        <v/>
      </c>
      <c r="J23" s="37"/>
    </row>
    <row r="24" spans="1:10" x14ac:dyDescent="0.2">
      <c r="A24" s="29"/>
      <c r="B24" s="29"/>
      <c r="C24" s="30" t="s">
        <v>18</v>
      </c>
      <c r="D24" s="29"/>
      <c r="E24" s="29"/>
      <c r="F24" s="38">
        <v>0</v>
      </c>
      <c r="G24" s="33">
        <v>0</v>
      </c>
      <c r="H24" s="31" t="str">
        <f>IFERROR(VLOOKUP(B24,'[1]Debt Holding Consolidated'!$C$1:$AM$65536,12,FALSE),"")</f>
        <v/>
      </c>
    </row>
    <row r="25" spans="1:10" x14ac:dyDescent="0.2">
      <c r="A25" s="29"/>
      <c r="B25" s="29"/>
      <c r="C25" s="34"/>
      <c r="D25" s="29"/>
      <c r="E25" s="29"/>
      <c r="F25" s="35"/>
      <c r="G25" s="35"/>
      <c r="H25" s="31" t="str">
        <f>IFERROR(VLOOKUP(B25,'[1]Debt Holding Consolidated'!$C$1:$AM$65536,12,FALSE),"")</f>
        <v/>
      </c>
    </row>
    <row r="26" spans="1:10" x14ac:dyDescent="0.2">
      <c r="A26" s="29"/>
      <c r="B26" s="29"/>
      <c r="C26" s="30" t="s">
        <v>19</v>
      </c>
      <c r="D26" s="29"/>
      <c r="E26" s="29"/>
      <c r="F26" s="35"/>
      <c r="G26" s="35"/>
      <c r="H26" s="31" t="str">
        <f>IFERROR(VLOOKUP(B26,'[1]Debt Holding Consolidated'!$C$1:$AM$65536,12,FALSE),"")</f>
        <v/>
      </c>
    </row>
    <row r="27" spans="1:10" x14ac:dyDescent="0.2">
      <c r="A27" s="29"/>
      <c r="B27" s="29"/>
      <c r="C27" s="30" t="s">
        <v>9</v>
      </c>
      <c r="D27" s="29"/>
      <c r="E27" s="29"/>
      <c r="F27" s="35"/>
      <c r="G27" s="35"/>
      <c r="H27" s="31" t="str">
        <f>IFERROR(VLOOKUP(B27,'[1]Debt Holding Consolidated'!$C$1:$AM$65536,12,FALSE),"")</f>
        <v/>
      </c>
    </row>
    <row r="28" spans="1:10" x14ac:dyDescent="0.2">
      <c r="A28" s="39">
        <v>1</v>
      </c>
      <c r="B28" s="40" t="s">
        <v>214</v>
      </c>
      <c r="C28" s="40" t="s">
        <v>215</v>
      </c>
      <c r="D28" s="40" t="s">
        <v>216</v>
      </c>
      <c r="E28" s="41">
        <v>7000</v>
      </c>
      <c r="F28" s="42">
        <v>7025.8159999999998</v>
      </c>
      <c r="G28" s="43">
        <v>3.5253699999999999E-2</v>
      </c>
      <c r="H28" s="31">
        <f>IFERROR(VLOOKUP(B28,'[1]Debt Holding Consolidated'!$C$1:$AM$65536,12,FALSE),"")</f>
        <v>8.5</v>
      </c>
      <c r="J28" s="37"/>
    </row>
    <row r="29" spans="1:10" x14ac:dyDescent="0.2">
      <c r="A29" s="39">
        <v>2</v>
      </c>
      <c r="B29" s="40" t="s">
        <v>436</v>
      </c>
      <c r="C29" s="40" t="s">
        <v>437</v>
      </c>
      <c r="D29" s="40" t="s">
        <v>211</v>
      </c>
      <c r="E29" s="41">
        <v>600</v>
      </c>
      <c r="F29" s="42">
        <v>5997.3720000000003</v>
      </c>
      <c r="G29" s="43">
        <v>3.009324E-2</v>
      </c>
      <c r="H29" s="31">
        <f>IFERROR(VLOOKUP(B29,'[1]Debt Holding Consolidated'!$C$1:$AM$65536,12,FALSE),"")</f>
        <v>7.45</v>
      </c>
    </row>
    <row r="30" spans="1:10" ht="25.5" x14ac:dyDescent="0.2">
      <c r="A30" s="39">
        <v>3</v>
      </c>
      <c r="B30" s="40" t="s">
        <v>438</v>
      </c>
      <c r="C30" s="40" t="s">
        <v>439</v>
      </c>
      <c r="D30" s="40" t="s">
        <v>22</v>
      </c>
      <c r="E30" s="41">
        <v>300</v>
      </c>
      <c r="F30" s="42">
        <v>2984.52</v>
      </c>
      <c r="G30" s="43">
        <v>1.4975540000000001E-2</v>
      </c>
      <c r="H30" s="31">
        <f>IFERROR(VLOOKUP(B30,'[1]Debt Holding Consolidated'!$C$1:$AM$65536,12,FALSE),"")</f>
        <v>7.3550000000000004</v>
      </c>
      <c r="J30" s="2" t="s">
        <v>731</v>
      </c>
    </row>
    <row r="31" spans="1:10" ht="25.5" x14ac:dyDescent="0.2">
      <c r="A31" s="39">
        <v>4</v>
      </c>
      <c r="B31" s="40" t="s">
        <v>440</v>
      </c>
      <c r="C31" s="40" t="s">
        <v>441</v>
      </c>
      <c r="D31" s="40" t="s">
        <v>236</v>
      </c>
      <c r="E31" s="41">
        <v>2500</v>
      </c>
      <c r="F31" s="42">
        <v>2502.1675</v>
      </c>
      <c r="G31" s="43">
        <v>1.2555220000000001E-2</v>
      </c>
      <c r="H31" s="31">
        <f>IFERROR(VLOOKUP(B31,'[1]Debt Holding Consolidated'!$C$1:$AM$65536,12,FALSE),"")</f>
        <v>7.7149999999999999</v>
      </c>
    </row>
    <row r="32" spans="1:10" ht="25.5" x14ac:dyDescent="0.2">
      <c r="A32" s="39">
        <v>5</v>
      </c>
      <c r="B32" s="40" t="s">
        <v>56</v>
      </c>
      <c r="C32" s="40" t="s">
        <v>57</v>
      </c>
      <c r="D32" s="40" t="s">
        <v>22</v>
      </c>
      <c r="E32" s="41">
        <v>2500</v>
      </c>
      <c r="F32" s="42">
        <v>2499.3674999999998</v>
      </c>
      <c r="G32" s="43">
        <v>1.2541170000000001E-2</v>
      </c>
      <c r="H32" s="31">
        <f>IFERROR(VLOOKUP(B32,'[1]Debt Holding Consolidated'!$C$1:$AM$65536,12,FALSE),"")</f>
        <v>7.5593000000000004</v>
      </c>
    </row>
    <row r="33" spans="1:8" ht="25.5" x14ac:dyDescent="0.2">
      <c r="A33" s="39">
        <v>6</v>
      </c>
      <c r="B33" s="40" t="s">
        <v>442</v>
      </c>
      <c r="C33" s="40" t="s">
        <v>443</v>
      </c>
      <c r="D33" s="40" t="s">
        <v>236</v>
      </c>
      <c r="E33" s="41">
        <v>250000</v>
      </c>
      <c r="F33" s="42">
        <v>2499.2075</v>
      </c>
      <c r="G33" s="43">
        <v>1.254037E-2</v>
      </c>
      <c r="H33" s="31">
        <f>IFERROR(VLOOKUP(B33,'[1]Debt Holding Consolidated'!$C$1:$AM$65536,12,FALSE),"")</f>
        <v>8.0050000000000008</v>
      </c>
    </row>
    <row r="34" spans="1:8" ht="25.5" x14ac:dyDescent="0.2">
      <c r="A34" s="39">
        <v>7</v>
      </c>
      <c r="B34" s="40" t="s">
        <v>444</v>
      </c>
      <c r="C34" s="40" t="s">
        <v>445</v>
      </c>
      <c r="D34" s="40" t="s">
        <v>22</v>
      </c>
      <c r="E34" s="41">
        <v>250</v>
      </c>
      <c r="F34" s="42">
        <v>2489.13</v>
      </c>
      <c r="G34" s="43">
        <v>1.2489800000000001E-2</v>
      </c>
      <c r="H34" s="31">
        <f>IFERROR(VLOOKUP(B34,'[1]Debt Holding Consolidated'!$C$1:$AM$65536,12,FALSE),"")</f>
        <v>7.9566999999999997</v>
      </c>
    </row>
    <row r="35" spans="1:8" ht="25.5" x14ac:dyDescent="0.2">
      <c r="A35" s="39">
        <v>8</v>
      </c>
      <c r="B35" s="40" t="s">
        <v>446</v>
      </c>
      <c r="C35" s="40" t="s">
        <v>447</v>
      </c>
      <c r="D35" s="40" t="s">
        <v>22</v>
      </c>
      <c r="E35" s="41">
        <v>250</v>
      </c>
      <c r="F35" s="42">
        <v>2465.61</v>
      </c>
      <c r="G35" s="43">
        <v>1.2371780000000001E-2</v>
      </c>
      <c r="H35" s="31">
        <f>IFERROR(VLOOKUP(B35,'[1]Debt Holding Consolidated'!$C$1:$AM$65536,12,FALSE),"")</f>
        <v>7.63</v>
      </c>
    </row>
    <row r="36" spans="1:8" x14ac:dyDescent="0.2">
      <c r="A36" s="39">
        <v>9</v>
      </c>
      <c r="B36" s="40" t="s">
        <v>217</v>
      </c>
      <c r="C36" s="40" t="s">
        <v>218</v>
      </c>
      <c r="D36" s="40" t="s">
        <v>216</v>
      </c>
      <c r="E36" s="41">
        <v>2000</v>
      </c>
      <c r="F36" s="42">
        <v>2006.7460000000001</v>
      </c>
      <c r="G36" s="43">
        <v>1.006933E-2</v>
      </c>
      <c r="H36" s="31">
        <f>IFERROR(VLOOKUP(B36,'[1]Debt Holding Consolidated'!$C$1:$AM$65536,12,FALSE),"")</f>
        <v>8.8800000000000008</v>
      </c>
    </row>
    <row r="37" spans="1:8" ht="25.5" x14ac:dyDescent="0.2">
      <c r="A37" s="39">
        <v>10</v>
      </c>
      <c r="B37" s="40" t="s">
        <v>234</v>
      </c>
      <c r="C37" s="40" t="s">
        <v>235</v>
      </c>
      <c r="D37" s="40" t="s">
        <v>236</v>
      </c>
      <c r="E37" s="41">
        <v>200</v>
      </c>
      <c r="F37" s="42">
        <v>2003.652</v>
      </c>
      <c r="G37" s="43">
        <v>1.00538E-2</v>
      </c>
      <c r="H37" s="31">
        <f>IFERROR(VLOOKUP(B37,'[1]Debt Holding Consolidated'!$C$1:$AM$65536,12,FALSE),"")</f>
        <v>8.25</v>
      </c>
    </row>
    <row r="38" spans="1:8" x14ac:dyDescent="0.2">
      <c r="A38" s="39">
        <v>11</v>
      </c>
      <c r="B38" s="40" t="s">
        <v>209</v>
      </c>
      <c r="C38" s="40" t="s">
        <v>210</v>
      </c>
      <c r="D38" s="40" t="s">
        <v>211</v>
      </c>
      <c r="E38" s="41">
        <v>1600</v>
      </c>
      <c r="F38" s="42">
        <v>1609.8688</v>
      </c>
      <c r="G38" s="43">
        <v>8.0779000000000007E-3</v>
      </c>
      <c r="H38" s="31">
        <f>IFERROR(VLOOKUP(B38,'[1]Debt Holding Consolidated'!$C$1:$AM$65536,12,FALSE),"")</f>
        <v>7.9950000000000001</v>
      </c>
    </row>
    <row r="39" spans="1:8" x14ac:dyDescent="0.2">
      <c r="A39" s="39">
        <v>12</v>
      </c>
      <c r="B39" s="40" t="s">
        <v>221</v>
      </c>
      <c r="C39" s="40" t="s">
        <v>222</v>
      </c>
      <c r="D39" s="40" t="s">
        <v>22</v>
      </c>
      <c r="E39" s="41">
        <v>1500</v>
      </c>
      <c r="F39" s="42">
        <v>1500.3615</v>
      </c>
      <c r="G39" s="43">
        <v>7.5284200000000001E-3</v>
      </c>
      <c r="H39" s="31">
        <f>IFERROR(VLOOKUP(B39,'[1]Debt Holding Consolidated'!$C$1:$AM$65536,12,FALSE),"")</f>
        <v>7.5</v>
      </c>
    </row>
    <row r="40" spans="1:8" ht="25.5" x14ac:dyDescent="0.2">
      <c r="A40" s="39">
        <v>13</v>
      </c>
      <c r="B40" s="40" t="s">
        <v>60</v>
      </c>
      <c r="C40" s="40" t="s">
        <v>61</v>
      </c>
      <c r="D40" s="40" t="s">
        <v>22</v>
      </c>
      <c r="E40" s="41">
        <v>1500</v>
      </c>
      <c r="F40" s="42">
        <v>1499.8679999999999</v>
      </c>
      <c r="G40" s="43">
        <v>7.5259400000000001E-3</v>
      </c>
      <c r="H40" s="31">
        <f>IFERROR(VLOOKUP(B40,'[1]Debt Holding Consolidated'!$C$1:$AM$65536,12,FALSE),"")</f>
        <v>8.0150000000000006</v>
      </c>
    </row>
    <row r="41" spans="1:8" x14ac:dyDescent="0.2">
      <c r="A41" s="39">
        <v>14</v>
      </c>
      <c r="B41" s="40" t="s">
        <v>232</v>
      </c>
      <c r="C41" s="40" t="s">
        <v>233</v>
      </c>
      <c r="D41" s="40" t="s">
        <v>216</v>
      </c>
      <c r="E41" s="41">
        <v>1000</v>
      </c>
      <c r="F41" s="42">
        <v>1002.6609999999999</v>
      </c>
      <c r="G41" s="43">
        <v>5.0310900000000002E-3</v>
      </c>
      <c r="H41" s="31">
        <f>IFERROR(VLOOKUP(B41,'[1]Debt Holding Consolidated'!$C$1:$AM$65536,12,FALSE),"")</f>
        <v>8.9499999999999993</v>
      </c>
    </row>
    <row r="42" spans="1:8" x14ac:dyDescent="0.2">
      <c r="A42" s="39">
        <v>15</v>
      </c>
      <c r="B42" s="40" t="s">
        <v>239</v>
      </c>
      <c r="C42" s="40" t="s">
        <v>240</v>
      </c>
      <c r="D42" s="40" t="s">
        <v>216</v>
      </c>
      <c r="E42" s="41">
        <v>1000</v>
      </c>
      <c r="F42" s="42">
        <v>997.94799999999998</v>
      </c>
      <c r="G42" s="43">
        <v>5.0074400000000002E-3</v>
      </c>
      <c r="H42" s="31">
        <f>IFERROR(VLOOKUP(B42,'[1]Debt Holding Consolidated'!$C$1:$AM$65536,12,FALSE),"")</f>
        <v>8.8800000000000008</v>
      </c>
    </row>
    <row r="43" spans="1:8" x14ac:dyDescent="0.2">
      <c r="A43" s="29"/>
      <c r="B43" s="29"/>
      <c r="C43" s="30" t="s">
        <v>10</v>
      </c>
      <c r="D43" s="29"/>
      <c r="E43" s="29" t="s">
        <v>11</v>
      </c>
      <c r="F43" s="38">
        <v>39084.2958</v>
      </c>
      <c r="G43" s="33">
        <v>0.19611474000000001</v>
      </c>
      <c r="H43" s="31" t="str">
        <f>IFERROR(VLOOKUP(B43,'[1]Debt Holding Consolidated'!$C$1:$AM$65536,12,FALSE),"")</f>
        <v/>
      </c>
    </row>
    <row r="44" spans="1:8" x14ac:dyDescent="0.2">
      <c r="A44" s="29"/>
      <c r="B44" s="29"/>
      <c r="C44" s="34"/>
      <c r="D44" s="29"/>
      <c r="E44" s="29"/>
      <c r="F44" s="35"/>
      <c r="G44" s="35"/>
      <c r="H44" s="31" t="str">
        <f>IFERROR(VLOOKUP(B44,'[1]Debt Holding Consolidated'!$C$1:$AM$65536,12,FALSE),"")</f>
        <v/>
      </c>
    </row>
    <row r="45" spans="1:8" x14ac:dyDescent="0.2">
      <c r="A45" s="29"/>
      <c r="B45" s="29"/>
      <c r="C45" s="30" t="s">
        <v>70</v>
      </c>
      <c r="D45" s="29"/>
      <c r="E45" s="29"/>
      <c r="F45" s="29"/>
      <c r="G45" s="29"/>
      <c r="H45" s="31" t="str">
        <f>IFERROR(VLOOKUP(B45,'[1]Debt Holding Consolidated'!$C$1:$AM$65536,12,FALSE),"")</f>
        <v/>
      </c>
    </row>
    <row r="46" spans="1:8" x14ac:dyDescent="0.2">
      <c r="A46" s="29"/>
      <c r="B46" s="29"/>
      <c r="C46" s="30" t="s">
        <v>10</v>
      </c>
      <c r="D46" s="29"/>
      <c r="E46" s="29" t="s">
        <v>11</v>
      </c>
      <c r="F46" s="32" t="s">
        <v>12</v>
      </c>
      <c r="G46" s="33">
        <v>0</v>
      </c>
      <c r="H46" s="31" t="str">
        <f>IFERROR(VLOOKUP(B46,'[1]Debt Holding Consolidated'!$C$1:$AM$65536,12,FALSE),"")</f>
        <v/>
      </c>
    </row>
    <row r="47" spans="1:8" x14ac:dyDescent="0.2">
      <c r="A47" s="29"/>
      <c r="B47" s="29"/>
      <c r="C47" s="34"/>
      <c r="D47" s="29"/>
      <c r="E47" s="29"/>
      <c r="F47" s="35"/>
      <c r="G47" s="35"/>
      <c r="H47" s="31" t="str">
        <f>IFERROR(VLOOKUP(B47,'[1]Debt Holding Consolidated'!$C$1:$AM$65536,12,FALSE),"")</f>
        <v/>
      </c>
    </row>
    <row r="48" spans="1:8" x14ac:dyDescent="0.2">
      <c r="A48" s="29"/>
      <c r="B48" s="29"/>
      <c r="C48" s="30" t="s">
        <v>71</v>
      </c>
      <c r="D48" s="29"/>
      <c r="E48" s="29"/>
      <c r="F48" s="29"/>
      <c r="G48" s="29"/>
      <c r="H48" s="31" t="str">
        <f>IFERROR(VLOOKUP(B48,'[1]Debt Holding Consolidated'!$C$1:$AM$65536,12,FALSE),"")</f>
        <v/>
      </c>
    </row>
    <row r="49" spans="1:8" x14ac:dyDescent="0.2">
      <c r="A49" s="29"/>
      <c r="B49" s="29"/>
      <c r="C49" s="30" t="s">
        <v>10</v>
      </c>
      <c r="D49" s="29"/>
      <c r="E49" s="29" t="s">
        <v>11</v>
      </c>
      <c r="F49" s="32" t="s">
        <v>12</v>
      </c>
      <c r="G49" s="33">
        <v>0</v>
      </c>
      <c r="H49" s="31" t="str">
        <f>IFERROR(VLOOKUP(B49,'[1]Debt Holding Consolidated'!$C$1:$AM$65536,12,FALSE),"")</f>
        <v/>
      </c>
    </row>
    <row r="50" spans="1:8" x14ac:dyDescent="0.2">
      <c r="A50" s="29"/>
      <c r="B50" s="29"/>
      <c r="C50" s="34"/>
      <c r="D50" s="29"/>
      <c r="E50" s="29"/>
      <c r="F50" s="35"/>
      <c r="G50" s="35"/>
      <c r="H50" s="31" t="str">
        <f>IFERROR(VLOOKUP(B50,'[1]Debt Holding Consolidated'!$C$1:$AM$65536,12,FALSE),"")</f>
        <v/>
      </c>
    </row>
    <row r="51" spans="1:8" x14ac:dyDescent="0.2">
      <c r="A51" s="29"/>
      <c r="B51" s="29"/>
      <c r="C51" s="30" t="s">
        <v>87</v>
      </c>
      <c r="D51" s="29"/>
      <c r="E51" s="29"/>
      <c r="F51" s="35"/>
      <c r="G51" s="35"/>
      <c r="H51" s="31" t="str">
        <f>IFERROR(VLOOKUP(B51,'[1]Debt Holding Consolidated'!$C$1:$AM$65536,12,FALSE),"")</f>
        <v/>
      </c>
    </row>
    <row r="52" spans="1:8" x14ac:dyDescent="0.2">
      <c r="A52" s="29"/>
      <c r="B52" s="29"/>
      <c r="C52" s="30" t="s">
        <v>10</v>
      </c>
      <c r="D52" s="29"/>
      <c r="E52" s="29" t="s">
        <v>11</v>
      </c>
      <c r="F52" s="32" t="s">
        <v>12</v>
      </c>
      <c r="G52" s="33">
        <v>0</v>
      </c>
      <c r="H52" s="31" t="str">
        <f>IFERROR(VLOOKUP(B52,'[1]Debt Holding Consolidated'!$C$1:$AM$65536,12,FALSE),"")</f>
        <v/>
      </c>
    </row>
    <row r="53" spans="1:8" x14ac:dyDescent="0.2">
      <c r="A53" s="29"/>
      <c r="B53" s="29"/>
      <c r="C53" s="34"/>
      <c r="D53" s="29"/>
      <c r="E53" s="29"/>
      <c r="F53" s="35"/>
      <c r="G53" s="35"/>
      <c r="H53" s="31" t="str">
        <f>IFERROR(VLOOKUP(B53,'[1]Debt Holding Consolidated'!$C$1:$AM$65536,12,FALSE),"")</f>
        <v/>
      </c>
    </row>
    <row r="54" spans="1:8" x14ac:dyDescent="0.2">
      <c r="A54" s="29"/>
      <c r="B54" s="29"/>
      <c r="C54" s="30" t="s">
        <v>88</v>
      </c>
      <c r="D54" s="29"/>
      <c r="E54" s="29"/>
      <c r="F54" s="38">
        <v>39084.2958</v>
      </c>
      <c r="G54" s="33">
        <v>0.19611474000000001</v>
      </c>
      <c r="H54" s="31" t="str">
        <f>IFERROR(VLOOKUP(B54,'[1]Debt Holding Consolidated'!$C$1:$AM$65536,12,FALSE),"")</f>
        <v/>
      </c>
    </row>
    <row r="55" spans="1:8" x14ac:dyDescent="0.2">
      <c r="A55" s="29"/>
      <c r="B55" s="29"/>
      <c r="C55" s="34"/>
      <c r="D55" s="29"/>
      <c r="E55" s="29"/>
      <c r="F55" s="35"/>
      <c r="G55" s="35"/>
      <c r="H55" s="31" t="str">
        <f>IFERROR(VLOOKUP(B55,'[1]Debt Holding Consolidated'!$C$1:$AM$65536,12,FALSE),"")</f>
        <v/>
      </c>
    </row>
    <row r="56" spans="1:8" x14ac:dyDescent="0.2">
      <c r="A56" s="29"/>
      <c r="B56" s="29"/>
      <c r="C56" s="30" t="s">
        <v>89</v>
      </c>
      <c r="D56" s="29"/>
      <c r="E56" s="29"/>
      <c r="F56" s="35"/>
      <c r="G56" s="35"/>
      <c r="H56" s="31" t="str">
        <f>IFERROR(VLOOKUP(B56,'[1]Debt Holding Consolidated'!$C$1:$AM$65536,12,FALSE),"")</f>
        <v/>
      </c>
    </row>
    <row r="57" spans="1:8" x14ac:dyDescent="0.2">
      <c r="A57" s="29"/>
      <c r="B57" s="29"/>
      <c r="C57" s="30" t="s">
        <v>90</v>
      </c>
      <c r="D57" s="29"/>
      <c r="E57" s="29"/>
      <c r="F57" s="35"/>
      <c r="G57" s="35"/>
      <c r="H57" s="31" t="str">
        <f>IFERROR(VLOOKUP(B57,'[1]Debt Holding Consolidated'!$C$1:$AM$65536,12,FALSE),"")</f>
        <v/>
      </c>
    </row>
    <row r="58" spans="1:8" x14ac:dyDescent="0.2">
      <c r="A58" s="39">
        <v>1</v>
      </c>
      <c r="B58" s="40" t="s">
        <v>181</v>
      </c>
      <c r="C58" s="40" t="s">
        <v>182</v>
      </c>
      <c r="D58" s="40" t="s">
        <v>145</v>
      </c>
      <c r="E58" s="41">
        <v>1600</v>
      </c>
      <c r="F58" s="42">
        <v>7524.6959999999999</v>
      </c>
      <c r="G58" s="43">
        <v>3.7756949999999997E-2</v>
      </c>
      <c r="H58" s="31">
        <f>IFERROR(VLOOKUP(B58,'[1]Debt Holding Consolidated'!$C$1:$AM$65536,12,FALSE),"")</f>
        <v>7.51</v>
      </c>
    </row>
    <row r="59" spans="1:8" x14ac:dyDescent="0.2">
      <c r="A59" s="39">
        <v>2</v>
      </c>
      <c r="B59" s="40" t="s">
        <v>307</v>
      </c>
      <c r="C59" s="40" t="s">
        <v>308</v>
      </c>
      <c r="D59" s="40" t="s">
        <v>150</v>
      </c>
      <c r="E59" s="41">
        <v>1000</v>
      </c>
      <c r="F59" s="42">
        <v>4981.5200000000004</v>
      </c>
      <c r="G59" s="43">
        <v>2.4995960000000001E-2</v>
      </c>
      <c r="H59" s="31">
        <f>IFERROR(VLOOKUP(B59,'[1]Debt Holding Consolidated'!$C$1:$AM$65536,12,FALSE),"")</f>
        <v>6.7701000000000002</v>
      </c>
    </row>
    <row r="60" spans="1:8" x14ac:dyDescent="0.2">
      <c r="A60" s="39">
        <v>3</v>
      </c>
      <c r="B60" s="40" t="s">
        <v>448</v>
      </c>
      <c r="C60" s="40" t="s">
        <v>449</v>
      </c>
      <c r="D60" s="40" t="s">
        <v>145</v>
      </c>
      <c r="E60" s="41">
        <v>1000</v>
      </c>
      <c r="F60" s="42">
        <v>4974.9949999999999</v>
      </c>
      <c r="G60" s="43">
        <v>2.4963220000000001E-2</v>
      </c>
      <c r="H60" s="31">
        <f>IFERROR(VLOOKUP(B60,'[1]Debt Holding Consolidated'!$C$1:$AM$65536,12,FALSE),"")</f>
        <v>6.7949999999999999</v>
      </c>
    </row>
    <row r="61" spans="1:8" x14ac:dyDescent="0.2">
      <c r="A61" s="39">
        <v>4</v>
      </c>
      <c r="B61" s="40" t="s">
        <v>450</v>
      </c>
      <c r="C61" s="40" t="s">
        <v>451</v>
      </c>
      <c r="D61" s="40" t="s">
        <v>145</v>
      </c>
      <c r="E61" s="41">
        <v>1000</v>
      </c>
      <c r="F61" s="42">
        <v>4900.57</v>
      </c>
      <c r="G61" s="43">
        <v>2.4589779999999999E-2</v>
      </c>
      <c r="H61" s="31">
        <f>IFERROR(VLOOKUP(B61,'[1]Debt Holding Consolidated'!$C$1:$AM$65536,12,FALSE),"")</f>
        <v>7.1901000000000002</v>
      </c>
    </row>
    <row r="62" spans="1:8" x14ac:dyDescent="0.2">
      <c r="A62" s="39">
        <v>5</v>
      </c>
      <c r="B62" s="40" t="s">
        <v>452</v>
      </c>
      <c r="C62" s="40" t="s">
        <v>453</v>
      </c>
      <c r="D62" s="40" t="s">
        <v>145</v>
      </c>
      <c r="E62" s="41">
        <v>1000</v>
      </c>
      <c r="F62" s="42">
        <v>4681.53</v>
      </c>
      <c r="G62" s="43">
        <v>2.3490690000000002E-2</v>
      </c>
      <c r="H62" s="31">
        <f>IFERROR(VLOOKUP(B62,'[1]Debt Holding Consolidated'!$C$1:$AM$65536,12,FALSE),"")</f>
        <v>7.5701000000000001</v>
      </c>
    </row>
    <row r="63" spans="1:8" x14ac:dyDescent="0.2">
      <c r="A63" s="39">
        <v>6</v>
      </c>
      <c r="B63" s="40" t="s">
        <v>175</v>
      </c>
      <c r="C63" s="40" t="s">
        <v>176</v>
      </c>
      <c r="D63" s="40" t="s">
        <v>152</v>
      </c>
      <c r="E63" s="41">
        <v>900</v>
      </c>
      <c r="F63" s="42">
        <v>4350.5640000000003</v>
      </c>
      <c r="G63" s="43">
        <v>2.1829990000000001E-2</v>
      </c>
      <c r="H63" s="31">
        <f>IFERROR(VLOOKUP(B63,'[1]Debt Holding Consolidated'!$C$1:$AM$65536,12,FALSE),"")</f>
        <v>7.375</v>
      </c>
    </row>
    <row r="64" spans="1:8" x14ac:dyDescent="0.2">
      <c r="A64" s="39">
        <v>7</v>
      </c>
      <c r="B64" s="40" t="s">
        <v>177</v>
      </c>
      <c r="C64" s="40" t="s">
        <v>178</v>
      </c>
      <c r="D64" s="40" t="s">
        <v>145</v>
      </c>
      <c r="E64" s="41">
        <v>900</v>
      </c>
      <c r="F64" s="42">
        <v>4337.7479999999996</v>
      </c>
      <c r="G64" s="43">
        <v>2.1765679999999999E-2</v>
      </c>
      <c r="H64" s="31">
        <f>IFERROR(VLOOKUP(B64,'[1]Debt Holding Consolidated'!$C$1:$AM$65536,12,FALSE),"")</f>
        <v>7.4199000000000002</v>
      </c>
    </row>
    <row r="65" spans="1:8" x14ac:dyDescent="0.2">
      <c r="A65" s="39">
        <v>8</v>
      </c>
      <c r="B65" s="40" t="s">
        <v>163</v>
      </c>
      <c r="C65" s="40" t="s">
        <v>164</v>
      </c>
      <c r="D65" s="40" t="s">
        <v>150</v>
      </c>
      <c r="E65" s="41">
        <v>840</v>
      </c>
      <c r="F65" s="42">
        <v>3995.5776000000001</v>
      </c>
      <c r="G65" s="43">
        <v>2.0048759999999999E-2</v>
      </c>
      <c r="H65" s="31">
        <f>IFERROR(VLOOKUP(B65,'[1]Debt Holding Consolidated'!$C$1:$AM$65536,12,FALSE),"")</f>
        <v>7.44</v>
      </c>
    </row>
    <row r="66" spans="1:8" x14ac:dyDescent="0.2">
      <c r="A66" s="39">
        <v>9</v>
      </c>
      <c r="B66" s="40" t="s">
        <v>454</v>
      </c>
      <c r="C66" s="40" t="s">
        <v>455</v>
      </c>
      <c r="D66" s="40" t="s">
        <v>152</v>
      </c>
      <c r="E66" s="41">
        <v>800</v>
      </c>
      <c r="F66" s="42">
        <v>3993.3359999999998</v>
      </c>
      <c r="G66" s="43">
        <v>2.0037510000000001E-2</v>
      </c>
      <c r="H66" s="31">
        <f>IFERROR(VLOOKUP(B66,'[1]Debt Holding Consolidated'!$C$1:$AM$65536,12,FALSE),"")</f>
        <v>6.7701000000000002</v>
      </c>
    </row>
    <row r="67" spans="1:8" ht="25.5" x14ac:dyDescent="0.2">
      <c r="A67" s="39">
        <v>10</v>
      </c>
      <c r="B67" s="40" t="s">
        <v>251</v>
      </c>
      <c r="C67" s="40" t="s">
        <v>252</v>
      </c>
      <c r="D67" s="40" t="s">
        <v>145</v>
      </c>
      <c r="E67" s="41">
        <v>800</v>
      </c>
      <c r="F67" s="42">
        <v>3935.9160000000002</v>
      </c>
      <c r="G67" s="43">
        <v>1.9749389999999999E-2</v>
      </c>
      <c r="H67" s="31">
        <f>IFERROR(VLOOKUP(B67,'[1]Debt Holding Consolidated'!$C$1:$AM$65536,12,FALSE),"")</f>
        <v>7.16</v>
      </c>
    </row>
    <row r="68" spans="1:8" x14ac:dyDescent="0.2">
      <c r="A68" s="39">
        <v>11</v>
      </c>
      <c r="B68" s="40" t="s">
        <v>173</v>
      </c>
      <c r="C68" s="40" t="s">
        <v>174</v>
      </c>
      <c r="D68" s="40" t="s">
        <v>150</v>
      </c>
      <c r="E68" s="41">
        <v>800</v>
      </c>
      <c r="F68" s="42">
        <v>3920.404</v>
      </c>
      <c r="G68" s="43">
        <v>1.9671560000000001E-2</v>
      </c>
      <c r="H68" s="31">
        <f>IFERROR(VLOOKUP(B68,'[1]Debt Holding Consolidated'!$C$1:$AM$65536,12,FALSE),"")</f>
        <v>7.1950000000000003</v>
      </c>
    </row>
    <row r="69" spans="1:8" x14ac:dyDescent="0.2">
      <c r="A69" s="39">
        <v>12</v>
      </c>
      <c r="B69" s="40" t="s">
        <v>249</v>
      </c>
      <c r="C69" s="40" t="s">
        <v>250</v>
      </c>
      <c r="D69" s="40" t="s">
        <v>150</v>
      </c>
      <c r="E69" s="41">
        <v>700</v>
      </c>
      <c r="F69" s="42">
        <v>3417.694</v>
      </c>
      <c r="G69" s="43">
        <v>1.7149089999999999E-2</v>
      </c>
      <c r="H69" s="31">
        <f>IFERROR(VLOOKUP(B69,'[1]Debt Holding Consolidated'!$C$1:$AM$65536,12,FALSE),"")</f>
        <v>7.2050000000000001</v>
      </c>
    </row>
    <row r="70" spans="1:8" x14ac:dyDescent="0.2">
      <c r="A70" s="39">
        <v>13</v>
      </c>
      <c r="B70" s="40" t="s">
        <v>165</v>
      </c>
      <c r="C70" s="40" t="s">
        <v>166</v>
      </c>
      <c r="D70" s="40" t="s">
        <v>145</v>
      </c>
      <c r="E70" s="41">
        <v>660</v>
      </c>
      <c r="F70" s="42">
        <v>3237.9303</v>
      </c>
      <c r="G70" s="43">
        <v>1.6247089999999999E-2</v>
      </c>
      <c r="H70" s="31">
        <f>IFERROR(VLOOKUP(B70,'[1]Debt Holding Consolidated'!$C$1:$AM$65536,12,FALSE),"")</f>
        <v>7.2133000000000003</v>
      </c>
    </row>
    <row r="71" spans="1:8" x14ac:dyDescent="0.2">
      <c r="A71" s="39">
        <v>14</v>
      </c>
      <c r="B71" s="40" t="s">
        <v>167</v>
      </c>
      <c r="C71" s="40" t="s">
        <v>168</v>
      </c>
      <c r="D71" s="40" t="s">
        <v>145</v>
      </c>
      <c r="E71" s="41">
        <v>660</v>
      </c>
      <c r="F71" s="42">
        <v>3236.0756999999999</v>
      </c>
      <c r="G71" s="43">
        <v>1.623778E-2</v>
      </c>
      <c r="H71" s="31">
        <f>IFERROR(VLOOKUP(B71,'[1]Debt Holding Consolidated'!$C$1:$AM$65536,12,FALSE),"")</f>
        <v>7.2102000000000004</v>
      </c>
    </row>
    <row r="72" spans="1:8" x14ac:dyDescent="0.2">
      <c r="A72" s="39">
        <v>15</v>
      </c>
      <c r="B72" s="40" t="s">
        <v>169</v>
      </c>
      <c r="C72" s="40" t="s">
        <v>170</v>
      </c>
      <c r="D72" s="40" t="s">
        <v>150</v>
      </c>
      <c r="E72" s="41">
        <v>600</v>
      </c>
      <c r="F72" s="42">
        <v>2956.203</v>
      </c>
      <c r="G72" s="43">
        <v>1.483345E-2</v>
      </c>
      <c r="H72" s="31">
        <f>IFERROR(VLOOKUP(B72,'[1]Debt Holding Consolidated'!$C$1:$AM$65536,12,FALSE),"")</f>
        <v>7.1151</v>
      </c>
    </row>
    <row r="73" spans="1:8" x14ac:dyDescent="0.2">
      <c r="A73" s="39">
        <v>16</v>
      </c>
      <c r="B73" s="40" t="s">
        <v>327</v>
      </c>
      <c r="C73" s="40" t="s">
        <v>716</v>
      </c>
      <c r="D73" s="40" t="s">
        <v>145</v>
      </c>
      <c r="E73" s="41">
        <v>500</v>
      </c>
      <c r="F73" s="42">
        <v>2495.3825000000002</v>
      </c>
      <c r="G73" s="43">
        <v>1.252118E-2</v>
      </c>
      <c r="H73" s="31">
        <f>IFERROR(VLOOKUP(B73,'[1]Debt Holding Consolidated'!$C$1:$AM$65536,12,FALSE),"")</f>
        <v>6.7549999999999999</v>
      </c>
    </row>
    <row r="74" spans="1:8" x14ac:dyDescent="0.2">
      <c r="A74" s="39">
        <v>17</v>
      </c>
      <c r="B74" s="40" t="s">
        <v>456</v>
      </c>
      <c r="C74" s="40" t="s">
        <v>457</v>
      </c>
      <c r="D74" s="40" t="s">
        <v>145</v>
      </c>
      <c r="E74" s="41">
        <v>500</v>
      </c>
      <c r="F74" s="42">
        <v>2493.96</v>
      </c>
      <c r="G74" s="43">
        <v>1.2514040000000001E-2</v>
      </c>
      <c r="H74" s="31">
        <f>IFERROR(VLOOKUP(B74,'[1]Debt Holding Consolidated'!$C$1:$AM$65536,12,FALSE),"")</f>
        <v>6.7995999999999999</v>
      </c>
    </row>
    <row r="75" spans="1:8" x14ac:dyDescent="0.2">
      <c r="A75" s="39">
        <v>18</v>
      </c>
      <c r="B75" s="40" t="s">
        <v>458</v>
      </c>
      <c r="C75" s="40" t="s">
        <v>459</v>
      </c>
      <c r="D75" s="40" t="s">
        <v>145</v>
      </c>
      <c r="E75" s="41">
        <v>500</v>
      </c>
      <c r="F75" s="42">
        <v>2461.0075000000002</v>
      </c>
      <c r="G75" s="43">
        <v>1.2348690000000001E-2</v>
      </c>
      <c r="H75" s="31">
        <f>IFERROR(VLOOKUP(B75,'[1]Debt Holding Consolidated'!$C$1:$AM$65536,12,FALSE),"")</f>
        <v>7.1401000000000003</v>
      </c>
    </row>
    <row r="76" spans="1:8" ht="25.5" x14ac:dyDescent="0.2">
      <c r="A76" s="39">
        <v>19</v>
      </c>
      <c r="B76" s="40" t="s">
        <v>460</v>
      </c>
      <c r="C76" s="40" t="s">
        <v>461</v>
      </c>
      <c r="D76" s="40" t="s">
        <v>145</v>
      </c>
      <c r="E76" s="41">
        <v>500</v>
      </c>
      <c r="F76" s="42">
        <v>2459.9475000000002</v>
      </c>
      <c r="G76" s="43">
        <v>1.2343369999999999E-2</v>
      </c>
      <c r="H76" s="31">
        <f>IFERROR(VLOOKUP(B76,'[1]Debt Holding Consolidated'!$C$1:$AM$65536,12,FALSE),"")</f>
        <v>7.1601999999999997</v>
      </c>
    </row>
    <row r="77" spans="1:8" x14ac:dyDescent="0.2">
      <c r="A77" s="39">
        <v>20</v>
      </c>
      <c r="B77" s="40" t="s">
        <v>462</v>
      </c>
      <c r="C77" s="40" t="s">
        <v>463</v>
      </c>
      <c r="D77" s="40" t="s">
        <v>145</v>
      </c>
      <c r="E77" s="41">
        <v>500</v>
      </c>
      <c r="F77" s="42">
        <v>2459.92</v>
      </c>
      <c r="G77" s="43">
        <v>1.234323E-2</v>
      </c>
      <c r="H77" s="31">
        <f>IFERROR(VLOOKUP(B77,'[1]Debt Holding Consolidated'!$C$1:$AM$65536,12,FALSE),"")</f>
        <v>7.1650999999999998</v>
      </c>
    </row>
    <row r="78" spans="1:8" x14ac:dyDescent="0.2">
      <c r="A78" s="39">
        <v>21</v>
      </c>
      <c r="B78" s="40" t="s">
        <v>464</v>
      </c>
      <c r="C78" s="40" t="s">
        <v>465</v>
      </c>
      <c r="D78" s="40" t="s">
        <v>152</v>
      </c>
      <c r="E78" s="41">
        <v>500</v>
      </c>
      <c r="F78" s="42">
        <v>2445.2350000000001</v>
      </c>
      <c r="G78" s="43">
        <v>1.2269550000000001E-2</v>
      </c>
      <c r="H78" s="31">
        <f>IFERROR(VLOOKUP(B78,'[1]Debt Holding Consolidated'!$C$1:$AM$65536,12,FALSE),"")</f>
        <v>7.1708999999999996</v>
      </c>
    </row>
    <row r="79" spans="1:8" x14ac:dyDescent="0.2">
      <c r="A79" s="39">
        <v>22</v>
      </c>
      <c r="B79" s="40" t="s">
        <v>247</v>
      </c>
      <c r="C79" s="40" t="s">
        <v>248</v>
      </c>
      <c r="D79" s="40" t="s">
        <v>145</v>
      </c>
      <c r="E79" s="41">
        <v>500</v>
      </c>
      <c r="F79" s="42">
        <v>2444.6224999999999</v>
      </c>
      <c r="G79" s="43">
        <v>1.226648E-2</v>
      </c>
      <c r="H79" s="31">
        <f>IFERROR(VLOOKUP(B79,'[1]Debt Holding Consolidated'!$C$1:$AM$65536,12,FALSE),"")</f>
        <v>7.1898999999999997</v>
      </c>
    </row>
    <row r="80" spans="1:8" x14ac:dyDescent="0.2">
      <c r="A80" s="39">
        <v>23</v>
      </c>
      <c r="B80" s="40" t="s">
        <v>466</v>
      </c>
      <c r="C80" s="40" t="s">
        <v>467</v>
      </c>
      <c r="D80" s="40" t="s">
        <v>145</v>
      </c>
      <c r="E80" s="41">
        <v>500</v>
      </c>
      <c r="F80" s="42">
        <v>2444.585</v>
      </c>
      <c r="G80" s="43">
        <v>1.2266289999999999E-2</v>
      </c>
      <c r="H80" s="31">
        <f>IFERROR(VLOOKUP(B80,'[1]Debt Holding Consolidated'!$C$1:$AM$65536,12,FALSE),"")</f>
        <v>7.1950000000000003</v>
      </c>
    </row>
    <row r="81" spans="1:10" x14ac:dyDescent="0.2">
      <c r="A81" s="39">
        <v>24</v>
      </c>
      <c r="B81" s="40" t="s">
        <v>149</v>
      </c>
      <c r="C81" s="40" t="s">
        <v>697</v>
      </c>
      <c r="D81" s="40" t="s">
        <v>150</v>
      </c>
      <c r="E81" s="41">
        <v>500</v>
      </c>
      <c r="F81" s="42">
        <v>2441.9899999999998</v>
      </c>
      <c r="G81" s="43">
        <v>1.225327E-2</v>
      </c>
      <c r="H81" s="31">
        <f>IFERROR(VLOOKUP(B81,'[1]Debt Holding Consolidated'!$C$1:$AM$65536,12,FALSE),"")</f>
        <v>7.1661000000000001</v>
      </c>
    </row>
    <row r="82" spans="1:10" x14ac:dyDescent="0.2">
      <c r="A82" s="39">
        <v>25</v>
      </c>
      <c r="B82" s="40" t="s">
        <v>157</v>
      </c>
      <c r="C82" s="40" t="s">
        <v>158</v>
      </c>
      <c r="D82" s="40" t="s">
        <v>145</v>
      </c>
      <c r="E82" s="41">
        <v>500</v>
      </c>
      <c r="F82" s="42">
        <v>2407.9124999999999</v>
      </c>
      <c r="G82" s="43">
        <v>1.2082270000000001E-2</v>
      </c>
      <c r="H82" s="31">
        <f>IFERROR(VLOOKUP(B82,'[1]Debt Holding Consolidated'!$C$1:$AM$65536,12,FALSE),"")</f>
        <v>7.4250999999999996</v>
      </c>
    </row>
    <row r="83" spans="1:10" x14ac:dyDescent="0.2">
      <c r="A83" s="39">
        <v>26</v>
      </c>
      <c r="B83" s="40" t="s">
        <v>468</v>
      </c>
      <c r="C83" s="40" t="s">
        <v>469</v>
      </c>
      <c r="D83" s="40" t="s">
        <v>145</v>
      </c>
      <c r="E83" s="41">
        <v>500</v>
      </c>
      <c r="F83" s="42">
        <v>2364.4499999999998</v>
      </c>
      <c r="G83" s="43">
        <v>1.186419E-2</v>
      </c>
      <c r="H83" s="31">
        <f>IFERROR(VLOOKUP(B83,'[1]Debt Holding Consolidated'!$C$1:$AM$65536,12,FALSE),"")</f>
        <v>7.5</v>
      </c>
    </row>
    <row r="84" spans="1:10" x14ac:dyDescent="0.2">
      <c r="A84" s="39">
        <v>27</v>
      </c>
      <c r="B84" s="40" t="s">
        <v>470</v>
      </c>
      <c r="C84" s="40" t="s">
        <v>471</v>
      </c>
      <c r="D84" s="40" t="s">
        <v>145</v>
      </c>
      <c r="E84" s="41">
        <v>500</v>
      </c>
      <c r="F84" s="42">
        <v>2364.1374999999998</v>
      </c>
      <c r="G84" s="43">
        <v>1.1862620000000001E-2</v>
      </c>
      <c r="H84" s="31">
        <f>IFERROR(VLOOKUP(B84,'[1]Debt Holding Consolidated'!$C$1:$AM$65536,12,FALSE),"")</f>
        <v>7.6</v>
      </c>
      <c r="J84"/>
    </row>
    <row r="85" spans="1:10" x14ac:dyDescent="0.2">
      <c r="A85" s="39">
        <v>28</v>
      </c>
      <c r="B85" s="40" t="s">
        <v>171</v>
      </c>
      <c r="C85" s="40" t="s">
        <v>172</v>
      </c>
      <c r="D85" s="40" t="s">
        <v>145</v>
      </c>
      <c r="E85" s="41">
        <v>400</v>
      </c>
      <c r="F85" s="42">
        <v>1968.7380000000001</v>
      </c>
      <c r="G85" s="43">
        <v>9.8786099999999995E-3</v>
      </c>
      <c r="H85" s="31">
        <f>IFERROR(VLOOKUP(B85,'[1]Debt Holding Consolidated'!$C$1:$AM$65536,12,FALSE),"")</f>
        <v>7.2449000000000003</v>
      </c>
      <c r="J85"/>
    </row>
    <row r="86" spans="1:10" x14ac:dyDescent="0.2">
      <c r="A86" s="39">
        <v>29</v>
      </c>
      <c r="B86" s="40" t="s">
        <v>159</v>
      </c>
      <c r="C86" s="40" t="s">
        <v>160</v>
      </c>
      <c r="D86" s="40" t="s">
        <v>145</v>
      </c>
      <c r="E86" s="41">
        <v>300</v>
      </c>
      <c r="F86" s="42">
        <v>1472.2184999999999</v>
      </c>
      <c r="G86" s="43">
        <v>7.38721E-3</v>
      </c>
      <c r="H86" s="31">
        <f>IFERROR(VLOOKUP(B86,'[1]Debt Holding Consolidated'!$C$1:$AM$65536,12,FALSE),"")</f>
        <v>7.1750999999999996</v>
      </c>
      <c r="J86"/>
    </row>
    <row r="87" spans="1:10" ht="25.5" x14ac:dyDescent="0.2">
      <c r="A87" s="39">
        <v>30</v>
      </c>
      <c r="B87" s="40" t="s">
        <v>253</v>
      </c>
      <c r="C87" s="40" t="s">
        <v>254</v>
      </c>
      <c r="D87" s="40" t="s">
        <v>145</v>
      </c>
      <c r="E87" s="41">
        <v>300</v>
      </c>
      <c r="F87" s="42">
        <v>1470.4155000000001</v>
      </c>
      <c r="G87" s="43">
        <v>7.3781599999999999E-3</v>
      </c>
      <c r="H87" s="31">
        <f>IFERROR(VLOOKUP(B87,'[1]Debt Holding Consolidated'!$C$1:$AM$65536,12,FALSE),"")</f>
        <v>7.2</v>
      </c>
      <c r="J87"/>
    </row>
    <row r="88" spans="1:10" x14ac:dyDescent="0.2">
      <c r="A88" s="39">
        <v>31</v>
      </c>
      <c r="B88" s="40" t="s">
        <v>161</v>
      </c>
      <c r="C88" s="40" t="s">
        <v>162</v>
      </c>
      <c r="D88" s="40" t="s">
        <v>145</v>
      </c>
      <c r="E88" s="41">
        <v>300</v>
      </c>
      <c r="F88" s="42">
        <v>1467.576</v>
      </c>
      <c r="G88" s="43">
        <v>7.3639100000000004E-3</v>
      </c>
      <c r="H88" s="31">
        <f>IFERROR(VLOOKUP(B88,'[1]Debt Holding Consolidated'!$C$1:$AM$65536,12,FALSE),"")</f>
        <v>7.2652000000000001</v>
      </c>
      <c r="J88"/>
    </row>
    <row r="89" spans="1:10" x14ac:dyDescent="0.2">
      <c r="A89" s="39">
        <v>32</v>
      </c>
      <c r="B89" s="40" t="s">
        <v>143</v>
      </c>
      <c r="C89" s="40" t="s">
        <v>144</v>
      </c>
      <c r="D89" s="40" t="s">
        <v>145</v>
      </c>
      <c r="E89" s="41">
        <v>100</v>
      </c>
      <c r="F89" s="42">
        <v>490.24599999999998</v>
      </c>
      <c r="G89" s="43">
        <v>2.4599299999999999E-3</v>
      </c>
      <c r="H89" s="31">
        <f>IFERROR(VLOOKUP(B89,'[1]Debt Holding Consolidated'!$C$1:$AM$65536,12,FALSE),"")</f>
        <v>7.19</v>
      </c>
      <c r="J89"/>
    </row>
    <row r="90" spans="1:10" x14ac:dyDescent="0.2">
      <c r="A90" s="29"/>
      <c r="B90" s="29"/>
      <c r="C90" s="30" t="s">
        <v>10</v>
      </c>
      <c r="D90" s="29"/>
      <c r="E90" s="29" t="s">
        <v>11</v>
      </c>
      <c r="F90" s="38">
        <v>100597.1036</v>
      </c>
      <c r="G90" s="33">
        <v>0.50476989999999999</v>
      </c>
      <c r="H90" s="31" t="str">
        <f>IFERROR(VLOOKUP(B90,'[1]Debt Holding Consolidated'!$C$1:$AM$65536,12,FALSE),"")</f>
        <v/>
      </c>
      <c r="J90"/>
    </row>
    <row r="91" spans="1:10" x14ac:dyDescent="0.2">
      <c r="A91" s="29"/>
      <c r="B91" s="29"/>
      <c r="C91" s="34"/>
      <c r="D91" s="29"/>
      <c r="E91" s="29"/>
      <c r="F91" s="35"/>
      <c r="G91" s="35"/>
      <c r="H91" s="31" t="str">
        <f>IFERROR(VLOOKUP(B91,'[1]Debt Holding Consolidated'!$C$1:$AM$65536,12,FALSE),"")</f>
        <v/>
      </c>
      <c r="J91"/>
    </row>
    <row r="92" spans="1:10" x14ac:dyDescent="0.2">
      <c r="A92" s="29"/>
      <c r="B92" s="29"/>
      <c r="C92" s="30" t="s">
        <v>91</v>
      </c>
      <c r="D92" s="29"/>
      <c r="E92" s="29"/>
      <c r="F92" s="35"/>
      <c r="G92" s="35"/>
      <c r="H92" s="31" t="str">
        <f>IFERROR(VLOOKUP(B92,'[1]Debt Holding Consolidated'!$C$1:$AM$65536,12,FALSE),"")</f>
        <v/>
      </c>
      <c r="J92"/>
    </row>
    <row r="93" spans="1:10" ht="25.5" x14ac:dyDescent="0.2">
      <c r="A93" s="39">
        <v>1</v>
      </c>
      <c r="B93" s="40" t="s">
        <v>472</v>
      </c>
      <c r="C93" s="40" t="s">
        <v>473</v>
      </c>
      <c r="D93" s="40" t="s">
        <v>145</v>
      </c>
      <c r="E93" s="41">
        <v>1000</v>
      </c>
      <c r="F93" s="42">
        <v>4899.1450000000004</v>
      </c>
      <c r="G93" s="43">
        <v>2.4582630000000001E-2</v>
      </c>
      <c r="H93" s="31">
        <f>IFERROR(VLOOKUP(B93,'[1]Debt Holding Consolidated'!$C$1:$AM$65536,12,FALSE),"")</f>
        <v>7.2249999999999996</v>
      </c>
      <c r="J93"/>
    </row>
    <row r="94" spans="1:10" x14ac:dyDescent="0.2">
      <c r="A94" s="39">
        <v>2</v>
      </c>
      <c r="B94" s="40" t="s">
        <v>474</v>
      </c>
      <c r="C94" s="40" t="s">
        <v>475</v>
      </c>
      <c r="D94" s="40" t="s">
        <v>145</v>
      </c>
      <c r="E94" s="41">
        <v>1000</v>
      </c>
      <c r="F94" s="42">
        <v>4895.16</v>
      </c>
      <c r="G94" s="43">
        <v>2.4562629999999998E-2</v>
      </c>
      <c r="H94" s="31">
        <f>IFERROR(VLOOKUP(B94,'[1]Debt Holding Consolidated'!$C$1:$AM$65536,12,FALSE),"")</f>
        <v>7.7401</v>
      </c>
      <c r="J94"/>
    </row>
    <row r="95" spans="1:10" x14ac:dyDescent="0.2">
      <c r="A95" s="39">
        <v>3</v>
      </c>
      <c r="B95" s="40" t="s">
        <v>476</v>
      </c>
      <c r="C95" s="40" t="s">
        <v>477</v>
      </c>
      <c r="D95" s="40" t="s">
        <v>145</v>
      </c>
      <c r="E95" s="41">
        <v>1000</v>
      </c>
      <c r="F95" s="42">
        <v>4881.57</v>
      </c>
      <c r="G95" s="43">
        <v>2.4494439999999999E-2</v>
      </c>
      <c r="H95" s="31">
        <f>IFERROR(VLOOKUP(B95,'[1]Debt Holding Consolidated'!$C$1:$AM$65536,12,FALSE),"")</f>
        <v>7.7</v>
      </c>
      <c r="J95"/>
    </row>
    <row r="96" spans="1:10" x14ac:dyDescent="0.2">
      <c r="A96" s="39">
        <v>4</v>
      </c>
      <c r="B96" s="40" t="s">
        <v>187</v>
      </c>
      <c r="C96" s="40" t="s">
        <v>188</v>
      </c>
      <c r="D96" s="40" t="s">
        <v>145</v>
      </c>
      <c r="E96" s="41">
        <v>700</v>
      </c>
      <c r="F96" s="42">
        <v>3281.8905</v>
      </c>
      <c r="G96" s="43">
        <v>1.646767E-2</v>
      </c>
      <c r="H96" s="31">
        <f>IFERROR(VLOOKUP(B96,'[1]Debt Holding Consolidated'!$C$1:$AM$65536,12,FALSE),"")</f>
        <v>7.75</v>
      </c>
      <c r="J96"/>
    </row>
    <row r="97" spans="1:10" ht="25.5" x14ac:dyDescent="0.2">
      <c r="A97" s="39">
        <v>5</v>
      </c>
      <c r="B97" s="40" t="s">
        <v>478</v>
      </c>
      <c r="C97" s="40" t="s">
        <v>479</v>
      </c>
      <c r="D97" s="40" t="s">
        <v>145</v>
      </c>
      <c r="E97" s="41">
        <v>500</v>
      </c>
      <c r="F97" s="42">
        <v>2488.1875</v>
      </c>
      <c r="G97" s="43">
        <v>1.2485069999999999E-2</v>
      </c>
      <c r="H97" s="31">
        <f>IFERROR(VLOOKUP(B97,'[1]Debt Holding Consolidated'!$C$1:$AM$65536,12,FALSE),"")</f>
        <v>7.5350000000000001</v>
      </c>
      <c r="J97"/>
    </row>
    <row r="98" spans="1:10" ht="25.5" x14ac:dyDescent="0.2">
      <c r="A98" s="39">
        <v>6</v>
      </c>
      <c r="B98" s="40" t="s">
        <v>480</v>
      </c>
      <c r="C98" s="40" t="s">
        <v>481</v>
      </c>
      <c r="D98" s="40" t="s">
        <v>145</v>
      </c>
      <c r="E98" s="41">
        <v>500</v>
      </c>
      <c r="F98" s="42">
        <v>2480.44</v>
      </c>
      <c r="G98" s="43">
        <v>1.2446199999999999E-2</v>
      </c>
      <c r="H98" s="31">
        <f>IFERROR(VLOOKUP(B98,'[1]Debt Holding Consolidated'!$C$1:$AM$65536,12,FALSE),"")</f>
        <v>7.5750999999999999</v>
      </c>
    </row>
    <row r="99" spans="1:10" x14ac:dyDescent="0.2">
      <c r="A99" s="39">
        <v>7</v>
      </c>
      <c r="B99" s="40" t="s">
        <v>482</v>
      </c>
      <c r="C99" s="40" t="s">
        <v>483</v>
      </c>
      <c r="D99" s="40" t="s">
        <v>145</v>
      </c>
      <c r="E99" s="41">
        <v>500</v>
      </c>
      <c r="F99" s="42">
        <v>2447.46</v>
      </c>
      <c r="G99" s="43">
        <v>1.228071E-2</v>
      </c>
      <c r="H99" s="31">
        <f>IFERROR(VLOOKUP(B99,'[1]Debt Holding Consolidated'!$C$1:$AM$65536,12,FALSE),"")</f>
        <v>7.2549999999999999</v>
      </c>
    </row>
    <row r="100" spans="1:10" ht="25.5" x14ac:dyDescent="0.2">
      <c r="A100" s="39">
        <v>8</v>
      </c>
      <c r="B100" s="40" t="s">
        <v>484</v>
      </c>
      <c r="C100" s="40" t="s">
        <v>485</v>
      </c>
      <c r="D100" s="40" t="s">
        <v>145</v>
      </c>
      <c r="E100" s="41">
        <v>500</v>
      </c>
      <c r="F100" s="42">
        <v>2434.105</v>
      </c>
      <c r="G100" s="43">
        <v>1.2213699999999999E-2</v>
      </c>
      <c r="H100" s="31">
        <f>IFERROR(VLOOKUP(B100,'[1]Debt Holding Consolidated'!$C$1:$AM$65536,12,FALSE),"")</f>
        <v>7.9050000000000002</v>
      </c>
    </row>
    <row r="101" spans="1:10" x14ac:dyDescent="0.2">
      <c r="A101" s="39">
        <v>9</v>
      </c>
      <c r="B101" s="40" t="s">
        <v>349</v>
      </c>
      <c r="C101" s="40" t="s">
        <v>350</v>
      </c>
      <c r="D101" s="40" t="s">
        <v>145</v>
      </c>
      <c r="E101" s="41">
        <v>400</v>
      </c>
      <c r="F101" s="42">
        <v>1988.0119999999999</v>
      </c>
      <c r="G101" s="43">
        <v>9.9753199999999993E-3</v>
      </c>
      <c r="H101" s="31">
        <f>IFERROR(VLOOKUP(B101,'[1]Debt Holding Consolidated'!$C$1:$AM$65536,12,FALSE),"")</f>
        <v>7.1</v>
      </c>
    </row>
    <row r="102" spans="1:10" x14ac:dyDescent="0.2">
      <c r="A102" s="39">
        <v>10</v>
      </c>
      <c r="B102" s="40" t="s">
        <v>189</v>
      </c>
      <c r="C102" s="40" t="s">
        <v>190</v>
      </c>
      <c r="D102" s="40" t="s">
        <v>145</v>
      </c>
      <c r="E102" s="41">
        <v>300</v>
      </c>
      <c r="F102" s="42">
        <v>1470.2670000000001</v>
      </c>
      <c r="G102" s="43">
        <v>7.37741E-3</v>
      </c>
      <c r="H102" s="31">
        <f>IFERROR(VLOOKUP(B102,'[1]Debt Holding Consolidated'!$C$1:$AM$65536,12,FALSE),"")</f>
        <v>7.61</v>
      </c>
    </row>
    <row r="103" spans="1:10" ht="25.5" x14ac:dyDescent="0.2">
      <c r="A103" s="39">
        <v>11</v>
      </c>
      <c r="B103" s="40" t="s">
        <v>193</v>
      </c>
      <c r="C103" s="40" t="s">
        <v>194</v>
      </c>
      <c r="D103" s="40" t="s">
        <v>145</v>
      </c>
      <c r="E103" s="41">
        <v>300</v>
      </c>
      <c r="F103" s="42">
        <v>1443.1875</v>
      </c>
      <c r="G103" s="43">
        <v>7.2415400000000003E-3</v>
      </c>
      <c r="H103" s="31">
        <f>IFERROR(VLOOKUP(B103,'[1]Debt Holding Consolidated'!$C$1:$AM$65536,12,FALSE),"")</f>
        <v>7.4450000000000003</v>
      </c>
    </row>
    <row r="104" spans="1:10" x14ac:dyDescent="0.2">
      <c r="A104" s="39">
        <v>12</v>
      </c>
      <c r="B104" s="40" t="s">
        <v>486</v>
      </c>
      <c r="C104" s="40" t="s">
        <v>728</v>
      </c>
      <c r="D104" s="40" t="s">
        <v>145</v>
      </c>
      <c r="E104" s="41">
        <v>200</v>
      </c>
      <c r="F104" s="42">
        <v>976.75400000000002</v>
      </c>
      <c r="G104" s="43">
        <v>4.9011000000000002E-3</v>
      </c>
      <c r="H104" s="31">
        <f>IFERROR(VLOOKUP(B104,'[1]Debt Holding Consolidated'!$C$1:$AM$65536,12,FALSE),"")</f>
        <v>7.62</v>
      </c>
    </row>
    <row r="105" spans="1:10" x14ac:dyDescent="0.2">
      <c r="A105" s="29"/>
      <c r="B105" s="29"/>
      <c r="C105" s="30" t="s">
        <v>10</v>
      </c>
      <c r="D105" s="29"/>
      <c r="E105" s="29" t="s">
        <v>11</v>
      </c>
      <c r="F105" s="38">
        <v>33686.178500000002</v>
      </c>
      <c r="G105" s="33">
        <v>0.16902842000000001</v>
      </c>
      <c r="H105" s="31" t="str">
        <f>IFERROR(VLOOKUP(B105,'[1]Debt Holding Consolidated'!$C$1:$AM$65536,12,FALSE),"")</f>
        <v/>
      </c>
    </row>
    <row r="106" spans="1:10" x14ac:dyDescent="0.2">
      <c r="A106" s="29"/>
      <c r="B106" s="29"/>
      <c r="C106" s="34"/>
      <c r="D106" s="29"/>
      <c r="E106" s="29"/>
      <c r="F106" s="35"/>
      <c r="G106" s="35"/>
      <c r="H106" s="31" t="str">
        <f>IFERROR(VLOOKUP(B106,'[1]Debt Holding Consolidated'!$C$1:$AM$65536,12,FALSE),"")</f>
        <v/>
      </c>
    </row>
    <row r="107" spans="1:10" x14ac:dyDescent="0.2">
      <c r="A107" s="29"/>
      <c r="B107" s="29"/>
      <c r="C107" s="30" t="s">
        <v>92</v>
      </c>
      <c r="D107" s="29"/>
      <c r="E107" s="29"/>
      <c r="F107" s="35"/>
      <c r="G107" s="35"/>
      <c r="H107" s="31" t="str">
        <f>IFERROR(VLOOKUP(B107,'[1]Debt Holding Consolidated'!$C$1:$AM$65536,12,FALSE),"")</f>
        <v/>
      </c>
    </row>
    <row r="108" spans="1:10" x14ac:dyDescent="0.2">
      <c r="A108" s="39">
        <v>1</v>
      </c>
      <c r="B108" s="40" t="s">
        <v>199</v>
      </c>
      <c r="C108" s="40" t="s">
        <v>200</v>
      </c>
      <c r="D108" s="40" t="s">
        <v>74</v>
      </c>
      <c r="E108" s="41">
        <v>6500000</v>
      </c>
      <c r="F108" s="42">
        <v>6367.4195</v>
      </c>
      <c r="G108" s="43">
        <v>3.1950039999999999E-2</v>
      </c>
      <c r="H108" s="31">
        <f>IFERROR(VLOOKUP(B108,'[1]Debt Holding Consolidated'!$C$1:$AM$65536,12,FALSE),"")</f>
        <v>6.4960000000000004</v>
      </c>
    </row>
    <row r="109" spans="1:10" x14ac:dyDescent="0.2">
      <c r="A109" s="39">
        <v>2</v>
      </c>
      <c r="B109" s="40" t="s">
        <v>487</v>
      </c>
      <c r="C109" s="40" t="s">
        <v>488</v>
      </c>
      <c r="D109" s="40" t="s">
        <v>74</v>
      </c>
      <c r="E109" s="41">
        <v>2500000</v>
      </c>
      <c r="F109" s="42">
        <v>2451.9974999999999</v>
      </c>
      <c r="G109" s="43">
        <v>1.230348E-2</v>
      </c>
      <c r="H109" s="31">
        <f>IFERROR(VLOOKUP(B109,'[1]Debt Holding Consolidated'!$C$1:$AM$65536,12,FALSE),"")</f>
        <v>6.4960000000000004</v>
      </c>
    </row>
    <row r="110" spans="1:10" x14ac:dyDescent="0.2">
      <c r="A110" s="39">
        <v>3</v>
      </c>
      <c r="B110" s="40" t="s">
        <v>197</v>
      </c>
      <c r="C110" s="40" t="s">
        <v>198</v>
      </c>
      <c r="D110" s="40" t="s">
        <v>74</v>
      </c>
      <c r="E110" s="41">
        <v>2500000</v>
      </c>
      <c r="F110" s="42">
        <v>2427.17</v>
      </c>
      <c r="G110" s="43">
        <v>1.2178899999999999E-2</v>
      </c>
      <c r="H110" s="31">
        <f>IFERROR(VLOOKUP(B110,'[1]Debt Holding Consolidated'!$C$1:$AM$65536,12,FALSE),"")</f>
        <v>6.5979000000000001</v>
      </c>
    </row>
    <row r="111" spans="1:10" x14ac:dyDescent="0.2">
      <c r="A111" s="29"/>
      <c r="B111" s="29"/>
      <c r="C111" s="30" t="s">
        <v>10</v>
      </c>
      <c r="D111" s="29"/>
      <c r="E111" s="29" t="s">
        <v>11</v>
      </c>
      <c r="F111" s="38">
        <v>11246.587</v>
      </c>
      <c r="G111" s="33">
        <v>5.6432419999999997E-2</v>
      </c>
      <c r="H111" s="31" t="str">
        <f>IFERROR(VLOOKUP(B111,'[1]Debt Holding Consolidated'!$C$1:$AM$65536,12,FALSE),"")</f>
        <v/>
      </c>
    </row>
    <row r="112" spans="1:10" x14ac:dyDescent="0.2">
      <c r="A112" s="29"/>
      <c r="B112" s="29"/>
      <c r="C112" s="34"/>
      <c r="D112" s="29"/>
      <c r="E112" s="29"/>
      <c r="F112" s="35"/>
      <c r="G112" s="35"/>
      <c r="H112" s="31" t="str">
        <f>IFERROR(VLOOKUP(B112,'[1]Debt Holding Consolidated'!$C$1:$AM$65536,12,FALSE),"")</f>
        <v/>
      </c>
    </row>
    <row r="113" spans="1:18" x14ac:dyDescent="0.2">
      <c r="A113" s="29"/>
      <c r="B113" s="29"/>
      <c r="C113" s="30" t="s">
        <v>93</v>
      </c>
      <c r="D113" s="29"/>
      <c r="E113" s="29"/>
      <c r="F113" s="35"/>
      <c r="G113" s="35"/>
      <c r="H113" s="31" t="str">
        <f>IFERROR(VLOOKUP(B113,'[1]Debt Holding Consolidated'!$C$1:$AM$65536,12,FALSE),"")</f>
        <v/>
      </c>
    </row>
    <row r="114" spans="1:18" x14ac:dyDescent="0.2">
      <c r="A114" s="39">
        <v>1</v>
      </c>
      <c r="B114" s="40"/>
      <c r="C114" s="40" t="s">
        <v>94</v>
      </c>
      <c r="D114" s="40"/>
      <c r="E114" s="44"/>
      <c r="F114" s="42">
        <v>12168.655326509001</v>
      </c>
      <c r="G114" s="43">
        <v>6.1059120000000001E-2</v>
      </c>
      <c r="H114" s="31">
        <v>6.34</v>
      </c>
    </row>
    <row r="115" spans="1:18" x14ac:dyDescent="0.2">
      <c r="A115" s="29"/>
      <c r="B115" s="29"/>
      <c r="C115" s="30" t="s">
        <v>10</v>
      </c>
      <c r="D115" s="29"/>
      <c r="E115" s="29" t="s">
        <v>11</v>
      </c>
      <c r="F115" s="38">
        <v>12168.655326509001</v>
      </c>
      <c r="G115" s="33">
        <v>6.1059120000000001E-2</v>
      </c>
      <c r="H115" s="31" t="s">
        <v>11</v>
      </c>
    </row>
    <row r="116" spans="1:18" x14ac:dyDescent="0.2">
      <c r="A116" s="29"/>
      <c r="B116" s="29"/>
      <c r="C116" s="34"/>
      <c r="D116" s="29"/>
      <c r="E116" s="29"/>
      <c r="F116" s="35"/>
      <c r="G116" s="35"/>
      <c r="H116" s="31" t="s">
        <v>11</v>
      </c>
    </row>
    <row r="117" spans="1:18" x14ac:dyDescent="0.2">
      <c r="A117" s="29"/>
      <c r="B117" s="29"/>
      <c r="C117" s="30" t="s">
        <v>95</v>
      </c>
      <c r="D117" s="29"/>
      <c r="E117" s="29"/>
      <c r="F117" s="38">
        <v>157698.52442650899</v>
      </c>
      <c r="G117" s="33">
        <v>0.79128986000000001</v>
      </c>
      <c r="H117" s="31" t="s">
        <v>11</v>
      </c>
    </row>
    <row r="118" spans="1:18" x14ac:dyDescent="0.2">
      <c r="A118" s="29"/>
      <c r="B118" s="29"/>
      <c r="C118" s="35"/>
      <c r="D118" s="29"/>
      <c r="E118" s="29"/>
      <c r="F118" s="29"/>
      <c r="G118" s="29"/>
      <c r="H118" s="31" t="s">
        <v>11</v>
      </c>
    </row>
    <row r="119" spans="1:18" x14ac:dyDescent="0.2">
      <c r="A119" s="29"/>
      <c r="B119" s="29"/>
      <c r="C119" s="30" t="s">
        <v>96</v>
      </c>
      <c r="D119" s="29"/>
      <c r="E119" s="29"/>
      <c r="F119" s="29"/>
      <c r="G119" s="29"/>
      <c r="H119" s="31" t="s">
        <v>11</v>
      </c>
    </row>
    <row r="120" spans="1:18" x14ac:dyDescent="0.2">
      <c r="A120" s="29"/>
      <c r="B120" s="29"/>
      <c r="C120" s="30" t="s">
        <v>97</v>
      </c>
      <c r="D120" s="29"/>
      <c r="E120" s="29"/>
      <c r="F120" s="29"/>
      <c r="G120" s="29"/>
      <c r="H120" s="31" t="s">
        <v>11</v>
      </c>
    </row>
    <row r="121" spans="1:18" x14ac:dyDescent="0.2">
      <c r="A121" s="29"/>
      <c r="B121" s="29"/>
      <c r="C121" s="30" t="s">
        <v>10</v>
      </c>
      <c r="D121" s="29"/>
      <c r="E121" s="29" t="s">
        <v>11</v>
      </c>
      <c r="F121" s="32" t="s">
        <v>12</v>
      </c>
      <c r="G121" s="33">
        <v>0</v>
      </c>
      <c r="H121" s="31" t="s">
        <v>11</v>
      </c>
    </row>
    <row r="122" spans="1:18" x14ac:dyDescent="0.2">
      <c r="A122" s="45"/>
      <c r="B122" s="45"/>
      <c r="C122" s="46"/>
      <c r="D122" s="45"/>
      <c r="E122" s="45"/>
      <c r="F122" s="47"/>
      <c r="G122" s="47"/>
      <c r="H122" s="31" t="s">
        <v>11</v>
      </c>
    </row>
    <row r="123" spans="1:18" x14ac:dyDescent="0.2">
      <c r="A123" s="45"/>
      <c r="B123" s="45"/>
      <c r="C123" s="17" t="s">
        <v>581</v>
      </c>
      <c r="D123" s="45"/>
      <c r="E123" s="45"/>
      <c r="F123" s="47"/>
      <c r="G123" s="47"/>
      <c r="H123" s="48"/>
      <c r="L123" s="9"/>
      <c r="M123" s="9"/>
      <c r="N123" s="9"/>
      <c r="O123" s="9"/>
      <c r="P123" s="10"/>
      <c r="Q123" s="10"/>
      <c r="R123" s="10"/>
    </row>
    <row r="124" spans="1:18" ht="25.5" x14ac:dyDescent="0.2">
      <c r="A124" s="49">
        <v>1</v>
      </c>
      <c r="B124" s="50" t="s">
        <v>98</v>
      </c>
      <c r="C124" s="50" t="s">
        <v>99</v>
      </c>
      <c r="D124" s="50"/>
      <c r="E124" s="51">
        <v>4528.5039999999999</v>
      </c>
      <c r="F124" s="48">
        <v>473.25037312000001</v>
      </c>
      <c r="G124" s="52">
        <v>2.3746499999999999E-3</v>
      </c>
      <c r="H124" s="31"/>
    </row>
    <row r="125" spans="1:18" x14ac:dyDescent="0.2">
      <c r="A125" s="45"/>
      <c r="B125" s="45"/>
      <c r="C125" s="17" t="s">
        <v>10</v>
      </c>
      <c r="D125" s="45"/>
      <c r="E125" s="45" t="s">
        <v>11</v>
      </c>
      <c r="F125" s="53">
        <f>SUM(F124)</f>
        <v>473.25037312000001</v>
      </c>
      <c r="G125" s="54">
        <f>SUM(G124)</f>
        <v>2.3746499999999999E-3</v>
      </c>
      <c r="H125" s="31" t="s">
        <v>11</v>
      </c>
    </row>
    <row r="126" spans="1:18" x14ac:dyDescent="0.2">
      <c r="A126" s="29"/>
      <c r="B126" s="29"/>
      <c r="C126" s="34"/>
      <c r="D126" s="29"/>
      <c r="E126" s="29"/>
      <c r="F126" s="35"/>
      <c r="G126" s="35"/>
      <c r="H126" s="31" t="s">
        <v>11</v>
      </c>
    </row>
    <row r="127" spans="1:18" x14ac:dyDescent="0.2">
      <c r="A127" s="29"/>
      <c r="B127" s="29"/>
      <c r="C127" s="30" t="s">
        <v>100</v>
      </c>
      <c r="D127" s="29"/>
      <c r="E127" s="29"/>
      <c r="F127" s="29"/>
      <c r="G127" s="29"/>
      <c r="H127" s="31" t="s">
        <v>11</v>
      </c>
    </row>
    <row r="128" spans="1:18" x14ac:dyDescent="0.2">
      <c r="A128" s="29"/>
      <c r="B128" s="29"/>
      <c r="C128" s="30" t="s">
        <v>101</v>
      </c>
      <c r="D128" s="29"/>
      <c r="E128" s="29"/>
      <c r="F128" s="29"/>
      <c r="G128" s="29"/>
      <c r="H128" s="31" t="s">
        <v>11</v>
      </c>
    </row>
    <row r="129" spans="1:8" x14ac:dyDescent="0.2">
      <c r="A129" s="29"/>
      <c r="B129" s="29"/>
      <c r="C129" s="30" t="s">
        <v>10</v>
      </c>
      <c r="D129" s="29"/>
      <c r="E129" s="29" t="s">
        <v>11</v>
      </c>
      <c r="F129" s="32" t="s">
        <v>12</v>
      </c>
      <c r="G129" s="33">
        <v>0</v>
      </c>
      <c r="H129" s="31" t="s">
        <v>11</v>
      </c>
    </row>
    <row r="130" spans="1:8" x14ac:dyDescent="0.2">
      <c r="A130" s="29"/>
      <c r="B130" s="29"/>
      <c r="C130" s="34"/>
      <c r="D130" s="29"/>
      <c r="E130" s="29"/>
      <c r="F130" s="35"/>
      <c r="G130" s="35"/>
      <c r="H130" s="31" t="s">
        <v>11</v>
      </c>
    </row>
    <row r="131" spans="1:8" x14ac:dyDescent="0.2">
      <c r="A131" s="29"/>
      <c r="B131" s="29"/>
      <c r="C131" s="30" t="s">
        <v>102</v>
      </c>
      <c r="D131" s="29"/>
      <c r="E131" s="29"/>
      <c r="F131" s="35"/>
      <c r="G131" s="35"/>
      <c r="H131" s="31" t="s">
        <v>11</v>
      </c>
    </row>
    <row r="132" spans="1:8" x14ac:dyDescent="0.2">
      <c r="A132" s="29"/>
      <c r="B132" s="29"/>
      <c r="C132" s="30" t="s">
        <v>10</v>
      </c>
      <c r="D132" s="29"/>
      <c r="E132" s="29" t="s">
        <v>11</v>
      </c>
      <c r="F132" s="32" t="s">
        <v>12</v>
      </c>
      <c r="G132" s="33">
        <v>0</v>
      </c>
      <c r="H132" s="31" t="s">
        <v>11</v>
      </c>
    </row>
    <row r="133" spans="1:8" x14ac:dyDescent="0.2">
      <c r="A133" s="29"/>
      <c r="B133" s="29"/>
      <c r="C133" s="34"/>
      <c r="D133" s="29"/>
      <c r="E133" s="29"/>
      <c r="F133" s="35"/>
      <c r="G133" s="35"/>
      <c r="H133" s="31" t="s">
        <v>11</v>
      </c>
    </row>
    <row r="134" spans="1:8" x14ac:dyDescent="0.2">
      <c r="A134" s="44"/>
      <c r="B134" s="40"/>
      <c r="C134" s="40" t="s">
        <v>103</v>
      </c>
      <c r="D134" s="40"/>
      <c r="E134" s="44"/>
      <c r="F134" s="42">
        <f>2036.92900629+0.000015900993347168</f>
        <v>2036.9290221909932</v>
      </c>
      <c r="G134" s="43">
        <v>1.022078E-2</v>
      </c>
      <c r="H134" s="31" t="s">
        <v>11</v>
      </c>
    </row>
    <row r="135" spans="1:8" x14ac:dyDescent="0.2">
      <c r="A135" s="34"/>
      <c r="B135" s="34"/>
      <c r="C135" s="30" t="s">
        <v>104</v>
      </c>
      <c r="D135" s="35"/>
      <c r="E135" s="35"/>
      <c r="F135" s="38">
        <f>199292.999605919+0.000015900993347168</f>
        <v>199292.99962182</v>
      </c>
      <c r="G135" s="55">
        <v>1.00000003</v>
      </c>
      <c r="H135" s="31" t="s">
        <v>11</v>
      </c>
    </row>
    <row r="136" spans="1:8" x14ac:dyDescent="0.2">
      <c r="A136" s="56"/>
      <c r="B136" s="56"/>
      <c r="C136" s="56"/>
      <c r="D136" s="57"/>
      <c r="E136" s="57"/>
      <c r="F136" s="57"/>
      <c r="G136" s="57"/>
    </row>
    <row r="137" spans="1:8" x14ac:dyDescent="0.2">
      <c r="A137" s="58"/>
      <c r="B137" s="138" t="s">
        <v>582</v>
      </c>
      <c r="C137" s="138"/>
      <c r="D137" s="138"/>
      <c r="E137" s="138"/>
      <c r="F137" s="138"/>
      <c r="G137" s="138"/>
      <c r="H137" s="138"/>
    </row>
    <row r="138" spans="1:8" x14ac:dyDescent="0.2">
      <c r="A138" s="58"/>
      <c r="B138" s="138" t="s">
        <v>583</v>
      </c>
      <c r="C138" s="138"/>
      <c r="D138" s="138"/>
      <c r="E138" s="138"/>
      <c r="F138" s="138"/>
      <c r="G138" s="138"/>
      <c r="H138" s="138"/>
    </row>
    <row r="139" spans="1:8" x14ac:dyDescent="0.2">
      <c r="A139" s="58"/>
      <c r="B139" s="138" t="s">
        <v>584</v>
      </c>
      <c r="C139" s="138"/>
      <c r="D139" s="138"/>
      <c r="E139" s="138"/>
      <c r="F139" s="138"/>
      <c r="G139" s="138"/>
      <c r="H139" s="138"/>
    </row>
    <row r="140" spans="1:8" x14ac:dyDescent="0.2">
      <c r="A140" s="59"/>
      <c r="B140" s="59"/>
      <c r="C140" s="59"/>
      <c r="D140" s="60"/>
      <c r="E140" s="60"/>
      <c r="F140" s="60"/>
      <c r="G140" s="60"/>
    </row>
    <row r="141" spans="1:8" x14ac:dyDescent="0.2">
      <c r="A141" s="59"/>
      <c r="B141" s="131" t="s">
        <v>105</v>
      </c>
      <c r="C141" s="132"/>
      <c r="D141" s="133"/>
      <c r="E141" s="61"/>
      <c r="F141" s="60"/>
      <c r="G141" s="60"/>
    </row>
    <row r="142" spans="1:8" ht="25.5" x14ac:dyDescent="0.2">
      <c r="A142" s="59"/>
      <c r="B142" s="134" t="s">
        <v>106</v>
      </c>
      <c r="C142" s="135"/>
      <c r="D142" s="17" t="s">
        <v>646</v>
      </c>
      <c r="E142" s="61"/>
      <c r="F142" s="60"/>
      <c r="G142" s="60"/>
    </row>
    <row r="143" spans="1:8" x14ac:dyDescent="0.2">
      <c r="A143" s="59"/>
      <c r="B143" s="134" t="s">
        <v>108</v>
      </c>
      <c r="C143" s="135"/>
      <c r="D143" s="30" t="s">
        <v>107</v>
      </c>
      <c r="E143" s="61"/>
      <c r="F143" s="60"/>
      <c r="G143" s="60"/>
    </row>
    <row r="144" spans="1:8" x14ac:dyDescent="0.2">
      <c r="A144" s="59"/>
      <c r="B144" s="134" t="s">
        <v>109</v>
      </c>
      <c r="C144" s="135"/>
      <c r="D144" s="35" t="s">
        <v>11</v>
      </c>
      <c r="E144" s="61"/>
      <c r="F144" s="60"/>
      <c r="G144" s="60"/>
    </row>
    <row r="145" spans="1:8" x14ac:dyDescent="0.2">
      <c r="A145" s="18"/>
      <c r="B145" s="62" t="s">
        <v>11</v>
      </c>
      <c r="C145" s="62" t="s">
        <v>585</v>
      </c>
      <c r="D145" s="62" t="s">
        <v>110</v>
      </c>
      <c r="E145" s="18"/>
      <c r="F145" s="18"/>
      <c r="G145" s="18"/>
      <c r="H145" s="63"/>
    </row>
    <row r="146" spans="1:8" x14ac:dyDescent="0.2">
      <c r="A146" s="64"/>
      <c r="B146" s="65" t="s">
        <v>111</v>
      </c>
      <c r="C146" s="66">
        <v>45596</v>
      </c>
      <c r="D146" s="66">
        <v>45611</v>
      </c>
      <c r="E146" s="64"/>
      <c r="F146" s="64"/>
      <c r="G146" s="64"/>
    </row>
    <row r="147" spans="1:8" x14ac:dyDescent="0.2">
      <c r="A147" s="64"/>
      <c r="B147" s="40" t="s">
        <v>112</v>
      </c>
      <c r="C147" s="67">
        <v>2784.6886</v>
      </c>
      <c r="D147" s="67">
        <v>2793.0014000000001</v>
      </c>
      <c r="E147" s="64"/>
      <c r="F147" s="68"/>
      <c r="G147" s="69"/>
    </row>
    <row r="148" spans="1:8" ht="25.5" x14ac:dyDescent="0.2">
      <c r="A148" s="64"/>
      <c r="B148" s="40" t="s">
        <v>674</v>
      </c>
      <c r="C148" s="67">
        <v>1063.2896000000001</v>
      </c>
      <c r="D148" s="67">
        <v>1060.5822000000001</v>
      </c>
      <c r="E148" s="64"/>
      <c r="F148" s="68"/>
      <c r="G148" s="69"/>
    </row>
    <row r="149" spans="1:8" ht="25.5" x14ac:dyDescent="0.2">
      <c r="A149" s="64"/>
      <c r="B149" s="40" t="s">
        <v>675</v>
      </c>
      <c r="C149" s="67">
        <v>1181.1561999999999</v>
      </c>
      <c r="D149" s="67">
        <v>1184.6579999999999</v>
      </c>
      <c r="E149" s="64"/>
      <c r="F149" s="68"/>
      <c r="G149" s="69"/>
    </row>
    <row r="150" spans="1:8" x14ac:dyDescent="0.2">
      <c r="A150" s="64"/>
      <c r="B150" s="40" t="s">
        <v>113</v>
      </c>
      <c r="C150" s="67">
        <v>2574.4103</v>
      </c>
      <c r="D150" s="67">
        <v>2580.7797</v>
      </c>
      <c r="E150" s="64"/>
      <c r="F150" s="68"/>
      <c r="G150" s="69"/>
    </row>
    <row r="151" spans="1:8" ht="25.5" x14ac:dyDescent="0.2">
      <c r="A151" s="64"/>
      <c r="B151" s="40" t="s">
        <v>678</v>
      </c>
      <c r="C151" s="67">
        <v>1062.3835999999999</v>
      </c>
      <c r="D151" s="67">
        <v>1060.1513</v>
      </c>
      <c r="E151" s="64"/>
      <c r="F151" s="68"/>
      <c r="G151" s="69"/>
    </row>
    <row r="152" spans="1:8" ht="25.5" x14ac:dyDescent="0.2">
      <c r="A152" s="64"/>
      <c r="B152" s="40" t="s">
        <v>648</v>
      </c>
      <c r="C152" s="67">
        <v>1139.0835999999999</v>
      </c>
      <c r="D152" s="67">
        <v>1141.9019000000001</v>
      </c>
      <c r="E152" s="64"/>
      <c r="F152" s="68"/>
      <c r="G152" s="69"/>
    </row>
    <row r="153" spans="1:8" x14ac:dyDescent="0.2">
      <c r="A153" s="64"/>
      <c r="B153" s="64"/>
      <c r="C153" s="64"/>
      <c r="D153" s="64"/>
      <c r="E153" s="64"/>
      <c r="F153" s="64"/>
      <c r="G153" s="64"/>
    </row>
    <row r="154" spans="1:8" x14ac:dyDescent="0.2">
      <c r="A154" s="64"/>
      <c r="B154" s="134" t="s">
        <v>649</v>
      </c>
      <c r="C154" s="135"/>
      <c r="D154" s="30" t="s">
        <v>11</v>
      </c>
      <c r="E154" s="64"/>
      <c r="F154" s="64"/>
      <c r="G154" s="64"/>
    </row>
    <row r="155" spans="1:8" ht="12.75" customHeight="1" x14ac:dyDescent="0.2">
      <c r="A155" s="64"/>
      <c r="B155" s="70" t="s">
        <v>111</v>
      </c>
      <c r="C155" s="71" t="s">
        <v>114</v>
      </c>
      <c r="D155" s="71" t="s">
        <v>115</v>
      </c>
      <c r="E155" s="64"/>
      <c r="F155" s="64"/>
      <c r="G155" s="64"/>
    </row>
    <row r="156" spans="1:8" ht="25.5" x14ac:dyDescent="0.2">
      <c r="A156" s="64"/>
      <c r="B156" s="40" t="s">
        <v>674</v>
      </c>
      <c r="C156" s="72">
        <v>5.8762999999999996</v>
      </c>
      <c r="D156" s="44" t="s">
        <v>116</v>
      </c>
      <c r="E156" s="64"/>
      <c r="F156" s="68"/>
      <c r="G156" s="69"/>
    </row>
    <row r="157" spans="1:8" ht="25.5" x14ac:dyDescent="0.2">
      <c r="A157" s="64"/>
      <c r="B157" s="40" t="s">
        <v>678</v>
      </c>
      <c r="C157" s="72">
        <v>4.8609999999999998</v>
      </c>
      <c r="D157" s="72">
        <v>4.8609999999999998</v>
      </c>
      <c r="E157" s="64"/>
      <c r="F157" s="68"/>
      <c r="G157" s="69"/>
    </row>
    <row r="158" spans="1:8" x14ac:dyDescent="0.2">
      <c r="A158" s="64"/>
      <c r="B158" s="73"/>
      <c r="C158" s="73"/>
      <c r="D158" s="74"/>
      <c r="E158" s="64"/>
      <c r="F158" s="68"/>
      <c r="G158" s="69"/>
    </row>
    <row r="159" spans="1:8" ht="27.75" customHeight="1" x14ac:dyDescent="0.2">
      <c r="A159" s="18"/>
      <c r="B159" s="136" t="s">
        <v>117</v>
      </c>
      <c r="C159" s="137"/>
      <c r="D159" s="17" t="s">
        <v>107</v>
      </c>
      <c r="E159" s="19"/>
      <c r="F159" s="18"/>
      <c r="G159" s="18"/>
    </row>
    <row r="160" spans="1:8" ht="26.25" customHeight="1" x14ac:dyDescent="0.2">
      <c r="A160" s="18"/>
      <c r="B160" s="136" t="s">
        <v>118</v>
      </c>
      <c r="C160" s="137"/>
      <c r="D160" s="17" t="s">
        <v>107</v>
      </c>
      <c r="E160" s="19"/>
      <c r="F160" s="18"/>
      <c r="G160" s="18"/>
    </row>
    <row r="161" spans="1:15" x14ac:dyDescent="0.2">
      <c r="A161" s="18"/>
      <c r="B161" s="136" t="s">
        <v>586</v>
      </c>
      <c r="C161" s="137"/>
      <c r="D161" s="17" t="s">
        <v>107</v>
      </c>
      <c r="E161" s="19"/>
      <c r="F161" s="18"/>
      <c r="G161" s="18"/>
    </row>
    <row r="162" spans="1:15" x14ac:dyDescent="0.2">
      <c r="A162" s="20"/>
      <c r="B162" s="20"/>
      <c r="C162" s="20"/>
      <c r="D162" s="20"/>
      <c r="E162" s="20"/>
      <c r="F162" s="20"/>
      <c r="G162" s="20"/>
    </row>
    <row r="163" spans="1:15" s="11" customFormat="1" x14ac:dyDescent="0.2">
      <c r="B163" s="79" t="s">
        <v>683</v>
      </c>
      <c r="C163" s="79"/>
      <c r="D163" s="79"/>
      <c r="E163" s="79"/>
      <c r="F163" s="79"/>
      <c r="G163" s="79"/>
      <c r="I163"/>
      <c r="J163" s="2"/>
      <c r="K163" s="9"/>
      <c r="L163" s="9"/>
      <c r="M163" s="9"/>
      <c r="N163" s="9"/>
      <c r="O163" s="15"/>
    </row>
    <row r="164" spans="1:15" s="11" customFormat="1" x14ac:dyDescent="0.2">
      <c r="B164" s="80"/>
      <c r="C164" s="80"/>
      <c r="D164" s="80"/>
      <c r="E164" s="80"/>
      <c r="F164" s="80"/>
      <c r="G164" s="80"/>
      <c r="I164"/>
      <c r="J164" s="2"/>
      <c r="K164" s="9"/>
      <c r="L164" s="9"/>
      <c r="M164" s="9"/>
      <c r="N164" s="9"/>
      <c r="O164" s="15"/>
    </row>
    <row r="165" spans="1:15" s="11" customFormat="1" ht="63.75" x14ac:dyDescent="0.2">
      <c r="B165" s="105" t="s">
        <v>601</v>
      </c>
      <c r="C165" s="105" t="s">
        <v>602</v>
      </c>
      <c r="D165" s="82" t="s">
        <v>603</v>
      </c>
      <c r="E165" s="105" t="s">
        <v>604</v>
      </c>
      <c r="F165" s="82" t="s">
        <v>647</v>
      </c>
      <c r="G165" s="80"/>
      <c r="I165"/>
      <c r="J165" s="2"/>
      <c r="K165" s="9"/>
      <c r="L165" s="9"/>
      <c r="M165" s="9"/>
      <c r="N165" s="9"/>
      <c r="O165" s="15"/>
    </row>
    <row r="166" spans="1:15" s="11" customFormat="1" x14ac:dyDescent="0.2">
      <c r="B166" s="84" t="s">
        <v>606</v>
      </c>
      <c r="C166" s="84" t="s">
        <v>607</v>
      </c>
      <c r="D166" s="21">
        <v>0</v>
      </c>
      <c r="E166" s="22">
        <v>0</v>
      </c>
      <c r="F166" s="85">
        <v>500</v>
      </c>
      <c r="G166" s="80"/>
      <c r="I166"/>
      <c r="J166" s="2"/>
      <c r="K166" s="9"/>
      <c r="L166" s="9"/>
      <c r="M166" s="9"/>
      <c r="N166" s="9"/>
      <c r="O166" s="15"/>
    </row>
    <row r="167" spans="1:15" s="11" customFormat="1" x14ac:dyDescent="0.2">
      <c r="I167"/>
      <c r="J167" s="2"/>
      <c r="K167" s="9"/>
      <c r="L167" s="9"/>
      <c r="M167" s="9"/>
      <c r="N167" s="9"/>
      <c r="O167" s="15"/>
    </row>
    <row r="168" spans="1:15" s="11" customFormat="1" x14ac:dyDescent="0.2">
      <c r="B168" s="139" t="s">
        <v>587</v>
      </c>
      <c r="C168" s="140"/>
      <c r="D168" s="141"/>
      <c r="I168"/>
      <c r="J168" s="2"/>
      <c r="K168" s="9"/>
      <c r="L168" s="9"/>
      <c r="M168" s="9"/>
      <c r="N168" s="9"/>
      <c r="O168" s="15"/>
    </row>
    <row r="169" spans="1:15" s="11" customFormat="1" ht="38.25" x14ac:dyDescent="0.2">
      <c r="B169" s="129" t="s">
        <v>588</v>
      </c>
      <c r="C169" s="129"/>
      <c r="D169" s="12" t="s">
        <v>435</v>
      </c>
      <c r="I169"/>
      <c r="J169" s="2"/>
      <c r="K169" s="9"/>
      <c r="L169" s="9"/>
      <c r="M169" s="9"/>
      <c r="N169" s="9"/>
      <c r="O169" s="15"/>
    </row>
    <row r="170" spans="1:15" s="11" customFormat="1" x14ac:dyDescent="0.2">
      <c r="B170" s="142" t="s">
        <v>589</v>
      </c>
      <c r="C170" s="142"/>
      <c r="D170" s="13"/>
      <c r="I170"/>
      <c r="J170" s="2"/>
      <c r="K170" s="9"/>
      <c r="L170" s="9"/>
      <c r="M170" s="9"/>
      <c r="N170" s="9"/>
      <c r="O170" s="15"/>
    </row>
    <row r="171" spans="1:15" s="11" customFormat="1" x14ac:dyDescent="0.2">
      <c r="B171" s="142"/>
      <c r="C171" s="142"/>
      <c r="D171" s="14"/>
      <c r="I171"/>
      <c r="J171" s="2"/>
      <c r="K171" s="9"/>
      <c r="L171" s="9"/>
      <c r="M171" s="9"/>
      <c r="N171" s="9"/>
      <c r="O171" s="15"/>
    </row>
    <row r="172" spans="1:15" s="11" customFormat="1" x14ac:dyDescent="0.2">
      <c r="B172" s="142" t="s">
        <v>590</v>
      </c>
      <c r="C172" s="142"/>
      <c r="D172" s="16">
        <v>7.3295948530760633</v>
      </c>
      <c r="I172"/>
      <c r="J172" s="2"/>
      <c r="K172" s="9"/>
      <c r="L172" s="9"/>
      <c r="M172" s="9"/>
      <c r="N172" s="9"/>
      <c r="O172" s="15"/>
    </row>
    <row r="173" spans="1:15" s="11" customFormat="1" x14ac:dyDescent="0.2">
      <c r="B173" s="142"/>
      <c r="C173" s="142"/>
      <c r="D173" s="14"/>
      <c r="I173"/>
      <c r="J173" s="2"/>
      <c r="K173" s="9"/>
      <c r="L173" s="9"/>
      <c r="M173" s="9"/>
      <c r="N173" s="9"/>
      <c r="O173" s="15"/>
    </row>
    <row r="174" spans="1:15" s="11" customFormat="1" x14ac:dyDescent="0.2">
      <c r="B174" s="142" t="s">
        <v>591</v>
      </c>
      <c r="C174" s="142"/>
      <c r="D174" s="16">
        <v>0.42821222065816755</v>
      </c>
      <c r="I174"/>
      <c r="J174" s="2"/>
      <c r="K174" s="9"/>
      <c r="L174" s="9"/>
      <c r="M174" s="9"/>
      <c r="N174" s="9"/>
      <c r="O174" s="15"/>
    </row>
    <row r="175" spans="1:15" s="11" customFormat="1" x14ac:dyDescent="0.2">
      <c r="B175" s="142" t="s">
        <v>592</v>
      </c>
      <c r="C175" s="142"/>
      <c r="D175" s="16">
        <v>0.43717274277540302</v>
      </c>
      <c r="I175"/>
      <c r="J175" s="2"/>
      <c r="K175" s="9"/>
      <c r="L175" s="9"/>
      <c r="M175" s="9"/>
      <c r="N175" s="9"/>
      <c r="O175" s="15"/>
    </row>
    <row r="176" spans="1:15" s="11" customFormat="1" x14ac:dyDescent="0.2">
      <c r="B176" s="142"/>
      <c r="C176" s="142"/>
      <c r="D176" s="14"/>
      <c r="I176"/>
      <c r="J176" s="2"/>
      <c r="K176" s="9"/>
      <c r="L176" s="9"/>
      <c r="M176" s="9"/>
      <c r="N176" s="9"/>
      <c r="O176" s="15"/>
    </row>
    <row r="177" spans="2:17" s="11" customFormat="1" x14ac:dyDescent="0.2">
      <c r="B177" s="142" t="s">
        <v>593</v>
      </c>
      <c r="C177" s="142"/>
      <c r="D177" s="75" t="s">
        <v>681</v>
      </c>
      <c r="I177"/>
      <c r="J177" s="2"/>
      <c r="K177" s="9"/>
      <c r="L177" s="9"/>
      <c r="M177" s="9"/>
      <c r="N177" s="9"/>
      <c r="O177" s="15"/>
    </row>
    <row r="178" spans="2:17" s="11" customFormat="1" x14ac:dyDescent="0.2">
      <c r="B178" s="143" t="s">
        <v>594</v>
      </c>
      <c r="C178" s="145"/>
      <c r="D178" s="144"/>
      <c r="I178"/>
      <c r="J178" s="2"/>
      <c r="K178" s="9"/>
      <c r="L178" s="9"/>
      <c r="M178" s="9"/>
      <c r="N178" s="9"/>
      <c r="O178" s="15"/>
      <c r="P178"/>
      <c r="Q178"/>
    </row>
  </sheetData>
  <mergeCells count="25">
    <mergeCell ref="B178:D178"/>
    <mergeCell ref="B173:C173"/>
    <mergeCell ref="B174:C174"/>
    <mergeCell ref="B175:C175"/>
    <mergeCell ref="B176:C176"/>
    <mergeCell ref="B177:C177"/>
    <mergeCell ref="B168:D168"/>
    <mergeCell ref="B169:C169"/>
    <mergeCell ref="B170:C170"/>
    <mergeCell ref="B171:C171"/>
    <mergeCell ref="B172:C172"/>
    <mergeCell ref="A1:H1"/>
    <mergeCell ref="A2:H2"/>
    <mergeCell ref="A3:H3"/>
    <mergeCell ref="B137:H137"/>
    <mergeCell ref="B138:H138"/>
    <mergeCell ref="B139:H139"/>
    <mergeCell ref="B161:C161"/>
    <mergeCell ref="B141:D141"/>
    <mergeCell ref="B142:C142"/>
    <mergeCell ref="B143:C143"/>
    <mergeCell ref="B144:C144"/>
    <mergeCell ref="B154:C154"/>
    <mergeCell ref="B160:C160"/>
    <mergeCell ref="B159:C159"/>
  </mergeCells>
  <hyperlinks>
    <hyperlink ref="I1" location="Index!B2" display="Index" xr:uid="{4F4D1275-14B7-483C-BA28-F5D29057D4C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7E9A5-7EE7-4107-8103-AFB0E2C4EEE2}">
  <sheetPr>
    <outlinePr summaryBelow="0" summaryRight="0"/>
  </sheetPr>
  <dimension ref="A1:R130"/>
  <sheetViews>
    <sheetView showGridLines="0" workbookViewId="0">
      <selection sqref="A1:XFD1048576"/>
    </sheetView>
  </sheetViews>
  <sheetFormatPr defaultRowHeight="12.75" x14ac:dyDescent="0.2"/>
  <cols>
    <col min="1" max="1" width="5.85546875" bestFit="1" customWidth="1"/>
    <col min="2" max="2" width="20.42578125" customWidth="1"/>
    <col min="3" max="3" width="44.140625" customWidth="1"/>
    <col min="4" max="4" width="11.28515625" bestFit="1" customWidth="1"/>
    <col min="5" max="5" width="8.7109375" bestFit="1" customWidth="1"/>
    <col min="6" max="6" width="10.140625" bestFit="1" customWidth="1"/>
    <col min="7" max="7" width="14" bestFit="1" customWidth="1"/>
    <col min="8" max="8" width="7.7109375" customWidth="1"/>
    <col min="9" max="9" width="5.7109375" bestFit="1" customWidth="1"/>
    <col min="10" max="10" width="50.7109375" style="2" customWidth="1"/>
  </cols>
  <sheetData>
    <row r="1" spans="1:10" ht="15" x14ac:dyDescent="0.2">
      <c r="A1" s="130" t="s">
        <v>0</v>
      </c>
      <c r="B1" s="130"/>
      <c r="C1" s="130"/>
      <c r="D1" s="130"/>
      <c r="E1" s="130"/>
      <c r="F1" s="130"/>
      <c r="G1" s="130"/>
      <c r="H1" s="130"/>
      <c r="I1" s="1" t="s">
        <v>562</v>
      </c>
    </row>
    <row r="2" spans="1:10" ht="15" x14ac:dyDescent="0.2">
      <c r="A2" s="130" t="s">
        <v>489</v>
      </c>
      <c r="B2" s="130"/>
      <c r="C2" s="130"/>
      <c r="D2" s="130"/>
      <c r="E2" s="130"/>
      <c r="F2" s="130"/>
      <c r="G2" s="130"/>
      <c r="H2" s="130"/>
      <c r="J2" s="26" t="s">
        <v>563</v>
      </c>
    </row>
    <row r="3" spans="1:10" ht="15" x14ac:dyDescent="0.2">
      <c r="A3" s="130" t="s">
        <v>579</v>
      </c>
      <c r="B3" s="130"/>
      <c r="C3" s="130"/>
      <c r="D3" s="130"/>
      <c r="E3" s="130"/>
      <c r="F3" s="130"/>
      <c r="G3" s="130"/>
      <c r="H3" s="130"/>
    </row>
    <row r="4" spans="1:10" s="2" customFormat="1" ht="30" x14ac:dyDescent="0.2">
      <c r="A4" s="27" t="s">
        <v>1</v>
      </c>
      <c r="B4" s="27" t="s">
        <v>2</v>
      </c>
      <c r="C4" s="27" t="s">
        <v>3</v>
      </c>
      <c r="D4" s="27" t="s">
        <v>4</v>
      </c>
      <c r="E4" s="27" t="s">
        <v>5</v>
      </c>
      <c r="F4" s="27" t="s">
        <v>6</v>
      </c>
      <c r="G4" s="27" t="s">
        <v>7</v>
      </c>
      <c r="H4" s="28" t="s">
        <v>564</v>
      </c>
    </row>
    <row r="5" spans="1:10" x14ac:dyDescent="0.2">
      <c r="A5" s="29"/>
      <c r="B5" s="29"/>
      <c r="C5" s="30" t="s">
        <v>8</v>
      </c>
      <c r="D5" s="29"/>
      <c r="E5" s="29"/>
      <c r="F5" s="29"/>
      <c r="G5" s="29"/>
      <c r="H5" s="31" t="str">
        <f>IFERROR(VLOOKUP(B5,'[1]Debt Holding Consolidated'!$C$1:$AM$65536,12,FALSE),"")</f>
        <v/>
      </c>
    </row>
    <row r="6" spans="1:10" x14ac:dyDescent="0.2">
      <c r="A6" s="29"/>
      <c r="B6" s="29"/>
      <c r="C6" s="30" t="s">
        <v>9</v>
      </c>
      <c r="D6" s="29"/>
      <c r="E6" s="29"/>
      <c r="F6" s="29"/>
      <c r="G6" s="29"/>
      <c r="H6" s="31" t="str">
        <f>IFERROR(VLOOKUP(B6,'[1]Debt Holding Consolidated'!$C$1:$AM$65536,12,FALSE),"")</f>
        <v/>
      </c>
    </row>
    <row r="7" spans="1:10" x14ac:dyDescent="0.2">
      <c r="A7" s="29"/>
      <c r="B7" s="29"/>
      <c r="C7" s="30" t="s">
        <v>10</v>
      </c>
      <c r="D7" s="29"/>
      <c r="E7" s="29" t="s">
        <v>11</v>
      </c>
      <c r="F7" s="32" t="s">
        <v>12</v>
      </c>
      <c r="G7" s="33">
        <v>0</v>
      </c>
      <c r="H7" s="31" t="str">
        <f>IFERROR(VLOOKUP(B7,'[1]Debt Holding Consolidated'!$C$1:$AM$65536,12,FALSE),"")</f>
        <v/>
      </c>
    </row>
    <row r="8" spans="1:10" x14ac:dyDescent="0.2">
      <c r="A8" s="29"/>
      <c r="B8" s="29"/>
      <c r="C8" s="34"/>
      <c r="D8" s="29"/>
      <c r="E8" s="29"/>
      <c r="F8" s="35"/>
      <c r="G8" s="35"/>
      <c r="H8" s="31" t="str">
        <f>IFERROR(VLOOKUP(B8,'[1]Debt Holding Consolidated'!$C$1:$AM$65536,12,FALSE),"")</f>
        <v/>
      </c>
    </row>
    <row r="9" spans="1:10" x14ac:dyDescent="0.2">
      <c r="A9" s="29"/>
      <c r="B9" s="29"/>
      <c r="C9" s="30" t="s">
        <v>13</v>
      </c>
      <c r="D9" s="29"/>
      <c r="E9" s="29"/>
      <c r="F9" s="29"/>
      <c r="G9" s="29"/>
      <c r="H9" s="31" t="str">
        <f>IFERROR(VLOOKUP(B9,'[1]Debt Holding Consolidated'!$C$1:$AM$65536,12,FALSE),"")</f>
        <v/>
      </c>
    </row>
    <row r="10" spans="1:10" x14ac:dyDescent="0.2">
      <c r="A10" s="29"/>
      <c r="B10" s="29"/>
      <c r="C10" s="30" t="s">
        <v>10</v>
      </c>
      <c r="D10" s="29"/>
      <c r="E10" s="29" t="s">
        <v>11</v>
      </c>
      <c r="F10" s="32" t="s">
        <v>12</v>
      </c>
      <c r="G10" s="33">
        <v>0</v>
      </c>
      <c r="H10" s="31" t="str">
        <f>IFERROR(VLOOKUP(B10,'[1]Debt Holding Consolidated'!$C$1:$AM$65536,12,FALSE),"")</f>
        <v/>
      </c>
    </row>
    <row r="11" spans="1:10" x14ac:dyDescent="0.2">
      <c r="A11" s="29"/>
      <c r="B11" s="29"/>
      <c r="C11" s="34"/>
      <c r="D11" s="29"/>
      <c r="E11" s="29"/>
      <c r="F11" s="35"/>
      <c r="G11" s="35"/>
      <c r="H11" s="31" t="str">
        <f>IFERROR(VLOOKUP(B11,'[1]Debt Holding Consolidated'!$C$1:$AM$65536,12,FALSE),"")</f>
        <v/>
      </c>
    </row>
    <row r="12" spans="1:10" ht="15" x14ac:dyDescent="0.2">
      <c r="A12" s="29"/>
      <c r="B12" s="29"/>
      <c r="C12" s="30" t="s">
        <v>14</v>
      </c>
      <c r="D12" s="29"/>
      <c r="E12" s="29"/>
      <c r="F12" s="29"/>
      <c r="G12" s="29"/>
      <c r="H12" s="31" t="str">
        <f>IFERROR(VLOOKUP(B12,'[1]Debt Holding Consolidated'!$C$1:$AM$65536,12,FALSE),"")</f>
        <v/>
      </c>
      <c r="J12" s="36"/>
    </row>
    <row r="13" spans="1:10" x14ac:dyDescent="0.2">
      <c r="A13" s="29"/>
      <c r="B13" s="29"/>
      <c r="C13" s="30" t="s">
        <v>10</v>
      </c>
      <c r="D13" s="29"/>
      <c r="E13" s="29" t="s">
        <v>11</v>
      </c>
      <c r="F13" s="32" t="s">
        <v>12</v>
      </c>
      <c r="G13" s="33">
        <v>0</v>
      </c>
      <c r="H13" s="31" t="str">
        <f>IFERROR(VLOOKUP(B13,'[1]Debt Holding Consolidated'!$C$1:$AM$65536,12,FALSE),"")</f>
        <v/>
      </c>
      <c r="J13" s="37"/>
    </row>
    <row r="14" spans="1:10" ht="25.5" x14ac:dyDescent="0.2">
      <c r="A14" s="29"/>
      <c r="B14" s="29"/>
      <c r="C14" s="34"/>
      <c r="D14" s="29"/>
      <c r="E14" s="29"/>
      <c r="F14" s="35"/>
      <c r="G14" s="35"/>
      <c r="H14" s="31" t="str">
        <f>IFERROR(VLOOKUP(B14,'[1]Debt Holding Consolidated'!$C$1:$AM$65536,12,FALSE),"")</f>
        <v/>
      </c>
      <c r="J14" s="37" t="s">
        <v>692</v>
      </c>
    </row>
    <row r="15" spans="1:10" x14ac:dyDescent="0.2">
      <c r="A15" s="29"/>
      <c r="B15" s="29"/>
      <c r="C15" s="30" t="s">
        <v>15</v>
      </c>
      <c r="D15" s="29"/>
      <c r="E15" s="29"/>
      <c r="F15" s="29"/>
      <c r="G15" s="29"/>
      <c r="H15" s="31" t="str">
        <f>IFERROR(VLOOKUP(B15,'[1]Debt Holding Consolidated'!$C$1:$AM$65536,12,FALSE),"")</f>
        <v/>
      </c>
    </row>
    <row r="16" spans="1:10" x14ac:dyDescent="0.2">
      <c r="A16" s="29"/>
      <c r="B16" s="29"/>
      <c r="C16" s="30" t="s">
        <v>10</v>
      </c>
      <c r="D16" s="29"/>
      <c r="E16" s="29" t="s">
        <v>11</v>
      </c>
      <c r="F16" s="32" t="s">
        <v>12</v>
      </c>
      <c r="G16" s="33">
        <v>0</v>
      </c>
      <c r="H16" s="31" t="str">
        <f>IFERROR(VLOOKUP(B16,'[1]Debt Holding Consolidated'!$C$1:$AM$65536,12,FALSE),"")</f>
        <v/>
      </c>
    </row>
    <row r="17" spans="1:10" x14ac:dyDescent="0.2">
      <c r="A17" s="29"/>
      <c r="B17" s="29"/>
      <c r="C17" s="34"/>
      <c r="D17" s="29"/>
      <c r="E17" s="29"/>
      <c r="F17" s="35"/>
      <c r="G17" s="35"/>
      <c r="H17" s="31" t="str">
        <f>IFERROR(VLOOKUP(B17,'[1]Debt Holding Consolidated'!$C$1:$AM$65536,12,FALSE),"")</f>
        <v/>
      </c>
    </row>
    <row r="18" spans="1:10" x14ac:dyDescent="0.2">
      <c r="A18" s="29"/>
      <c r="B18" s="29"/>
      <c r="C18" s="30" t="s">
        <v>16</v>
      </c>
      <c r="D18" s="29"/>
      <c r="E18" s="29"/>
      <c r="F18" s="35"/>
      <c r="G18" s="35"/>
      <c r="H18" s="31" t="str">
        <f>IFERROR(VLOOKUP(B18,'[1]Debt Holding Consolidated'!$C$1:$AM$65536,12,FALSE),"")</f>
        <v/>
      </c>
    </row>
    <row r="19" spans="1:10" x14ac:dyDescent="0.2">
      <c r="A19" s="29"/>
      <c r="B19" s="29"/>
      <c r="C19" s="30" t="s">
        <v>10</v>
      </c>
      <c r="D19" s="29"/>
      <c r="E19" s="29" t="s">
        <v>11</v>
      </c>
      <c r="F19" s="32" t="s">
        <v>12</v>
      </c>
      <c r="G19" s="33">
        <v>0</v>
      </c>
      <c r="H19" s="31" t="str">
        <f>IFERROR(VLOOKUP(B19,'[1]Debt Holding Consolidated'!$C$1:$AM$65536,12,FALSE),"")</f>
        <v/>
      </c>
    </row>
    <row r="20" spans="1:10" x14ac:dyDescent="0.2">
      <c r="A20" s="29"/>
      <c r="B20" s="29"/>
      <c r="C20" s="34"/>
      <c r="D20" s="29"/>
      <c r="E20" s="29"/>
      <c r="F20" s="35"/>
      <c r="G20" s="35"/>
      <c r="H20" s="31" t="str">
        <f>IFERROR(VLOOKUP(B20,'[1]Debt Holding Consolidated'!$C$1:$AM$65536,12,FALSE),"")</f>
        <v/>
      </c>
    </row>
    <row r="21" spans="1:10" x14ac:dyDescent="0.2">
      <c r="A21" s="29"/>
      <c r="B21" s="29"/>
      <c r="C21" s="30" t="s">
        <v>17</v>
      </c>
      <c r="D21" s="29"/>
      <c r="E21" s="29"/>
      <c r="F21" s="35"/>
      <c r="G21" s="35"/>
      <c r="H21" s="31" t="str">
        <f>IFERROR(VLOOKUP(B21,'[1]Debt Holding Consolidated'!$C$1:$AM$65536,12,FALSE),"")</f>
        <v/>
      </c>
    </row>
    <row r="22" spans="1:10" ht="15" x14ac:dyDescent="0.2">
      <c r="A22" s="29"/>
      <c r="B22" s="29"/>
      <c r="C22" s="30" t="s">
        <v>10</v>
      </c>
      <c r="D22" s="29"/>
      <c r="E22" s="29" t="s">
        <v>11</v>
      </c>
      <c r="F22" s="32" t="s">
        <v>12</v>
      </c>
      <c r="G22" s="33">
        <v>0</v>
      </c>
      <c r="H22" s="31" t="str">
        <f>IFERROR(VLOOKUP(B22,'[1]Debt Holding Consolidated'!$C$1:$AM$65536,12,FALSE),"")</f>
        <v/>
      </c>
      <c r="J22" s="36"/>
    </row>
    <row r="23" spans="1:10" x14ac:dyDescent="0.2">
      <c r="A23" s="29"/>
      <c r="B23" s="29"/>
      <c r="C23" s="34"/>
      <c r="D23" s="29"/>
      <c r="E23" s="29"/>
      <c r="F23" s="35"/>
      <c r="G23" s="35"/>
      <c r="H23" s="31" t="str">
        <f>IFERROR(VLOOKUP(B23,'[1]Debt Holding Consolidated'!$C$1:$AM$65536,12,FALSE),"")</f>
        <v/>
      </c>
      <c r="J23" s="37"/>
    </row>
    <row r="24" spans="1:10" x14ac:dyDescent="0.2">
      <c r="A24" s="29"/>
      <c r="B24" s="29"/>
      <c r="C24" s="30" t="s">
        <v>18</v>
      </c>
      <c r="D24" s="29"/>
      <c r="E24" s="29"/>
      <c r="F24" s="38">
        <v>0</v>
      </c>
      <c r="G24" s="33">
        <v>0</v>
      </c>
      <c r="H24" s="31" t="str">
        <f>IFERROR(VLOOKUP(B24,'[1]Debt Holding Consolidated'!$C$1:$AM$65536,12,FALSE),"")</f>
        <v/>
      </c>
    </row>
    <row r="25" spans="1:10" x14ac:dyDescent="0.2">
      <c r="A25" s="29"/>
      <c r="B25" s="29"/>
      <c r="C25" s="34"/>
      <c r="D25" s="29"/>
      <c r="E25" s="29"/>
      <c r="F25" s="35"/>
      <c r="G25" s="35"/>
      <c r="H25" s="31" t="str">
        <f>IFERROR(VLOOKUP(B25,'[1]Debt Holding Consolidated'!$C$1:$AM$65536,12,FALSE),"")</f>
        <v/>
      </c>
    </row>
    <row r="26" spans="1:10" x14ac:dyDescent="0.2">
      <c r="A26" s="29"/>
      <c r="B26" s="29"/>
      <c r="C26" s="30" t="s">
        <v>19</v>
      </c>
      <c r="D26" s="29"/>
      <c r="E26" s="29"/>
      <c r="F26" s="35"/>
      <c r="G26" s="35"/>
      <c r="H26" s="31" t="str">
        <f>IFERROR(VLOOKUP(B26,'[1]Debt Holding Consolidated'!$C$1:$AM$65536,12,FALSE),"")</f>
        <v/>
      </c>
    </row>
    <row r="27" spans="1:10" ht="25.5" x14ac:dyDescent="0.2">
      <c r="A27" s="29"/>
      <c r="B27" s="29"/>
      <c r="C27" s="30" t="s">
        <v>9</v>
      </c>
      <c r="D27" s="29"/>
      <c r="E27" s="29"/>
      <c r="F27" s="35"/>
      <c r="G27" s="35"/>
      <c r="H27" s="31" t="str">
        <f>IFERROR(VLOOKUP(B27,'[1]Debt Holding Consolidated'!$C$1:$AM$65536,12,FALSE),"")</f>
        <v/>
      </c>
      <c r="J27" s="2" t="s">
        <v>693</v>
      </c>
    </row>
    <row r="28" spans="1:10" x14ac:dyDescent="0.2">
      <c r="A28" s="39">
        <v>1</v>
      </c>
      <c r="B28" s="40" t="s">
        <v>214</v>
      </c>
      <c r="C28" s="40" t="s">
        <v>215</v>
      </c>
      <c r="D28" s="40" t="s">
        <v>216</v>
      </c>
      <c r="E28" s="41">
        <v>200</v>
      </c>
      <c r="F28" s="42">
        <v>200.73759999999999</v>
      </c>
      <c r="G28" s="43">
        <v>4.5337879999999997E-2</v>
      </c>
      <c r="H28" s="31">
        <f>IFERROR(VLOOKUP(B28,'[1]Debt Holding Consolidated'!$C$1:$AM$65536,12,FALSE),"")</f>
        <v>8.5</v>
      </c>
      <c r="J28" s="37"/>
    </row>
    <row r="29" spans="1:10" x14ac:dyDescent="0.2">
      <c r="A29" s="39">
        <v>2</v>
      </c>
      <c r="B29" s="40" t="s">
        <v>209</v>
      </c>
      <c r="C29" s="40" t="s">
        <v>210</v>
      </c>
      <c r="D29" s="40" t="s">
        <v>211</v>
      </c>
      <c r="E29" s="41">
        <v>100</v>
      </c>
      <c r="F29" s="42">
        <v>100.6168</v>
      </c>
      <c r="G29" s="43">
        <v>2.2724950000000001E-2</v>
      </c>
      <c r="H29" s="31">
        <f>IFERROR(VLOOKUP(B29,'[1]Debt Holding Consolidated'!$C$1:$AM$65536,12,FALSE),"")</f>
        <v>7.9950000000000001</v>
      </c>
    </row>
    <row r="30" spans="1:10" x14ac:dyDescent="0.2">
      <c r="A30" s="39">
        <v>3</v>
      </c>
      <c r="B30" s="40" t="s">
        <v>230</v>
      </c>
      <c r="C30" s="40" t="s">
        <v>231</v>
      </c>
      <c r="D30" s="40" t="s">
        <v>216</v>
      </c>
      <c r="E30" s="41">
        <v>100</v>
      </c>
      <c r="F30" s="42">
        <v>100.3215</v>
      </c>
      <c r="G30" s="43">
        <v>2.265826E-2</v>
      </c>
      <c r="H30" s="31">
        <f>IFERROR(VLOOKUP(B30,'[1]Debt Holding Consolidated'!$C$1:$AM$65536,12,FALSE),"")</f>
        <v>8.125</v>
      </c>
    </row>
    <row r="31" spans="1:10" x14ac:dyDescent="0.2">
      <c r="A31" s="39">
        <v>4</v>
      </c>
      <c r="B31" s="40" t="s">
        <v>212</v>
      </c>
      <c r="C31" s="40" t="s">
        <v>213</v>
      </c>
      <c r="D31" s="40" t="s">
        <v>22</v>
      </c>
      <c r="E31" s="41">
        <v>10</v>
      </c>
      <c r="F31" s="42">
        <v>98.470799999999997</v>
      </c>
      <c r="G31" s="43">
        <v>2.2240260000000001E-2</v>
      </c>
      <c r="H31" s="31">
        <f>IFERROR(VLOOKUP(B31,'[1]Debt Holding Consolidated'!$C$1:$AM$65536,12,FALSE),"")</f>
        <v>7.68</v>
      </c>
    </row>
    <row r="32" spans="1:10" x14ac:dyDescent="0.2">
      <c r="A32" s="29"/>
      <c r="B32" s="29"/>
      <c r="C32" s="30" t="s">
        <v>10</v>
      </c>
      <c r="D32" s="29"/>
      <c r="E32" s="29" t="s">
        <v>11</v>
      </c>
      <c r="F32" s="38">
        <v>500.14670000000001</v>
      </c>
      <c r="G32" s="33">
        <v>0.11296135</v>
      </c>
      <c r="H32" s="31" t="str">
        <f>IFERROR(VLOOKUP(B32,'[1]Debt Holding Consolidated'!$C$1:$AM$65536,12,FALSE),"")</f>
        <v/>
      </c>
    </row>
    <row r="33" spans="1:8" x14ac:dyDescent="0.2">
      <c r="A33" s="29"/>
      <c r="B33" s="29"/>
      <c r="C33" s="34"/>
      <c r="D33" s="29"/>
      <c r="E33" s="29"/>
      <c r="F33" s="35"/>
      <c r="G33" s="35"/>
      <c r="H33" s="31" t="str">
        <f>IFERROR(VLOOKUP(B33,'[1]Debt Holding Consolidated'!$C$1:$AM$65536,12,FALSE),"")</f>
        <v/>
      </c>
    </row>
    <row r="34" spans="1:8" x14ac:dyDescent="0.2">
      <c r="A34" s="29"/>
      <c r="B34" s="29"/>
      <c r="C34" s="30" t="s">
        <v>70</v>
      </c>
      <c r="D34" s="29"/>
      <c r="E34" s="29"/>
      <c r="F34" s="29"/>
      <c r="G34" s="29"/>
      <c r="H34" s="31" t="str">
        <f>IFERROR(VLOOKUP(B34,'[1]Debt Holding Consolidated'!$C$1:$AM$65536,12,FALSE),"")</f>
        <v/>
      </c>
    </row>
    <row r="35" spans="1:8" x14ac:dyDescent="0.2">
      <c r="A35" s="29"/>
      <c r="B35" s="29"/>
      <c r="C35" s="30" t="s">
        <v>10</v>
      </c>
      <c r="D35" s="29"/>
      <c r="E35" s="29" t="s">
        <v>11</v>
      </c>
      <c r="F35" s="32" t="s">
        <v>12</v>
      </c>
      <c r="G35" s="33">
        <v>0</v>
      </c>
      <c r="H35" s="31" t="str">
        <f>IFERROR(VLOOKUP(B35,'[1]Debt Holding Consolidated'!$C$1:$AM$65536,12,FALSE),"")</f>
        <v/>
      </c>
    </row>
    <row r="36" spans="1:8" x14ac:dyDescent="0.2">
      <c r="A36" s="29"/>
      <c r="B36" s="29"/>
      <c r="C36" s="34"/>
      <c r="D36" s="29"/>
      <c r="E36" s="29"/>
      <c r="F36" s="35"/>
      <c r="G36" s="35"/>
      <c r="H36" s="31" t="str">
        <f>IFERROR(VLOOKUP(B36,'[1]Debt Holding Consolidated'!$C$1:$AM$65536,12,FALSE),"")</f>
        <v/>
      </c>
    </row>
    <row r="37" spans="1:8" x14ac:dyDescent="0.2">
      <c r="A37" s="29"/>
      <c r="B37" s="29"/>
      <c r="C37" s="30" t="s">
        <v>71</v>
      </c>
      <c r="D37" s="29"/>
      <c r="E37" s="29"/>
      <c r="F37" s="29"/>
      <c r="G37" s="29"/>
      <c r="H37" s="31" t="str">
        <f>IFERROR(VLOOKUP(B37,'[1]Debt Holding Consolidated'!$C$1:$AM$65536,12,FALSE),"")</f>
        <v/>
      </c>
    </row>
    <row r="38" spans="1:8" x14ac:dyDescent="0.2">
      <c r="A38" s="39">
        <v>1</v>
      </c>
      <c r="B38" s="40" t="s">
        <v>72</v>
      </c>
      <c r="C38" s="40" t="s">
        <v>73</v>
      </c>
      <c r="D38" s="40" t="s">
        <v>74</v>
      </c>
      <c r="E38" s="41">
        <v>1500000</v>
      </c>
      <c r="F38" s="42">
        <v>1524.1079999999999</v>
      </c>
      <c r="G38" s="43">
        <v>0.34422958999999997</v>
      </c>
      <c r="H38" s="31">
        <f>IFERROR(VLOOKUP(B38,'[1]Debt Holding Consolidated'!$C$1:$AM$65536,12,FALSE),"")</f>
        <v>6.9813999999999998</v>
      </c>
    </row>
    <row r="39" spans="1:8" x14ac:dyDescent="0.2">
      <c r="A39" s="39">
        <v>2</v>
      </c>
      <c r="B39" s="40" t="s">
        <v>490</v>
      </c>
      <c r="C39" s="40" t="s">
        <v>491</v>
      </c>
      <c r="D39" s="40" t="s">
        <v>74</v>
      </c>
      <c r="E39" s="41">
        <v>1000000</v>
      </c>
      <c r="F39" s="42">
        <v>981.89</v>
      </c>
      <c r="G39" s="43">
        <v>0.22176617000000001</v>
      </c>
      <c r="H39" s="31">
        <f>IFERROR(VLOOKUP(B39,'[1]Debt Holding Consolidated'!$C$1:$AM$65536,12,FALSE),"")</f>
        <v>6.8369999999999997</v>
      </c>
    </row>
    <row r="40" spans="1:8" x14ac:dyDescent="0.2">
      <c r="A40" s="39">
        <v>3</v>
      </c>
      <c r="B40" s="40" t="s">
        <v>81</v>
      </c>
      <c r="C40" s="40" t="s">
        <v>82</v>
      </c>
      <c r="D40" s="40" t="s">
        <v>74</v>
      </c>
      <c r="E40" s="41">
        <v>500000</v>
      </c>
      <c r="F40" s="42">
        <v>510.15750000000003</v>
      </c>
      <c r="G40" s="43">
        <v>0.11522235</v>
      </c>
      <c r="H40" s="31">
        <f>IFERROR(VLOOKUP(B40,'[1]Debt Holding Consolidated'!$C$1:$AM$65536,12,FALSE),"")</f>
        <v>6.8860000000000001</v>
      </c>
    </row>
    <row r="41" spans="1:8" ht="25.5" x14ac:dyDescent="0.2">
      <c r="A41" s="39">
        <v>4</v>
      </c>
      <c r="B41" s="40" t="s">
        <v>432</v>
      </c>
      <c r="C41" s="40" t="s">
        <v>433</v>
      </c>
      <c r="D41" s="40" t="s">
        <v>74</v>
      </c>
      <c r="E41" s="41">
        <v>230000</v>
      </c>
      <c r="F41" s="42">
        <v>235.08806000000001</v>
      </c>
      <c r="G41" s="43">
        <v>5.3096150000000002E-2</v>
      </c>
      <c r="H41" s="31">
        <f>IFERROR(VLOOKUP(B41,'[1]Debt Holding Consolidated'!$C$1:$AM$65536,12,FALSE),"")</f>
        <v>7.2363</v>
      </c>
    </row>
    <row r="42" spans="1:8" x14ac:dyDescent="0.2">
      <c r="A42" s="39">
        <v>5</v>
      </c>
      <c r="B42" s="40" t="s">
        <v>243</v>
      </c>
      <c r="C42" s="40" t="s">
        <v>244</v>
      </c>
      <c r="D42" s="40" t="s">
        <v>74</v>
      </c>
      <c r="E42" s="41">
        <v>100000</v>
      </c>
      <c r="F42" s="42">
        <v>100.89319999999999</v>
      </c>
      <c r="G42" s="43">
        <v>2.2787379999999999E-2</v>
      </c>
      <c r="H42" s="31">
        <f>IFERROR(VLOOKUP(B42,'[1]Debt Holding Consolidated'!$C$1:$AM$65536,12,FALSE),"")</f>
        <v>6.9227999999999996</v>
      </c>
    </row>
    <row r="43" spans="1:8" x14ac:dyDescent="0.2">
      <c r="A43" s="29"/>
      <c r="B43" s="29"/>
      <c r="C43" s="30" t="s">
        <v>10</v>
      </c>
      <c r="D43" s="29"/>
      <c r="E43" s="29" t="s">
        <v>11</v>
      </c>
      <c r="F43" s="38">
        <v>3352.1367599999999</v>
      </c>
      <c r="G43" s="33">
        <v>0.75710164000000002</v>
      </c>
      <c r="H43" s="31" t="str">
        <f>IFERROR(VLOOKUP(B43,'[1]Debt Holding Consolidated'!$C$1:$AM$65536,12,FALSE),"")</f>
        <v/>
      </c>
    </row>
    <row r="44" spans="1:8" x14ac:dyDescent="0.2">
      <c r="A44" s="29"/>
      <c r="B44" s="29"/>
      <c r="C44" s="34"/>
      <c r="D44" s="29"/>
      <c r="E44" s="29"/>
      <c r="F44" s="35"/>
      <c r="G44" s="35"/>
      <c r="H44" s="31" t="str">
        <f>IFERROR(VLOOKUP(B44,'[1]Debt Holding Consolidated'!$C$1:$AM$65536,12,FALSE),"")</f>
        <v/>
      </c>
    </row>
    <row r="45" spans="1:8" x14ac:dyDescent="0.2">
      <c r="A45" s="29"/>
      <c r="B45" s="29"/>
      <c r="C45" s="30" t="s">
        <v>87</v>
      </c>
      <c r="D45" s="29"/>
      <c r="E45" s="29"/>
      <c r="F45" s="35"/>
      <c r="G45" s="35"/>
      <c r="H45" s="31" t="str">
        <f>IFERROR(VLOOKUP(B45,'[1]Debt Holding Consolidated'!$C$1:$AM$65536,12,FALSE),"")</f>
        <v/>
      </c>
    </row>
    <row r="46" spans="1:8" x14ac:dyDescent="0.2">
      <c r="A46" s="29"/>
      <c r="B46" s="29"/>
      <c r="C46" s="30" t="s">
        <v>10</v>
      </c>
      <c r="D46" s="29"/>
      <c r="E46" s="29" t="s">
        <v>11</v>
      </c>
      <c r="F46" s="32" t="s">
        <v>12</v>
      </c>
      <c r="G46" s="33">
        <v>0</v>
      </c>
      <c r="H46" s="31" t="str">
        <f>IFERROR(VLOOKUP(B46,'[1]Debt Holding Consolidated'!$C$1:$AM$65536,12,FALSE),"")</f>
        <v/>
      </c>
    </row>
    <row r="47" spans="1:8" x14ac:dyDescent="0.2">
      <c r="A47" s="29"/>
      <c r="B47" s="29"/>
      <c r="C47" s="34"/>
      <c r="D47" s="29"/>
      <c r="E47" s="29"/>
      <c r="F47" s="35"/>
      <c r="G47" s="35"/>
      <c r="H47" s="31" t="str">
        <f>IFERROR(VLOOKUP(B47,'[1]Debt Holding Consolidated'!$C$1:$AM$65536,12,FALSE),"")</f>
        <v/>
      </c>
    </row>
    <row r="48" spans="1:8" x14ac:dyDescent="0.2">
      <c r="A48" s="29"/>
      <c r="B48" s="29"/>
      <c r="C48" s="30" t="s">
        <v>88</v>
      </c>
      <c r="D48" s="29"/>
      <c r="E48" s="29"/>
      <c r="F48" s="38">
        <v>3852.2834600000001</v>
      </c>
      <c r="G48" s="33">
        <v>0.87006298999999998</v>
      </c>
      <c r="H48" s="31" t="str">
        <f>IFERROR(VLOOKUP(B48,'[1]Debt Holding Consolidated'!$C$1:$AM$65536,12,FALSE),"")</f>
        <v/>
      </c>
    </row>
    <row r="49" spans="1:8" x14ac:dyDescent="0.2">
      <c r="A49" s="29"/>
      <c r="B49" s="29"/>
      <c r="C49" s="34"/>
      <c r="D49" s="29"/>
      <c r="E49" s="29"/>
      <c r="F49" s="35"/>
      <c r="G49" s="35"/>
      <c r="H49" s="31" t="str">
        <f>IFERROR(VLOOKUP(B49,'[1]Debt Holding Consolidated'!$C$1:$AM$65536,12,FALSE),"")</f>
        <v/>
      </c>
    </row>
    <row r="50" spans="1:8" x14ac:dyDescent="0.2">
      <c r="A50" s="29"/>
      <c r="B50" s="29"/>
      <c r="C50" s="30" t="s">
        <v>89</v>
      </c>
      <c r="D50" s="29"/>
      <c r="E50" s="29"/>
      <c r="F50" s="35"/>
      <c r="G50" s="35"/>
      <c r="H50" s="31" t="str">
        <f>IFERROR(VLOOKUP(B50,'[1]Debt Holding Consolidated'!$C$1:$AM$65536,12,FALSE),"")</f>
        <v/>
      </c>
    </row>
    <row r="51" spans="1:8" x14ac:dyDescent="0.2">
      <c r="A51" s="29"/>
      <c r="B51" s="29"/>
      <c r="C51" s="30" t="s">
        <v>90</v>
      </c>
      <c r="D51" s="29"/>
      <c r="E51" s="29"/>
      <c r="F51" s="35"/>
      <c r="G51" s="35"/>
      <c r="H51" s="31" t="str">
        <f>IFERROR(VLOOKUP(B51,'[1]Debt Holding Consolidated'!$C$1:$AM$65536,12,FALSE),"")</f>
        <v/>
      </c>
    </row>
    <row r="52" spans="1:8" x14ac:dyDescent="0.2">
      <c r="A52" s="29"/>
      <c r="B52" s="29"/>
      <c r="C52" s="30" t="s">
        <v>10</v>
      </c>
      <c r="D52" s="29"/>
      <c r="E52" s="29" t="s">
        <v>11</v>
      </c>
      <c r="F52" s="32" t="s">
        <v>12</v>
      </c>
      <c r="G52" s="33">
        <v>0</v>
      </c>
      <c r="H52" s="31" t="str">
        <f>IFERROR(VLOOKUP(B52,'[1]Debt Holding Consolidated'!$C$1:$AM$65536,12,FALSE),"")</f>
        <v/>
      </c>
    </row>
    <row r="53" spans="1:8" x14ac:dyDescent="0.2">
      <c r="A53" s="29"/>
      <c r="B53" s="29"/>
      <c r="C53" s="34"/>
      <c r="D53" s="29"/>
      <c r="E53" s="29"/>
      <c r="F53" s="35"/>
      <c r="G53" s="35"/>
      <c r="H53" s="31" t="str">
        <f>IFERROR(VLOOKUP(B53,'[1]Debt Holding Consolidated'!$C$1:$AM$65536,12,FALSE),"")</f>
        <v/>
      </c>
    </row>
    <row r="54" spans="1:8" x14ac:dyDescent="0.2">
      <c r="A54" s="29"/>
      <c r="B54" s="29"/>
      <c r="C54" s="30" t="s">
        <v>91</v>
      </c>
      <c r="D54" s="29"/>
      <c r="E54" s="29"/>
      <c r="F54" s="35"/>
      <c r="G54" s="35"/>
      <c r="H54" s="31" t="str">
        <f>IFERROR(VLOOKUP(B54,'[1]Debt Holding Consolidated'!$C$1:$AM$65536,12,FALSE),"")</f>
        <v/>
      </c>
    </row>
    <row r="55" spans="1:8" x14ac:dyDescent="0.2">
      <c r="A55" s="29"/>
      <c r="B55" s="29"/>
      <c r="C55" s="30" t="s">
        <v>10</v>
      </c>
      <c r="D55" s="29"/>
      <c r="E55" s="29" t="s">
        <v>11</v>
      </c>
      <c r="F55" s="32" t="s">
        <v>12</v>
      </c>
      <c r="G55" s="33">
        <v>0</v>
      </c>
      <c r="H55" s="31" t="str">
        <f>IFERROR(VLOOKUP(B55,'[1]Debt Holding Consolidated'!$C$1:$AM$65536,12,FALSE),"")</f>
        <v/>
      </c>
    </row>
    <row r="56" spans="1:8" x14ac:dyDescent="0.2">
      <c r="A56" s="29"/>
      <c r="B56" s="29"/>
      <c r="C56" s="34"/>
      <c r="D56" s="29"/>
      <c r="E56" s="29"/>
      <c r="F56" s="35"/>
      <c r="G56" s="35"/>
      <c r="H56" s="31" t="str">
        <f>IFERROR(VLOOKUP(B56,'[1]Debt Holding Consolidated'!$C$1:$AM$65536,12,FALSE),"")</f>
        <v/>
      </c>
    </row>
    <row r="57" spans="1:8" x14ac:dyDescent="0.2">
      <c r="A57" s="29"/>
      <c r="B57" s="29"/>
      <c r="C57" s="30" t="s">
        <v>92</v>
      </c>
      <c r="D57" s="29"/>
      <c r="E57" s="29"/>
      <c r="F57" s="35"/>
      <c r="G57" s="35"/>
      <c r="H57" s="31" t="str">
        <f>IFERROR(VLOOKUP(B57,'[1]Debt Holding Consolidated'!$C$1:$AM$65536,12,FALSE),"")</f>
        <v/>
      </c>
    </row>
    <row r="58" spans="1:8" x14ac:dyDescent="0.2">
      <c r="A58" s="29"/>
      <c r="B58" s="29"/>
      <c r="C58" s="30" t="s">
        <v>10</v>
      </c>
      <c r="D58" s="29"/>
      <c r="E58" s="29" t="s">
        <v>11</v>
      </c>
      <c r="F58" s="32" t="s">
        <v>12</v>
      </c>
      <c r="G58" s="33">
        <v>0</v>
      </c>
      <c r="H58" s="31" t="str">
        <f>IFERROR(VLOOKUP(B58,'[1]Debt Holding Consolidated'!$C$1:$AM$65536,12,FALSE),"")</f>
        <v/>
      </c>
    </row>
    <row r="59" spans="1:8" x14ac:dyDescent="0.2">
      <c r="A59" s="29"/>
      <c r="B59" s="29"/>
      <c r="C59" s="34"/>
      <c r="D59" s="29"/>
      <c r="E59" s="29"/>
      <c r="F59" s="35"/>
      <c r="G59" s="35"/>
      <c r="H59" s="31" t="str">
        <f>IFERROR(VLOOKUP(B59,'[1]Debt Holding Consolidated'!$C$1:$AM$65536,12,FALSE),"")</f>
        <v/>
      </c>
    </row>
    <row r="60" spans="1:8" x14ac:dyDescent="0.2">
      <c r="A60" s="29"/>
      <c r="B60" s="29"/>
      <c r="C60" s="30" t="s">
        <v>93</v>
      </c>
      <c r="D60" s="29"/>
      <c r="E60" s="29"/>
      <c r="F60" s="35"/>
      <c r="G60" s="35"/>
      <c r="H60" s="31" t="str">
        <f>IFERROR(VLOOKUP(B60,'[1]Debt Holding Consolidated'!$C$1:$AM$65536,12,FALSE),"")</f>
        <v/>
      </c>
    </row>
    <row r="61" spans="1:8" x14ac:dyDescent="0.2">
      <c r="A61" s="39">
        <v>1</v>
      </c>
      <c r="B61" s="40"/>
      <c r="C61" s="40" t="s">
        <v>94</v>
      </c>
      <c r="D61" s="40"/>
      <c r="E61" s="44"/>
      <c r="F61" s="42">
        <v>488.652781699</v>
      </c>
      <c r="G61" s="43">
        <v>0.11036537</v>
      </c>
      <c r="H61" s="31">
        <v>6.34</v>
      </c>
    </row>
    <row r="62" spans="1:8" x14ac:dyDescent="0.2">
      <c r="A62" s="29"/>
      <c r="B62" s="29"/>
      <c r="C62" s="30" t="s">
        <v>10</v>
      </c>
      <c r="D62" s="29"/>
      <c r="E62" s="29" t="s">
        <v>11</v>
      </c>
      <c r="F62" s="38">
        <v>488.652781699</v>
      </c>
      <c r="G62" s="33">
        <v>0.11036537</v>
      </c>
      <c r="H62" s="31" t="s">
        <v>11</v>
      </c>
    </row>
    <row r="63" spans="1:8" x14ac:dyDescent="0.2">
      <c r="A63" s="29"/>
      <c r="B63" s="29"/>
      <c r="C63" s="34"/>
      <c r="D63" s="29"/>
      <c r="E63" s="29"/>
      <c r="F63" s="35"/>
      <c r="G63" s="35"/>
      <c r="H63" s="31" t="s">
        <v>11</v>
      </c>
    </row>
    <row r="64" spans="1:8" x14ac:dyDescent="0.2">
      <c r="A64" s="29"/>
      <c r="B64" s="29"/>
      <c r="C64" s="30" t="s">
        <v>95</v>
      </c>
      <c r="D64" s="29"/>
      <c r="E64" s="29"/>
      <c r="F64" s="38">
        <v>488.652781699</v>
      </c>
      <c r="G64" s="33">
        <v>0.11036537</v>
      </c>
      <c r="H64" s="31" t="s">
        <v>11</v>
      </c>
    </row>
    <row r="65" spans="1:18" x14ac:dyDescent="0.2">
      <c r="A65" s="29"/>
      <c r="B65" s="29"/>
      <c r="C65" s="35"/>
      <c r="D65" s="29"/>
      <c r="E65" s="29"/>
      <c r="F65" s="29"/>
      <c r="G65" s="29"/>
      <c r="H65" s="31" t="s">
        <v>11</v>
      </c>
    </row>
    <row r="66" spans="1:18" x14ac:dyDescent="0.2">
      <c r="A66" s="29"/>
      <c r="B66" s="29"/>
      <c r="C66" s="30" t="s">
        <v>96</v>
      </c>
      <c r="D66" s="29"/>
      <c r="E66" s="29"/>
      <c r="F66" s="29"/>
      <c r="G66" s="29"/>
      <c r="H66" s="31" t="s">
        <v>11</v>
      </c>
    </row>
    <row r="67" spans="1:18" x14ac:dyDescent="0.2">
      <c r="A67" s="29"/>
      <c r="B67" s="29"/>
      <c r="C67" s="30" t="s">
        <v>97</v>
      </c>
      <c r="D67" s="29"/>
      <c r="E67" s="29"/>
      <c r="F67" s="29"/>
      <c r="G67" s="29"/>
      <c r="H67" s="31" t="s">
        <v>11</v>
      </c>
    </row>
    <row r="68" spans="1:18" x14ac:dyDescent="0.2">
      <c r="A68" s="29"/>
      <c r="B68" s="29"/>
      <c r="C68" s="30" t="s">
        <v>10</v>
      </c>
      <c r="D68" s="29"/>
      <c r="E68" s="29" t="s">
        <v>11</v>
      </c>
      <c r="F68" s="32" t="s">
        <v>12</v>
      </c>
      <c r="G68" s="33">
        <v>0</v>
      </c>
      <c r="H68" s="31" t="s">
        <v>11</v>
      </c>
    </row>
    <row r="69" spans="1:18" x14ac:dyDescent="0.2">
      <c r="A69" s="45"/>
      <c r="B69" s="45"/>
      <c r="C69" s="46"/>
      <c r="D69" s="45"/>
      <c r="E69" s="45"/>
      <c r="F69" s="47"/>
      <c r="G69" s="47"/>
      <c r="H69" s="31" t="s">
        <v>11</v>
      </c>
    </row>
    <row r="70" spans="1:18" x14ac:dyDescent="0.2">
      <c r="A70" s="45"/>
      <c r="B70" s="45"/>
      <c r="C70" s="17" t="s">
        <v>581</v>
      </c>
      <c r="D70" s="45"/>
      <c r="E70" s="45"/>
      <c r="F70" s="47"/>
      <c r="G70" s="47"/>
      <c r="H70" s="48"/>
      <c r="L70" s="9"/>
      <c r="M70" s="9"/>
      <c r="N70" s="9"/>
      <c r="O70" s="9"/>
      <c r="P70" s="10"/>
      <c r="Q70" s="10"/>
      <c r="R70" s="10"/>
    </row>
    <row r="71" spans="1:18" x14ac:dyDescent="0.2">
      <c r="A71" s="49">
        <v>1</v>
      </c>
      <c r="B71" s="50" t="s">
        <v>98</v>
      </c>
      <c r="C71" s="50" t="s">
        <v>99</v>
      </c>
      <c r="D71" s="50"/>
      <c r="E71" s="51">
        <v>112.994</v>
      </c>
      <c r="F71" s="48">
        <v>11.808414580000001</v>
      </c>
      <c r="G71" s="52">
        <v>2.66701E-3</v>
      </c>
      <c r="H71" s="31"/>
    </row>
    <row r="72" spans="1:18" x14ac:dyDescent="0.2">
      <c r="A72" s="45"/>
      <c r="B72" s="45"/>
      <c r="C72" s="17" t="s">
        <v>10</v>
      </c>
      <c r="D72" s="45"/>
      <c r="E72" s="45" t="s">
        <v>11</v>
      </c>
      <c r="F72" s="53">
        <f>SUM(F71)</f>
        <v>11.808414580000001</v>
      </c>
      <c r="G72" s="54">
        <f>SUM(G71)</f>
        <v>2.66701E-3</v>
      </c>
      <c r="H72" s="31" t="s">
        <v>11</v>
      </c>
    </row>
    <row r="73" spans="1:18" x14ac:dyDescent="0.2">
      <c r="A73" s="29"/>
      <c r="B73" s="29"/>
      <c r="C73" s="34"/>
      <c r="D73" s="29"/>
      <c r="E73" s="29"/>
      <c r="F73" s="35"/>
      <c r="G73" s="35"/>
      <c r="H73" s="31" t="s">
        <v>11</v>
      </c>
    </row>
    <row r="74" spans="1:18" x14ac:dyDescent="0.2">
      <c r="A74" s="29"/>
      <c r="B74" s="29"/>
      <c r="C74" s="30" t="s">
        <v>100</v>
      </c>
      <c r="D74" s="29"/>
      <c r="E74" s="29"/>
      <c r="F74" s="29"/>
      <c r="G74" s="29"/>
      <c r="H74" s="31" t="s">
        <v>11</v>
      </c>
    </row>
    <row r="75" spans="1:18" x14ac:dyDescent="0.2">
      <c r="A75" s="29"/>
      <c r="B75" s="29"/>
      <c r="C75" s="30" t="s">
        <v>101</v>
      </c>
      <c r="D75" s="29"/>
      <c r="E75" s="29"/>
      <c r="F75" s="29"/>
      <c r="G75" s="29"/>
      <c r="H75" s="31" t="s">
        <v>11</v>
      </c>
    </row>
    <row r="76" spans="1:18" x14ac:dyDescent="0.2">
      <c r="A76" s="29"/>
      <c r="B76" s="29"/>
      <c r="C76" s="30" t="s">
        <v>10</v>
      </c>
      <c r="D76" s="29"/>
      <c r="E76" s="29" t="s">
        <v>11</v>
      </c>
      <c r="F76" s="32" t="s">
        <v>12</v>
      </c>
      <c r="G76" s="33">
        <v>0</v>
      </c>
      <c r="H76" s="31" t="s">
        <v>11</v>
      </c>
    </row>
    <row r="77" spans="1:18" x14ac:dyDescent="0.2">
      <c r="A77" s="29"/>
      <c r="B77" s="29"/>
      <c r="C77" s="34"/>
      <c r="D77" s="29"/>
      <c r="E77" s="29"/>
      <c r="F77" s="35"/>
      <c r="G77" s="35"/>
      <c r="H77" s="31" t="s">
        <v>11</v>
      </c>
    </row>
    <row r="78" spans="1:18" x14ac:dyDescent="0.2">
      <c r="A78" s="29"/>
      <c r="B78" s="29"/>
      <c r="C78" s="30" t="s">
        <v>102</v>
      </c>
      <c r="D78" s="29"/>
      <c r="E78" s="29"/>
      <c r="F78" s="35"/>
      <c r="G78" s="35"/>
      <c r="H78" s="31" t="s">
        <v>11</v>
      </c>
    </row>
    <row r="79" spans="1:18" x14ac:dyDescent="0.2">
      <c r="A79" s="29"/>
      <c r="B79" s="29"/>
      <c r="C79" s="30" t="s">
        <v>10</v>
      </c>
      <c r="D79" s="29"/>
      <c r="E79" s="29" t="s">
        <v>11</v>
      </c>
      <c r="F79" s="32" t="s">
        <v>12</v>
      </c>
      <c r="G79" s="33">
        <v>0</v>
      </c>
      <c r="H79" s="31" t="s">
        <v>11</v>
      </c>
    </row>
    <row r="80" spans="1:18" x14ac:dyDescent="0.2">
      <c r="A80" s="29"/>
      <c r="B80" s="29"/>
      <c r="C80" s="34"/>
      <c r="D80" s="29"/>
      <c r="E80" s="29"/>
      <c r="F80" s="35"/>
      <c r="G80" s="35"/>
      <c r="H80" s="31" t="s">
        <v>11</v>
      </c>
    </row>
    <row r="81" spans="1:10" x14ac:dyDescent="0.2">
      <c r="A81" s="44"/>
      <c r="B81" s="40"/>
      <c r="C81" s="40" t="s">
        <v>103</v>
      </c>
      <c r="D81" s="40"/>
      <c r="E81" s="44"/>
      <c r="F81" s="42">
        <f>74.84684856+0.00054201100051403</f>
        <v>74.847390571000517</v>
      </c>
      <c r="G81" s="43">
        <v>1.6904639999999999E-2</v>
      </c>
      <c r="H81" s="31" t="s">
        <v>11</v>
      </c>
    </row>
    <row r="82" spans="1:10" x14ac:dyDescent="0.2">
      <c r="A82" s="34"/>
      <c r="B82" s="34"/>
      <c r="C82" s="30" t="s">
        <v>104</v>
      </c>
      <c r="D82" s="35"/>
      <c r="E82" s="35"/>
      <c r="F82" s="38">
        <f>4427.591504839+0.00054201100051403</f>
        <v>4427.5920468499999</v>
      </c>
      <c r="G82" s="55">
        <v>1.0000000099999999</v>
      </c>
      <c r="H82" s="31" t="s">
        <v>11</v>
      </c>
    </row>
    <row r="83" spans="1:10" x14ac:dyDescent="0.2">
      <c r="A83" s="56"/>
      <c r="B83" s="56"/>
      <c r="C83" s="56"/>
      <c r="D83" s="57"/>
      <c r="E83" s="57"/>
      <c r="F83" s="57"/>
      <c r="G83" s="57"/>
      <c r="J83"/>
    </row>
    <row r="84" spans="1:10" x14ac:dyDescent="0.2">
      <c r="A84" s="58"/>
      <c r="B84" s="138" t="s">
        <v>582</v>
      </c>
      <c r="C84" s="138"/>
      <c r="D84" s="138"/>
      <c r="E84" s="138"/>
      <c r="F84" s="138"/>
      <c r="G84" s="138"/>
      <c r="H84" s="138"/>
      <c r="J84"/>
    </row>
    <row r="85" spans="1:10" x14ac:dyDescent="0.2">
      <c r="A85" s="58"/>
      <c r="B85" s="138" t="s">
        <v>583</v>
      </c>
      <c r="C85" s="138"/>
      <c r="D85" s="138"/>
      <c r="E85" s="138"/>
      <c r="F85" s="138"/>
      <c r="G85" s="138"/>
      <c r="H85" s="138"/>
      <c r="J85"/>
    </row>
    <row r="86" spans="1:10" x14ac:dyDescent="0.2">
      <c r="A86" s="58"/>
      <c r="B86" s="138" t="s">
        <v>584</v>
      </c>
      <c r="C86" s="138"/>
      <c r="D86" s="138"/>
      <c r="E86" s="138"/>
      <c r="F86" s="138"/>
      <c r="G86" s="138"/>
      <c r="H86" s="138"/>
      <c r="J86"/>
    </row>
    <row r="87" spans="1:10" x14ac:dyDescent="0.2">
      <c r="A87" s="59"/>
      <c r="B87" s="59"/>
      <c r="C87" s="59"/>
      <c r="D87" s="60"/>
      <c r="E87" s="60"/>
      <c r="F87" s="60"/>
      <c r="G87" s="60"/>
    </row>
    <row r="88" spans="1:10" x14ac:dyDescent="0.2">
      <c r="A88" s="59"/>
      <c r="B88" s="131" t="s">
        <v>105</v>
      </c>
      <c r="C88" s="132"/>
      <c r="D88" s="133"/>
      <c r="E88" s="61"/>
      <c r="F88" s="60"/>
      <c r="G88" s="60"/>
    </row>
    <row r="89" spans="1:10" ht="25.5" x14ac:dyDescent="0.2">
      <c r="A89" s="59"/>
      <c r="B89" s="134" t="s">
        <v>106</v>
      </c>
      <c r="C89" s="135"/>
      <c r="D89" s="17" t="s">
        <v>599</v>
      </c>
      <c r="E89" s="61"/>
      <c r="F89" s="60"/>
      <c r="G89" s="60"/>
    </row>
    <row r="90" spans="1:10" x14ac:dyDescent="0.2">
      <c r="A90" s="59"/>
      <c r="B90" s="134" t="s">
        <v>108</v>
      </c>
      <c r="C90" s="135"/>
      <c r="D90" s="30" t="s">
        <v>107</v>
      </c>
      <c r="E90" s="61"/>
      <c r="F90" s="60"/>
      <c r="G90" s="60"/>
    </row>
    <row r="91" spans="1:10" x14ac:dyDescent="0.2">
      <c r="A91" s="59"/>
      <c r="B91" s="134" t="s">
        <v>109</v>
      </c>
      <c r="C91" s="135"/>
      <c r="D91" s="35" t="s">
        <v>11</v>
      </c>
      <c r="E91" s="61"/>
      <c r="F91" s="60"/>
      <c r="G91" s="60"/>
    </row>
    <row r="92" spans="1:10" x14ac:dyDescent="0.2">
      <c r="A92" s="18"/>
      <c r="B92" s="62" t="s">
        <v>11</v>
      </c>
      <c r="C92" s="62" t="s">
        <v>585</v>
      </c>
      <c r="D92" s="62" t="s">
        <v>110</v>
      </c>
      <c r="E92" s="18"/>
      <c r="F92" s="18"/>
      <c r="G92" s="18"/>
      <c r="H92" s="63"/>
    </row>
    <row r="93" spans="1:10" x14ac:dyDescent="0.2">
      <c r="A93" s="64"/>
      <c r="B93" s="65" t="s">
        <v>111</v>
      </c>
      <c r="C93" s="66">
        <v>45596</v>
      </c>
      <c r="D93" s="66">
        <v>45611</v>
      </c>
      <c r="E93" s="64"/>
      <c r="F93" s="64"/>
      <c r="G93" s="64"/>
    </row>
    <row r="94" spans="1:10" x14ac:dyDescent="0.2">
      <c r="A94" s="64"/>
      <c r="B94" s="40" t="s">
        <v>112</v>
      </c>
      <c r="C94" s="67">
        <v>73.156199999999998</v>
      </c>
      <c r="D94" s="67">
        <v>73.273099999999999</v>
      </c>
      <c r="E94" s="64"/>
      <c r="F94" s="68"/>
      <c r="G94" s="69"/>
    </row>
    <row r="95" spans="1:10" ht="25.5" x14ac:dyDescent="0.2">
      <c r="A95" s="64"/>
      <c r="B95" s="40" t="s">
        <v>675</v>
      </c>
      <c r="C95" s="67">
        <v>26.259799999999998</v>
      </c>
      <c r="D95" s="67">
        <v>26.3018</v>
      </c>
      <c r="E95" s="64"/>
      <c r="F95" s="68"/>
      <c r="G95" s="69"/>
    </row>
    <row r="96" spans="1:10" ht="25.5" x14ac:dyDescent="0.2">
      <c r="A96" s="64"/>
      <c r="B96" s="40" t="s">
        <v>677</v>
      </c>
      <c r="C96" s="67">
        <v>14.7812</v>
      </c>
      <c r="D96" s="67">
        <v>14.8049</v>
      </c>
      <c r="E96" s="64"/>
      <c r="F96" s="68"/>
      <c r="G96" s="69"/>
    </row>
    <row r="97" spans="1:15" ht="25.5" x14ac:dyDescent="0.2">
      <c r="A97" s="64"/>
      <c r="B97" s="40" t="s">
        <v>492</v>
      </c>
      <c r="C97" s="67">
        <v>74.450500000000005</v>
      </c>
      <c r="D97" s="67">
        <v>74.543700000000001</v>
      </c>
      <c r="E97" s="64"/>
      <c r="F97" s="68"/>
      <c r="G97" s="69"/>
    </row>
    <row r="98" spans="1:15" x14ac:dyDescent="0.2">
      <c r="A98" s="64"/>
      <c r="B98" s="40" t="s">
        <v>113</v>
      </c>
      <c r="C98" s="67">
        <v>65.884900000000002</v>
      </c>
      <c r="D98" s="67">
        <v>65.967399999999998</v>
      </c>
      <c r="E98" s="64"/>
      <c r="F98" s="68"/>
      <c r="G98" s="69"/>
    </row>
    <row r="99" spans="1:15" x14ac:dyDescent="0.2">
      <c r="A99" s="64"/>
      <c r="B99" s="40" t="s">
        <v>141</v>
      </c>
      <c r="C99" s="67">
        <v>22.503299999999999</v>
      </c>
      <c r="D99" s="67">
        <v>22.531500000000001</v>
      </c>
      <c r="E99" s="64"/>
      <c r="F99" s="68"/>
      <c r="G99" s="69"/>
    </row>
    <row r="100" spans="1:15" ht="25.5" x14ac:dyDescent="0.2">
      <c r="A100" s="64"/>
      <c r="B100" s="50" t="s">
        <v>648</v>
      </c>
      <c r="C100" s="67">
        <v>13.057499999999999</v>
      </c>
      <c r="D100" s="67">
        <v>13.0738</v>
      </c>
      <c r="E100" s="64"/>
      <c r="F100" s="68"/>
      <c r="G100" s="69"/>
    </row>
    <row r="101" spans="1:15" ht="25.5" x14ac:dyDescent="0.2">
      <c r="A101" s="64"/>
      <c r="B101" s="40" t="s">
        <v>679</v>
      </c>
      <c r="C101" s="67">
        <v>13.345499999999999</v>
      </c>
      <c r="D101" s="67">
        <v>13.3622</v>
      </c>
      <c r="E101" s="64"/>
      <c r="F101" s="68"/>
      <c r="G101" s="69"/>
    </row>
    <row r="102" spans="1:15" ht="25.5" x14ac:dyDescent="0.2">
      <c r="A102" s="64"/>
      <c r="B102" s="40" t="s">
        <v>680</v>
      </c>
      <c r="C102" s="67">
        <v>13.0906</v>
      </c>
      <c r="D102" s="67">
        <v>13.106999999999999</v>
      </c>
      <c r="E102" s="64"/>
      <c r="F102" s="68"/>
      <c r="G102" s="69"/>
    </row>
    <row r="103" spans="1:15" x14ac:dyDescent="0.2">
      <c r="A103" s="64"/>
      <c r="B103" s="64"/>
      <c r="C103" s="64"/>
      <c r="D103" s="64"/>
      <c r="E103" s="64"/>
      <c r="F103" s="64"/>
      <c r="G103" s="64"/>
    </row>
    <row r="104" spans="1:15" x14ac:dyDescent="0.2">
      <c r="A104" s="64"/>
      <c r="B104" s="134" t="s">
        <v>649</v>
      </c>
      <c r="C104" s="135"/>
      <c r="D104" s="17" t="s">
        <v>107</v>
      </c>
      <c r="E104" s="64"/>
      <c r="F104" s="64"/>
      <c r="G104" s="64"/>
    </row>
    <row r="105" spans="1:15" x14ac:dyDescent="0.2">
      <c r="A105" s="64"/>
      <c r="B105" s="20"/>
      <c r="C105" s="20"/>
      <c r="D105" s="20"/>
      <c r="E105" s="64"/>
      <c r="F105" s="64"/>
      <c r="G105" s="64"/>
    </row>
    <row r="106" spans="1:15" s="11" customFormat="1" ht="15" x14ac:dyDescent="0.25">
      <c r="A106" s="77"/>
      <c r="B106" s="136" t="s">
        <v>595</v>
      </c>
      <c r="C106" s="137"/>
      <c r="D106" s="17" t="s">
        <v>107</v>
      </c>
      <c r="E106" s="77"/>
      <c r="F106" s="76"/>
      <c r="G106" s="77"/>
      <c r="I106" s="106"/>
      <c r="J106" s="2"/>
      <c r="K106" s="107"/>
      <c r="L106" s="107"/>
      <c r="M106" s="107"/>
      <c r="N106" s="107"/>
      <c r="O106"/>
    </row>
    <row r="107" spans="1:15" ht="15" x14ac:dyDescent="0.25">
      <c r="A107" s="18"/>
      <c r="B107" s="136" t="s">
        <v>596</v>
      </c>
      <c r="C107" s="137"/>
      <c r="D107" s="17" t="s">
        <v>107</v>
      </c>
      <c r="E107" s="19"/>
      <c r="F107" s="18"/>
      <c r="G107" s="18"/>
      <c r="I107" s="108"/>
    </row>
    <row r="108" spans="1:15" ht="15" x14ac:dyDescent="0.25">
      <c r="A108" s="18"/>
      <c r="B108" s="136" t="s">
        <v>597</v>
      </c>
      <c r="C108" s="137"/>
      <c r="D108" s="17" t="s">
        <v>107</v>
      </c>
      <c r="E108" s="19"/>
      <c r="F108" s="18"/>
      <c r="G108" s="18"/>
      <c r="I108" s="109"/>
    </row>
    <row r="109" spans="1:15" x14ac:dyDescent="0.2">
      <c r="A109" s="18"/>
      <c r="B109" s="136" t="s">
        <v>598</v>
      </c>
      <c r="C109" s="137"/>
      <c r="D109" s="17" t="s">
        <v>107</v>
      </c>
      <c r="E109" s="19"/>
      <c r="F109" s="18"/>
      <c r="G109" s="18"/>
    </row>
    <row r="110" spans="1:15" x14ac:dyDescent="0.2">
      <c r="A110" s="20"/>
      <c r="B110" s="20"/>
      <c r="C110" s="20"/>
      <c r="D110" s="20"/>
      <c r="E110" s="20"/>
      <c r="F110" s="20"/>
      <c r="G110" s="20"/>
    </row>
    <row r="111" spans="1:15" s="11" customFormat="1" ht="15" x14ac:dyDescent="0.25">
      <c r="B111" s="167" t="s">
        <v>682</v>
      </c>
      <c r="C111" s="168"/>
      <c r="D111" s="168"/>
      <c r="E111" s="168"/>
      <c r="F111" s="168"/>
      <c r="G111" s="169"/>
      <c r="I111"/>
      <c r="J111" s="2"/>
      <c r="K111" s="107"/>
      <c r="L111" s="107"/>
      <c r="M111" s="107"/>
      <c r="N111" s="107"/>
      <c r="O111"/>
    </row>
    <row r="112" spans="1:15" s="11" customFormat="1" ht="41.25" customHeight="1" x14ac:dyDescent="0.25">
      <c r="B112" s="110" t="s">
        <v>608</v>
      </c>
      <c r="C112" s="110" t="s">
        <v>609</v>
      </c>
      <c r="D112" s="170" t="s">
        <v>603</v>
      </c>
      <c r="E112" s="171"/>
      <c r="F112" s="172" t="s">
        <v>604</v>
      </c>
      <c r="G112" s="172"/>
      <c r="H112" s="111"/>
      <c r="I112"/>
      <c r="J112" s="2"/>
      <c r="K112" s="107"/>
      <c r="L112" s="107"/>
      <c r="M112" s="107"/>
      <c r="N112" s="107"/>
      <c r="O112"/>
    </row>
    <row r="113" spans="2:15" s="11" customFormat="1" ht="25.5" x14ac:dyDescent="0.25">
      <c r="B113" s="112" t="s">
        <v>650</v>
      </c>
      <c r="C113" s="113" t="s">
        <v>651</v>
      </c>
      <c r="D113" s="173">
        <v>0</v>
      </c>
      <c r="E113" s="174"/>
      <c r="F113" s="173">
        <v>0</v>
      </c>
      <c r="G113" s="174"/>
      <c r="H113" s="114"/>
      <c r="I113"/>
      <c r="J113" s="2"/>
      <c r="K113" s="107"/>
      <c r="L113" s="107"/>
      <c r="M113" s="107"/>
      <c r="N113" s="107"/>
      <c r="O113"/>
    </row>
    <row r="114" spans="2:15" s="11" customFormat="1" ht="15" x14ac:dyDescent="0.25">
      <c r="B114" s="175" t="s">
        <v>652</v>
      </c>
      <c r="C114" s="176"/>
      <c r="D114" s="176"/>
      <c r="E114" s="176"/>
      <c r="F114" s="176"/>
      <c r="G114" s="177"/>
      <c r="H114" s="114"/>
      <c r="I114"/>
      <c r="J114" s="2"/>
      <c r="K114" s="109"/>
      <c r="L114" s="109"/>
      <c r="M114" s="109"/>
      <c r="N114" s="107"/>
      <c r="O114"/>
    </row>
    <row r="115" spans="2:15" s="11" customFormat="1" ht="15" x14ac:dyDescent="0.25">
      <c r="B115" s="172" t="s">
        <v>608</v>
      </c>
      <c r="C115" s="172" t="s">
        <v>609</v>
      </c>
      <c r="D115" s="175" t="s">
        <v>617</v>
      </c>
      <c r="E115" s="176"/>
      <c r="F115" s="177"/>
      <c r="G115" s="112"/>
      <c r="H115" s="114"/>
      <c r="I115"/>
      <c r="J115" s="2"/>
      <c r="K115" s="109"/>
      <c r="L115" s="109"/>
      <c r="M115" s="109"/>
      <c r="N115" s="107"/>
      <c r="O115"/>
    </row>
    <row r="116" spans="2:15" s="11" customFormat="1" ht="76.5" x14ac:dyDescent="0.25">
      <c r="B116" s="172"/>
      <c r="C116" s="172"/>
      <c r="D116" s="115" t="s">
        <v>621</v>
      </c>
      <c r="E116" s="115" t="s">
        <v>653</v>
      </c>
      <c r="F116" s="115" t="s">
        <v>624</v>
      </c>
      <c r="G116" s="115" t="s">
        <v>684</v>
      </c>
      <c r="H116" s="116"/>
      <c r="I116"/>
      <c r="J116" s="2"/>
      <c r="K116" s="109"/>
      <c r="L116" s="109"/>
      <c r="M116" s="109"/>
      <c r="N116" s="107"/>
      <c r="O116"/>
    </row>
    <row r="117" spans="2:15" s="11" customFormat="1" ht="25.5" x14ac:dyDescent="0.2">
      <c r="B117" s="117" t="s">
        <v>650</v>
      </c>
      <c r="C117" s="113" t="s">
        <v>651</v>
      </c>
      <c r="D117" s="118">
        <v>200</v>
      </c>
      <c r="E117" s="118">
        <v>6.8852450999999997</v>
      </c>
      <c r="F117" s="118">
        <v>206.88524509999999</v>
      </c>
      <c r="G117" s="119">
        <f>F117/F82</f>
        <v>4.6726356654106835E-2</v>
      </c>
      <c r="H117" s="120"/>
      <c r="I117"/>
      <c r="J117" s="2"/>
      <c r="K117"/>
      <c r="L117"/>
      <c r="M117"/>
      <c r="N117"/>
      <c r="O117"/>
    </row>
    <row r="118" spans="2:15" s="11" customFormat="1" ht="30" customHeight="1" x14ac:dyDescent="0.2">
      <c r="B118" s="178" t="s">
        <v>654</v>
      </c>
      <c r="C118" s="179"/>
      <c r="D118" s="179"/>
      <c r="E118" s="179"/>
      <c r="F118" s="179"/>
      <c r="G118" s="180"/>
      <c r="H118" s="121"/>
      <c r="I118"/>
      <c r="J118" s="2"/>
      <c r="K118"/>
      <c r="L118"/>
      <c r="M118"/>
      <c r="N118"/>
      <c r="O118"/>
    </row>
    <row r="119" spans="2:15" s="11" customFormat="1" x14ac:dyDescent="0.2">
      <c r="H119" s="121"/>
      <c r="I119"/>
      <c r="J119" s="2"/>
      <c r="K119"/>
      <c r="L119"/>
      <c r="M119"/>
      <c r="N119"/>
      <c r="O119"/>
    </row>
    <row r="120" spans="2:15" s="11" customFormat="1" x14ac:dyDescent="0.2">
      <c r="B120" s="139" t="s">
        <v>587</v>
      </c>
      <c r="C120" s="140"/>
      <c r="D120" s="141"/>
      <c r="I120"/>
      <c r="J120" s="2"/>
      <c r="K120"/>
      <c r="L120"/>
      <c r="M120"/>
      <c r="N120"/>
      <c r="O120"/>
    </row>
    <row r="121" spans="2:15" s="11" customFormat="1" ht="51" x14ac:dyDescent="0.2">
      <c r="B121" s="129" t="s">
        <v>588</v>
      </c>
      <c r="C121" s="129"/>
      <c r="D121" s="12" t="s">
        <v>489</v>
      </c>
      <c r="I121"/>
      <c r="J121" s="2"/>
      <c r="K121"/>
      <c r="L121"/>
      <c r="M121"/>
      <c r="N121"/>
      <c r="O121"/>
    </row>
    <row r="122" spans="2:15" s="11" customFormat="1" x14ac:dyDescent="0.2">
      <c r="B122" s="142" t="s">
        <v>589</v>
      </c>
      <c r="C122" s="142"/>
      <c r="D122" s="13"/>
      <c r="I122"/>
      <c r="J122" s="2"/>
      <c r="K122"/>
      <c r="L122"/>
      <c r="M122"/>
      <c r="N122"/>
      <c r="O122"/>
    </row>
    <row r="123" spans="2:15" s="11" customFormat="1" x14ac:dyDescent="0.2">
      <c r="B123" s="142"/>
      <c r="C123" s="142"/>
      <c r="D123" s="14"/>
      <c r="I123"/>
      <c r="J123" s="2"/>
      <c r="K123"/>
      <c r="L123"/>
      <c r="M123"/>
      <c r="N123"/>
      <c r="O123"/>
    </row>
    <row r="124" spans="2:15" s="11" customFormat="1" x14ac:dyDescent="0.2">
      <c r="B124" s="142" t="s">
        <v>590</v>
      </c>
      <c r="C124" s="142"/>
      <c r="D124" s="16">
        <v>7.0178700276452526</v>
      </c>
      <c r="I124"/>
      <c r="J124" s="2"/>
      <c r="K124"/>
      <c r="L124"/>
      <c r="M124"/>
      <c r="N124"/>
      <c r="O124"/>
    </row>
    <row r="125" spans="2:15" s="11" customFormat="1" x14ac:dyDescent="0.2">
      <c r="B125" s="142"/>
      <c r="C125" s="142"/>
      <c r="D125" s="14"/>
      <c r="I125"/>
      <c r="J125" s="2"/>
      <c r="K125"/>
      <c r="L125"/>
      <c r="M125"/>
      <c r="N125"/>
      <c r="O125"/>
    </row>
    <row r="126" spans="2:15" s="11" customFormat="1" x14ac:dyDescent="0.2">
      <c r="B126" s="142" t="s">
        <v>591</v>
      </c>
      <c r="C126" s="142"/>
      <c r="D126" s="16">
        <v>3.85737394578473</v>
      </c>
      <c r="I126"/>
      <c r="J126" s="2"/>
      <c r="K126"/>
      <c r="L126"/>
      <c r="M126"/>
      <c r="N126"/>
      <c r="O126"/>
    </row>
    <row r="127" spans="2:15" s="11" customFormat="1" x14ac:dyDescent="0.2">
      <c r="B127" s="142" t="s">
        <v>592</v>
      </c>
      <c r="C127" s="142"/>
      <c r="D127" s="16">
        <v>4.9294509637517461</v>
      </c>
      <c r="I127"/>
      <c r="J127" s="2"/>
      <c r="K127"/>
      <c r="L127"/>
      <c r="M127"/>
      <c r="N127"/>
      <c r="O127"/>
    </row>
    <row r="128" spans="2:15" s="11" customFormat="1" x14ac:dyDescent="0.2">
      <c r="B128" s="142"/>
      <c r="C128" s="142"/>
      <c r="D128" s="14"/>
      <c r="I128"/>
      <c r="J128" s="2"/>
      <c r="K128"/>
      <c r="L128"/>
      <c r="M128"/>
      <c r="N128"/>
      <c r="O128"/>
    </row>
    <row r="129" spans="2:17" s="11" customFormat="1" x14ac:dyDescent="0.2">
      <c r="B129" s="142" t="s">
        <v>593</v>
      </c>
      <c r="C129" s="142"/>
      <c r="D129" s="75" t="s">
        <v>681</v>
      </c>
      <c r="I129"/>
      <c r="J129" s="2"/>
      <c r="K129" s="9"/>
      <c r="L129" s="9"/>
      <c r="M129" s="9"/>
      <c r="N129" s="9"/>
      <c r="O129" s="15"/>
    </row>
    <row r="130" spans="2:17" s="11" customFormat="1" x14ac:dyDescent="0.2">
      <c r="B130" s="143" t="s">
        <v>594</v>
      </c>
      <c r="C130" s="145"/>
      <c r="D130" s="144"/>
      <c r="I130"/>
      <c r="J130" s="2"/>
      <c r="K130"/>
      <c r="L130"/>
      <c r="M130"/>
      <c r="N130"/>
      <c r="O130"/>
      <c r="P130"/>
      <c r="Q130"/>
    </row>
  </sheetData>
  <mergeCells count="36">
    <mergeCell ref="B130:D130"/>
    <mergeCell ref="B125:C125"/>
    <mergeCell ref="B126:C126"/>
    <mergeCell ref="B127:C127"/>
    <mergeCell ref="B128:C128"/>
    <mergeCell ref="B129:C129"/>
    <mergeCell ref="B120:D120"/>
    <mergeCell ref="B121:C121"/>
    <mergeCell ref="B122:C122"/>
    <mergeCell ref="B123:C123"/>
    <mergeCell ref="B124:C124"/>
    <mergeCell ref="B114:G114"/>
    <mergeCell ref="B115:B116"/>
    <mergeCell ref="C115:C116"/>
    <mergeCell ref="D115:F115"/>
    <mergeCell ref="B118:G118"/>
    <mergeCell ref="B108:C108"/>
    <mergeCell ref="A1:H1"/>
    <mergeCell ref="A2:H2"/>
    <mergeCell ref="A3:H3"/>
    <mergeCell ref="B84:H84"/>
    <mergeCell ref="B85:H85"/>
    <mergeCell ref="B86:H86"/>
    <mergeCell ref="B106:C106"/>
    <mergeCell ref="B107:C107"/>
    <mergeCell ref="B88:D88"/>
    <mergeCell ref="B89:C89"/>
    <mergeCell ref="B90:C90"/>
    <mergeCell ref="B91:C91"/>
    <mergeCell ref="B104:C104"/>
    <mergeCell ref="B109:C109"/>
    <mergeCell ref="B111:G111"/>
    <mergeCell ref="D112:E112"/>
    <mergeCell ref="F112:G112"/>
    <mergeCell ref="D113:E113"/>
    <mergeCell ref="F113:G113"/>
  </mergeCells>
  <hyperlinks>
    <hyperlink ref="I1" location="Index!B2" display="Index" xr:uid="{5176FAF7-8A32-4B3D-A777-B8922036DD25}"/>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B9030-04B9-46A3-9A0F-372AD26B994F}">
  <sheetPr>
    <outlinePr summaryBelow="0" summaryRight="0"/>
  </sheetPr>
  <dimension ref="A1:R157"/>
  <sheetViews>
    <sheetView showGridLines="0" workbookViewId="0">
      <selection sqref="A1:XFD1048576"/>
    </sheetView>
  </sheetViews>
  <sheetFormatPr defaultRowHeight="12.75" x14ac:dyDescent="0.2"/>
  <cols>
    <col min="1" max="1" width="5.85546875" bestFit="1" customWidth="1"/>
    <col min="2" max="2" width="20.28515625" bestFit="1" customWidth="1"/>
    <col min="3" max="3" width="39.140625" bestFit="1" customWidth="1"/>
    <col min="4" max="4" width="16.5703125" bestFit="1" customWidth="1"/>
    <col min="5" max="5" width="8.7109375" bestFit="1" customWidth="1"/>
    <col min="6" max="6" width="10.140625" bestFit="1" customWidth="1"/>
    <col min="7" max="7" width="14" bestFit="1" customWidth="1"/>
    <col min="8" max="8" width="16" customWidth="1"/>
    <col min="9" max="9" width="11.28515625" customWidth="1"/>
    <col min="10" max="10" width="50.7109375" style="2" customWidth="1"/>
  </cols>
  <sheetData>
    <row r="1" spans="1:10" ht="15" x14ac:dyDescent="0.2">
      <c r="A1" s="130" t="s">
        <v>0</v>
      </c>
      <c r="B1" s="130"/>
      <c r="C1" s="130"/>
      <c r="D1" s="130"/>
      <c r="E1" s="130"/>
      <c r="F1" s="130"/>
      <c r="G1" s="130"/>
      <c r="H1" s="130"/>
      <c r="I1" s="1" t="s">
        <v>562</v>
      </c>
    </row>
    <row r="2" spans="1:10" ht="15" x14ac:dyDescent="0.2">
      <c r="A2" s="130" t="s">
        <v>493</v>
      </c>
      <c r="B2" s="130"/>
      <c r="C2" s="130"/>
      <c r="D2" s="130"/>
      <c r="E2" s="130"/>
      <c r="F2" s="130"/>
      <c r="G2" s="130"/>
      <c r="H2" s="130"/>
      <c r="J2" s="26" t="s">
        <v>563</v>
      </c>
    </row>
    <row r="3" spans="1:10" ht="15" x14ac:dyDescent="0.2">
      <c r="A3" s="130" t="s">
        <v>579</v>
      </c>
      <c r="B3" s="130"/>
      <c r="C3" s="130"/>
      <c r="D3" s="130"/>
      <c r="E3" s="130"/>
      <c r="F3" s="130"/>
      <c r="G3" s="130"/>
      <c r="H3" s="130"/>
    </row>
    <row r="4" spans="1:10" s="2" customFormat="1" ht="30" x14ac:dyDescent="0.2">
      <c r="A4" s="27" t="s">
        <v>1</v>
      </c>
      <c r="B4" s="27" t="s">
        <v>2</v>
      </c>
      <c r="C4" s="27" t="s">
        <v>3</v>
      </c>
      <c r="D4" s="27" t="s">
        <v>4</v>
      </c>
      <c r="E4" s="27" t="s">
        <v>5</v>
      </c>
      <c r="F4" s="27" t="s">
        <v>6</v>
      </c>
      <c r="G4" s="27" t="s">
        <v>7</v>
      </c>
      <c r="H4" s="28" t="s">
        <v>564</v>
      </c>
    </row>
    <row r="5" spans="1:10" x14ac:dyDescent="0.2">
      <c r="A5" s="29"/>
      <c r="B5" s="29"/>
      <c r="C5" s="30" t="s">
        <v>8</v>
      </c>
      <c r="D5" s="29"/>
      <c r="E5" s="29"/>
      <c r="F5" s="29"/>
      <c r="G5" s="29"/>
      <c r="H5" s="31" t="str">
        <f>IFERROR(VLOOKUP(B5,'[1]Debt Holding Consolidated'!$C$1:$AM$65536,12,FALSE),"")</f>
        <v/>
      </c>
    </row>
    <row r="6" spans="1:10" x14ac:dyDescent="0.2">
      <c r="A6" s="29"/>
      <c r="B6" s="29"/>
      <c r="C6" s="30" t="s">
        <v>9</v>
      </c>
      <c r="D6" s="29"/>
      <c r="E6" s="29"/>
      <c r="F6" s="29"/>
      <c r="G6" s="29"/>
      <c r="H6" s="31" t="str">
        <f>IFERROR(VLOOKUP(B6,'[1]Debt Holding Consolidated'!$C$1:$AM$65536,12,FALSE),"")</f>
        <v/>
      </c>
    </row>
    <row r="7" spans="1:10" x14ac:dyDescent="0.2">
      <c r="A7" s="39">
        <v>1</v>
      </c>
      <c r="B7" s="40" t="s">
        <v>494</v>
      </c>
      <c r="C7" s="40" t="s">
        <v>495</v>
      </c>
      <c r="D7" s="40" t="s">
        <v>496</v>
      </c>
      <c r="E7" s="41">
        <v>4250</v>
      </c>
      <c r="F7" s="42">
        <v>71.941874999999996</v>
      </c>
      <c r="G7" s="43">
        <v>2.6253820000000001E-2</v>
      </c>
      <c r="H7" s="31" t="str">
        <f>IFERROR(VLOOKUP(B7,'[1]Debt Holding Consolidated'!$C$1:$AM$65536,12,FALSE),"")</f>
        <v/>
      </c>
    </row>
    <row r="8" spans="1:10" x14ac:dyDescent="0.2">
      <c r="A8" s="39">
        <v>2</v>
      </c>
      <c r="B8" s="40" t="s">
        <v>497</v>
      </c>
      <c r="C8" s="40" t="s">
        <v>498</v>
      </c>
      <c r="D8" s="40" t="s">
        <v>496</v>
      </c>
      <c r="E8" s="41">
        <v>4200</v>
      </c>
      <c r="F8" s="42">
        <v>52.791899999999998</v>
      </c>
      <c r="G8" s="43">
        <v>1.9265399999999998E-2</v>
      </c>
      <c r="H8" s="31" t="str">
        <f>IFERROR(VLOOKUP(B8,'[1]Debt Holding Consolidated'!$C$1:$AM$65536,12,FALSE),"")</f>
        <v/>
      </c>
    </row>
    <row r="9" spans="1:10" x14ac:dyDescent="0.2">
      <c r="A9" s="39">
        <v>3</v>
      </c>
      <c r="B9" s="40" t="s">
        <v>499</v>
      </c>
      <c r="C9" s="40" t="s">
        <v>500</v>
      </c>
      <c r="D9" s="40" t="s">
        <v>501</v>
      </c>
      <c r="E9" s="41">
        <v>2500</v>
      </c>
      <c r="F9" s="42">
        <v>38.762500000000003</v>
      </c>
      <c r="G9" s="43">
        <v>1.4145639999999999E-2</v>
      </c>
      <c r="H9" s="31" t="str">
        <f>IFERROR(VLOOKUP(B9,'[1]Debt Holding Consolidated'!$C$1:$AM$65536,12,FALSE),"")</f>
        <v/>
      </c>
    </row>
    <row r="10" spans="1:10" x14ac:dyDescent="0.2">
      <c r="A10" s="39">
        <v>4</v>
      </c>
      <c r="B10" s="40" t="s">
        <v>502</v>
      </c>
      <c r="C10" s="40" t="s">
        <v>503</v>
      </c>
      <c r="D10" s="40" t="s">
        <v>504</v>
      </c>
      <c r="E10" s="41">
        <v>3000</v>
      </c>
      <c r="F10" s="42">
        <v>38.027999999999999</v>
      </c>
      <c r="G10" s="43">
        <v>1.38776E-2</v>
      </c>
      <c r="H10" s="31" t="str">
        <f>IFERROR(VLOOKUP(B10,'[1]Debt Holding Consolidated'!$C$1:$AM$65536,12,FALSE),"")</f>
        <v/>
      </c>
    </row>
    <row r="11" spans="1:10" x14ac:dyDescent="0.2">
      <c r="A11" s="39">
        <v>5</v>
      </c>
      <c r="B11" s="40" t="s">
        <v>505</v>
      </c>
      <c r="C11" s="40" t="s">
        <v>506</v>
      </c>
      <c r="D11" s="40" t="s">
        <v>507</v>
      </c>
      <c r="E11" s="41">
        <v>1848</v>
      </c>
      <c r="F11" s="42">
        <v>34.353395999999996</v>
      </c>
      <c r="G11" s="43">
        <v>1.253662E-2</v>
      </c>
      <c r="H11" s="31" t="str">
        <f>IFERROR(VLOOKUP(B11,'[1]Debt Holding Consolidated'!$C$1:$AM$65536,12,FALSE),"")</f>
        <v/>
      </c>
    </row>
    <row r="12" spans="1:10" ht="15" x14ac:dyDescent="0.2">
      <c r="A12" s="39">
        <v>6</v>
      </c>
      <c r="B12" s="40" t="s">
        <v>508</v>
      </c>
      <c r="C12" s="40" t="s">
        <v>509</v>
      </c>
      <c r="D12" s="40" t="s">
        <v>507</v>
      </c>
      <c r="E12" s="41">
        <v>1750</v>
      </c>
      <c r="F12" s="42">
        <v>32.629624999999997</v>
      </c>
      <c r="G12" s="43">
        <v>1.1907559999999999E-2</v>
      </c>
      <c r="H12" s="31" t="str">
        <f>IFERROR(VLOOKUP(B12,'[1]Debt Holding Consolidated'!$C$1:$AM$65536,12,FALSE),"")</f>
        <v/>
      </c>
      <c r="J12" s="36"/>
    </row>
    <row r="13" spans="1:10" ht="25.5" x14ac:dyDescent="0.2">
      <c r="A13" s="39">
        <v>7</v>
      </c>
      <c r="B13" s="50" t="s">
        <v>655</v>
      </c>
      <c r="C13" s="50" t="s">
        <v>656</v>
      </c>
      <c r="D13" s="50" t="s">
        <v>657</v>
      </c>
      <c r="E13" s="122">
        <v>30000</v>
      </c>
      <c r="F13" s="48">
        <v>26.154</v>
      </c>
      <c r="G13" s="52">
        <f>F13/F102</f>
        <v>9.544406300236093E-3</v>
      </c>
      <c r="H13" s="31" t="str">
        <f>IFERROR(VLOOKUP(B13,'[1]Debt Holding Consolidated'!$C$1:$AM$65536,12,FALSE),"")</f>
        <v/>
      </c>
      <c r="J13" s="37"/>
    </row>
    <row r="14" spans="1:10" x14ac:dyDescent="0.2">
      <c r="A14" s="39">
        <v>8</v>
      </c>
      <c r="B14" s="40" t="s">
        <v>510</v>
      </c>
      <c r="C14" s="40" t="s">
        <v>511</v>
      </c>
      <c r="D14" s="40" t="s">
        <v>496</v>
      </c>
      <c r="E14" s="41">
        <v>2000</v>
      </c>
      <c r="F14" s="42">
        <v>22.814</v>
      </c>
      <c r="G14" s="43">
        <v>8.3255399999999993E-3</v>
      </c>
      <c r="H14" s="31" t="str">
        <f>IFERROR(VLOOKUP(B14,'[1]Debt Holding Consolidated'!$C$1:$AM$65536,12,FALSE),"")</f>
        <v/>
      </c>
      <c r="J14" s="37"/>
    </row>
    <row r="15" spans="1:10" x14ac:dyDescent="0.2">
      <c r="A15" s="39">
        <v>9</v>
      </c>
      <c r="B15" s="40" t="s">
        <v>512</v>
      </c>
      <c r="C15" s="40" t="s">
        <v>513</v>
      </c>
      <c r="D15" s="40" t="s">
        <v>514</v>
      </c>
      <c r="E15" s="41">
        <v>600</v>
      </c>
      <c r="F15" s="42">
        <v>21.157499999999999</v>
      </c>
      <c r="G15" s="43">
        <v>7.7210300000000003E-3</v>
      </c>
      <c r="H15" s="31" t="str">
        <f>IFERROR(VLOOKUP(B15,'[1]Debt Holding Consolidated'!$C$1:$AM$65536,12,FALSE),"")</f>
        <v/>
      </c>
    </row>
    <row r="16" spans="1:10" ht="25.5" x14ac:dyDescent="0.2">
      <c r="A16" s="39">
        <v>10</v>
      </c>
      <c r="B16" s="40" t="s">
        <v>515</v>
      </c>
      <c r="C16" s="40" t="s">
        <v>516</v>
      </c>
      <c r="D16" s="40" t="s">
        <v>496</v>
      </c>
      <c r="E16" s="41">
        <v>2600</v>
      </c>
      <c r="F16" s="42">
        <v>20.910499999999999</v>
      </c>
      <c r="G16" s="43">
        <v>7.6308900000000004E-3</v>
      </c>
      <c r="H16" s="31" t="str">
        <f>IFERROR(VLOOKUP(B16,'[1]Debt Holding Consolidated'!$C$1:$AM$65536,12,FALSE),"")</f>
        <v/>
      </c>
      <c r="J16" s="2" t="s">
        <v>665</v>
      </c>
    </row>
    <row r="17" spans="1:10" x14ac:dyDescent="0.2">
      <c r="A17" s="39">
        <v>11</v>
      </c>
      <c r="B17" s="40" t="s">
        <v>517</v>
      </c>
      <c r="C17" s="40" t="s">
        <v>518</v>
      </c>
      <c r="D17" s="40" t="s">
        <v>519</v>
      </c>
      <c r="E17" s="41">
        <v>4000</v>
      </c>
      <c r="F17" s="42">
        <v>18.638000000000002</v>
      </c>
      <c r="G17" s="43">
        <v>6.8015899999999997E-3</v>
      </c>
      <c r="H17" s="31" t="str">
        <f>IFERROR(VLOOKUP(B17,'[1]Debt Holding Consolidated'!$C$1:$AM$65536,12,FALSE),"")</f>
        <v/>
      </c>
    </row>
    <row r="18" spans="1:10" ht="25.5" x14ac:dyDescent="0.2">
      <c r="A18" s="39">
        <v>12</v>
      </c>
      <c r="B18" s="40" t="s">
        <v>520</v>
      </c>
      <c r="C18" s="40" t="s">
        <v>521</v>
      </c>
      <c r="D18" s="40" t="s">
        <v>522</v>
      </c>
      <c r="E18" s="41">
        <v>1000</v>
      </c>
      <c r="F18" s="42">
        <v>17.681999999999999</v>
      </c>
      <c r="G18" s="43">
        <v>6.4527100000000004E-3</v>
      </c>
      <c r="H18" s="31" t="str">
        <f>IFERROR(VLOOKUP(B18,'[1]Debt Holding Consolidated'!$C$1:$AM$65536,12,FALSE),"")</f>
        <v/>
      </c>
    </row>
    <row r="19" spans="1:10" x14ac:dyDescent="0.2">
      <c r="A19" s="39">
        <v>13</v>
      </c>
      <c r="B19" s="40" t="s">
        <v>523</v>
      </c>
      <c r="C19" s="40" t="s">
        <v>524</v>
      </c>
      <c r="D19" s="40" t="s">
        <v>525</v>
      </c>
      <c r="E19" s="41">
        <v>160</v>
      </c>
      <c r="F19" s="42">
        <v>15.17272</v>
      </c>
      <c r="G19" s="43">
        <v>5.5370000000000003E-3</v>
      </c>
      <c r="H19" s="31" t="str">
        <f>IFERROR(VLOOKUP(B19,'[1]Debt Holding Consolidated'!$C$1:$AM$65536,12,FALSE),"")</f>
        <v/>
      </c>
    </row>
    <row r="20" spans="1:10" x14ac:dyDescent="0.2">
      <c r="A20" s="39">
        <v>14</v>
      </c>
      <c r="B20" s="40" t="s">
        <v>526</v>
      </c>
      <c r="C20" s="40" t="s">
        <v>527</v>
      </c>
      <c r="D20" s="40" t="s">
        <v>504</v>
      </c>
      <c r="E20" s="41">
        <v>5000</v>
      </c>
      <c r="F20" s="42">
        <v>14.91</v>
      </c>
      <c r="G20" s="43">
        <v>5.4411199999999998E-3</v>
      </c>
      <c r="H20" s="31" t="str">
        <f>IFERROR(VLOOKUP(B20,'[1]Debt Holding Consolidated'!$C$1:$AM$65536,12,FALSE),"")</f>
        <v/>
      </c>
    </row>
    <row r="21" spans="1:10" x14ac:dyDescent="0.2">
      <c r="A21" s="39">
        <v>15</v>
      </c>
      <c r="B21" s="40" t="s">
        <v>528</v>
      </c>
      <c r="C21" s="40" t="s">
        <v>529</v>
      </c>
      <c r="D21" s="40" t="s">
        <v>530</v>
      </c>
      <c r="E21" s="41">
        <v>2500</v>
      </c>
      <c r="F21" s="42">
        <v>14.391249999999999</v>
      </c>
      <c r="G21" s="43">
        <v>5.25181E-3</v>
      </c>
      <c r="H21" s="31" t="str">
        <f>IFERROR(VLOOKUP(B21,'[1]Debt Holding Consolidated'!$C$1:$AM$65536,12,FALSE),"")</f>
        <v/>
      </c>
    </row>
    <row r="22" spans="1:10" ht="15" x14ac:dyDescent="0.2">
      <c r="A22" s="39">
        <v>16</v>
      </c>
      <c r="B22" s="40" t="s">
        <v>531</v>
      </c>
      <c r="C22" s="40" t="s">
        <v>532</v>
      </c>
      <c r="D22" s="40" t="s">
        <v>533</v>
      </c>
      <c r="E22" s="41">
        <v>2000</v>
      </c>
      <c r="F22" s="42">
        <v>13.878</v>
      </c>
      <c r="G22" s="43">
        <v>5.0645100000000004E-3</v>
      </c>
      <c r="H22" s="31" t="str">
        <f>IFERROR(VLOOKUP(B22,'[1]Debt Holding Consolidated'!$C$1:$AM$65536,12,FALSE),"")</f>
        <v/>
      </c>
      <c r="J22" s="36"/>
    </row>
    <row r="23" spans="1:10" ht="25.5" x14ac:dyDescent="0.2">
      <c r="A23" s="39">
        <v>17</v>
      </c>
      <c r="B23" s="40" t="s">
        <v>534</v>
      </c>
      <c r="C23" s="40" t="s">
        <v>535</v>
      </c>
      <c r="D23" s="40" t="s">
        <v>522</v>
      </c>
      <c r="E23" s="41">
        <v>250</v>
      </c>
      <c r="F23" s="42">
        <v>13.812374999999999</v>
      </c>
      <c r="G23" s="43">
        <v>5.0405600000000004E-3</v>
      </c>
      <c r="H23" s="31" t="str">
        <f>IFERROR(VLOOKUP(B23,'[1]Debt Holding Consolidated'!$C$1:$AM$65536,12,FALSE),"")</f>
        <v/>
      </c>
      <c r="J23" s="37"/>
    </row>
    <row r="24" spans="1:10" ht="25.5" x14ac:dyDescent="0.2">
      <c r="A24" s="39">
        <v>18</v>
      </c>
      <c r="B24" s="40" t="s">
        <v>536</v>
      </c>
      <c r="C24" s="40" t="s">
        <v>537</v>
      </c>
      <c r="D24" s="40" t="s">
        <v>538</v>
      </c>
      <c r="E24" s="41">
        <v>320</v>
      </c>
      <c r="F24" s="42">
        <v>13.6488</v>
      </c>
      <c r="G24" s="43">
        <v>4.9808700000000001E-3</v>
      </c>
      <c r="H24" s="31" t="str">
        <f>IFERROR(VLOOKUP(B24,'[1]Debt Holding Consolidated'!$C$1:$AM$65536,12,FALSE),"")</f>
        <v/>
      </c>
    </row>
    <row r="25" spans="1:10" ht="25.5" x14ac:dyDescent="0.2">
      <c r="A25" s="39">
        <v>19</v>
      </c>
      <c r="B25" s="40" t="s">
        <v>539</v>
      </c>
      <c r="C25" s="40" t="s">
        <v>540</v>
      </c>
      <c r="D25" s="40" t="s">
        <v>541</v>
      </c>
      <c r="E25" s="41">
        <v>125</v>
      </c>
      <c r="F25" s="42">
        <v>13.410625</v>
      </c>
      <c r="G25" s="43">
        <v>4.8939500000000002E-3</v>
      </c>
      <c r="H25" s="31" t="str">
        <f>IFERROR(VLOOKUP(B25,'[1]Debt Holding Consolidated'!$C$1:$AM$65536,12,FALSE),"")</f>
        <v/>
      </c>
    </row>
    <row r="26" spans="1:10" x14ac:dyDescent="0.2">
      <c r="A26" s="39">
        <v>20</v>
      </c>
      <c r="B26" s="40" t="s">
        <v>542</v>
      </c>
      <c r="C26" s="40" t="s">
        <v>543</v>
      </c>
      <c r="D26" s="40" t="s">
        <v>530</v>
      </c>
      <c r="E26" s="41">
        <v>900</v>
      </c>
      <c r="F26" s="42">
        <v>12.98115</v>
      </c>
      <c r="G26" s="43">
        <v>4.7372300000000003E-3</v>
      </c>
      <c r="H26" s="31" t="str">
        <f>IFERROR(VLOOKUP(B26,'[1]Debt Holding Consolidated'!$C$1:$AM$65536,12,FALSE),"")</f>
        <v/>
      </c>
    </row>
    <row r="27" spans="1:10" x14ac:dyDescent="0.2">
      <c r="A27" s="39">
        <v>21</v>
      </c>
      <c r="B27" s="40" t="s">
        <v>544</v>
      </c>
      <c r="C27" s="40" t="s">
        <v>545</v>
      </c>
      <c r="D27" s="40" t="s">
        <v>546</v>
      </c>
      <c r="E27" s="41">
        <v>2000</v>
      </c>
      <c r="F27" s="42">
        <v>12.163</v>
      </c>
      <c r="G27" s="43">
        <v>4.4386599999999997E-3</v>
      </c>
      <c r="H27" s="31" t="str">
        <f>IFERROR(VLOOKUP(B27,'[1]Debt Holding Consolidated'!$C$1:$AM$65536,12,FALSE),"")</f>
        <v/>
      </c>
    </row>
    <row r="28" spans="1:10" ht="25.5" x14ac:dyDescent="0.2">
      <c r="A28" s="39">
        <v>22</v>
      </c>
      <c r="B28" s="40" t="s">
        <v>547</v>
      </c>
      <c r="C28" s="40" t="s">
        <v>548</v>
      </c>
      <c r="D28" s="40" t="s">
        <v>549</v>
      </c>
      <c r="E28" s="41">
        <v>2000</v>
      </c>
      <c r="F28" s="42">
        <v>11.845000000000001</v>
      </c>
      <c r="G28" s="43">
        <v>4.3226100000000002E-3</v>
      </c>
      <c r="H28" s="31" t="str">
        <f>IFERROR(VLOOKUP(B28,'[1]Debt Holding Consolidated'!$C$1:$AM$65536,12,FALSE),"")</f>
        <v/>
      </c>
      <c r="J28" s="37"/>
    </row>
    <row r="29" spans="1:10" ht="25.5" x14ac:dyDescent="0.2">
      <c r="A29" s="39">
        <v>23</v>
      </c>
      <c r="B29" s="40" t="s">
        <v>550</v>
      </c>
      <c r="C29" s="40" t="s">
        <v>551</v>
      </c>
      <c r="D29" s="40" t="s">
        <v>541</v>
      </c>
      <c r="E29" s="41">
        <v>450</v>
      </c>
      <c r="F29" s="42">
        <v>11.357775</v>
      </c>
      <c r="G29" s="43">
        <v>4.1448099999999996E-3</v>
      </c>
      <c r="H29" s="31" t="str">
        <f>IFERROR(VLOOKUP(B29,'[1]Debt Holding Consolidated'!$C$1:$AM$65536,12,FALSE),"")</f>
        <v/>
      </c>
    </row>
    <row r="30" spans="1:10" x14ac:dyDescent="0.2">
      <c r="A30" s="39">
        <v>24</v>
      </c>
      <c r="B30" s="40" t="s">
        <v>552</v>
      </c>
      <c r="C30" s="40" t="s">
        <v>553</v>
      </c>
      <c r="D30" s="40" t="s">
        <v>525</v>
      </c>
      <c r="E30" s="41">
        <v>100</v>
      </c>
      <c r="F30" s="42">
        <v>11.00605</v>
      </c>
      <c r="G30" s="43">
        <v>4.0164500000000004E-3</v>
      </c>
      <c r="H30" s="31" t="str">
        <f>IFERROR(VLOOKUP(B30,'[1]Debt Holding Consolidated'!$C$1:$AM$65536,12,FALSE),"")</f>
        <v/>
      </c>
    </row>
    <row r="31" spans="1:10" x14ac:dyDescent="0.2">
      <c r="A31" s="39">
        <v>25</v>
      </c>
      <c r="B31" s="40" t="s">
        <v>554</v>
      </c>
      <c r="C31" s="40" t="s">
        <v>555</v>
      </c>
      <c r="D31" s="40" t="s">
        <v>496</v>
      </c>
      <c r="E31" s="41">
        <v>4000</v>
      </c>
      <c r="F31" s="42">
        <v>9.66</v>
      </c>
      <c r="G31" s="43">
        <v>3.5252299999999999E-3</v>
      </c>
      <c r="H31" s="31" t="str">
        <f>IFERROR(VLOOKUP(B31,'[1]Debt Holding Consolidated'!$C$1:$AM$65536,12,FALSE),"")</f>
        <v/>
      </c>
    </row>
    <row r="32" spans="1:10" x14ac:dyDescent="0.2">
      <c r="A32" s="39">
        <v>26</v>
      </c>
      <c r="B32" s="40" t="s">
        <v>556</v>
      </c>
      <c r="C32" s="40" t="s">
        <v>557</v>
      </c>
      <c r="D32" s="40" t="s">
        <v>558</v>
      </c>
      <c r="E32" s="41">
        <v>2000</v>
      </c>
      <c r="F32" s="42">
        <v>9.5060000000000002</v>
      </c>
      <c r="G32" s="43">
        <v>3.4690300000000001E-3</v>
      </c>
      <c r="H32" s="31" t="str">
        <f>IFERROR(VLOOKUP(B32,'[1]Debt Holding Consolidated'!$C$1:$AM$65536,12,FALSE),"")</f>
        <v/>
      </c>
    </row>
    <row r="33" spans="1:8" x14ac:dyDescent="0.2">
      <c r="A33" s="39">
        <v>27</v>
      </c>
      <c r="B33" s="40" t="s">
        <v>559</v>
      </c>
      <c r="C33" s="50" t="s">
        <v>658</v>
      </c>
      <c r="D33" s="40" t="s">
        <v>501</v>
      </c>
      <c r="E33" s="41">
        <v>218</v>
      </c>
      <c r="F33" s="42">
        <v>2.4763709999999999</v>
      </c>
      <c r="G33" s="43">
        <v>9.0370999999999995E-4</v>
      </c>
      <c r="H33" s="31" t="str">
        <f>IFERROR(VLOOKUP(B33,'[1]Debt Holding Consolidated'!$C$1:$AM$65536,12,FALSE),"")</f>
        <v/>
      </c>
    </row>
    <row r="34" spans="1:8" x14ac:dyDescent="0.2">
      <c r="A34" s="29"/>
      <c r="B34" s="29"/>
      <c r="C34" s="30" t="s">
        <v>10</v>
      </c>
      <c r="D34" s="29"/>
      <c r="E34" s="29" t="s">
        <v>11</v>
      </c>
      <c r="F34" s="38">
        <f>SUM(F7:F33)</f>
        <v>576.08241199999986</v>
      </c>
      <c r="G34" s="33">
        <f>SUM(G7:G33)</f>
        <v>0.21023035630023609</v>
      </c>
      <c r="H34" s="31" t="str">
        <f>IFERROR(VLOOKUP(B34,'[1]Debt Holding Consolidated'!$C$1:$AM$65536,12,FALSE),"")</f>
        <v/>
      </c>
    </row>
    <row r="35" spans="1:8" x14ac:dyDescent="0.2">
      <c r="A35" s="29"/>
      <c r="B35" s="29"/>
      <c r="C35" s="34"/>
      <c r="D35" s="29"/>
      <c r="E35" s="29"/>
      <c r="F35" s="35"/>
      <c r="G35" s="35"/>
      <c r="H35" s="31" t="str">
        <f>IFERROR(VLOOKUP(B35,'[1]Debt Holding Consolidated'!$C$1:$AM$65536,12,FALSE),"")</f>
        <v/>
      </c>
    </row>
    <row r="36" spans="1:8" x14ac:dyDescent="0.2">
      <c r="A36" s="29"/>
      <c r="B36" s="29"/>
      <c r="C36" s="30" t="s">
        <v>13</v>
      </c>
      <c r="D36" s="29"/>
      <c r="E36" s="29"/>
      <c r="F36" s="29"/>
      <c r="G36" s="29"/>
      <c r="H36" s="31" t="str">
        <f>IFERROR(VLOOKUP(B36,'[1]Debt Holding Consolidated'!$C$1:$AM$65536,12,FALSE),"")</f>
        <v/>
      </c>
    </row>
    <row r="37" spans="1:8" x14ac:dyDescent="0.2">
      <c r="A37" s="29"/>
      <c r="B37" s="29"/>
      <c r="C37" s="30" t="s">
        <v>10</v>
      </c>
      <c r="D37" s="29"/>
      <c r="E37" s="29" t="s">
        <v>11</v>
      </c>
      <c r="F37" s="32" t="s">
        <v>12</v>
      </c>
      <c r="G37" s="33">
        <v>0</v>
      </c>
      <c r="H37" s="31" t="str">
        <f>IFERROR(VLOOKUP(B37,'[1]Debt Holding Consolidated'!$C$1:$AM$65536,12,FALSE),"")</f>
        <v/>
      </c>
    </row>
    <row r="38" spans="1:8" x14ac:dyDescent="0.2">
      <c r="A38" s="29"/>
      <c r="B38" s="29"/>
      <c r="C38" s="34"/>
      <c r="D38" s="29"/>
      <c r="E38" s="29"/>
      <c r="F38" s="35"/>
      <c r="G38" s="35"/>
      <c r="H38" s="31" t="str">
        <f>IFERROR(VLOOKUP(B38,'[1]Debt Holding Consolidated'!$C$1:$AM$65536,12,FALSE),"")</f>
        <v/>
      </c>
    </row>
    <row r="39" spans="1:8" x14ac:dyDescent="0.2">
      <c r="A39" s="29"/>
      <c r="B39" s="29"/>
      <c r="C39" s="30" t="s">
        <v>14</v>
      </c>
      <c r="D39" s="29"/>
      <c r="E39" s="29"/>
      <c r="F39" s="29"/>
      <c r="G39" s="29"/>
      <c r="H39" s="31" t="str">
        <f>IFERROR(VLOOKUP(B39,'[1]Debt Holding Consolidated'!$C$1:$AM$65536,12,FALSE),"")</f>
        <v/>
      </c>
    </row>
    <row r="40" spans="1:8" x14ac:dyDescent="0.2">
      <c r="A40" s="29"/>
      <c r="B40" s="29"/>
      <c r="C40" s="30" t="s">
        <v>10</v>
      </c>
      <c r="D40" s="29"/>
      <c r="E40" s="29" t="s">
        <v>11</v>
      </c>
      <c r="F40" s="32" t="s">
        <v>12</v>
      </c>
      <c r="G40" s="33">
        <v>0</v>
      </c>
      <c r="H40" s="31" t="str">
        <f>IFERROR(VLOOKUP(B40,'[1]Debt Holding Consolidated'!$C$1:$AM$65536,12,FALSE),"")</f>
        <v/>
      </c>
    </row>
    <row r="41" spans="1:8" x14ac:dyDescent="0.2">
      <c r="A41" s="29"/>
      <c r="B41" s="29"/>
      <c r="C41" s="34"/>
      <c r="D41" s="29"/>
      <c r="E41" s="29"/>
      <c r="F41" s="35"/>
      <c r="G41" s="35"/>
      <c r="H41" s="31" t="str">
        <f>IFERROR(VLOOKUP(B41,'[1]Debt Holding Consolidated'!$C$1:$AM$65536,12,FALSE),"")</f>
        <v/>
      </c>
    </row>
    <row r="42" spans="1:8" x14ac:dyDescent="0.2">
      <c r="A42" s="29"/>
      <c r="B42" s="29"/>
      <c r="C42" s="30" t="s">
        <v>15</v>
      </c>
      <c r="D42" s="29"/>
      <c r="E42" s="29"/>
      <c r="F42" s="29"/>
      <c r="G42" s="29"/>
      <c r="H42" s="31" t="str">
        <f>IFERROR(VLOOKUP(B42,'[1]Debt Holding Consolidated'!$C$1:$AM$65536,12,FALSE),"")</f>
        <v/>
      </c>
    </row>
    <row r="43" spans="1:8" x14ac:dyDescent="0.2">
      <c r="A43" s="29"/>
      <c r="B43" s="29"/>
      <c r="C43" s="30" t="s">
        <v>10</v>
      </c>
      <c r="D43" s="29"/>
      <c r="E43" s="29" t="s">
        <v>11</v>
      </c>
      <c r="F43" s="32" t="s">
        <v>12</v>
      </c>
      <c r="G43" s="33">
        <v>0</v>
      </c>
      <c r="H43" s="31" t="str">
        <f>IFERROR(VLOOKUP(B43,'[1]Debt Holding Consolidated'!$C$1:$AM$65536,12,FALSE),"")</f>
        <v/>
      </c>
    </row>
    <row r="44" spans="1:8" x14ac:dyDescent="0.2">
      <c r="A44" s="29"/>
      <c r="B44" s="29"/>
      <c r="C44" s="34"/>
      <c r="D44" s="29"/>
      <c r="E44" s="29"/>
      <c r="F44" s="35"/>
      <c r="G44" s="35"/>
      <c r="H44" s="31" t="str">
        <f>IFERROR(VLOOKUP(B44,'[1]Debt Holding Consolidated'!$C$1:$AM$65536,12,FALSE),"")</f>
        <v/>
      </c>
    </row>
    <row r="45" spans="1:8" x14ac:dyDescent="0.2">
      <c r="A45" s="29"/>
      <c r="B45" s="29"/>
      <c r="C45" s="30" t="s">
        <v>16</v>
      </c>
      <c r="D45" s="29"/>
      <c r="E45" s="29"/>
      <c r="F45" s="35"/>
      <c r="G45" s="35"/>
      <c r="H45" s="31" t="str">
        <f>IFERROR(VLOOKUP(B45,'[1]Debt Holding Consolidated'!$C$1:$AM$65536,12,FALSE),"")</f>
        <v/>
      </c>
    </row>
    <row r="46" spans="1:8" x14ac:dyDescent="0.2">
      <c r="A46" s="29"/>
      <c r="B46" s="29"/>
      <c r="C46" s="30" t="s">
        <v>10</v>
      </c>
      <c r="D46" s="29"/>
      <c r="E46" s="29" t="s">
        <v>11</v>
      </c>
      <c r="F46" s="32" t="s">
        <v>12</v>
      </c>
      <c r="G46" s="33">
        <v>0</v>
      </c>
      <c r="H46" s="31" t="str">
        <f>IFERROR(VLOOKUP(B46,'[1]Debt Holding Consolidated'!$C$1:$AM$65536,12,FALSE),"")</f>
        <v/>
      </c>
    </row>
    <row r="47" spans="1:8" x14ac:dyDescent="0.2">
      <c r="A47" s="29"/>
      <c r="B47" s="29"/>
      <c r="C47" s="34"/>
      <c r="D47" s="29"/>
      <c r="E47" s="29"/>
      <c r="F47" s="35"/>
      <c r="G47" s="35"/>
      <c r="H47" s="31" t="str">
        <f>IFERROR(VLOOKUP(B47,'[1]Debt Holding Consolidated'!$C$1:$AM$65536,12,FALSE),"")</f>
        <v/>
      </c>
    </row>
    <row r="48" spans="1:8" x14ac:dyDescent="0.2">
      <c r="A48" s="29"/>
      <c r="B48" s="29"/>
      <c r="C48" s="30" t="s">
        <v>17</v>
      </c>
      <c r="D48" s="29"/>
      <c r="E48" s="29"/>
      <c r="F48" s="35"/>
      <c r="G48" s="35"/>
      <c r="H48" s="31" t="str">
        <f>IFERROR(VLOOKUP(B48,'[1]Debt Holding Consolidated'!$C$1:$AM$65536,12,FALSE),"")</f>
        <v/>
      </c>
    </row>
    <row r="49" spans="1:8" x14ac:dyDescent="0.2">
      <c r="A49" s="29"/>
      <c r="B49" s="29"/>
      <c r="C49" s="30" t="s">
        <v>10</v>
      </c>
      <c r="D49" s="29"/>
      <c r="E49" s="29" t="s">
        <v>11</v>
      </c>
      <c r="F49" s="32" t="s">
        <v>12</v>
      </c>
      <c r="G49" s="33">
        <v>0</v>
      </c>
      <c r="H49" s="31" t="str">
        <f>IFERROR(VLOOKUP(B49,'[1]Debt Holding Consolidated'!$C$1:$AM$65536,12,FALSE),"")</f>
        <v/>
      </c>
    </row>
    <row r="50" spans="1:8" x14ac:dyDescent="0.2">
      <c r="A50" s="29"/>
      <c r="B50" s="29"/>
      <c r="C50" s="34"/>
      <c r="D50" s="29"/>
      <c r="E50" s="29"/>
      <c r="F50" s="35"/>
      <c r="G50" s="35"/>
      <c r="H50" s="31" t="str">
        <f>IFERROR(VLOOKUP(B50,'[1]Debt Holding Consolidated'!$C$1:$AM$65536,12,FALSE),"")</f>
        <v/>
      </c>
    </row>
    <row r="51" spans="1:8" x14ac:dyDescent="0.2">
      <c r="A51" s="29"/>
      <c r="B51" s="29"/>
      <c r="C51" s="30" t="s">
        <v>18</v>
      </c>
      <c r="D51" s="29"/>
      <c r="E51" s="29"/>
      <c r="F51" s="38">
        <f>F34</f>
        <v>576.08241199999986</v>
      </c>
      <c r="G51" s="33">
        <f>G34</f>
        <v>0.21023035630023609</v>
      </c>
      <c r="H51" s="31" t="str">
        <f>IFERROR(VLOOKUP(B51,'[1]Debt Holding Consolidated'!$C$1:$AM$65536,12,FALSE),"")</f>
        <v/>
      </c>
    </row>
    <row r="52" spans="1:8" x14ac:dyDescent="0.2">
      <c r="A52" s="29"/>
      <c r="B52" s="29"/>
      <c r="C52" s="34"/>
      <c r="D52" s="29"/>
      <c r="E52" s="29"/>
      <c r="F52" s="35"/>
      <c r="G52" s="35"/>
      <c r="H52" s="31" t="str">
        <f>IFERROR(VLOOKUP(B52,'[1]Debt Holding Consolidated'!$C$1:$AM$65536,12,FALSE),"")</f>
        <v/>
      </c>
    </row>
    <row r="53" spans="1:8" x14ac:dyDescent="0.2">
      <c r="A53" s="29"/>
      <c r="B53" s="29"/>
      <c r="C53" s="30" t="s">
        <v>19</v>
      </c>
      <c r="D53" s="29"/>
      <c r="E53" s="29"/>
      <c r="F53" s="35"/>
      <c r="G53" s="35"/>
      <c r="H53" s="31" t="str">
        <f>IFERROR(VLOOKUP(B53,'[1]Debt Holding Consolidated'!$C$1:$AM$65536,12,FALSE),"")</f>
        <v/>
      </c>
    </row>
    <row r="54" spans="1:8" x14ac:dyDescent="0.2">
      <c r="A54" s="29"/>
      <c r="B54" s="29"/>
      <c r="C54" s="30" t="s">
        <v>9</v>
      </c>
      <c r="D54" s="29"/>
      <c r="E54" s="29"/>
      <c r="F54" s="35"/>
      <c r="G54" s="35"/>
      <c r="H54" s="31" t="str">
        <f>IFERROR(VLOOKUP(B54,'[1]Debt Holding Consolidated'!$C$1:$AM$65536,12,FALSE),"")</f>
        <v/>
      </c>
    </row>
    <row r="55" spans="1:8" x14ac:dyDescent="0.2">
      <c r="A55" s="29"/>
      <c r="B55" s="29"/>
      <c r="C55" s="30" t="s">
        <v>10</v>
      </c>
      <c r="D55" s="29"/>
      <c r="E55" s="29" t="s">
        <v>11</v>
      </c>
      <c r="F55" s="32" t="s">
        <v>12</v>
      </c>
      <c r="G55" s="33">
        <v>0</v>
      </c>
      <c r="H55" s="31" t="str">
        <f>IFERROR(VLOOKUP(B55,'[1]Debt Holding Consolidated'!$C$1:$AM$65536,12,FALSE),"")</f>
        <v/>
      </c>
    </row>
    <row r="56" spans="1:8" x14ac:dyDescent="0.2">
      <c r="A56" s="29"/>
      <c r="B56" s="29"/>
      <c r="C56" s="34"/>
      <c r="D56" s="29"/>
      <c r="E56" s="29"/>
      <c r="F56" s="35"/>
      <c r="G56" s="35"/>
      <c r="H56" s="31" t="str">
        <f>IFERROR(VLOOKUP(B56,'[1]Debt Holding Consolidated'!$C$1:$AM$65536,12,FALSE),"")</f>
        <v/>
      </c>
    </row>
    <row r="57" spans="1:8" x14ac:dyDescent="0.2">
      <c r="A57" s="29"/>
      <c r="B57" s="29"/>
      <c r="C57" s="30" t="s">
        <v>70</v>
      </c>
      <c r="D57" s="29"/>
      <c r="E57" s="29"/>
      <c r="F57" s="29"/>
      <c r="G57" s="29"/>
      <c r="H57" s="31" t="str">
        <f>IFERROR(VLOOKUP(B57,'[1]Debt Holding Consolidated'!$C$1:$AM$65536,12,FALSE),"")</f>
        <v/>
      </c>
    </row>
    <row r="58" spans="1:8" x14ac:dyDescent="0.2">
      <c r="A58" s="29"/>
      <c r="B58" s="29"/>
      <c r="C58" s="30" t="s">
        <v>10</v>
      </c>
      <c r="D58" s="29"/>
      <c r="E58" s="29" t="s">
        <v>11</v>
      </c>
      <c r="F58" s="32" t="s">
        <v>12</v>
      </c>
      <c r="G58" s="33">
        <v>0</v>
      </c>
      <c r="H58" s="31" t="str">
        <f>IFERROR(VLOOKUP(B58,'[1]Debt Holding Consolidated'!$C$1:$AM$65536,12,FALSE),"")</f>
        <v/>
      </c>
    </row>
    <row r="59" spans="1:8" x14ac:dyDescent="0.2">
      <c r="A59" s="29"/>
      <c r="B59" s="29"/>
      <c r="C59" s="34"/>
      <c r="D59" s="29"/>
      <c r="E59" s="29"/>
      <c r="F59" s="35"/>
      <c r="G59" s="35"/>
      <c r="H59" s="31" t="str">
        <f>IFERROR(VLOOKUP(B59,'[1]Debt Holding Consolidated'!$C$1:$AM$65536,12,FALSE),"")</f>
        <v/>
      </c>
    </row>
    <row r="60" spans="1:8" x14ac:dyDescent="0.2">
      <c r="A60" s="29"/>
      <c r="B60" s="29"/>
      <c r="C60" s="30" t="s">
        <v>71</v>
      </c>
      <c r="D60" s="29"/>
      <c r="E60" s="29"/>
      <c r="F60" s="29"/>
      <c r="G60" s="29"/>
      <c r="H60" s="31" t="str">
        <f>IFERROR(VLOOKUP(B60,'[1]Debt Holding Consolidated'!$C$1:$AM$65536,12,FALSE),"")</f>
        <v/>
      </c>
    </row>
    <row r="61" spans="1:8" ht="25.5" x14ac:dyDescent="0.2">
      <c r="A61" s="39">
        <v>1</v>
      </c>
      <c r="B61" s="40" t="s">
        <v>72</v>
      </c>
      <c r="C61" s="40" t="s">
        <v>73</v>
      </c>
      <c r="D61" s="40" t="s">
        <v>74</v>
      </c>
      <c r="E61" s="41">
        <v>600000</v>
      </c>
      <c r="F61" s="42">
        <v>609.64319999999998</v>
      </c>
      <c r="G61" s="43">
        <v>0.22247771999999999</v>
      </c>
      <c r="H61" s="31">
        <f>IFERROR(VLOOKUP(B61,'[1]Debt Holding Consolidated'!$C$1:$AM$65536,12,FALSE),"")</f>
        <v>6.9813999999999998</v>
      </c>
    </row>
    <row r="62" spans="1:8" x14ac:dyDescent="0.2">
      <c r="A62" s="39">
        <v>2</v>
      </c>
      <c r="B62" s="40" t="s">
        <v>77</v>
      </c>
      <c r="C62" s="40" t="s">
        <v>78</v>
      </c>
      <c r="D62" s="40" t="s">
        <v>74</v>
      </c>
      <c r="E62" s="41">
        <v>500000</v>
      </c>
      <c r="F62" s="42">
        <v>516.59299999999996</v>
      </c>
      <c r="G62" s="43">
        <v>0.18852082000000001</v>
      </c>
      <c r="H62" s="31">
        <f>IFERROR(VLOOKUP(B62,'[1]Debt Holding Consolidated'!$C$1:$AM$65536,12,FALSE),"")</f>
        <v>7.1519000000000004</v>
      </c>
    </row>
    <row r="63" spans="1:8" x14ac:dyDescent="0.2">
      <c r="A63" s="29"/>
      <c r="B63" s="29"/>
      <c r="C63" s="30" t="s">
        <v>10</v>
      </c>
      <c r="D63" s="29"/>
      <c r="E63" s="29" t="s">
        <v>11</v>
      </c>
      <c r="F63" s="38">
        <v>1126.2362000000001</v>
      </c>
      <c r="G63" s="33">
        <v>0.41099854000000002</v>
      </c>
      <c r="H63" s="31" t="str">
        <f>IFERROR(VLOOKUP(B63,'[1]Debt Holding Consolidated'!$C$1:$AM$65536,12,FALSE),"")</f>
        <v/>
      </c>
    </row>
    <row r="64" spans="1:8" x14ac:dyDescent="0.2">
      <c r="A64" s="29"/>
      <c r="B64" s="29"/>
      <c r="C64" s="34"/>
      <c r="D64" s="29"/>
      <c r="E64" s="29"/>
      <c r="F64" s="35"/>
      <c r="G64" s="35"/>
      <c r="H64" s="31" t="str">
        <f>IFERROR(VLOOKUP(B64,'[1]Debt Holding Consolidated'!$C$1:$AM$65536,12,FALSE),"")</f>
        <v/>
      </c>
    </row>
    <row r="65" spans="1:8" x14ac:dyDescent="0.2">
      <c r="A65" s="29"/>
      <c r="B65" s="29"/>
      <c r="C65" s="30" t="s">
        <v>87</v>
      </c>
      <c r="D65" s="29"/>
      <c r="E65" s="29"/>
      <c r="F65" s="35"/>
      <c r="G65" s="35"/>
      <c r="H65" s="31" t="str">
        <f>IFERROR(VLOOKUP(B65,'[1]Debt Holding Consolidated'!$C$1:$AM$65536,12,FALSE),"")</f>
        <v/>
      </c>
    </row>
    <row r="66" spans="1:8" x14ac:dyDescent="0.2">
      <c r="A66" s="29"/>
      <c r="B66" s="29"/>
      <c r="C66" s="30" t="s">
        <v>10</v>
      </c>
      <c r="D66" s="29"/>
      <c r="E66" s="29" t="s">
        <v>11</v>
      </c>
      <c r="F66" s="32" t="s">
        <v>12</v>
      </c>
      <c r="G66" s="33">
        <v>0</v>
      </c>
      <c r="H66" s="31" t="str">
        <f>IFERROR(VLOOKUP(B66,'[1]Debt Holding Consolidated'!$C$1:$AM$65536,12,FALSE),"")</f>
        <v/>
      </c>
    </row>
    <row r="67" spans="1:8" x14ac:dyDescent="0.2">
      <c r="A67" s="29"/>
      <c r="B67" s="29"/>
      <c r="C67" s="34"/>
      <c r="D67" s="29"/>
      <c r="E67" s="29"/>
      <c r="F67" s="35"/>
      <c r="G67" s="35"/>
      <c r="H67" s="31" t="str">
        <f>IFERROR(VLOOKUP(B67,'[1]Debt Holding Consolidated'!$C$1:$AM$65536,12,FALSE),"")</f>
        <v/>
      </c>
    </row>
    <row r="68" spans="1:8" x14ac:dyDescent="0.2">
      <c r="A68" s="29"/>
      <c r="B68" s="29"/>
      <c r="C68" s="30" t="s">
        <v>88</v>
      </c>
      <c r="D68" s="29"/>
      <c r="E68" s="29"/>
      <c r="F68" s="38">
        <v>1126.2362000000001</v>
      </c>
      <c r="G68" s="33">
        <v>0.41099854000000002</v>
      </c>
      <c r="H68" s="31" t="str">
        <f>IFERROR(VLOOKUP(B68,'[1]Debt Holding Consolidated'!$C$1:$AM$65536,12,FALSE),"")</f>
        <v/>
      </c>
    </row>
    <row r="69" spans="1:8" x14ac:dyDescent="0.2">
      <c r="A69" s="29"/>
      <c r="B69" s="29"/>
      <c r="C69" s="34"/>
      <c r="D69" s="29"/>
      <c r="E69" s="29"/>
      <c r="F69" s="35"/>
      <c r="G69" s="35"/>
      <c r="H69" s="31" t="str">
        <f>IFERROR(VLOOKUP(B69,'[1]Debt Holding Consolidated'!$C$1:$AM$65536,12,FALSE),"")</f>
        <v/>
      </c>
    </row>
    <row r="70" spans="1:8" x14ac:dyDescent="0.2">
      <c r="A70" s="29"/>
      <c r="B70" s="29"/>
      <c r="C70" s="30" t="s">
        <v>89</v>
      </c>
      <c r="D70" s="29"/>
      <c r="E70" s="29"/>
      <c r="F70" s="35"/>
      <c r="G70" s="35"/>
      <c r="H70" s="31" t="str">
        <f>IFERROR(VLOOKUP(B70,'[1]Debt Holding Consolidated'!$C$1:$AM$65536,12,FALSE),"")</f>
        <v/>
      </c>
    </row>
    <row r="71" spans="1:8" x14ac:dyDescent="0.2">
      <c r="A71" s="29"/>
      <c r="B71" s="29"/>
      <c r="C71" s="30" t="s">
        <v>90</v>
      </c>
      <c r="D71" s="29"/>
      <c r="E71" s="29"/>
      <c r="F71" s="35"/>
      <c r="G71" s="35"/>
      <c r="H71" s="31" t="str">
        <f>IFERROR(VLOOKUP(B71,'[1]Debt Holding Consolidated'!$C$1:$AM$65536,12,FALSE),"")</f>
        <v/>
      </c>
    </row>
    <row r="72" spans="1:8" x14ac:dyDescent="0.2">
      <c r="A72" s="29"/>
      <c r="B72" s="29"/>
      <c r="C72" s="30" t="s">
        <v>10</v>
      </c>
      <c r="D72" s="29"/>
      <c r="E72" s="29" t="s">
        <v>11</v>
      </c>
      <c r="F72" s="32" t="s">
        <v>12</v>
      </c>
      <c r="G72" s="33">
        <v>0</v>
      </c>
      <c r="H72" s="31" t="str">
        <f>IFERROR(VLOOKUP(B72,'[1]Debt Holding Consolidated'!$C$1:$AM$65536,12,FALSE),"")</f>
        <v/>
      </c>
    </row>
    <row r="73" spans="1:8" x14ac:dyDescent="0.2">
      <c r="A73" s="29"/>
      <c r="B73" s="29"/>
      <c r="C73" s="34"/>
      <c r="D73" s="29"/>
      <c r="E73" s="29"/>
      <c r="F73" s="35"/>
      <c r="G73" s="35"/>
      <c r="H73" s="31" t="str">
        <f>IFERROR(VLOOKUP(B73,'[1]Debt Holding Consolidated'!$C$1:$AM$65536,12,FALSE),"")</f>
        <v/>
      </c>
    </row>
    <row r="74" spans="1:8" x14ac:dyDescent="0.2">
      <c r="A74" s="29"/>
      <c r="B74" s="29"/>
      <c r="C74" s="30" t="s">
        <v>91</v>
      </c>
      <c r="D74" s="29"/>
      <c r="E74" s="29"/>
      <c r="F74" s="35"/>
      <c r="G74" s="35"/>
      <c r="H74" s="31" t="str">
        <f>IFERROR(VLOOKUP(B74,'[1]Debt Holding Consolidated'!$C$1:$AM$65536,12,FALSE),"")</f>
        <v/>
      </c>
    </row>
    <row r="75" spans="1:8" x14ac:dyDescent="0.2">
      <c r="A75" s="29"/>
      <c r="B75" s="29"/>
      <c r="C75" s="30" t="s">
        <v>10</v>
      </c>
      <c r="D75" s="29"/>
      <c r="E75" s="29" t="s">
        <v>11</v>
      </c>
      <c r="F75" s="32" t="s">
        <v>12</v>
      </c>
      <c r="G75" s="33">
        <v>0</v>
      </c>
      <c r="H75" s="31" t="str">
        <f>IFERROR(VLOOKUP(B75,'[1]Debt Holding Consolidated'!$C$1:$AM$65536,12,FALSE),"")</f>
        <v/>
      </c>
    </row>
    <row r="76" spans="1:8" x14ac:dyDescent="0.2">
      <c r="A76" s="29"/>
      <c r="B76" s="29"/>
      <c r="C76" s="34"/>
      <c r="D76" s="29"/>
      <c r="E76" s="29"/>
      <c r="F76" s="35"/>
      <c r="G76" s="35"/>
      <c r="H76" s="31" t="str">
        <f>IFERROR(VLOOKUP(B76,'[1]Debt Holding Consolidated'!$C$1:$AM$65536,12,FALSE),"")</f>
        <v/>
      </c>
    </row>
    <row r="77" spans="1:8" x14ac:dyDescent="0.2">
      <c r="A77" s="29"/>
      <c r="B77" s="29"/>
      <c r="C77" s="30" t="s">
        <v>92</v>
      </c>
      <c r="D77" s="29"/>
      <c r="E77" s="29"/>
      <c r="F77" s="35"/>
      <c r="G77" s="35"/>
      <c r="H77" s="31" t="str">
        <f>IFERROR(VLOOKUP(B77,'[1]Debt Holding Consolidated'!$C$1:$AM$65536,12,FALSE),"")</f>
        <v/>
      </c>
    </row>
    <row r="78" spans="1:8" x14ac:dyDescent="0.2">
      <c r="A78" s="29"/>
      <c r="B78" s="29"/>
      <c r="C78" s="30" t="s">
        <v>10</v>
      </c>
      <c r="D78" s="29"/>
      <c r="E78" s="29" t="s">
        <v>11</v>
      </c>
      <c r="F78" s="32" t="s">
        <v>12</v>
      </c>
      <c r="G78" s="33">
        <v>0</v>
      </c>
      <c r="H78" s="31" t="str">
        <f>IFERROR(VLOOKUP(B78,'[1]Debt Holding Consolidated'!$C$1:$AM$65536,12,FALSE),"")</f>
        <v/>
      </c>
    </row>
    <row r="79" spans="1:8" x14ac:dyDescent="0.2">
      <c r="A79" s="29"/>
      <c r="B79" s="29"/>
      <c r="C79" s="34"/>
      <c r="D79" s="29"/>
      <c r="E79" s="29"/>
      <c r="F79" s="35"/>
      <c r="G79" s="35"/>
      <c r="H79" s="31" t="str">
        <f>IFERROR(VLOOKUP(B79,'[1]Debt Holding Consolidated'!$C$1:$AM$65536,12,FALSE),"")</f>
        <v/>
      </c>
    </row>
    <row r="80" spans="1:8" x14ac:dyDescent="0.2">
      <c r="A80" s="29"/>
      <c r="B80" s="29"/>
      <c r="C80" s="30" t="s">
        <v>93</v>
      </c>
      <c r="D80" s="29"/>
      <c r="E80" s="29"/>
      <c r="F80" s="35"/>
      <c r="G80" s="35"/>
      <c r="H80" s="31" t="str">
        <f>IFERROR(VLOOKUP(B80,'[1]Debt Holding Consolidated'!$C$1:$AM$65536,12,FALSE),"")</f>
        <v/>
      </c>
    </row>
    <row r="81" spans="1:18" x14ac:dyDescent="0.2">
      <c r="A81" s="39">
        <v>1</v>
      </c>
      <c r="B81" s="40"/>
      <c r="C81" s="40" t="s">
        <v>94</v>
      </c>
      <c r="D81" s="40"/>
      <c r="E81" s="44"/>
      <c r="F81" s="42">
        <v>990.14535790499997</v>
      </c>
      <c r="G81" s="43">
        <v>0.36133477000000003</v>
      </c>
      <c r="H81" s="31">
        <v>6.34</v>
      </c>
    </row>
    <row r="82" spans="1:18" x14ac:dyDescent="0.2">
      <c r="A82" s="29"/>
      <c r="B82" s="29"/>
      <c r="C82" s="30" t="s">
        <v>10</v>
      </c>
      <c r="D82" s="29"/>
      <c r="E82" s="29" t="s">
        <v>11</v>
      </c>
      <c r="F82" s="38">
        <v>990.14535790499997</v>
      </c>
      <c r="G82" s="33">
        <v>0.36133477000000003</v>
      </c>
      <c r="H82" s="31" t="s">
        <v>11</v>
      </c>
    </row>
    <row r="83" spans="1:18" x14ac:dyDescent="0.2">
      <c r="A83" s="29"/>
      <c r="B83" s="29"/>
      <c r="C83" s="34"/>
      <c r="D83" s="29"/>
      <c r="E83" s="29"/>
      <c r="F83" s="35"/>
      <c r="G83" s="35"/>
      <c r="H83" s="31" t="s">
        <v>11</v>
      </c>
    </row>
    <row r="84" spans="1:18" x14ac:dyDescent="0.2">
      <c r="A84" s="29"/>
      <c r="B84" s="29"/>
      <c r="C84" s="30" t="s">
        <v>95</v>
      </c>
      <c r="D84" s="29"/>
      <c r="E84" s="29"/>
      <c r="F84" s="38">
        <v>990.14535790499997</v>
      </c>
      <c r="G84" s="33">
        <v>0.36133477000000003</v>
      </c>
      <c r="H84" s="31" t="s">
        <v>11</v>
      </c>
      <c r="J84"/>
    </row>
    <row r="85" spans="1:18" x14ac:dyDescent="0.2">
      <c r="A85" s="29"/>
      <c r="B85" s="29"/>
      <c r="C85" s="35"/>
      <c r="D85" s="29"/>
      <c r="E85" s="29"/>
      <c r="F85" s="29"/>
      <c r="G85" s="29"/>
      <c r="H85" s="31" t="s">
        <v>11</v>
      </c>
      <c r="J85"/>
    </row>
    <row r="86" spans="1:18" x14ac:dyDescent="0.2">
      <c r="A86" s="29"/>
      <c r="B86" s="29"/>
      <c r="C86" s="30" t="s">
        <v>96</v>
      </c>
      <c r="D86" s="29"/>
      <c r="E86" s="29"/>
      <c r="F86" s="29"/>
      <c r="G86" s="29"/>
      <c r="H86" s="31" t="s">
        <v>11</v>
      </c>
      <c r="J86"/>
    </row>
    <row r="87" spans="1:18" x14ac:dyDescent="0.2">
      <c r="A87" s="29"/>
      <c r="B87" s="29"/>
      <c r="C87" s="30" t="s">
        <v>97</v>
      </c>
      <c r="D87" s="29"/>
      <c r="E87" s="29"/>
      <c r="F87" s="29"/>
      <c r="G87" s="29"/>
      <c r="H87" s="31" t="s">
        <v>11</v>
      </c>
      <c r="J87"/>
    </row>
    <row r="88" spans="1:18" x14ac:dyDescent="0.2">
      <c r="A88" s="29"/>
      <c r="B88" s="29"/>
      <c r="C88" s="30" t="s">
        <v>10</v>
      </c>
      <c r="D88" s="29"/>
      <c r="E88" s="29" t="s">
        <v>11</v>
      </c>
      <c r="F88" s="32" t="s">
        <v>12</v>
      </c>
      <c r="G88" s="33">
        <v>0</v>
      </c>
      <c r="H88" s="31" t="s">
        <v>11</v>
      </c>
      <c r="J88"/>
    </row>
    <row r="89" spans="1:18" x14ac:dyDescent="0.2">
      <c r="A89" s="45"/>
      <c r="B89" s="45"/>
      <c r="C89" s="46"/>
      <c r="D89" s="45"/>
      <c r="E89" s="45"/>
      <c r="F89" s="47"/>
      <c r="G89" s="47"/>
      <c r="H89" s="31" t="s">
        <v>11</v>
      </c>
      <c r="J89"/>
    </row>
    <row r="90" spans="1:18" x14ac:dyDescent="0.2">
      <c r="A90" s="45"/>
      <c r="B90" s="45"/>
      <c r="C90" s="17" t="s">
        <v>581</v>
      </c>
      <c r="D90" s="45"/>
      <c r="E90" s="45"/>
      <c r="F90" s="47"/>
      <c r="G90" s="47"/>
      <c r="H90" s="48"/>
      <c r="J90"/>
      <c r="L90" s="9"/>
      <c r="M90" s="9"/>
      <c r="N90" s="9"/>
      <c r="O90" s="9"/>
      <c r="P90" s="10"/>
      <c r="Q90" s="10"/>
      <c r="R90" s="10"/>
    </row>
    <row r="91" spans="1:18" ht="25.5" x14ac:dyDescent="0.2">
      <c r="A91" s="49">
        <v>1</v>
      </c>
      <c r="B91" s="50" t="s">
        <v>98</v>
      </c>
      <c r="C91" s="50" t="s">
        <v>99</v>
      </c>
      <c r="D91" s="50"/>
      <c r="E91" s="51">
        <v>76.796000000000006</v>
      </c>
      <c r="F91" s="48">
        <v>8.0255500830000006</v>
      </c>
      <c r="G91" s="52">
        <v>2.9287699999999998E-3</v>
      </c>
      <c r="H91" s="31"/>
      <c r="J91"/>
    </row>
    <row r="92" spans="1:18" x14ac:dyDescent="0.2">
      <c r="A92" s="45"/>
      <c r="B92" s="45"/>
      <c r="C92" s="17" t="s">
        <v>10</v>
      </c>
      <c r="D92" s="45"/>
      <c r="E92" s="45" t="s">
        <v>11</v>
      </c>
      <c r="F92" s="53">
        <f>SUM(F91)</f>
        <v>8.0255500830000006</v>
      </c>
      <c r="G92" s="54">
        <f>SUM(G91)</f>
        <v>2.9287699999999998E-3</v>
      </c>
      <c r="H92" s="31" t="s">
        <v>11</v>
      </c>
      <c r="J92"/>
    </row>
    <row r="93" spans="1:18" x14ac:dyDescent="0.2">
      <c r="A93" s="29"/>
      <c r="B93" s="29"/>
      <c r="C93" s="34"/>
      <c r="D93" s="29"/>
      <c r="E93" s="29"/>
      <c r="F93" s="35"/>
      <c r="G93" s="35"/>
      <c r="H93" s="31" t="s">
        <v>11</v>
      </c>
      <c r="J93"/>
    </row>
    <row r="94" spans="1:18" x14ac:dyDescent="0.2">
      <c r="A94" s="29"/>
      <c r="B94" s="29"/>
      <c r="C94" s="30" t="s">
        <v>100</v>
      </c>
      <c r="D94" s="29"/>
      <c r="E94" s="29"/>
      <c r="F94" s="29"/>
      <c r="G94" s="29"/>
      <c r="H94" s="31" t="s">
        <v>11</v>
      </c>
      <c r="J94"/>
    </row>
    <row r="95" spans="1:18" x14ac:dyDescent="0.2">
      <c r="A95" s="29"/>
      <c r="B95" s="29"/>
      <c r="C95" s="30" t="s">
        <v>101</v>
      </c>
      <c r="D95" s="29"/>
      <c r="E95" s="29"/>
      <c r="F95" s="29"/>
      <c r="G95" s="29"/>
      <c r="H95" s="31" t="s">
        <v>11</v>
      </c>
      <c r="J95"/>
    </row>
    <row r="96" spans="1:18" x14ac:dyDescent="0.2">
      <c r="A96" s="29"/>
      <c r="B96" s="29"/>
      <c r="C96" s="30" t="s">
        <v>10</v>
      </c>
      <c r="D96" s="29"/>
      <c r="E96" s="29" t="s">
        <v>11</v>
      </c>
      <c r="F96" s="32" t="s">
        <v>12</v>
      </c>
      <c r="G96" s="33">
        <v>0</v>
      </c>
      <c r="H96" s="31" t="s">
        <v>11</v>
      </c>
      <c r="J96"/>
    </row>
    <row r="97" spans="1:10" x14ac:dyDescent="0.2">
      <c r="A97" s="29"/>
      <c r="B97" s="29"/>
      <c r="C97" s="34"/>
      <c r="D97" s="29"/>
      <c r="E97" s="29"/>
      <c r="F97" s="35"/>
      <c r="G97" s="35"/>
      <c r="H97" s="31" t="s">
        <v>11</v>
      </c>
      <c r="J97"/>
    </row>
    <row r="98" spans="1:10" x14ac:dyDescent="0.2">
      <c r="A98" s="29"/>
      <c r="B98" s="29"/>
      <c r="C98" s="30" t="s">
        <v>102</v>
      </c>
      <c r="D98" s="29"/>
      <c r="E98" s="29"/>
      <c r="F98" s="35"/>
      <c r="G98" s="35"/>
      <c r="H98" s="31" t="s">
        <v>11</v>
      </c>
    </row>
    <row r="99" spans="1:10" x14ac:dyDescent="0.2">
      <c r="A99" s="29"/>
      <c r="B99" s="29"/>
      <c r="C99" s="30" t="s">
        <v>10</v>
      </c>
      <c r="D99" s="29"/>
      <c r="E99" s="29" t="s">
        <v>11</v>
      </c>
      <c r="F99" s="32" t="s">
        <v>12</v>
      </c>
      <c r="G99" s="33">
        <v>0</v>
      </c>
      <c r="H99" s="31" t="s">
        <v>11</v>
      </c>
    </row>
    <row r="100" spans="1:10" x14ac:dyDescent="0.2">
      <c r="A100" s="29"/>
      <c r="B100" s="29"/>
      <c r="C100" s="34"/>
      <c r="D100" s="29"/>
      <c r="E100" s="29"/>
      <c r="F100" s="35"/>
      <c r="G100" s="35"/>
      <c r="H100" s="31" t="s">
        <v>11</v>
      </c>
      <c r="J100"/>
    </row>
    <row r="101" spans="1:10" x14ac:dyDescent="0.2">
      <c r="A101" s="44"/>
      <c r="B101" s="40"/>
      <c r="C101" s="40" t="s">
        <v>103</v>
      </c>
      <c r="D101" s="40"/>
      <c r="E101" s="44"/>
      <c r="F101" s="42">
        <f>39.75426022</f>
        <v>39.754260219999999</v>
      </c>
      <c r="G101" s="43">
        <f>F101/F102</f>
        <v>1.4507563344230062E-2</v>
      </c>
      <c r="H101" s="31" t="s">
        <v>11</v>
      </c>
      <c r="J101"/>
    </row>
    <row r="102" spans="1:10" x14ac:dyDescent="0.2">
      <c r="A102" s="34"/>
      <c r="B102" s="34"/>
      <c r="C102" s="30" t="s">
        <v>104</v>
      </c>
      <c r="D102" s="35"/>
      <c r="E102" s="35"/>
      <c r="F102" s="38">
        <f>F101+F92+F84+F68+F51</f>
        <v>2740.2437802079999</v>
      </c>
      <c r="G102" s="55">
        <f>G101+G92+G84+G68+G51</f>
        <v>0.99999999964446618</v>
      </c>
      <c r="H102" s="31" t="s">
        <v>11</v>
      </c>
      <c r="J102"/>
    </row>
    <row r="103" spans="1:10" x14ac:dyDescent="0.2">
      <c r="A103" s="56"/>
      <c r="B103" s="56"/>
      <c r="C103" s="56"/>
      <c r="D103" s="57"/>
      <c r="E103" s="57"/>
      <c r="F103" s="57"/>
      <c r="G103" s="57"/>
      <c r="J103"/>
    </row>
    <row r="104" spans="1:10" x14ac:dyDescent="0.2">
      <c r="A104" s="58"/>
      <c r="B104" s="138" t="s">
        <v>582</v>
      </c>
      <c r="C104" s="138"/>
      <c r="D104" s="138"/>
      <c r="E104" s="138"/>
      <c r="F104" s="138"/>
      <c r="G104" s="138"/>
      <c r="H104" s="138"/>
      <c r="J104"/>
    </row>
    <row r="105" spans="1:10" x14ac:dyDescent="0.2">
      <c r="A105" s="58"/>
      <c r="B105" s="138" t="s">
        <v>583</v>
      </c>
      <c r="C105" s="138"/>
      <c r="D105" s="138"/>
      <c r="E105" s="138"/>
      <c r="F105" s="138"/>
      <c r="G105" s="138"/>
      <c r="H105" s="138"/>
      <c r="J105"/>
    </row>
    <row r="106" spans="1:10" x14ac:dyDescent="0.2">
      <c r="A106" s="58"/>
      <c r="B106" s="138" t="s">
        <v>584</v>
      </c>
      <c r="C106" s="138"/>
      <c r="D106" s="138"/>
      <c r="E106" s="138"/>
      <c r="F106" s="138"/>
      <c r="G106" s="138"/>
      <c r="H106" s="138"/>
      <c r="J106"/>
    </row>
    <row r="107" spans="1:10" x14ac:dyDescent="0.2">
      <c r="A107" s="59"/>
      <c r="B107" s="59"/>
      <c r="C107" s="59"/>
      <c r="D107" s="60"/>
      <c r="E107" s="60"/>
      <c r="F107" s="60"/>
      <c r="G107" s="60"/>
      <c r="J107"/>
    </row>
    <row r="108" spans="1:10" x14ac:dyDescent="0.2">
      <c r="A108" s="59"/>
      <c r="B108" s="131" t="s">
        <v>105</v>
      </c>
      <c r="C108" s="132"/>
      <c r="D108" s="133"/>
      <c r="E108" s="61"/>
      <c r="F108" s="60"/>
      <c r="G108" s="60"/>
    </row>
    <row r="109" spans="1:10" ht="25.5" x14ac:dyDescent="0.2">
      <c r="A109" s="59"/>
      <c r="B109" s="134" t="s">
        <v>106</v>
      </c>
      <c r="C109" s="135"/>
      <c r="D109" s="17" t="s">
        <v>646</v>
      </c>
      <c r="E109" s="61"/>
      <c r="F109" s="60"/>
      <c r="G109" s="60"/>
    </row>
    <row r="110" spans="1:10" x14ac:dyDescent="0.2">
      <c r="A110" s="59"/>
      <c r="B110" s="134" t="s">
        <v>108</v>
      </c>
      <c r="C110" s="135"/>
      <c r="D110" s="30" t="s">
        <v>107</v>
      </c>
      <c r="E110" s="61"/>
      <c r="F110" s="60"/>
      <c r="G110" s="60"/>
    </row>
    <row r="111" spans="1:10" x14ac:dyDescent="0.2">
      <c r="A111" s="59"/>
      <c r="B111" s="134" t="s">
        <v>109</v>
      </c>
      <c r="C111" s="135"/>
      <c r="D111" s="35" t="s">
        <v>11</v>
      </c>
      <c r="E111" s="61"/>
      <c r="F111" s="60"/>
      <c r="G111" s="60"/>
    </row>
    <row r="112" spans="1:10" x14ac:dyDescent="0.2">
      <c r="A112" s="18"/>
      <c r="B112" s="62" t="s">
        <v>11</v>
      </c>
      <c r="C112" s="62" t="s">
        <v>585</v>
      </c>
      <c r="D112" s="62" t="s">
        <v>110</v>
      </c>
      <c r="E112" s="18"/>
      <c r="F112" s="18"/>
      <c r="G112" s="18"/>
      <c r="H112" s="63"/>
    </row>
    <row r="113" spans="1:10" x14ac:dyDescent="0.2">
      <c r="A113" s="64"/>
      <c r="B113" s="65" t="s">
        <v>111</v>
      </c>
      <c r="C113" s="66">
        <v>45596</v>
      </c>
      <c r="D113" s="66">
        <v>45611</v>
      </c>
      <c r="E113" s="64"/>
      <c r="F113" s="64"/>
      <c r="G113" s="64"/>
      <c r="J113"/>
    </row>
    <row r="114" spans="1:10" x14ac:dyDescent="0.2">
      <c r="A114" s="64"/>
      <c r="B114" s="40" t="s">
        <v>112</v>
      </c>
      <c r="C114" s="67">
        <v>31.400400000000001</v>
      </c>
      <c r="D114" s="67">
        <v>31.249300000000002</v>
      </c>
      <c r="E114" s="64"/>
      <c r="F114" s="68"/>
      <c r="G114" s="69"/>
    </row>
    <row r="115" spans="1:10" ht="25.5" x14ac:dyDescent="0.2">
      <c r="A115" s="64"/>
      <c r="B115" s="40" t="s">
        <v>674</v>
      </c>
      <c r="C115" s="67">
        <v>13.4278</v>
      </c>
      <c r="D115" s="67">
        <v>13.363200000000001</v>
      </c>
      <c r="E115" s="64"/>
      <c r="F115" s="68"/>
      <c r="G115" s="69"/>
    </row>
    <row r="116" spans="1:10" ht="25.5" x14ac:dyDescent="0.2">
      <c r="A116" s="64"/>
      <c r="B116" s="40" t="s">
        <v>675</v>
      </c>
      <c r="C116" s="67">
        <v>20.669499999999999</v>
      </c>
      <c r="D116" s="67">
        <v>20.57</v>
      </c>
      <c r="E116" s="64"/>
      <c r="F116" s="68"/>
      <c r="G116" s="69"/>
    </row>
    <row r="117" spans="1:10" ht="25.5" x14ac:dyDescent="0.2">
      <c r="A117" s="64"/>
      <c r="B117" s="40" t="s">
        <v>676</v>
      </c>
      <c r="C117" s="67">
        <v>20.5778</v>
      </c>
      <c r="D117" s="67">
        <v>20.4787</v>
      </c>
      <c r="E117" s="64"/>
      <c r="F117" s="68"/>
      <c r="G117" s="69"/>
    </row>
    <row r="118" spans="1:10" x14ac:dyDescent="0.2">
      <c r="A118" s="64"/>
      <c r="B118" s="40" t="s">
        <v>113</v>
      </c>
      <c r="C118" s="67">
        <v>28.659700000000001</v>
      </c>
      <c r="D118" s="67">
        <v>28.510300000000001</v>
      </c>
      <c r="E118" s="64"/>
      <c r="F118" s="68"/>
      <c r="G118" s="69"/>
    </row>
    <row r="119" spans="1:10" ht="25.5" x14ac:dyDescent="0.2">
      <c r="A119" s="64"/>
      <c r="B119" s="40" t="s">
        <v>678</v>
      </c>
      <c r="C119" s="67">
        <v>13.3109</v>
      </c>
      <c r="D119" s="67">
        <v>13.2415</v>
      </c>
      <c r="E119" s="64"/>
      <c r="F119" s="68"/>
      <c r="G119" s="69"/>
    </row>
    <row r="120" spans="1:10" ht="25.5" x14ac:dyDescent="0.2">
      <c r="A120" s="64"/>
      <c r="B120" s="40" t="s">
        <v>648</v>
      </c>
      <c r="C120" s="67">
        <v>18.754999999999999</v>
      </c>
      <c r="D120" s="67">
        <v>18.6572</v>
      </c>
      <c r="E120" s="64"/>
      <c r="F120" s="68"/>
      <c r="G120" s="69"/>
    </row>
    <row r="121" spans="1:10" ht="25.5" x14ac:dyDescent="0.2">
      <c r="A121" s="64"/>
      <c r="B121" s="40" t="s">
        <v>679</v>
      </c>
      <c r="C121" s="67">
        <v>18.592600000000001</v>
      </c>
      <c r="D121" s="67">
        <v>18.4956</v>
      </c>
      <c r="E121" s="64"/>
      <c r="F121" s="68"/>
      <c r="G121" s="69"/>
    </row>
    <row r="122" spans="1:10" x14ac:dyDescent="0.2">
      <c r="A122" s="64"/>
      <c r="B122" s="64"/>
      <c r="C122" s="64"/>
      <c r="D122" s="64"/>
      <c r="E122" s="64"/>
      <c r="F122" s="64"/>
      <c r="G122" s="64"/>
    </row>
    <row r="123" spans="1:10" x14ac:dyDescent="0.2">
      <c r="A123" s="64"/>
      <c r="B123" s="134" t="s">
        <v>649</v>
      </c>
      <c r="C123" s="135"/>
      <c r="D123" s="17" t="s">
        <v>107</v>
      </c>
      <c r="E123" s="64"/>
      <c r="F123" s="64"/>
      <c r="G123" s="64"/>
    </row>
    <row r="124" spans="1:10" x14ac:dyDescent="0.2">
      <c r="A124" s="64"/>
      <c r="B124" s="20"/>
      <c r="C124" s="20"/>
      <c r="D124" s="20"/>
      <c r="E124" s="64"/>
      <c r="F124" s="64"/>
      <c r="G124" s="64"/>
    </row>
    <row r="125" spans="1:10" ht="24.75" customHeight="1" x14ac:dyDescent="0.2">
      <c r="A125" s="18"/>
      <c r="B125" s="136" t="s">
        <v>117</v>
      </c>
      <c r="C125" s="137"/>
      <c r="D125" s="17" t="s">
        <v>107</v>
      </c>
      <c r="E125" s="19"/>
      <c r="F125" s="18"/>
      <c r="G125" s="18"/>
    </row>
    <row r="126" spans="1:10" ht="24" customHeight="1" x14ac:dyDescent="0.2">
      <c r="A126" s="18"/>
      <c r="B126" s="136" t="s">
        <v>118</v>
      </c>
      <c r="C126" s="137"/>
      <c r="D126" s="17" t="s">
        <v>107</v>
      </c>
      <c r="E126" s="19"/>
      <c r="F126" s="18"/>
      <c r="G126" s="18"/>
    </row>
    <row r="127" spans="1:10" x14ac:dyDescent="0.2">
      <c r="A127" s="18"/>
      <c r="B127" s="136" t="s">
        <v>586</v>
      </c>
      <c r="C127" s="137"/>
      <c r="D127" s="17" t="s">
        <v>107</v>
      </c>
      <c r="E127" s="19"/>
      <c r="F127" s="18"/>
      <c r="G127" s="18"/>
    </row>
    <row r="128" spans="1:10" x14ac:dyDescent="0.2">
      <c r="A128" s="20"/>
      <c r="B128" s="20"/>
      <c r="C128" s="20"/>
      <c r="D128" s="20"/>
      <c r="E128" s="20"/>
      <c r="F128" s="20"/>
      <c r="G128" s="20"/>
    </row>
    <row r="129" spans="2:18" s="11" customFormat="1" x14ac:dyDescent="0.2">
      <c r="B129" s="139" t="s">
        <v>587</v>
      </c>
      <c r="C129" s="140"/>
      <c r="D129" s="141"/>
      <c r="I129"/>
      <c r="J129" s="2"/>
      <c r="K129" s="9"/>
      <c r="L129" s="9"/>
      <c r="M129" s="9"/>
      <c r="N129" s="9"/>
      <c r="O129"/>
      <c r="R129"/>
    </row>
    <row r="130" spans="2:18" s="11" customFormat="1" ht="38.25" x14ac:dyDescent="0.2">
      <c r="B130" s="129" t="s">
        <v>588</v>
      </c>
      <c r="C130" s="129"/>
      <c r="D130" s="12" t="s">
        <v>493</v>
      </c>
      <c r="I130"/>
      <c r="J130" s="2"/>
      <c r="K130" s="9"/>
      <c r="L130" s="9"/>
      <c r="M130" s="9"/>
      <c r="N130" s="9"/>
      <c r="O130"/>
      <c r="R130"/>
    </row>
    <row r="131" spans="2:18" s="11" customFormat="1" x14ac:dyDescent="0.2">
      <c r="B131" s="142" t="s">
        <v>589</v>
      </c>
      <c r="C131" s="142"/>
      <c r="D131" s="13"/>
      <c r="I131"/>
      <c r="J131" s="2"/>
      <c r="K131" s="9"/>
      <c r="L131" s="9"/>
      <c r="M131" s="9"/>
      <c r="N131" s="9"/>
      <c r="O131"/>
      <c r="R131"/>
    </row>
    <row r="132" spans="2:18" s="11" customFormat="1" x14ac:dyDescent="0.2">
      <c r="B132" s="142"/>
      <c r="C132" s="142"/>
      <c r="D132" s="14"/>
      <c r="I132"/>
      <c r="J132" s="2"/>
      <c r="K132" s="9"/>
      <c r="L132" s="9"/>
      <c r="M132" s="9"/>
      <c r="N132" s="9"/>
      <c r="O132"/>
    </row>
    <row r="133" spans="2:18" s="11" customFormat="1" x14ac:dyDescent="0.2">
      <c r="B133" s="142" t="s">
        <v>590</v>
      </c>
      <c r="C133" s="142"/>
      <c r="D133" s="16">
        <v>6.7274265873001493</v>
      </c>
      <c r="I133"/>
      <c r="J133" s="2"/>
      <c r="K133" s="9"/>
      <c r="L133" s="9"/>
      <c r="M133" s="9"/>
      <c r="N133" s="9"/>
      <c r="O133"/>
    </row>
    <row r="134" spans="2:18" s="11" customFormat="1" x14ac:dyDescent="0.2">
      <c r="B134" s="142"/>
      <c r="C134" s="142"/>
      <c r="D134" s="14"/>
      <c r="I134"/>
      <c r="J134" s="2"/>
      <c r="K134" s="9"/>
      <c r="L134" s="9"/>
      <c r="M134" s="9"/>
      <c r="N134" s="9"/>
      <c r="O134"/>
    </row>
    <row r="135" spans="2:18" s="11" customFormat="1" x14ac:dyDescent="0.2">
      <c r="B135" s="142" t="s">
        <v>659</v>
      </c>
      <c r="C135" s="142"/>
      <c r="D135" s="16">
        <v>5.0094890439968802</v>
      </c>
      <c r="I135"/>
      <c r="J135" s="2"/>
      <c r="K135" s="9"/>
      <c r="L135" s="9"/>
      <c r="M135" s="9"/>
      <c r="N135" s="9"/>
      <c r="O135"/>
    </row>
    <row r="136" spans="2:18" s="11" customFormat="1" x14ac:dyDescent="0.2">
      <c r="B136" s="142" t="s">
        <v>660</v>
      </c>
      <c r="C136" s="142"/>
      <c r="D136" s="16">
        <v>9.7299291214195698</v>
      </c>
      <c r="I136"/>
      <c r="J136" s="2"/>
      <c r="K136" s="9"/>
      <c r="L136" s="9"/>
      <c r="M136" s="9"/>
      <c r="N136" s="9"/>
      <c r="O136"/>
    </row>
    <row r="137" spans="2:18" s="11" customFormat="1" x14ac:dyDescent="0.2">
      <c r="B137" s="142"/>
      <c r="C137" s="142"/>
      <c r="D137" s="14"/>
      <c r="I137"/>
      <c r="J137" s="2"/>
      <c r="K137" s="9"/>
      <c r="L137" s="9"/>
      <c r="M137" s="9"/>
      <c r="N137" s="9"/>
      <c r="O137"/>
    </row>
    <row r="138" spans="2:18" s="11" customFormat="1" x14ac:dyDescent="0.2">
      <c r="B138" s="142" t="s">
        <v>593</v>
      </c>
      <c r="C138" s="142"/>
      <c r="D138" s="123" t="s">
        <v>681</v>
      </c>
      <c r="I138"/>
      <c r="J138" s="2"/>
      <c r="K138" s="9"/>
      <c r="L138" s="9"/>
      <c r="M138" s="9"/>
      <c r="N138" s="9"/>
      <c r="O138"/>
    </row>
    <row r="139" spans="2:18" s="11" customFormat="1" x14ac:dyDescent="0.2">
      <c r="B139" s="143" t="s">
        <v>594</v>
      </c>
      <c r="C139" s="145"/>
      <c r="D139" s="144"/>
      <c r="I139"/>
      <c r="J139" s="2"/>
      <c r="K139" s="9"/>
      <c r="L139" s="9"/>
      <c r="M139" s="9"/>
      <c r="N139" s="9"/>
      <c r="O139"/>
    </row>
    <row r="141" spans="2:18" ht="13.5" x14ac:dyDescent="0.2">
      <c r="B141" s="181" t="s">
        <v>683</v>
      </c>
      <c r="C141" s="181"/>
      <c r="D141" s="181"/>
      <c r="E141" s="181"/>
      <c r="F141" s="181"/>
      <c r="G141" s="181"/>
      <c r="H141" s="181"/>
      <c r="I141" s="9"/>
      <c r="K141" s="9"/>
      <c r="L141" s="9"/>
      <c r="M141" s="9"/>
      <c r="N141" s="9"/>
      <c r="O141" s="9"/>
      <c r="P141" s="9"/>
    </row>
    <row r="142" spans="2:18" ht="13.5" x14ac:dyDescent="0.25">
      <c r="B142" s="87" t="s">
        <v>608</v>
      </c>
      <c r="C142" s="87" t="s">
        <v>609</v>
      </c>
      <c r="D142" s="150" t="s">
        <v>603</v>
      </c>
      <c r="E142" s="150"/>
      <c r="F142" s="150"/>
      <c r="G142" s="151" t="s">
        <v>604</v>
      </c>
      <c r="H142" s="151"/>
      <c r="K142" s="9"/>
      <c r="L142" s="9"/>
      <c r="M142" s="9"/>
      <c r="N142" s="9"/>
      <c r="O142" s="9"/>
      <c r="P142" s="9"/>
    </row>
    <row r="143" spans="2:18" ht="27" x14ac:dyDescent="0.25">
      <c r="B143" s="124" t="s">
        <v>637</v>
      </c>
      <c r="C143" s="89" t="s">
        <v>661</v>
      </c>
      <c r="D143" s="152">
        <v>0</v>
      </c>
      <c r="E143" s="152"/>
      <c r="F143" s="152"/>
      <c r="G143" s="152">
        <v>0</v>
      </c>
      <c r="H143" s="152"/>
      <c r="K143" s="9"/>
      <c r="L143" s="9"/>
      <c r="M143" s="9"/>
      <c r="N143" s="9"/>
      <c r="O143" s="9"/>
      <c r="P143" s="9"/>
    </row>
    <row r="144" spans="2:18" ht="13.5" x14ac:dyDescent="0.25">
      <c r="B144" s="88"/>
      <c r="C144" s="88"/>
      <c r="D144" s="153"/>
      <c r="E144" s="153"/>
      <c r="F144" s="153"/>
      <c r="G144" s="153"/>
      <c r="H144" s="153"/>
      <c r="K144" s="9"/>
      <c r="L144" s="9"/>
      <c r="M144" s="9"/>
      <c r="N144" s="9"/>
      <c r="O144" s="9"/>
      <c r="P144" s="9"/>
    </row>
    <row r="145" spans="2:16" ht="13.5" x14ac:dyDescent="0.25">
      <c r="B145" s="151" t="s">
        <v>616</v>
      </c>
      <c r="C145" s="151"/>
      <c r="D145" s="151"/>
      <c r="E145" s="151"/>
      <c r="F145" s="151"/>
      <c r="G145" s="151"/>
      <c r="H145" s="151"/>
      <c r="K145" s="9"/>
      <c r="L145" s="9"/>
      <c r="M145" s="9"/>
      <c r="N145" s="9"/>
      <c r="O145" s="9"/>
      <c r="P145" s="9"/>
    </row>
    <row r="146" spans="2:16" ht="13.5" customHeight="1" x14ac:dyDescent="0.2">
      <c r="B146" s="155" t="s">
        <v>608</v>
      </c>
      <c r="C146" s="155" t="s">
        <v>609</v>
      </c>
      <c r="D146" s="155" t="s">
        <v>617</v>
      </c>
      <c r="E146" s="155"/>
      <c r="F146" s="155"/>
      <c r="G146" s="155"/>
      <c r="H146" s="154" t="s">
        <v>662</v>
      </c>
      <c r="I146" s="154" t="s">
        <v>663</v>
      </c>
      <c r="J146" s="154" t="s">
        <v>620</v>
      </c>
      <c r="K146" s="9"/>
      <c r="L146" s="9"/>
      <c r="M146" s="9"/>
      <c r="N146" s="9"/>
      <c r="O146" s="9"/>
      <c r="P146" s="9"/>
    </row>
    <row r="147" spans="2:16" ht="121.5" x14ac:dyDescent="0.2">
      <c r="B147" s="155"/>
      <c r="C147" s="155"/>
      <c r="D147" s="90" t="s">
        <v>621</v>
      </c>
      <c r="E147" s="90" t="s">
        <v>622</v>
      </c>
      <c r="F147" s="90" t="s">
        <v>623</v>
      </c>
      <c r="G147" s="90" t="s">
        <v>624</v>
      </c>
      <c r="H147" s="154"/>
      <c r="I147" s="154"/>
      <c r="J147" s="154"/>
      <c r="K147" s="9"/>
      <c r="L147" s="9"/>
      <c r="M147" s="9"/>
      <c r="N147" s="9"/>
      <c r="O147" s="9"/>
    </row>
    <row r="148" spans="2:16" ht="27" x14ac:dyDescent="0.25">
      <c r="B148" s="88" t="s">
        <v>637</v>
      </c>
      <c r="C148" s="89" t="s">
        <v>664</v>
      </c>
      <c r="D148" s="91">
        <v>500</v>
      </c>
      <c r="E148" s="91">
        <v>9.9405737999999992</v>
      </c>
      <c r="F148" s="125">
        <v>16.00737140547945</v>
      </c>
      <c r="G148" s="91">
        <v>525.94794520547941</v>
      </c>
      <c r="H148" s="23">
        <v>233.40679</v>
      </c>
      <c r="I148" s="23">
        <v>4.01</v>
      </c>
      <c r="J148" s="126">
        <f>H148+I148</f>
        <v>237.41678999999999</v>
      </c>
      <c r="K148" s="9"/>
      <c r="L148" s="9"/>
      <c r="M148" s="9"/>
      <c r="N148" s="9"/>
      <c r="O148" s="9"/>
      <c r="P148" s="9"/>
    </row>
    <row r="149" spans="2:16" x14ac:dyDescent="0.2">
      <c r="P149" s="9"/>
    </row>
    <row r="150" spans="2:16" x14ac:dyDescent="0.2">
      <c r="K150" s="9"/>
      <c r="L150" s="9"/>
      <c r="M150" s="9"/>
      <c r="N150" s="9"/>
      <c r="O150" s="9"/>
      <c r="P150" s="9"/>
    </row>
    <row r="151" spans="2:16" ht="13.5" x14ac:dyDescent="0.25">
      <c r="B151" s="94" t="s">
        <v>625</v>
      </c>
      <c r="K151" s="9"/>
      <c r="L151" s="9"/>
      <c r="M151" s="9"/>
      <c r="N151" s="9"/>
      <c r="O151" s="9"/>
      <c r="P151" s="9"/>
    </row>
    <row r="152" spans="2:16" x14ac:dyDescent="0.2">
      <c r="B152" s="9"/>
      <c r="C152" s="9"/>
      <c r="D152" s="9"/>
      <c r="E152" s="9"/>
      <c r="F152" s="9"/>
      <c r="G152" s="9"/>
      <c r="H152" s="9"/>
      <c r="K152" s="9"/>
      <c r="L152" s="9"/>
      <c r="M152" s="9"/>
      <c r="N152" s="9"/>
      <c r="O152" s="9"/>
      <c r="P152" s="9"/>
    </row>
    <row r="153" spans="2:16" x14ac:dyDescent="0.2">
      <c r="B153" s="95" t="s">
        <v>626</v>
      </c>
      <c r="C153" s="9"/>
      <c r="D153" s="9"/>
      <c r="E153" s="9"/>
      <c r="F153" s="9"/>
      <c r="G153" s="9"/>
      <c r="H153" s="9"/>
      <c r="K153" s="9"/>
      <c r="L153" s="9"/>
      <c r="M153" s="9"/>
      <c r="N153" s="9"/>
      <c r="O153" s="9"/>
      <c r="P153" s="9"/>
    </row>
    <row r="154" spans="2:16" x14ac:dyDescent="0.2">
      <c r="B154" s="9"/>
      <c r="C154" s="9"/>
      <c r="D154" s="9"/>
      <c r="E154" s="9"/>
      <c r="F154" s="9"/>
      <c r="G154" s="9"/>
      <c r="H154" s="9"/>
      <c r="K154" s="9"/>
      <c r="L154" s="9"/>
      <c r="M154" s="9"/>
      <c r="N154" s="9"/>
      <c r="O154" s="9"/>
      <c r="P154" s="9"/>
    </row>
    <row r="155" spans="2:16" x14ac:dyDescent="0.2">
      <c r="B155" s="95" t="s">
        <v>627</v>
      </c>
      <c r="C155" s="9"/>
      <c r="D155" s="9"/>
      <c r="E155" s="9"/>
      <c r="F155" s="9"/>
      <c r="G155" s="9"/>
      <c r="H155" s="9"/>
      <c r="K155" s="9"/>
      <c r="L155" s="9"/>
      <c r="M155" s="9"/>
      <c r="N155" s="9"/>
      <c r="O155" s="9"/>
      <c r="P155" s="9"/>
    </row>
    <row r="156" spans="2:16" x14ac:dyDescent="0.2">
      <c r="K156" s="9"/>
      <c r="L156" s="9"/>
      <c r="M156" s="9"/>
      <c r="N156" s="9"/>
      <c r="O156" s="9"/>
    </row>
    <row r="157" spans="2:16" x14ac:dyDescent="0.2">
      <c r="B157" s="95" t="s">
        <v>628</v>
      </c>
      <c r="K157" s="9"/>
      <c r="L157" s="9"/>
      <c r="M157" s="9"/>
      <c r="N157" s="9"/>
      <c r="O157" s="9"/>
    </row>
  </sheetData>
  <mergeCells count="39">
    <mergeCell ref="J146:J147"/>
    <mergeCell ref="B146:B147"/>
    <mergeCell ref="C146:C147"/>
    <mergeCell ref="D146:G146"/>
    <mergeCell ref="H146:H147"/>
    <mergeCell ref="I146:I147"/>
    <mergeCell ref="D143:F143"/>
    <mergeCell ref="G143:H143"/>
    <mergeCell ref="D144:F144"/>
    <mergeCell ref="G144:H144"/>
    <mergeCell ref="B145:H145"/>
    <mergeCell ref="B137:C137"/>
    <mergeCell ref="B138:C138"/>
    <mergeCell ref="B139:D139"/>
    <mergeCell ref="B141:H141"/>
    <mergeCell ref="D142:F142"/>
    <mergeCell ref="G142:H142"/>
    <mergeCell ref="B132:C132"/>
    <mergeCell ref="B133:C133"/>
    <mergeCell ref="B134:C134"/>
    <mergeCell ref="B135:C135"/>
    <mergeCell ref="B136:C136"/>
    <mergeCell ref="A1:H1"/>
    <mergeCell ref="A2:H2"/>
    <mergeCell ref="A3:H3"/>
    <mergeCell ref="B104:H104"/>
    <mergeCell ref="B105:H105"/>
    <mergeCell ref="B106:H106"/>
    <mergeCell ref="B130:C130"/>
    <mergeCell ref="B131:C131"/>
    <mergeCell ref="B108:D108"/>
    <mergeCell ref="B109:C109"/>
    <mergeCell ref="B110:C110"/>
    <mergeCell ref="B111:C111"/>
    <mergeCell ref="B123:C123"/>
    <mergeCell ref="B127:C127"/>
    <mergeCell ref="B125:C125"/>
    <mergeCell ref="B126:C126"/>
    <mergeCell ref="B129:D129"/>
  </mergeCells>
  <hyperlinks>
    <hyperlink ref="I1" location="Index!B2" display="Index" xr:uid="{6763C0F3-CAEA-4292-8235-3D30D13B4330}"/>
    <hyperlink ref="B153" r:id="rId1" xr:uid="{AD7C7673-087C-4F77-A2A0-C91396ACA1D2}"/>
    <hyperlink ref="B155" r:id="rId2" xr:uid="{280A2A66-A2F5-49CB-8941-525DB1EDE1A0}"/>
    <hyperlink ref="B157" r:id="rId3" xr:uid="{4FC54D47-F80E-459F-BB69-F9A5A51A2A5C}"/>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0F818-D5F1-4621-A12B-1D9225C36F5E}">
  <sheetPr>
    <outlinePr summaryBelow="0" summaryRight="0"/>
  </sheetPr>
  <dimension ref="A1:U113"/>
  <sheetViews>
    <sheetView showGridLines="0" workbookViewId="0">
      <selection activeCell="E18" sqref="E18"/>
    </sheetView>
  </sheetViews>
  <sheetFormatPr defaultRowHeight="12.75" x14ac:dyDescent="0.2"/>
  <cols>
    <col min="1" max="1" width="5.85546875" bestFit="1" customWidth="1"/>
    <col min="2" max="2" width="20.5703125" customWidth="1"/>
    <col min="3" max="3" width="39.140625" bestFit="1" customWidth="1"/>
    <col min="4" max="4" width="11.28515625" bestFit="1" customWidth="1"/>
    <col min="5" max="5" width="8.7109375" bestFit="1" customWidth="1"/>
    <col min="6" max="6" width="10.140625" bestFit="1" customWidth="1"/>
    <col min="7" max="7" width="14" bestFit="1" customWidth="1"/>
    <col min="8" max="8" width="8.85546875" bestFit="1" customWidth="1"/>
    <col min="9" max="9" width="5.7109375" bestFit="1" customWidth="1"/>
    <col min="10" max="10" width="50.7109375" style="2" customWidth="1"/>
  </cols>
  <sheetData>
    <row r="1" spans="1:10" ht="15" x14ac:dyDescent="0.2">
      <c r="A1" s="130" t="s">
        <v>0</v>
      </c>
      <c r="B1" s="130"/>
      <c r="C1" s="130"/>
      <c r="D1" s="130"/>
      <c r="E1" s="130"/>
      <c r="F1" s="130"/>
      <c r="G1" s="130"/>
      <c r="H1" s="130"/>
      <c r="I1" s="1" t="s">
        <v>562</v>
      </c>
    </row>
    <row r="2" spans="1:10" ht="15" x14ac:dyDescent="0.2">
      <c r="A2" s="130" t="s">
        <v>560</v>
      </c>
      <c r="B2" s="130"/>
      <c r="C2" s="130"/>
      <c r="D2" s="130"/>
      <c r="E2" s="130"/>
      <c r="F2" s="130"/>
      <c r="G2" s="130"/>
      <c r="H2" s="130"/>
      <c r="J2" s="26" t="s">
        <v>563</v>
      </c>
    </row>
    <row r="3" spans="1:10" ht="15" x14ac:dyDescent="0.2">
      <c r="A3" s="130" t="s">
        <v>579</v>
      </c>
      <c r="B3" s="130"/>
      <c r="C3" s="130"/>
      <c r="D3" s="130"/>
      <c r="E3" s="130"/>
      <c r="F3" s="130"/>
      <c r="G3" s="130"/>
      <c r="H3" s="130"/>
    </row>
    <row r="4" spans="1:10" s="2" customFormat="1" ht="30" x14ac:dyDescent="0.2">
      <c r="A4" s="27" t="s">
        <v>1</v>
      </c>
      <c r="B4" s="27" t="s">
        <v>2</v>
      </c>
      <c r="C4" s="27" t="s">
        <v>3</v>
      </c>
      <c r="D4" s="27" t="s">
        <v>4</v>
      </c>
      <c r="E4" s="27" t="s">
        <v>5</v>
      </c>
      <c r="F4" s="27" t="s">
        <v>6</v>
      </c>
      <c r="G4" s="27" t="s">
        <v>7</v>
      </c>
      <c r="H4" s="28" t="s">
        <v>580</v>
      </c>
    </row>
    <row r="5" spans="1:10" x14ac:dyDescent="0.2">
      <c r="A5" s="29"/>
      <c r="B5" s="29"/>
      <c r="C5" s="30" t="s">
        <v>8</v>
      </c>
      <c r="D5" s="29"/>
      <c r="E5" s="29"/>
      <c r="F5" s="29"/>
      <c r="G5" s="29"/>
      <c r="H5" s="31" t="str">
        <f>IFERROR(VLOOKUP(B5,'[1]Debt Holding Consolidated'!$C$1:$AM$65536,12,FALSE),"")</f>
        <v/>
      </c>
    </row>
    <row r="6" spans="1:10" x14ac:dyDescent="0.2">
      <c r="A6" s="29"/>
      <c r="B6" s="29"/>
      <c r="C6" s="30" t="s">
        <v>9</v>
      </c>
      <c r="D6" s="29"/>
      <c r="E6" s="29"/>
      <c r="F6" s="29"/>
      <c r="G6" s="29"/>
      <c r="H6" s="31" t="str">
        <f>IFERROR(VLOOKUP(B6,'[1]Debt Holding Consolidated'!$C$1:$AM$65536,12,FALSE),"")</f>
        <v/>
      </c>
    </row>
    <row r="7" spans="1:10" x14ac:dyDescent="0.2">
      <c r="A7" s="29"/>
      <c r="B7" s="29"/>
      <c r="C7" s="30" t="s">
        <v>10</v>
      </c>
      <c r="D7" s="29"/>
      <c r="E7" s="29" t="s">
        <v>11</v>
      </c>
      <c r="F7" s="32" t="s">
        <v>12</v>
      </c>
      <c r="G7" s="33">
        <v>0</v>
      </c>
      <c r="H7" s="31" t="str">
        <f>IFERROR(VLOOKUP(B7,'[1]Debt Holding Consolidated'!$C$1:$AM$65536,12,FALSE),"")</f>
        <v/>
      </c>
    </row>
    <row r="8" spans="1:10" x14ac:dyDescent="0.2">
      <c r="A8" s="29"/>
      <c r="B8" s="29"/>
      <c r="C8" s="34"/>
      <c r="D8" s="29"/>
      <c r="E8" s="29"/>
      <c r="F8" s="35"/>
      <c r="G8" s="35"/>
      <c r="H8" s="31" t="str">
        <f>IFERROR(VLOOKUP(B8,'[1]Debt Holding Consolidated'!$C$1:$AM$65536,12,FALSE),"")</f>
        <v/>
      </c>
    </row>
    <row r="9" spans="1:10" x14ac:dyDescent="0.2">
      <c r="A9" s="29"/>
      <c r="B9" s="29"/>
      <c r="C9" s="30" t="s">
        <v>13</v>
      </c>
      <c r="D9" s="29"/>
      <c r="E9" s="29"/>
      <c r="F9" s="29"/>
      <c r="G9" s="29"/>
      <c r="H9" s="31" t="str">
        <f>IFERROR(VLOOKUP(B9,'[1]Debt Holding Consolidated'!$C$1:$AM$65536,12,FALSE),"")</f>
        <v/>
      </c>
    </row>
    <row r="10" spans="1:10" x14ac:dyDescent="0.2">
      <c r="A10" s="29"/>
      <c r="B10" s="29"/>
      <c r="C10" s="30" t="s">
        <v>10</v>
      </c>
      <c r="D10" s="29"/>
      <c r="E10" s="29" t="s">
        <v>11</v>
      </c>
      <c r="F10" s="32" t="s">
        <v>12</v>
      </c>
      <c r="G10" s="33">
        <v>0</v>
      </c>
      <c r="H10" s="31" t="str">
        <f>IFERROR(VLOOKUP(B10,'[1]Debt Holding Consolidated'!$C$1:$AM$65536,12,FALSE),"")</f>
        <v/>
      </c>
    </row>
    <row r="11" spans="1:10" x14ac:dyDescent="0.2">
      <c r="A11" s="29"/>
      <c r="B11" s="29"/>
      <c r="C11" s="34"/>
      <c r="D11" s="29"/>
      <c r="E11" s="29"/>
      <c r="F11" s="35"/>
      <c r="G11" s="35"/>
      <c r="H11" s="31" t="str">
        <f>IFERROR(VLOOKUP(B11,'[1]Debt Holding Consolidated'!$C$1:$AM$65536,12,FALSE),"")</f>
        <v/>
      </c>
    </row>
    <row r="12" spans="1:10" ht="15" x14ac:dyDescent="0.2">
      <c r="A12" s="29"/>
      <c r="B12" s="29"/>
      <c r="C12" s="30" t="s">
        <v>14</v>
      </c>
      <c r="D12" s="29"/>
      <c r="E12" s="29"/>
      <c r="F12" s="29"/>
      <c r="G12" s="29"/>
      <c r="H12" s="31" t="str">
        <f>IFERROR(VLOOKUP(B12,'[1]Debt Holding Consolidated'!$C$1:$AM$65536,12,FALSE),"")</f>
        <v/>
      </c>
      <c r="J12" s="36"/>
    </row>
    <row r="13" spans="1:10" x14ac:dyDescent="0.2">
      <c r="A13" s="29"/>
      <c r="B13" s="29"/>
      <c r="C13" s="30" t="s">
        <v>10</v>
      </c>
      <c r="D13" s="29"/>
      <c r="E13" s="29" t="s">
        <v>11</v>
      </c>
      <c r="F13" s="32" t="s">
        <v>12</v>
      </c>
      <c r="G13" s="33">
        <v>0</v>
      </c>
      <c r="H13" s="31" t="str">
        <f>IFERROR(VLOOKUP(B13,'[1]Debt Holding Consolidated'!$C$1:$AM$65536,12,FALSE),"")</f>
        <v/>
      </c>
      <c r="J13" s="37"/>
    </row>
    <row r="14" spans="1:10" x14ac:dyDescent="0.2">
      <c r="A14" s="29"/>
      <c r="B14" s="29"/>
      <c r="C14" s="34"/>
      <c r="D14" s="29"/>
      <c r="E14" s="29"/>
      <c r="F14" s="35"/>
      <c r="G14" s="35"/>
      <c r="H14" s="31" t="str">
        <f>IFERROR(VLOOKUP(B14,'[1]Debt Holding Consolidated'!$C$1:$AM$65536,12,FALSE),"")</f>
        <v/>
      </c>
      <c r="J14" s="37" t="s">
        <v>672</v>
      </c>
    </row>
    <row r="15" spans="1:10" x14ac:dyDescent="0.2">
      <c r="A15" s="29"/>
      <c r="B15" s="29"/>
      <c r="C15" s="30" t="s">
        <v>15</v>
      </c>
      <c r="D15" s="29"/>
      <c r="E15" s="29"/>
      <c r="F15" s="29"/>
      <c r="G15" s="29"/>
      <c r="H15" s="31" t="str">
        <f>IFERROR(VLOOKUP(B15,'[1]Debt Holding Consolidated'!$C$1:$AM$65536,12,FALSE),"")</f>
        <v/>
      </c>
    </row>
    <row r="16" spans="1:10" x14ac:dyDescent="0.2">
      <c r="A16" s="29"/>
      <c r="B16" s="29"/>
      <c r="C16" s="30" t="s">
        <v>10</v>
      </c>
      <c r="D16" s="29"/>
      <c r="E16" s="29" t="s">
        <v>11</v>
      </c>
      <c r="F16" s="32" t="s">
        <v>12</v>
      </c>
      <c r="G16" s="33">
        <v>0</v>
      </c>
      <c r="H16" s="31" t="str">
        <f>IFERROR(VLOOKUP(B16,'[1]Debt Holding Consolidated'!$C$1:$AM$65536,12,FALSE),"")</f>
        <v/>
      </c>
    </row>
    <row r="17" spans="1:10" x14ac:dyDescent="0.2">
      <c r="A17" s="29"/>
      <c r="B17" s="29"/>
      <c r="C17" s="34"/>
      <c r="D17" s="29"/>
      <c r="E17" s="29"/>
      <c r="F17" s="35"/>
      <c r="G17" s="35"/>
      <c r="H17" s="31" t="str">
        <f>IFERROR(VLOOKUP(B17,'[1]Debt Holding Consolidated'!$C$1:$AM$65536,12,FALSE),"")</f>
        <v/>
      </c>
    </row>
    <row r="18" spans="1:10" x14ac:dyDescent="0.2">
      <c r="A18" s="29"/>
      <c r="B18" s="29"/>
      <c r="C18" s="30" t="s">
        <v>16</v>
      </c>
      <c r="D18" s="29"/>
      <c r="E18" s="29"/>
      <c r="F18" s="35"/>
      <c r="G18" s="35"/>
      <c r="H18" s="31" t="str">
        <f>IFERROR(VLOOKUP(B18,'[1]Debt Holding Consolidated'!$C$1:$AM$65536,12,FALSE),"")</f>
        <v/>
      </c>
    </row>
    <row r="19" spans="1:10" x14ac:dyDescent="0.2">
      <c r="A19" s="29"/>
      <c r="B19" s="29"/>
      <c r="C19" s="30" t="s">
        <v>10</v>
      </c>
      <c r="D19" s="29"/>
      <c r="E19" s="29" t="s">
        <v>11</v>
      </c>
      <c r="F19" s="32" t="s">
        <v>12</v>
      </c>
      <c r="G19" s="33">
        <v>0</v>
      </c>
      <c r="H19" s="31" t="str">
        <f>IFERROR(VLOOKUP(B19,'[1]Debt Holding Consolidated'!$C$1:$AM$65536,12,FALSE),"")</f>
        <v/>
      </c>
    </row>
    <row r="20" spans="1:10" x14ac:dyDescent="0.2">
      <c r="A20" s="29"/>
      <c r="B20" s="29"/>
      <c r="C20" s="34"/>
      <c r="D20" s="29"/>
      <c r="E20" s="29"/>
      <c r="F20" s="35"/>
      <c r="G20" s="35"/>
      <c r="H20" s="31" t="str">
        <f>IFERROR(VLOOKUP(B20,'[1]Debt Holding Consolidated'!$C$1:$AM$65536,12,FALSE),"")</f>
        <v/>
      </c>
    </row>
    <row r="21" spans="1:10" x14ac:dyDescent="0.2">
      <c r="A21" s="29"/>
      <c r="B21" s="29"/>
      <c r="C21" s="30" t="s">
        <v>17</v>
      </c>
      <c r="D21" s="29"/>
      <c r="E21" s="29"/>
      <c r="F21" s="35"/>
      <c r="G21" s="35"/>
      <c r="H21" s="31" t="str">
        <f>IFERROR(VLOOKUP(B21,'[1]Debt Holding Consolidated'!$C$1:$AM$65536,12,FALSE),"")</f>
        <v/>
      </c>
    </row>
    <row r="22" spans="1:10" ht="15" x14ac:dyDescent="0.2">
      <c r="A22" s="29"/>
      <c r="B22" s="29"/>
      <c r="C22" s="30" t="s">
        <v>10</v>
      </c>
      <c r="D22" s="29"/>
      <c r="E22" s="29" t="s">
        <v>11</v>
      </c>
      <c r="F22" s="32" t="s">
        <v>12</v>
      </c>
      <c r="G22" s="33">
        <v>0</v>
      </c>
      <c r="H22" s="31" t="str">
        <f>IFERROR(VLOOKUP(B22,'[1]Debt Holding Consolidated'!$C$1:$AM$65536,12,FALSE),"")</f>
        <v/>
      </c>
      <c r="J22" s="36"/>
    </row>
    <row r="23" spans="1:10" x14ac:dyDescent="0.2">
      <c r="A23" s="29"/>
      <c r="B23" s="29"/>
      <c r="C23" s="34"/>
      <c r="D23" s="29"/>
      <c r="E23" s="29"/>
      <c r="F23" s="35"/>
      <c r="G23" s="35"/>
      <c r="H23" s="31" t="str">
        <f>IFERROR(VLOOKUP(B23,'[1]Debt Holding Consolidated'!$C$1:$AM$65536,12,FALSE),"")</f>
        <v/>
      </c>
      <c r="J23" s="37"/>
    </row>
    <row r="24" spans="1:10" x14ac:dyDescent="0.2">
      <c r="A24" s="29"/>
      <c r="B24" s="29"/>
      <c r="C24" s="30" t="s">
        <v>18</v>
      </c>
      <c r="D24" s="29"/>
      <c r="E24" s="29"/>
      <c r="F24" s="38">
        <v>0</v>
      </c>
      <c r="G24" s="33">
        <v>0</v>
      </c>
      <c r="H24" s="31" t="str">
        <f>IFERROR(VLOOKUP(B24,'[1]Debt Holding Consolidated'!$C$1:$AM$65536,12,FALSE),"")</f>
        <v/>
      </c>
    </row>
    <row r="25" spans="1:10" x14ac:dyDescent="0.2">
      <c r="A25" s="29"/>
      <c r="B25" s="29"/>
      <c r="C25" s="34"/>
      <c r="D25" s="29"/>
      <c r="E25" s="29"/>
      <c r="F25" s="35"/>
      <c r="G25" s="35"/>
      <c r="H25" s="31" t="str">
        <f>IFERROR(VLOOKUP(B25,'[1]Debt Holding Consolidated'!$C$1:$AM$65536,12,FALSE),"")</f>
        <v/>
      </c>
    </row>
    <row r="26" spans="1:10" x14ac:dyDescent="0.2">
      <c r="A26" s="29"/>
      <c r="B26" s="29"/>
      <c r="C26" s="30" t="s">
        <v>19</v>
      </c>
      <c r="D26" s="29"/>
      <c r="E26" s="29"/>
      <c r="F26" s="35"/>
      <c r="G26" s="35"/>
      <c r="H26" s="31" t="str">
        <f>IFERROR(VLOOKUP(B26,'[1]Debt Holding Consolidated'!$C$1:$AM$65536,12,FALSE),"")</f>
        <v/>
      </c>
    </row>
    <row r="27" spans="1:10" x14ac:dyDescent="0.2">
      <c r="A27" s="29"/>
      <c r="B27" s="29"/>
      <c r="C27" s="30" t="s">
        <v>9</v>
      </c>
      <c r="D27" s="29"/>
      <c r="E27" s="29"/>
      <c r="F27" s="35"/>
      <c r="G27" s="35"/>
      <c r="H27" s="31" t="str">
        <f>IFERROR(VLOOKUP(B27,'[1]Debt Holding Consolidated'!$C$1:$AM$65536,12,FALSE),"")</f>
        <v/>
      </c>
    </row>
    <row r="28" spans="1:10" x14ac:dyDescent="0.2">
      <c r="A28" s="29"/>
      <c r="B28" s="29"/>
      <c r="C28" s="30" t="s">
        <v>10</v>
      </c>
      <c r="D28" s="29"/>
      <c r="E28" s="29" t="s">
        <v>11</v>
      </c>
      <c r="F28" s="32" t="s">
        <v>12</v>
      </c>
      <c r="G28" s="33">
        <v>0</v>
      </c>
      <c r="H28" s="31" t="str">
        <f>IFERROR(VLOOKUP(B28,'[1]Debt Holding Consolidated'!$C$1:$AM$65536,12,FALSE),"")</f>
        <v/>
      </c>
      <c r="J28" s="37" t="s">
        <v>673</v>
      </c>
    </row>
    <row r="29" spans="1:10" x14ac:dyDescent="0.2">
      <c r="A29" s="29"/>
      <c r="B29" s="29"/>
      <c r="C29" s="34"/>
      <c r="D29" s="29"/>
      <c r="E29" s="29"/>
      <c r="F29" s="35"/>
      <c r="G29" s="35"/>
      <c r="H29" s="31" t="str">
        <f>IFERROR(VLOOKUP(B29,'[1]Debt Holding Consolidated'!$C$1:$AM$65536,12,FALSE),"")</f>
        <v/>
      </c>
    </row>
    <row r="30" spans="1:10" x14ac:dyDescent="0.2">
      <c r="A30" s="29"/>
      <c r="B30" s="29"/>
      <c r="C30" s="30" t="s">
        <v>70</v>
      </c>
      <c r="D30" s="29"/>
      <c r="E30" s="29"/>
      <c r="F30" s="29"/>
      <c r="G30" s="29"/>
      <c r="H30" s="31" t="str">
        <f>IFERROR(VLOOKUP(B30,'[1]Debt Holding Consolidated'!$C$1:$AM$65536,12,FALSE),"")</f>
        <v/>
      </c>
    </row>
    <row r="31" spans="1:10" x14ac:dyDescent="0.2">
      <c r="A31" s="29"/>
      <c r="B31" s="29"/>
      <c r="C31" s="30" t="s">
        <v>10</v>
      </c>
      <c r="D31" s="29"/>
      <c r="E31" s="29" t="s">
        <v>11</v>
      </c>
      <c r="F31" s="32" t="s">
        <v>12</v>
      </c>
      <c r="G31" s="33">
        <v>0</v>
      </c>
      <c r="H31" s="31" t="str">
        <f>IFERROR(VLOOKUP(B31,'[1]Debt Holding Consolidated'!$C$1:$AM$65536,12,FALSE),"")</f>
        <v/>
      </c>
    </row>
    <row r="32" spans="1:10" x14ac:dyDescent="0.2">
      <c r="A32" s="29"/>
      <c r="B32" s="29"/>
      <c r="C32" s="34"/>
      <c r="D32" s="29"/>
      <c r="E32" s="29"/>
      <c r="F32" s="35"/>
      <c r="G32" s="35"/>
      <c r="H32" s="31" t="str">
        <f>IFERROR(VLOOKUP(B32,'[1]Debt Holding Consolidated'!$C$1:$AM$65536,12,FALSE),"")</f>
        <v/>
      </c>
    </row>
    <row r="33" spans="1:8" x14ac:dyDescent="0.2">
      <c r="A33" s="29"/>
      <c r="B33" s="29"/>
      <c r="C33" s="30" t="s">
        <v>71</v>
      </c>
      <c r="D33" s="29"/>
      <c r="E33" s="29"/>
      <c r="F33" s="29"/>
      <c r="G33" s="29"/>
      <c r="H33" s="31" t="str">
        <f>IFERROR(VLOOKUP(B33,'[1]Debt Holding Consolidated'!$C$1:$AM$65536,12,FALSE),"")</f>
        <v/>
      </c>
    </row>
    <row r="34" spans="1:8" x14ac:dyDescent="0.2">
      <c r="A34" s="29"/>
      <c r="B34" s="29"/>
      <c r="C34" s="30" t="s">
        <v>10</v>
      </c>
      <c r="D34" s="29"/>
      <c r="E34" s="29" t="s">
        <v>11</v>
      </c>
      <c r="F34" s="32" t="s">
        <v>12</v>
      </c>
      <c r="G34" s="33">
        <v>0</v>
      </c>
      <c r="H34" s="31" t="str">
        <f>IFERROR(VLOOKUP(B34,'[1]Debt Holding Consolidated'!$C$1:$AM$65536,12,FALSE),"")</f>
        <v/>
      </c>
    </row>
    <row r="35" spans="1:8" x14ac:dyDescent="0.2">
      <c r="A35" s="29"/>
      <c r="B35" s="29"/>
      <c r="C35" s="34"/>
      <c r="D35" s="29"/>
      <c r="E35" s="29"/>
      <c r="F35" s="35"/>
      <c r="G35" s="35"/>
      <c r="H35" s="31" t="str">
        <f>IFERROR(VLOOKUP(B35,'[1]Debt Holding Consolidated'!$C$1:$AM$65536,12,FALSE),"")</f>
        <v/>
      </c>
    </row>
    <row r="36" spans="1:8" x14ac:dyDescent="0.2">
      <c r="A36" s="29"/>
      <c r="B36" s="29"/>
      <c r="C36" s="30" t="s">
        <v>87</v>
      </c>
      <c r="D36" s="29"/>
      <c r="E36" s="29"/>
      <c r="F36" s="35"/>
      <c r="G36" s="35"/>
      <c r="H36" s="31" t="str">
        <f>IFERROR(VLOOKUP(B36,'[1]Debt Holding Consolidated'!$C$1:$AM$65536,12,FALSE),"")</f>
        <v/>
      </c>
    </row>
    <row r="37" spans="1:8" x14ac:dyDescent="0.2">
      <c r="A37" s="29"/>
      <c r="B37" s="29"/>
      <c r="C37" s="30" t="s">
        <v>10</v>
      </c>
      <c r="D37" s="29"/>
      <c r="E37" s="29" t="s">
        <v>11</v>
      </c>
      <c r="F37" s="32" t="s">
        <v>12</v>
      </c>
      <c r="G37" s="33">
        <v>0</v>
      </c>
      <c r="H37" s="31" t="str">
        <f>IFERROR(VLOOKUP(B37,'[1]Debt Holding Consolidated'!$C$1:$AM$65536,12,FALSE),"")</f>
        <v/>
      </c>
    </row>
    <row r="38" spans="1:8" x14ac:dyDescent="0.2">
      <c r="A38" s="29"/>
      <c r="B38" s="29"/>
      <c r="C38" s="34"/>
      <c r="D38" s="29"/>
      <c r="E38" s="29"/>
      <c r="F38" s="35"/>
      <c r="G38" s="35"/>
      <c r="H38" s="31" t="str">
        <f>IFERROR(VLOOKUP(B38,'[1]Debt Holding Consolidated'!$C$1:$AM$65536,12,FALSE),"")</f>
        <v/>
      </c>
    </row>
    <row r="39" spans="1:8" x14ac:dyDescent="0.2">
      <c r="A39" s="29"/>
      <c r="B39" s="29"/>
      <c r="C39" s="30" t="s">
        <v>88</v>
      </c>
      <c r="D39" s="29"/>
      <c r="E39" s="29"/>
      <c r="F39" s="38">
        <v>0</v>
      </c>
      <c r="G39" s="33">
        <v>0</v>
      </c>
      <c r="H39" s="31" t="str">
        <f>IFERROR(VLOOKUP(B39,'[1]Debt Holding Consolidated'!$C$1:$AM$65536,12,FALSE),"")</f>
        <v/>
      </c>
    </row>
    <row r="40" spans="1:8" x14ac:dyDescent="0.2">
      <c r="A40" s="29"/>
      <c r="B40" s="29"/>
      <c r="C40" s="34"/>
      <c r="D40" s="29"/>
      <c r="E40" s="29"/>
      <c r="F40" s="35"/>
      <c r="G40" s="35"/>
      <c r="H40" s="31" t="str">
        <f>IFERROR(VLOOKUP(B40,'[1]Debt Holding Consolidated'!$C$1:$AM$65536,12,FALSE),"")</f>
        <v/>
      </c>
    </row>
    <row r="41" spans="1:8" x14ac:dyDescent="0.2">
      <c r="A41" s="29"/>
      <c r="B41" s="29"/>
      <c r="C41" s="30" t="s">
        <v>89</v>
      </c>
      <c r="D41" s="29"/>
      <c r="E41" s="29"/>
      <c r="F41" s="35"/>
      <c r="G41" s="35"/>
      <c r="H41" s="31" t="str">
        <f>IFERROR(VLOOKUP(B41,'[1]Debt Holding Consolidated'!$C$1:$AM$65536,12,FALSE),"")</f>
        <v/>
      </c>
    </row>
    <row r="42" spans="1:8" x14ac:dyDescent="0.2">
      <c r="A42" s="29"/>
      <c r="B42" s="29"/>
      <c r="C42" s="30" t="s">
        <v>90</v>
      </c>
      <c r="D42" s="29"/>
      <c r="E42" s="29"/>
      <c r="F42" s="35"/>
      <c r="G42" s="35"/>
      <c r="H42" s="31" t="str">
        <f>IFERROR(VLOOKUP(B42,'[1]Debt Holding Consolidated'!$C$1:$AM$65536,12,FALSE),"")</f>
        <v/>
      </c>
    </row>
    <row r="43" spans="1:8" x14ac:dyDescent="0.2">
      <c r="A43" s="29"/>
      <c r="B43" s="29"/>
      <c r="C43" s="30" t="s">
        <v>10</v>
      </c>
      <c r="D43" s="29"/>
      <c r="E43" s="29" t="s">
        <v>11</v>
      </c>
      <c r="F43" s="32" t="s">
        <v>12</v>
      </c>
      <c r="G43" s="33">
        <v>0</v>
      </c>
      <c r="H43" s="31" t="str">
        <f>IFERROR(VLOOKUP(B43,'[1]Debt Holding Consolidated'!$C$1:$AM$65536,12,FALSE),"")</f>
        <v/>
      </c>
    </row>
    <row r="44" spans="1:8" x14ac:dyDescent="0.2">
      <c r="A44" s="29"/>
      <c r="B44" s="29"/>
      <c r="C44" s="34"/>
      <c r="D44" s="29"/>
      <c r="E44" s="29"/>
      <c r="F44" s="35"/>
      <c r="G44" s="35"/>
      <c r="H44" s="31" t="str">
        <f>IFERROR(VLOOKUP(B44,'[1]Debt Holding Consolidated'!$C$1:$AM$65536,12,FALSE),"")</f>
        <v/>
      </c>
    </row>
    <row r="45" spans="1:8" x14ac:dyDescent="0.2">
      <c r="A45" s="29"/>
      <c r="B45" s="29"/>
      <c r="C45" s="30" t="s">
        <v>91</v>
      </c>
      <c r="D45" s="29"/>
      <c r="E45" s="29"/>
      <c r="F45" s="35"/>
      <c r="G45" s="35"/>
      <c r="H45" s="31" t="str">
        <f>IFERROR(VLOOKUP(B45,'[1]Debt Holding Consolidated'!$C$1:$AM$65536,12,FALSE),"")</f>
        <v/>
      </c>
    </row>
    <row r="46" spans="1:8" x14ac:dyDescent="0.2">
      <c r="A46" s="29"/>
      <c r="B46" s="29"/>
      <c r="C46" s="30" t="s">
        <v>10</v>
      </c>
      <c r="D46" s="29"/>
      <c r="E46" s="29" t="s">
        <v>11</v>
      </c>
      <c r="F46" s="32" t="s">
        <v>12</v>
      </c>
      <c r="G46" s="33">
        <v>0</v>
      </c>
      <c r="H46" s="31" t="str">
        <f>IFERROR(VLOOKUP(B46,'[1]Debt Holding Consolidated'!$C$1:$AM$65536,12,FALSE),"")</f>
        <v/>
      </c>
    </row>
    <row r="47" spans="1:8" x14ac:dyDescent="0.2">
      <c r="A47" s="29"/>
      <c r="B47" s="29"/>
      <c r="C47" s="34"/>
      <c r="D47" s="29"/>
      <c r="E47" s="29"/>
      <c r="F47" s="35"/>
      <c r="G47" s="35"/>
      <c r="H47" s="31" t="str">
        <f>IFERROR(VLOOKUP(B47,'[1]Debt Holding Consolidated'!$C$1:$AM$65536,12,FALSE),"")</f>
        <v/>
      </c>
    </row>
    <row r="48" spans="1:8" x14ac:dyDescent="0.2">
      <c r="A48" s="29"/>
      <c r="B48" s="29"/>
      <c r="C48" s="30" t="s">
        <v>92</v>
      </c>
      <c r="D48" s="29"/>
      <c r="E48" s="29"/>
      <c r="F48" s="35"/>
      <c r="G48" s="35"/>
      <c r="H48" s="31" t="str">
        <f>IFERROR(VLOOKUP(B48,'[1]Debt Holding Consolidated'!$C$1:$AM$65536,12,FALSE),"")</f>
        <v/>
      </c>
    </row>
    <row r="49" spans="1:8" x14ac:dyDescent="0.2">
      <c r="A49" s="39">
        <v>1</v>
      </c>
      <c r="B49" s="40" t="s">
        <v>395</v>
      </c>
      <c r="C49" s="40" t="s">
        <v>396</v>
      </c>
      <c r="D49" s="40" t="s">
        <v>74</v>
      </c>
      <c r="E49" s="41">
        <v>1500000</v>
      </c>
      <c r="F49" s="42">
        <v>1498.6965</v>
      </c>
      <c r="G49" s="43">
        <v>1.470663E-2</v>
      </c>
      <c r="H49" s="31">
        <f>IFERROR(VLOOKUP(B49,'[1]Debt Holding Consolidated'!$C$1:$AM$65536,12,FALSE),"")</f>
        <v>6.35</v>
      </c>
    </row>
    <row r="50" spans="1:8" x14ac:dyDescent="0.2">
      <c r="A50" s="39">
        <v>2</v>
      </c>
      <c r="B50" s="40" t="s">
        <v>415</v>
      </c>
      <c r="C50" s="40" t="s">
        <v>416</v>
      </c>
      <c r="D50" s="40" t="s">
        <v>74</v>
      </c>
      <c r="E50" s="41">
        <v>1500000</v>
      </c>
      <c r="F50" s="42">
        <v>1495.0815</v>
      </c>
      <c r="G50" s="43">
        <v>1.4671160000000001E-2</v>
      </c>
      <c r="H50" s="31">
        <f>IFERROR(VLOOKUP(B50,'[1]Debt Holding Consolidated'!$C$1:$AM$65536,12,FALSE),"")</f>
        <v>6.32</v>
      </c>
    </row>
    <row r="51" spans="1:8" x14ac:dyDescent="0.2">
      <c r="A51" s="29"/>
      <c r="B51" s="29"/>
      <c r="C51" s="30" t="s">
        <v>10</v>
      </c>
      <c r="D51" s="29"/>
      <c r="E51" s="29" t="s">
        <v>11</v>
      </c>
      <c r="F51" s="38">
        <v>2993.7779999999998</v>
      </c>
      <c r="G51" s="33">
        <v>2.9377790000000001E-2</v>
      </c>
      <c r="H51" s="31" t="str">
        <f>IFERROR(VLOOKUP(B51,'[1]Debt Holding Consolidated'!$C$1:$AM$65536,12,FALSE),"")</f>
        <v/>
      </c>
    </row>
    <row r="52" spans="1:8" x14ac:dyDescent="0.2">
      <c r="A52" s="29"/>
      <c r="B52" s="29"/>
      <c r="C52" s="34"/>
      <c r="D52" s="29"/>
      <c r="E52" s="29"/>
      <c r="F52" s="35"/>
      <c r="G52" s="35"/>
      <c r="H52" s="31" t="str">
        <f>IFERROR(VLOOKUP(B52,'[1]Debt Holding Consolidated'!$C$1:$AM$65536,12,FALSE),"")</f>
        <v/>
      </c>
    </row>
    <row r="53" spans="1:8" x14ac:dyDescent="0.2">
      <c r="A53" s="29"/>
      <c r="B53" s="29"/>
      <c r="C53" s="30" t="s">
        <v>93</v>
      </c>
      <c r="D53" s="29"/>
      <c r="E53" s="29"/>
      <c r="F53" s="35"/>
      <c r="G53" s="35"/>
      <c r="H53" s="31" t="str">
        <f>IFERROR(VLOOKUP(B53,'[1]Debt Holding Consolidated'!$C$1:$AM$65536,12,FALSE),"")</f>
        <v/>
      </c>
    </row>
    <row r="54" spans="1:8" x14ac:dyDescent="0.2">
      <c r="A54" s="39">
        <v>1</v>
      </c>
      <c r="B54" s="40"/>
      <c r="C54" s="40" t="s">
        <v>561</v>
      </c>
      <c r="D54" s="40"/>
      <c r="E54" s="44"/>
      <c r="F54" s="42">
        <v>51599.226387299997</v>
      </c>
      <c r="G54" s="43">
        <v>0.50634062000000002</v>
      </c>
      <c r="H54" s="31">
        <v>6.37</v>
      </c>
    </row>
    <row r="55" spans="1:8" x14ac:dyDescent="0.2">
      <c r="A55" s="39">
        <v>2</v>
      </c>
      <c r="B55" s="40"/>
      <c r="C55" s="40" t="s">
        <v>94</v>
      </c>
      <c r="D55" s="40"/>
      <c r="E55" s="44"/>
      <c r="F55" s="42">
        <v>47144.587684514998</v>
      </c>
      <c r="G55" s="43">
        <v>0.46262746999999999</v>
      </c>
      <c r="H55" s="31">
        <v>6.34</v>
      </c>
    </row>
    <row r="56" spans="1:8" x14ac:dyDescent="0.2">
      <c r="A56" s="29"/>
      <c r="B56" s="29"/>
      <c r="C56" s="30" t="s">
        <v>10</v>
      </c>
      <c r="D56" s="29"/>
      <c r="E56" s="29" t="s">
        <v>11</v>
      </c>
      <c r="F56" s="38">
        <v>98743.814071814995</v>
      </c>
      <c r="G56" s="33">
        <v>0.96896808999999995</v>
      </c>
      <c r="H56" s="31" t="s">
        <v>11</v>
      </c>
    </row>
    <row r="57" spans="1:8" x14ac:dyDescent="0.2">
      <c r="A57" s="29"/>
      <c r="B57" s="29"/>
      <c r="C57" s="34"/>
      <c r="D57" s="29"/>
      <c r="E57" s="29"/>
      <c r="F57" s="35"/>
      <c r="G57" s="35"/>
      <c r="H57" s="31" t="s">
        <v>11</v>
      </c>
    </row>
    <row r="58" spans="1:8" x14ac:dyDescent="0.2">
      <c r="A58" s="29"/>
      <c r="B58" s="29"/>
      <c r="C58" s="30" t="s">
        <v>95</v>
      </c>
      <c r="D58" s="29"/>
      <c r="E58" s="29"/>
      <c r="F58" s="38">
        <v>101737.592071815</v>
      </c>
      <c r="G58" s="33">
        <v>0.99834588000000002</v>
      </c>
      <c r="H58" s="31" t="s">
        <v>11</v>
      </c>
    </row>
    <row r="59" spans="1:8" x14ac:dyDescent="0.2">
      <c r="A59" s="29"/>
      <c r="B59" s="29"/>
      <c r="C59" s="35"/>
      <c r="D59" s="29"/>
      <c r="E59" s="29"/>
      <c r="F59" s="29"/>
      <c r="G59" s="29"/>
      <c r="H59" s="31" t="s">
        <v>11</v>
      </c>
    </row>
    <row r="60" spans="1:8" x14ac:dyDescent="0.2">
      <c r="A60" s="29"/>
      <c r="B60" s="29"/>
      <c r="C60" s="30" t="s">
        <v>96</v>
      </c>
      <c r="D60" s="29"/>
      <c r="E60" s="29"/>
      <c r="F60" s="29"/>
      <c r="G60" s="29"/>
      <c r="H60" s="31" t="s">
        <v>11</v>
      </c>
    </row>
    <row r="61" spans="1:8" x14ac:dyDescent="0.2">
      <c r="A61" s="29"/>
      <c r="B61" s="29"/>
      <c r="C61" s="30" t="s">
        <v>97</v>
      </c>
      <c r="D61" s="29"/>
      <c r="E61" s="29"/>
      <c r="F61" s="29"/>
      <c r="G61" s="29"/>
      <c r="H61" s="31" t="s">
        <v>11</v>
      </c>
    </row>
    <row r="62" spans="1:8" x14ac:dyDescent="0.2">
      <c r="A62" s="29"/>
      <c r="B62" s="29"/>
      <c r="C62" s="30" t="s">
        <v>10</v>
      </c>
      <c r="D62" s="29"/>
      <c r="E62" s="29" t="s">
        <v>11</v>
      </c>
      <c r="F62" s="32" t="s">
        <v>12</v>
      </c>
      <c r="G62" s="33">
        <v>0</v>
      </c>
      <c r="H62" s="31" t="s">
        <v>11</v>
      </c>
    </row>
    <row r="63" spans="1:8" x14ac:dyDescent="0.2">
      <c r="A63" s="29"/>
      <c r="B63" s="29"/>
      <c r="C63" s="34"/>
      <c r="D63" s="29"/>
      <c r="E63" s="29"/>
      <c r="F63" s="35"/>
      <c r="G63" s="35"/>
      <c r="H63" s="31" t="s">
        <v>11</v>
      </c>
    </row>
    <row r="64" spans="1:8" x14ac:dyDescent="0.2">
      <c r="A64" s="29"/>
      <c r="B64" s="29"/>
      <c r="C64" s="30" t="s">
        <v>100</v>
      </c>
      <c r="D64" s="29"/>
      <c r="E64" s="29"/>
      <c r="F64" s="29"/>
      <c r="G64" s="29"/>
      <c r="H64" s="31" t="s">
        <v>11</v>
      </c>
    </row>
    <row r="65" spans="1:8" x14ac:dyDescent="0.2">
      <c r="A65" s="29"/>
      <c r="B65" s="29"/>
      <c r="C65" s="30" t="s">
        <v>101</v>
      </c>
      <c r="D65" s="29"/>
      <c r="E65" s="29"/>
      <c r="F65" s="29"/>
      <c r="G65" s="29"/>
      <c r="H65" s="31" t="s">
        <v>11</v>
      </c>
    </row>
    <row r="66" spans="1:8" x14ac:dyDescent="0.2">
      <c r="A66" s="29"/>
      <c r="B66" s="29"/>
      <c r="C66" s="30" t="s">
        <v>10</v>
      </c>
      <c r="D66" s="29"/>
      <c r="E66" s="29" t="s">
        <v>11</v>
      </c>
      <c r="F66" s="32" t="s">
        <v>12</v>
      </c>
      <c r="G66" s="33">
        <v>0</v>
      </c>
      <c r="H66" s="31" t="s">
        <v>11</v>
      </c>
    </row>
    <row r="67" spans="1:8" x14ac:dyDescent="0.2">
      <c r="A67" s="29"/>
      <c r="B67" s="29"/>
      <c r="C67" s="34"/>
      <c r="D67" s="29"/>
      <c r="E67" s="29"/>
      <c r="F67" s="35"/>
      <c r="G67" s="35"/>
      <c r="H67" s="31" t="s">
        <v>11</v>
      </c>
    </row>
    <row r="68" spans="1:8" x14ac:dyDescent="0.2">
      <c r="A68" s="29"/>
      <c r="B68" s="29"/>
      <c r="C68" s="30" t="s">
        <v>102</v>
      </c>
      <c r="D68" s="29"/>
      <c r="E68" s="29"/>
      <c r="F68" s="35"/>
      <c r="G68" s="35"/>
      <c r="H68" s="31" t="s">
        <v>11</v>
      </c>
    </row>
    <row r="69" spans="1:8" x14ac:dyDescent="0.2">
      <c r="A69" s="29"/>
      <c r="B69" s="29"/>
      <c r="C69" s="30" t="s">
        <v>10</v>
      </c>
      <c r="D69" s="29"/>
      <c r="E69" s="29" t="s">
        <v>11</v>
      </c>
      <c r="F69" s="32" t="s">
        <v>12</v>
      </c>
      <c r="G69" s="33">
        <v>0</v>
      </c>
      <c r="H69" s="31" t="s">
        <v>11</v>
      </c>
    </row>
    <row r="70" spans="1:8" x14ac:dyDescent="0.2">
      <c r="A70" s="29"/>
      <c r="B70" s="29"/>
      <c r="C70" s="34"/>
      <c r="D70" s="29"/>
      <c r="E70" s="29"/>
      <c r="F70" s="35"/>
      <c r="G70" s="35"/>
      <c r="H70" s="31" t="s">
        <v>11</v>
      </c>
    </row>
    <row r="71" spans="1:8" x14ac:dyDescent="0.2">
      <c r="A71" s="44"/>
      <c r="B71" s="40"/>
      <c r="C71" s="40" t="s">
        <v>103</v>
      </c>
      <c r="D71" s="40"/>
      <c r="E71" s="44"/>
      <c r="F71" s="42">
        <f>168.56537856+0.0000115549850463867</f>
        <v>168.56539011498504</v>
      </c>
      <c r="G71" s="43">
        <v>1.65412E-3</v>
      </c>
      <c r="H71" s="31" t="s">
        <v>11</v>
      </c>
    </row>
    <row r="72" spans="1:8" x14ac:dyDescent="0.2">
      <c r="A72" s="34"/>
      <c r="B72" s="34"/>
      <c r="C72" s="30" t="s">
        <v>104</v>
      </c>
      <c r="D72" s="35"/>
      <c r="E72" s="35"/>
      <c r="F72" s="38">
        <f>101906.157450375+0.0000115549850463867</f>
        <v>101906.15746192999</v>
      </c>
      <c r="G72" s="55">
        <v>1</v>
      </c>
      <c r="H72" s="31" t="s">
        <v>11</v>
      </c>
    </row>
    <row r="73" spans="1:8" x14ac:dyDescent="0.2">
      <c r="A73" s="56"/>
      <c r="B73" s="56"/>
      <c r="C73" s="56"/>
      <c r="D73" s="57"/>
      <c r="E73" s="57"/>
      <c r="F73" s="57"/>
      <c r="G73" s="57"/>
    </row>
    <row r="74" spans="1:8" x14ac:dyDescent="0.2">
      <c r="A74" s="58"/>
      <c r="B74" s="138" t="s">
        <v>582</v>
      </c>
      <c r="C74" s="138"/>
      <c r="D74" s="138"/>
      <c r="E74" s="138"/>
      <c r="F74" s="138"/>
      <c r="G74" s="138"/>
      <c r="H74" s="138"/>
    </row>
    <row r="75" spans="1:8" x14ac:dyDescent="0.2">
      <c r="A75" s="58"/>
      <c r="B75" s="138" t="s">
        <v>583</v>
      </c>
      <c r="C75" s="138"/>
      <c r="D75" s="138"/>
      <c r="E75" s="138"/>
      <c r="F75" s="138"/>
      <c r="G75" s="138"/>
      <c r="H75" s="138"/>
    </row>
    <row r="76" spans="1:8" x14ac:dyDescent="0.2">
      <c r="A76" s="58"/>
      <c r="B76" s="138" t="s">
        <v>584</v>
      </c>
      <c r="C76" s="138"/>
      <c r="D76" s="138"/>
      <c r="E76" s="138"/>
      <c r="F76" s="138"/>
      <c r="G76" s="138"/>
      <c r="H76" s="138"/>
    </row>
    <row r="77" spans="1:8" x14ac:dyDescent="0.2">
      <c r="A77" s="59"/>
      <c r="B77" s="59"/>
      <c r="C77" s="59"/>
      <c r="D77" s="60"/>
      <c r="E77" s="60"/>
      <c r="F77" s="60"/>
      <c r="G77" s="60"/>
    </row>
    <row r="78" spans="1:8" x14ac:dyDescent="0.2">
      <c r="A78" s="59"/>
      <c r="B78" s="131" t="s">
        <v>105</v>
      </c>
      <c r="C78" s="132"/>
      <c r="D78" s="133"/>
      <c r="E78" s="61"/>
      <c r="F78" s="60"/>
      <c r="G78" s="60"/>
    </row>
    <row r="79" spans="1:8" x14ac:dyDescent="0.2">
      <c r="A79" s="59"/>
      <c r="B79" s="134" t="s">
        <v>106</v>
      </c>
      <c r="C79" s="135"/>
      <c r="D79" s="30" t="s">
        <v>107</v>
      </c>
      <c r="E79" s="61"/>
      <c r="F79" s="60"/>
      <c r="G79" s="60"/>
    </row>
    <row r="80" spans="1:8" x14ac:dyDescent="0.2">
      <c r="A80" s="59"/>
      <c r="B80" s="134" t="s">
        <v>108</v>
      </c>
      <c r="C80" s="135"/>
      <c r="D80" s="30" t="s">
        <v>107</v>
      </c>
      <c r="E80" s="61"/>
      <c r="F80" s="60"/>
      <c r="G80" s="60"/>
    </row>
    <row r="81" spans="1:10" x14ac:dyDescent="0.2">
      <c r="A81" s="59"/>
      <c r="B81" s="134" t="s">
        <v>109</v>
      </c>
      <c r="C81" s="135"/>
      <c r="D81" s="35" t="s">
        <v>11</v>
      </c>
      <c r="E81" s="61"/>
      <c r="F81" s="60"/>
      <c r="G81" s="60"/>
    </row>
    <row r="82" spans="1:10" x14ac:dyDescent="0.2">
      <c r="A82" s="18"/>
      <c r="B82" s="62" t="s">
        <v>11</v>
      </c>
      <c r="C82" s="62" t="s">
        <v>585</v>
      </c>
      <c r="D82" s="62" t="s">
        <v>110</v>
      </c>
      <c r="E82" s="18"/>
      <c r="F82" s="18"/>
      <c r="G82" s="18"/>
      <c r="H82" s="63"/>
      <c r="J82"/>
    </row>
    <row r="83" spans="1:10" x14ac:dyDescent="0.2">
      <c r="A83" s="64"/>
      <c r="B83" s="65" t="s">
        <v>111</v>
      </c>
      <c r="C83" s="66">
        <v>45596</v>
      </c>
      <c r="D83" s="66">
        <v>45611</v>
      </c>
      <c r="E83" s="64"/>
      <c r="F83" s="64"/>
      <c r="G83" s="64"/>
    </row>
    <row r="84" spans="1:10" x14ac:dyDescent="0.2">
      <c r="A84" s="64"/>
      <c r="B84" s="40" t="s">
        <v>112</v>
      </c>
      <c r="C84" s="67">
        <v>1321.1559</v>
      </c>
      <c r="D84" s="67">
        <v>1324.5405000000001</v>
      </c>
      <c r="E84" s="64"/>
      <c r="F84" s="68"/>
      <c r="G84" s="69"/>
      <c r="J84"/>
    </row>
    <row r="85" spans="1:10" ht="25.5" x14ac:dyDescent="0.2">
      <c r="A85" s="64"/>
      <c r="B85" s="40" t="s">
        <v>674</v>
      </c>
      <c r="C85" s="67">
        <v>1044.8719000000001</v>
      </c>
      <c r="D85" s="67">
        <v>1042.4935</v>
      </c>
      <c r="E85" s="64"/>
      <c r="F85" s="68"/>
      <c r="G85" s="69"/>
      <c r="J85"/>
    </row>
    <row r="86" spans="1:10" x14ac:dyDescent="0.2">
      <c r="A86" s="64"/>
      <c r="B86" s="40" t="s">
        <v>113</v>
      </c>
      <c r="C86" s="67">
        <v>1313.7695000000001</v>
      </c>
      <c r="D86" s="67">
        <v>1317.0755999999999</v>
      </c>
      <c r="E86" s="64"/>
      <c r="F86" s="68"/>
      <c r="G86" s="69"/>
      <c r="J86"/>
    </row>
    <row r="87" spans="1:10" ht="25.5" x14ac:dyDescent="0.2">
      <c r="A87" s="64"/>
      <c r="B87" s="40" t="s">
        <v>678</v>
      </c>
      <c r="C87" s="67">
        <v>1041.1373000000001</v>
      </c>
      <c r="D87" s="67">
        <v>1038.808</v>
      </c>
      <c r="E87" s="64"/>
      <c r="F87" s="68"/>
      <c r="G87" s="69"/>
      <c r="J87"/>
    </row>
    <row r="88" spans="1:10" ht="25.5" x14ac:dyDescent="0.2">
      <c r="A88" s="64"/>
      <c r="B88" s="50" t="s">
        <v>666</v>
      </c>
      <c r="C88" s="67">
        <v>1000</v>
      </c>
      <c r="D88" s="67">
        <v>1000</v>
      </c>
      <c r="E88" s="64"/>
      <c r="F88" s="68"/>
      <c r="G88" s="69"/>
      <c r="J88"/>
    </row>
    <row r="89" spans="1:10" ht="25.5" x14ac:dyDescent="0.2">
      <c r="A89" s="64"/>
      <c r="B89" s="50" t="s">
        <v>667</v>
      </c>
      <c r="C89" s="67">
        <v>1176.7584999999999</v>
      </c>
      <c r="D89" s="67">
        <v>1179.7735</v>
      </c>
      <c r="E89" s="64"/>
      <c r="F89" s="68"/>
      <c r="G89" s="69"/>
      <c r="J89"/>
    </row>
    <row r="90" spans="1:10" ht="38.25" x14ac:dyDescent="0.2">
      <c r="A90" s="64"/>
      <c r="B90" s="50" t="s">
        <v>668</v>
      </c>
      <c r="C90" s="67">
        <v>1176.7426</v>
      </c>
      <c r="D90" s="67">
        <v>1179.7573</v>
      </c>
      <c r="E90" s="64"/>
      <c r="F90" s="68"/>
      <c r="G90" s="69"/>
      <c r="J90"/>
    </row>
    <row r="91" spans="1:10" ht="38.25" x14ac:dyDescent="0.2">
      <c r="A91" s="64"/>
      <c r="B91" s="50" t="s">
        <v>669</v>
      </c>
      <c r="C91" s="67">
        <v>1000</v>
      </c>
      <c r="D91" s="67">
        <v>1000</v>
      </c>
      <c r="E91" s="64"/>
      <c r="F91" s="68"/>
      <c r="G91" s="69"/>
      <c r="J91"/>
    </row>
    <row r="92" spans="1:10" x14ac:dyDescent="0.2">
      <c r="A92" s="64"/>
      <c r="B92" s="64"/>
      <c r="C92" s="64"/>
      <c r="D92" s="64"/>
      <c r="E92" s="64"/>
      <c r="F92" s="64"/>
      <c r="G92" s="64"/>
      <c r="J92"/>
    </row>
    <row r="93" spans="1:10" x14ac:dyDescent="0.2">
      <c r="A93" s="64"/>
      <c r="B93" s="134" t="s">
        <v>649</v>
      </c>
      <c r="C93" s="135"/>
      <c r="D93" s="30" t="s">
        <v>11</v>
      </c>
      <c r="E93" s="64"/>
      <c r="F93" s="64"/>
      <c r="G93" s="64"/>
      <c r="J93"/>
    </row>
    <row r="94" spans="1:10" x14ac:dyDescent="0.2">
      <c r="A94" s="64"/>
      <c r="B94" s="70" t="s">
        <v>111</v>
      </c>
      <c r="C94" s="71" t="s">
        <v>114</v>
      </c>
      <c r="D94" s="71" t="s">
        <v>115</v>
      </c>
      <c r="E94" s="64"/>
      <c r="F94" s="64"/>
      <c r="G94" s="64"/>
      <c r="J94"/>
    </row>
    <row r="95" spans="1:10" ht="25.5" x14ac:dyDescent="0.2">
      <c r="A95" s="64"/>
      <c r="B95" s="40" t="s">
        <v>674</v>
      </c>
      <c r="C95" s="72">
        <v>5.0556999999999999</v>
      </c>
      <c r="D95" s="44" t="s">
        <v>116</v>
      </c>
      <c r="E95" s="64"/>
      <c r="F95" s="68"/>
      <c r="G95" s="69"/>
      <c r="J95"/>
    </row>
    <row r="96" spans="1:10" ht="25.5" x14ac:dyDescent="0.2">
      <c r="A96" s="64"/>
      <c r="B96" s="40" t="s">
        <v>678</v>
      </c>
      <c r="C96" s="72">
        <v>4.9500999999999999</v>
      </c>
      <c r="D96" s="44" t="s">
        <v>116</v>
      </c>
      <c r="E96" s="64"/>
      <c r="F96" s="68"/>
      <c r="G96" s="69"/>
      <c r="J96"/>
    </row>
    <row r="97" spans="1:21" x14ac:dyDescent="0.2">
      <c r="A97" s="64"/>
      <c r="B97" s="73"/>
      <c r="C97" s="73"/>
      <c r="D97" s="74"/>
      <c r="E97" s="64"/>
      <c r="F97" s="68"/>
      <c r="G97" s="69"/>
      <c r="J97"/>
    </row>
    <row r="98" spans="1:21" x14ac:dyDescent="0.2">
      <c r="A98" s="18"/>
      <c r="B98" s="136" t="s">
        <v>117</v>
      </c>
      <c r="C98" s="137"/>
      <c r="D98" s="17" t="s">
        <v>107</v>
      </c>
      <c r="E98" s="19"/>
      <c r="F98" s="18"/>
      <c r="G98" s="18"/>
      <c r="J98"/>
    </row>
    <row r="99" spans="1:21" x14ac:dyDescent="0.2">
      <c r="A99" s="18"/>
      <c r="B99" s="136" t="s">
        <v>118</v>
      </c>
      <c r="C99" s="137"/>
      <c r="D99" s="17" t="s">
        <v>107</v>
      </c>
      <c r="E99" s="19"/>
      <c r="F99" s="18"/>
      <c r="G99" s="18"/>
      <c r="J99"/>
    </row>
    <row r="100" spans="1:21" x14ac:dyDescent="0.2">
      <c r="A100" s="18"/>
      <c r="B100" s="136" t="s">
        <v>586</v>
      </c>
      <c r="C100" s="137"/>
      <c r="D100" s="17" t="s">
        <v>107</v>
      </c>
      <c r="E100" s="19"/>
      <c r="F100" s="18"/>
      <c r="G100" s="18"/>
      <c r="I100" s="9"/>
      <c r="J100"/>
    </row>
    <row r="101" spans="1:21" x14ac:dyDescent="0.2">
      <c r="A101" s="20"/>
      <c r="B101" s="20"/>
      <c r="C101" s="20"/>
      <c r="D101" s="20"/>
      <c r="E101" s="20"/>
      <c r="F101" s="20"/>
      <c r="G101" s="20"/>
      <c r="I101" s="9"/>
      <c r="J101"/>
    </row>
    <row r="102" spans="1:21" s="11" customFormat="1" x14ac:dyDescent="0.2">
      <c r="B102" s="139" t="s">
        <v>587</v>
      </c>
      <c r="C102" s="140"/>
      <c r="D102" s="141"/>
      <c r="I102" s="9"/>
      <c r="J102"/>
      <c r="K102" s="9"/>
      <c r="L102" s="9"/>
      <c r="M102" s="9"/>
      <c r="N102" s="15"/>
      <c r="Q102"/>
      <c r="R102"/>
      <c r="S102"/>
      <c r="T102"/>
      <c r="U102"/>
    </row>
    <row r="103" spans="1:21" s="11" customFormat="1" ht="38.25" x14ac:dyDescent="0.2">
      <c r="B103" s="129" t="s">
        <v>588</v>
      </c>
      <c r="C103" s="129"/>
      <c r="D103" s="12" t="s">
        <v>560</v>
      </c>
      <c r="I103" s="9"/>
      <c r="J103"/>
      <c r="K103" s="9"/>
      <c r="L103" s="9"/>
      <c r="M103" s="9"/>
      <c r="N103" s="15"/>
      <c r="Q103"/>
      <c r="R103"/>
      <c r="S103"/>
      <c r="T103"/>
      <c r="U103"/>
    </row>
    <row r="104" spans="1:21" s="11" customFormat="1" x14ac:dyDescent="0.2">
      <c r="B104" s="142" t="s">
        <v>589</v>
      </c>
      <c r="C104" s="142"/>
      <c r="D104" s="13"/>
      <c r="I104" s="9"/>
      <c r="J104"/>
      <c r="K104" s="9"/>
      <c r="L104" s="9"/>
      <c r="M104" s="9"/>
      <c r="N104" s="15"/>
    </row>
    <row r="105" spans="1:21" s="11" customFormat="1" x14ac:dyDescent="0.2">
      <c r="B105" s="142"/>
      <c r="C105" s="142"/>
      <c r="D105" s="14"/>
      <c r="I105"/>
      <c r="J105"/>
      <c r="K105" s="9"/>
      <c r="L105" s="9"/>
      <c r="M105" s="9"/>
      <c r="N105" s="15"/>
    </row>
    <row r="106" spans="1:21" s="11" customFormat="1" x14ac:dyDescent="0.2">
      <c r="B106" s="142" t="s">
        <v>590</v>
      </c>
      <c r="C106" s="142"/>
      <c r="D106" s="16">
        <v>6.3495598652120542</v>
      </c>
      <c r="I106"/>
      <c r="J106"/>
      <c r="K106" s="9"/>
      <c r="L106" s="9"/>
      <c r="M106" s="9"/>
      <c r="N106" s="15"/>
    </row>
    <row r="107" spans="1:21" s="11" customFormat="1" x14ac:dyDescent="0.2">
      <c r="B107" s="142"/>
      <c r="C107" s="142"/>
      <c r="D107" s="14"/>
      <c r="I107"/>
      <c r="J107"/>
      <c r="K107" s="9"/>
      <c r="L107" s="9"/>
      <c r="M107" s="9"/>
      <c r="N107" s="15"/>
    </row>
    <row r="108" spans="1:21" s="11" customFormat="1" x14ac:dyDescent="0.2">
      <c r="B108" s="142" t="s">
        <v>670</v>
      </c>
      <c r="C108" s="142"/>
      <c r="D108" s="127">
        <v>3</v>
      </c>
      <c r="I108"/>
      <c r="J108"/>
      <c r="K108" s="9"/>
      <c r="L108" s="9"/>
      <c r="M108" s="9"/>
      <c r="N108" s="15"/>
    </row>
    <row r="109" spans="1:21" s="11" customFormat="1" x14ac:dyDescent="0.2">
      <c r="B109" s="142" t="s">
        <v>671</v>
      </c>
      <c r="C109" s="142"/>
      <c r="D109" s="127">
        <v>3</v>
      </c>
      <c r="I109"/>
      <c r="J109"/>
      <c r="K109" s="9"/>
      <c r="L109" s="9"/>
      <c r="M109" s="9"/>
      <c r="N109" s="15"/>
    </row>
    <row r="110" spans="1:21" s="11" customFormat="1" x14ac:dyDescent="0.2">
      <c r="B110" s="142"/>
      <c r="C110" s="142"/>
      <c r="D110" s="14"/>
      <c r="I110"/>
      <c r="J110"/>
      <c r="K110" s="9"/>
      <c r="L110" s="9"/>
      <c r="M110" s="9"/>
      <c r="N110" s="15"/>
    </row>
    <row r="111" spans="1:21" s="11" customFormat="1" x14ac:dyDescent="0.2">
      <c r="B111" s="142" t="s">
        <v>593</v>
      </c>
      <c r="C111" s="142"/>
      <c r="D111" s="75" t="s">
        <v>681</v>
      </c>
      <c r="I111"/>
      <c r="J111"/>
      <c r="K111" s="9"/>
      <c r="L111" s="9"/>
      <c r="M111" s="9"/>
      <c r="N111" s="15"/>
    </row>
    <row r="112" spans="1:21" s="11" customFormat="1" x14ac:dyDescent="0.2">
      <c r="B112" s="143" t="s">
        <v>594</v>
      </c>
      <c r="C112" s="145"/>
      <c r="D112" s="144"/>
      <c r="I112"/>
      <c r="J112"/>
      <c r="K112" s="9"/>
      <c r="L112" s="9"/>
      <c r="M112" s="9"/>
      <c r="N112" s="15"/>
    </row>
    <row r="113" spans="8:10" x14ac:dyDescent="0.2">
      <c r="H113" s="128"/>
      <c r="J113"/>
    </row>
  </sheetData>
  <mergeCells count="25">
    <mergeCell ref="B109:C109"/>
    <mergeCell ref="B110:C110"/>
    <mergeCell ref="B111:C111"/>
    <mergeCell ref="B112:D112"/>
    <mergeCell ref="B104:C104"/>
    <mergeCell ref="B105:C105"/>
    <mergeCell ref="B106:C106"/>
    <mergeCell ref="B107:C107"/>
    <mergeCell ref="B108:C108"/>
    <mergeCell ref="A1:H1"/>
    <mergeCell ref="A2:H2"/>
    <mergeCell ref="A3:H3"/>
    <mergeCell ref="B74:H74"/>
    <mergeCell ref="B75:H75"/>
    <mergeCell ref="B76:H76"/>
    <mergeCell ref="B100:C100"/>
    <mergeCell ref="B103:C103"/>
    <mergeCell ref="B78:D78"/>
    <mergeCell ref="B79:C79"/>
    <mergeCell ref="B80:C80"/>
    <mergeCell ref="B81:C81"/>
    <mergeCell ref="B93:C93"/>
    <mergeCell ref="B99:C99"/>
    <mergeCell ref="B98:C98"/>
    <mergeCell ref="B102:D102"/>
  </mergeCells>
  <hyperlinks>
    <hyperlink ref="I1" location="Index!B2" display="Index" xr:uid="{0728C1D3-E5F5-48C0-999F-51801A60C312}"/>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 Subramani P - Sundaram Mutual</dc:creator>
  <cp:lastModifiedBy>Swapna.N - Sundaram Mutual</cp:lastModifiedBy>
  <dcterms:created xsi:type="dcterms:W3CDTF">2024-11-18T08:29:04Z</dcterms:created>
  <dcterms:modified xsi:type="dcterms:W3CDTF">2024-12-16T07:15:37Z</dcterms:modified>
</cp:coreProperties>
</file>