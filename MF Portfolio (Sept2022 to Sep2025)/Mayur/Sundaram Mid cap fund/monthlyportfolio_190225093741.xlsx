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U:\Swapna\OPERATIONS\PORTFOLIO\Temp\Final sent\"/>
    </mc:Choice>
  </mc:AlternateContent>
  <xr:revisionPtr revIDLastSave="0" documentId="13_ncr:1_{A465E347-015A-46EF-9956-4E6240BBED81}" xr6:coauthVersionLast="47" xr6:coauthVersionMax="47" xr10:uidLastSave="{00000000-0000-0000-0000-000000000000}"/>
  <bookViews>
    <workbookView xWindow="-120" yWindow="-120" windowWidth="20730" windowHeight="11160" tabRatio="753" xr2:uid="{4201E916-E82E-4851-A414-02717E16A430}"/>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10" l="1"/>
  <c r="G116" i="8"/>
  <c r="F81" i="8"/>
  <c r="F136" i="7"/>
  <c r="J145" i="9" l="1"/>
  <c r="G99" i="9"/>
  <c r="F99" i="9"/>
  <c r="F13" i="9" l="1"/>
  <c r="F30" i="9" s="1"/>
  <c r="F48" i="9" s="1"/>
  <c r="F134" i="7"/>
  <c r="I157" i="6"/>
  <c r="J157" i="6" s="1"/>
  <c r="I156" i="6"/>
  <c r="J156" i="6" s="1"/>
  <c r="I155" i="6"/>
  <c r="J155" i="6" s="1"/>
  <c r="G155" i="6"/>
  <c r="I154" i="6"/>
  <c r="J154" i="6" s="1"/>
  <c r="I159" i="4"/>
  <c r="J159" i="4" s="1"/>
  <c r="I158" i="4"/>
  <c r="J158" i="4" s="1"/>
  <c r="I157" i="4"/>
  <c r="J157" i="4" s="1"/>
  <c r="G13" i="9" l="1"/>
  <c r="G30" i="9" s="1"/>
  <c r="G48" i="9" s="1"/>
  <c r="G89" i="9"/>
  <c r="F89" i="9"/>
  <c r="G72" i="8"/>
  <c r="F72" i="8"/>
  <c r="G124" i="7"/>
  <c r="F124" i="7"/>
  <c r="F137" i="7" s="1"/>
  <c r="G90" i="6"/>
  <c r="F90" i="6"/>
  <c r="G129" i="5"/>
  <c r="F129" i="5"/>
  <c r="G95" i="4"/>
  <c r="F95" i="4"/>
  <c r="G97" i="3"/>
  <c r="F97" i="3"/>
  <c r="G94" i="1"/>
  <c r="F94" i="1"/>
  <c r="G86" i="2"/>
  <c r="F86" i="2"/>
  <c r="G136" i="7" l="1"/>
  <c r="G137" i="7" s="1"/>
  <c r="H165" i="7"/>
</calcChain>
</file>

<file path=xl/sharedStrings.xml><?xml version="1.0" encoding="utf-8"?>
<sst xmlns="http://schemas.openxmlformats.org/spreadsheetml/2006/main" count="3155" uniqueCount="672">
  <si>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</si>
  <si>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</si>
  <si>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</si>
  <si>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</si>
  <si>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</si>
  <si>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</si>
  <si>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</si>
  <si>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</si>
  <si>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</si>
  <si>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</si>
  <si>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</si>
  <si>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</si>
  <si>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</si>
  <si>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</si>
  <si>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</si>
  <si>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</si>
  <si>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</si>
  <si>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</si>
  <si>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</si>
  <si>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</si>
  <si>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</si>
  <si>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</si>
  <si>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</si>
  <si>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</si>
  <si>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</si>
  <si>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</si>
  <si>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</si>
  <si>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</si>
  <si>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</si>
  <si>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</si>
  <si>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INE261F08EJ7</t>
  </si>
  <si>
    <t>National Bank for Agriculture &amp; Rural Development - 7.64% - 06/12/2029</t>
  </si>
  <si>
    <t>ICRA AAA</t>
  </si>
  <si>
    <t>INE040A08930</t>
  </si>
  <si>
    <t>HDFC Bank Ltd (Prev HDFC Ltd) - 7.65% - 25/05/2033**</t>
  </si>
  <si>
    <t>INE261F08EH1</t>
  </si>
  <si>
    <t>National Bank for Agriculture &amp; Rural Development - 7.62% - 10/05/2029**</t>
  </si>
  <si>
    <t>INE134E08NB7</t>
  </si>
  <si>
    <t>Power Finance Corporation Ltd - 7.32% - 15/07/2039**</t>
  </si>
  <si>
    <t>INE020B08EK4</t>
  </si>
  <si>
    <t>REC LTD - 7.46% - 30/06/2028**</t>
  </si>
  <si>
    <t>INE020B08EL2</t>
  </si>
  <si>
    <t>REC LTD - 7.44% - 30/04/2026**</t>
  </si>
  <si>
    <t>INE053F08304</t>
  </si>
  <si>
    <t>Indian Railway Finance Corporation Ltd - 7.23% - 15/10/2026**</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</si>
  <si>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</si>
  <si>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</si>
  <si>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</si>
  <si>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</si>
  <si>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</si>
  <si>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</si>
  <si>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</si>
  <si>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</si>
  <si>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</si>
  <si>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</si>
  <si>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</si>
  <si>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</si>
  <si>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</si>
  <si>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</si>
  <si>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</si>
  <si>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</si>
  <si>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</si>
  <si>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</si>
  <si>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</si>
  <si>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</si>
  <si>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</si>
  <si>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</si>
  <si>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</si>
  <si>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</si>
  <si>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</si>
  <si>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</si>
  <si>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</si>
  <si>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</si>
  <si>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</si>
  <si>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</si>
  <si>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</si>
  <si>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</si>
  <si>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</si>
  <si>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</si>
  <si>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</si>
  <si>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IN3120240400</t>
  </si>
  <si>
    <t>6.96% Tamil Nadu State Government Securities - 04/12/2028</t>
  </si>
  <si>
    <t>IN0020240035</t>
  </si>
  <si>
    <t>7.34% Central Government Securities 22/04/2064</t>
  </si>
  <si>
    <t>IN0020230101</t>
  </si>
  <si>
    <t>7.37% Government Securities-23/10/2028</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</si>
  <si>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</si>
  <si>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</si>
  <si>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</si>
  <si>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</si>
  <si>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</si>
  <si>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</si>
  <si>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</si>
  <si>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</si>
  <si>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</si>
  <si>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</si>
  <si>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</si>
  <si>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</si>
  <si>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</si>
  <si>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</si>
  <si>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</si>
  <si>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</si>
  <si>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</si>
  <si>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</si>
  <si>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</si>
  <si>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</si>
  <si>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</si>
  <si>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</si>
  <si>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</si>
  <si>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</si>
  <si>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</si>
  <si>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</si>
  <si>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</si>
  <si>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</si>
  <si>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</si>
  <si>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</si>
  <si>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</si>
  <si>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</si>
  <si>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</si>
  <si>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</si>
  <si>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</si>
  <si>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</si>
  <si>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</si>
  <si>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</si>
  <si>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</si>
  <si>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</si>
  <si>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</si>
  <si>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</si>
  <si>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</si>
  <si>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</si>
  <si>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</si>
  <si>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</si>
  <si>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</si>
  <si>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</si>
  <si>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</si>
  <si>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</si>
  <si>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IN0020240027</t>
  </si>
  <si>
    <t>7.23% Central Government Securities 15/04/2039</t>
  </si>
  <si>
    <t>Direct Plan - Bonus</t>
  </si>
  <si>
    <t>Regular Plan - Bonus</t>
  </si>
  <si>
    <t>Sundaram Money Market Fund</t>
  </si>
  <si>
    <t>INE090AD6147</t>
  </si>
  <si>
    <t>ICICI Bank Ltd - 17/03/2025</t>
  </si>
  <si>
    <t>ICRA A1+</t>
  </si>
  <si>
    <t>INE028A16GR2</t>
  </si>
  <si>
    <t>Bank of Baroda - 15/05/2025**</t>
  </si>
  <si>
    <t>IND A1+</t>
  </si>
  <si>
    <t>INE949L16CY1</t>
  </si>
  <si>
    <t>AU Small Finance Bank Ltd - 28/10/2025**</t>
  </si>
  <si>
    <t>CRISIL A1+</t>
  </si>
  <si>
    <t>INE171A16MK3</t>
  </si>
  <si>
    <t>The Federal Bank Ltd - 25/11/2025**</t>
  </si>
  <si>
    <t>INE084A16CS2</t>
  </si>
  <si>
    <t>Bank of India - 28/11/2025**</t>
  </si>
  <si>
    <t>INE040A16FY5</t>
  </si>
  <si>
    <t>HDFC Bank Ltd - 04/12/2025**</t>
  </si>
  <si>
    <t>INE556F16AX2</t>
  </si>
  <si>
    <t>Small Industries Development Bank of India - 05/12/2025**</t>
  </si>
  <si>
    <t>INE095A16X85</t>
  </si>
  <si>
    <t>IndusInd Bank Ltd - 05/12/2025**</t>
  </si>
  <si>
    <t>INE476A16A24</t>
  </si>
  <si>
    <t>Canara Bank - 03/02/2026**</t>
  </si>
  <si>
    <t>INE562A16OA0</t>
  </si>
  <si>
    <t>Indian Bank - 04/02/2026**</t>
  </si>
  <si>
    <t>INE261F16934</t>
  </si>
  <si>
    <t>National Bank for Agriculture &amp; Rural Development - 05/02/2026**</t>
  </si>
  <si>
    <t>INE261F16959</t>
  </si>
  <si>
    <t>INE092T16XM4</t>
  </si>
  <si>
    <t>IDFC First Bank Ltd - 28/05/2025**</t>
  </si>
  <si>
    <t>INE476A16YB0</t>
  </si>
  <si>
    <t>Canara Bank - 20/03/2025**</t>
  </si>
  <si>
    <t>INE040A16GC9</t>
  </si>
  <si>
    <t>HDFC Bank Ltd - 24/03/2025**</t>
  </si>
  <si>
    <t>INE562A16MZ1</t>
  </si>
  <si>
    <t>Indian Bank - 23/05/2025**</t>
  </si>
  <si>
    <t>INE092T16XX1</t>
  </si>
  <si>
    <t>IDFC First Bank Ltd - 23/01/2026**</t>
  </si>
  <si>
    <t>INE01GA16228</t>
  </si>
  <si>
    <t>DBS Bank India Ltd - 07/03/2025**</t>
  </si>
  <si>
    <t>INE160A16QQ4</t>
  </si>
  <si>
    <t>Punjab National Bank - 27/03/2025**</t>
  </si>
  <si>
    <t>INE095A16X69</t>
  </si>
  <si>
    <t>IndusInd Bank Ltd - 21/11/2025**</t>
  </si>
  <si>
    <t>INE476A16ZQ5</t>
  </si>
  <si>
    <t>Canara Bank - 12/12/2025**</t>
  </si>
  <si>
    <t>INE090AD6170</t>
  </si>
  <si>
    <t>ICICI Bank Ltd - 25/07/2025**</t>
  </si>
  <si>
    <t>INE028A16GP6</t>
  </si>
  <si>
    <t>Bank of Baroda - 05/05/2025**</t>
  </si>
  <si>
    <t>INE238AD6967</t>
  </si>
  <si>
    <t>Axis Bank Ltd - 19/05/2025**</t>
  </si>
  <si>
    <t>INE238AD6835</t>
  </si>
  <si>
    <t>Axis Bank Ltd - 06/06/2025**</t>
  </si>
  <si>
    <t>INE040A16FA5</t>
  </si>
  <si>
    <t>HDFC Bank Ltd - 24/06/2025**</t>
  </si>
  <si>
    <t>INE403D14544</t>
  </si>
  <si>
    <t>Bharti Telecom Ltd - 17/10/2025</t>
  </si>
  <si>
    <t>INE824H14QT9</t>
  </si>
  <si>
    <t>Julius Baer Capital (India) Private Ltd - 17/06/2025**</t>
  </si>
  <si>
    <t>INE572E14JM1</t>
  </si>
  <si>
    <t>PNB Housing Finance Ltd - 25/09/2025**</t>
  </si>
  <si>
    <t>INE115A14EX5</t>
  </si>
  <si>
    <t>LIC Housing Finance Ltd - 21/03/2025**</t>
  </si>
  <si>
    <t>INE556F14KU2</t>
  </si>
  <si>
    <t>Small Industries Development Bank of India - 24/03/2025**</t>
  </si>
  <si>
    <t>INE556F14KH9</t>
  </si>
  <si>
    <t>Small Industries Development Bank of India - 28/05/2025**</t>
  </si>
  <si>
    <t>IN002024Y290</t>
  </si>
  <si>
    <t>182 Days - T Bill - 01/05/2025</t>
  </si>
  <si>
    <t>IN002024Y332</t>
  </si>
  <si>
    <t>182 Days - T Bill - 29/05/2025</t>
  </si>
  <si>
    <t>Sundaram Low Duration Fund</t>
  </si>
  <si>
    <t>INE134E08KT5</t>
  </si>
  <si>
    <t>Power Finance Corporation Ltd - 7.17% - 22/05/2025**</t>
  </si>
  <si>
    <t>INE477A07373</t>
  </si>
  <si>
    <t>Can Fin Homes Ltd - 8.45% - 27/05/2026**</t>
  </si>
  <si>
    <t>IND AA+</t>
  </si>
  <si>
    <t>INE721A07SB0</t>
  </si>
  <si>
    <t>Shriram Finance Ltd - 9.2% - 22/05/2026**</t>
  </si>
  <si>
    <t>CRISIL AA+</t>
  </si>
  <si>
    <t>INE020B08ED9</t>
  </si>
  <si>
    <t>REC LTD - 7.56% - 30/06/2026**</t>
  </si>
  <si>
    <t>INE115A07OY6</t>
  </si>
  <si>
    <t>LIC Housing Finance Ltd - 5.776% - 11/09/2025**</t>
  </si>
  <si>
    <t>INE403D08181</t>
  </si>
  <si>
    <t>Bharti Telecom Ltd - 8.9% - 04/12/2025**</t>
  </si>
  <si>
    <t>INE572E07183</t>
  </si>
  <si>
    <t>PNB Housing Finance Ltd - 8.15% - 29/07/2027**</t>
  </si>
  <si>
    <t>INE020B08EM0</t>
  </si>
  <si>
    <t>REC LTD - 7.64% - 30/06/2026**</t>
  </si>
  <si>
    <t>INE523H07CB9</t>
  </si>
  <si>
    <t>JM Financial Products Ltd - 8.92% - 16/11/2026**</t>
  </si>
  <si>
    <t>CRISIL AA</t>
  </si>
  <si>
    <t>INE414G07HI7</t>
  </si>
  <si>
    <t>Muthoot Finance Ltd - 8.3% - 06/01/2026**</t>
  </si>
  <si>
    <t>INE261F08DP6</t>
  </si>
  <si>
    <t>National Bank for Agriculture &amp; Rural Development - 7.35% - 08/07/2025**</t>
  </si>
  <si>
    <t>INE233A08121</t>
  </si>
  <si>
    <t>Godrej Industries Ltd - 8.36% - 28/08/2026**</t>
  </si>
  <si>
    <t>INE721A07RU2</t>
  </si>
  <si>
    <t>Shriram Finance Ltd - 9.25% - 19/12/2025**</t>
  </si>
  <si>
    <t>INE020B08FF1</t>
  </si>
  <si>
    <t>REC LTD - 7.56% - 31/08/2027**</t>
  </si>
  <si>
    <t>INE121A07QT9</t>
  </si>
  <si>
    <t>Cholamandalam Investment and Finance Co Ltd - 8.45% - 21/11/2025**</t>
  </si>
  <si>
    <t>ICRA AA+</t>
  </si>
  <si>
    <t>INE414G07JL7</t>
  </si>
  <si>
    <t>Muthoot Finance Ltd - 8.65% - 31/01/2028</t>
  </si>
  <si>
    <t>IN0020220037</t>
  </si>
  <si>
    <t>7.38% Central Government Securities 20/06/2027</t>
  </si>
  <si>
    <t>IN0020240050</t>
  </si>
  <si>
    <t>7.04% Central Government Securities 03/06/2029</t>
  </si>
  <si>
    <t>INE949L16CX3</t>
  </si>
  <si>
    <t>AU Small Finance Bank Ltd - 01/10/2025**</t>
  </si>
  <si>
    <t>INE476A16ZR3</t>
  </si>
  <si>
    <t>Canara Bank - 15/05/2025</t>
  </si>
  <si>
    <t>INE237A168Y2</t>
  </si>
  <si>
    <t>Kotak Mahindra Bank Ltd - 04/12/2025**</t>
  </si>
  <si>
    <t>Sundaram Liquid Fund</t>
  </si>
  <si>
    <t>INE115A07PQ9</t>
  </si>
  <si>
    <t>LIC Housing Finance Ltd - 5.9943% - 12/03/2025**</t>
  </si>
  <si>
    <t>INE040A16EU6</t>
  </si>
  <si>
    <t>HDFC Bank Ltd - 12/03/2025</t>
  </si>
  <si>
    <t>INE562A16MT4</t>
  </si>
  <si>
    <t>Indian Bank - 10/03/2025</t>
  </si>
  <si>
    <t>INE692A16HP7</t>
  </si>
  <si>
    <t>Union Bank of India - 18/03/2025</t>
  </si>
  <si>
    <t>INE562A16NZ9</t>
  </si>
  <si>
    <t>Indian Bank - 06/05/2025**</t>
  </si>
  <si>
    <t>INE040A16ER2</t>
  </si>
  <si>
    <t>HDFC Bank Ltd - 06/03/2025**</t>
  </si>
  <si>
    <t>INE562A16MR8</t>
  </si>
  <si>
    <t>Indian Bank - 13/03/2025**</t>
  </si>
  <si>
    <t>INE692A16HF8</t>
  </si>
  <si>
    <t>Union Bank of India - 26/03/2025**</t>
  </si>
  <si>
    <t>INE692A16IQ3</t>
  </si>
  <si>
    <t>Union Bank of India - 06/05/2025**</t>
  </si>
  <si>
    <t>INE476A16A40</t>
  </si>
  <si>
    <t>Canara Bank - 08/05/2025**</t>
  </si>
  <si>
    <t>INE160A16QZ5</t>
  </si>
  <si>
    <t>Punjab National Bank - 08/05/2025**</t>
  </si>
  <si>
    <t>INE008A16X81</t>
  </si>
  <si>
    <t>IDBI Bank Ltd - 08/05/2025**</t>
  </si>
  <si>
    <t>INE01GA16236</t>
  </si>
  <si>
    <t>DBS Bank India Ltd - 19/03/2025**</t>
  </si>
  <si>
    <t>INE160A16QP6</t>
  </si>
  <si>
    <t>Punjab National Bank - 20/03/2025**</t>
  </si>
  <si>
    <t>INE514E16CH3</t>
  </si>
  <si>
    <t>Export Import Bank of India - 24/03/2025**</t>
  </si>
  <si>
    <t>INE261F16868</t>
  </si>
  <si>
    <t>National Bank for Agriculture &amp; Rural Development - 26/03/2025**</t>
  </si>
  <si>
    <t>INE028A16HM1</t>
  </si>
  <si>
    <t>Bank of Baroda - 17/04/2025**</t>
  </si>
  <si>
    <t>INE084A16CN3</t>
  </si>
  <si>
    <t>Bank of India - 03/03/2025**</t>
  </si>
  <si>
    <t>INE476A16ZC5</t>
  </si>
  <si>
    <t>Canara Bank - 07/03/2025**</t>
  </si>
  <si>
    <t>INE261F16835</t>
  </si>
  <si>
    <t>National Bank for Agriculture &amp; Rural Development - 07/03/2025**</t>
  </si>
  <si>
    <t>INE160A16OP1</t>
  </si>
  <si>
    <t>Punjab National Bank - 11/03/2025</t>
  </si>
  <si>
    <t>INE040A16GG0</t>
  </si>
  <si>
    <t>HDFC Bank Ltd - 09/05/2025**</t>
  </si>
  <si>
    <t>INE160A16QO9</t>
  </si>
  <si>
    <t>Punjab National Bank - 13/03/2025**</t>
  </si>
  <si>
    <t>INE976I14PP5</t>
  </si>
  <si>
    <t>Tata Capital Ltd - 08/05/2025**</t>
  </si>
  <si>
    <t>INE556F14KR8</t>
  </si>
  <si>
    <t>Small Industries Development Bank of India - 12/03/2025**</t>
  </si>
  <si>
    <t>INE261F14MZ4</t>
  </si>
  <si>
    <t>National Bank for Agriculture &amp; Rural Development - 07/05/2025**</t>
  </si>
  <si>
    <t>INE891D14ZI1</t>
  </si>
  <si>
    <t>Redington Ltd - 27/02/2025**</t>
  </si>
  <si>
    <t>INE556F14KQ0</t>
  </si>
  <si>
    <t>Small Industries Development Bank of India - 06/03/2025</t>
  </si>
  <si>
    <t>INE261F14MP5</t>
  </si>
  <si>
    <t>National Bank for Agriculture &amp; Rural Development - 13/03/2025**</t>
  </si>
  <si>
    <t>INE0DZE14172</t>
  </si>
  <si>
    <t>Kisetsu Saison Finance - 20/03/2025**</t>
  </si>
  <si>
    <t>INE261F14MV3</t>
  </si>
  <si>
    <t>National Bank for Agriculture &amp; Rural Development - 28/04/2025**</t>
  </si>
  <si>
    <t>INE514E14SP7</t>
  </si>
  <si>
    <t>Export Import Bank of India - 07/05/2025**</t>
  </si>
  <si>
    <t>INE477S14CX5</t>
  </si>
  <si>
    <t>Tata Motors Finance Ltd - 07/05/2025**</t>
  </si>
  <si>
    <t>INE763G14WY9</t>
  </si>
  <si>
    <t>ICICI Securities Ltd - 08/05/2025**</t>
  </si>
  <si>
    <t>INE071G14GH5</t>
  </si>
  <si>
    <t>ICICI Home Finance Company Ltd - 13/03/2025**</t>
  </si>
  <si>
    <t>INE233A14X49</t>
  </si>
  <si>
    <t>Godrej Industries Ltd - 20/03/2025**</t>
  </si>
  <si>
    <t>INE212K14AL2</t>
  </si>
  <si>
    <t>SBI Cap securities Ltd - 20/03/2025**</t>
  </si>
  <si>
    <t>INE824H14QY9</t>
  </si>
  <si>
    <t>Julius Baer Capital (India) Private Ltd - 20/03/2025**</t>
  </si>
  <si>
    <t>INE763G14WK8</t>
  </si>
  <si>
    <t>ICICI Securities Ltd - 21/03/2025**</t>
  </si>
  <si>
    <t>INE338I14JA3</t>
  </si>
  <si>
    <t>Motilal Oswal Financial Services Ltd - 22/04/2025**</t>
  </si>
  <si>
    <t>INE261F14MY7</t>
  </si>
  <si>
    <t>National Bank for Agriculture &amp; Rural Development - 06/05/2025**</t>
  </si>
  <si>
    <t>INE233A14Z62</t>
  </si>
  <si>
    <t>Godrej Industries Ltd - 09/05/2025**</t>
  </si>
  <si>
    <t>INE071G14GF9</t>
  </si>
  <si>
    <t>ICICI Home Finance Company Ltd - 07/03/2025**</t>
  </si>
  <si>
    <t>INE144H14HF0</t>
  </si>
  <si>
    <t>Deutsche Investments India Private Ltd - 13/03/2025**</t>
  </si>
  <si>
    <t>INE417C14835</t>
  </si>
  <si>
    <t>Pilani Investment and Industries Corporation Ltd. - 13/03/2025**</t>
  </si>
  <si>
    <t>INE115A14EY3</t>
  </si>
  <si>
    <t>LIC Housing Finance Ltd - 18/03/2025**</t>
  </si>
  <si>
    <t>INE850D14TI0</t>
  </si>
  <si>
    <t>Godrej Agrovet Ltd - 18/03/2025**</t>
  </si>
  <si>
    <t>INE865C14MW6</t>
  </si>
  <si>
    <t>Aditya Birla Money Ltd - 20/03/2025**</t>
  </si>
  <si>
    <t>INE700G14NC6</t>
  </si>
  <si>
    <t>HDFC Securities Ltd - 22/04/2025**</t>
  </si>
  <si>
    <t>INE929O14DA0</t>
  </si>
  <si>
    <t>Reliance Retail Ventures Ltd - 09/05/2025**</t>
  </si>
  <si>
    <t>INE763G14WX1</t>
  </si>
  <si>
    <t>ICICI Securities Ltd - 07/05/2025**</t>
  </si>
  <si>
    <t>INE338I14JC9</t>
  </si>
  <si>
    <t>Motilal Oswal Financial Services Ltd - 07/05/2025**</t>
  </si>
  <si>
    <t>INE865C14NA0</t>
  </si>
  <si>
    <t>Aditya Birla Money Ltd - 09/05/2025**</t>
  </si>
  <si>
    <t>INE047A14AC2</t>
  </si>
  <si>
    <t>Grasim Industries Ltd - 28/02/2025</t>
  </si>
  <si>
    <t>INE261F14ML4</t>
  </si>
  <si>
    <t>National Bank for Agriculture &amp; Rural Development - 21/02/2025**</t>
  </si>
  <si>
    <t>INE027214738</t>
  </si>
  <si>
    <t>BOBCARD Ltd - 27/02/2025**</t>
  </si>
  <si>
    <t>IN002024X441</t>
  </si>
  <si>
    <t>91 Days - T Bill - 08/05/2025</t>
  </si>
  <si>
    <t>IN002024X375</t>
  </si>
  <si>
    <t>91 Days - T Bill - 20/03/2025</t>
  </si>
  <si>
    <t>IN002024X425</t>
  </si>
  <si>
    <t>91 Days - T Bill - 24/04/2025</t>
  </si>
  <si>
    <t>IN002024X458</t>
  </si>
  <si>
    <t>91 Days - T Bill - 15/05/2025</t>
  </si>
  <si>
    <t>IN002024Z024</t>
  </si>
  <si>
    <t>364 Days - T Bill - 11/04/2025</t>
  </si>
  <si>
    <t>IN002024Y217</t>
  </si>
  <si>
    <t>182 Days - T Bill - 20/02/2025</t>
  </si>
  <si>
    <t>IN002024X342</t>
  </si>
  <si>
    <t>91 Days - T Bill - 27/02/2025</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</si>
  <si>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</si>
  <si>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</si>
  <si>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</si>
  <si>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</si>
  <si>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</si>
  <si>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</si>
  <si>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</si>
  <si>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</si>
  <si>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</si>
  <si>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</si>
  <si>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</si>
  <si>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</si>
  <si>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</si>
  <si>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</si>
  <si>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</si>
  <si>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Sundaram Ultra Short Duration Fund</t>
  </si>
  <si>
    <t>INE081A08231</t>
  </si>
  <si>
    <t>Tata Steel Ltd - 7.7% - 13/03/2025**</t>
  </si>
  <si>
    <t>CARE AA+</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</si>
  <si>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</si>
  <si>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</si>
  <si>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</si>
  <si>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</si>
  <si>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</si>
  <si>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</si>
  <si>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</si>
  <si>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</si>
  <si>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INE238AD6843</t>
  </si>
  <si>
    <t>Axis Bank Ltd - 05/06/2025**</t>
  </si>
  <si>
    <t>INE692A16IC3</t>
  </si>
  <si>
    <t>Union Bank of India - 04/12/2025**</t>
  </si>
  <si>
    <t>INE095A16Y50</t>
  </si>
  <si>
    <t>IndusInd Bank Ltd - 04/02/2026**</t>
  </si>
  <si>
    <t>INE476A16XV0</t>
  </si>
  <si>
    <t>Canara Bank - 11/03/2025**</t>
  </si>
  <si>
    <t>INE084A16CT0</t>
  </si>
  <si>
    <t>Bank of India - 28/05/2025**</t>
  </si>
  <si>
    <t>INE556F16AS2</t>
  </si>
  <si>
    <t>Small Industries Development Bank of India - 10/06/2025**</t>
  </si>
  <si>
    <t>INE095A16X10</t>
  </si>
  <si>
    <t>IndusInd Bank Ltd - 19/08/2025**</t>
  </si>
  <si>
    <t>INE238AD6884</t>
  </si>
  <si>
    <t>Axis Bank Ltd - 22/08/2025**</t>
  </si>
  <si>
    <t>INE556F16AY0</t>
  </si>
  <si>
    <t>Small Industries Development Bank of India - 13/01/2026**</t>
  </si>
  <si>
    <t>INE040A16GD7</t>
  </si>
  <si>
    <t>HDFC Bank Ltd - 30/01/2026**</t>
  </si>
  <si>
    <t>INE414G14TC1</t>
  </si>
  <si>
    <t>Muthoot Finance Ltd - 25/02/2025**</t>
  </si>
  <si>
    <t>INE477S14CC9</t>
  </si>
  <si>
    <t>Tata Motors Finance Ltd - 11/03/2025**</t>
  </si>
  <si>
    <t>INE514E14SL6</t>
  </si>
  <si>
    <t>Export Import Bank of India - 03/06/2025**</t>
  </si>
  <si>
    <t>INE115A14FF9</t>
  </si>
  <si>
    <t>LIC Housing Finance Ltd - 11/09/2025**</t>
  </si>
  <si>
    <t>INE115A14EV9</t>
  </si>
  <si>
    <t>LIC Housing Finance Ltd - 04/03/2025**</t>
  </si>
  <si>
    <t>INE417C14710</t>
  </si>
  <si>
    <t>Pilani Investment and Industries Corporation Ltd. - 21/03/2025**</t>
  </si>
  <si>
    <t>INE763G14TX7</t>
  </si>
  <si>
    <t>ICICI Securities Ltd - 10/03/2025**</t>
  </si>
  <si>
    <t>IN002024Y241</t>
  </si>
  <si>
    <t>182 Days - T Bill - 13/03/2025</t>
  </si>
  <si>
    <t>IN002024Y324</t>
  </si>
  <si>
    <t>182 Days - T Bill - 23/05/2025</t>
  </si>
  <si>
    <t>IN002024Y233</t>
  </si>
  <si>
    <t>182 Days - T Bill - 06/03/2025</t>
  </si>
  <si>
    <t>Sundaram Medium Duration Fund</t>
  </si>
  <si>
    <t>IN0020210186</t>
  </si>
  <si>
    <t>5.74% Central Government Securities 15/11/2026</t>
  </si>
  <si>
    <t>Sundaram Conservative Hybrid Fund</t>
  </si>
  <si>
    <t>INE040A01034</t>
  </si>
  <si>
    <t>HDFC Bank Ltd</t>
  </si>
  <si>
    <t>Banks</t>
  </si>
  <si>
    <t>INE090A01021</t>
  </si>
  <si>
    <t>ICICI Bank Ltd</t>
  </si>
  <si>
    <t>INE397D01024</t>
  </si>
  <si>
    <t>Bharti Airtel Ltd</t>
  </si>
  <si>
    <t>Telecom - Services</t>
  </si>
  <si>
    <t>INE002A01018</t>
  </si>
  <si>
    <t>Reliance Industries Ltd</t>
  </si>
  <si>
    <t>Petroleum Products</t>
  </si>
  <si>
    <t>INE009A01021</t>
  </si>
  <si>
    <t>Infosys Ltd</t>
  </si>
  <si>
    <t>It - Software</t>
  </si>
  <si>
    <t>INE860A01027</t>
  </si>
  <si>
    <t>HCL Technologies Ltd</t>
  </si>
  <si>
    <t>INE238A01034</t>
  </si>
  <si>
    <t>Axis Bank Ltd</t>
  </si>
  <si>
    <t>INE062A01020</t>
  </si>
  <si>
    <t>State Bank of India</t>
  </si>
  <si>
    <t>INE154A01025</t>
  </si>
  <si>
    <t>ITC Ltd</t>
  </si>
  <si>
    <t>Diversified Fmcg</t>
  </si>
  <si>
    <t>INE481G01011</t>
  </si>
  <si>
    <t>Ultratech Cement Ltd</t>
  </si>
  <si>
    <t>Cement &amp; Cement Products</t>
  </si>
  <si>
    <t>INE917I01010</t>
  </si>
  <si>
    <t>Bajaj Auto Ltd</t>
  </si>
  <si>
    <t>Automobiles</t>
  </si>
  <si>
    <t>INE797F01020</t>
  </si>
  <si>
    <t>Jubilant Foodworks Ltd</t>
  </si>
  <si>
    <t>Leisure Services</t>
  </si>
  <si>
    <t>INE237A01028</t>
  </si>
  <si>
    <t>Kotak Mahindra Bank Ltd</t>
  </si>
  <si>
    <t>INE018A01030</t>
  </si>
  <si>
    <t>Larsen &amp; Toubro Ltd</t>
  </si>
  <si>
    <t>Construction</t>
  </si>
  <si>
    <t>INE585B01010</t>
  </si>
  <si>
    <t>Maruti Suzuki India Ltd</t>
  </si>
  <si>
    <t>INE196A01026</t>
  </si>
  <si>
    <t>Marico Ltd</t>
  </si>
  <si>
    <t>Agricultural Food &amp; Other Products</t>
  </si>
  <si>
    <t>INE029A01011</t>
  </si>
  <si>
    <t>Bharat Petroleum Corporation Ltd</t>
  </si>
  <si>
    <t>INE854D01024</t>
  </si>
  <si>
    <t>United Spirits Ltd</t>
  </si>
  <si>
    <t>Beverages</t>
  </si>
  <si>
    <t>INE726G01019</t>
  </si>
  <si>
    <t>ICICI Prudential Life Insurance Company Ltd</t>
  </si>
  <si>
    <t>Insurance</t>
  </si>
  <si>
    <t>INE540L01014</t>
  </si>
  <si>
    <t>Alkem Laboratories Ltd</t>
  </si>
  <si>
    <t>Pharmaceuticals &amp; Biotechnology</t>
  </si>
  <si>
    <t>INE047A01021</t>
  </si>
  <si>
    <t>Grasim Industries Ltd</t>
  </si>
  <si>
    <t>INE603J01030</t>
  </si>
  <si>
    <t>PI Industries Ltd</t>
  </si>
  <si>
    <t>Fertilizers &amp; Agrochemicals</t>
  </si>
  <si>
    <t>IN9397D01014</t>
  </si>
  <si>
    <t>Sundaram Overnight Fund</t>
  </si>
  <si>
    <t>IN002023Z521</t>
  </si>
  <si>
    <t>364 Days - T Bill - 06/03/2025</t>
  </si>
  <si>
    <t>IN002024Y225</t>
  </si>
  <si>
    <t>182 Days - T Bill - 27/02/2025</t>
  </si>
  <si>
    <t>IN002024X359</t>
  </si>
  <si>
    <t>91 Days - T Bill - 06/03/2025</t>
  </si>
  <si>
    <t>Reverse Repo</t>
  </si>
  <si>
    <t>S. No.</t>
  </si>
  <si>
    <t>ACRONYM</t>
  </si>
  <si>
    <t>SCHEME NAME</t>
  </si>
  <si>
    <t>SFRLTP</t>
  </si>
  <si>
    <t>SFRSTP</t>
  </si>
  <si>
    <t>SMMF</t>
  </si>
  <si>
    <t>SPLDF</t>
  </si>
  <si>
    <t>SPMON</t>
  </si>
  <si>
    <t>SPSDF</t>
  </si>
  <si>
    <t>SPUSDF</t>
  </si>
  <si>
    <t>SUNBDS</t>
  </si>
  <si>
    <t>SUNMIA</t>
  </si>
  <si>
    <t>SUNONF</t>
  </si>
  <si>
    <t>YTM (%)*</t>
  </si>
  <si>
    <t>Fortnightly Portfolio Statement as on 15 February 2025</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</si>
  <si>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</si>
  <si>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</si>
  <si>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</si>
  <si>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</si>
  <si>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</si>
  <si>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</si>
  <si>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</si>
  <si>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</si>
  <si>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</si>
  <si>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</si>
  <si>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</si>
  <si>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</si>
  <si>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</si>
  <si>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</si>
  <si>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</si>
  <si>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</si>
  <si>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Tier II Benchmark Riskometer :</t>
  </si>
  <si>
    <t xml:space="preserve">                    NIFTY Corporate Bond Index A-II</t>
  </si>
  <si>
    <t xml:space="preserve">               NIFTY AAA Short Duration Bond Index</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</si>
  <si>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</si>
  <si>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</si>
  <si>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</si>
  <si>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</si>
  <si>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</si>
  <si>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AAA Short Duration Bond Index</t>
  </si>
  <si>
    <t>++ Aggregate Investments by Other schemes of Sundaram Mutual Fund - Rs.11,739.67 Lakhs</t>
  </si>
  <si>
    <t xml:space="preserve">                    NIFTY Money Market Index A-I</t>
  </si>
  <si>
    <t xml:space="preserve">                     NIFTY Money Market Index</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</si>
  <si>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</si>
  <si>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</si>
  <si>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</si>
  <si>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</si>
  <si>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</si>
  <si>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</si>
  <si>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</si>
  <si>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</si>
  <si>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</si>
  <si>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</si>
  <si>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</si>
  <si>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</si>
  <si>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</si>
  <si>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</si>
  <si>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</si>
  <si>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</si>
  <si>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</si>
  <si>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</si>
  <si>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</si>
  <si>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</si>
  <si>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</si>
  <si>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</si>
  <si>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</si>
  <si>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</si>
  <si>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</si>
  <si>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</si>
  <si>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</si>
  <si>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</si>
  <si>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</si>
  <si>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</si>
  <si>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 xml:space="preserve">              NIFTY Low Duration Debt Index A-I</t>
  </si>
  <si>
    <t xml:space="preserve">                  NIFTY Low Duration Debt Index</t>
  </si>
  <si>
    <t>++ Aggregate Investments by Other schemes of Sundaram Mutual Fund - Rs.5,252.31 Lakhs</t>
  </si>
  <si>
    <t>Net receivable/ Market value  (Rs. Lakh)</t>
  </si>
  <si>
    <t>% to NAV</t>
  </si>
  <si>
    <t xml:space="preserve">                      NIFTY Liquid Index A-I</t>
  </si>
  <si>
    <t xml:space="preserve">                       NIFTY Liquid Index</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</si>
  <si>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</si>
  <si>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</si>
  <si>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</si>
  <si>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</si>
  <si>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</si>
  <si>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</si>
  <si>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</si>
  <si>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</si>
  <si>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</si>
  <si>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</si>
  <si>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</si>
  <si>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 xml:space="preserve">                NIFTY Short Duration Debt Index</t>
  </si>
  <si>
    <t>Interest Rate Swaps</t>
  </si>
  <si>
    <t>Interest Rate Swaps Pay Fix Receive Floating (11/12/2025) (FV 2500 Lacs)~</t>
  </si>
  <si>
    <t>#</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</si>
  <si>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</si>
  <si>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</si>
  <si>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</si>
  <si>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</si>
  <si>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</si>
  <si>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</si>
  <si>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</si>
  <si>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</si>
  <si>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</si>
  <si>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</si>
  <si>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</si>
  <si>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Total Amount(Principal &amp; Interest)  (Rs. Lakh)</t>
  </si>
  <si>
    <t xml:space="preserve">          NIFTY Ultra Short Duration Debt Index A-I</t>
  </si>
  <si>
    <t xml:space="preserve">              NIFTY Ultra Short Duration Debt Index</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</si>
  <si>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</si>
  <si>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</si>
  <si>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</si>
  <si>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</si>
  <si>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</si>
  <si>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</si>
  <si>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 xml:space="preserve">              NIFTY Medium Duration Debt Index</t>
  </si>
  <si>
    <t>INE0GGX23010</t>
  </si>
  <si>
    <t>Power Grid Infrastructure Investment Trust(InvIT)</t>
  </si>
  <si>
    <t>Power</t>
  </si>
  <si>
    <t>Bharti Airtel Ltd - Partly Paid Right Shares</t>
  </si>
  <si>
    <t>d) IDCW declared during the period (Rupees per unit)</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</si>
  <si>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</si>
  <si>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</si>
  <si>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</si>
  <si>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</si>
  <si>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</si>
  <si>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</si>
  <si>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</si>
  <si>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Benchmark Riskometer :</t>
  </si>
  <si>
    <t xml:space="preserve">      CRISIL Hybrid 85 Plus 15 - Conservative Index</t>
  </si>
  <si>
    <t>Macaulay Duration (Days)</t>
  </si>
  <si>
    <t>Average Maturity (Days)</t>
  </si>
  <si>
    <t xml:space="preserve">                        NIFTY 1D Rate Index</t>
  </si>
  <si>
    <t xml:space="preserve">                         NIFTY 1D Rate Index</t>
  </si>
  <si>
    <t>15-Feb-2025</t>
  </si>
  <si>
    <t>i) Exposure to securities classified as below investment grade or default as on 15-Feb-2025:-</t>
  </si>
  <si>
    <t>h)  Hedging Positions through Swaps as on 15-Feb-2025:-</t>
  </si>
  <si>
    <t>% to AUM as on  15-Feb-2025</t>
  </si>
  <si>
    <t>h) Exposure to securities classified as below investment grade or default as on 15-Feb-2025:-</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</si>
  <si>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</si>
  <si>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</si>
  <si>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</si>
  <si>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</si>
  <si>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</si>
  <si>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</si>
  <si>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</si>
  <si>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</si>
  <si>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</si>
  <si>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National Bank for Agriculture &amp; Rural Development - 17/02/2026**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</si>
</sst>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
    <numFmt numFmtId="173" formatCode="dd\-mmm\-yyyy"/>
    <numFmt numFmtId="174" formatCode="[$-1014009]#,##0;\(#,##0\)"/>
    <numFmt numFmtId="175" formatCode="[$-409]d\-mmm\-yy;@"/>
  </numFmts>
  <fonts count="38" x14ac:knownFonts="1">
    <font>
      <sz val="10"/>
      <name val="Arial"/>
      <charset val="1"/>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sz val="10"/>
      <name val="Arial"/>
      <charset val="1"/>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sz val="10"/>
      <color indexed="8"/>
      <name val="Calibri"/>
      <family val="2"/>
    </font>
    <font>
      <b/>
      <i/>
      <sz val="10"/>
      <color indexed="8"/>
      <name val="Calibri"/>
      <family val="2"/>
    </font>
    <font>
      <b/>
      <sz val="10"/>
      <color indexed="8"/>
      <name val="Calibri"/>
      <family val="2"/>
    </font>
    <font>
      <sz val="10"/>
      <name val="Arial"/>
      <family val="2"/>
    </font>
    <font>
      <sz val="10"/>
      <name val="Calibri"/>
      <family val="2"/>
    </font>
    <font>
      <b/>
      <sz val="10"/>
      <name val="Calibri"/>
      <family val="2"/>
    </font>
    <font>
      <b/>
      <sz val="10"/>
      <name val="Arial"/>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1"/>
      <name val="Aptos Narrow"/>
      <family val="2"/>
      <scheme val="minor"/>
    </font>
  </fonts>
  <fills count="2">
    <fill>
      <patternFill patternType="none"/>
    </fill>
    <fill>
      <patternFill patternType="gray125"/>
    </fill>
  </fills>
  <borders count="2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s>
  <cellStyleXfs count="11">
    <xf numFmtId="0" fontId="0" fillId="0" borderId="0">
      <alignment wrapText="1"/>
    </xf>
    <xf numFmtId="0" fontId="1" fillId="0" borderId="0"/>
    <xf numFmtId="0" fontId="1" fillId="0" borderId="0"/>
    <xf numFmtId="0" fontId="12" fillId="0" borderId="0" applyNumberFormat="0" applyFill="0" applyBorder="0" applyAlignment="0" applyProtection="0">
      <alignment wrapText="1"/>
    </xf>
    <xf numFmtId="164" fontId="6" fillId="0" borderId="0" applyFont="0" applyFill="0" applyBorder="0" applyAlignment="0" applyProtection="0"/>
    <xf numFmtId="0" fontId="19" fillId="0" borderId="0">
      <alignment wrapText="1"/>
    </xf>
    <xf numFmtId="164" fontId="19" fillId="0" borderId="0" applyFont="0" applyFill="0" applyBorder="0" applyAlignment="0" applyProtection="0"/>
    <xf numFmtId="9" fontId="27" fillId="0" borderId="0" applyFont="0" applyFill="0" applyBorder="0" applyAlignment="0" applyProtection="0"/>
    <xf numFmtId="9" fontId="19" fillId="0" borderId="0" applyFont="0" applyFill="0" applyBorder="0" applyAlignment="0" applyProtection="0"/>
    <xf numFmtId="0" fontId="1" fillId="0" borderId="0"/>
    <xf numFmtId="0" fontId="1" fillId="0" borderId="0"/>
  </cellStyleXfs>
  <cellXfs count="217">
    <xf numFmtId="0" fontId="0" fillId="0" borderId="0" xfId="0">
      <alignment wrapText="1"/>
    </xf>
    <xf numFmtId="0" fontId="9" fillId="0" borderId="7" xfId="1" applyFont="1" applyBorder="1" applyAlignment="1">
      <alignment horizontal="center"/>
    </xf>
    <xf numFmtId="0" fontId="10" fillId="0" borderId="7" xfId="1" applyFont="1" applyBorder="1" applyAlignment="1">
      <alignment horizontal="center" vertical="center"/>
    </xf>
    <xf numFmtId="0" fontId="11" fillId="0" borderId="0" xfId="2" applyFont="1"/>
    <xf numFmtId="0" fontId="11" fillId="0" borderId="7" xfId="1" applyFont="1" applyBorder="1" applyAlignment="1">
      <alignment horizontal="center"/>
    </xf>
    <xf numFmtId="0" fontId="13" fillId="0" borderId="7" xfId="3" applyFont="1" applyFill="1" applyBorder="1" applyAlignment="1">
      <alignment vertical="center"/>
    </xf>
    <xf numFmtId="0" fontId="14" fillId="0" borderId="7" xfId="1" applyFont="1" applyBorder="1" applyAlignment="1">
      <alignment vertical="top"/>
    </xf>
    <xf numFmtId="164" fontId="20" fillId="0" borderId="10" xfId="6" applyFont="1" applyFill="1" applyBorder="1" applyAlignment="1">
      <alignment vertical="center"/>
    </xf>
    <xf numFmtId="164" fontId="24" fillId="0" borderId="10" xfId="6" applyFont="1" applyFill="1" applyBorder="1" applyAlignment="1">
      <alignment vertical="center"/>
    </xf>
    <xf numFmtId="4" fontId="26" fillId="0" borderId="10" xfId="7" applyNumberFormat="1" applyFont="1" applyFill="1" applyBorder="1"/>
    <xf numFmtId="10" fontId="24" fillId="0" borderId="10" xfId="8" applyNumberFormat="1" applyFont="1" applyFill="1" applyBorder="1" applyAlignment="1">
      <alignment vertical="center"/>
    </xf>
    <xf numFmtId="4" fontId="26" fillId="0" borderId="0" xfId="7" applyNumberFormat="1" applyFont="1" applyFill="1" applyBorder="1"/>
    <xf numFmtId="0" fontId="2" fillId="0" borderId="7" xfId="0" applyFont="1" applyBorder="1" applyAlignment="1">
      <alignment horizontal="center" vertical="center" wrapText="1" readingOrder="1"/>
    </xf>
    <xf numFmtId="164" fontId="15" fillId="0" borderId="7" xfId="4" applyFont="1" applyFill="1" applyBorder="1" applyAlignment="1">
      <alignment horizontal="center" vertical="center" wrapText="1" readingOrder="1"/>
    </xf>
    <xf numFmtId="0" fontId="0" fillId="0" borderId="0" xfId="0" applyAlignment="1">
      <alignment horizontal="center" vertical="center" wrapText="1"/>
    </xf>
    <xf numFmtId="0" fontId="3" fillId="0" borderId="8" xfId="0" applyFont="1" applyBorder="1" applyAlignment="1">
      <alignment horizontal="right" vertical="top" wrapText="1" readingOrder="1"/>
    </xf>
    <xf numFmtId="0" fontId="4" fillId="0" borderId="8" xfId="0" applyFont="1" applyBorder="1" applyAlignment="1">
      <alignment horizontal="left" vertical="center" wrapText="1" readingOrder="1"/>
    </xf>
    <xf numFmtId="166" fontId="16" fillId="0" borderId="9" xfId="0" applyNumberFormat="1" applyFont="1" applyBorder="1" applyAlignment="1">
      <alignment horizontal="right"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8" fontId="3"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170"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17" fillId="0" borderId="0" xfId="0" applyFont="1" applyAlignment="1">
      <alignment horizontal="left" vertical="center" wrapText="1" readingOrder="1"/>
    </xf>
    <xf numFmtId="0" fontId="16" fillId="0" borderId="0" xfId="0" applyFont="1" applyAlignment="1">
      <alignment horizontal="lef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5" fillId="0" borderId="6" xfId="0" applyFont="1" applyBorder="1" applyAlignment="1">
      <alignment horizontal="right" vertical="center" wrapText="1" readingOrder="1"/>
    </xf>
    <xf numFmtId="0" fontId="16" fillId="0" borderId="0" xfId="0" applyFont="1" applyAlignment="1">
      <alignment horizontal="right" vertical="top" wrapText="1" readingOrder="1"/>
    </xf>
    <xf numFmtId="0" fontId="18" fillId="0" borderId="4" xfId="0" applyFont="1" applyBorder="1" applyAlignment="1">
      <alignment horizontal="right" vertical="top" wrapText="1" readingOrder="1"/>
    </xf>
    <xf numFmtId="0" fontId="18" fillId="0" borderId="4" xfId="0" applyFont="1" applyBorder="1" applyAlignment="1">
      <alignment horizontal="left" vertical="top" wrapText="1" readingOrder="1"/>
    </xf>
    <xf numFmtId="173" fontId="18" fillId="0" borderId="4" xfId="0" applyNumberFormat="1" applyFont="1" applyBorder="1" applyAlignment="1">
      <alignment horizontal="right" vertical="top" wrapText="1" readingOrder="1"/>
    </xf>
    <xf numFmtId="0" fontId="3" fillId="0" borderId="0" xfId="0" applyFont="1" applyAlignment="1">
      <alignment horizontal="right" vertical="top" wrapText="1" readingOrder="1"/>
    </xf>
    <xf numFmtId="171"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18" fillId="0" borderId="20" xfId="0" applyFont="1" applyBorder="1" applyAlignment="1">
      <alignment horizontal="left" vertical="center" wrapText="1" readingOrder="1"/>
    </xf>
    <xf numFmtId="0" fontId="0" fillId="0" borderId="0" xfId="0" applyAlignment="1">
      <alignment horizontal="center" vertical="top" readingOrder="1"/>
    </xf>
    <xf numFmtId="0" fontId="16" fillId="0" borderId="6" xfId="0" applyFont="1" applyBorder="1" applyAlignment="1">
      <alignment horizontal="right" vertical="top" wrapText="1" readingOrder="1"/>
    </xf>
    <xf numFmtId="0" fontId="19" fillId="0" borderId="0" xfId="5">
      <alignment wrapText="1"/>
    </xf>
    <xf numFmtId="0" fontId="20" fillId="0" borderId="0" xfId="0" applyFont="1" applyAlignment="1">
      <alignment vertical="center" wrapText="1"/>
    </xf>
    <xf numFmtId="0" fontId="0" fillId="0" borderId="0" xfId="0" applyAlignment="1">
      <alignment vertical="center" wrapText="1"/>
    </xf>
    <xf numFmtId="0" fontId="21" fillId="0" borderId="10" xfId="0" applyFont="1" applyBorder="1" applyAlignment="1">
      <alignment horizontal="center" vertical="center" wrapText="1"/>
    </xf>
    <xf numFmtId="0" fontId="20" fillId="0" borderId="10" xfId="0" applyFont="1" applyBorder="1" applyAlignment="1">
      <alignment vertical="center" wrapText="1"/>
    </xf>
    <xf numFmtId="0" fontId="20" fillId="0" borderId="10" xfId="0" applyFont="1" applyBorder="1" applyAlignment="1">
      <alignment horizontal="justify" vertical="center" wrapText="1"/>
    </xf>
    <xf numFmtId="172" fontId="18" fillId="0" borderId="20" xfId="0" applyNumberFormat="1" applyFont="1" applyBorder="1" applyAlignment="1">
      <alignment horizontal="left" vertical="center" wrapText="1" readingOrder="1"/>
    </xf>
    <xf numFmtId="174" fontId="18" fillId="0" borderId="20" xfId="0" applyNumberFormat="1" applyFont="1" applyBorder="1" applyAlignment="1">
      <alignment horizontal="left" vertical="center" wrapText="1" readingOrder="1"/>
    </xf>
    <xf numFmtId="174" fontId="18" fillId="0" borderId="20" xfId="0" quotePrefix="1" applyNumberFormat="1" applyFont="1" applyBorder="1" applyAlignment="1">
      <alignment horizontal="left" vertical="center" wrapText="1" readingOrder="1"/>
    </xf>
    <xf numFmtId="164" fontId="0" fillId="0" borderId="0" xfId="6" applyFont="1" applyFill="1" applyAlignment="1">
      <alignment wrapText="1"/>
    </xf>
    <xf numFmtId="0" fontId="22" fillId="0" borderId="0" xfId="0" applyFont="1">
      <alignment wrapText="1"/>
    </xf>
    <xf numFmtId="0" fontId="22" fillId="0" borderId="0" xfId="0" applyFont="1" applyAlignment="1"/>
    <xf numFmtId="0" fontId="0" fillId="0" borderId="0" xfId="0" applyAlignment="1"/>
    <xf numFmtId="167" fontId="16" fillId="0" borderId="4" xfId="0" applyNumberFormat="1" applyFont="1" applyBorder="1" applyAlignment="1">
      <alignment horizontal="right" vertical="center" wrapText="1" readingOrder="1"/>
    </xf>
    <xf numFmtId="0" fontId="16" fillId="0" borderId="4" xfId="0" applyFont="1" applyBorder="1" applyAlignment="1">
      <alignment horizontal="left" vertical="center" wrapText="1" readingOrder="1"/>
    </xf>
    <xf numFmtId="168" fontId="16" fillId="0" borderId="4" xfId="0" applyNumberFormat="1" applyFont="1" applyBorder="1" applyAlignment="1">
      <alignment horizontal="right" vertical="center" wrapText="1" readingOrder="1"/>
    </xf>
    <xf numFmtId="166" fontId="16" fillId="0" borderId="4" xfId="0" applyNumberFormat="1" applyFont="1" applyBorder="1" applyAlignment="1">
      <alignment horizontal="right" vertical="center" wrapText="1" readingOrder="1"/>
    </xf>
    <xf numFmtId="165" fontId="16" fillId="0" borderId="4" xfId="0" applyNumberFormat="1" applyFont="1" applyBorder="1" applyAlignment="1">
      <alignment horizontal="right" vertical="center" wrapText="1" readingOrder="1"/>
    </xf>
    <xf numFmtId="166" fontId="16" fillId="0" borderId="10" xfId="0" applyNumberFormat="1" applyFont="1" applyBorder="1" applyAlignment="1">
      <alignment horizontal="right" vertical="center" wrapText="1" readingOrder="1"/>
    </xf>
    <xf numFmtId="0" fontId="22" fillId="0" borderId="0" xfId="0" applyFont="1" applyAlignment="1">
      <alignment horizontal="center" vertical="center" wrapText="1"/>
    </xf>
    <xf numFmtId="0" fontId="16" fillId="0" borderId="4" xfId="0" applyFont="1" applyBorder="1" applyAlignment="1">
      <alignment horizontal="right" vertical="top" wrapText="1" readingOrder="1"/>
    </xf>
    <xf numFmtId="0" fontId="17" fillId="0" borderId="4" xfId="0" applyFont="1" applyBorder="1" applyAlignment="1">
      <alignment horizontal="left" vertical="center" wrapText="1" readingOrder="1"/>
    </xf>
    <xf numFmtId="0" fontId="17" fillId="0" borderId="4" xfId="0" applyFont="1" applyBorder="1" applyAlignment="1">
      <alignment horizontal="right" vertical="center" wrapText="1" readingOrder="1"/>
    </xf>
    <xf numFmtId="0" fontId="18" fillId="0" borderId="4" xfId="0" applyFont="1" applyBorder="1" applyAlignment="1">
      <alignment horizontal="left" vertical="center" wrapText="1" readingOrder="1"/>
    </xf>
    <xf numFmtId="0" fontId="20" fillId="0" borderId="0" xfId="0" applyFont="1">
      <alignment wrapText="1"/>
    </xf>
    <xf numFmtId="169" fontId="16" fillId="0" borderId="4" xfId="0" applyNumberFormat="1" applyFont="1" applyBorder="1" applyAlignment="1">
      <alignment horizontal="right" vertical="center" wrapText="1" readingOrder="1"/>
    </xf>
    <xf numFmtId="166" fontId="18" fillId="0" borderId="4" xfId="0" applyNumberFormat="1" applyFont="1" applyBorder="1" applyAlignment="1">
      <alignment horizontal="right" vertical="center" wrapText="1" readingOrder="1"/>
    </xf>
    <xf numFmtId="165" fontId="18" fillId="0" borderId="4" xfId="0" applyNumberFormat="1" applyFont="1" applyBorder="1" applyAlignment="1">
      <alignment horizontal="right" vertical="center" wrapText="1" readingOrder="1"/>
    </xf>
    <xf numFmtId="14" fontId="20" fillId="0" borderId="10" xfId="0" quotePrefix="1" applyNumberFormat="1" applyFont="1" applyBorder="1" applyAlignment="1">
      <alignment horizontal="justify" vertical="center" wrapText="1"/>
    </xf>
    <xf numFmtId="0" fontId="25" fillId="0" borderId="10" xfId="1" applyFont="1" applyBorder="1" applyAlignment="1">
      <alignment horizontal="center" vertical="center"/>
    </xf>
    <xf numFmtId="0" fontId="25" fillId="0" borderId="10" xfId="1" applyFont="1" applyBorder="1" applyAlignment="1">
      <alignment horizontal="center" vertical="center" wrapText="1"/>
    </xf>
    <xf numFmtId="0" fontId="19" fillId="0" borderId="0" xfId="5" applyAlignment="1">
      <alignment vertical="center" wrapText="1"/>
    </xf>
    <xf numFmtId="0" fontId="26" fillId="0" borderId="10" xfId="1" applyFont="1" applyBorder="1" applyAlignment="1">
      <alignment vertical="center"/>
    </xf>
    <xf numFmtId="0" fontId="26" fillId="0" borderId="10" xfId="1" applyFont="1" applyBorder="1" applyAlignment="1">
      <alignment wrapText="1"/>
    </xf>
    <xf numFmtId="0" fontId="26" fillId="0" borderId="10" xfId="1" applyFont="1" applyBorder="1"/>
    <xf numFmtId="0" fontId="25" fillId="0" borderId="10" xfId="1" applyFont="1" applyBorder="1" applyAlignment="1">
      <alignment horizontal="center"/>
    </xf>
    <xf numFmtId="4" fontId="26" fillId="0" borderId="10" xfId="1" applyNumberFormat="1" applyFont="1" applyBorder="1"/>
    <xf numFmtId="2" fontId="26" fillId="0" borderId="10" xfId="1" applyNumberFormat="1" applyFont="1" applyBorder="1"/>
    <xf numFmtId="4" fontId="19" fillId="0" borderId="10" xfId="5" applyNumberFormat="1" applyBorder="1">
      <alignment wrapText="1"/>
    </xf>
    <xf numFmtId="0" fontId="28" fillId="0" borderId="0" xfId="0" applyFont="1" applyAlignment="1"/>
    <xf numFmtId="0" fontId="12" fillId="0" borderId="0" xfId="3" applyFill="1" applyAlignment="1"/>
    <xf numFmtId="0" fontId="16" fillId="0" borderId="0" xfId="0" applyFont="1" applyAlignment="1">
      <alignment horizontal="right" vertical="center" wrapText="1" readingOrder="1"/>
    </xf>
    <xf numFmtId="0" fontId="7" fillId="0" borderId="0" xfId="10" applyFont="1" applyAlignment="1">
      <alignment horizontal="center" vertical="center"/>
    </xf>
    <xf numFmtId="0" fontId="1" fillId="0" borderId="0" xfId="10" applyAlignment="1">
      <alignment wrapText="1"/>
    </xf>
    <xf numFmtId="4" fontId="8" fillId="0" borderId="0" xfId="10" applyNumberFormat="1" applyFont="1"/>
    <xf numFmtId="0" fontId="36" fillId="0" borderId="0" xfId="10" applyFont="1" applyAlignment="1">
      <alignment wrapText="1"/>
    </xf>
    <xf numFmtId="0" fontId="23" fillId="0" borderId="10" xfId="10" applyFont="1" applyBorder="1" applyAlignment="1">
      <alignment horizontal="center" vertical="center"/>
    </xf>
    <xf numFmtId="0" fontId="23" fillId="0" borderId="0" xfId="10" applyFont="1" applyAlignment="1">
      <alignment horizontal="center" vertical="center"/>
    </xf>
    <xf numFmtId="0" fontId="24" fillId="0" borderId="10" xfId="10" applyFont="1" applyBorder="1" applyAlignment="1">
      <alignment vertical="center"/>
    </xf>
    <xf numFmtId="0" fontId="24" fillId="0" borderId="10" xfId="10" applyFont="1" applyBorder="1" applyAlignment="1">
      <alignment vertical="center" wrapText="1"/>
    </xf>
    <xf numFmtId="0" fontId="24" fillId="0" borderId="0" xfId="10" applyFont="1" applyAlignment="1">
      <alignment horizontal="center" vertical="center"/>
    </xf>
    <xf numFmtId="0" fontId="23" fillId="0" borderId="10" xfId="10" applyFont="1" applyBorder="1" applyAlignment="1">
      <alignment horizontal="center" vertical="center" wrapText="1"/>
    </xf>
    <xf numFmtId="0" fontId="37" fillId="0" borderId="0" xfId="10" applyFont="1" applyAlignment="1">
      <alignment horizontal="center" vertical="center"/>
    </xf>
    <xf numFmtId="0" fontId="24" fillId="0" borderId="10" xfId="10" applyFont="1" applyBorder="1" applyAlignment="1">
      <alignment horizontal="left" vertical="center"/>
    </xf>
    <xf numFmtId="4" fontId="24" fillId="0" borderId="10" xfId="10" applyNumberFormat="1" applyFont="1" applyBorder="1" applyAlignment="1">
      <alignment horizontal="right" vertical="center"/>
    </xf>
    <xf numFmtId="10" fontId="24" fillId="0" borderId="10" xfId="7" applyNumberFormat="1" applyFont="1" applyFill="1" applyBorder="1" applyAlignment="1">
      <alignment vertical="center"/>
    </xf>
    <xf numFmtId="164" fontId="36" fillId="0" borderId="0" xfId="6" applyFont="1" applyFill="1" applyAlignment="1">
      <alignment vertical="center"/>
    </xf>
    <xf numFmtId="164" fontId="24" fillId="0" borderId="0" xfId="6" applyFont="1" applyFill="1" applyAlignment="1">
      <alignment horizontal="center" vertical="center"/>
    </xf>
    <xf numFmtId="172" fontId="18" fillId="0" borderId="4" xfId="0" applyNumberFormat="1" applyFont="1" applyBorder="1" applyAlignment="1">
      <alignment horizontal="left" vertical="center" wrapText="1" readingOrder="1"/>
    </xf>
    <xf numFmtId="174" fontId="18" fillId="0" borderId="4" xfId="0" quotePrefix="1" applyNumberFormat="1" applyFont="1" applyBorder="1" applyAlignment="1">
      <alignment horizontal="left" vertical="center" wrapText="1" readingOrder="1"/>
    </xf>
    <xf numFmtId="0" fontId="17" fillId="0" borderId="10" xfId="0" applyFont="1" applyBorder="1" applyAlignment="1">
      <alignment horizontal="left" vertical="center" wrapText="1" readingOrder="1"/>
    </xf>
    <xf numFmtId="0" fontId="29" fillId="0" borderId="10" xfId="0" applyFont="1" applyBorder="1">
      <alignment wrapText="1"/>
    </xf>
    <xf numFmtId="0" fontId="17" fillId="0" borderId="10" xfId="0" applyFont="1" applyBorder="1" applyAlignment="1">
      <alignment horizontal="right" vertical="center" wrapText="1" readingOrder="1"/>
    </xf>
    <xf numFmtId="0" fontId="0" fillId="0" borderId="10" xfId="0" applyBorder="1">
      <alignment wrapText="1"/>
    </xf>
    <xf numFmtId="0" fontId="30" fillId="0" borderId="10" xfId="0" applyFont="1" applyBorder="1">
      <alignment wrapText="1"/>
    </xf>
    <xf numFmtId="168" fontId="16" fillId="0" borderId="10" xfId="0" applyNumberFormat="1" applyFont="1" applyBorder="1" applyAlignment="1">
      <alignment horizontal="right" vertical="center" wrapText="1" readingOrder="1"/>
    </xf>
    <xf numFmtId="165" fontId="16" fillId="0" borderId="10" xfId="0" applyNumberFormat="1" applyFont="1" applyBorder="1" applyAlignment="1">
      <alignment horizontal="right" vertical="center" wrapText="1" readingOrder="1"/>
    </xf>
    <xf numFmtId="0" fontId="28" fillId="0" borderId="0" xfId="9" applyFont="1"/>
    <xf numFmtId="0" fontId="0" fillId="0" borderId="0" xfId="0" applyAlignment="1">
      <alignment horizontal="center" vertical="center"/>
    </xf>
    <xf numFmtId="0" fontId="31" fillId="0" borderId="7" xfId="0" applyFont="1" applyBorder="1" applyAlignment="1">
      <alignment horizontal="center" vertical="center" wrapText="1"/>
    </xf>
    <xf numFmtId="0" fontId="32" fillId="0" borderId="7" xfId="0" applyFont="1" applyBorder="1" applyAlignment="1">
      <alignment horizontal="center" vertical="center" wrapText="1"/>
    </xf>
    <xf numFmtId="0" fontId="0" fillId="0" borderId="0" xfId="0" applyAlignment="1">
      <alignment vertical="center"/>
    </xf>
    <xf numFmtId="0" fontId="33" fillId="0" borderId="7" xfId="0" applyFont="1" applyBorder="1" applyAlignment="1">
      <alignment vertical="center"/>
    </xf>
    <xf numFmtId="0" fontId="34" fillId="0" borderId="7" xfId="0" applyFont="1" applyBorder="1" applyAlignment="1">
      <alignment vertical="center" wrapText="1"/>
    </xf>
    <xf numFmtId="0" fontId="34" fillId="0" borderId="7" xfId="0" applyFont="1" applyBorder="1" applyAlignment="1">
      <alignment vertical="center"/>
    </xf>
    <xf numFmtId="164" fontId="33" fillId="0" borderId="7" xfId="6" applyFont="1" applyFill="1" applyBorder="1" applyAlignment="1">
      <alignment vertical="center"/>
    </xf>
    <xf numFmtId="175" fontId="33" fillId="0" borderId="7" xfId="0" applyNumberFormat="1" applyFont="1" applyBorder="1" applyAlignment="1">
      <alignment vertical="center"/>
    </xf>
    <xf numFmtId="0" fontId="35" fillId="0" borderId="0" xfId="0" applyFont="1" applyAlignment="1"/>
    <xf numFmtId="0" fontId="21" fillId="0" borderId="0" xfId="0" applyFont="1" applyAlignment="1">
      <alignment vertical="center" readingOrder="1"/>
    </xf>
    <xf numFmtId="0" fontId="21" fillId="0" borderId="0" xfId="0" applyFont="1" applyAlignment="1">
      <alignment horizontal="left" vertical="center" readingOrder="1"/>
    </xf>
    <xf numFmtId="0" fontId="23" fillId="0" borderId="10" xfId="0" applyFont="1" applyBorder="1" applyAlignment="1">
      <alignment vertical="center" wrapText="1"/>
    </xf>
    <xf numFmtId="0" fontId="23" fillId="0" borderId="10" xfId="0" applyFont="1" applyBorder="1" applyAlignment="1">
      <alignment horizontal="center" vertical="center" wrapText="1"/>
    </xf>
    <xf numFmtId="0" fontId="20" fillId="0" borderId="10" xfId="0" applyFont="1" applyBorder="1" applyAlignment="1">
      <alignment vertical="center"/>
    </xf>
    <xf numFmtId="4" fontId="20" fillId="0" borderId="10" xfId="0" applyNumberFormat="1" applyFont="1" applyBorder="1" applyAlignment="1">
      <alignment vertical="center"/>
    </xf>
    <xf numFmtId="0" fontId="21" fillId="0" borderId="7" xfId="0" applyFont="1" applyBorder="1" applyAlignment="1">
      <alignment horizontal="center" vertical="center" wrapText="1"/>
    </xf>
    <xf numFmtId="0" fontId="20" fillId="0" borderId="7" xfId="0" applyFont="1" applyBorder="1" applyAlignment="1">
      <alignment vertical="center" wrapText="1"/>
    </xf>
    <xf numFmtId="0" fontId="20" fillId="0" borderId="7" xfId="0" applyFont="1" applyBorder="1" applyAlignment="1">
      <alignment horizontal="justify" vertical="center" wrapText="1"/>
    </xf>
    <xf numFmtId="0" fontId="28" fillId="0" borderId="0" xfId="0" applyFont="1" applyAlignment="1">
      <alignment horizontal="left" vertical="top" readingOrder="1"/>
    </xf>
    <xf numFmtId="0" fontId="26" fillId="0" borderId="0" xfId="1" applyFont="1"/>
    <xf numFmtId="164" fontId="26" fillId="0" borderId="10" xfId="6" applyFont="1" applyFill="1" applyBorder="1"/>
    <xf numFmtId="43" fontId="26" fillId="0" borderId="10" xfId="1" applyNumberFormat="1" applyFont="1" applyBorder="1"/>
    <xf numFmtId="0" fontId="26" fillId="0" borderId="0" xfId="1" applyFont="1" applyAlignment="1">
      <alignment wrapText="1"/>
    </xf>
    <xf numFmtId="4" fontId="26" fillId="0" borderId="0" xfId="1" applyNumberFormat="1" applyFont="1"/>
    <xf numFmtId="164" fontId="26" fillId="0" borderId="0" xfId="6" applyFont="1" applyFill="1" applyBorder="1"/>
    <xf numFmtId="43" fontId="26" fillId="0" borderId="0" xfId="1" applyNumberFormat="1" applyFont="1"/>
    <xf numFmtId="2" fontId="20" fillId="0" borderId="10" xfId="0" applyNumberFormat="1" applyFont="1" applyBorder="1" applyAlignment="1">
      <alignment vertical="center"/>
    </xf>
    <xf numFmtId="0" fontId="18" fillId="0" borderId="0" xfId="0" applyFont="1" applyAlignment="1">
      <alignment horizontal="left" vertical="center" wrapText="1" readingOrder="1"/>
    </xf>
    <xf numFmtId="0" fontId="23" fillId="0" borderId="0" xfId="0" applyFont="1" applyAlignment="1">
      <alignment vertical="center" wrapText="1"/>
    </xf>
    <xf numFmtId="0" fontId="20" fillId="0" borderId="0" xfId="0" applyFont="1" applyAlignment="1">
      <alignment vertical="center"/>
    </xf>
    <xf numFmtId="0" fontId="20" fillId="0" borderId="0" xfId="0" applyFont="1" applyAlignment="1">
      <alignment horizontal="center" vertical="center" readingOrder="1"/>
    </xf>
    <xf numFmtId="169" fontId="3" fillId="0" borderId="4" xfId="0" applyNumberFormat="1" applyFont="1" applyBorder="1" applyAlignment="1">
      <alignment horizontal="right" vertical="center" wrapText="1" readingOrder="1"/>
    </xf>
    <xf numFmtId="0" fontId="16" fillId="0" borderId="0" xfId="0" applyFont="1" applyAlignment="1">
      <alignment horizontal="left" vertical="center" wrapText="1" readingOrder="1"/>
    </xf>
    <xf numFmtId="0" fontId="18" fillId="0" borderId="10" xfId="0" applyFont="1" applyBorder="1" applyAlignment="1">
      <alignment horizontal="center" vertical="center" wrapText="1" readingOrder="1"/>
    </xf>
    <xf numFmtId="0" fontId="16" fillId="0" borderId="10"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16" fillId="0" borderId="1" xfId="0" applyFont="1" applyBorder="1" applyAlignment="1">
      <alignment horizontal="left" vertical="center" wrapText="1" readingOrder="1"/>
    </xf>
    <xf numFmtId="0" fontId="16" fillId="0" borderId="3" xfId="0" applyFont="1" applyBorder="1" applyAlignment="1">
      <alignment horizontal="left" vertical="center" wrapText="1" readingOrder="1"/>
    </xf>
    <xf numFmtId="0" fontId="21" fillId="0" borderId="11" xfId="0" applyFont="1" applyBorder="1" applyAlignment="1">
      <alignment horizontal="center" vertical="center"/>
    </xf>
    <xf numFmtId="0" fontId="21" fillId="0" borderId="12" xfId="0" applyFont="1" applyBorder="1" applyAlignment="1">
      <alignment horizontal="center" vertical="center"/>
    </xf>
    <xf numFmtId="0" fontId="21" fillId="0" borderId="13" xfId="0" applyFont="1" applyBorder="1" applyAlignment="1">
      <alignment horizontal="center" vertical="center"/>
    </xf>
    <xf numFmtId="0" fontId="2" fillId="0" borderId="7" xfId="0" applyFont="1" applyBorder="1" applyAlignment="1">
      <alignment horizontal="center" vertical="center" wrapText="1" readingOrder="1"/>
    </xf>
    <xf numFmtId="0" fontId="16" fillId="0" borderId="11" xfId="0" applyFont="1" applyBorder="1" applyAlignment="1">
      <alignment horizontal="left" vertical="center" wrapText="1" readingOrder="1"/>
    </xf>
    <xf numFmtId="0" fontId="16" fillId="0" borderId="13" xfId="0" applyFont="1" applyBorder="1" applyAlignment="1">
      <alignment horizontal="left" vertical="center" wrapText="1" readingOrder="1"/>
    </xf>
    <xf numFmtId="0" fontId="16" fillId="0" borderId="12" xfId="0" applyFont="1" applyBorder="1" applyAlignment="1">
      <alignment horizontal="left" vertical="center" wrapText="1" readingOrder="1"/>
    </xf>
    <xf numFmtId="0" fontId="18" fillId="0" borderId="11" xfId="0" applyFont="1" applyBorder="1" applyAlignment="1">
      <alignment horizontal="center" vertical="center" wrapText="1" readingOrder="1"/>
    </xf>
    <xf numFmtId="0" fontId="18" fillId="0" borderId="13" xfId="0" applyFont="1" applyBorder="1" applyAlignment="1">
      <alignment horizontal="center" vertical="center" wrapText="1" readingOrder="1"/>
    </xf>
    <xf numFmtId="0" fontId="16" fillId="0" borderId="0" xfId="0" quotePrefix="1" applyFont="1" applyAlignment="1">
      <alignment horizontal="left" vertical="center" wrapText="1" readingOrder="1"/>
    </xf>
    <xf numFmtId="0" fontId="16" fillId="0" borderId="14" xfId="0" applyFont="1" applyBorder="1" applyAlignment="1">
      <alignment horizontal="left" vertical="center" wrapText="1" readingOrder="1"/>
    </xf>
    <xf numFmtId="0" fontId="25" fillId="0" borderId="10" xfId="1" applyFont="1" applyBorder="1" applyAlignment="1">
      <alignment horizontal="center" wrapText="1"/>
    </xf>
    <xf numFmtId="0" fontId="25" fillId="0" borderId="10" xfId="1" applyFont="1" applyBorder="1" applyAlignment="1">
      <alignment horizontal="center"/>
    </xf>
    <xf numFmtId="164" fontId="26" fillId="0" borderId="10" xfId="6" applyFont="1" applyFill="1" applyBorder="1" applyAlignment="1">
      <alignment horizontal="center"/>
    </xf>
    <xf numFmtId="0" fontId="26" fillId="0" borderId="10" xfId="1" applyFont="1" applyBorder="1" applyAlignment="1">
      <alignment horizontal="center"/>
    </xf>
    <xf numFmtId="0" fontId="25" fillId="0" borderId="15" xfId="1" applyFont="1" applyBorder="1" applyAlignment="1">
      <alignment horizontal="center" vertical="center" wrapText="1"/>
    </xf>
    <xf numFmtId="0" fontId="25" fillId="0" borderId="9" xfId="1" applyFont="1" applyBorder="1" applyAlignment="1">
      <alignment horizontal="center" vertical="center" wrapText="1"/>
    </xf>
    <xf numFmtId="0" fontId="25" fillId="0" borderId="10" xfId="1" applyFont="1" applyBorder="1" applyAlignment="1">
      <alignment horizontal="center" vertical="center"/>
    </xf>
    <xf numFmtId="0" fontId="25" fillId="0" borderId="10" xfId="1" applyFont="1" applyBorder="1" applyAlignment="1">
      <alignment horizontal="center" vertical="center" wrapText="1"/>
    </xf>
    <xf numFmtId="0" fontId="28" fillId="0" borderId="0" xfId="0" applyFont="1" applyAlignment="1">
      <alignment horizontal="left" vertical="top" readingOrder="1"/>
    </xf>
    <xf numFmtId="0" fontId="25" fillId="0" borderId="11" xfId="1" applyFont="1" applyBorder="1" applyAlignment="1">
      <alignment horizontal="center" wrapText="1"/>
    </xf>
    <xf numFmtId="0" fontId="25" fillId="0" borderId="12" xfId="1" applyFont="1" applyBorder="1" applyAlignment="1">
      <alignment horizontal="center" wrapText="1"/>
    </xf>
    <xf numFmtId="0" fontId="25" fillId="0" borderId="13" xfId="1" applyFont="1" applyBorder="1" applyAlignment="1">
      <alignment horizontal="center" wrapText="1"/>
    </xf>
    <xf numFmtId="0" fontId="25" fillId="0" borderId="11" xfId="1" applyFont="1" applyBorder="1" applyAlignment="1">
      <alignment horizontal="center"/>
    </xf>
    <xf numFmtId="0" fontId="25" fillId="0" borderId="13" xfId="1" applyFont="1" applyBorder="1" applyAlignment="1">
      <alignment horizontal="center"/>
    </xf>
    <xf numFmtId="164" fontId="26" fillId="0" borderId="11" xfId="6" applyFont="1" applyFill="1" applyBorder="1" applyAlignment="1">
      <alignment horizontal="center"/>
    </xf>
    <xf numFmtId="164" fontId="26" fillId="0" borderId="12" xfId="6" applyFont="1" applyFill="1" applyBorder="1" applyAlignment="1">
      <alignment horizontal="center"/>
    </xf>
    <xf numFmtId="164" fontId="26" fillId="0" borderId="13" xfId="6" applyFont="1" applyFill="1" applyBorder="1" applyAlignment="1">
      <alignment horizontal="center"/>
    </xf>
    <xf numFmtId="0" fontId="26" fillId="0" borderId="0" xfId="1" applyFont="1" applyAlignment="1">
      <alignment horizontal="center"/>
    </xf>
    <xf numFmtId="0" fontId="26" fillId="0" borderId="0" xfId="1" applyFont="1" applyAlignment="1">
      <alignment horizontal="left" vertical="center" wrapText="1"/>
    </xf>
    <xf numFmtId="0" fontId="25" fillId="0" borderId="0" xfId="1" applyFont="1" applyAlignment="1">
      <alignment horizontal="center"/>
    </xf>
    <xf numFmtId="0" fontId="16" fillId="0" borderId="0" xfId="0" applyFont="1" applyAlignment="1">
      <alignment horizontal="justify" vertical="top" wrapText="1" readingOrder="1"/>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18" fillId="0" borderId="7" xfId="0" applyFont="1" applyBorder="1" applyAlignment="1">
      <alignment horizontal="center" vertical="center" wrapText="1" readingOrder="1"/>
    </xf>
    <xf numFmtId="0" fontId="16" fillId="0" borderId="7" xfId="0" applyFont="1" applyBorder="1" applyAlignment="1">
      <alignment horizontal="left" vertical="center" wrapText="1" readingOrder="1"/>
    </xf>
    <xf numFmtId="0" fontId="21" fillId="0" borderId="11" xfId="0" applyFont="1" applyBorder="1" applyAlignment="1">
      <alignment horizontal="left" vertical="center" readingOrder="1"/>
    </xf>
    <xf numFmtId="0" fontId="21" fillId="0" borderId="12" xfId="0" applyFont="1" applyBorder="1" applyAlignment="1">
      <alignment horizontal="left" vertical="center" readingOrder="1"/>
    </xf>
    <xf numFmtId="0" fontId="21" fillId="0" borderId="13" xfId="0" applyFont="1" applyBorder="1" applyAlignment="1">
      <alignment horizontal="left" vertical="center" readingOrder="1"/>
    </xf>
    <xf numFmtId="0" fontId="23" fillId="0" borderId="11" xfId="10" applyFont="1" applyBorder="1" applyAlignment="1">
      <alignment horizontal="center" vertical="center" wrapText="1"/>
    </xf>
    <xf numFmtId="0" fontId="23" fillId="0" borderId="13" xfId="10" applyFont="1" applyBorder="1" applyAlignment="1">
      <alignment horizontal="center" vertical="center" wrapText="1"/>
    </xf>
    <xf numFmtId="0" fontId="23" fillId="0" borderId="10" xfId="10" applyFont="1" applyBorder="1" applyAlignment="1">
      <alignment horizontal="center" vertical="center"/>
    </xf>
    <xf numFmtId="164" fontId="24" fillId="0" borderId="11" xfId="6" applyFont="1" applyFill="1" applyBorder="1" applyAlignment="1">
      <alignment horizontal="center" vertical="center"/>
    </xf>
    <xf numFmtId="164" fontId="24" fillId="0" borderId="13" xfId="6" applyFont="1" applyFill="1" applyBorder="1" applyAlignment="1">
      <alignment horizontal="center" vertical="center"/>
    </xf>
    <xf numFmtId="0" fontId="23" fillId="0" borderId="11" xfId="10" applyFont="1" applyBorder="1" applyAlignment="1">
      <alignment horizontal="center" vertical="center"/>
    </xf>
    <xf numFmtId="0" fontId="23" fillId="0" borderId="12" xfId="10" applyFont="1" applyBorder="1" applyAlignment="1">
      <alignment horizontal="center" vertical="center"/>
    </xf>
    <xf numFmtId="0" fontId="23" fillId="0" borderId="13" xfId="10" applyFont="1" applyBorder="1" applyAlignment="1">
      <alignment horizontal="center" vertical="center"/>
    </xf>
    <xf numFmtId="0" fontId="24" fillId="0" borderId="11" xfId="10" applyFont="1" applyBorder="1" applyAlignment="1">
      <alignment horizontal="left" vertical="center" wrapText="1"/>
    </xf>
    <xf numFmtId="0" fontId="24" fillId="0" borderId="12" xfId="10" applyFont="1" applyBorder="1" applyAlignment="1">
      <alignment horizontal="left" vertical="center" wrapText="1"/>
    </xf>
    <xf numFmtId="0" fontId="24" fillId="0" borderId="13" xfId="10" applyFont="1" applyBorder="1" applyAlignment="1">
      <alignment horizontal="left" vertical="center" wrapText="1"/>
    </xf>
    <xf numFmtId="0" fontId="3" fillId="0" borderId="19" xfId="0" applyFont="1" applyBorder="1" applyAlignment="1">
      <alignment horizontal="left" vertical="center" wrapText="1" readingOrder="1"/>
    </xf>
    <xf numFmtId="0" fontId="16" fillId="0" borderId="21" xfId="0" applyFont="1" applyBorder="1" applyAlignment="1">
      <alignment horizontal="left" vertical="center" wrapText="1" readingOrder="1"/>
    </xf>
    <xf numFmtId="0" fontId="16" fillId="0" borderId="19" xfId="0" applyFont="1" applyBorder="1" applyAlignment="1">
      <alignment horizontal="left" vertical="center" wrapText="1" readingOrder="1"/>
    </xf>
    <xf numFmtId="0" fontId="16" fillId="0" borderId="17" xfId="0" applyFont="1" applyBorder="1" applyAlignment="1">
      <alignment horizontal="left" vertical="center" wrapText="1" readingOrder="1"/>
    </xf>
    <xf numFmtId="0" fontId="28" fillId="0" borderId="10" xfId="0" applyFont="1" applyBorder="1" applyAlignment="1">
      <alignment horizontal="left" vertical="top" readingOrder="1"/>
    </xf>
  </cellXfs>
  <cellStyles count="11">
    <cellStyle name="Comma 2" xfId="6" xr:uid="{F0CC9088-E6AB-4815-ABBD-810D6FD5561A}"/>
    <cellStyle name="Comma 3" xfId="4" xr:uid="{AB564393-6D94-45CB-8FDB-27562E6B982C}"/>
    <cellStyle name="Hyperlink 2" xfId="3" xr:uid="{EE5FB5CC-B8F0-4406-B6CA-108F7330D49A}"/>
    <cellStyle name="Normal" xfId="0" builtinId="0"/>
    <cellStyle name="Normal 2 2 2" xfId="1" xr:uid="{6E4D7352-A9AD-4775-A212-8DDF5E539850}"/>
    <cellStyle name="Normal 2 2 3" xfId="10" xr:uid="{07E24EA3-B89A-4D50-BA86-0177F06A8B1C}"/>
    <cellStyle name="Normal 2 3" xfId="2" xr:uid="{D9BE8EA0-1DE8-4EC3-839F-0126A55C35CE}"/>
    <cellStyle name="Normal 3" xfId="5" xr:uid="{0C4F0F3D-65AF-4226-BA04-E4B43D9099B2}"/>
    <cellStyle name="Normal 4" xfId="9" xr:uid="{C31B3E9C-093F-497D-A072-E6E6FA82837A}"/>
    <cellStyle name="Percent 2" xfId="7" xr:uid="{F19D153E-8E1A-4BFB-BE57-591A0589D8F5}"/>
    <cellStyle name="Percent 3" xfId="8" xr:uid="{280ABDE4-E658-475D-AB0D-C330A94315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146</xdr:row>
      <xdr:rowOff>0</xdr:rowOff>
    </xdr:from>
    <xdr:to>
      <xdr:col>2</xdr:col>
      <xdr:colOff>1789872</xdr:colOff>
      <xdr:row>147</xdr:row>
      <xdr:rowOff>27375</xdr:rowOff>
    </xdr:to>
    <xdr:pic>
      <xdr:nvPicPr>
        <xdr:cNvPr id="5" name="Picture 4">
          <a:extLst>
            <a:ext uri="{FF2B5EF4-FFF2-40B4-BE49-F238E27FC236}">
              <a16:creationId xmlns:a16="http://schemas.microsoft.com/office/drawing/2014/main" id="{BB5C223C-18CD-44F0-BD00-AFB4349981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4" y="293274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151</xdr:row>
      <xdr:rowOff>85726</xdr:rowOff>
    </xdr:from>
    <xdr:to>
      <xdr:col>2</xdr:col>
      <xdr:colOff>2053139</xdr:colOff>
      <xdr:row>151</xdr:row>
      <xdr:rowOff>2065726</xdr:rowOff>
    </xdr:to>
    <xdr:pic>
      <xdr:nvPicPr>
        <xdr:cNvPr id="6" name="Picture 5">
          <a:extLst>
            <a:ext uri="{FF2B5EF4-FFF2-40B4-BE49-F238E27FC236}">
              <a16:creationId xmlns:a16="http://schemas.microsoft.com/office/drawing/2014/main" id="{9E590D39-032F-469F-ACBC-75D5784FEE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01352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47625</xdr:colOff>
      <xdr:row>151</xdr:row>
      <xdr:rowOff>76201</xdr:rowOff>
    </xdr:from>
    <xdr:to>
      <xdr:col>7</xdr:col>
      <xdr:colOff>433889</xdr:colOff>
      <xdr:row>151</xdr:row>
      <xdr:rowOff>2056201</xdr:rowOff>
    </xdr:to>
    <xdr:pic>
      <xdr:nvPicPr>
        <xdr:cNvPr id="7" name="Picture 6">
          <a:extLst>
            <a:ext uri="{FF2B5EF4-FFF2-40B4-BE49-F238E27FC236}">
              <a16:creationId xmlns:a16="http://schemas.microsoft.com/office/drawing/2014/main" id="{6A5A24F3-7C24-4CB1-A492-C8E69B8CB6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81500" y="3200400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2</xdr:col>
      <xdr:colOff>1646998</xdr:colOff>
      <xdr:row>136</xdr:row>
      <xdr:rowOff>27375</xdr:rowOff>
    </xdr:to>
    <xdr:pic>
      <xdr:nvPicPr>
        <xdr:cNvPr id="5" name="Picture 4">
          <a:extLst>
            <a:ext uri="{FF2B5EF4-FFF2-40B4-BE49-F238E27FC236}">
              <a16:creationId xmlns:a16="http://schemas.microsoft.com/office/drawing/2014/main" id="{C346FB5C-BD6D-48DD-BF85-14136FEFA4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5651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140</xdr:row>
      <xdr:rowOff>0</xdr:rowOff>
    </xdr:from>
    <xdr:to>
      <xdr:col>2</xdr:col>
      <xdr:colOff>1929314</xdr:colOff>
      <xdr:row>140</xdr:row>
      <xdr:rowOff>1980000</xdr:rowOff>
    </xdr:to>
    <xdr:pic>
      <xdr:nvPicPr>
        <xdr:cNvPr id="6" name="Picture 5">
          <a:extLst>
            <a:ext uri="{FF2B5EF4-FFF2-40B4-BE49-F238E27FC236}">
              <a16:creationId xmlns:a16="http://schemas.microsoft.com/office/drawing/2014/main" id="{1E6D4FAD-DDD2-4AFB-B2D6-734790F8E63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1654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140</xdr:row>
      <xdr:rowOff>0</xdr:rowOff>
    </xdr:from>
    <xdr:to>
      <xdr:col>8</xdr:col>
      <xdr:colOff>548189</xdr:colOff>
      <xdr:row>140</xdr:row>
      <xdr:rowOff>1980000</xdr:rowOff>
    </xdr:to>
    <xdr:pic>
      <xdr:nvPicPr>
        <xdr:cNvPr id="7" name="Picture 6">
          <a:extLst>
            <a:ext uri="{FF2B5EF4-FFF2-40B4-BE49-F238E27FC236}">
              <a16:creationId xmlns:a16="http://schemas.microsoft.com/office/drawing/2014/main" id="{53AB18A2-6C6F-4AB5-92EE-65203240AC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29225" y="281654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2</xdr:col>
      <xdr:colOff>1872164</xdr:colOff>
      <xdr:row>151</xdr:row>
      <xdr:rowOff>1980000</xdr:rowOff>
    </xdr:to>
    <xdr:pic>
      <xdr:nvPicPr>
        <xdr:cNvPr id="5" name="Picture 4">
          <a:extLst>
            <a:ext uri="{FF2B5EF4-FFF2-40B4-BE49-F238E27FC236}">
              <a16:creationId xmlns:a16="http://schemas.microsoft.com/office/drawing/2014/main" id="{CB90E0C5-6AAE-4E56-A74D-B5A23C3EF3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356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2571750</xdr:colOff>
      <xdr:row>151</xdr:row>
      <xdr:rowOff>0</xdr:rowOff>
    </xdr:from>
    <xdr:to>
      <xdr:col>7</xdr:col>
      <xdr:colOff>395789</xdr:colOff>
      <xdr:row>151</xdr:row>
      <xdr:rowOff>1980000</xdr:rowOff>
    </xdr:to>
    <xdr:pic>
      <xdr:nvPicPr>
        <xdr:cNvPr id="6" name="Picture 5">
          <a:extLst>
            <a:ext uri="{FF2B5EF4-FFF2-40B4-BE49-F238E27FC236}">
              <a16:creationId xmlns:a16="http://schemas.microsoft.com/office/drawing/2014/main" id="{C8DEF9B5-AF42-445E-BCF4-BFA8FEACD0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50" y="29356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146</xdr:row>
      <xdr:rowOff>0</xdr:rowOff>
    </xdr:from>
    <xdr:to>
      <xdr:col>2</xdr:col>
      <xdr:colOff>1589848</xdr:colOff>
      <xdr:row>147</xdr:row>
      <xdr:rowOff>27375</xdr:rowOff>
    </xdr:to>
    <xdr:pic>
      <xdr:nvPicPr>
        <xdr:cNvPr id="7" name="Picture 6">
          <a:extLst>
            <a:ext uri="{FF2B5EF4-FFF2-40B4-BE49-F238E27FC236}">
              <a16:creationId xmlns:a16="http://schemas.microsoft.com/office/drawing/2014/main" id="{981F5972-B292-461C-BCC1-6DE9077844C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267557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1900739</xdr:colOff>
      <xdr:row>176</xdr:row>
      <xdr:rowOff>1980000</xdr:rowOff>
    </xdr:to>
    <xdr:pic>
      <xdr:nvPicPr>
        <xdr:cNvPr id="5" name="Picture 4">
          <a:extLst>
            <a:ext uri="{FF2B5EF4-FFF2-40B4-BE49-F238E27FC236}">
              <a16:creationId xmlns:a16="http://schemas.microsoft.com/office/drawing/2014/main" id="{E7757A27-98AB-4494-A083-3BA0B4E607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957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2476500</xdr:colOff>
      <xdr:row>176</xdr:row>
      <xdr:rowOff>0</xdr:rowOff>
    </xdr:from>
    <xdr:to>
      <xdr:col>7</xdr:col>
      <xdr:colOff>300539</xdr:colOff>
      <xdr:row>176</xdr:row>
      <xdr:rowOff>1980000</xdr:rowOff>
    </xdr:to>
    <xdr:pic>
      <xdr:nvPicPr>
        <xdr:cNvPr id="6" name="Picture 5">
          <a:extLst>
            <a:ext uri="{FF2B5EF4-FFF2-40B4-BE49-F238E27FC236}">
              <a16:creationId xmlns:a16="http://schemas.microsoft.com/office/drawing/2014/main" id="{18B11AD2-3800-412B-90BB-0B7E082D6FB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7957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171</xdr:row>
      <xdr:rowOff>0</xdr:rowOff>
    </xdr:from>
    <xdr:to>
      <xdr:col>2</xdr:col>
      <xdr:colOff>1900739</xdr:colOff>
      <xdr:row>172</xdr:row>
      <xdr:rowOff>27375</xdr:rowOff>
    </xdr:to>
    <xdr:pic>
      <xdr:nvPicPr>
        <xdr:cNvPr id="2" name="Picture 1">
          <a:extLst>
            <a:ext uri="{FF2B5EF4-FFF2-40B4-BE49-F238E27FC236}">
              <a16:creationId xmlns:a16="http://schemas.microsoft.com/office/drawing/2014/main" id="{49D19D15-3787-4876-850D-4EC02D397C4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353568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186</xdr:row>
      <xdr:rowOff>0</xdr:rowOff>
    </xdr:from>
    <xdr:to>
      <xdr:col>2</xdr:col>
      <xdr:colOff>1919789</xdr:colOff>
      <xdr:row>187</xdr:row>
      <xdr:rowOff>27375</xdr:rowOff>
    </xdr:to>
    <xdr:pic>
      <xdr:nvPicPr>
        <xdr:cNvPr id="5" name="Picture 4">
          <a:extLst>
            <a:ext uri="{FF2B5EF4-FFF2-40B4-BE49-F238E27FC236}">
              <a16:creationId xmlns:a16="http://schemas.microsoft.com/office/drawing/2014/main" id="{07C01C32-08D2-4BAE-851C-16D5C950E8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8044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191</xdr:row>
      <xdr:rowOff>0</xdr:rowOff>
    </xdr:from>
    <xdr:to>
      <xdr:col>2</xdr:col>
      <xdr:colOff>1919789</xdr:colOff>
      <xdr:row>191</xdr:row>
      <xdr:rowOff>1980000</xdr:rowOff>
    </xdr:to>
    <xdr:pic>
      <xdr:nvPicPr>
        <xdr:cNvPr id="6" name="Picture 5">
          <a:extLst>
            <a:ext uri="{FF2B5EF4-FFF2-40B4-BE49-F238E27FC236}">
              <a16:creationId xmlns:a16="http://schemas.microsoft.com/office/drawing/2014/main" id="{F86A5BCF-5402-463B-B112-57CAFD8F10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4048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2495550</xdr:colOff>
      <xdr:row>191</xdr:row>
      <xdr:rowOff>0</xdr:rowOff>
    </xdr:from>
    <xdr:to>
      <xdr:col>7</xdr:col>
      <xdr:colOff>252914</xdr:colOff>
      <xdr:row>191</xdr:row>
      <xdr:rowOff>1980000</xdr:rowOff>
    </xdr:to>
    <xdr:pic>
      <xdr:nvPicPr>
        <xdr:cNvPr id="7" name="Picture 6">
          <a:extLst>
            <a:ext uri="{FF2B5EF4-FFF2-40B4-BE49-F238E27FC236}">
              <a16:creationId xmlns:a16="http://schemas.microsoft.com/office/drawing/2014/main" id="{B228127E-959A-4360-B1E2-140B7326C06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384048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1770823</xdr:colOff>
      <xdr:row>171</xdr:row>
      <xdr:rowOff>27375</xdr:rowOff>
    </xdr:to>
    <xdr:pic>
      <xdr:nvPicPr>
        <xdr:cNvPr id="5" name="Picture 4">
          <a:extLst>
            <a:ext uri="{FF2B5EF4-FFF2-40B4-BE49-F238E27FC236}">
              <a16:creationId xmlns:a16="http://schemas.microsoft.com/office/drawing/2014/main" id="{75A5BA04-08EE-4562-AB69-EEEBFF157D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6426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19050</xdr:colOff>
      <xdr:row>175</xdr:row>
      <xdr:rowOff>0</xdr:rowOff>
    </xdr:from>
    <xdr:to>
      <xdr:col>7</xdr:col>
      <xdr:colOff>500564</xdr:colOff>
      <xdr:row>175</xdr:row>
      <xdr:rowOff>1980000</xdr:rowOff>
    </xdr:to>
    <xdr:pic>
      <xdr:nvPicPr>
        <xdr:cNvPr id="6" name="Picture 5">
          <a:extLst>
            <a:ext uri="{FF2B5EF4-FFF2-40B4-BE49-F238E27FC236}">
              <a16:creationId xmlns:a16="http://schemas.microsoft.com/office/drawing/2014/main" id="{5444967D-72D3-4A29-8847-EDF88C727A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9243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175</xdr:row>
      <xdr:rowOff>0</xdr:rowOff>
    </xdr:from>
    <xdr:to>
      <xdr:col>2</xdr:col>
      <xdr:colOff>2053139</xdr:colOff>
      <xdr:row>175</xdr:row>
      <xdr:rowOff>1980000</xdr:rowOff>
    </xdr:to>
    <xdr:pic>
      <xdr:nvPicPr>
        <xdr:cNvPr id="7" name="Picture 6">
          <a:extLst>
            <a:ext uri="{FF2B5EF4-FFF2-40B4-BE49-F238E27FC236}">
              <a16:creationId xmlns:a16="http://schemas.microsoft.com/office/drawing/2014/main" id="{C223EDDF-3126-4921-928C-574E9EFF297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243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191</xdr:row>
      <xdr:rowOff>0</xdr:rowOff>
    </xdr:from>
    <xdr:to>
      <xdr:col>2</xdr:col>
      <xdr:colOff>1900739</xdr:colOff>
      <xdr:row>191</xdr:row>
      <xdr:rowOff>1980000</xdr:rowOff>
    </xdr:to>
    <xdr:pic>
      <xdr:nvPicPr>
        <xdr:cNvPr id="5" name="Picture 4">
          <a:extLst>
            <a:ext uri="{FF2B5EF4-FFF2-40B4-BE49-F238E27FC236}">
              <a16:creationId xmlns:a16="http://schemas.microsoft.com/office/drawing/2014/main" id="{AD11A637-9E04-479A-A0E3-09A364285C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0443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2476500</xdr:colOff>
      <xdr:row>191</xdr:row>
      <xdr:rowOff>0</xdr:rowOff>
    </xdr:from>
    <xdr:to>
      <xdr:col>7</xdr:col>
      <xdr:colOff>300539</xdr:colOff>
      <xdr:row>191</xdr:row>
      <xdr:rowOff>1980000</xdr:rowOff>
    </xdr:to>
    <xdr:pic>
      <xdr:nvPicPr>
        <xdr:cNvPr id="6" name="Picture 5">
          <a:extLst>
            <a:ext uri="{FF2B5EF4-FFF2-40B4-BE49-F238E27FC236}">
              <a16:creationId xmlns:a16="http://schemas.microsoft.com/office/drawing/2014/main" id="{5AA34487-D906-4300-B038-DAC81EE79B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40443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185</xdr:row>
      <xdr:rowOff>0</xdr:rowOff>
    </xdr:from>
    <xdr:to>
      <xdr:col>2</xdr:col>
      <xdr:colOff>1618423</xdr:colOff>
      <xdr:row>186</xdr:row>
      <xdr:rowOff>27375</xdr:rowOff>
    </xdr:to>
    <xdr:pic>
      <xdr:nvPicPr>
        <xdr:cNvPr id="2" name="Picture 1">
          <a:extLst>
            <a:ext uri="{FF2B5EF4-FFF2-40B4-BE49-F238E27FC236}">
              <a16:creationId xmlns:a16="http://schemas.microsoft.com/office/drawing/2014/main" id="{56B0BA02-5462-4842-954B-C50DF47B6F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373570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390525</xdr:colOff>
      <xdr:row>136</xdr:row>
      <xdr:rowOff>19050</xdr:rowOff>
    </xdr:from>
    <xdr:to>
      <xdr:col>8</xdr:col>
      <xdr:colOff>548189</xdr:colOff>
      <xdr:row>136</xdr:row>
      <xdr:rowOff>1999050</xdr:rowOff>
    </xdr:to>
    <xdr:pic>
      <xdr:nvPicPr>
        <xdr:cNvPr id="5" name="Picture 4">
          <a:extLst>
            <a:ext uri="{FF2B5EF4-FFF2-40B4-BE49-F238E27FC236}">
              <a16:creationId xmlns:a16="http://schemas.microsoft.com/office/drawing/2014/main" id="{9308E0EB-A6B7-4679-96D1-D31B389244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28841700"/>
          <a:ext cx="372001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131</xdr:row>
      <xdr:rowOff>0</xdr:rowOff>
    </xdr:from>
    <xdr:to>
      <xdr:col>2</xdr:col>
      <xdr:colOff>1656523</xdr:colOff>
      <xdr:row>132</xdr:row>
      <xdr:rowOff>27375</xdr:rowOff>
    </xdr:to>
    <xdr:pic>
      <xdr:nvPicPr>
        <xdr:cNvPr id="6" name="Picture 5">
          <a:extLst>
            <a:ext uri="{FF2B5EF4-FFF2-40B4-BE49-F238E27FC236}">
              <a16:creationId xmlns:a16="http://schemas.microsoft.com/office/drawing/2014/main" id="{CEA94C44-1A36-4375-A8EB-F73859E2B8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2223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136</xdr:row>
      <xdr:rowOff>38101</xdr:rowOff>
    </xdr:from>
    <xdr:to>
      <xdr:col>2</xdr:col>
      <xdr:colOff>1948365</xdr:colOff>
      <xdr:row>136</xdr:row>
      <xdr:rowOff>2018101</xdr:rowOff>
    </xdr:to>
    <xdr:pic>
      <xdr:nvPicPr>
        <xdr:cNvPr id="7" name="Picture 6">
          <a:extLst>
            <a:ext uri="{FF2B5EF4-FFF2-40B4-BE49-F238E27FC236}">
              <a16:creationId xmlns:a16="http://schemas.microsoft.com/office/drawing/2014/main" id="{5F4B0B1F-8332-4366-8BAF-71FA2E0739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1" y="288607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2114550</xdr:colOff>
      <xdr:row>158</xdr:row>
      <xdr:rowOff>28576</xdr:rowOff>
    </xdr:to>
    <xdr:pic>
      <xdr:nvPicPr>
        <xdr:cNvPr id="4" name="Picture 3">
          <a:extLst>
            <a:ext uri="{FF2B5EF4-FFF2-40B4-BE49-F238E27FC236}">
              <a16:creationId xmlns:a16="http://schemas.microsoft.com/office/drawing/2014/main" id="{3C86E514-8568-4508-B5B1-175837D421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77527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xdr:row>
      <xdr:rowOff>0</xdr:rowOff>
    </xdr:from>
    <xdr:to>
      <xdr:col>2</xdr:col>
      <xdr:colOff>2013955</xdr:colOff>
      <xdr:row>162</xdr:row>
      <xdr:rowOff>1980000</xdr:rowOff>
    </xdr:to>
    <xdr:pic>
      <xdr:nvPicPr>
        <xdr:cNvPr id="5" name="Picture 4">
          <a:extLst>
            <a:ext uri="{FF2B5EF4-FFF2-40B4-BE49-F238E27FC236}">
              <a16:creationId xmlns:a16="http://schemas.microsoft.com/office/drawing/2014/main" id="{689DEFFA-B1BA-42C8-992E-B579267944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375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114</xdr:row>
      <xdr:rowOff>161924</xdr:rowOff>
    </xdr:from>
    <xdr:to>
      <xdr:col>2</xdr:col>
      <xdr:colOff>2026948</xdr:colOff>
      <xdr:row>115</xdr:row>
      <xdr:rowOff>1979999</xdr:rowOff>
    </xdr:to>
    <xdr:pic>
      <xdr:nvPicPr>
        <xdr:cNvPr id="5" name="Picture 4">
          <a:extLst>
            <a:ext uri="{FF2B5EF4-FFF2-40B4-BE49-F238E27FC236}">
              <a16:creationId xmlns:a16="http://schemas.microsoft.com/office/drawing/2014/main" id="{91C433DC-245B-4C96-B83D-202F74B2B6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516974"/>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466725</xdr:colOff>
      <xdr:row>114</xdr:row>
      <xdr:rowOff>161923</xdr:rowOff>
    </xdr:from>
    <xdr:to>
      <xdr:col>8</xdr:col>
      <xdr:colOff>238125</xdr:colOff>
      <xdr:row>115</xdr:row>
      <xdr:rowOff>1992681</xdr:rowOff>
    </xdr:to>
    <xdr:pic>
      <xdr:nvPicPr>
        <xdr:cNvPr id="6" name="Picture 5">
          <a:extLst>
            <a:ext uri="{FF2B5EF4-FFF2-40B4-BE49-F238E27FC236}">
              <a16:creationId xmlns:a16="http://schemas.microsoft.com/office/drawing/2014/main" id="{DDA8D3A5-0EDB-4455-923D-28E3EFBA83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21516973"/>
          <a:ext cx="3448050" cy="1992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110</xdr:row>
      <xdr:rowOff>0</xdr:rowOff>
    </xdr:from>
    <xdr:to>
      <xdr:col>2</xdr:col>
      <xdr:colOff>1948364</xdr:colOff>
      <xdr:row>111</xdr:row>
      <xdr:rowOff>27375</xdr:rowOff>
    </xdr:to>
    <xdr:pic>
      <xdr:nvPicPr>
        <xdr:cNvPr id="2" name="Picture 1">
          <a:extLst>
            <a:ext uri="{FF2B5EF4-FFF2-40B4-BE49-F238E27FC236}">
              <a16:creationId xmlns:a16="http://schemas.microsoft.com/office/drawing/2014/main" id="{0909BEBD-B3CF-4325-8851-0543CF6F8DC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190785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2164-255E-44A3-B14A-BBE328C00204}">
  <dimension ref="A1:C11"/>
  <sheetViews>
    <sheetView tabSelected="1" workbookViewId="0">
      <selection activeCell="C1" sqref="C1"/>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523</v>
      </c>
      <c r="B1" s="2" t="s">
        <v>524</v>
      </c>
      <c r="C1" s="2" t="s">
        <v>525</v>
      </c>
    </row>
    <row r="2" spans="1:3" x14ac:dyDescent="0.25">
      <c r="A2" s="4">
        <v>1</v>
      </c>
      <c r="B2" s="5" t="s">
        <v>526</v>
      </c>
      <c r="C2" s="6" t="s">
        <v>1</v>
      </c>
    </row>
    <row r="3" spans="1:3" x14ac:dyDescent="0.25">
      <c r="A3" s="4">
        <v>2</v>
      </c>
      <c r="B3" s="5" t="s">
        <v>527</v>
      </c>
      <c r="C3" s="6" t="s">
        <v>117</v>
      </c>
    </row>
    <row r="4" spans="1:3" x14ac:dyDescent="0.25">
      <c r="A4" s="4">
        <v>3</v>
      </c>
      <c r="B4" s="5" t="s">
        <v>528</v>
      </c>
      <c r="C4" s="6" t="s">
        <v>140</v>
      </c>
    </row>
    <row r="5" spans="1:3" x14ac:dyDescent="0.25">
      <c r="A5" s="4">
        <v>4</v>
      </c>
      <c r="B5" s="5" t="s">
        <v>529</v>
      </c>
      <c r="C5" s="6" t="s">
        <v>211</v>
      </c>
    </row>
    <row r="6" spans="1:3" x14ac:dyDescent="0.25">
      <c r="A6" s="4">
        <v>5</v>
      </c>
      <c r="B6" s="5" t="s">
        <v>530</v>
      </c>
      <c r="C6" s="6" t="s">
        <v>258</v>
      </c>
    </row>
    <row r="7" spans="1:3" x14ac:dyDescent="0.25">
      <c r="A7" s="4">
        <v>6</v>
      </c>
      <c r="B7" s="5" t="s">
        <v>531</v>
      </c>
      <c r="C7" s="6" t="s">
        <v>385</v>
      </c>
    </row>
    <row r="8" spans="1:3" x14ac:dyDescent="0.25">
      <c r="A8" s="4">
        <v>7</v>
      </c>
      <c r="B8" s="5" t="s">
        <v>532</v>
      </c>
      <c r="C8" s="6" t="s">
        <v>400</v>
      </c>
    </row>
    <row r="9" spans="1:3" x14ac:dyDescent="0.25">
      <c r="A9" s="4">
        <v>8</v>
      </c>
      <c r="B9" s="5" t="s">
        <v>533</v>
      </c>
      <c r="C9" s="6" t="s">
        <v>452</v>
      </c>
    </row>
    <row r="10" spans="1:3" x14ac:dyDescent="0.25">
      <c r="A10" s="4">
        <v>9</v>
      </c>
      <c r="B10" s="5" t="s">
        <v>534</v>
      </c>
      <c r="C10" s="6" t="s">
        <v>455</v>
      </c>
    </row>
    <row r="11" spans="1:3" x14ac:dyDescent="0.25">
      <c r="A11" s="4">
        <v>10</v>
      </c>
      <c r="B11" s="5" t="s">
        <v>535</v>
      </c>
      <c r="C11" s="6" t="s">
        <v>515</v>
      </c>
    </row>
  </sheetData>
  <hyperlinks>
    <hyperlink ref="B3" location="SFRSTP!A1" display="SFRSTP" xr:uid="{AD26A6A0-FBD9-40EC-B7C1-B1FE2A93346A}"/>
    <hyperlink ref="B4" location="SMMF!A1" display="SMMF" xr:uid="{D186F9A7-0139-4ABE-860A-313B1A66FEA2}"/>
    <hyperlink ref="B5" location="SPLDF!A1" display="SPLDF" xr:uid="{2684DCD4-58D9-42CE-B0E7-45862BEC20AB}"/>
    <hyperlink ref="B6" location="SPMON!A1" display="SPMON" xr:uid="{B86C0C7B-006D-43C4-B755-ED3B89BF8491}"/>
    <hyperlink ref="B7" location="SPSDF!A1" display="SPSDF" xr:uid="{A691DAB3-58F8-4CD4-95BE-70A1B88DF5A7}"/>
    <hyperlink ref="B8" location="SPUSDF!A1" display="SPUSDF" xr:uid="{CCACC4B0-5CA1-4212-A9B3-F0817EBDF3BC}"/>
    <hyperlink ref="B9" location="SUNBDS!A1" display="SUNBDS" xr:uid="{02853E00-3156-4132-9678-D0892624C960}"/>
    <hyperlink ref="B10" location="SUNMIA!A1" display="SUNMIA" xr:uid="{E3CD9211-A1D7-45B9-B4B2-F314C38DB3F2}"/>
    <hyperlink ref="B11" location="SUNONF!A1" display="SUNONF" xr:uid="{4F100D3F-490A-498A-887E-3BD5B85E3ACB}"/>
    <hyperlink ref="B2" location="SFRLTP!A1" display="SFRLTP" xr:uid="{D4CB2D77-5386-490F-8D64-3E038AAFB19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476F7-AD58-4D26-BE17-36CBBB728241}">
  <sheetPr>
    <outlinePr summaryBelow="0" summaryRight="0"/>
  </sheetPr>
  <dimension ref="A1:Q152"/>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1.42578125" bestFit="1" customWidth="1"/>
    <col min="5" max="5" width="9.42578125" bestFit="1" customWidth="1"/>
    <col min="6" max="6" width="10.140625" bestFit="1" customWidth="1"/>
    <col min="7" max="7" width="14" bestFit="1" customWidth="1"/>
    <col min="8" max="8" width="9.85546875" bestFit="1" customWidth="1"/>
  </cols>
  <sheetData>
    <row r="1" spans="1:8" ht="15" x14ac:dyDescent="0.2">
      <c r="A1" s="164" t="s">
        <v>0</v>
      </c>
      <c r="B1" s="164"/>
      <c r="C1" s="164"/>
      <c r="D1" s="164"/>
      <c r="E1" s="164"/>
      <c r="F1" s="164"/>
      <c r="G1" s="164"/>
      <c r="H1" s="164"/>
    </row>
    <row r="2" spans="1:8" ht="15" x14ac:dyDescent="0.2">
      <c r="A2" s="164" t="s">
        <v>1</v>
      </c>
      <c r="B2" s="164"/>
      <c r="C2" s="164"/>
      <c r="D2" s="164"/>
      <c r="E2" s="164"/>
      <c r="F2" s="164"/>
      <c r="G2" s="164"/>
      <c r="H2" s="164"/>
    </row>
    <row r="3" spans="1:8" ht="15" x14ac:dyDescent="0.2">
      <c r="A3" s="164" t="s">
        <v>537</v>
      </c>
      <c r="B3" s="164"/>
      <c r="C3" s="164"/>
      <c r="D3" s="164"/>
      <c r="E3" s="164"/>
      <c r="F3" s="164"/>
      <c r="G3" s="164"/>
      <c r="H3" s="164"/>
    </row>
    <row r="4" spans="1:8" s="14" customFormat="1" ht="30" x14ac:dyDescent="0.2">
      <c r="A4" s="12" t="s">
        <v>2</v>
      </c>
      <c r="B4" s="12" t="s">
        <v>3</v>
      </c>
      <c r="C4" s="12" t="s">
        <v>4</v>
      </c>
      <c r="D4" s="12" t="s">
        <v>5</v>
      </c>
      <c r="E4" s="12" t="s">
        <v>6</v>
      </c>
      <c r="F4" s="12" t="s">
        <v>7</v>
      </c>
      <c r="G4" s="12" t="s">
        <v>8</v>
      </c>
      <c r="H4" s="13" t="s">
        <v>536</v>
      </c>
    </row>
    <row r="5" spans="1:8" x14ac:dyDescent="0.2">
      <c r="A5" s="15"/>
      <c r="B5" s="15"/>
      <c r="C5" s="16" t="s">
        <v>9</v>
      </c>
      <c r="D5" s="15"/>
      <c r="E5" s="15"/>
      <c r="F5" s="15"/>
      <c r="G5" s="15"/>
      <c r="H5" s="17" t="s">
        <v>12</v>
      </c>
    </row>
    <row r="6" spans="1:8" x14ac:dyDescent="0.2">
      <c r="A6" s="18"/>
      <c r="B6" s="18"/>
      <c r="C6" s="19" t="s">
        <v>10</v>
      </c>
      <c r="D6" s="18"/>
      <c r="E6" s="18"/>
      <c r="F6" s="18"/>
      <c r="G6" s="18"/>
      <c r="H6" s="17" t="s">
        <v>12</v>
      </c>
    </row>
    <row r="7" spans="1:8" x14ac:dyDescent="0.2">
      <c r="A7" s="18"/>
      <c r="B7" s="18"/>
      <c r="C7" s="19" t="s">
        <v>11</v>
      </c>
      <c r="D7" s="18"/>
      <c r="E7" s="18" t="s">
        <v>12</v>
      </c>
      <c r="F7" s="20" t="s">
        <v>13</v>
      </c>
      <c r="G7" s="21">
        <v>0</v>
      </c>
      <c r="H7" s="17" t="s">
        <v>12</v>
      </c>
    </row>
    <row r="8" spans="1:8" x14ac:dyDescent="0.2">
      <c r="A8" s="18"/>
      <c r="B8" s="18"/>
      <c r="C8" s="22"/>
      <c r="D8" s="18"/>
      <c r="E8" s="18"/>
      <c r="F8" s="23"/>
      <c r="G8" s="23"/>
      <c r="H8" s="17" t="s">
        <v>12</v>
      </c>
    </row>
    <row r="9" spans="1:8" x14ac:dyDescent="0.2">
      <c r="A9" s="18"/>
      <c r="B9" s="18"/>
      <c r="C9" s="19" t="s">
        <v>14</v>
      </c>
      <c r="D9" s="18"/>
      <c r="E9" s="18"/>
      <c r="F9" s="18"/>
      <c r="G9" s="18"/>
      <c r="H9" s="17" t="s">
        <v>12</v>
      </c>
    </row>
    <row r="10" spans="1:8" x14ac:dyDescent="0.2">
      <c r="A10" s="18"/>
      <c r="B10" s="18"/>
      <c r="C10" s="19" t="s">
        <v>11</v>
      </c>
      <c r="D10" s="18"/>
      <c r="E10" s="18" t="s">
        <v>12</v>
      </c>
      <c r="F10" s="20" t="s">
        <v>13</v>
      </c>
      <c r="G10" s="21">
        <v>0</v>
      </c>
      <c r="H10" s="17" t="s">
        <v>12</v>
      </c>
    </row>
    <row r="11" spans="1:8" x14ac:dyDescent="0.2">
      <c r="A11" s="18"/>
      <c r="B11" s="18"/>
      <c r="C11" s="22"/>
      <c r="D11" s="18"/>
      <c r="E11" s="18"/>
      <c r="F11" s="23"/>
      <c r="G11" s="23"/>
      <c r="H11" s="17" t="s">
        <v>12</v>
      </c>
    </row>
    <row r="12" spans="1:8" x14ac:dyDescent="0.2">
      <c r="A12" s="18"/>
      <c r="B12" s="18"/>
      <c r="C12" s="19" t="s">
        <v>15</v>
      </c>
      <c r="D12" s="18"/>
      <c r="E12" s="18"/>
      <c r="F12" s="18"/>
      <c r="G12" s="18"/>
      <c r="H12" s="17" t="s">
        <v>12</v>
      </c>
    </row>
    <row r="13" spans="1:8" x14ac:dyDescent="0.2">
      <c r="A13" s="18"/>
      <c r="B13" s="18"/>
      <c r="C13" s="19" t="s">
        <v>11</v>
      </c>
      <c r="D13" s="18"/>
      <c r="E13" s="18" t="s">
        <v>12</v>
      </c>
      <c r="F13" s="20" t="s">
        <v>13</v>
      </c>
      <c r="G13" s="21">
        <v>0</v>
      </c>
      <c r="H13" s="17" t="s">
        <v>12</v>
      </c>
    </row>
    <row r="14" spans="1:8" x14ac:dyDescent="0.2">
      <c r="A14" s="18"/>
      <c r="B14" s="18"/>
      <c r="C14" s="22"/>
      <c r="D14" s="18"/>
      <c r="E14" s="18"/>
      <c r="F14" s="23"/>
      <c r="G14" s="23"/>
      <c r="H14" s="17" t="s">
        <v>12</v>
      </c>
    </row>
    <row r="15" spans="1:8" x14ac:dyDescent="0.2">
      <c r="A15" s="18"/>
      <c r="B15" s="18"/>
      <c r="C15" s="19" t="s">
        <v>16</v>
      </c>
      <c r="D15" s="18"/>
      <c r="E15" s="18"/>
      <c r="F15" s="18"/>
      <c r="G15" s="18"/>
      <c r="H15" s="17" t="s">
        <v>12</v>
      </c>
    </row>
    <row r="16" spans="1:8"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ht="25.5" x14ac:dyDescent="0.2">
      <c r="A28" s="25">
        <v>1</v>
      </c>
      <c r="B28" s="26" t="s">
        <v>21</v>
      </c>
      <c r="C28" s="26" t="s">
        <v>22</v>
      </c>
      <c r="D28" s="26" t="s">
        <v>23</v>
      </c>
      <c r="E28" s="27">
        <v>5000</v>
      </c>
      <c r="F28" s="28">
        <v>5054.0249999999996</v>
      </c>
      <c r="G28" s="29">
        <v>7.146922E-2</v>
      </c>
      <c r="H28" s="17">
        <v>7.4749999999999996</v>
      </c>
    </row>
    <row r="29" spans="1:8" ht="25.5" x14ac:dyDescent="0.2">
      <c r="A29" s="25">
        <v>2</v>
      </c>
      <c r="B29" s="26" t="s">
        <v>24</v>
      </c>
      <c r="C29" s="26" t="s">
        <v>25</v>
      </c>
      <c r="D29" s="26" t="s">
        <v>23</v>
      </c>
      <c r="E29" s="27">
        <v>4000</v>
      </c>
      <c r="F29" s="28">
        <v>4017.3679999999999</v>
      </c>
      <c r="G29" s="29">
        <v>5.6809800000000001E-2</v>
      </c>
      <c r="H29" s="17">
        <v>7.26</v>
      </c>
    </row>
    <row r="30" spans="1:8" x14ac:dyDescent="0.2">
      <c r="A30" s="25">
        <v>3</v>
      </c>
      <c r="B30" s="26" t="s">
        <v>26</v>
      </c>
      <c r="C30" s="26" t="s">
        <v>27</v>
      </c>
      <c r="D30" s="26" t="s">
        <v>23</v>
      </c>
      <c r="E30" s="27">
        <v>4000</v>
      </c>
      <c r="F30" s="28">
        <v>3981.36</v>
      </c>
      <c r="G30" s="29">
        <v>5.6300610000000001E-2</v>
      </c>
      <c r="H30" s="17">
        <v>7.56</v>
      </c>
    </row>
    <row r="31" spans="1:8" x14ac:dyDescent="0.2">
      <c r="A31" s="25">
        <v>4</v>
      </c>
      <c r="B31" s="26" t="s">
        <v>28</v>
      </c>
      <c r="C31" s="26" t="s">
        <v>29</v>
      </c>
      <c r="D31" s="26" t="s">
        <v>23</v>
      </c>
      <c r="E31" s="27">
        <v>300</v>
      </c>
      <c r="F31" s="28">
        <v>3000.0810000000001</v>
      </c>
      <c r="G31" s="29">
        <v>4.2424290000000003E-2</v>
      </c>
      <c r="H31" s="17">
        <v>7.68</v>
      </c>
    </row>
    <row r="32" spans="1:8" ht="25.5" x14ac:dyDescent="0.2">
      <c r="A32" s="25">
        <v>5</v>
      </c>
      <c r="B32" s="26" t="s">
        <v>30</v>
      </c>
      <c r="C32" s="26" t="s">
        <v>31</v>
      </c>
      <c r="D32" s="26" t="s">
        <v>32</v>
      </c>
      <c r="E32" s="27">
        <v>2500</v>
      </c>
      <c r="F32" s="28">
        <v>2524.44</v>
      </c>
      <c r="G32" s="29">
        <v>3.5698229999999997E-2</v>
      </c>
      <c r="H32" s="17">
        <v>7.38</v>
      </c>
    </row>
    <row r="33" spans="1:8" ht="25.5" x14ac:dyDescent="0.2">
      <c r="A33" s="25">
        <v>6</v>
      </c>
      <c r="B33" s="26" t="s">
        <v>33</v>
      </c>
      <c r="C33" s="26" t="s">
        <v>34</v>
      </c>
      <c r="D33" s="26" t="s">
        <v>23</v>
      </c>
      <c r="E33" s="27">
        <v>2500</v>
      </c>
      <c r="F33" s="28">
        <v>2524.165</v>
      </c>
      <c r="G33" s="29">
        <v>3.5694339999999998E-2</v>
      </c>
      <c r="H33" s="17">
        <v>7.48</v>
      </c>
    </row>
    <row r="34" spans="1:8" ht="25.5" x14ac:dyDescent="0.2">
      <c r="A34" s="25">
        <v>7</v>
      </c>
      <c r="B34" s="26" t="s">
        <v>35</v>
      </c>
      <c r="C34" s="26" t="s">
        <v>36</v>
      </c>
      <c r="D34" s="26" t="s">
        <v>23</v>
      </c>
      <c r="E34" s="27">
        <v>2500</v>
      </c>
      <c r="F34" s="28">
        <v>2516.3874999999998</v>
      </c>
      <c r="G34" s="29">
        <v>3.5584360000000002E-2</v>
      </c>
      <c r="H34" s="17">
        <v>7.42</v>
      </c>
    </row>
    <row r="35" spans="1:8" ht="25.5" x14ac:dyDescent="0.2">
      <c r="A35" s="25">
        <v>8</v>
      </c>
      <c r="B35" s="26" t="s">
        <v>37</v>
      </c>
      <c r="C35" s="26" t="s">
        <v>38</v>
      </c>
      <c r="D35" s="26" t="s">
        <v>23</v>
      </c>
      <c r="E35" s="27">
        <v>2500</v>
      </c>
      <c r="F35" s="28">
        <v>2512.5875000000001</v>
      </c>
      <c r="G35" s="29">
        <v>3.5530619999999999E-2</v>
      </c>
      <c r="H35" s="17">
        <v>7.2563000000000004</v>
      </c>
    </row>
    <row r="36" spans="1:8" x14ac:dyDescent="0.2">
      <c r="A36" s="25">
        <v>9</v>
      </c>
      <c r="B36" s="26" t="s">
        <v>39</v>
      </c>
      <c r="C36" s="26" t="s">
        <v>40</v>
      </c>
      <c r="D36" s="26" t="s">
        <v>23</v>
      </c>
      <c r="E36" s="27">
        <v>2500</v>
      </c>
      <c r="F36" s="28">
        <v>2502.9625000000001</v>
      </c>
      <c r="G36" s="29">
        <v>3.5394519999999999E-2</v>
      </c>
      <c r="H36" s="17">
        <v>7.3975</v>
      </c>
    </row>
    <row r="37" spans="1:8" x14ac:dyDescent="0.2">
      <c r="A37" s="25">
        <v>10</v>
      </c>
      <c r="B37" s="26" t="s">
        <v>41</v>
      </c>
      <c r="C37" s="26" t="s">
        <v>42</v>
      </c>
      <c r="D37" s="26" t="s">
        <v>23</v>
      </c>
      <c r="E37" s="27">
        <v>2500</v>
      </c>
      <c r="F37" s="28">
        <v>2494.7224999999999</v>
      </c>
      <c r="G37" s="29">
        <v>3.5277990000000002E-2</v>
      </c>
      <c r="H37" s="17">
        <v>7.6050000000000004</v>
      </c>
    </row>
    <row r="38" spans="1:8" ht="25.5" x14ac:dyDescent="0.2">
      <c r="A38" s="25">
        <v>11</v>
      </c>
      <c r="B38" s="26" t="s">
        <v>43</v>
      </c>
      <c r="C38" s="26" t="s">
        <v>44</v>
      </c>
      <c r="D38" s="26" t="s">
        <v>23</v>
      </c>
      <c r="E38" s="27">
        <v>2500</v>
      </c>
      <c r="F38" s="28">
        <v>2489.2600000000002</v>
      </c>
      <c r="G38" s="29">
        <v>3.5200750000000003E-2</v>
      </c>
      <c r="H38" s="17">
        <v>7.53</v>
      </c>
    </row>
    <row r="39" spans="1:8" ht="25.5" x14ac:dyDescent="0.2">
      <c r="A39" s="25">
        <v>12</v>
      </c>
      <c r="B39" s="26" t="s">
        <v>45</v>
      </c>
      <c r="C39" s="26" t="s">
        <v>46</v>
      </c>
      <c r="D39" s="26" t="s">
        <v>23</v>
      </c>
      <c r="E39" s="27">
        <v>2000</v>
      </c>
      <c r="F39" s="28">
        <v>2017.0039999999999</v>
      </c>
      <c r="G39" s="29">
        <v>2.8522550000000001E-2</v>
      </c>
      <c r="H39" s="17">
        <v>7.3605999999999998</v>
      </c>
    </row>
    <row r="40" spans="1:8" x14ac:dyDescent="0.2">
      <c r="A40" s="25">
        <v>13</v>
      </c>
      <c r="B40" s="26" t="s">
        <v>47</v>
      </c>
      <c r="C40" s="26" t="s">
        <v>48</v>
      </c>
      <c r="D40" s="26" t="s">
        <v>23</v>
      </c>
      <c r="E40" s="27">
        <v>2000</v>
      </c>
      <c r="F40" s="28">
        <v>2016.376</v>
      </c>
      <c r="G40" s="29">
        <v>2.8513670000000001E-2</v>
      </c>
      <c r="H40" s="17">
        <v>7.4850000000000003</v>
      </c>
    </row>
    <row r="41" spans="1:8" ht="25.5" x14ac:dyDescent="0.2">
      <c r="A41" s="25">
        <v>14</v>
      </c>
      <c r="B41" s="26" t="s">
        <v>49</v>
      </c>
      <c r="C41" s="26" t="s">
        <v>50</v>
      </c>
      <c r="D41" s="26" t="s">
        <v>32</v>
      </c>
      <c r="E41" s="27">
        <v>200</v>
      </c>
      <c r="F41" s="28">
        <v>2003.9380000000001</v>
      </c>
      <c r="G41" s="29">
        <v>2.8337790000000002E-2</v>
      </c>
      <c r="H41" s="17">
        <v>7.34</v>
      </c>
    </row>
    <row r="42" spans="1:8" x14ac:dyDescent="0.2">
      <c r="A42" s="25">
        <v>15</v>
      </c>
      <c r="B42" s="26" t="s">
        <v>51</v>
      </c>
      <c r="C42" s="26" t="s">
        <v>52</v>
      </c>
      <c r="D42" s="26" t="s">
        <v>23</v>
      </c>
      <c r="E42" s="27">
        <v>2000</v>
      </c>
      <c r="F42" s="28">
        <v>1994.8720000000001</v>
      </c>
      <c r="G42" s="29">
        <v>2.8209580000000001E-2</v>
      </c>
      <c r="H42" s="17">
        <v>7.56</v>
      </c>
    </row>
    <row r="43" spans="1:8" ht="25.5" x14ac:dyDescent="0.2">
      <c r="A43" s="25">
        <v>16</v>
      </c>
      <c r="B43" s="26" t="s">
        <v>53</v>
      </c>
      <c r="C43" s="26" t="s">
        <v>54</v>
      </c>
      <c r="D43" s="26" t="s">
        <v>23</v>
      </c>
      <c r="E43" s="27">
        <v>1500</v>
      </c>
      <c r="F43" s="28">
        <v>1531.056</v>
      </c>
      <c r="G43" s="29">
        <v>2.1650740000000002E-2</v>
      </c>
      <c r="H43" s="17">
        <v>7.4461000000000004</v>
      </c>
    </row>
    <row r="44" spans="1:8" x14ac:dyDescent="0.2">
      <c r="A44" s="25">
        <v>17</v>
      </c>
      <c r="B44" s="26" t="s">
        <v>55</v>
      </c>
      <c r="C44" s="26" t="s">
        <v>56</v>
      </c>
      <c r="D44" s="26" t="s">
        <v>23</v>
      </c>
      <c r="E44" s="27">
        <v>1500</v>
      </c>
      <c r="F44" s="28">
        <v>1502.415</v>
      </c>
      <c r="G44" s="29">
        <v>2.1245730000000001E-2</v>
      </c>
      <c r="H44" s="17">
        <v>7.6150000000000002</v>
      </c>
    </row>
    <row r="45" spans="1:8" ht="25.5" x14ac:dyDescent="0.2">
      <c r="A45" s="25">
        <v>18</v>
      </c>
      <c r="B45" s="26" t="s">
        <v>57</v>
      </c>
      <c r="C45" s="26" t="s">
        <v>58</v>
      </c>
      <c r="D45" s="26" t="s">
        <v>23</v>
      </c>
      <c r="E45" s="27">
        <v>1500</v>
      </c>
      <c r="F45" s="28">
        <v>1497.2175</v>
      </c>
      <c r="G45" s="29">
        <v>2.117223E-2</v>
      </c>
      <c r="H45" s="17">
        <v>7.6675000000000004</v>
      </c>
    </row>
    <row r="46" spans="1:8" x14ac:dyDescent="0.2">
      <c r="A46" s="25">
        <v>19</v>
      </c>
      <c r="B46" s="26" t="s">
        <v>59</v>
      </c>
      <c r="C46" s="26" t="s">
        <v>60</v>
      </c>
      <c r="D46" s="26" t="s">
        <v>23</v>
      </c>
      <c r="E46" s="27">
        <v>100</v>
      </c>
      <c r="F46" s="28">
        <v>1006.759</v>
      </c>
      <c r="G46" s="29">
        <v>1.423663E-2</v>
      </c>
      <c r="H46" s="17">
        <v>7.68</v>
      </c>
    </row>
    <row r="47" spans="1:8" ht="25.5" x14ac:dyDescent="0.2">
      <c r="A47" s="25">
        <v>20</v>
      </c>
      <c r="B47" s="26" t="s">
        <v>61</v>
      </c>
      <c r="C47" s="26" t="s">
        <v>62</v>
      </c>
      <c r="D47" s="26" t="s">
        <v>23</v>
      </c>
      <c r="E47" s="27">
        <v>1000</v>
      </c>
      <c r="F47" s="28">
        <v>999.66300000000001</v>
      </c>
      <c r="G47" s="29">
        <v>1.4136279999999999E-2</v>
      </c>
      <c r="H47" s="17">
        <v>8.1188000000000002</v>
      </c>
    </row>
    <row r="48" spans="1:8" ht="25.5" x14ac:dyDescent="0.2">
      <c r="A48" s="25">
        <v>21</v>
      </c>
      <c r="B48" s="26" t="s">
        <v>63</v>
      </c>
      <c r="C48" s="26" t="s">
        <v>64</v>
      </c>
      <c r="D48" s="26" t="s">
        <v>23</v>
      </c>
      <c r="E48" s="27">
        <v>1000</v>
      </c>
      <c r="F48" s="28">
        <v>995.69600000000003</v>
      </c>
      <c r="G48" s="29">
        <v>1.4080189999999999E-2</v>
      </c>
      <c r="H48" s="17">
        <v>7.6887999999999996</v>
      </c>
    </row>
    <row r="49" spans="1:8" x14ac:dyDescent="0.2">
      <c r="A49" s="25">
        <v>22</v>
      </c>
      <c r="B49" s="26" t="s">
        <v>65</v>
      </c>
      <c r="C49" s="26" t="s">
        <v>66</v>
      </c>
      <c r="D49" s="26" t="s">
        <v>23</v>
      </c>
      <c r="E49" s="27">
        <v>500</v>
      </c>
      <c r="F49" s="28">
        <v>504.70100000000002</v>
      </c>
      <c r="G49" s="29">
        <v>7.1370000000000001E-3</v>
      </c>
      <c r="H49" s="17">
        <v>7.72</v>
      </c>
    </row>
    <row r="50" spans="1:8" ht="25.5" x14ac:dyDescent="0.2">
      <c r="A50" s="25">
        <v>23</v>
      </c>
      <c r="B50" s="26" t="s">
        <v>67</v>
      </c>
      <c r="C50" s="26" t="s">
        <v>68</v>
      </c>
      <c r="D50" s="26" t="s">
        <v>23</v>
      </c>
      <c r="E50" s="27">
        <v>500</v>
      </c>
      <c r="F50" s="28">
        <v>502.30799999999999</v>
      </c>
      <c r="G50" s="29">
        <v>7.1031599999999999E-3</v>
      </c>
      <c r="H50" s="17">
        <v>7.4820000000000002</v>
      </c>
    </row>
    <row r="51" spans="1:8" ht="25.5" x14ac:dyDescent="0.2">
      <c r="A51" s="25">
        <v>24</v>
      </c>
      <c r="B51" s="26" t="s">
        <v>69</v>
      </c>
      <c r="C51" s="26" t="s">
        <v>70</v>
      </c>
      <c r="D51" s="26" t="s">
        <v>32</v>
      </c>
      <c r="E51" s="27">
        <v>50</v>
      </c>
      <c r="F51" s="28">
        <v>497.62</v>
      </c>
      <c r="G51" s="29">
        <v>7.0368699999999998E-3</v>
      </c>
      <c r="H51" s="17">
        <v>7.5049999999999999</v>
      </c>
    </row>
    <row r="52" spans="1:8" x14ac:dyDescent="0.2">
      <c r="A52" s="18"/>
      <c r="B52" s="18"/>
      <c r="C52" s="19" t="s">
        <v>11</v>
      </c>
      <c r="D52" s="18"/>
      <c r="E52" s="18" t="s">
        <v>12</v>
      </c>
      <c r="F52" s="24">
        <v>50686.984499999999</v>
      </c>
      <c r="G52" s="21">
        <v>0.71676715000000002</v>
      </c>
      <c r="H52" s="17" t="s">
        <v>12</v>
      </c>
    </row>
    <row r="53" spans="1:8" x14ac:dyDescent="0.2">
      <c r="A53" s="18"/>
      <c r="B53" s="18"/>
      <c r="C53" s="22"/>
      <c r="D53" s="18"/>
      <c r="E53" s="18"/>
      <c r="F53" s="23"/>
      <c r="G53" s="23"/>
      <c r="H53" s="17" t="s">
        <v>12</v>
      </c>
    </row>
    <row r="54" spans="1:8" x14ac:dyDescent="0.2">
      <c r="A54" s="18"/>
      <c r="B54" s="18"/>
      <c r="C54" s="19" t="s">
        <v>71</v>
      </c>
      <c r="D54" s="18"/>
      <c r="E54" s="18"/>
      <c r="F54" s="18"/>
      <c r="G54" s="18"/>
      <c r="H54" s="17" t="s">
        <v>12</v>
      </c>
    </row>
    <row r="55" spans="1:8" x14ac:dyDescent="0.2">
      <c r="A55" s="18"/>
      <c r="B55" s="18"/>
      <c r="C55" s="19" t="s">
        <v>11</v>
      </c>
      <c r="D55" s="18"/>
      <c r="E55" s="18" t="s">
        <v>12</v>
      </c>
      <c r="F55" s="20" t="s">
        <v>13</v>
      </c>
      <c r="G55" s="21">
        <v>0</v>
      </c>
      <c r="H55" s="17" t="s">
        <v>12</v>
      </c>
    </row>
    <row r="56" spans="1:8" x14ac:dyDescent="0.2">
      <c r="A56" s="18"/>
      <c r="B56" s="18"/>
      <c r="C56" s="22"/>
      <c r="D56" s="18"/>
      <c r="E56" s="18"/>
      <c r="F56" s="23"/>
      <c r="G56" s="23"/>
      <c r="H56" s="17" t="s">
        <v>12</v>
      </c>
    </row>
    <row r="57" spans="1:8" x14ac:dyDescent="0.2">
      <c r="A57" s="18"/>
      <c r="B57" s="18"/>
      <c r="C57" s="19" t="s">
        <v>72</v>
      </c>
      <c r="D57" s="18"/>
      <c r="E57" s="18"/>
      <c r="F57" s="18"/>
      <c r="G57" s="18"/>
      <c r="H57" s="17" t="s">
        <v>12</v>
      </c>
    </row>
    <row r="58" spans="1:8" ht="25.5" x14ac:dyDescent="0.2">
      <c r="A58" s="25">
        <v>1</v>
      </c>
      <c r="B58" s="26" t="s">
        <v>73</v>
      </c>
      <c r="C58" s="26" t="s">
        <v>74</v>
      </c>
      <c r="D58" s="26" t="s">
        <v>75</v>
      </c>
      <c r="E58" s="27">
        <v>8400000</v>
      </c>
      <c r="F58" s="28">
        <v>8592.2423999999992</v>
      </c>
      <c r="G58" s="29">
        <v>0.12150333000000001</v>
      </c>
      <c r="H58" s="17">
        <v>6.8727999999999998</v>
      </c>
    </row>
    <row r="59" spans="1:8" x14ac:dyDescent="0.2">
      <c r="A59" s="25">
        <v>2</v>
      </c>
      <c r="B59" s="26" t="s">
        <v>76</v>
      </c>
      <c r="C59" s="26" t="s">
        <v>77</v>
      </c>
      <c r="D59" s="26" t="s">
        <v>75</v>
      </c>
      <c r="E59" s="27">
        <v>2000000</v>
      </c>
      <c r="F59" s="28">
        <v>2058.9520000000002</v>
      </c>
      <c r="G59" s="29">
        <v>2.9115740000000001E-2</v>
      </c>
      <c r="H59" s="17">
        <v>6.8019999999999996</v>
      </c>
    </row>
    <row r="60" spans="1:8" x14ac:dyDescent="0.2">
      <c r="A60" s="25">
        <v>3</v>
      </c>
      <c r="B60" s="26" t="s">
        <v>78</v>
      </c>
      <c r="C60" s="26" t="s">
        <v>79</v>
      </c>
      <c r="D60" s="26" t="s">
        <v>75</v>
      </c>
      <c r="E60" s="27">
        <v>1500000</v>
      </c>
      <c r="F60" s="28">
        <v>1546.7025000000001</v>
      </c>
      <c r="G60" s="29">
        <v>2.1871999999999999E-2</v>
      </c>
      <c r="H60" s="17">
        <v>7.1677</v>
      </c>
    </row>
    <row r="61" spans="1:8" ht="25.5" x14ac:dyDescent="0.2">
      <c r="A61" s="25">
        <v>4</v>
      </c>
      <c r="B61" s="26" t="s">
        <v>80</v>
      </c>
      <c r="C61" s="26" t="s">
        <v>81</v>
      </c>
      <c r="D61" s="26" t="s">
        <v>75</v>
      </c>
      <c r="E61" s="27">
        <v>1500000</v>
      </c>
      <c r="F61" s="28">
        <v>1502.2184999999999</v>
      </c>
      <c r="G61" s="29">
        <v>2.124295E-2</v>
      </c>
      <c r="H61" s="17">
        <v>7.0301999999999998</v>
      </c>
    </row>
    <row r="62" spans="1:8" ht="25.5" x14ac:dyDescent="0.2">
      <c r="A62" s="25">
        <v>5</v>
      </c>
      <c r="B62" s="26" t="s">
        <v>82</v>
      </c>
      <c r="C62" s="26" t="s">
        <v>83</v>
      </c>
      <c r="D62" s="26" t="s">
        <v>75</v>
      </c>
      <c r="E62" s="27">
        <v>1000000</v>
      </c>
      <c r="F62" s="28">
        <v>1034.7550000000001</v>
      </c>
      <c r="G62" s="29">
        <v>1.463252E-2</v>
      </c>
      <c r="H62" s="17">
        <v>7.2008999999999999</v>
      </c>
    </row>
    <row r="63" spans="1:8" x14ac:dyDescent="0.2">
      <c r="A63" s="25">
        <v>6</v>
      </c>
      <c r="B63" s="26" t="s">
        <v>84</v>
      </c>
      <c r="C63" s="26" t="s">
        <v>85</v>
      </c>
      <c r="D63" s="26" t="s">
        <v>75</v>
      </c>
      <c r="E63" s="27">
        <v>1000000</v>
      </c>
      <c r="F63" s="28">
        <v>1022.8680000000001</v>
      </c>
      <c r="G63" s="29">
        <v>1.446443E-2</v>
      </c>
      <c r="H63" s="17">
        <v>6.7666000000000004</v>
      </c>
    </row>
    <row r="64" spans="1:8" x14ac:dyDescent="0.2">
      <c r="A64" s="25">
        <v>7</v>
      </c>
      <c r="B64" s="26" t="s">
        <v>86</v>
      </c>
      <c r="C64" s="26" t="s">
        <v>87</v>
      </c>
      <c r="D64" s="26" t="s">
        <v>75</v>
      </c>
      <c r="E64" s="27">
        <v>500000</v>
      </c>
      <c r="F64" s="28">
        <v>512.75350000000003</v>
      </c>
      <c r="G64" s="29">
        <v>7.2508700000000004E-3</v>
      </c>
      <c r="H64" s="17">
        <v>6.9889000000000001</v>
      </c>
    </row>
    <row r="65" spans="1:8" x14ac:dyDescent="0.2">
      <c r="A65" s="18"/>
      <c r="B65" s="18"/>
      <c r="C65" s="19" t="s">
        <v>11</v>
      </c>
      <c r="D65" s="18"/>
      <c r="E65" s="18" t="s">
        <v>12</v>
      </c>
      <c r="F65" s="24">
        <v>16270.491900000001</v>
      </c>
      <c r="G65" s="21">
        <v>0.23008184000000001</v>
      </c>
      <c r="H65" s="17" t="s">
        <v>12</v>
      </c>
    </row>
    <row r="66" spans="1:8" x14ac:dyDescent="0.2">
      <c r="A66" s="18"/>
      <c r="B66" s="18"/>
      <c r="C66" s="22"/>
      <c r="D66" s="18"/>
      <c r="E66" s="18"/>
      <c r="F66" s="23"/>
      <c r="G66" s="23"/>
      <c r="H66" s="17" t="s">
        <v>12</v>
      </c>
    </row>
    <row r="67" spans="1:8" x14ac:dyDescent="0.2">
      <c r="A67" s="18"/>
      <c r="B67" s="18"/>
      <c r="C67" s="19" t="s">
        <v>88</v>
      </c>
      <c r="D67" s="18"/>
      <c r="E67" s="18"/>
      <c r="F67" s="23"/>
      <c r="G67" s="23"/>
      <c r="H67" s="17" t="s">
        <v>12</v>
      </c>
    </row>
    <row r="68" spans="1:8" x14ac:dyDescent="0.2">
      <c r="A68" s="18"/>
      <c r="B68" s="18"/>
      <c r="C68" s="19" t="s">
        <v>11</v>
      </c>
      <c r="D68" s="18"/>
      <c r="E68" s="18" t="s">
        <v>12</v>
      </c>
      <c r="F68" s="20" t="s">
        <v>13</v>
      </c>
      <c r="G68" s="21">
        <v>0</v>
      </c>
      <c r="H68" s="17" t="s">
        <v>12</v>
      </c>
    </row>
    <row r="69" spans="1:8" x14ac:dyDescent="0.2">
      <c r="A69" s="18"/>
      <c r="B69" s="18"/>
      <c r="C69" s="22"/>
      <c r="D69" s="18"/>
      <c r="E69" s="18"/>
      <c r="F69" s="23"/>
      <c r="G69" s="23"/>
      <c r="H69" s="17" t="s">
        <v>12</v>
      </c>
    </row>
    <row r="70" spans="1:8" x14ac:dyDescent="0.2">
      <c r="A70" s="18"/>
      <c r="B70" s="18"/>
      <c r="C70" s="19" t="s">
        <v>89</v>
      </c>
      <c r="D70" s="18"/>
      <c r="E70" s="18"/>
      <c r="F70" s="24">
        <v>66957.4764</v>
      </c>
      <c r="G70" s="21">
        <v>0.94684899</v>
      </c>
      <c r="H70" s="17" t="s">
        <v>12</v>
      </c>
    </row>
    <row r="71" spans="1:8" x14ac:dyDescent="0.2">
      <c r="A71" s="18"/>
      <c r="B71" s="18"/>
      <c r="C71" s="22"/>
      <c r="D71" s="18"/>
      <c r="E71" s="18"/>
      <c r="F71" s="23"/>
      <c r="G71" s="23"/>
      <c r="H71" s="17" t="s">
        <v>12</v>
      </c>
    </row>
    <row r="72" spans="1:8" x14ac:dyDescent="0.2">
      <c r="A72" s="18"/>
      <c r="B72" s="18"/>
      <c r="C72" s="19" t="s">
        <v>90</v>
      </c>
      <c r="D72" s="18"/>
      <c r="E72" s="18"/>
      <c r="F72" s="23"/>
      <c r="G72" s="23"/>
      <c r="H72" s="17" t="s">
        <v>12</v>
      </c>
    </row>
    <row r="73" spans="1:8" x14ac:dyDescent="0.2">
      <c r="A73" s="18"/>
      <c r="B73" s="18"/>
      <c r="C73" s="19" t="s">
        <v>91</v>
      </c>
      <c r="D73" s="18"/>
      <c r="E73" s="18"/>
      <c r="F73" s="23"/>
      <c r="G73" s="23"/>
      <c r="H73" s="17" t="s">
        <v>12</v>
      </c>
    </row>
    <row r="74" spans="1:8" x14ac:dyDescent="0.2">
      <c r="A74" s="18"/>
      <c r="B74" s="18"/>
      <c r="C74" s="19" t="s">
        <v>11</v>
      </c>
      <c r="D74" s="18"/>
      <c r="E74" s="18" t="s">
        <v>12</v>
      </c>
      <c r="F74" s="20" t="s">
        <v>13</v>
      </c>
      <c r="G74" s="21">
        <v>0</v>
      </c>
      <c r="H74" s="17" t="s">
        <v>12</v>
      </c>
    </row>
    <row r="75" spans="1:8" x14ac:dyDescent="0.2">
      <c r="A75" s="18"/>
      <c r="B75" s="18"/>
      <c r="C75" s="22"/>
      <c r="D75" s="18"/>
      <c r="E75" s="18"/>
      <c r="F75" s="23"/>
      <c r="G75" s="23"/>
      <c r="H75" s="17" t="s">
        <v>12</v>
      </c>
    </row>
    <row r="76" spans="1:8" x14ac:dyDescent="0.2">
      <c r="A76" s="18"/>
      <c r="B76" s="18"/>
      <c r="C76" s="19" t="s">
        <v>92</v>
      </c>
      <c r="D76" s="18"/>
      <c r="E76" s="18"/>
      <c r="F76" s="23"/>
      <c r="G76" s="23"/>
      <c r="H76" s="17" t="s">
        <v>12</v>
      </c>
    </row>
    <row r="77" spans="1:8" x14ac:dyDescent="0.2">
      <c r="A77" s="18"/>
      <c r="B77" s="18"/>
      <c r="C77" s="19" t="s">
        <v>11</v>
      </c>
      <c r="D77" s="18"/>
      <c r="E77" s="18" t="s">
        <v>12</v>
      </c>
      <c r="F77" s="20" t="s">
        <v>13</v>
      </c>
      <c r="G77" s="21">
        <v>0</v>
      </c>
      <c r="H77" s="17" t="s">
        <v>12</v>
      </c>
    </row>
    <row r="78" spans="1:8" x14ac:dyDescent="0.2">
      <c r="A78" s="18"/>
      <c r="B78" s="18"/>
      <c r="C78" s="22"/>
      <c r="D78" s="18"/>
      <c r="E78" s="18"/>
      <c r="F78" s="23"/>
      <c r="G78" s="23"/>
      <c r="H78" s="17" t="s">
        <v>12</v>
      </c>
    </row>
    <row r="79" spans="1:8" x14ac:dyDescent="0.2">
      <c r="A79" s="18"/>
      <c r="B79" s="18"/>
      <c r="C79" s="19" t="s">
        <v>93</v>
      </c>
      <c r="D79" s="18"/>
      <c r="E79" s="18"/>
      <c r="F79" s="23"/>
      <c r="G79" s="23"/>
      <c r="H79" s="17" t="s">
        <v>12</v>
      </c>
    </row>
    <row r="80" spans="1:8" x14ac:dyDescent="0.2">
      <c r="A80" s="18"/>
      <c r="B80" s="18"/>
      <c r="C80" s="19" t="s">
        <v>11</v>
      </c>
      <c r="D80" s="18"/>
      <c r="E80" s="18" t="s">
        <v>12</v>
      </c>
      <c r="F80" s="20" t="s">
        <v>13</v>
      </c>
      <c r="G80" s="21">
        <v>0</v>
      </c>
      <c r="H80" s="17" t="s">
        <v>12</v>
      </c>
    </row>
    <row r="81" spans="1:17" x14ac:dyDescent="0.2">
      <c r="A81" s="18"/>
      <c r="B81" s="18"/>
      <c r="C81" s="22"/>
      <c r="D81" s="18"/>
      <c r="E81" s="18"/>
      <c r="F81" s="23"/>
      <c r="G81" s="23"/>
      <c r="H81" s="17" t="s">
        <v>12</v>
      </c>
    </row>
    <row r="82" spans="1:17" x14ac:dyDescent="0.2">
      <c r="A82" s="18"/>
      <c r="B82" s="18"/>
      <c r="C82" s="19" t="s">
        <v>94</v>
      </c>
      <c r="D82" s="18"/>
      <c r="E82" s="18"/>
      <c r="F82" s="23"/>
      <c r="G82" s="23"/>
      <c r="H82" s="17" t="s">
        <v>12</v>
      </c>
    </row>
    <row r="83" spans="1:17" x14ac:dyDescent="0.2">
      <c r="A83" s="25">
        <v>1</v>
      </c>
      <c r="B83" s="26"/>
      <c r="C83" s="26" t="s">
        <v>95</v>
      </c>
      <c r="D83" s="26"/>
      <c r="E83" s="30"/>
      <c r="F83" s="28">
        <v>1192.773431202</v>
      </c>
      <c r="G83" s="29">
        <v>1.6867070000000001E-2</v>
      </c>
      <c r="H83" s="17">
        <v>6.33</v>
      </c>
    </row>
    <row r="84" spans="1:17" x14ac:dyDescent="0.2">
      <c r="A84" s="18"/>
      <c r="B84" s="18"/>
      <c r="C84" s="19" t="s">
        <v>11</v>
      </c>
      <c r="D84" s="18"/>
      <c r="E84" s="18" t="s">
        <v>12</v>
      </c>
      <c r="F84" s="24">
        <v>1192.773431202</v>
      </c>
      <c r="G84" s="21">
        <v>1.6867070000000001E-2</v>
      </c>
      <c r="H84" s="17" t="s">
        <v>12</v>
      </c>
    </row>
    <row r="85" spans="1:17" x14ac:dyDescent="0.2">
      <c r="A85" s="18"/>
      <c r="B85" s="18"/>
      <c r="C85" s="22"/>
      <c r="D85" s="18"/>
      <c r="E85" s="18"/>
      <c r="F85" s="23"/>
      <c r="G85" s="23"/>
      <c r="H85" s="17" t="s">
        <v>12</v>
      </c>
    </row>
    <row r="86" spans="1:17" x14ac:dyDescent="0.2">
      <c r="A86" s="18"/>
      <c r="B86" s="18"/>
      <c r="C86" s="19" t="s">
        <v>96</v>
      </c>
      <c r="D86" s="18"/>
      <c r="E86" s="18"/>
      <c r="F86" s="24">
        <v>1192.773431202</v>
      </c>
      <c r="G86" s="21">
        <v>1.6867070000000001E-2</v>
      </c>
      <c r="H86" s="17" t="s">
        <v>12</v>
      </c>
    </row>
    <row r="87" spans="1:17" x14ac:dyDescent="0.2">
      <c r="A87" s="18"/>
      <c r="B87" s="18"/>
      <c r="C87" s="23"/>
      <c r="D87" s="18"/>
      <c r="E87" s="18"/>
      <c r="F87" s="18"/>
      <c r="G87" s="18"/>
      <c r="H87" s="17" t="s">
        <v>12</v>
      </c>
    </row>
    <row r="88" spans="1:17" x14ac:dyDescent="0.2">
      <c r="A88" s="18"/>
      <c r="B88" s="18"/>
      <c r="C88" s="19" t="s">
        <v>97</v>
      </c>
      <c r="D88" s="18"/>
      <c r="E88" s="18"/>
      <c r="F88" s="18"/>
      <c r="G88" s="18"/>
      <c r="H88" s="17" t="s">
        <v>12</v>
      </c>
    </row>
    <row r="89" spans="1:17" x14ac:dyDescent="0.2">
      <c r="A89" s="18"/>
      <c r="B89" s="18"/>
      <c r="C89" s="19" t="s">
        <v>98</v>
      </c>
      <c r="D89" s="18"/>
      <c r="E89" s="18"/>
      <c r="F89" s="18"/>
      <c r="G89" s="18"/>
      <c r="H89" s="17" t="s">
        <v>12</v>
      </c>
    </row>
    <row r="90" spans="1:17" x14ac:dyDescent="0.2">
      <c r="A90" s="18"/>
      <c r="B90" s="18"/>
      <c r="C90" s="19" t="s">
        <v>11</v>
      </c>
      <c r="D90" s="18"/>
      <c r="E90" s="18" t="s">
        <v>12</v>
      </c>
      <c r="F90" s="20" t="s">
        <v>13</v>
      </c>
      <c r="G90" s="21">
        <v>0</v>
      </c>
      <c r="H90" s="17" t="s">
        <v>12</v>
      </c>
    </row>
    <row r="91" spans="1:17" x14ac:dyDescent="0.2">
      <c r="A91" s="70"/>
      <c r="B91" s="70"/>
      <c r="C91" s="71"/>
      <c r="D91" s="70"/>
      <c r="E91" s="70"/>
      <c r="F91" s="72"/>
      <c r="G91" s="72"/>
      <c r="H91" s="68" t="s">
        <v>12</v>
      </c>
    </row>
    <row r="92" spans="1:17" x14ac:dyDescent="0.2">
      <c r="A92" s="70"/>
      <c r="B92" s="70"/>
      <c r="C92" s="73" t="s">
        <v>538</v>
      </c>
      <c r="D92" s="70"/>
      <c r="E92" s="70"/>
      <c r="F92" s="72"/>
      <c r="G92" s="72"/>
      <c r="H92" s="66"/>
      <c r="K92" s="50"/>
      <c r="L92" s="50"/>
      <c r="M92" s="50"/>
      <c r="N92" s="50"/>
      <c r="O92" s="74"/>
      <c r="P92" s="74"/>
      <c r="Q92" s="74"/>
    </row>
    <row r="93" spans="1:17" ht="25.5" x14ac:dyDescent="0.2">
      <c r="A93" s="63">
        <v>1</v>
      </c>
      <c r="B93" s="64" t="s">
        <v>99</v>
      </c>
      <c r="C93" s="64" t="s">
        <v>100</v>
      </c>
      <c r="D93" s="64"/>
      <c r="E93" s="75">
        <v>2586.3710000000001</v>
      </c>
      <c r="F93" s="66">
        <v>282.98323353799998</v>
      </c>
      <c r="G93" s="67">
        <v>4.0016799999999996E-3</v>
      </c>
      <c r="H93" s="68"/>
    </row>
    <row r="94" spans="1:17" x14ac:dyDescent="0.2">
      <c r="A94" s="70"/>
      <c r="B94" s="70"/>
      <c r="C94" s="73" t="s">
        <v>11</v>
      </c>
      <c r="D94" s="70"/>
      <c r="E94" s="70" t="s">
        <v>12</v>
      </c>
      <c r="F94" s="76">
        <f>SUM(F93)</f>
        <v>282.98323353799998</v>
      </c>
      <c r="G94" s="77">
        <f>SUM(G93)</f>
        <v>4.0016799999999996E-3</v>
      </c>
      <c r="H94" s="68" t="s">
        <v>12</v>
      </c>
    </row>
    <row r="95" spans="1:17" x14ac:dyDescent="0.2">
      <c r="A95" s="18"/>
      <c r="B95" s="18"/>
      <c r="C95" s="22"/>
      <c r="D95" s="18"/>
      <c r="E95" s="18"/>
      <c r="F95" s="23"/>
      <c r="G95" s="23"/>
      <c r="H95" s="17" t="s">
        <v>12</v>
      </c>
    </row>
    <row r="96" spans="1:17" x14ac:dyDescent="0.2">
      <c r="A96" s="18"/>
      <c r="B96" s="18"/>
      <c r="C96" s="19" t="s">
        <v>101</v>
      </c>
      <c r="D96" s="18"/>
      <c r="E96" s="18"/>
      <c r="F96" s="18"/>
      <c r="G96" s="18"/>
      <c r="H96" s="17" t="s">
        <v>12</v>
      </c>
    </row>
    <row r="97" spans="1:8" x14ac:dyDescent="0.2">
      <c r="A97" s="18"/>
      <c r="B97" s="18"/>
      <c r="C97" s="19" t="s">
        <v>102</v>
      </c>
      <c r="D97" s="18"/>
      <c r="E97" s="18"/>
      <c r="F97" s="18"/>
      <c r="G97" s="18"/>
      <c r="H97" s="17" t="s">
        <v>12</v>
      </c>
    </row>
    <row r="98" spans="1:8" x14ac:dyDescent="0.2">
      <c r="A98" s="18"/>
      <c r="B98" s="18"/>
      <c r="C98" s="19" t="s">
        <v>11</v>
      </c>
      <c r="D98" s="18"/>
      <c r="E98" s="18" t="s">
        <v>12</v>
      </c>
      <c r="F98" s="20" t="s">
        <v>13</v>
      </c>
      <c r="G98" s="21">
        <v>0</v>
      </c>
      <c r="H98" s="17" t="s">
        <v>12</v>
      </c>
    </row>
    <row r="99" spans="1:8" x14ac:dyDescent="0.2">
      <c r="A99" s="18"/>
      <c r="B99" s="18"/>
      <c r="C99" s="22"/>
      <c r="D99" s="18"/>
      <c r="E99" s="18"/>
      <c r="F99" s="23"/>
      <c r="G99" s="23"/>
      <c r="H99" s="17" t="s">
        <v>12</v>
      </c>
    </row>
    <row r="100" spans="1:8" x14ac:dyDescent="0.2">
      <c r="A100" s="18"/>
      <c r="B100" s="18"/>
      <c r="C100" s="19" t="s">
        <v>103</v>
      </c>
      <c r="D100" s="18"/>
      <c r="E100" s="18"/>
      <c r="F100" s="23"/>
      <c r="G100" s="23"/>
      <c r="H100" s="17" t="s">
        <v>12</v>
      </c>
    </row>
    <row r="101" spans="1:8" x14ac:dyDescent="0.2">
      <c r="A101" s="18"/>
      <c r="B101" s="18"/>
      <c r="C101" s="19" t="s">
        <v>11</v>
      </c>
      <c r="D101" s="18"/>
      <c r="E101" s="18" t="s">
        <v>12</v>
      </c>
      <c r="F101" s="20" t="s">
        <v>13</v>
      </c>
      <c r="G101" s="21">
        <v>0</v>
      </c>
      <c r="H101" s="17" t="s">
        <v>12</v>
      </c>
    </row>
    <row r="102" spans="1:8" x14ac:dyDescent="0.2">
      <c r="A102" s="18"/>
      <c r="B102" s="26"/>
      <c r="C102" s="26"/>
      <c r="D102" s="19"/>
      <c r="E102" s="18"/>
      <c r="F102" s="26"/>
      <c r="G102" s="30"/>
      <c r="H102" s="17" t="s">
        <v>12</v>
      </c>
    </row>
    <row r="103" spans="1:8" x14ac:dyDescent="0.2">
      <c r="A103" s="30"/>
      <c r="B103" s="26"/>
      <c r="C103" s="26" t="s">
        <v>104</v>
      </c>
      <c r="D103" s="26"/>
      <c r="E103" s="30"/>
      <c r="F103" s="28">
        <v>2282.8763322200002</v>
      </c>
      <c r="G103" s="29">
        <v>3.2282270000000002E-2</v>
      </c>
      <c r="H103" s="17" t="s">
        <v>12</v>
      </c>
    </row>
    <row r="104" spans="1:8" x14ac:dyDescent="0.2">
      <c r="A104" s="22"/>
      <c r="B104" s="22"/>
      <c r="C104" s="19" t="s">
        <v>105</v>
      </c>
      <c r="D104" s="23"/>
      <c r="E104" s="23"/>
      <c r="F104" s="24">
        <v>70716.109396960004</v>
      </c>
      <c r="G104" s="31">
        <v>1.0000000099999999</v>
      </c>
      <c r="H104" s="17" t="s">
        <v>12</v>
      </c>
    </row>
    <row r="105" spans="1:8" x14ac:dyDescent="0.2">
      <c r="A105" s="32"/>
      <c r="B105" s="32"/>
      <c r="C105" s="32"/>
      <c r="D105" s="33"/>
      <c r="E105" s="33"/>
      <c r="F105" s="33"/>
      <c r="G105" s="33"/>
    </row>
    <row r="106" spans="1:8" x14ac:dyDescent="0.2">
      <c r="A106" s="34"/>
      <c r="B106" s="151" t="s">
        <v>539</v>
      </c>
      <c r="C106" s="151"/>
      <c r="D106" s="151"/>
      <c r="E106" s="151"/>
      <c r="F106" s="151"/>
      <c r="G106" s="151"/>
      <c r="H106" s="151"/>
    </row>
    <row r="107" spans="1:8" x14ac:dyDescent="0.2">
      <c r="A107" s="34"/>
      <c r="B107" s="151" t="s">
        <v>540</v>
      </c>
      <c r="C107" s="151"/>
      <c r="D107" s="151"/>
      <c r="E107" s="151"/>
      <c r="F107" s="151"/>
      <c r="G107" s="151"/>
      <c r="H107" s="151"/>
    </row>
    <row r="108" spans="1:8" x14ac:dyDescent="0.2">
      <c r="A108" s="34"/>
      <c r="B108" s="151" t="s">
        <v>541</v>
      </c>
      <c r="C108" s="151"/>
      <c r="D108" s="151"/>
      <c r="E108" s="151"/>
      <c r="F108" s="151"/>
      <c r="G108" s="151"/>
      <c r="H108" s="151"/>
    </row>
    <row r="109" spans="1:8" x14ac:dyDescent="0.2">
      <c r="A109" s="36"/>
      <c r="B109" s="36"/>
      <c r="C109" s="36"/>
      <c r="D109" s="37"/>
      <c r="E109" s="37"/>
      <c r="F109" s="37"/>
      <c r="G109" s="37"/>
    </row>
    <row r="110" spans="1:8" x14ac:dyDescent="0.2">
      <c r="A110" s="36"/>
      <c r="B110" s="154" t="s">
        <v>106</v>
      </c>
      <c r="C110" s="155"/>
      <c r="D110" s="156"/>
      <c r="E110" s="38"/>
      <c r="F110" s="37"/>
      <c r="G110" s="37"/>
    </row>
    <row r="111" spans="1:8" ht="27.75" customHeight="1" x14ac:dyDescent="0.2">
      <c r="A111" s="36"/>
      <c r="B111" s="157" t="s">
        <v>107</v>
      </c>
      <c r="C111" s="158"/>
      <c r="D111" s="19" t="s">
        <v>108</v>
      </c>
      <c r="E111" s="38"/>
      <c r="F111" s="37"/>
      <c r="G111" s="37"/>
    </row>
    <row r="112" spans="1:8" x14ac:dyDescent="0.2">
      <c r="A112" s="36"/>
      <c r="B112" s="157" t="s">
        <v>109</v>
      </c>
      <c r="C112" s="158"/>
      <c r="D112" s="19" t="s">
        <v>108</v>
      </c>
      <c r="E112" s="38"/>
      <c r="F112" s="37"/>
      <c r="G112" s="37"/>
    </row>
    <row r="113" spans="1:7" x14ac:dyDescent="0.2">
      <c r="A113" s="36"/>
      <c r="B113" s="157" t="s">
        <v>110</v>
      </c>
      <c r="C113" s="158"/>
      <c r="D113" s="23" t="s">
        <v>12</v>
      </c>
      <c r="E113" s="38"/>
      <c r="F113" s="37"/>
      <c r="G113" s="37"/>
    </row>
    <row r="114" spans="1:7" x14ac:dyDescent="0.2">
      <c r="A114" s="39"/>
      <c r="B114" s="40" t="s">
        <v>12</v>
      </c>
      <c r="C114" s="40" t="s">
        <v>542</v>
      </c>
      <c r="D114" s="40" t="s">
        <v>111</v>
      </c>
      <c r="E114" s="39"/>
      <c r="F114" s="39"/>
      <c r="G114" s="39"/>
    </row>
    <row r="115" spans="1:7" x14ac:dyDescent="0.2">
      <c r="A115" s="39"/>
      <c r="B115" s="41" t="s">
        <v>112</v>
      </c>
      <c r="C115" s="42">
        <v>45688</v>
      </c>
      <c r="D115" s="42">
        <v>45703</v>
      </c>
      <c r="E115" s="39"/>
      <c r="F115" s="39"/>
      <c r="G115" s="39"/>
    </row>
    <row r="116" spans="1:7" x14ac:dyDescent="0.2">
      <c r="A116" s="43"/>
      <c r="B116" s="26" t="s">
        <v>113</v>
      </c>
      <c r="C116" s="44">
        <v>39.924399999999999</v>
      </c>
      <c r="D116" s="44">
        <v>40.009300000000003</v>
      </c>
      <c r="E116" s="43"/>
      <c r="F116" s="45"/>
      <c r="G116" s="46"/>
    </row>
    <row r="117" spans="1:7" ht="25.5" x14ac:dyDescent="0.2">
      <c r="A117" s="43"/>
      <c r="B117" s="26" t="s">
        <v>663</v>
      </c>
      <c r="C117" s="44">
        <v>17.644300000000001</v>
      </c>
      <c r="D117" s="44">
        <v>17.681799999999999</v>
      </c>
      <c r="E117" s="43"/>
      <c r="F117" s="45"/>
      <c r="G117" s="46"/>
    </row>
    <row r="118" spans="1:7" ht="25.5" x14ac:dyDescent="0.2">
      <c r="A118" s="43"/>
      <c r="B118" s="26" t="s">
        <v>664</v>
      </c>
      <c r="C118" s="44">
        <v>19.520299999999999</v>
      </c>
      <c r="D118" s="44">
        <v>19.561800000000002</v>
      </c>
      <c r="E118" s="43"/>
      <c r="F118" s="45"/>
      <c r="G118" s="46"/>
    </row>
    <row r="119" spans="1:7" ht="25.5" x14ac:dyDescent="0.2">
      <c r="A119" s="43"/>
      <c r="B119" s="26" t="s">
        <v>665</v>
      </c>
      <c r="C119" s="44">
        <v>17.6478</v>
      </c>
      <c r="D119" s="44">
        <v>17.685300000000002</v>
      </c>
      <c r="E119" s="43"/>
      <c r="F119" s="45"/>
      <c r="G119" s="46"/>
    </row>
    <row r="120" spans="1:7" ht="25.5" x14ac:dyDescent="0.2">
      <c r="A120" s="43"/>
      <c r="B120" s="26" t="s">
        <v>666</v>
      </c>
      <c r="C120" s="44">
        <v>17.763500000000001</v>
      </c>
      <c r="D120" s="44">
        <v>17.801300000000001</v>
      </c>
      <c r="E120" s="43"/>
      <c r="F120" s="45"/>
      <c r="G120" s="46"/>
    </row>
    <row r="121" spans="1:7" x14ac:dyDescent="0.2">
      <c r="A121" s="43"/>
      <c r="B121" s="26" t="s">
        <v>114</v>
      </c>
      <c r="C121" s="44">
        <v>38.645299999999999</v>
      </c>
      <c r="D121" s="44">
        <v>38.724600000000002</v>
      </c>
      <c r="E121" s="43"/>
      <c r="F121" s="45"/>
      <c r="G121" s="46"/>
    </row>
    <row r="122" spans="1:7" ht="25.5" x14ac:dyDescent="0.2">
      <c r="A122" s="43"/>
      <c r="B122" s="26" t="s">
        <v>667</v>
      </c>
      <c r="C122" s="44">
        <v>16.666599999999999</v>
      </c>
      <c r="D122" s="44">
        <v>16.700800000000001</v>
      </c>
      <c r="E122" s="43"/>
      <c r="F122" s="45"/>
      <c r="G122" s="46"/>
    </row>
    <row r="123" spans="1:7" ht="25.5" x14ac:dyDescent="0.2">
      <c r="A123" s="43"/>
      <c r="B123" s="26" t="s">
        <v>668</v>
      </c>
      <c r="C123" s="44">
        <v>18.932300000000001</v>
      </c>
      <c r="D123" s="44">
        <v>18.9712</v>
      </c>
      <c r="E123" s="43"/>
      <c r="F123" s="45"/>
      <c r="G123" s="46"/>
    </row>
    <row r="124" spans="1:7" ht="25.5" x14ac:dyDescent="0.2">
      <c r="A124" s="43"/>
      <c r="B124" s="26" t="s">
        <v>669</v>
      </c>
      <c r="C124" s="44">
        <v>17.525400000000001</v>
      </c>
      <c r="D124" s="44">
        <v>17.561399999999999</v>
      </c>
      <c r="E124" s="43"/>
      <c r="F124" s="45"/>
      <c r="G124" s="46"/>
    </row>
    <row r="125" spans="1:7" ht="25.5" x14ac:dyDescent="0.2">
      <c r="A125" s="43"/>
      <c r="B125" s="26" t="s">
        <v>670</v>
      </c>
      <c r="C125" s="44">
        <v>17.23</v>
      </c>
      <c r="D125" s="44">
        <v>17.2654</v>
      </c>
      <c r="E125" s="43"/>
      <c r="F125" s="45"/>
      <c r="G125" s="46"/>
    </row>
    <row r="126" spans="1:7" x14ac:dyDescent="0.2">
      <c r="A126" s="43"/>
      <c r="B126" s="43"/>
      <c r="C126" s="43"/>
      <c r="D126" s="43"/>
      <c r="E126" s="43"/>
      <c r="F126" s="43"/>
      <c r="G126" s="43"/>
    </row>
    <row r="127" spans="1:7" x14ac:dyDescent="0.2">
      <c r="A127" s="43"/>
      <c r="B127" s="157" t="s">
        <v>643</v>
      </c>
      <c r="C127" s="158"/>
      <c r="D127" s="73" t="s">
        <v>108</v>
      </c>
      <c r="E127" s="43"/>
      <c r="F127" s="43"/>
      <c r="G127" s="43"/>
    </row>
    <row r="128" spans="1:7" x14ac:dyDescent="0.2">
      <c r="A128" s="43"/>
      <c r="B128" s="48"/>
      <c r="C128" s="48"/>
      <c r="D128" s="48"/>
      <c r="E128" s="43"/>
      <c r="F128" s="43"/>
      <c r="G128" s="43"/>
    </row>
    <row r="129" spans="1:14" ht="25.5" customHeight="1" x14ac:dyDescent="0.2">
      <c r="A129" s="39"/>
      <c r="B129" s="159" t="s">
        <v>115</v>
      </c>
      <c r="C129" s="160"/>
      <c r="D129" s="73" t="s">
        <v>108</v>
      </c>
      <c r="E129" s="49"/>
      <c r="F129" s="39"/>
      <c r="G129" s="39"/>
    </row>
    <row r="130" spans="1:14" ht="26.25" customHeight="1" x14ac:dyDescent="0.2">
      <c r="A130" s="39"/>
      <c r="B130" s="159" t="s">
        <v>116</v>
      </c>
      <c r="C130" s="160"/>
      <c r="D130" s="73" t="s">
        <v>108</v>
      </c>
      <c r="E130" s="49"/>
      <c r="F130" s="39"/>
      <c r="G130" s="39"/>
    </row>
    <row r="131" spans="1:14" x14ac:dyDescent="0.2">
      <c r="A131" s="39"/>
      <c r="B131" s="159" t="s">
        <v>543</v>
      </c>
      <c r="C131" s="160"/>
      <c r="D131" s="73" t="s">
        <v>108</v>
      </c>
      <c r="E131" s="49"/>
      <c r="F131" s="39"/>
      <c r="G131" s="39"/>
    </row>
    <row r="132" spans="1:14" x14ac:dyDescent="0.2">
      <c r="A132" s="48"/>
      <c r="B132" s="48"/>
      <c r="C132" s="48"/>
      <c r="D132" s="48"/>
      <c r="E132" s="48"/>
      <c r="F132" s="48"/>
      <c r="G132" s="48"/>
    </row>
    <row r="133" spans="1:14" s="51" customFormat="1" x14ac:dyDescent="0.2">
      <c r="B133" s="161" t="s">
        <v>544</v>
      </c>
      <c r="C133" s="162"/>
      <c r="D133" s="163"/>
      <c r="H133"/>
      <c r="I133"/>
      <c r="J133" s="50"/>
      <c r="K133" s="50"/>
      <c r="L133" s="50"/>
      <c r="M133" s="50"/>
      <c r="N133" s="50"/>
    </row>
    <row r="134" spans="1:14" s="51" customFormat="1" ht="38.25" x14ac:dyDescent="0.2">
      <c r="B134" s="152" t="s">
        <v>545</v>
      </c>
      <c r="C134" s="152"/>
      <c r="D134" s="53" t="s">
        <v>1</v>
      </c>
      <c r="H134"/>
      <c r="I134"/>
      <c r="J134" s="50"/>
      <c r="K134" s="50"/>
      <c r="L134" s="50"/>
      <c r="M134" s="50"/>
      <c r="N134" s="50"/>
    </row>
    <row r="135" spans="1:14" s="51" customFormat="1" x14ac:dyDescent="0.2">
      <c r="B135" s="153" t="s">
        <v>546</v>
      </c>
      <c r="C135" s="153"/>
      <c r="D135" s="54"/>
      <c r="H135"/>
      <c r="I135"/>
      <c r="J135" s="50"/>
      <c r="K135" s="50"/>
      <c r="L135" s="50"/>
      <c r="M135" s="50"/>
      <c r="N135" s="50"/>
    </row>
    <row r="136" spans="1:14" s="51" customFormat="1" x14ac:dyDescent="0.2">
      <c r="B136" s="165"/>
      <c r="C136" s="166"/>
      <c r="D136" s="55"/>
      <c r="H136"/>
      <c r="I136"/>
      <c r="J136" s="50"/>
      <c r="K136" s="50"/>
      <c r="L136" s="50"/>
      <c r="M136" s="50"/>
      <c r="N136" s="50"/>
    </row>
    <row r="137" spans="1:14" s="51" customFormat="1" x14ac:dyDescent="0.2">
      <c r="B137" s="153" t="s">
        <v>547</v>
      </c>
      <c r="C137" s="153"/>
      <c r="D137" s="108">
        <v>7.3385330737204839</v>
      </c>
      <c r="H137"/>
      <c r="I137"/>
      <c r="J137" s="50"/>
      <c r="K137" s="50"/>
      <c r="L137" s="50"/>
      <c r="M137" s="50"/>
      <c r="N137" s="50"/>
    </row>
    <row r="138" spans="1:14" s="51" customFormat="1" x14ac:dyDescent="0.2">
      <c r="B138" s="165"/>
      <c r="C138" s="166"/>
      <c r="D138" s="55"/>
      <c r="H138"/>
      <c r="I138"/>
      <c r="J138" s="50"/>
      <c r="K138" s="50"/>
      <c r="L138" s="50"/>
      <c r="M138" s="50"/>
      <c r="N138" s="50"/>
    </row>
    <row r="139" spans="1:14" s="51" customFormat="1" x14ac:dyDescent="0.2">
      <c r="B139" s="153" t="s">
        <v>548</v>
      </c>
      <c r="C139" s="153"/>
      <c r="D139" s="108">
        <v>4.0732333690846856</v>
      </c>
      <c r="H139"/>
      <c r="I139"/>
      <c r="J139" s="50"/>
      <c r="K139" s="50"/>
      <c r="L139" s="50"/>
      <c r="M139" s="50"/>
      <c r="N139" s="50"/>
    </row>
    <row r="140" spans="1:14" s="51" customFormat="1" x14ac:dyDescent="0.2">
      <c r="B140" s="153" t="s">
        <v>549</v>
      </c>
      <c r="C140" s="153"/>
      <c r="D140" s="108">
        <v>5.8772517260203827</v>
      </c>
      <c r="H140"/>
      <c r="I140"/>
      <c r="J140" s="50"/>
      <c r="K140" s="50"/>
      <c r="L140" s="50"/>
      <c r="M140" s="50"/>
      <c r="N140" s="50"/>
    </row>
    <row r="141" spans="1:14" s="51" customFormat="1" x14ac:dyDescent="0.2">
      <c r="B141" s="165"/>
      <c r="C141" s="166"/>
      <c r="D141" s="55"/>
      <c r="I141"/>
      <c r="J141" s="50"/>
      <c r="K141" s="50"/>
      <c r="L141" s="50"/>
      <c r="M141" s="50"/>
      <c r="N141" s="50"/>
    </row>
    <row r="142" spans="1:14" s="51" customFormat="1" x14ac:dyDescent="0.2">
      <c r="B142" s="153" t="s">
        <v>550</v>
      </c>
      <c r="C142" s="153"/>
      <c r="D142" s="109" t="s">
        <v>657</v>
      </c>
      <c r="I142"/>
      <c r="J142" s="50"/>
      <c r="K142" s="50"/>
      <c r="L142" s="50"/>
      <c r="M142" s="50"/>
      <c r="N142" s="52"/>
    </row>
    <row r="143" spans="1:14" s="51" customFormat="1" x14ac:dyDescent="0.2">
      <c r="B143" s="165" t="s">
        <v>551</v>
      </c>
      <c r="C143" s="167"/>
      <c r="D143" s="166"/>
      <c r="I143"/>
      <c r="J143" s="50"/>
      <c r="K143" s="50"/>
      <c r="L143" s="50"/>
      <c r="M143" s="50"/>
      <c r="N143" s="50"/>
    </row>
    <row r="145" spans="2:4" ht="25.5" x14ac:dyDescent="0.2">
      <c r="B145" s="60" t="s">
        <v>552</v>
      </c>
    </row>
    <row r="147" spans="2:4" ht="153.75" customHeight="1" x14ac:dyDescent="0.2"/>
    <row r="150" spans="2:4" x14ac:dyDescent="0.2">
      <c r="B150" s="61" t="s">
        <v>553</v>
      </c>
      <c r="C150" s="62"/>
      <c r="D150" s="61" t="s">
        <v>554</v>
      </c>
    </row>
    <row r="151" spans="2:4" x14ac:dyDescent="0.2">
      <c r="B151" s="61" t="s">
        <v>555</v>
      </c>
      <c r="D151" s="61" t="s">
        <v>556</v>
      </c>
    </row>
    <row r="152" spans="2:4" ht="165" customHeight="1" x14ac:dyDescent="0.2"/>
  </sheetData>
  <mergeCells count="25">
    <mergeCell ref="B141:C141"/>
    <mergeCell ref="B142:C142"/>
    <mergeCell ref="B143:D143"/>
    <mergeCell ref="B136:C136"/>
    <mergeCell ref="B137:C137"/>
    <mergeCell ref="B138:C138"/>
    <mergeCell ref="B139:C139"/>
    <mergeCell ref="B140:C140"/>
    <mergeCell ref="A1:H1"/>
    <mergeCell ref="A2:H2"/>
    <mergeCell ref="A3:H3"/>
    <mergeCell ref="B106:H106"/>
    <mergeCell ref="B107:H107"/>
    <mergeCell ref="B108:H108"/>
    <mergeCell ref="B134:C134"/>
    <mergeCell ref="B135:C135"/>
    <mergeCell ref="B110:D110"/>
    <mergeCell ref="B111:C111"/>
    <mergeCell ref="B112:C112"/>
    <mergeCell ref="B113:C113"/>
    <mergeCell ref="B127:C127"/>
    <mergeCell ref="B131:C131"/>
    <mergeCell ref="B129:C129"/>
    <mergeCell ref="B130:C130"/>
    <mergeCell ref="B133:D13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7D69-4E42-4FA2-88C4-01881D60579C}">
  <sheetPr>
    <outlinePr summaryBelow="0" summaryRight="0"/>
  </sheetPr>
  <dimension ref="A1:R144"/>
  <sheetViews>
    <sheetView showGridLines="0" workbookViewId="0">
      <selection sqref="A1:H1"/>
    </sheetView>
  </sheetViews>
  <sheetFormatPr defaultRowHeight="12.75" x14ac:dyDescent="0.2"/>
  <cols>
    <col min="1" max="1" width="5.85546875" bestFit="1" customWidth="1"/>
    <col min="2" max="2" width="21.85546875" customWidth="1"/>
    <col min="3" max="3" width="39.140625" bestFit="1" customWidth="1"/>
    <col min="4" max="4" width="10.7109375" bestFit="1" customWidth="1"/>
    <col min="5" max="5" width="9.42578125" bestFit="1" customWidth="1"/>
    <col min="6" max="6" width="10.140625" bestFit="1" customWidth="1"/>
    <col min="7" max="7" width="14" bestFit="1" customWidth="1"/>
    <col min="8" max="8" width="9.85546875" bestFit="1" customWidth="1"/>
  </cols>
  <sheetData>
    <row r="1" spans="1:8" ht="15" x14ac:dyDescent="0.2">
      <c r="A1" s="164" t="s">
        <v>0</v>
      </c>
      <c r="B1" s="164"/>
      <c r="C1" s="164"/>
      <c r="D1" s="164"/>
      <c r="E1" s="164"/>
      <c r="F1" s="164"/>
      <c r="G1" s="164"/>
      <c r="H1" s="164"/>
    </row>
    <row r="2" spans="1:8" ht="15" x14ac:dyDescent="0.2">
      <c r="A2" s="164" t="s">
        <v>117</v>
      </c>
      <c r="B2" s="164"/>
      <c r="C2" s="164"/>
      <c r="D2" s="164"/>
      <c r="E2" s="164"/>
      <c r="F2" s="164"/>
      <c r="G2" s="164"/>
      <c r="H2" s="164"/>
    </row>
    <row r="3" spans="1:8" ht="15" x14ac:dyDescent="0.2">
      <c r="A3" s="164" t="s">
        <v>537</v>
      </c>
      <c r="B3" s="164"/>
      <c r="C3" s="164"/>
      <c r="D3" s="164"/>
      <c r="E3" s="164"/>
      <c r="F3" s="164"/>
      <c r="G3" s="164"/>
      <c r="H3" s="164"/>
    </row>
    <row r="4" spans="1:8" s="14" customFormat="1" ht="30" x14ac:dyDescent="0.2">
      <c r="A4" s="12" t="s">
        <v>2</v>
      </c>
      <c r="B4" s="12" t="s">
        <v>3</v>
      </c>
      <c r="C4" s="12" t="s">
        <v>4</v>
      </c>
      <c r="D4" s="12" t="s">
        <v>5</v>
      </c>
      <c r="E4" s="12" t="s">
        <v>6</v>
      </c>
      <c r="F4" s="12" t="s">
        <v>7</v>
      </c>
      <c r="G4" s="12" t="s">
        <v>8</v>
      </c>
      <c r="H4" s="13" t="s">
        <v>536</v>
      </c>
    </row>
    <row r="5" spans="1:8" x14ac:dyDescent="0.2">
      <c r="A5" s="15"/>
      <c r="B5" s="15"/>
      <c r="C5" s="16" t="s">
        <v>9</v>
      </c>
      <c r="D5" s="15"/>
      <c r="E5" s="15"/>
      <c r="F5" s="15"/>
      <c r="G5" s="15"/>
      <c r="H5" s="17" t="s">
        <v>12</v>
      </c>
    </row>
    <row r="6" spans="1:8" x14ac:dyDescent="0.2">
      <c r="A6" s="18"/>
      <c r="B6" s="18"/>
      <c r="C6" s="19" t="s">
        <v>10</v>
      </c>
      <c r="D6" s="18"/>
      <c r="E6" s="18"/>
      <c r="F6" s="18"/>
      <c r="G6" s="18"/>
      <c r="H6" s="17" t="s">
        <v>12</v>
      </c>
    </row>
    <row r="7" spans="1:8" x14ac:dyDescent="0.2">
      <c r="A7" s="18"/>
      <c r="B7" s="18"/>
      <c r="C7" s="19" t="s">
        <v>11</v>
      </c>
      <c r="D7" s="18"/>
      <c r="E7" s="18" t="s">
        <v>12</v>
      </c>
      <c r="F7" s="20" t="s">
        <v>13</v>
      </c>
      <c r="G7" s="21">
        <v>0</v>
      </c>
      <c r="H7" s="17" t="s">
        <v>12</v>
      </c>
    </row>
    <row r="8" spans="1:8" x14ac:dyDescent="0.2">
      <c r="A8" s="18"/>
      <c r="B8" s="18"/>
      <c r="C8" s="22"/>
      <c r="D8" s="18"/>
      <c r="E8" s="18"/>
      <c r="F8" s="23"/>
      <c r="G8" s="23"/>
      <c r="H8" s="17" t="s">
        <v>12</v>
      </c>
    </row>
    <row r="9" spans="1:8" x14ac:dyDescent="0.2">
      <c r="A9" s="18"/>
      <c r="B9" s="18"/>
      <c r="C9" s="19" t="s">
        <v>14</v>
      </c>
      <c r="D9" s="18"/>
      <c r="E9" s="18"/>
      <c r="F9" s="18"/>
      <c r="G9" s="18"/>
      <c r="H9" s="17" t="s">
        <v>12</v>
      </c>
    </row>
    <row r="10" spans="1:8" x14ac:dyDescent="0.2">
      <c r="A10" s="18"/>
      <c r="B10" s="18"/>
      <c r="C10" s="19" t="s">
        <v>11</v>
      </c>
      <c r="D10" s="18"/>
      <c r="E10" s="18" t="s">
        <v>12</v>
      </c>
      <c r="F10" s="20" t="s">
        <v>13</v>
      </c>
      <c r="G10" s="21">
        <v>0</v>
      </c>
      <c r="H10" s="17" t="s">
        <v>12</v>
      </c>
    </row>
    <row r="11" spans="1:8" x14ac:dyDescent="0.2">
      <c r="A11" s="18"/>
      <c r="B11" s="18"/>
      <c r="C11" s="22"/>
      <c r="D11" s="18"/>
      <c r="E11" s="18"/>
      <c r="F11" s="23"/>
      <c r="G11" s="23"/>
      <c r="H11" s="17" t="s">
        <v>12</v>
      </c>
    </row>
    <row r="12" spans="1:8" x14ac:dyDescent="0.2">
      <c r="A12" s="18"/>
      <c r="B12" s="18"/>
      <c r="C12" s="19" t="s">
        <v>15</v>
      </c>
      <c r="D12" s="18"/>
      <c r="E12" s="18"/>
      <c r="F12" s="18"/>
      <c r="G12" s="18"/>
      <c r="H12" s="17" t="s">
        <v>12</v>
      </c>
    </row>
    <row r="13" spans="1:8" x14ac:dyDescent="0.2">
      <c r="A13" s="18"/>
      <c r="B13" s="18"/>
      <c r="C13" s="19" t="s">
        <v>11</v>
      </c>
      <c r="D13" s="18"/>
      <c r="E13" s="18" t="s">
        <v>12</v>
      </c>
      <c r="F13" s="20" t="s">
        <v>13</v>
      </c>
      <c r="G13" s="21">
        <v>0</v>
      </c>
      <c r="H13" s="17" t="s">
        <v>12</v>
      </c>
    </row>
    <row r="14" spans="1:8" x14ac:dyDescent="0.2">
      <c r="A14" s="18"/>
      <c r="B14" s="18"/>
      <c r="C14" s="22"/>
      <c r="D14" s="18"/>
      <c r="E14" s="18"/>
      <c r="F14" s="23"/>
      <c r="G14" s="23"/>
      <c r="H14" s="17" t="s">
        <v>12</v>
      </c>
    </row>
    <row r="15" spans="1:8" x14ac:dyDescent="0.2">
      <c r="A15" s="18"/>
      <c r="B15" s="18"/>
      <c r="C15" s="19" t="s">
        <v>16</v>
      </c>
      <c r="D15" s="18"/>
      <c r="E15" s="18"/>
      <c r="F15" s="18"/>
      <c r="G15" s="18"/>
      <c r="H15" s="17" t="s">
        <v>12</v>
      </c>
    </row>
    <row r="16" spans="1:8"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ht="25.5" x14ac:dyDescent="0.2">
      <c r="A28" s="25">
        <v>1</v>
      </c>
      <c r="B28" s="26" t="s">
        <v>49</v>
      </c>
      <c r="C28" s="26" t="s">
        <v>50</v>
      </c>
      <c r="D28" s="26" t="s">
        <v>32</v>
      </c>
      <c r="E28" s="27">
        <v>300</v>
      </c>
      <c r="F28" s="28">
        <v>3005.9070000000002</v>
      </c>
      <c r="G28" s="29">
        <v>8.9158210000000002E-2</v>
      </c>
      <c r="H28" s="17">
        <v>7.34</v>
      </c>
    </row>
    <row r="29" spans="1:8" x14ac:dyDescent="0.2">
      <c r="A29" s="25">
        <v>2</v>
      </c>
      <c r="B29" s="26" t="s">
        <v>118</v>
      </c>
      <c r="C29" s="26" t="s">
        <v>119</v>
      </c>
      <c r="D29" s="26" t="s">
        <v>32</v>
      </c>
      <c r="E29" s="27">
        <v>250</v>
      </c>
      <c r="F29" s="28">
        <v>2509.5749999999998</v>
      </c>
      <c r="G29" s="29">
        <v>7.4436509999999997E-2</v>
      </c>
      <c r="H29" s="17">
        <v>7.3975</v>
      </c>
    </row>
    <row r="30" spans="1:8" x14ac:dyDescent="0.2">
      <c r="A30" s="25">
        <v>3</v>
      </c>
      <c r="B30" s="26" t="s">
        <v>120</v>
      </c>
      <c r="C30" s="26" t="s">
        <v>121</v>
      </c>
      <c r="D30" s="26" t="s">
        <v>23</v>
      </c>
      <c r="E30" s="27">
        <v>2500</v>
      </c>
      <c r="F30" s="28">
        <v>2502.6275000000001</v>
      </c>
      <c r="G30" s="29">
        <v>7.4230439999999995E-2</v>
      </c>
      <c r="H30" s="17">
        <v>7.6433999999999997</v>
      </c>
    </row>
    <row r="31" spans="1:8" x14ac:dyDescent="0.2">
      <c r="A31" s="25">
        <v>4</v>
      </c>
      <c r="B31" s="26" t="s">
        <v>122</v>
      </c>
      <c r="C31" s="26" t="s">
        <v>123</v>
      </c>
      <c r="D31" s="26" t="s">
        <v>23</v>
      </c>
      <c r="E31" s="27">
        <v>2000</v>
      </c>
      <c r="F31" s="28">
        <v>2005.99</v>
      </c>
      <c r="G31" s="29">
        <v>5.9499669999999998E-2</v>
      </c>
      <c r="H31" s="17">
        <v>7.4349999999999996</v>
      </c>
    </row>
    <row r="32" spans="1:8" ht="25.5" x14ac:dyDescent="0.2">
      <c r="A32" s="25">
        <v>5</v>
      </c>
      <c r="B32" s="26" t="s">
        <v>124</v>
      </c>
      <c r="C32" s="26" t="s">
        <v>125</v>
      </c>
      <c r="D32" s="26" t="s">
        <v>32</v>
      </c>
      <c r="E32" s="27">
        <v>200</v>
      </c>
      <c r="F32" s="28">
        <v>1995.914</v>
      </c>
      <c r="G32" s="29">
        <v>5.920081E-2</v>
      </c>
      <c r="H32" s="17">
        <v>7.7587999999999999</v>
      </c>
    </row>
    <row r="33" spans="1:8" ht="25.5" x14ac:dyDescent="0.2">
      <c r="A33" s="25">
        <v>6</v>
      </c>
      <c r="B33" s="26" t="s">
        <v>126</v>
      </c>
      <c r="C33" s="26" t="s">
        <v>127</v>
      </c>
      <c r="D33" s="26" t="s">
        <v>32</v>
      </c>
      <c r="E33" s="27">
        <v>200</v>
      </c>
      <c r="F33" s="28">
        <v>1956.3140000000001</v>
      </c>
      <c r="G33" s="29">
        <v>5.8026229999999998E-2</v>
      </c>
      <c r="H33" s="17">
        <v>7.62</v>
      </c>
    </row>
    <row r="34" spans="1:8" ht="25.5" x14ac:dyDescent="0.2">
      <c r="A34" s="25">
        <v>7</v>
      </c>
      <c r="B34" s="26" t="s">
        <v>35</v>
      </c>
      <c r="C34" s="26" t="s">
        <v>36</v>
      </c>
      <c r="D34" s="26" t="s">
        <v>23</v>
      </c>
      <c r="E34" s="27">
        <v>1500</v>
      </c>
      <c r="F34" s="28">
        <v>1509.8325</v>
      </c>
      <c r="G34" s="29">
        <v>4.4783150000000001E-2</v>
      </c>
      <c r="H34" s="17">
        <v>7.42</v>
      </c>
    </row>
    <row r="35" spans="1:8" ht="25.5" x14ac:dyDescent="0.2">
      <c r="A35" s="25">
        <v>8</v>
      </c>
      <c r="B35" s="26" t="s">
        <v>128</v>
      </c>
      <c r="C35" s="26" t="s">
        <v>129</v>
      </c>
      <c r="D35" s="26" t="s">
        <v>23</v>
      </c>
      <c r="E35" s="27">
        <v>1500</v>
      </c>
      <c r="F35" s="28">
        <v>1500.1275000000001</v>
      </c>
      <c r="G35" s="29">
        <v>4.449529E-2</v>
      </c>
      <c r="H35" s="17">
        <v>7.3598999999999997</v>
      </c>
    </row>
    <row r="36" spans="1:8" ht="25.5" x14ac:dyDescent="0.2">
      <c r="A36" s="25">
        <v>9</v>
      </c>
      <c r="B36" s="26" t="s">
        <v>43</v>
      </c>
      <c r="C36" s="26" t="s">
        <v>44</v>
      </c>
      <c r="D36" s="26" t="s">
        <v>23</v>
      </c>
      <c r="E36" s="27">
        <v>1500</v>
      </c>
      <c r="F36" s="28">
        <v>1493.556</v>
      </c>
      <c r="G36" s="29">
        <v>4.4300369999999999E-2</v>
      </c>
      <c r="H36" s="17">
        <v>7.53</v>
      </c>
    </row>
    <row r="37" spans="1:8" ht="25.5" x14ac:dyDescent="0.2">
      <c r="A37" s="25">
        <v>10</v>
      </c>
      <c r="B37" s="26" t="s">
        <v>130</v>
      </c>
      <c r="C37" s="26" t="s">
        <v>131</v>
      </c>
      <c r="D37" s="26" t="s">
        <v>23</v>
      </c>
      <c r="E37" s="27">
        <v>1000</v>
      </c>
      <c r="F37" s="28">
        <v>1011.109</v>
      </c>
      <c r="G37" s="29">
        <v>2.9990510000000001E-2</v>
      </c>
      <c r="H37" s="17">
        <v>7.18</v>
      </c>
    </row>
    <row r="38" spans="1:8" ht="25.5" x14ac:dyDescent="0.2">
      <c r="A38" s="25">
        <v>11</v>
      </c>
      <c r="B38" s="26" t="s">
        <v>24</v>
      </c>
      <c r="C38" s="26" t="s">
        <v>25</v>
      </c>
      <c r="D38" s="26" t="s">
        <v>23</v>
      </c>
      <c r="E38" s="27">
        <v>1000</v>
      </c>
      <c r="F38" s="28">
        <v>1004.342</v>
      </c>
      <c r="G38" s="29">
        <v>2.978979E-2</v>
      </c>
      <c r="H38" s="17">
        <v>7.26</v>
      </c>
    </row>
    <row r="39" spans="1:8" ht="25.5" x14ac:dyDescent="0.2">
      <c r="A39" s="25">
        <v>12</v>
      </c>
      <c r="B39" s="26" t="s">
        <v>132</v>
      </c>
      <c r="C39" s="26" t="s">
        <v>133</v>
      </c>
      <c r="D39" s="26" t="s">
        <v>23</v>
      </c>
      <c r="E39" s="27">
        <v>500</v>
      </c>
      <c r="F39" s="28">
        <v>505.20850000000002</v>
      </c>
      <c r="G39" s="29">
        <v>1.498499E-2</v>
      </c>
      <c r="H39" s="17">
        <v>7.2637999999999998</v>
      </c>
    </row>
    <row r="40" spans="1:8" ht="25.5" x14ac:dyDescent="0.2">
      <c r="A40" s="25">
        <v>13</v>
      </c>
      <c r="B40" s="26" t="s">
        <v>45</v>
      </c>
      <c r="C40" s="26" t="s">
        <v>46</v>
      </c>
      <c r="D40" s="26" t="s">
        <v>23</v>
      </c>
      <c r="E40" s="27">
        <v>500</v>
      </c>
      <c r="F40" s="28">
        <v>504.25099999999998</v>
      </c>
      <c r="G40" s="29">
        <v>1.4956590000000001E-2</v>
      </c>
      <c r="H40" s="17">
        <v>7.3605999999999998</v>
      </c>
    </row>
    <row r="41" spans="1:8" ht="25.5" x14ac:dyDescent="0.2">
      <c r="A41" s="25">
        <v>14</v>
      </c>
      <c r="B41" s="26" t="s">
        <v>37</v>
      </c>
      <c r="C41" s="26" t="s">
        <v>38</v>
      </c>
      <c r="D41" s="26" t="s">
        <v>23</v>
      </c>
      <c r="E41" s="27">
        <v>500</v>
      </c>
      <c r="F41" s="28">
        <v>502.51749999999998</v>
      </c>
      <c r="G41" s="29">
        <v>1.4905170000000001E-2</v>
      </c>
      <c r="H41" s="17">
        <v>7.2563000000000004</v>
      </c>
    </row>
    <row r="42" spans="1:8" ht="25.5" x14ac:dyDescent="0.2">
      <c r="A42" s="25">
        <v>15</v>
      </c>
      <c r="B42" s="26" t="s">
        <v>134</v>
      </c>
      <c r="C42" s="26" t="s">
        <v>135</v>
      </c>
      <c r="D42" s="26" t="s">
        <v>23</v>
      </c>
      <c r="E42" s="27">
        <v>500</v>
      </c>
      <c r="F42" s="28">
        <v>501.00799999999998</v>
      </c>
      <c r="G42" s="29">
        <v>1.4860399999999999E-2</v>
      </c>
      <c r="H42" s="17">
        <v>7.53</v>
      </c>
    </row>
    <row r="43" spans="1:8" x14ac:dyDescent="0.2">
      <c r="A43" s="25">
        <v>16</v>
      </c>
      <c r="B43" s="26" t="s">
        <v>55</v>
      </c>
      <c r="C43" s="26" t="s">
        <v>56</v>
      </c>
      <c r="D43" s="26" t="s">
        <v>23</v>
      </c>
      <c r="E43" s="27">
        <v>500</v>
      </c>
      <c r="F43" s="28">
        <v>500.80500000000001</v>
      </c>
      <c r="G43" s="29">
        <v>1.485438E-2</v>
      </c>
      <c r="H43" s="17">
        <v>7.6150000000000002</v>
      </c>
    </row>
    <row r="44" spans="1:8" x14ac:dyDescent="0.2">
      <c r="A44" s="25">
        <v>17</v>
      </c>
      <c r="B44" s="26" t="s">
        <v>51</v>
      </c>
      <c r="C44" s="26" t="s">
        <v>52</v>
      </c>
      <c r="D44" s="26" t="s">
        <v>23</v>
      </c>
      <c r="E44" s="27">
        <v>500</v>
      </c>
      <c r="F44" s="28">
        <v>498.71800000000002</v>
      </c>
      <c r="G44" s="29">
        <v>1.479248E-2</v>
      </c>
      <c r="H44" s="17">
        <v>7.56</v>
      </c>
    </row>
    <row r="45" spans="1:8" x14ac:dyDescent="0.2">
      <c r="A45" s="18"/>
      <c r="B45" s="18"/>
      <c r="C45" s="19" t="s">
        <v>11</v>
      </c>
      <c r="D45" s="18"/>
      <c r="E45" s="18" t="s">
        <v>12</v>
      </c>
      <c r="F45" s="24">
        <v>23507.802500000002</v>
      </c>
      <c r="G45" s="21">
        <v>0.69726498999999997</v>
      </c>
      <c r="H45" s="17" t="s">
        <v>12</v>
      </c>
    </row>
    <row r="46" spans="1:8" x14ac:dyDescent="0.2">
      <c r="A46" s="18"/>
      <c r="B46" s="18"/>
      <c r="C46" s="22"/>
      <c r="D46" s="18"/>
      <c r="E46" s="18"/>
      <c r="F46" s="23"/>
      <c r="G46" s="23"/>
      <c r="H46" s="17" t="s">
        <v>12</v>
      </c>
    </row>
    <row r="47" spans="1:8" x14ac:dyDescent="0.2">
      <c r="A47" s="18"/>
      <c r="B47" s="18"/>
      <c r="C47" s="19" t="s">
        <v>71</v>
      </c>
      <c r="D47" s="18"/>
      <c r="E47" s="18"/>
      <c r="F47" s="18"/>
      <c r="G47" s="18"/>
      <c r="H47" s="17" t="s">
        <v>12</v>
      </c>
    </row>
    <row r="48" spans="1:8" x14ac:dyDescent="0.2">
      <c r="A48" s="18"/>
      <c r="B48" s="18"/>
      <c r="C48" s="19" t="s">
        <v>11</v>
      </c>
      <c r="D48" s="18"/>
      <c r="E48" s="18" t="s">
        <v>12</v>
      </c>
      <c r="F48" s="20" t="s">
        <v>13</v>
      </c>
      <c r="G48" s="21">
        <v>0</v>
      </c>
      <c r="H48" s="17" t="s">
        <v>12</v>
      </c>
    </row>
    <row r="49" spans="1:8" x14ac:dyDescent="0.2">
      <c r="A49" s="18"/>
      <c r="B49" s="18"/>
      <c r="C49" s="22"/>
      <c r="D49" s="18"/>
      <c r="E49" s="18"/>
      <c r="F49" s="23"/>
      <c r="G49" s="23"/>
      <c r="H49" s="17" t="s">
        <v>12</v>
      </c>
    </row>
    <row r="50" spans="1:8" x14ac:dyDescent="0.2">
      <c r="A50" s="18"/>
      <c r="B50" s="18"/>
      <c r="C50" s="19" t="s">
        <v>72</v>
      </c>
      <c r="D50" s="18"/>
      <c r="E50" s="18"/>
      <c r="F50" s="18"/>
      <c r="G50" s="18"/>
      <c r="H50" s="17" t="s">
        <v>12</v>
      </c>
    </row>
    <row r="51" spans="1:8" ht="25.5" x14ac:dyDescent="0.2">
      <c r="A51" s="25">
        <v>1</v>
      </c>
      <c r="B51" s="26" t="s">
        <v>73</v>
      </c>
      <c r="C51" s="26" t="s">
        <v>74</v>
      </c>
      <c r="D51" s="26" t="s">
        <v>75</v>
      </c>
      <c r="E51" s="27">
        <v>4500000</v>
      </c>
      <c r="F51" s="28">
        <v>4602.9870000000001</v>
      </c>
      <c r="G51" s="29">
        <v>0.13652921000000001</v>
      </c>
      <c r="H51" s="17">
        <v>6.8727999999999998</v>
      </c>
    </row>
    <row r="52" spans="1:8" x14ac:dyDescent="0.2">
      <c r="A52" s="25">
        <v>2</v>
      </c>
      <c r="B52" s="26" t="s">
        <v>76</v>
      </c>
      <c r="C52" s="26" t="s">
        <v>77</v>
      </c>
      <c r="D52" s="26" t="s">
        <v>75</v>
      </c>
      <c r="E52" s="27">
        <v>1000000</v>
      </c>
      <c r="F52" s="28">
        <v>1029.4760000000001</v>
      </c>
      <c r="G52" s="29">
        <v>3.053529E-2</v>
      </c>
      <c r="H52" s="17">
        <v>6.8019999999999996</v>
      </c>
    </row>
    <row r="53" spans="1:8" ht="25.5" x14ac:dyDescent="0.2">
      <c r="A53" s="25">
        <v>3</v>
      </c>
      <c r="B53" s="26" t="s">
        <v>80</v>
      </c>
      <c r="C53" s="26" t="s">
        <v>81</v>
      </c>
      <c r="D53" s="26" t="s">
        <v>75</v>
      </c>
      <c r="E53" s="27">
        <v>1000000</v>
      </c>
      <c r="F53" s="28">
        <v>1001.479</v>
      </c>
      <c r="G53" s="29">
        <v>2.9704870000000001E-2</v>
      </c>
      <c r="H53" s="17">
        <v>7.0301999999999998</v>
      </c>
    </row>
    <row r="54" spans="1:8" ht="25.5" x14ac:dyDescent="0.2">
      <c r="A54" s="25">
        <v>4</v>
      </c>
      <c r="B54" s="26" t="s">
        <v>136</v>
      </c>
      <c r="C54" s="26" t="s">
        <v>137</v>
      </c>
      <c r="D54" s="26" t="s">
        <v>75</v>
      </c>
      <c r="E54" s="27">
        <v>500000</v>
      </c>
      <c r="F54" s="28">
        <v>516.11400000000003</v>
      </c>
      <c r="G54" s="29">
        <v>1.5308459999999999E-2</v>
      </c>
      <c r="H54" s="17">
        <v>6.9870000000000001</v>
      </c>
    </row>
    <row r="55" spans="1:8" x14ac:dyDescent="0.2">
      <c r="A55" s="25">
        <v>5</v>
      </c>
      <c r="B55" s="26" t="s">
        <v>78</v>
      </c>
      <c r="C55" s="26" t="s">
        <v>79</v>
      </c>
      <c r="D55" s="26" t="s">
        <v>75</v>
      </c>
      <c r="E55" s="27">
        <v>500000</v>
      </c>
      <c r="F55" s="28">
        <v>515.5675</v>
      </c>
      <c r="G55" s="29">
        <v>1.529225E-2</v>
      </c>
      <c r="H55" s="17">
        <v>7.1677</v>
      </c>
    </row>
    <row r="56" spans="1:8" x14ac:dyDescent="0.2">
      <c r="A56" s="18"/>
      <c r="B56" s="18"/>
      <c r="C56" s="19" t="s">
        <v>11</v>
      </c>
      <c r="D56" s="18"/>
      <c r="E56" s="18" t="s">
        <v>12</v>
      </c>
      <c r="F56" s="24">
        <v>7665.6234999999997</v>
      </c>
      <c r="G56" s="21">
        <v>0.22737008</v>
      </c>
      <c r="H56" s="17" t="s">
        <v>12</v>
      </c>
    </row>
    <row r="57" spans="1:8" x14ac:dyDescent="0.2">
      <c r="A57" s="18"/>
      <c r="B57" s="18"/>
      <c r="C57" s="22"/>
      <c r="D57" s="18"/>
      <c r="E57" s="18"/>
      <c r="F57" s="23"/>
      <c r="G57" s="23"/>
      <c r="H57" s="17" t="s">
        <v>12</v>
      </c>
    </row>
    <row r="58" spans="1:8" x14ac:dyDescent="0.2">
      <c r="A58" s="18"/>
      <c r="B58" s="18"/>
      <c r="C58" s="19" t="s">
        <v>88</v>
      </c>
      <c r="D58" s="18"/>
      <c r="E58" s="18"/>
      <c r="F58" s="23"/>
      <c r="G58" s="23"/>
      <c r="H58" s="17" t="s">
        <v>12</v>
      </c>
    </row>
    <row r="59" spans="1:8" x14ac:dyDescent="0.2">
      <c r="A59" s="18"/>
      <c r="B59" s="18"/>
      <c r="C59" s="19" t="s">
        <v>11</v>
      </c>
      <c r="D59" s="18"/>
      <c r="E59" s="18" t="s">
        <v>12</v>
      </c>
      <c r="F59" s="20" t="s">
        <v>13</v>
      </c>
      <c r="G59" s="21">
        <v>0</v>
      </c>
      <c r="H59" s="17" t="s">
        <v>12</v>
      </c>
    </row>
    <row r="60" spans="1:8" x14ac:dyDescent="0.2">
      <c r="A60" s="18"/>
      <c r="B60" s="18"/>
      <c r="C60" s="22"/>
      <c r="D60" s="18"/>
      <c r="E60" s="18"/>
      <c r="F60" s="23"/>
      <c r="G60" s="23"/>
      <c r="H60" s="17" t="s">
        <v>12</v>
      </c>
    </row>
    <row r="61" spans="1:8" x14ac:dyDescent="0.2">
      <c r="A61" s="18"/>
      <c r="B61" s="18"/>
      <c r="C61" s="19" t="s">
        <v>89</v>
      </c>
      <c r="D61" s="18"/>
      <c r="E61" s="18"/>
      <c r="F61" s="24">
        <v>31173.425999999999</v>
      </c>
      <c r="G61" s="21">
        <v>0.92463507</v>
      </c>
      <c r="H61" s="17" t="s">
        <v>12</v>
      </c>
    </row>
    <row r="62" spans="1:8" x14ac:dyDescent="0.2">
      <c r="A62" s="18"/>
      <c r="B62" s="18"/>
      <c r="C62" s="22"/>
      <c r="D62" s="18"/>
      <c r="E62" s="18"/>
      <c r="F62" s="23"/>
      <c r="G62" s="23"/>
      <c r="H62" s="17" t="s">
        <v>12</v>
      </c>
    </row>
    <row r="63" spans="1:8" x14ac:dyDescent="0.2">
      <c r="A63" s="18"/>
      <c r="B63" s="18"/>
      <c r="C63" s="19" t="s">
        <v>90</v>
      </c>
      <c r="D63" s="18"/>
      <c r="E63" s="18"/>
      <c r="F63" s="23"/>
      <c r="G63" s="23"/>
      <c r="H63" s="17" t="s">
        <v>12</v>
      </c>
    </row>
    <row r="64" spans="1:8" x14ac:dyDescent="0.2">
      <c r="A64" s="18"/>
      <c r="B64" s="18"/>
      <c r="C64" s="19" t="s">
        <v>91</v>
      </c>
      <c r="D64" s="18"/>
      <c r="E64" s="18"/>
      <c r="F64" s="23"/>
      <c r="G64" s="23"/>
      <c r="H64" s="17" t="s">
        <v>12</v>
      </c>
    </row>
    <row r="65" spans="1:8" x14ac:dyDescent="0.2">
      <c r="A65" s="18"/>
      <c r="B65" s="18"/>
      <c r="C65" s="19" t="s">
        <v>11</v>
      </c>
      <c r="D65" s="18"/>
      <c r="E65" s="18" t="s">
        <v>12</v>
      </c>
      <c r="F65" s="20" t="s">
        <v>13</v>
      </c>
      <c r="G65" s="21">
        <v>0</v>
      </c>
      <c r="H65" s="17" t="s">
        <v>12</v>
      </c>
    </row>
    <row r="66" spans="1:8" x14ac:dyDescent="0.2">
      <c r="A66" s="18"/>
      <c r="B66" s="18"/>
      <c r="C66" s="22"/>
      <c r="D66" s="18"/>
      <c r="E66" s="18"/>
      <c r="F66" s="23"/>
      <c r="G66" s="23"/>
      <c r="H66" s="17" t="s">
        <v>12</v>
      </c>
    </row>
    <row r="67" spans="1:8" x14ac:dyDescent="0.2">
      <c r="A67" s="18"/>
      <c r="B67" s="18"/>
      <c r="C67" s="19" t="s">
        <v>92</v>
      </c>
      <c r="D67" s="18"/>
      <c r="E67" s="18"/>
      <c r="F67" s="23"/>
      <c r="G67" s="23"/>
      <c r="H67" s="17" t="s">
        <v>12</v>
      </c>
    </row>
    <row r="68" spans="1:8" x14ac:dyDescent="0.2">
      <c r="A68" s="18"/>
      <c r="B68" s="18"/>
      <c r="C68" s="19" t="s">
        <v>11</v>
      </c>
      <c r="D68" s="18"/>
      <c r="E68" s="18" t="s">
        <v>12</v>
      </c>
      <c r="F68" s="20" t="s">
        <v>13</v>
      </c>
      <c r="G68" s="21">
        <v>0</v>
      </c>
      <c r="H68" s="17" t="s">
        <v>12</v>
      </c>
    </row>
    <row r="69" spans="1:8" x14ac:dyDescent="0.2">
      <c r="A69" s="18"/>
      <c r="B69" s="18"/>
      <c r="C69" s="22"/>
      <c r="D69" s="18"/>
      <c r="E69" s="18"/>
      <c r="F69" s="23"/>
      <c r="G69" s="23"/>
      <c r="H69" s="17" t="s">
        <v>12</v>
      </c>
    </row>
    <row r="70" spans="1:8" x14ac:dyDescent="0.2">
      <c r="A70" s="18"/>
      <c r="B70" s="18"/>
      <c r="C70" s="19" t="s">
        <v>93</v>
      </c>
      <c r="D70" s="18"/>
      <c r="E70" s="18"/>
      <c r="F70" s="23"/>
      <c r="G70" s="23"/>
      <c r="H70" s="17" t="s">
        <v>12</v>
      </c>
    </row>
    <row r="71" spans="1:8" x14ac:dyDescent="0.2">
      <c r="A71" s="18"/>
      <c r="B71" s="18"/>
      <c r="C71" s="19" t="s">
        <v>11</v>
      </c>
      <c r="D71" s="18"/>
      <c r="E71" s="18" t="s">
        <v>12</v>
      </c>
      <c r="F71" s="20" t="s">
        <v>13</v>
      </c>
      <c r="G71" s="21">
        <v>0</v>
      </c>
      <c r="H71" s="17" t="s">
        <v>12</v>
      </c>
    </row>
    <row r="72" spans="1:8" x14ac:dyDescent="0.2">
      <c r="A72" s="18"/>
      <c r="B72" s="18"/>
      <c r="C72" s="22"/>
      <c r="D72" s="18"/>
      <c r="E72" s="18"/>
      <c r="F72" s="23"/>
      <c r="G72" s="23"/>
      <c r="H72" s="17" t="s">
        <v>12</v>
      </c>
    </row>
    <row r="73" spans="1:8" x14ac:dyDescent="0.2">
      <c r="A73" s="18"/>
      <c r="B73" s="18"/>
      <c r="C73" s="19" t="s">
        <v>94</v>
      </c>
      <c r="D73" s="18"/>
      <c r="E73" s="18"/>
      <c r="F73" s="23"/>
      <c r="G73" s="23"/>
      <c r="H73" s="17" t="s">
        <v>12</v>
      </c>
    </row>
    <row r="74" spans="1:8" x14ac:dyDescent="0.2">
      <c r="A74" s="25">
        <v>1</v>
      </c>
      <c r="B74" s="26"/>
      <c r="C74" s="26" t="s">
        <v>95</v>
      </c>
      <c r="D74" s="26"/>
      <c r="E74" s="30"/>
      <c r="F74" s="28">
        <v>1263.4531487940001</v>
      </c>
      <c r="G74" s="29">
        <v>3.7475290000000001E-2</v>
      </c>
      <c r="H74" s="17">
        <v>6.33</v>
      </c>
    </row>
    <row r="75" spans="1:8" x14ac:dyDescent="0.2">
      <c r="A75" s="18"/>
      <c r="B75" s="18"/>
      <c r="C75" s="19" t="s">
        <v>11</v>
      </c>
      <c r="D75" s="18"/>
      <c r="E75" s="18" t="s">
        <v>12</v>
      </c>
      <c r="F75" s="24">
        <v>1263.4531487940001</v>
      </c>
      <c r="G75" s="21">
        <v>3.7475290000000001E-2</v>
      </c>
      <c r="H75" s="17" t="s">
        <v>12</v>
      </c>
    </row>
    <row r="76" spans="1:8" x14ac:dyDescent="0.2">
      <c r="A76" s="18"/>
      <c r="B76" s="18"/>
      <c r="C76" s="22"/>
      <c r="D76" s="18"/>
      <c r="E76" s="18"/>
      <c r="F76" s="23"/>
      <c r="G76" s="23"/>
      <c r="H76" s="17" t="s">
        <v>12</v>
      </c>
    </row>
    <row r="77" spans="1:8" x14ac:dyDescent="0.2">
      <c r="A77" s="18"/>
      <c r="B77" s="18"/>
      <c r="C77" s="19" t="s">
        <v>96</v>
      </c>
      <c r="D77" s="18"/>
      <c r="E77" s="18"/>
      <c r="F77" s="24">
        <v>1263.4531487940001</v>
      </c>
      <c r="G77" s="21">
        <v>3.7475290000000001E-2</v>
      </c>
      <c r="H77" s="17" t="s">
        <v>12</v>
      </c>
    </row>
    <row r="78" spans="1:8" x14ac:dyDescent="0.2">
      <c r="A78" s="18"/>
      <c r="B78" s="18"/>
      <c r="C78" s="23"/>
      <c r="D78" s="18"/>
      <c r="E78" s="18"/>
      <c r="F78" s="18"/>
      <c r="G78" s="18"/>
      <c r="H78" s="17" t="s">
        <v>12</v>
      </c>
    </row>
    <row r="79" spans="1:8" x14ac:dyDescent="0.2">
      <c r="A79" s="18"/>
      <c r="B79" s="18"/>
      <c r="C79" s="19" t="s">
        <v>97</v>
      </c>
      <c r="D79" s="18"/>
      <c r="E79" s="18"/>
      <c r="F79" s="18"/>
      <c r="G79" s="18"/>
      <c r="H79" s="17" t="s">
        <v>12</v>
      </c>
    </row>
    <row r="80" spans="1:8" x14ac:dyDescent="0.2">
      <c r="A80" s="18"/>
      <c r="B80" s="18"/>
      <c r="C80" s="19" t="s">
        <v>98</v>
      </c>
      <c r="D80" s="18"/>
      <c r="E80" s="18"/>
      <c r="F80" s="18"/>
      <c r="G80" s="18"/>
      <c r="H80" s="17" t="s">
        <v>12</v>
      </c>
    </row>
    <row r="81" spans="1:17" ht="25.5" x14ac:dyDescent="0.2">
      <c r="A81" s="25">
        <v>1</v>
      </c>
      <c r="B81" s="26" t="s">
        <v>99</v>
      </c>
      <c r="C81" s="26" t="s">
        <v>100</v>
      </c>
      <c r="D81" s="26"/>
      <c r="E81" s="150">
        <v>1138.2429999999999</v>
      </c>
      <c r="F81" s="28">
        <v>124.538855676</v>
      </c>
      <c r="G81" s="29">
        <v>3.6939500000000001E-3</v>
      </c>
      <c r="H81" s="17">
        <v>9.9999999999999995E-7</v>
      </c>
    </row>
    <row r="82" spans="1:17" x14ac:dyDescent="0.2">
      <c r="A82" s="18"/>
      <c r="B82" s="18"/>
      <c r="C82" s="19" t="s">
        <v>11</v>
      </c>
      <c r="D82" s="18"/>
      <c r="E82" s="18" t="s">
        <v>12</v>
      </c>
      <c r="F82" s="20" t="s">
        <v>13</v>
      </c>
      <c r="G82" s="21">
        <v>0</v>
      </c>
      <c r="H82" s="17" t="s">
        <v>12</v>
      </c>
    </row>
    <row r="83" spans="1:17" x14ac:dyDescent="0.2">
      <c r="A83" s="70"/>
      <c r="B83" s="70"/>
      <c r="C83" s="71"/>
      <c r="D83" s="70"/>
      <c r="E83" s="70"/>
      <c r="F83" s="72"/>
      <c r="G83" s="72"/>
      <c r="H83" s="68" t="s">
        <v>12</v>
      </c>
    </row>
    <row r="84" spans="1:17" x14ac:dyDescent="0.2">
      <c r="A84" s="70"/>
      <c r="B84" s="70"/>
      <c r="C84" s="73" t="s">
        <v>538</v>
      </c>
      <c r="D84" s="70"/>
      <c r="E84" s="70"/>
      <c r="F84" s="72"/>
      <c r="G84" s="72"/>
      <c r="H84" s="66"/>
      <c r="K84" s="50"/>
      <c r="L84" s="50"/>
      <c r="M84" s="50"/>
      <c r="N84" s="50"/>
      <c r="O84" s="74"/>
      <c r="P84" s="74"/>
      <c r="Q84" s="74"/>
    </row>
    <row r="85" spans="1:17" ht="25.5" x14ac:dyDescent="0.2">
      <c r="A85" s="63">
        <v>1</v>
      </c>
      <c r="B85" s="64" t="s">
        <v>99</v>
      </c>
      <c r="C85" s="64" t="s">
        <v>100</v>
      </c>
      <c r="D85" s="64"/>
      <c r="E85" s="75">
        <v>1138.2429999999999</v>
      </c>
      <c r="F85" s="66">
        <v>124.538855676</v>
      </c>
      <c r="G85" s="67">
        <v>3.6939500000000001E-3</v>
      </c>
      <c r="H85" s="68"/>
    </row>
    <row r="86" spans="1:17" x14ac:dyDescent="0.2">
      <c r="A86" s="70"/>
      <c r="B86" s="70"/>
      <c r="C86" s="73" t="s">
        <v>11</v>
      </c>
      <c r="D86" s="70"/>
      <c r="E86" s="70" t="s">
        <v>12</v>
      </c>
      <c r="F86" s="76">
        <f>SUM(F85)</f>
        <v>124.538855676</v>
      </c>
      <c r="G86" s="77">
        <f>SUM(G85)</f>
        <v>3.6939500000000001E-3</v>
      </c>
      <c r="H86" s="68" t="s">
        <v>12</v>
      </c>
    </row>
    <row r="87" spans="1:17" x14ac:dyDescent="0.2">
      <c r="A87" s="18"/>
      <c r="B87" s="18"/>
      <c r="C87" s="22"/>
      <c r="D87" s="18"/>
      <c r="E87" s="18"/>
      <c r="F87" s="23"/>
      <c r="G87" s="23"/>
      <c r="H87" s="17" t="s">
        <v>12</v>
      </c>
    </row>
    <row r="88" spans="1:17" x14ac:dyDescent="0.2">
      <c r="A88" s="18"/>
      <c r="B88" s="18"/>
      <c r="C88" s="19" t="s">
        <v>101</v>
      </c>
      <c r="D88" s="18"/>
      <c r="E88" s="18"/>
      <c r="F88" s="18"/>
      <c r="G88" s="18"/>
      <c r="H88" s="17" t="s">
        <v>12</v>
      </c>
    </row>
    <row r="89" spans="1:17" x14ac:dyDescent="0.2">
      <c r="A89" s="18"/>
      <c r="B89" s="18"/>
      <c r="C89" s="19" t="s">
        <v>102</v>
      </c>
      <c r="D89" s="18"/>
      <c r="E89" s="18"/>
      <c r="F89" s="18"/>
      <c r="G89" s="18"/>
      <c r="H89" s="17" t="s">
        <v>12</v>
      </c>
    </row>
    <row r="90" spans="1:17" x14ac:dyDescent="0.2">
      <c r="A90" s="18"/>
      <c r="B90" s="18"/>
      <c r="C90" s="19" t="s">
        <v>11</v>
      </c>
      <c r="D90" s="18"/>
      <c r="E90" s="18" t="s">
        <v>12</v>
      </c>
      <c r="F90" s="20" t="s">
        <v>13</v>
      </c>
      <c r="G90" s="21">
        <v>0</v>
      </c>
      <c r="H90" s="17" t="s">
        <v>12</v>
      </c>
    </row>
    <row r="91" spans="1:17" x14ac:dyDescent="0.2">
      <c r="A91" s="18"/>
      <c r="B91" s="18"/>
      <c r="C91" s="22"/>
      <c r="D91" s="18"/>
      <c r="E91" s="18"/>
      <c r="F91" s="23"/>
      <c r="G91" s="23"/>
      <c r="H91" s="17" t="s">
        <v>12</v>
      </c>
    </row>
    <row r="92" spans="1:17" x14ac:dyDescent="0.2">
      <c r="A92" s="18"/>
      <c r="B92" s="18"/>
      <c r="C92" s="19" t="s">
        <v>103</v>
      </c>
      <c r="D92" s="18"/>
      <c r="E92" s="18"/>
      <c r="F92" s="23"/>
      <c r="G92" s="23"/>
      <c r="H92" s="17" t="s">
        <v>12</v>
      </c>
    </row>
    <row r="93" spans="1:17" x14ac:dyDescent="0.2">
      <c r="A93" s="18"/>
      <c r="B93" s="18"/>
      <c r="C93" s="19" t="s">
        <v>11</v>
      </c>
      <c r="D93" s="18"/>
      <c r="E93" s="18" t="s">
        <v>12</v>
      </c>
      <c r="F93" s="20" t="s">
        <v>13</v>
      </c>
      <c r="G93" s="21">
        <v>0</v>
      </c>
      <c r="H93" s="17" t="s">
        <v>12</v>
      </c>
    </row>
    <row r="94" spans="1:17" x14ac:dyDescent="0.2">
      <c r="A94" s="18"/>
      <c r="B94" s="26"/>
      <c r="C94" s="26"/>
      <c r="D94" s="19"/>
      <c r="E94" s="18"/>
      <c r="F94" s="26"/>
      <c r="G94" s="30"/>
      <c r="H94" s="17" t="s">
        <v>12</v>
      </c>
    </row>
    <row r="95" spans="1:17" x14ac:dyDescent="0.2">
      <c r="A95" s="30"/>
      <c r="B95" s="26"/>
      <c r="C95" s="26" t="s">
        <v>104</v>
      </c>
      <c r="D95" s="26"/>
      <c r="E95" s="30"/>
      <c r="F95" s="28">
        <v>1152.8840885099942</v>
      </c>
      <c r="G95" s="29">
        <v>3.4195709999999997E-2</v>
      </c>
      <c r="H95" s="17" t="s">
        <v>12</v>
      </c>
    </row>
    <row r="96" spans="1:17" x14ac:dyDescent="0.2">
      <c r="A96" s="22"/>
      <c r="B96" s="22"/>
      <c r="C96" s="19" t="s">
        <v>105</v>
      </c>
      <c r="D96" s="23"/>
      <c r="E96" s="23"/>
      <c r="F96" s="24">
        <v>33714.30209297999</v>
      </c>
      <c r="G96" s="31">
        <v>1.0000000200000001</v>
      </c>
      <c r="H96" s="17" t="s">
        <v>12</v>
      </c>
    </row>
    <row r="97" spans="1:8" x14ac:dyDescent="0.2">
      <c r="A97" s="32"/>
      <c r="B97" s="32"/>
      <c r="C97" s="32"/>
      <c r="D97" s="33"/>
      <c r="E97" s="33"/>
      <c r="F97" s="33"/>
      <c r="G97" s="33"/>
    </row>
    <row r="98" spans="1:8" x14ac:dyDescent="0.2">
      <c r="A98" s="34"/>
      <c r="B98" s="151" t="s">
        <v>539</v>
      </c>
      <c r="C98" s="151"/>
      <c r="D98" s="151"/>
      <c r="E98" s="151"/>
      <c r="F98" s="151"/>
      <c r="G98" s="151"/>
      <c r="H98" s="151"/>
    </row>
    <row r="99" spans="1:8" x14ac:dyDescent="0.2">
      <c r="A99" s="34"/>
      <c r="B99" s="151" t="s">
        <v>540</v>
      </c>
      <c r="C99" s="151"/>
      <c r="D99" s="151"/>
      <c r="E99" s="151"/>
      <c r="F99" s="151"/>
      <c r="G99" s="151"/>
      <c r="H99" s="151"/>
    </row>
    <row r="100" spans="1:8" x14ac:dyDescent="0.2">
      <c r="A100" s="34"/>
      <c r="B100" s="151" t="s">
        <v>541</v>
      </c>
      <c r="C100" s="151"/>
      <c r="D100" s="151"/>
      <c r="E100" s="151"/>
      <c r="F100" s="151"/>
      <c r="G100" s="151"/>
      <c r="H100" s="151"/>
    </row>
    <row r="101" spans="1:8" x14ac:dyDescent="0.2">
      <c r="A101" s="36"/>
      <c r="B101" s="36"/>
      <c r="C101" s="36"/>
      <c r="D101" s="37"/>
      <c r="E101" s="37"/>
      <c r="F101" s="37"/>
      <c r="G101" s="37"/>
    </row>
    <row r="102" spans="1:8" x14ac:dyDescent="0.2">
      <c r="A102" s="36"/>
      <c r="B102" s="154" t="s">
        <v>106</v>
      </c>
      <c r="C102" s="155"/>
      <c r="D102" s="156"/>
      <c r="E102" s="38"/>
      <c r="F102" s="37"/>
      <c r="G102" s="37"/>
    </row>
    <row r="103" spans="1:8" x14ac:dyDescent="0.2">
      <c r="A103" s="36"/>
      <c r="B103" s="157" t="s">
        <v>107</v>
      </c>
      <c r="C103" s="158"/>
      <c r="D103" s="19" t="s">
        <v>108</v>
      </c>
      <c r="E103" s="38"/>
      <c r="F103" s="37"/>
      <c r="G103" s="37"/>
    </row>
    <row r="104" spans="1:8" x14ac:dyDescent="0.2">
      <c r="A104" s="36"/>
      <c r="B104" s="157" t="s">
        <v>109</v>
      </c>
      <c r="C104" s="158"/>
      <c r="D104" s="19" t="s">
        <v>108</v>
      </c>
      <c r="E104" s="38"/>
      <c r="F104" s="37"/>
      <c r="G104" s="37"/>
    </row>
    <row r="105" spans="1:8" x14ac:dyDescent="0.2">
      <c r="A105" s="36"/>
      <c r="B105" s="157" t="s">
        <v>110</v>
      </c>
      <c r="C105" s="158"/>
      <c r="D105" s="23" t="s">
        <v>12</v>
      </c>
      <c r="E105" s="38"/>
      <c r="F105" s="37"/>
      <c r="G105" s="37"/>
    </row>
    <row r="106" spans="1:8" x14ac:dyDescent="0.2">
      <c r="A106" s="39"/>
      <c r="B106" s="40" t="s">
        <v>12</v>
      </c>
      <c r="C106" s="40" t="s">
        <v>542</v>
      </c>
      <c r="D106" s="40" t="s">
        <v>111</v>
      </c>
      <c r="E106" s="39"/>
      <c r="F106" s="39"/>
      <c r="G106" s="39"/>
    </row>
    <row r="107" spans="1:8" x14ac:dyDescent="0.2">
      <c r="A107" s="39"/>
      <c r="B107" s="41" t="s">
        <v>112</v>
      </c>
      <c r="C107" s="42">
        <v>45688</v>
      </c>
      <c r="D107" s="42">
        <v>45703</v>
      </c>
      <c r="E107" s="39"/>
      <c r="F107" s="39"/>
      <c r="G107" s="39"/>
    </row>
    <row r="108" spans="1:8" x14ac:dyDescent="0.2">
      <c r="A108" s="43"/>
      <c r="B108" s="26" t="s">
        <v>113</v>
      </c>
      <c r="C108" s="44">
        <v>41.9985</v>
      </c>
      <c r="D108" s="44">
        <v>42.088500000000003</v>
      </c>
      <c r="E108" s="43"/>
      <c r="F108" s="45"/>
      <c r="G108" s="46"/>
    </row>
    <row r="109" spans="1:8" x14ac:dyDescent="0.2">
      <c r="A109" s="43"/>
      <c r="B109" s="26" t="s">
        <v>138</v>
      </c>
      <c r="C109" s="44">
        <v>21.0105</v>
      </c>
      <c r="D109" s="44">
        <v>21.055499999999999</v>
      </c>
      <c r="E109" s="43"/>
      <c r="F109" s="45"/>
      <c r="G109" s="46"/>
    </row>
    <row r="110" spans="1:8" ht="25.5" x14ac:dyDescent="0.2">
      <c r="A110" s="43"/>
      <c r="B110" s="26" t="s">
        <v>663</v>
      </c>
      <c r="C110" s="44">
        <v>11.5528</v>
      </c>
      <c r="D110" s="44">
        <v>11.577500000000001</v>
      </c>
      <c r="E110" s="43"/>
      <c r="F110" s="45"/>
      <c r="G110" s="46"/>
    </row>
    <row r="111" spans="1:8" x14ac:dyDescent="0.2">
      <c r="A111" s="43"/>
      <c r="B111" s="26" t="s">
        <v>114</v>
      </c>
      <c r="C111" s="44">
        <v>41.435400000000001</v>
      </c>
      <c r="D111" s="44">
        <v>41.521500000000003</v>
      </c>
      <c r="E111" s="43"/>
      <c r="F111" s="45"/>
      <c r="G111" s="46"/>
    </row>
    <row r="112" spans="1:8" x14ac:dyDescent="0.2">
      <c r="A112" s="43"/>
      <c r="B112" s="26" t="s">
        <v>139</v>
      </c>
      <c r="C112" s="44">
        <v>20.8947</v>
      </c>
      <c r="D112" s="44">
        <v>20.938099999999999</v>
      </c>
      <c r="E112" s="43"/>
      <c r="F112" s="45"/>
      <c r="G112" s="46"/>
    </row>
    <row r="113" spans="1:15" ht="25.5" x14ac:dyDescent="0.2">
      <c r="A113" s="43"/>
      <c r="B113" s="26" t="s">
        <v>667</v>
      </c>
      <c r="C113" s="44">
        <v>11.6053</v>
      </c>
      <c r="D113" s="44">
        <v>11.6294</v>
      </c>
      <c r="E113" s="43"/>
      <c r="F113" s="45"/>
      <c r="G113" s="46"/>
    </row>
    <row r="114" spans="1:15" x14ac:dyDescent="0.2">
      <c r="A114" s="43"/>
      <c r="B114" s="43"/>
      <c r="C114" s="43"/>
      <c r="D114" s="43"/>
      <c r="E114" s="43"/>
      <c r="F114" s="43"/>
      <c r="G114" s="43"/>
    </row>
    <row r="115" spans="1:15" x14ac:dyDescent="0.2">
      <c r="A115" s="43"/>
      <c r="B115" s="157" t="s">
        <v>643</v>
      </c>
      <c r="C115" s="158"/>
      <c r="D115" s="73" t="s">
        <v>108</v>
      </c>
      <c r="E115" s="43"/>
      <c r="F115" s="43"/>
      <c r="G115" s="43"/>
    </row>
    <row r="116" spans="1:15" x14ac:dyDescent="0.2">
      <c r="A116" s="43"/>
      <c r="B116" s="48"/>
      <c r="C116" s="48"/>
      <c r="D116" s="48"/>
      <c r="E116" s="43"/>
      <c r="F116" s="43"/>
      <c r="G116" s="43"/>
    </row>
    <row r="117" spans="1:15" s="51" customFormat="1" x14ac:dyDescent="0.2">
      <c r="A117" s="91"/>
      <c r="B117" s="159" t="s">
        <v>557</v>
      </c>
      <c r="C117" s="160"/>
      <c r="D117" s="73" t="s">
        <v>108</v>
      </c>
      <c r="E117" s="91"/>
      <c r="F117" s="35"/>
      <c r="G117" s="91"/>
      <c r="I117"/>
      <c r="J117"/>
      <c r="K117" s="50"/>
      <c r="L117" s="50"/>
      <c r="M117" s="50"/>
      <c r="N117" s="50"/>
      <c r="O117" s="52"/>
    </row>
    <row r="118" spans="1:15" ht="25.5" customHeight="1" x14ac:dyDescent="0.2">
      <c r="A118" s="39"/>
      <c r="B118" s="159" t="s">
        <v>558</v>
      </c>
      <c r="C118" s="160"/>
      <c r="D118" s="73" t="s">
        <v>108</v>
      </c>
      <c r="E118" s="49"/>
      <c r="F118" s="39"/>
      <c r="G118" s="39"/>
    </row>
    <row r="119" spans="1:15" ht="26.25" customHeight="1" x14ac:dyDescent="0.2">
      <c r="A119" s="39"/>
      <c r="B119" s="159" t="s">
        <v>559</v>
      </c>
      <c r="C119" s="160"/>
      <c r="D119" s="73" t="s">
        <v>108</v>
      </c>
      <c r="E119" s="49"/>
      <c r="F119" s="39"/>
      <c r="G119" s="39"/>
    </row>
    <row r="120" spans="1:15" x14ac:dyDescent="0.2">
      <c r="A120" s="39"/>
      <c r="B120" s="159" t="s">
        <v>560</v>
      </c>
      <c r="C120" s="160"/>
      <c r="D120" s="73" t="s">
        <v>108</v>
      </c>
      <c r="E120" s="49"/>
      <c r="F120" s="39"/>
      <c r="G120" s="39"/>
    </row>
    <row r="121" spans="1:15" x14ac:dyDescent="0.2">
      <c r="A121" s="48"/>
      <c r="B121" s="48"/>
      <c r="C121" s="48"/>
      <c r="D121" s="48"/>
      <c r="E121" s="48"/>
      <c r="F121" s="48"/>
      <c r="G121" s="48"/>
    </row>
    <row r="122" spans="1:15" s="51" customFormat="1" x14ac:dyDescent="0.2">
      <c r="B122" s="161" t="s">
        <v>544</v>
      </c>
      <c r="C122" s="162"/>
      <c r="D122" s="163"/>
      <c r="I122"/>
      <c r="J122" s="14"/>
      <c r="K122" s="50"/>
      <c r="L122" s="50"/>
      <c r="M122" s="50"/>
      <c r="N122" s="50"/>
      <c r="O122" s="52"/>
    </row>
    <row r="123" spans="1:15" s="51" customFormat="1" ht="38.25" x14ac:dyDescent="0.2">
      <c r="B123" s="152" t="s">
        <v>545</v>
      </c>
      <c r="C123" s="152"/>
      <c r="D123" s="53" t="s">
        <v>117</v>
      </c>
      <c r="I123"/>
      <c r="J123" s="14"/>
      <c r="K123" s="50"/>
      <c r="L123" s="50"/>
      <c r="M123" s="50"/>
      <c r="N123" s="50"/>
      <c r="O123" s="52"/>
    </row>
    <row r="124" spans="1:15" s="51" customFormat="1" x14ac:dyDescent="0.2">
      <c r="B124" s="153" t="s">
        <v>546</v>
      </c>
      <c r="C124" s="153"/>
      <c r="D124" s="54"/>
      <c r="I124"/>
      <c r="J124" s="14"/>
      <c r="K124" s="50"/>
      <c r="L124" s="50"/>
      <c r="M124" s="50"/>
      <c r="N124" s="50"/>
      <c r="O124" s="52"/>
    </row>
    <row r="125" spans="1:15" s="51" customFormat="1" x14ac:dyDescent="0.2">
      <c r="B125" s="153"/>
      <c r="C125" s="153"/>
      <c r="D125" s="55"/>
      <c r="I125"/>
      <c r="J125"/>
      <c r="K125" s="50"/>
      <c r="L125" s="50"/>
      <c r="M125" s="50"/>
      <c r="N125" s="50"/>
      <c r="O125" s="52"/>
    </row>
    <row r="126" spans="1:15" s="51" customFormat="1" x14ac:dyDescent="0.2">
      <c r="B126" s="153" t="s">
        <v>547</v>
      </c>
      <c r="C126" s="153"/>
      <c r="D126" s="108">
        <v>7.2931464116589328</v>
      </c>
      <c r="I126"/>
      <c r="J126"/>
      <c r="K126" s="50"/>
      <c r="L126" s="50"/>
      <c r="M126" s="50"/>
      <c r="N126" s="50"/>
      <c r="O126" s="52"/>
    </row>
    <row r="127" spans="1:15" s="51" customFormat="1" x14ac:dyDescent="0.2">
      <c r="B127" s="153"/>
      <c r="C127" s="153"/>
      <c r="D127" s="55"/>
      <c r="I127"/>
      <c r="J127" s="14"/>
      <c r="K127" s="50"/>
      <c r="L127" s="50"/>
      <c r="M127" s="50"/>
      <c r="N127" s="50"/>
      <c r="O127" s="52"/>
    </row>
    <row r="128" spans="1:15" s="51" customFormat="1" x14ac:dyDescent="0.2">
      <c r="B128" s="153" t="s">
        <v>548</v>
      </c>
      <c r="C128" s="153"/>
      <c r="D128" s="108">
        <v>3.5660938923952781</v>
      </c>
      <c r="I128"/>
      <c r="J128" s="14"/>
      <c r="K128" s="50"/>
      <c r="L128" s="50"/>
      <c r="M128" s="50"/>
      <c r="N128" s="50"/>
      <c r="O128" s="52"/>
    </row>
    <row r="129" spans="2:18" s="51" customFormat="1" x14ac:dyDescent="0.2">
      <c r="B129" s="153" t="s">
        <v>549</v>
      </c>
      <c r="C129" s="153"/>
      <c r="D129" s="108">
        <v>4.6749701566603274</v>
      </c>
      <c r="I129"/>
      <c r="J129" s="14"/>
      <c r="K129" s="50"/>
      <c r="L129" s="50"/>
      <c r="M129" s="50"/>
      <c r="N129" s="50"/>
      <c r="O129" s="52"/>
    </row>
    <row r="130" spans="2:18" s="51" customFormat="1" x14ac:dyDescent="0.2">
      <c r="B130" s="153"/>
      <c r="C130" s="153"/>
      <c r="D130" s="55"/>
      <c r="I130"/>
      <c r="J130" s="14"/>
      <c r="K130" s="50"/>
      <c r="L130" s="50"/>
      <c r="M130" s="50"/>
      <c r="N130" s="50"/>
      <c r="O130" s="52"/>
      <c r="R130"/>
    </row>
    <row r="131" spans="2:18" s="51" customFormat="1" ht="25.5" x14ac:dyDescent="0.2">
      <c r="B131" s="153" t="s">
        <v>550</v>
      </c>
      <c r="C131" s="153"/>
      <c r="D131" s="109" t="s">
        <v>657</v>
      </c>
      <c r="I131"/>
      <c r="J131" s="14"/>
      <c r="K131" s="50"/>
      <c r="L131" s="50"/>
      <c r="M131" s="50"/>
      <c r="N131" s="50"/>
      <c r="O131" s="52"/>
    </row>
    <row r="132" spans="2:18" s="51" customFormat="1" x14ac:dyDescent="0.2">
      <c r="B132" s="165" t="s">
        <v>551</v>
      </c>
      <c r="C132" s="167"/>
      <c r="D132" s="166"/>
      <c r="I132"/>
      <c r="J132" s="14"/>
      <c r="K132" s="50"/>
      <c r="L132" s="50"/>
      <c r="M132" s="50"/>
      <c r="N132" s="50"/>
      <c r="O132" s="52"/>
      <c r="R132"/>
    </row>
    <row r="133" spans="2:18" x14ac:dyDescent="0.2">
      <c r="J133" s="14"/>
    </row>
    <row r="134" spans="2:18" x14ac:dyDescent="0.2">
      <c r="B134" s="60" t="s">
        <v>552</v>
      </c>
    </row>
    <row r="136" spans="2:18" ht="153.75" customHeight="1" x14ac:dyDescent="0.2"/>
    <row r="139" spans="2:18" x14ac:dyDescent="0.2">
      <c r="B139" s="61" t="s">
        <v>553</v>
      </c>
      <c r="C139" s="62"/>
      <c r="D139" s="61" t="s">
        <v>554</v>
      </c>
    </row>
    <row r="140" spans="2:18" x14ac:dyDescent="0.2">
      <c r="B140" s="61" t="s">
        <v>561</v>
      </c>
      <c r="D140" s="61" t="s">
        <v>562</v>
      </c>
    </row>
    <row r="141" spans="2:18" ht="165" customHeight="1" x14ac:dyDescent="0.2"/>
    <row r="142" spans="2:18" x14ac:dyDescent="0.2">
      <c r="J142" s="14"/>
    </row>
    <row r="143" spans="2:18" x14ac:dyDescent="0.2">
      <c r="J143" s="14"/>
    </row>
    <row r="144" spans="2:18" x14ac:dyDescent="0.2">
      <c r="J144" s="14"/>
    </row>
  </sheetData>
  <mergeCells count="26">
    <mergeCell ref="B130:C130"/>
    <mergeCell ref="B131:C131"/>
    <mergeCell ref="B132:D132"/>
    <mergeCell ref="B125:C125"/>
    <mergeCell ref="B126:C126"/>
    <mergeCell ref="B127:C127"/>
    <mergeCell ref="B128:C128"/>
    <mergeCell ref="B129:C129"/>
    <mergeCell ref="B100:H100"/>
    <mergeCell ref="B117:C117"/>
    <mergeCell ref="B118:C118"/>
    <mergeCell ref="B102:D102"/>
    <mergeCell ref="B103:C103"/>
    <mergeCell ref="B104:C104"/>
    <mergeCell ref="B105:C105"/>
    <mergeCell ref="B115:C115"/>
    <mergeCell ref="A1:H1"/>
    <mergeCell ref="A2:H2"/>
    <mergeCell ref="A3:H3"/>
    <mergeCell ref="B98:H98"/>
    <mergeCell ref="B99:H99"/>
    <mergeCell ref="B120:C120"/>
    <mergeCell ref="B123:C123"/>
    <mergeCell ref="B124:C124"/>
    <mergeCell ref="B122:D122"/>
    <mergeCell ref="B119:C119"/>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44DE-023C-4586-B94D-F56F2592D4E9}">
  <sheetPr>
    <outlinePr summaryBelow="0" summaryRight="0"/>
  </sheetPr>
  <dimension ref="A1:Q152"/>
  <sheetViews>
    <sheetView showGridLines="0" workbookViewId="0">
      <selection sqref="A1:H1"/>
    </sheetView>
  </sheetViews>
  <sheetFormatPr defaultRowHeight="12.75" x14ac:dyDescent="0.2"/>
  <cols>
    <col min="1" max="1" width="5.85546875" bestFit="1" customWidth="1"/>
    <col min="2" max="2" width="22.7109375" customWidth="1"/>
    <col min="3" max="3" width="39.140625" bestFit="1" customWidth="1"/>
    <col min="4" max="4" width="10.7109375" bestFit="1" customWidth="1"/>
    <col min="5" max="5" width="9.42578125" bestFit="1" customWidth="1"/>
    <col min="6" max="6" width="10.140625" bestFit="1" customWidth="1"/>
    <col min="7" max="7" width="14" bestFit="1" customWidth="1"/>
    <col min="8" max="8" width="9.85546875" bestFit="1" customWidth="1"/>
  </cols>
  <sheetData>
    <row r="1" spans="1:8" ht="15" x14ac:dyDescent="0.2">
      <c r="A1" s="164" t="s">
        <v>0</v>
      </c>
      <c r="B1" s="164"/>
      <c r="C1" s="164"/>
      <c r="D1" s="164"/>
      <c r="E1" s="164"/>
      <c r="F1" s="164"/>
      <c r="G1" s="164"/>
      <c r="H1" s="164"/>
    </row>
    <row r="2" spans="1:8" ht="15" x14ac:dyDescent="0.2">
      <c r="A2" s="164" t="s">
        <v>140</v>
      </c>
      <c r="B2" s="164"/>
      <c r="C2" s="164"/>
      <c r="D2" s="164"/>
      <c r="E2" s="164"/>
      <c r="F2" s="164"/>
      <c r="G2" s="164"/>
      <c r="H2" s="164"/>
    </row>
    <row r="3" spans="1:8" ht="15" x14ac:dyDescent="0.2">
      <c r="A3" s="164" t="s">
        <v>537</v>
      </c>
      <c r="B3" s="164"/>
      <c r="C3" s="164"/>
      <c r="D3" s="164"/>
      <c r="E3" s="164"/>
      <c r="F3" s="164"/>
      <c r="G3" s="164"/>
      <c r="H3" s="164"/>
    </row>
    <row r="4" spans="1:8" s="14" customFormat="1" ht="30" x14ac:dyDescent="0.2">
      <c r="A4" s="12" t="s">
        <v>2</v>
      </c>
      <c r="B4" s="12" t="s">
        <v>3</v>
      </c>
      <c r="C4" s="12" t="s">
        <v>4</v>
      </c>
      <c r="D4" s="12" t="s">
        <v>5</v>
      </c>
      <c r="E4" s="12" t="s">
        <v>6</v>
      </c>
      <c r="F4" s="12" t="s">
        <v>7</v>
      </c>
      <c r="G4" s="12" t="s">
        <v>8</v>
      </c>
      <c r="H4" s="13" t="s">
        <v>662</v>
      </c>
    </row>
    <row r="5" spans="1:8" x14ac:dyDescent="0.2">
      <c r="A5" s="15"/>
      <c r="B5" s="15"/>
      <c r="C5" s="16" t="s">
        <v>9</v>
      </c>
      <c r="D5" s="15"/>
      <c r="E5" s="15"/>
      <c r="F5" s="15"/>
      <c r="G5" s="15"/>
      <c r="H5" s="17" t="s">
        <v>12</v>
      </c>
    </row>
    <row r="6" spans="1:8" x14ac:dyDescent="0.2">
      <c r="A6" s="18"/>
      <c r="B6" s="18"/>
      <c r="C6" s="19" t="s">
        <v>10</v>
      </c>
      <c r="D6" s="18"/>
      <c r="E6" s="18"/>
      <c r="F6" s="18"/>
      <c r="G6" s="18"/>
      <c r="H6" s="17" t="s">
        <v>12</v>
      </c>
    </row>
    <row r="7" spans="1:8" x14ac:dyDescent="0.2">
      <c r="A7" s="18"/>
      <c r="B7" s="18"/>
      <c r="C7" s="19" t="s">
        <v>11</v>
      </c>
      <c r="D7" s="18"/>
      <c r="E7" s="18" t="s">
        <v>12</v>
      </c>
      <c r="F7" s="20" t="s">
        <v>13</v>
      </c>
      <c r="G7" s="21">
        <v>0</v>
      </c>
      <c r="H7" s="17" t="s">
        <v>12</v>
      </c>
    </row>
    <row r="8" spans="1:8" x14ac:dyDescent="0.2">
      <c r="A8" s="18"/>
      <c r="B8" s="18"/>
      <c r="C8" s="22"/>
      <c r="D8" s="18"/>
      <c r="E8" s="18"/>
      <c r="F8" s="23"/>
      <c r="G8" s="23"/>
      <c r="H8" s="17" t="s">
        <v>12</v>
      </c>
    </row>
    <row r="9" spans="1:8" x14ac:dyDescent="0.2">
      <c r="A9" s="18"/>
      <c r="B9" s="18"/>
      <c r="C9" s="19" t="s">
        <v>14</v>
      </c>
      <c r="D9" s="18"/>
      <c r="E9" s="18"/>
      <c r="F9" s="18"/>
      <c r="G9" s="18"/>
      <c r="H9" s="17" t="s">
        <v>12</v>
      </c>
    </row>
    <row r="10" spans="1:8" x14ac:dyDescent="0.2">
      <c r="A10" s="18"/>
      <c r="B10" s="18"/>
      <c r="C10" s="19" t="s">
        <v>11</v>
      </c>
      <c r="D10" s="18"/>
      <c r="E10" s="18" t="s">
        <v>12</v>
      </c>
      <c r="F10" s="20" t="s">
        <v>13</v>
      </c>
      <c r="G10" s="21">
        <v>0</v>
      </c>
      <c r="H10" s="17" t="s">
        <v>12</v>
      </c>
    </row>
    <row r="11" spans="1:8" x14ac:dyDescent="0.2">
      <c r="A11" s="18"/>
      <c r="B11" s="18"/>
      <c r="C11" s="22"/>
      <c r="D11" s="18"/>
      <c r="E11" s="18"/>
      <c r="F11" s="23"/>
      <c r="G11" s="23"/>
      <c r="H11" s="17" t="s">
        <v>12</v>
      </c>
    </row>
    <row r="12" spans="1:8" x14ac:dyDescent="0.2">
      <c r="A12" s="18"/>
      <c r="B12" s="18"/>
      <c r="C12" s="19" t="s">
        <v>15</v>
      </c>
      <c r="D12" s="18"/>
      <c r="E12" s="18"/>
      <c r="F12" s="18"/>
      <c r="G12" s="18"/>
      <c r="H12" s="17" t="s">
        <v>12</v>
      </c>
    </row>
    <row r="13" spans="1:8" x14ac:dyDescent="0.2">
      <c r="A13" s="18"/>
      <c r="B13" s="18"/>
      <c r="C13" s="19" t="s">
        <v>11</v>
      </c>
      <c r="D13" s="18"/>
      <c r="E13" s="18" t="s">
        <v>12</v>
      </c>
      <c r="F13" s="20" t="s">
        <v>13</v>
      </c>
      <c r="G13" s="21">
        <v>0</v>
      </c>
      <c r="H13" s="17" t="s">
        <v>12</v>
      </c>
    </row>
    <row r="14" spans="1:8" x14ac:dyDescent="0.2">
      <c r="A14" s="18"/>
      <c r="B14" s="18"/>
      <c r="C14" s="22"/>
      <c r="D14" s="18"/>
      <c r="E14" s="18"/>
      <c r="F14" s="23"/>
      <c r="G14" s="23"/>
      <c r="H14" s="17" t="s">
        <v>12</v>
      </c>
    </row>
    <row r="15" spans="1:8" x14ac:dyDescent="0.2">
      <c r="A15" s="18"/>
      <c r="B15" s="18"/>
      <c r="C15" s="19" t="s">
        <v>16</v>
      </c>
      <c r="D15" s="18"/>
      <c r="E15" s="18"/>
      <c r="F15" s="18"/>
      <c r="G15" s="18"/>
      <c r="H15" s="17" t="s">
        <v>12</v>
      </c>
    </row>
    <row r="16" spans="1:8"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18"/>
      <c r="B28" s="18"/>
      <c r="C28" s="19" t="s">
        <v>11</v>
      </c>
      <c r="D28" s="18"/>
      <c r="E28" s="18" t="s">
        <v>12</v>
      </c>
      <c r="F28" s="20" t="s">
        <v>13</v>
      </c>
      <c r="G28" s="21">
        <v>0</v>
      </c>
      <c r="H28" s="17" t="s">
        <v>12</v>
      </c>
    </row>
    <row r="29" spans="1:8" x14ac:dyDescent="0.2">
      <c r="A29" s="18"/>
      <c r="B29" s="18"/>
      <c r="C29" s="22"/>
      <c r="D29" s="18"/>
      <c r="E29" s="18"/>
      <c r="F29" s="23"/>
      <c r="G29" s="23"/>
      <c r="H29" s="17" t="s">
        <v>12</v>
      </c>
    </row>
    <row r="30" spans="1:8" x14ac:dyDescent="0.2">
      <c r="A30" s="18"/>
      <c r="B30" s="18"/>
      <c r="C30" s="19" t="s">
        <v>71</v>
      </c>
      <c r="D30" s="18"/>
      <c r="E30" s="18"/>
      <c r="F30" s="18"/>
      <c r="G30" s="18"/>
      <c r="H30" s="17" t="s">
        <v>12</v>
      </c>
    </row>
    <row r="31" spans="1:8" x14ac:dyDescent="0.2">
      <c r="A31" s="18"/>
      <c r="B31" s="18"/>
      <c r="C31" s="19" t="s">
        <v>11</v>
      </c>
      <c r="D31" s="18"/>
      <c r="E31" s="18" t="s">
        <v>12</v>
      </c>
      <c r="F31" s="20" t="s">
        <v>13</v>
      </c>
      <c r="G31" s="21">
        <v>0</v>
      </c>
      <c r="H31" s="17" t="s">
        <v>12</v>
      </c>
    </row>
    <row r="32" spans="1:8" x14ac:dyDescent="0.2">
      <c r="A32" s="18"/>
      <c r="B32" s="18"/>
      <c r="C32" s="22"/>
      <c r="D32" s="18"/>
      <c r="E32" s="18"/>
      <c r="F32" s="23"/>
      <c r="G32" s="23"/>
      <c r="H32" s="17" t="s">
        <v>12</v>
      </c>
    </row>
    <row r="33" spans="1:8" x14ac:dyDescent="0.2">
      <c r="A33" s="18"/>
      <c r="B33" s="18"/>
      <c r="C33" s="19" t="s">
        <v>72</v>
      </c>
      <c r="D33" s="18"/>
      <c r="E33" s="18"/>
      <c r="F33" s="18"/>
      <c r="G33" s="18"/>
      <c r="H33" s="17" t="s">
        <v>12</v>
      </c>
    </row>
    <row r="34" spans="1:8" x14ac:dyDescent="0.2">
      <c r="A34" s="18"/>
      <c r="B34" s="18"/>
      <c r="C34" s="19" t="s">
        <v>11</v>
      </c>
      <c r="D34" s="18"/>
      <c r="E34" s="18" t="s">
        <v>12</v>
      </c>
      <c r="F34" s="20" t="s">
        <v>13</v>
      </c>
      <c r="G34" s="21">
        <v>0</v>
      </c>
      <c r="H34" s="17" t="s">
        <v>12</v>
      </c>
    </row>
    <row r="35" spans="1:8" x14ac:dyDescent="0.2">
      <c r="A35" s="18"/>
      <c r="B35" s="18"/>
      <c r="C35" s="22"/>
      <c r="D35" s="18"/>
      <c r="E35" s="18"/>
      <c r="F35" s="23"/>
      <c r="G35" s="23"/>
      <c r="H35" s="17" t="s">
        <v>12</v>
      </c>
    </row>
    <row r="36" spans="1:8" x14ac:dyDescent="0.2">
      <c r="A36" s="18"/>
      <c r="B36" s="18"/>
      <c r="C36" s="19" t="s">
        <v>88</v>
      </c>
      <c r="D36" s="18"/>
      <c r="E36" s="18"/>
      <c r="F36" s="23"/>
      <c r="G36" s="23"/>
      <c r="H36" s="17" t="s">
        <v>12</v>
      </c>
    </row>
    <row r="37" spans="1:8" x14ac:dyDescent="0.2">
      <c r="A37" s="18"/>
      <c r="B37" s="18"/>
      <c r="C37" s="19" t="s">
        <v>11</v>
      </c>
      <c r="D37" s="18"/>
      <c r="E37" s="18" t="s">
        <v>12</v>
      </c>
      <c r="F37" s="20" t="s">
        <v>13</v>
      </c>
      <c r="G37" s="21">
        <v>0</v>
      </c>
      <c r="H37" s="17" t="s">
        <v>12</v>
      </c>
    </row>
    <row r="38" spans="1:8" x14ac:dyDescent="0.2">
      <c r="A38" s="18"/>
      <c r="B38" s="18"/>
      <c r="C38" s="22"/>
      <c r="D38" s="18"/>
      <c r="E38" s="18"/>
      <c r="F38" s="23"/>
      <c r="G38" s="23"/>
      <c r="H38" s="17" t="s">
        <v>12</v>
      </c>
    </row>
    <row r="39" spans="1:8" x14ac:dyDescent="0.2">
      <c r="A39" s="18"/>
      <c r="B39" s="18"/>
      <c r="C39" s="19" t="s">
        <v>89</v>
      </c>
      <c r="D39" s="18"/>
      <c r="E39" s="18"/>
      <c r="F39" s="24">
        <v>0</v>
      </c>
      <c r="G39" s="21">
        <v>0</v>
      </c>
      <c r="H39" s="17" t="s">
        <v>12</v>
      </c>
    </row>
    <row r="40" spans="1:8" x14ac:dyDescent="0.2">
      <c r="A40" s="18"/>
      <c r="B40" s="18"/>
      <c r="C40" s="22"/>
      <c r="D40" s="18"/>
      <c r="E40" s="18"/>
      <c r="F40" s="23"/>
      <c r="G40" s="23"/>
      <c r="H40" s="17" t="s">
        <v>12</v>
      </c>
    </row>
    <row r="41" spans="1:8" x14ac:dyDescent="0.2">
      <c r="A41" s="18"/>
      <c r="B41" s="18"/>
      <c r="C41" s="19" t="s">
        <v>90</v>
      </c>
      <c r="D41" s="18"/>
      <c r="E41" s="18"/>
      <c r="F41" s="23"/>
      <c r="G41" s="23"/>
      <c r="H41" s="17" t="s">
        <v>12</v>
      </c>
    </row>
    <row r="42" spans="1:8" x14ac:dyDescent="0.2">
      <c r="A42" s="18"/>
      <c r="B42" s="18"/>
      <c r="C42" s="19" t="s">
        <v>91</v>
      </c>
      <c r="D42" s="18"/>
      <c r="E42" s="18"/>
      <c r="F42" s="23"/>
      <c r="G42" s="23"/>
      <c r="H42" s="17" t="s">
        <v>12</v>
      </c>
    </row>
    <row r="43" spans="1:8" x14ac:dyDescent="0.2">
      <c r="A43" s="25">
        <v>1</v>
      </c>
      <c r="B43" s="26" t="s">
        <v>141</v>
      </c>
      <c r="C43" s="26" t="s">
        <v>142</v>
      </c>
      <c r="D43" s="26" t="s">
        <v>143</v>
      </c>
      <c r="E43" s="27">
        <v>500</v>
      </c>
      <c r="F43" s="28">
        <v>2486.37</v>
      </c>
      <c r="G43" s="29">
        <v>4.2049610000000001E-2</v>
      </c>
      <c r="H43" s="17">
        <v>6.8998999999999997</v>
      </c>
    </row>
    <row r="44" spans="1:8" x14ac:dyDescent="0.2">
      <c r="A44" s="25">
        <v>2</v>
      </c>
      <c r="B44" s="26" t="s">
        <v>144</v>
      </c>
      <c r="C44" s="26" t="s">
        <v>145</v>
      </c>
      <c r="D44" s="26" t="s">
        <v>146</v>
      </c>
      <c r="E44" s="27">
        <v>500</v>
      </c>
      <c r="F44" s="28">
        <v>2456.1725000000001</v>
      </c>
      <c r="G44" s="29">
        <v>4.1538909999999998E-2</v>
      </c>
      <c r="H44" s="17">
        <v>7.4</v>
      </c>
    </row>
    <row r="45" spans="1:8" x14ac:dyDescent="0.2">
      <c r="A45" s="25">
        <v>3</v>
      </c>
      <c r="B45" s="26" t="s">
        <v>147</v>
      </c>
      <c r="C45" s="26" t="s">
        <v>148</v>
      </c>
      <c r="D45" s="26" t="s">
        <v>149</v>
      </c>
      <c r="E45" s="27">
        <v>500</v>
      </c>
      <c r="F45" s="28">
        <v>2370.1149999999998</v>
      </c>
      <c r="G45" s="29">
        <v>4.0083500000000001E-2</v>
      </c>
      <c r="H45" s="17">
        <v>7.875</v>
      </c>
    </row>
    <row r="46" spans="1:8" x14ac:dyDescent="0.2">
      <c r="A46" s="25">
        <v>4</v>
      </c>
      <c r="B46" s="26" t="s">
        <v>150</v>
      </c>
      <c r="C46" s="26" t="s">
        <v>151</v>
      </c>
      <c r="D46" s="26" t="s">
        <v>149</v>
      </c>
      <c r="E46" s="27">
        <v>500</v>
      </c>
      <c r="F46" s="28">
        <v>2360.23</v>
      </c>
      <c r="G46" s="29">
        <v>3.991633E-2</v>
      </c>
      <c r="H46" s="17">
        <v>7.665</v>
      </c>
    </row>
    <row r="47" spans="1:8" x14ac:dyDescent="0.2">
      <c r="A47" s="25">
        <v>5</v>
      </c>
      <c r="B47" s="26" t="s">
        <v>152</v>
      </c>
      <c r="C47" s="26" t="s">
        <v>153</v>
      </c>
      <c r="D47" s="26" t="s">
        <v>149</v>
      </c>
      <c r="E47" s="27">
        <v>500</v>
      </c>
      <c r="F47" s="28">
        <v>2358.9124999999999</v>
      </c>
      <c r="G47" s="29">
        <v>3.989405E-2</v>
      </c>
      <c r="H47" s="17">
        <v>7.66</v>
      </c>
    </row>
    <row r="48" spans="1:8" x14ac:dyDescent="0.2">
      <c r="A48" s="25">
        <v>6</v>
      </c>
      <c r="B48" s="26" t="s">
        <v>154</v>
      </c>
      <c r="C48" s="26" t="s">
        <v>155</v>
      </c>
      <c r="D48" s="26" t="s">
        <v>149</v>
      </c>
      <c r="E48" s="27">
        <v>500</v>
      </c>
      <c r="F48" s="28">
        <v>2356.91</v>
      </c>
      <c r="G48" s="29">
        <v>3.9860180000000002E-2</v>
      </c>
      <c r="H48" s="17">
        <v>7.6150000000000002</v>
      </c>
    </row>
    <row r="49" spans="1:8" ht="25.5" x14ac:dyDescent="0.2">
      <c r="A49" s="25">
        <v>7</v>
      </c>
      <c r="B49" s="26" t="s">
        <v>156</v>
      </c>
      <c r="C49" s="26" t="s">
        <v>157</v>
      </c>
      <c r="D49" s="26" t="s">
        <v>149</v>
      </c>
      <c r="E49" s="27">
        <v>500</v>
      </c>
      <c r="F49" s="28">
        <v>2356.625</v>
      </c>
      <c r="G49" s="29">
        <v>3.9855359999999999E-2</v>
      </c>
      <c r="H49" s="17">
        <v>7.6050000000000004</v>
      </c>
    </row>
    <row r="50" spans="1:8" x14ac:dyDescent="0.2">
      <c r="A50" s="25">
        <v>8</v>
      </c>
      <c r="B50" s="26" t="s">
        <v>158</v>
      </c>
      <c r="C50" s="26" t="s">
        <v>159</v>
      </c>
      <c r="D50" s="26" t="s">
        <v>149</v>
      </c>
      <c r="E50" s="27">
        <v>500</v>
      </c>
      <c r="F50" s="28">
        <v>2354.67</v>
      </c>
      <c r="G50" s="29">
        <v>3.9822299999999998E-2</v>
      </c>
      <c r="H50" s="17">
        <v>7.7149999999999999</v>
      </c>
    </row>
    <row r="51" spans="1:8" x14ac:dyDescent="0.2">
      <c r="A51" s="25">
        <v>9</v>
      </c>
      <c r="B51" s="26" t="s">
        <v>160</v>
      </c>
      <c r="C51" s="26" t="s">
        <v>161</v>
      </c>
      <c r="D51" s="26" t="s">
        <v>149</v>
      </c>
      <c r="E51" s="27">
        <v>500</v>
      </c>
      <c r="F51" s="28">
        <v>2329.5949999999998</v>
      </c>
      <c r="G51" s="29">
        <v>3.9398229999999999E-2</v>
      </c>
      <c r="H51" s="17">
        <v>7.585</v>
      </c>
    </row>
    <row r="52" spans="1:8" x14ac:dyDescent="0.2">
      <c r="A52" s="25">
        <v>10</v>
      </c>
      <c r="B52" s="26" t="s">
        <v>162</v>
      </c>
      <c r="C52" s="26" t="s">
        <v>163</v>
      </c>
      <c r="D52" s="26" t="s">
        <v>149</v>
      </c>
      <c r="E52" s="27">
        <v>500</v>
      </c>
      <c r="F52" s="28">
        <v>2329.2474999999999</v>
      </c>
      <c r="G52" s="29">
        <v>3.939235E-2</v>
      </c>
      <c r="H52" s="17">
        <v>7.58</v>
      </c>
    </row>
    <row r="53" spans="1:8" ht="25.5" x14ac:dyDescent="0.2">
      <c r="A53" s="25">
        <v>11</v>
      </c>
      <c r="B53" s="26" t="s">
        <v>164</v>
      </c>
      <c r="C53" s="26" t="s">
        <v>165</v>
      </c>
      <c r="D53" s="26" t="s">
        <v>149</v>
      </c>
      <c r="E53" s="27">
        <v>500</v>
      </c>
      <c r="F53" s="28">
        <v>2328.3775000000001</v>
      </c>
      <c r="G53" s="29">
        <v>3.9377639999999998E-2</v>
      </c>
      <c r="H53" s="17">
        <v>7.6</v>
      </c>
    </row>
    <row r="54" spans="1:8" ht="25.5" x14ac:dyDescent="0.2">
      <c r="A54" s="25">
        <v>12</v>
      </c>
      <c r="B54" s="26" t="s">
        <v>166</v>
      </c>
      <c r="C54" s="64" t="s">
        <v>671</v>
      </c>
      <c r="D54" s="26" t="s">
        <v>149</v>
      </c>
      <c r="E54" s="27">
        <v>500</v>
      </c>
      <c r="F54" s="28">
        <v>2323.42</v>
      </c>
      <c r="G54" s="29">
        <v>3.9293799999999997E-2</v>
      </c>
      <c r="H54" s="17">
        <v>7.6</v>
      </c>
    </row>
    <row r="55" spans="1:8" x14ac:dyDescent="0.2">
      <c r="A55" s="25">
        <v>13</v>
      </c>
      <c r="B55" s="26" t="s">
        <v>167</v>
      </c>
      <c r="C55" s="26" t="s">
        <v>168</v>
      </c>
      <c r="D55" s="26" t="s">
        <v>149</v>
      </c>
      <c r="E55" s="27">
        <v>400</v>
      </c>
      <c r="F55" s="28">
        <v>1959.0719999999999</v>
      </c>
      <c r="G55" s="29">
        <v>3.3131920000000002E-2</v>
      </c>
      <c r="H55" s="17">
        <v>7.55</v>
      </c>
    </row>
    <row r="56" spans="1:8" x14ac:dyDescent="0.2">
      <c r="A56" s="25">
        <v>14</v>
      </c>
      <c r="B56" s="26" t="s">
        <v>169</v>
      </c>
      <c r="C56" s="26" t="s">
        <v>170</v>
      </c>
      <c r="D56" s="26" t="s">
        <v>149</v>
      </c>
      <c r="E56" s="27">
        <v>300</v>
      </c>
      <c r="F56" s="28">
        <v>1490.9939999999999</v>
      </c>
      <c r="G56" s="29">
        <v>2.5215769999999998E-2</v>
      </c>
      <c r="H56" s="17">
        <v>6.89</v>
      </c>
    </row>
    <row r="57" spans="1:8" x14ac:dyDescent="0.2">
      <c r="A57" s="25">
        <v>15</v>
      </c>
      <c r="B57" s="26" t="s">
        <v>171</v>
      </c>
      <c r="C57" s="26" t="s">
        <v>172</v>
      </c>
      <c r="D57" s="26" t="s">
        <v>149</v>
      </c>
      <c r="E57" s="27">
        <v>300</v>
      </c>
      <c r="F57" s="28">
        <v>1489.8824999999999</v>
      </c>
      <c r="G57" s="29">
        <v>2.5196969999999999E-2</v>
      </c>
      <c r="H57" s="17">
        <v>6.8849999999999998</v>
      </c>
    </row>
    <row r="58" spans="1:8" x14ac:dyDescent="0.2">
      <c r="A58" s="25">
        <v>16</v>
      </c>
      <c r="B58" s="26" t="s">
        <v>173</v>
      </c>
      <c r="C58" s="26" t="s">
        <v>174</v>
      </c>
      <c r="D58" s="26" t="s">
        <v>149</v>
      </c>
      <c r="E58" s="27">
        <v>300</v>
      </c>
      <c r="F58" s="28">
        <v>1471.155</v>
      </c>
      <c r="G58" s="29">
        <v>2.488025E-2</v>
      </c>
      <c r="H58" s="17">
        <v>7.4550000000000001</v>
      </c>
    </row>
    <row r="59" spans="1:8" x14ac:dyDescent="0.2">
      <c r="A59" s="25">
        <v>17</v>
      </c>
      <c r="B59" s="26" t="s">
        <v>175</v>
      </c>
      <c r="C59" s="26" t="s">
        <v>176</v>
      </c>
      <c r="D59" s="26" t="s">
        <v>149</v>
      </c>
      <c r="E59" s="27">
        <v>300</v>
      </c>
      <c r="F59" s="28">
        <v>1399.5195000000001</v>
      </c>
      <c r="G59" s="29">
        <v>2.3668740000000001E-2</v>
      </c>
      <c r="H59" s="17">
        <v>7.6849999999999996</v>
      </c>
    </row>
    <row r="60" spans="1:8" x14ac:dyDescent="0.2">
      <c r="A60" s="25">
        <v>18</v>
      </c>
      <c r="B60" s="26" t="s">
        <v>177</v>
      </c>
      <c r="C60" s="26" t="s">
        <v>178</v>
      </c>
      <c r="D60" s="26" t="s">
        <v>149</v>
      </c>
      <c r="E60" s="27">
        <v>200</v>
      </c>
      <c r="F60" s="28">
        <v>996.42399999999998</v>
      </c>
      <c r="G60" s="29">
        <v>1.685157E-2</v>
      </c>
      <c r="H60" s="17">
        <v>6.8949999999999996</v>
      </c>
    </row>
    <row r="61" spans="1:8" x14ac:dyDescent="0.2">
      <c r="A61" s="25">
        <v>19</v>
      </c>
      <c r="B61" s="26" t="s">
        <v>179</v>
      </c>
      <c r="C61" s="26" t="s">
        <v>180</v>
      </c>
      <c r="D61" s="26" t="s">
        <v>149</v>
      </c>
      <c r="E61" s="27">
        <v>200</v>
      </c>
      <c r="F61" s="28">
        <v>992.71900000000005</v>
      </c>
      <c r="G61" s="29">
        <v>1.6788910000000001E-2</v>
      </c>
      <c r="H61" s="17">
        <v>6.8650000000000002</v>
      </c>
    </row>
    <row r="62" spans="1:8" x14ac:dyDescent="0.2">
      <c r="A62" s="25">
        <v>20</v>
      </c>
      <c r="B62" s="26" t="s">
        <v>181</v>
      </c>
      <c r="C62" s="26" t="s">
        <v>182</v>
      </c>
      <c r="D62" s="26" t="s">
        <v>149</v>
      </c>
      <c r="E62" s="27">
        <v>200</v>
      </c>
      <c r="F62" s="28">
        <v>944.50099999999998</v>
      </c>
      <c r="G62" s="29">
        <v>1.597345E-2</v>
      </c>
      <c r="H62" s="17">
        <v>7.7149999999999999</v>
      </c>
    </row>
    <row r="63" spans="1:8" x14ac:dyDescent="0.2">
      <c r="A63" s="25">
        <v>21</v>
      </c>
      <c r="B63" s="26" t="s">
        <v>183</v>
      </c>
      <c r="C63" s="26" t="s">
        <v>184</v>
      </c>
      <c r="D63" s="26" t="s">
        <v>149</v>
      </c>
      <c r="E63" s="27">
        <v>200</v>
      </c>
      <c r="F63" s="28">
        <v>941.428</v>
      </c>
      <c r="G63" s="29">
        <v>1.5921479999999998E-2</v>
      </c>
      <c r="H63" s="17">
        <v>7.5949999999999998</v>
      </c>
    </row>
    <row r="64" spans="1:8" x14ac:dyDescent="0.2">
      <c r="A64" s="25">
        <v>22</v>
      </c>
      <c r="B64" s="26" t="s">
        <v>185</v>
      </c>
      <c r="C64" s="26" t="s">
        <v>186</v>
      </c>
      <c r="D64" s="26" t="s">
        <v>143</v>
      </c>
      <c r="E64" s="27">
        <v>160</v>
      </c>
      <c r="F64" s="28">
        <v>774.47839999999997</v>
      </c>
      <c r="G64" s="29">
        <v>1.309802E-2</v>
      </c>
      <c r="H64" s="17">
        <v>7.5650000000000004</v>
      </c>
    </row>
    <row r="65" spans="1:8" x14ac:dyDescent="0.2">
      <c r="A65" s="25">
        <v>23</v>
      </c>
      <c r="B65" s="26" t="s">
        <v>187</v>
      </c>
      <c r="C65" s="26" t="s">
        <v>188</v>
      </c>
      <c r="D65" s="26" t="s">
        <v>146</v>
      </c>
      <c r="E65" s="27">
        <v>100</v>
      </c>
      <c r="F65" s="28">
        <v>492.22300000000001</v>
      </c>
      <c r="G65" s="29">
        <v>8.3245000000000003E-3</v>
      </c>
      <c r="H65" s="17">
        <v>7.3949999999999996</v>
      </c>
    </row>
    <row r="66" spans="1:8" x14ac:dyDescent="0.2">
      <c r="A66" s="25">
        <v>24</v>
      </c>
      <c r="B66" s="26" t="s">
        <v>189</v>
      </c>
      <c r="C66" s="26" t="s">
        <v>190</v>
      </c>
      <c r="D66" s="26" t="s">
        <v>149</v>
      </c>
      <c r="E66" s="27">
        <v>100</v>
      </c>
      <c r="F66" s="28">
        <v>490.76600000000002</v>
      </c>
      <c r="G66" s="29">
        <v>8.2998599999999992E-3</v>
      </c>
      <c r="H66" s="17">
        <v>7.4649999999999999</v>
      </c>
    </row>
    <row r="67" spans="1:8" x14ac:dyDescent="0.2">
      <c r="A67" s="25">
        <v>25</v>
      </c>
      <c r="B67" s="26" t="s">
        <v>191</v>
      </c>
      <c r="C67" s="26" t="s">
        <v>192</v>
      </c>
      <c r="D67" s="26" t="s">
        <v>149</v>
      </c>
      <c r="E67" s="27">
        <v>100</v>
      </c>
      <c r="F67" s="28">
        <v>488.90550000000002</v>
      </c>
      <c r="G67" s="29">
        <v>8.2683900000000005E-3</v>
      </c>
      <c r="H67" s="17">
        <v>7.53</v>
      </c>
    </row>
    <row r="68" spans="1:8" x14ac:dyDescent="0.2">
      <c r="A68" s="25">
        <v>26</v>
      </c>
      <c r="B68" s="26" t="s">
        <v>193</v>
      </c>
      <c r="C68" s="26" t="s">
        <v>194</v>
      </c>
      <c r="D68" s="26" t="s">
        <v>149</v>
      </c>
      <c r="E68" s="27">
        <v>100</v>
      </c>
      <c r="F68" s="28">
        <v>487.15300000000002</v>
      </c>
      <c r="G68" s="29">
        <v>8.2387599999999995E-3</v>
      </c>
      <c r="H68" s="17">
        <v>7.52</v>
      </c>
    </row>
    <row r="69" spans="1:8" x14ac:dyDescent="0.2">
      <c r="A69" s="18"/>
      <c r="B69" s="18"/>
      <c r="C69" s="19" t="s">
        <v>11</v>
      </c>
      <c r="D69" s="18"/>
      <c r="E69" s="18" t="s">
        <v>12</v>
      </c>
      <c r="F69" s="24">
        <v>42829.865899999997</v>
      </c>
      <c r="G69" s="21">
        <v>0.72434085000000004</v>
      </c>
      <c r="H69" s="17" t="s">
        <v>12</v>
      </c>
    </row>
    <row r="70" spans="1:8" x14ac:dyDescent="0.2">
      <c r="A70" s="18"/>
      <c r="B70" s="18"/>
      <c r="C70" s="22"/>
      <c r="D70" s="18"/>
      <c r="E70" s="18"/>
      <c r="F70" s="23"/>
      <c r="G70" s="23"/>
      <c r="H70" s="17" t="s">
        <v>12</v>
      </c>
    </row>
    <row r="71" spans="1:8" x14ac:dyDescent="0.2">
      <c r="A71" s="18"/>
      <c r="B71" s="18"/>
      <c r="C71" s="19" t="s">
        <v>92</v>
      </c>
      <c r="D71" s="18"/>
      <c r="E71" s="18"/>
      <c r="F71" s="23"/>
      <c r="G71" s="23"/>
      <c r="H71" s="17" t="s">
        <v>12</v>
      </c>
    </row>
    <row r="72" spans="1:8" x14ac:dyDescent="0.2">
      <c r="A72" s="25">
        <v>1</v>
      </c>
      <c r="B72" s="26" t="s">
        <v>195</v>
      </c>
      <c r="C72" s="26" t="s">
        <v>196</v>
      </c>
      <c r="D72" s="26" t="s">
        <v>149</v>
      </c>
      <c r="E72" s="27">
        <v>500</v>
      </c>
      <c r="F72" s="28">
        <v>2368.3425000000002</v>
      </c>
      <c r="G72" s="29">
        <v>4.0053529999999997E-2</v>
      </c>
      <c r="H72" s="17">
        <v>8.35</v>
      </c>
    </row>
    <row r="73" spans="1:8" ht="25.5" x14ac:dyDescent="0.2">
      <c r="A73" s="25">
        <v>2</v>
      </c>
      <c r="B73" s="26" t="s">
        <v>197</v>
      </c>
      <c r="C73" s="26" t="s">
        <v>198</v>
      </c>
      <c r="D73" s="26" t="s">
        <v>149</v>
      </c>
      <c r="E73" s="27">
        <v>300</v>
      </c>
      <c r="F73" s="28">
        <v>1460.4390000000001</v>
      </c>
      <c r="G73" s="29">
        <v>2.4699019999999999E-2</v>
      </c>
      <c r="H73" s="17">
        <v>8.1713000000000005</v>
      </c>
    </row>
    <row r="74" spans="1:8" x14ac:dyDescent="0.2">
      <c r="A74" s="25">
        <v>3</v>
      </c>
      <c r="B74" s="26" t="s">
        <v>199</v>
      </c>
      <c r="C74" s="26" t="s">
        <v>200</v>
      </c>
      <c r="D74" s="26" t="s">
        <v>149</v>
      </c>
      <c r="E74" s="27">
        <v>300</v>
      </c>
      <c r="F74" s="28">
        <v>1431.981</v>
      </c>
      <c r="G74" s="29">
        <v>2.421773E-2</v>
      </c>
      <c r="H74" s="17">
        <v>7.8449999999999998</v>
      </c>
    </row>
    <row r="75" spans="1:8" x14ac:dyDescent="0.2">
      <c r="A75" s="25">
        <v>4</v>
      </c>
      <c r="B75" s="26" t="s">
        <v>201</v>
      </c>
      <c r="C75" s="26" t="s">
        <v>202</v>
      </c>
      <c r="D75" s="26" t="s">
        <v>149</v>
      </c>
      <c r="E75" s="27">
        <v>200</v>
      </c>
      <c r="F75" s="28">
        <v>993.62199999999996</v>
      </c>
      <c r="G75" s="29">
        <v>1.680419E-2</v>
      </c>
      <c r="H75" s="17">
        <v>7.1</v>
      </c>
    </row>
    <row r="76" spans="1:8" ht="25.5" x14ac:dyDescent="0.2">
      <c r="A76" s="25">
        <v>5</v>
      </c>
      <c r="B76" s="26" t="s">
        <v>203</v>
      </c>
      <c r="C76" s="26" t="s">
        <v>204</v>
      </c>
      <c r="D76" s="26" t="s">
        <v>149</v>
      </c>
      <c r="E76" s="27">
        <v>200</v>
      </c>
      <c r="F76" s="28">
        <v>993.25</v>
      </c>
      <c r="G76" s="29">
        <v>1.6797889999999999E-2</v>
      </c>
      <c r="H76" s="17">
        <v>6.89</v>
      </c>
    </row>
    <row r="77" spans="1:8" ht="25.5" x14ac:dyDescent="0.2">
      <c r="A77" s="25">
        <v>6</v>
      </c>
      <c r="B77" s="26" t="s">
        <v>205</v>
      </c>
      <c r="C77" s="26" t="s">
        <v>206</v>
      </c>
      <c r="D77" s="26" t="s">
        <v>149</v>
      </c>
      <c r="E77" s="27">
        <v>200</v>
      </c>
      <c r="F77" s="28">
        <v>979.60199999999998</v>
      </c>
      <c r="G77" s="29">
        <v>1.6567080000000001E-2</v>
      </c>
      <c r="H77" s="17">
        <v>7.5274999999999999</v>
      </c>
    </row>
    <row r="78" spans="1:8" x14ac:dyDescent="0.2">
      <c r="A78" s="18"/>
      <c r="B78" s="18"/>
      <c r="C78" s="19" t="s">
        <v>11</v>
      </c>
      <c r="D78" s="18"/>
      <c r="E78" s="18" t="s">
        <v>12</v>
      </c>
      <c r="F78" s="24">
        <v>8227.2365000000009</v>
      </c>
      <c r="G78" s="21">
        <v>0.13913944</v>
      </c>
      <c r="H78" s="17" t="s">
        <v>12</v>
      </c>
    </row>
    <row r="79" spans="1:8" x14ac:dyDescent="0.2">
      <c r="A79" s="18"/>
      <c r="B79" s="18"/>
      <c r="C79" s="22"/>
      <c r="D79" s="18"/>
      <c r="E79" s="18"/>
      <c r="F79" s="23"/>
      <c r="G79" s="23"/>
      <c r="H79" s="17" t="s">
        <v>12</v>
      </c>
    </row>
    <row r="80" spans="1:8" x14ac:dyDescent="0.2">
      <c r="A80" s="18"/>
      <c r="B80" s="18"/>
      <c r="C80" s="19" t="s">
        <v>93</v>
      </c>
      <c r="D80" s="18"/>
      <c r="E80" s="18"/>
      <c r="F80" s="23"/>
      <c r="G80" s="23"/>
      <c r="H80" s="17" t="s">
        <v>12</v>
      </c>
    </row>
    <row r="81" spans="1:17" x14ac:dyDescent="0.2">
      <c r="A81" s="25">
        <v>1</v>
      </c>
      <c r="B81" s="26" t="s">
        <v>207</v>
      </c>
      <c r="C81" s="26" t="s">
        <v>208</v>
      </c>
      <c r="D81" s="26" t="s">
        <v>75</v>
      </c>
      <c r="E81" s="27">
        <v>2500000</v>
      </c>
      <c r="F81" s="28">
        <v>2468.0275000000001</v>
      </c>
      <c r="G81" s="29">
        <v>4.1739400000000003E-2</v>
      </c>
      <c r="H81" s="17">
        <v>6.39</v>
      </c>
    </row>
    <row r="82" spans="1:17" x14ac:dyDescent="0.2">
      <c r="A82" s="25">
        <v>2</v>
      </c>
      <c r="B82" s="26" t="s">
        <v>209</v>
      </c>
      <c r="C82" s="26" t="s">
        <v>210</v>
      </c>
      <c r="D82" s="26" t="s">
        <v>75</v>
      </c>
      <c r="E82" s="27">
        <v>1500000</v>
      </c>
      <c r="F82" s="28">
        <v>1473.354</v>
      </c>
      <c r="G82" s="29">
        <v>2.4917439999999999E-2</v>
      </c>
      <c r="H82" s="17">
        <v>6.4718999999999998</v>
      </c>
    </row>
    <row r="83" spans="1:17" x14ac:dyDescent="0.2">
      <c r="A83" s="18"/>
      <c r="B83" s="18"/>
      <c r="C83" s="19" t="s">
        <v>11</v>
      </c>
      <c r="D83" s="18"/>
      <c r="E83" s="18" t="s">
        <v>12</v>
      </c>
      <c r="F83" s="24">
        <v>3941.3815</v>
      </c>
      <c r="G83" s="21">
        <v>6.6656839999999995E-2</v>
      </c>
      <c r="H83" s="17" t="s">
        <v>12</v>
      </c>
    </row>
    <row r="84" spans="1:17" x14ac:dyDescent="0.2">
      <c r="A84" s="18"/>
      <c r="B84" s="18"/>
      <c r="C84" s="22"/>
      <c r="D84" s="18"/>
      <c r="E84" s="18"/>
      <c r="F84" s="23"/>
      <c r="G84" s="23"/>
      <c r="H84" s="17" t="s">
        <v>12</v>
      </c>
    </row>
    <row r="85" spans="1:17" x14ac:dyDescent="0.2">
      <c r="A85" s="18"/>
      <c r="B85" s="18"/>
      <c r="C85" s="19" t="s">
        <v>94</v>
      </c>
      <c r="D85" s="18"/>
      <c r="E85" s="18"/>
      <c r="F85" s="23"/>
      <c r="G85" s="23"/>
      <c r="H85" s="17" t="s">
        <v>12</v>
      </c>
    </row>
    <row r="86" spans="1:17" x14ac:dyDescent="0.2">
      <c r="A86" s="25">
        <v>1</v>
      </c>
      <c r="B86" s="26"/>
      <c r="C86" s="26" t="s">
        <v>95</v>
      </c>
      <c r="D86" s="26"/>
      <c r="E86" s="30"/>
      <c r="F86" s="28">
        <v>6305.2020086000002</v>
      </c>
      <c r="G86" s="29">
        <v>0.10663389</v>
      </c>
      <c r="H86" s="17">
        <v>6.31</v>
      </c>
    </row>
    <row r="87" spans="1:17" x14ac:dyDescent="0.2">
      <c r="A87" s="18"/>
      <c r="B87" s="18"/>
      <c r="C87" s="19" t="s">
        <v>11</v>
      </c>
      <c r="D87" s="18"/>
      <c r="E87" s="18" t="s">
        <v>12</v>
      </c>
      <c r="F87" s="24">
        <v>6305.2020086000002</v>
      </c>
      <c r="G87" s="21">
        <v>0.10663389</v>
      </c>
      <c r="H87" s="17" t="s">
        <v>12</v>
      </c>
    </row>
    <row r="88" spans="1:17" x14ac:dyDescent="0.2">
      <c r="A88" s="18"/>
      <c r="B88" s="18"/>
      <c r="C88" s="22"/>
      <c r="D88" s="18"/>
      <c r="E88" s="18"/>
      <c r="F88" s="23"/>
      <c r="G88" s="23"/>
      <c r="H88" s="17" t="s">
        <v>12</v>
      </c>
    </row>
    <row r="89" spans="1:17" x14ac:dyDescent="0.2">
      <c r="A89" s="18"/>
      <c r="B89" s="18"/>
      <c r="C89" s="19" t="s">
        <v>96</v>
      </c>
      <c r="D89" s="18"/>
      <c r="E89" s="18"/>
      <c r="F89" s="24">
        <v>61303.685908599997</v>
      </c>
      <c r="G89" s="21">
        <v>1.03677102</v>
      </c>
      <c r="H89" s="17" t="s">
        <v>12</v>
      </c>
    </row>
    <row r="90" spans="1:17" x14ac:dyDescent="0.2">
      <c r="A90" s="18"/>
      <c r="B90" s="18"/>
      <c r="C90" s="23"/>
      <c r="D90" s="18"/>
      <c r="E90" s="18"/>
      <c r="F90" s="18"/>
      <c r="G90" s="18"/>
      <c r="H90" s="17" t="s">
        <v>12</v>
      </c>
    </row>
    <row r="91" spans="1:17" x14ac:dyDescent="0.2">
      <c r="A91" s="18"/>
      <c r="B91" s="18"/>
      <c r="C91" s="19" t="s">
        <v>97</v>
      </c>
      <c r="D91" s="18"/>
      <c r="E91" s="18"/>
      <c r="F91" s="18"/>
      <c r="G91" s="18"/>
      <c r="H91" s="17" t="s">
        <v>12</v>
      </c>
    </row>
    <row r="92" spans="1:17" x14ac:dyDescent="0.2">
      <c r="A92" s="18"/>
      <c r="B92" s="18"/>
      <c r="C92" s="19" t="s">
        <v>98</v>
      </c>
      <c r="D92" s="18"/>
      <c r="E92" s="18"/>
      <c r="F92" s="18"/>
      <c r="G92" s="18"/>
      <c r="H92" s="17" t="s">
        <v>12</v>
      </c>
    </row>
    <row r="93" spans="1:17" x14ac:dyDescent="0.2">
      <c r="A93" s="18"/>
      <c r="B93" s="18"/>
      <c r="C93" s="19" t="s">
        <v>11</v>
      </c>
      <c r="D93" s="18"/>
      <c r="E93" s="18" t="s">
        <v>12</v>
      </c>
      <c r="F93" s="20" t="s">
        <v>13</v>
      </c>
      <c r="G93" s="21">
        <v>0</v>
      </c>
      <c r="H93" s="17" t="s">
        <v>12</v>
      </c>
    </row>
    <row r="94" spans="1:17" x14ac:dyDescent="0.2">
      <c r="A94" s="70"/>
      <c r="B94" s="70"/>
      <c r="C94" s="71"/>
      <c r="D94" s="70"/>
      <c r="E94" s="70"/>
      <c r="F94" s="72"/>
      <c r="G94" s="72"/>
      <c r="H94" s="68" t="s">
        <v>12</v>
      </c>
    </row>
    <row r="95" spans="1:17" x14ac:dyDescent="0.2">
      <c r="A95" s="70"/>
      <c r="B95" s="70"/>
      <c r="C95" s="73" t="s">
        <v>538</v>
      </c>
      <c r="D95" s="70"/>
      <c r="E95" s="70"/>
      <c r="F95" s="72"/>
      <c r="G95" s="72"/>
      <c r="H95" s="66"/>
      <c r="K95" s="50"/>
      <c r="L95" s="50"/>
      <c r="M95" s="50"/>
      <c r="N95" s="50"/>
      <c r="O95" s="74"/>
      <c r="P95" s="74"/>
      <c r="Q95" s="74"/>
    </row>
    <row r="96" spans="1:17" ht="25.5" x14ac:dyDescent="0.2">
      <c r="A96" s="63">
        <v>1</v>
      </c>
      <c r="B96" s="64" t="s">
        <v>99</v>
      </c>
      <c r="C96" s="64" t="s">
        <v>100</v>
      </c>
      <c r="D96" s="64"/>
      <c r="E96" s="75">
        <v>1363.741</v>
      </c>
      <c r="F96" s="66">
        <v>149.21132269500001</v>
      </c>
      <c r="G96" s="67">
        <v>2.5234699999999999E-3</v>
      </c>
      <c r="H96" s="68"/>
    </row>
    <row r="97" spans="1:8" x14ac:dyDescent="0.2">
      <c r="A97" s="70"/>
      <c r="B97" s="70"/>
      <c r="C97" s="73" t="s">
        <v>11</v>
      </c>
      <c r="D97" s="70"/>
      <c r="E97" s="70" t="s">
        <v>12</v>
      </c>
      <c r="F97" s="76">
        <f>SUM(F96)</f>
        <v>149.21132269500001</v>
      </c>
      <c r="G97" s="77">
        <f>SUM(G96)</f>
        <v>2.5234699999999999E-3</v>
      </c>
      <c r="H97" s="68" t="s">
        <v>12</v>
      </c>
    </row>
    <row r="98" spans="1:8" x14ac:dyDescent="0.2">
      <c r="A98" s="18"/>
      <c r="B98" s="18"/>
      <c r="C98" s="22"/>
      <c r="D98" s="18"/>
      <c r="E98" s="18"/>
      <c r="F98" s="23"/>
      <c r="G98" s="23"/>
      <c r="H98" s="17" t="s">
        <v>12</v>
      </c>
    </row>
    <row r="99" spans="1:8" x14ac:dyDescent="0.2">
      <c r="A99" s="18"/>
      <c r="B99" s="18"/>
      <c r="C99" s="19" t="s">
        <v>101</v>
      </c>
      <c r="D99" s="18"/>
      <c r="E99" s="18"/>
      <c r="F99" s="18"/>
      <c r="G99" s="18"/>
      <c r="H99" s="17" t="s">
        <v>12</v>
      </c>
    </row>
    <row r="100" spans="1:8" x14ac:dyDescent="0.2">
      <c r="A100" s="18"/>
      <c r="B100" s="18"/>
      <c r="C100" s="19" t="s">
        <v>102</v>
      </c>
      <c r="D100" s="18"/>
      <c r="E100" s="18"/>
      <c r="F100" s="18"/>
      <c r="G100" s="18"/>
      <c r="H100" s="17" t="s">
        <v>12</v>
      </c>
    </row>
    <row r="101" spans="1:8" x14ac:dyDescent="0.2">
      <c r="A101" s="18"/>
      <c r="B101" s="18"/>
      <c r="C101" s="19" t="s">
        <v>11</v>
      </c>
      <c r="D101" s="18"/>
      <c r="E101" s="18" t="s">
        <v>12</v>
      </c>
      <c r="F101" s="20" t="s">
        <v>13</v>
      </c>
      <c r="G101" s="21">
        <v>0</v>
      </c>
      <c r="H101" s="17" t="s">
        <v>12</v>
      </c>
    </row>
    <row r="102" spans="1:8" x14ac:dyDescent="0.2">
      <c r="A102" s="18"/>
      <c r="B102" s="18"/>
      <c r="C102" s="22"/>
      <c r="D102" s="18"/>
      <c r="E102" s="18"/>
      <c r="F102" s="23"/>
      <c r="G102" s="23"/>
      <c r="H102" s="17" t="s">
        <v>12</v>
      </c>
    </row>
    <row r="103" spans="1:8" x14ac:dyDescent="0.2">
      <c r="A103" s="18"/>
      <c r="B103" s="18"/>
      <c r="C103" s="19" t="s">
        <v>103</v>
      </c>
      <c r="D103" s="18"/>
      <c r="E103" s="18"/>
      <c r="F103" s="23"/>
      <c r="G103" s="23"/>
      <c r="H103" s="17" t="s">
        <v>12</v>
      </c>
    </row>
    <row r="104" spans="1:8" x14ac:dyDescent="0.2">
      <c r="A104" s="18"/>
      <c r="B104" s="18"/>
      <c r="C104" s="19" t="s">
        <v>11</v>
      </c>
      <c r="D104" s="18"/>
      <c r="E104" s="18" t="s">
        <v>12</v>
      </c>
      <c r="F104" s="20" t="s">
        <v>13</v>
      </c>
      <c r="G104" s="21">
        <v>0</v>
      </c>
      <c r="H104" s="17" t="s">
        <v>12</v>
      </c>
    </row>
    <row r="105" spans="1:8" x14ac:dyDescent="0.2">
      <c r="A105" s="18"/>
      <c r="B105" s="18"/>
      <c r="C105" s="22"/>
      <c r="D105" s="18"/>
      <c r="E105" s="18"/>
      <c r="F105" s="23"/>
      <c r="G105" s="23"/>
      <c r="H105" s="17" t="s">
        <v>12</v>
      </c>
    </row>
    <row r="106" spans="1:8" x14ac:dyDescent="0.2">
      <c r="A106" s="30"/>
      <c r="B106" s="26"/>
      <c r="C106" s="26" t="s">
        <v>104</v>
      </c>
      <c r="D106" s="26"/>
      <c r="E106" s="30"/>
      <c r="F106" s="28">
        <v>-2323.4592788999998</v>
      </c>
      <c r="G106" s="29">
        <v>-3.9294460000000003E-2</v>
      </c>
      <c r="H106" s="17" t="s">
        <v>12</v>
      </c>
    </row>
    <row r="107" spans="1:8" x14ac:dyDescent="0.2">
      <c r="A107" s="22"/>
      <c r="B107" s="22"/>
      <c r="C107" s="19" t="s">
        <v>105</v>
      </c>
      <c r="D107" s="23"/>
      <c r="E107" s="23"/>
      <c r="F107" s="24">
        <v>59129.437952394997</v>
      </c>
      <c r="G107" s="31">
        <v>1.00000003</v>
      </c>
      <c r="H107" s="17" t="s">
        <v>12</v>
      </c>
    </row>
    <row r="108" spans="1:8" x14ac:dyDescent="0.2">
      <c r="A108" s="32"/>
      <c r="B108" s="32"/>
      <c r="C108" s="32"/>
      <c r="D108" s="33"/>
      <c r="E108" s="33"/>
      <c r="F108" s="33"/>
      <c r="G108" s="33"/>
    </row>
    <row r="109" spans="1:8" x14ac:dyDescent="0.2">
      <c r="A109" s="34"/>
      <c r="B109" s="151" t="s">
        <v>539</v>
      </c>
      <c r="C109" s="151"/>
      <c r="D109" s="151"/>
      <c r="E109" s="151"/>
      <c r="F109" s="151"/>
      <c r="G109" s="151"/>
      <c r="H109" s="151"/>
    </row>
    <row r="110" spans="1:8" x14ac:dyDescent="0.2">
      <c r="A110" s="34"/>
      <c r="B110" s="151" t="s">
        <v>540</v>
      </c>
      <c r="C110" s="151"/>
      <c r="D110" s="151"/>
      <c r="E110" s="151"/>
      <c r="F110" s="151"/>
      <c r="G110" s="151"/>
      <c r="H110" s="151"/>
    </row>
    <row r="111" spans="1:8" x14ac:dyDescent="0.2">
      <c r="A111" s="34"/>
      <c r="B111" s="151" t="s">
        <v>541</v>
      </c>
      <c r="C111" s="151"/>
      <c r="D111" s="151"/>
      <c r="E111" s="151"/>
      <c r="F111" s="151"/>
      <c r="G111" s="151"/>
      <c r="H111" s="151"/>
    </row>
    <row r="112" spans="1:8" x14ac:dyDescent="0.2">
      <c r="A112" s="34"/>
      <c r="B112" s="170" t="s">
        <v>563</v>
      </c>
      <c r="C112" s="151"/>
      <c r="D112" s="151"/>
      <c r="E112" s="151"/>
      <c r="F112" s="151"/>
      <c r="G112" s="151"/>
      <c r="H112" s="151"/>
    </row>
    <row r="113" spans="1:7" x14ac:dyDescent="0.2">
      <c r="A113" s="36"/>
      <c r="B113" s="36"/>
      <c r="C113" s="36"/>
      <c r="D113" s="37"/>
      <c r="E113" s="37"/>
      <c r="F113" s="37"/>
      <c r="G113" s="37"/>
    </row>
    <row r="114" spans="1:7" x14ac:dyDescent="0.2">
      <c r="A114" s="36"/>
      <c r="B114" s="154" t="s">
        <v>106</v>
      </c>
      <c r="C114" s="155"/>
      <c r="D114" s="156"/>
      <c r="E114" s="38"/>
      <c r="F114" s="37"/>
      <c r="G114" s="37"/>
    </row>
    <row r="115" spans="1:7" x14ac:dyDescent="0.2">
      <c r="A115" s="36"/>
      <c r="B115" s="157" t="s">
        <v>107</v>
      </c>
      <c r="C115" s="158"/>
      <c r="D115" s="19" t="s">
        <v>108</v>
      </c>
      <c r="E115" s="38"/>
      <c r="F115" s="37"/>
      <c r="G115" s="37"/>
    </row>
    <row r="116" spans="1:7" x14ac:dyDescent="0.2">
      <c r="A116" s="36"/>
      <c r="B116" s="157" t="s">
        <v>109</v>
      </c>
      <c r="C116" s="158"/>
      <c r="D116" s="19" t="s">
        <v>108</v>
      </c>
      <c r="E116" s="38"/>
      <c r="F116" s="37"/>
      <c r="G116" s="37"/>
    </row>
    <row r="117" spans="1:7" x14ac:dyDescent="0.2">
      <c r="A117" s="36"/>
      <c r="B117" s="157" t="s">
        <v>110</v>
      </c>
      <c r="C117" s="158"/>
      <c r="D117" s="23" t="s">
        <v>12</v>
      </c>
      <c r="E117" s="38"/>
      <c r="F117" s="37"/>
      <c r="G117" s="37"/>
    </row>
    <row r="118" spans="1:7" x14ac:dyDescent="0.2">
      <c r="A118" s="39"/>
      <c r="B118" s="40" t="s">
        <v>12</v>
      </c>
      <c r="C118" s="40" t="s">
        <v>542</v>
      </c>
      <c r="D118" s="40" t="s">
        <v>111</v>
      </c>
      <c r="E118" s="39"/>
      <c r="F118" s="39"/>
      <c r="G118" s="39"/>
    </row>
    <row r="119" spans="1:7" x14ac:dyDescent="0.2">
      <c r="A119" s="39"/>
      <c r="B119" s="41" t="s">
        <v>112</v>
      </c>
      <c r="C119" s="42">
        <v>45688</v>
      </c>
      <c r="D119" s="42">
        <v>45703</v>
      </c>
      <c r="E119" s="39"/>
      <c r="F119" s="39"/>
      <c r="G119" s="39"/>
    </row>
    <row r="120" spans="1:7" x14ac:dyDescent="0.2">
      <c r="A120" s="43"/>
      <c r="B120" s="26" t="s">
        <v>113</v>
      </c>
      <c r="C120" s="44">
        <v>14.589499999999999</v>
      </c>
      <c r="D120" s="44">
        <v>14.6347</v>
      </c>
      <c r="E120" s="43"/>
      <c r="F120" s="45"/>
      <c r="G120" s="46"/>
    </row>
    <row r="121" spans="1:7" ht="25.5" x14ac:dyDescent="0.2">
      <c r="A121" s="43"/>
      <c r="B121" s="26" t="s">
        <v>663</v>
      </c>
      <c r="C121" s="44">
        <v>11.1828</v>
      </c>
      <c r="D121" s="44">
        <v>11.217499999999999</v>
      </c>
      <c r="E121" s="43"/>
      <c r="F121" s="45"/>
      <c r="G121" s="46"/>
    </row>
    <row r="122" spans="1:7" ht="25.5" x14ac:dyDescent="0.2">
      <c r="A122" s="43"/>
      <c r="B122" s="26" t="s">
        <v>664</v>
      </c>
      <c r="C122" s="44">
        <v>12.554500000000001</v>
      </c>
      <c r="D122" s="44">
        <v>12.593400000000001</v>
      </c>
      <c r="E122" s="43"/>
      <c r="F122" s="45"/>
      <c r="G122" s="46"/>
    </row>
    <row r="123" spans="1:7" x14ac:dyDescent="0.2">
      <c r="A123" s="43"/>
      <c r="B123" s="26" t="s">
        <v>114</v>
      </c>
      <c r="C123" s="44">
        <v>14.5044</v>
      </c>
      <c r="D123" s="44">
        <v>14.5473</v>
      </c>
      <c r="E123" s="43"/>
      <c r="F123" s="45"/>
      <c r="G123" s="46"/>
    </row>
    <row r="124" spans="1:7" ht="25.5" x14ac:dyDescent="0.2">
      <c r="A124" s="43"/>
      <c r="B124" s="26" t="s">
        <v>667</v>
      </c>
      <c r="C124" s="44">
        <v>11.1617</v>
      </c>
      <c r="D124" s="44">
        <v>11.194699999999999</v>
      </c>
      <c r="E124" s="43"/>
      <c r="F124" s="45"/>
      <c r="G124" s="46"/>
    </row>
    <row r="125" spans="1:7" ht="25.5" x14ac:dyDescent="0.2">
      <c r="A125" s="43"/>
      <c r="B125" s="26" t="s">
        <v>668</v>
      </c>
      <c r="C125" s="44">
        <v>12.4796</v>
      </c>
      <c r="D125" s="44">
        <v>12.516400000000001</v>
      </c>
      <c r="E125" s="43"/>
      <c r="F125" s="45"/>
      <c r="G125" s="46"/>
    </row>
    <row r="126" spans="1:7" x14ac:dyDescent="0.2">
      <c r="A126" s="43"/>
      <c r="B126" s="43"/>
      <c r="C126" s="43"/>
      <c r="D126" s="43"/>
      <c r="E126" s="43"/>
      <c r="F126" s="43"/>
      <c r="G126" s="43"/>
    </row>
    <row r="127" spans="1:7" x14ac:dyDescent="0.2">
      <c r="A127" s="43"/>
      <c r="B127" s="157" t="s">
        <v>643</v>
      </c>
      <c r="C127" s="158"/>
      <c r="D127" s="73" t="s">
        <v>108</v>
      </c>
      <c r="E127" s="43"/>
      <c r="F127" s="43"/>
      <c r="G127" s="43"/>
    </row>
    <row r="128" spans="1:7" x14ac:dyDescent="0.2">
      <c r="A128" s="43"/>
      <c r="B128" s="48"/>
      <c r="C128" s="48"/>
      <c r="D128" s="48"/>
      <c r="E128" s="43"/>
      <c r="F128" s="43"/>
      <c r="G128" s="43"/>
    </row>
    <row r="129" spans="1:16" ht="29.25" customHeight="1" x14ac:dyDescent="0.2">
      <c r="A129" s="39"/>
      <c r="B129" s="159" t="s">
        <v>115</v>
      </c>
      <c r="C129" s="160"/>
      <c r="D129" s="73" t="s">
        <v>108</v>
      </c>
      <c r="E129" s="49"/>
      <c r="F129" s="39"/>
      <c r="G129" s="39"/>
    </row>
    <row r="130" spans="1:16" ht="25.5" customHeight="1" x14ac:dyDescent="0.2">
      <c r="A130" s="39"/>
      <c r="B130" s="159" t="s">
        <v>116</v>
      </c>
      <c r="C130" s="160"/>
      <c r="D130" s="73" t="s">
        <v>108</v>
      </c>
      <c r="E130" s="49"/>
      <c r="F130" s="39"/>
      <c r="G130" s="39"/>
    </row>
    <row r="131" spans="1:16" ht="26.25" customHeight="1" x14ac:dyDescent="0.2">
      <c r="A131" s="39"/>
      <c r="B131" s="159" t="s">
        <v>543</v>
      </c>
      <c r="C131" s="160"/>
      <c r="D131" s="73" t="s">
        <v>108</v>
      </c>
      <c r="E131" s="49"/>
      <c r="F131" s="39"/>
      <c r="G131" s="39"/>
    </row>
    <row r="132" spans="1:16" x14ac:dyDescent="0.2">
      <c r="A132" s="48"/>
      <c r="B132" s="48"/>
      <c r="C132" s="48"/>
      <c r="D132" s="48"/>
      <c r="E132" s="48"/>
      <c r="F132" s="48"/>
      <c r="G132" s="48"/>
    </row>
    <row r="133" spans="1:16" s="51" customFormat="1" x14ac:dyDescent="0.2">
      <c r="B133" s="161" t="s">
        <v>544</v>
      </c>
      <c r="C133" s="162"/>
      <c r="D133" s="163"/>
      <c r="I133"/>
      <c r="J133" s="50"/>
      <c r="K133" s="50"/>
      <c r="L133" s="50"/>
      <c r="M133" s="50"/>
      <c r="N133" s="52"/>
    </row>
    <row r="134" spans="1:16" s="51" customFormat="1" ht="51" x14ac:dyDescent="0.2">
      <c r="B134" s="168" t="s">
        <v>545</v>
      </c>
      <c r="C134" s="169"/>
      <c r="D134" s="53" t="s">
        <v>140</v>
      </c>
      <c r="I134"/>
      <c r="J134" s="50"/>
      <c r="K134" s="50"/>
      <c r="L134" s="50"/>
      <c r="M134" s="50"/>
      <c r="N134" s="52"/>
    </row>
    <row r="135" spans="1:16" s="51" customFormat="1" x14ac:dyDescent="0.2">
      <c r="B135" s="165" t="s">
        <v>546</v>
      </c>
      <c r="C135" s="166"/>
      <c r="D135" s="54"/>
      <c r="I135"/>
      <c r="J135" s="50"/>
      <c r="K135" s="50"/>
      <c r="L135" s="50"/>
      <c r="M135" s="50"/>
      <c r="N135" s="52"/>
    </row>
    <row r="136" spans="1:16" s="51" customFormat="1" x14ac:dyDescent="0.2">
      <c r="B136" s="165"/>
      <c r="C136" s="166"/>
      <c r="D136" s="55"/>
      <c r="I136"/>
      <c r="J136" s="50"/>
      <c r="K136" s="50"/>
      <c r="L136" s="50"/>
      <c r="M136" s="50"/>
      <c r="N136" s="52"/>
    </row>
    <row r="137" spans="1:16" s="51" customFormat="1" x14ac:dyDescent="0.2">
      <c r="B137" s="165" t="s">
        <v>547</v>
      </c>
      <c r="C137" s="171"/>
      <c r="D137" s="108">
        <v>7.3320850201655894</v>
      </c>
      <c r="I137"/>
      <c r="J137" s="50"/>
      <c r="K137" s="50"/>
      <c r="L137" s="50"/>
      <c r="M137" s="50"/>
      <c r="N137" s="52"/>
    </row>
    <row r="138" spans="1:16" s="51" customFormat="1" x14ac:dyDescent="0.2">
      <c r="B138" s="165"/>
      <c r="C138" s="166"/>
      <c r="D138" s="55"/>
      <c r="I138"/>
      <c r="J138" s="50"/>
      <c r="K138" s="50"/>
      <c r="L138" s="50"/>
      <c r="M138" s="50"/>
      <c r="N138" s="52"/>
    </row>
    <row r="139" spans="1:16" s="51" customFormat="1" x14ac:dyDescent="0.2">
      <c r="B139" s="165" t="s">
        <v>548</v>
      </c>
      <c r="C139" s="171"/>
      <c r="D139" s="108">
        <v>0.47437751861589128</v>
      </c>
      <c r="I139"/>
      <c r="J139" s="50"/>
      <c r="K139" s="50"/>
      <c r="L139" s="50"/>
      <c r="M139" s="50"/>
      <c r="N139" s="52"/>
    </row>
    <row r="140" spans="1:16" s="51" customFormat="1" x14ac:dyDescent="0.2">
      <c r="B140" s="165" t="s">
        <v>549</v>
      </c>
      <c r="C140" s="171"/>
      <c r="D140" s="108">
        <v>0.47437751861589128</v>
      </c>
      <c r="I140"/>
      <c r="J140" s="50"/>
      <c r="K140" s="50"/>
      <c r="L140" s="50"/>
      <c r="M140" s="50"/>
      <c r="N140" s="52"/>
    </row>
    <row r="141" spans="1:16" s="51" customFormat="1" x14ac:dyDescent="0.2">
      <c r="B141" s="165"/>
      <c r="C141" s="166"/>
      <c r="D141" s="55"/>
      <c r="I141"/>
      <c r="J141" s="50"/>
      <c r="K141" s="50"/>
      <c r="L141" s="50"/>
      <c r="M141" s="50"/>
      <c r="N141" s="52"/>
    </row>
    <row r="142" spans="1:16" s="51" customFormat="1" ht="25.5" x14ac:dyDescent="0.2">
      <c r="B142" s="153" t="s">
        <v>550</v>
      </c>
      <c r="C142" s="153"/>
      <c r="D142" s="109" t="s">
        <v>657</v>
      </c>
      <c r="I142"/>
      <c r="J142" s="50"/>
      <c r="K142" s="50"/>
      <c r="L142" s="50"/>
      <c r="M142" s="50"/>
      <c r="N142" s="52"/>
    </row>
    <row r="143" spans="1:16" s="51" customFormat="1" x14ac:dyDescent="0.2">
      <c r="B143" s="165" t="s">
        <v>551</v>
      </c>
      <c r="C143" s="167"/>
      <c r="D143" s="166"/>
      <c r="I143"/>
      <c r="J143" s="50"/>
      <c r="K143" s="50"/>
      <c r="L143" s="50"/>
      <c r="M143" s="50"/>
      <c r="N143" s="52"/>
      <c r="O143"/>
      <c r="P143"/>
    </row>
    <row r="145" spans="2:4" x14ac:dyDescent="0.2">
      <c r="B145" s="60" t="s">
        <v>552</v>
      </c>
    </row>
    <row r="147" spans="2:4" ht="153.75" customHeight="1" x14ac:dyDescent="0.2"/>
    <row r="150" spans="2:4" x14ac:dyDescent="0.2">
      <c r="B150" s="61" t="s">
        <v>553</v>
      </c>
      <c r="C150" s="62"/>
      <c r="D150" s="61" t="s">
        <v>554</v>
      </c>
    </row>
    <row r="151" spans="2:4" x14ac:dyDescent="0.2">
      <c r="B151" s="61" t="s">
        <v>564</v>
      </c>
      <c r="D151" s="61" t="s">
        <v>565</v>
      </c>
    </row>
    <row r="152" spans="2:4" ht="165" customHeight="1" x14ac:dyDescent="0.2"/>
  </sheetData>
  <mergeCells count="26">
    <mergeCell ref="B136:C136"/>
    <mergeCell ref="B142:C142"/>
    <mergeCell ref="B143:D143"/>
    <mergeCell ref="B137:C137"/>
    <mergeCell ref="B138:C138"/>
    <mergeCell ref="B139:C139"/>
    <mergeCell ref="B140:C140"/>
    <mergeCell ref="B141:C141"/>
    <mergeCell ref="A1:H1"/>
    <mergeCell ref="A2:H2"/>
    <mergeCell ref="A3:H3"/>
    <mergeCell ref="B109:H109"/>
    <mergeCell ref="B110:H110"/>
    <mergeCell ref="B111:H111"/>
    <mergeCell ref="B134:C134"/>
    <mergeCell ref="B135:C135"/>
    <mergeCell ref="B114:D114"/>
    <mergeCell ref="B115:C115"/>
    <mergeCell ref="B116:C116"/>
    <mergeCell ref="B117:C117"/>
    <mergeCell ref="B127:C127"/>
    <mergeCell ref="B131:C131"/>
    <mergeCell ref="B112:H112"/>
    <mergeCell ref="B129:C129"/>
    <mergeCell ref="B130:C130"/>
    <mergeCell ref="B133:D13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270BA-1470-4166-A17E-09E4BE64A3E1}">
  <sheetPr>
    <outlinePr summaryBelow="0" summaryRight="0"/>
  </sheetPr>
  <dimension ref="A1:T179"/>
  <sheetViews>
    <sheetView showGridLines="0" workbookViewId="0">
      <selection sqref="A1:H1"/>
    </sheetView>
  </sheetViews>
  <sheetFormatPr defaultRowHeight="12.75" x14ac:dyDescent="0.2"/>
  <cols>
    <col min="1" max="1" width="5.85546875" bestFit="1" customWidth="1"/>
    <col min="2" max="2" width="22.28515625" customWidth="1"/>
    <col min="3" max="3" width="39.140625" bestFit="1" customWidth="1"/>
    <col min="4" max="4" width="10.7109375" bestFit="1" customWidth="1"/>
    <col min="5" max="5" width="9.42578125" bestFit="1" customWidth="1"/>
    <col min="6" max="6" width="10.140625" bestFit="1" customWidth="1"/>
    <col min="7" max="7" width="14" bestFit="1" customWidth="1"/>
    <col min="8" max="8" width="9.85546875" bestFit="1" customWidth="1"/>
  </cols>
  <sheetData>
    <row r="1" spans="1:8" ht="15" x14ac:dyDescent="0.2">
      <c r="A1" s="164" t="s">
        <v>0</v>
      </c>
      <c r="B1" s="164"/>
      <c r="C1" s="164"/>
      <c r="D1" s="164"/>
      <c r="E1" s="164"/>
      <c r="F1" s="164"/>
      <c r="G1" s="164"/>
      <c r="H1" s="164"/>
    </row>
    <row r="2" spans="1:8" ht="15" x14ac:dyDescent="0.2">
      <c r="A2" s="164" t="s">
        <v>211</v>
      </c>
      <c r="B2" s="164"/>
      <c r="C2" s="164"/>
      <c r="D2" s="164"/>
      <c r="E2" s="164"/>
      <c r="F2" s="164"/>
      <c r="G2" s="164"/>
      <c r="H2" s="164"/>
    </row>
    <row r="3" spans="1:8" ht="15" x14ac:dyDescent="0.2">
      <c r="A3" s="164" t="s">
        <v>537</v>
      </c>
      <c r="B3" s="164"/>
      <c r="C3" s="164"/>
      <c r="D3" s="164"/>
      <c r="E3" s="164"/>
      <c r="F3" s="164"/>
      <c r="G3" s="164"/>
      <c r="H3" s="164"/>
    </row>
    <row r="4" spans="1:8" s="14" customFormat="1" ht="30" x14ac:dyDescent="0.2">
      <c r="A4" s="12" t="s">
        <v>2</v>
      </c>
      <c r="B4" s="12" t="s">
        <v>3</v>
      </c>
      <c r="C4" s="12" t="s">
        <v>4</v>
      </c>
      <c r="D4" s="12" t="s">
        <v>5</v>
      </c>
      <c r="E4" s="12" t="s">
        <v>6</v>
      </c>
      <c r="F4" s="12" t="s">
        <v>7</v>
      </c>
      <c r="G4" s="12" t="s">
        <v>8</v>
      </c>
      <c r="H4" s="13" t="s">
        <v>536</v>
      </c>
    </row>
    <row r="5" spans="1:8" x14ac:dyDescent="0.2">
      <c r="A5" s="15"/>
      <c r="B5" s="15"/>
      <c r="C5" s="16" t="s">
        <v>9</v>
      </c>
      <c r="D5" s="15"/>
      <c r="E5" s="15"/>
      <c r="F5" s="15"/>
      <c r="G5" s="15"/>
      <c r="H5" s="17" t="s">
        <v>12</v>
      </c>
    </row>
    <row r="6" spans="1:8" x14ac:dyDescent="0.2">
      <c r="A6" s="18"/>
      <c r="B6" s="18"/>
      <c r="C6" s="19" t="s">
        <v>10</v>
      </c>
      <c r="D6" s="18"/>
      <c r="E6" s="18"/>
      <c r="F6" s="18"/>
      <c r="G6" s="18"/>
      <c r="H6" s="17" t="s">
        <v>12</v>
      </c>
    </row>
    <row r="7" spans="1:8" x14ac:dyDescent="0.2">
      <c r="A7" s="18"/>
      <c r="B7" s="18"/>
      <c r="C7" s="19" t="s">
        <v>11</v>
      </c>
      <c r="D7" s="18"/>
      <c r="E7" s="18" t="s">
        <v>12</v>
      </c>
      <c r="F7" s="20" t="s">
        <v>13</v>
      </c>
      <c r="G7" s="21">
        <v>0</v>
      </c>
      <c r="H7" s="17" t="s">
        <v>12</v>
      </c>
    </row>
    <row r="8" spans="1:8" x14ac:dyDescent="0.2">
      <c r="A8" s="18"/>
      <c r="B8" s="18"/>
      <c r="C8" s="22"/>
      <c r="D8" s="18"/>
      <c r="E8" s="18"/>
      <c r="F8" s="23"/>
      <c r="G8" s="23"/>
      <c r="H8" s="17" t="s">
        <v>12</v>
      </c>
    </row>
    <row r="9" spans="1:8" x14ac:dyDescent="0.2">
      <c r="A9" s="18"/>
      <c r="B9" s="18"/>
      <c r="C9" s="19" t="s">
        <v>14</v>
      </c>
      <c r="D9" s="18"/>
      <c r="E9" s="18"/>
      <c r="F9" s="18"/>
      <c r="G9" s="18"/>
      <c r="H9" s="17" t="s">
        <v>12</v>
      </c>
    </row>
    <row r="10" spans="1:8" x14ac:dyDescent="0.2">
      <c r="A10" s="18"/>
      <c r="B10" s="18"/>
      <c r="C10" s="19" t="s">
        <v>11</v>
      </c>
      <c r="D10" s="18"/>
      <c r="E10" s="18" t="s">
        <v>12</v>
      </c>
      <c r="F10" s="20" t="s">
        <v>13</v>
      </c>
      <c r="G10" s="21">
        <v>0</v>
      </c>
      <c r="H10" s="17" t="s">
        <v>12</v>
      </c>
    </row>
    <row r="11" spans="1:8" x14ac:dyDescent="0.2">
      <c r="A11" s="18"/>
      <c r="B11" s="18"/>
      <c r="C11" s="22"/>
      <c r="D11" s="18"/>
      <c r="E11" s="18"/>
      <c r="F11" s="23"/>
      <c r="G11" s="23"/>
      <c r="H11" s="17" t="s">
        <v>12</v>
      </c>
    </row>
    <row r="12" spans="1:8" x14ac:dyDescent="0.2">
      <c r="A12" s="18"/>
      <c r="B12" s="18"/>
      <c r="C12" s="19" t="s">
        <v>15</v>
      </c>
      <c r="D12" s="18"/>
      <c r="E12" s="18"/>
      <c r="F12" s="18"/>
      <c r="G12" s="18"/>
      <c r="H12" s="17" t="s">
        <v>12</v>
      </c>
    </row>
    <row r="13" spans="1:8" x14ac:dyDescent="0.2">
      <c r="A13" s="18"/>
      <c r="B13" s="18"/>
      <c r="C13" s="19" t="s">
        <v>11</v>
      </c>
      <c r="D13" s="18"/>
      <c r="E13" s="18" t="s">
        <v>12</v>
      </c>
      <c r="F13" s="20" t="s">
        <v>13</v>
      </c>
      <c r="G13" s="21">
        <v>0</v>
      </c>
      <c r="H13" s="17" t="s">
        <v>12</v>
      </c>
    </row>
    <row r="14" spans="1:8" x14ac:dyDescent="0.2">
      <c r="A14" s="18"/>
      <c r="B14" s="18"/>
      <c r="C14" s="22"/>
      <c r="D14" s="18"/>
      <c r="E14" s="18"/>
      <c r="F14" s="23"/>
      <c r="G14" s="23"/>
      <c r="H14" s="17" t="s">
        <v>12</v>
      </c>
    </row>
    <row r="15" spans="1:8" x14ac:dyDescent="0.2">
      <c r="A15" s="18"/>
      <c r="B15" s="18"/>
      <c r="C15" s="19" t="s">
        <v>16</v>
      </c>
      <c r="D15" s="18"/>
      <c r="E15" s="18"/>
      <c r="F15" s="18"/>
      <c r="G15" s="18"/>
      <c r="H15" s="17" t="s">
        <v>12</v>
      </c>
    </row>
    <row r="16" spans="1:8"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ht="25.5" x14ac:dyDescent="0.2">
      <c r="A28" s="25">
        <v>1</v>
      </c>
      <c r="B28" s="26" t="s">
        <v>212</v>
      </c>
      <c r="C28" s="26" t="s">
        <v>213</v>
      </c>
      <c r="D28" s="26" t="s">
        <v>23</v>
      </c>
      <c r="E28" s="27">
        <v>250</v>
      </c>
      <c r="F28" s="28">
        <v>2495.02</v>
      </c>
      <c r="G28" s="29">
        <v>6.5981600000000001E-2</v>
      </c>
      <c r="H28" s="17">
        <v>7.55</v>
      </c>
    </row>
    <row r="29" spans="1:8" x14ac:dyDescent="0.2">
      <c r="A29" s="25">
        <v>2</v>
      </c>
      <c r="B29" s="26" t="s">
        <v>214</v>
      </c>
      <c r="C29" s="26" t="s">
        <v>215</v>
      </c>
      <c r="D29" s="26" t="s">
        <v>216</v>
      </c>
      <c r="E29" s="27">
        <v>1500</v>
      </c>
      <c r="F29" s="28">
        <v>1508.4645</v>
      </c>
      <c r="G29" s="29">
        <v>3.9891830000000003E-2</v>
      </c>
      <c r="H29" s="17">
        <v>8.0046999999999997</v>
      </c>
    </row>
    <row r="30" spans="1:8" x14ac:dyDescent="0.2">
      <c r="A30" s="25">
        <v>3</v>
      </c>
      <c r="B30" s="26" t="s">
        <v>217</v>
      </c>
      <c r="C30" s="26" t="s">
        <v>218</v>
      </c>
      <c r="D30" s="26" t="s">
        <v>219</v>
      </c>
      <c r="E30" s="27">
        <v>1500</v>
      </c>
      <c r="F30" s="28">
        <v>1505.748</v>
      </c>
      <c r="G30" s="29">
        <v>3.981999E-2</v>
      </c>
      <c r="H30" s="17">
        <v>8.8000000000000007</v>
      </c>
    </row>
    <row r="31" spans="1:8" x14ac:dyDescent="0.2">
      <c r="A31" s="25">
        <v>4</v>
      </c>
      <c r="B31" s="26" t="s">
        <v>220</v>
      </c>
      <c r="C31" s="26" t="s">
        <v>221</v>
      </c>
      <c r="D31" s="26" t="s">
        <v>23</v>
      </c>
      <c r="E31" s="27">
        <v>1500</v>
      </c>
      <c r="F31" s="28">
        <v>1498.1849999999999</v>
      </c>
      <c r="G31" s="29">
        <v>3.9619979999999999E-2</v>
      </c>
      <c r="H31" s="17">
        <v>7.6050000000000004</v>
      </c>
    </row>
    <row r="32" spans="1:8" ht="25.5" x14ac:dyDescent="0.2">
      <c r="A32" s="25">
        <v>5</v>
      </c>
      <c r="B32" s="26" t="s">
        <v>222</v>
      </c>
      <c r="C32" s="26" t="s">
        <v>223</v>
      </c>
      <c r="D32" s="26" t="s">
        <v>23</v>
      </c>
      <c r="E32" s="27">
        <v>140</v>
      </c>
      <c r="F32" s="28">
        <v>1383.0516</v>
      </c>
      <c r="G32" s="29">
        <v>3.6575240000000002E-2</v>
      </c>
      <c r="H32" s="17">
        <v>7.81</v>
      </c>
    </row>
    <row r="33" spans="1:8" x14ac:dyDescent="0.2">
      <c r="A33" s="25">
        <v>6</v>
      </c>
      <c r="B33" s="26" t="s">
        <v>224</v>
      </c>
      <c r="C33" s="26" t="s">
        <v>225</v>
      </c>
      <c r="D33" s="26" t="s">
        <v>219</v>
      </c>
      <c r="E33" s="27">
        <v>1200</v>
      </c>
      <c r="F33" s="28">
        <v>1202.9412</v>
      </c>
      <c r="G33" s="29">
        <v>3.1812170000000001E-2</v>
      </c>
      <c r="H33" s="17">
        <v>8.42</v>
      </c>
    </row>
    <row r="34" spans="1:8" ht="25.5" x14ac:dyDescent="0.2">
      <c r="A34" s="25">
        <v>7</v>
      </c>
      <c r="B34" s="26" t="s">
        <v>67</v>
      </c>
      <c r="C34" s="26" t="s">
        <v>68</v>
      </c>
      <c r="D34" s="26" t="s">
        <v>23</v>
      </c>
      <c r="E34" s="27">
        <v>1000</v>
      </c>
      <c r="F34" s="28">
        <v>1004.616</v>
      </c>
      <c r="G34" s="29">
        <v>2.656739E-2</v>
      </c>
      <c r="H34" s="17">
        <v>7.4820000000000002</v>
      </c>
    </row>
    <row r="35" spans="1:8" ht="25.5" x14ac:dyDescent="0.2">
      <c r="A35" s="25">
        <v>8</v>
      </c>
      <c r="B35" s="26" t="s">
        <v>226</v>
      </c>
      <c r="C35" s="26" t="s">
        <v>227</v>
      </c>
      <c r="D35" s="26" t="s">
        <v>216</v>
      </c>
      <c r="E35" s="27">
        <v>1000</v>
      </c>
      <c r="F35" s="28">
        <v>1001.088</v>
      </c>
      <c r="G35" s="29">
        <v>2.6474089999999999E-2</v>
      </c>
      <c r="H35" s="17">
        <v>8.09</v>
      </c>
    </row>
    <row r="36" spans="1:8" x14ac:dyDescent="0.2">
      <c r="A36" s="25">
        <v>9</v>
      </c>
      <c r="B36" s="26" t="s">
        <v>228</v>
      </c>
      <c r="C36" s="26" t="s">
        <v>229</v>
      </c>
      <c r="D36" s="26" t="s">
        <v>23</v>
      </c>
      <c r="E36" s="27">
        <v>1000</v>
      </c>
      <c r="F36" s="28">
        <v>999.78599999999994</v>
      </c>
      <c r="G36" s="29">
        <v>2.643966E-2</v>
      </c>
      <c r="H36" s="17">
        <v>7.6050000000000004</v>
      </c>
    </row>
    <row r="37" spans="1:8" ht="25.5" x14ac:dyDescent="0.2">
      <c r="A37" s="25">
        <v>10</v>
      </c>
      <c r="B37" s="26" t="s">
        <v>230</v>
      </c>
      <c r="C37" s="26" t="s">
        <v>231</v>
      </c>
      <c r="D37" s="26" t="s">
        <v>232</v>
      </c>
      <c r="E37" s="27">
        <v>1000</v>
      </c>
      <c r="F37" s="28">
        <v>999.10199999999998</v>
      </c>
      <c r="G37" s="29">
        <v>2.6421569999999998E-2</v>
      </c>
      <c r="H37" s="17">
        <v>9.2925000000000004</v>
      </c>
    </row>
    <row r="38" spans="1:8" x14ac:dyDescent="0.2">
      <c r="A38" s="25">
        <v>11</v>
      </c>
      <c r="B38" s="26" t="s">
        <v>233</v>
      </c>
      <c r="C38" s="26" t="s">
        <v>234</v>
      </c>
      <c r="D38" s="26" t="s">
        <v>219</v>
      </c>
      <c r="E38" s="27">
        <v>100</v>
      </c>
      <c r="F38" s="28">
        <v>997.98699999999997</v>
      </c>
      <c r="G38" s="29">
        <v>2.639209E-2</v>
      </c>
      <c r="H38" s="17">
        <v>8.4649999999999999</v>
      </c>
    </row>
    <row r="39" spans="1:8" ht="25.5" x14ac:dyDescent="0.2">
      <c r="A39" s="25">
        <v>12</v>
      </c>
      <c r="B39" s="26" t="s">
        <v>235</v>
      </c>
      <c r="C39" s="26" t="s">
        <v>236</v>
      </c>
      <c r="D39" s="26" t="s">
        <v>23</v>
      </c>
      <c r="E39" s="27">
        <v>100</v>
      </c>
      <c r="F39" s="28">
        <v>997.37900000000002</v>
      </c>
      <c r="G39" s="29">
        <v>2.6376009999999998E-2</v>
      </c>
      <c r="H39" s="17">
        <v>7.6849999999999996</v>
      </c>
    </row>
    <row r="40" spans="1:8" ht="25.5" x14ac:dyDescent="0.2">
      <c r="A40" s="25">
        <v>13</v>
      </c>
      <c r="B40" s="26" t="s">
        <v>43</v>
      </c>
      <c r="C40" s="26" t="s">
        <v>44</v>
      </c>
      <c r="D40" s="26" t="s">
        <v>23</v>
      </c>
      <c r="E40" s="27">
        <v>1000</v>
      </c>
      <c r="F40" s="28">
        <v>995.70399999999995</v>
      </c>
      <c r="G40" s="29">
        <v>2.6331710000000001E-2</v>
      </c>
      <c r="H40" s="17">
        <v>7.53</v>
      </c>
    </row>
    <row r="41" spans="1:8" ht="25.5" x14ac:dyDescent="0.2">
      <c r="A41" s="25">
        <v>14</v>
      </c>
      <c r="B41" s="26" t="s">
        <v>63</v>
      </c>
      <c r="C41" s="26" t="s">
        <v>64</v>
      </c>
      <c r="D41" s="26" t="s">
        <v>23</v>
      </c>
      <c r="E41" s="27">
        <v>1000</v>
      </c>
      <c r="F41" s="28">
        <v>995.69600000000003</v>
      </c>
      <c r="G41" s="29">
        <v>2.6331500000000001E-2</v>
      </c>
      <c r="H41" s="17">
        <v>7.6887999999999996</v>
      </c>
    </row>
    <row r="42" spans="1:8" x14ac:dyDescent="0.2">
      <c r="A42" s="25">
        <v>15</v>
      </c>
      <c r="B42" s="26" t="s">
        <v>237</v>
      </c>
      <c r="C42" s="26" t="s">
        <v>238</v>
      </c>
      <c r="D42" s="26" t="s">
        <v>219</v>
      </c>
      <c r="E42" s="27">
        <v>900</v>
      </c>
      <c r="F42" s="28">
        <v>900.95039999999995</v>
      </c>
      <c r="G42" s="29">
        <v>2.382592E-2</v>
      </c>
      <c r="H42" s="17">
        <v>8.2249999999999996</v>
      </c>
    </row>
    <row r="43" spans="1:8" x14ac:dyDescent="0.2">
      <c r="A43" s="25">
        <v>16</v>
      </c>
      <c r="B43" s="26" t="s">
        <v>239</v>
      </c>
      <c r="C43" s="26" t="s">
        <v>240</v>
      </c>
      <c r="D43" s="26" t="s">
        <v>219</v>
      </c>
      <c r="E43" s="27">
        <v>500</v>
      </c>
      <c r="F43" s="28">
        <v>502.05849999999998</v>
      </c>
      <c r="G43" s="29">
        <v>1.32771E-2</v>
      </c>
      <c r="H43" s="17">
        <v>8.5950000000000006</v>
      </c>
    </row>
    <row r="44" spans="1:8" x14ac:dyDescent="0.2">
      <c r="A44" s="25">
        <v>17</v>
      </c>
      <c r="B44" s="26" t="s">
        <v>241</v>
      </c>
      <c r="C44" s="26" t="s">
        <v>242</v>
      </c>
      <c r="D44" s="26" t="s">
        <v>32</v>
      </c>
      <c r="E44" s="27">
        <v>500</v>
      </c>
      <c r="F44" s="28">
        <v>501.06200000000001</v>
      </c>
      <c r="G44" s="29">
        <v>1.325075E-2</v>
      </c>
      <c r="H44" s="17">
        <v>7.4349999999999996</v>
      </c>
    </row>
    <row r="45" spans="1:8" x14ac:dyDescent="0.2">
      <c r="A45" s="25">
        <v>18</v>
      </c>
      <c r="B45" s="26" t="s">
        <v>55</v>
      </c>
      <c r="C45" s="26" t="s">
        <v>56</v>
      </c>
      <c r="D45" s="26" t="s">
        <v>23</v>
      </c>
      <c r="E45" s="27">
        <v>500</v>
      </c>
      <c r="F45" s="28">
        <v>500.80500000000001</v>
      </c>
      <c r="G45" s="29">
        <v>1.3243950000000001E-2</v>
      </c>
      <c r="H45" s="17">
        <v>7.6150000000000002</v>
      </c>
    </row>
    <row r="46" spans="1:8" ht="25.5" x14ac:dyDescent="0.2">
      <c r="A46" s="25">
        <v>19</v>
      </c>
      <c r="B46" s="26" t="s">
        <v>243</v>
      </c>
      <c r="C46" s="26" t="s">
        <v>244</v>
      </c>
      <c r="D46" s="26" t="s">
        <v>245</v>
      </c>
      <c r="E46" s="27">
        <v>50</v>
      </c>
      <c r="F46" s="28">
        <v>500.12150000000003</v>
      </c>
      <c r="G46" s="29">
        <v>1.3225870000000001E-2</v>
      </c>
      <c r="H46" s="17">
        <v>8.25</v>
      </c>
    </row>
    <row r="47" spans="1:8" ht="25.5" x14ac:dyDescent="0.2">
      <c r="A47" s="25">
        <v>20</v>
      </c>
      <c r="B47" s="26" t="s">
        <v>61</v>
      </c>
      <c r="C47" s="26" t="s">
        <v>62</v>
      </c>
      <c r="D47" s="26" t="s">
        <v>23</v>
      </c>
      <c r="E47" s="27">
        <v>500</v>
      </c>
      <c r="F47" s="28">
        <v>499.83150000000001</v>
      </c>
      <c r="G47" s="29">
        <v>1.3218199999999999E-2</v>
      </c>
      <c r="H47" s="17">
        <v>8.1188000000000002</v>
      </c>
    </row>
    <row r="48" spans="1:8" x14ac:dyDescent="0.2">
      <c r="A48" s="25">
        <v>21</v>
      </c>
      <c r="B48" s="26" t="s">
        <v>246</v>
      </c>
      <c r="C48" s="26" t="s">
        <v>247</v>
      </c>
      <c r="D48" s="26" t="s">
        <v>219</v>
      </c>
      <c r="E48" s="27">
        <v>250</v>
      </c>
      <c r="F48" s="28">
        <v>250.59299999999999</v>
      </c>
      <c r="G48" s="29">
        <v>6.62701E-3</v>
      </c>
      <c r="H48" s="17">
        <v>8.5500000000000007</v>
      </c>
    </row>
    <row r="49" spans="1:8" x14ac:dyDescent="0.2">
      <c r="A49" s="18"/>
      <c r="B49" s="18"/>
      <c r="C49" s="19" t="s">
        <v>11</v>
      </c>
      <c r="D49" s="18"/>
      <c r="E49" s="18" t="s">
        <v>12</v>
      </c>
      <c r="F49" s="24">
        <v>21240.190200000001</v>
      </c>
      <c r="G49" s="21">
        <v>0.56170363000000001</v>
      </c>
      <c r="H49" s="17" t="s">
        <v>12</v>
      </c>
    </row>
    <row r="50" spans="1:8" x14ac:dyDescent="0.2">
      <c r="A50" s="18"/>
      <c r="B50" s="18"/>
      <c r="C50" s="22"/>
      <c r="D50" s="18"/>
      <c r="E50" s="18"/>
      <c r="F50" s="23"/>
      <c r="G50" s="23"/>
      <c r="H50" s="17" t="s">
        <v>12</v>
      </c>
    </row>
    <row r="51" spans="1:8" x14ac:dyDescent="0.2">
      <c r="A51" s="18"/>
      <c r="B51" s="18"/>
      <c r="C51" s="19" t="s">
        <v>71</v>
      </c>
      <c r="D51" s="18"/>
      <c r="E51" s="18"/>
      <c r="F51" s="18"/>
      <c r="G51" s="18"/>
      <c r="H51" s="17" t="s">
        <v>12</v>
      </c>
    </row>
    <row r="52" spans="1:8" x14ac:dyDescent="0.2">
      <c r="A52" s="18"/>
      <c r="B52" s="18"/>
      <c r="C52" s="19" t="s">
        <v>11</v>
      </c>
      <c r="D52" s="18"/>
      <c r="E52" s="18" t="s">
        <v>12</v>
      </c>
      <c r="F52" s="20" t="s">
        <v>13</v>
      </c>
      <c r="G52" s="21">
        <v>0</v>
      </c>
      <c r="H52" s="17" t="s">
        <v>12</v>
      </c>
    </row>
    <row r="53" spans="1:8" x14ac:dyDescent="0.2">
      <c r="A53" s="18"/>
      <c r="B53" s="18"/>
      <c r="C53" s="22"/>
      <c r="D53" s="18"/>
      <c r="E53" s="18"/>
      <c r="F53" s="23"/>
      <c r="G53" s="23"/>
      <c r="H53" s="17" t="s">
        <v>12</v>
      </c>
    </row>
    <row r="54" spans="1:8" x14ac:dyDescent="0.2">
      <c r="A54" s="18"/>
      <c r="B54" s="18"/>
      <c r="C54" s="19" t="s">
        <v>72</v>
      </c>
      <c r="D54" s="18"/>
      <c r="E54" s="18"/>
      <c r="F54" s="18"/>
      <c r="G54" s="18"/>
      <c r="H54" s="17" t="s">
        <v>12</v>
      </c>
    </row>
    <row r="55" spans="1:8" ht="25.5" x14ac:dyDescent="0.2">
      <c r="A55" s="25">
        <v>1</v>
      </c>
      <c r="B55" s="26" t="s">
        <v>248</v>
      </c>
      <c r="C55" s="26" t="s">
        <v>249</v>
      </c>
      <c r="D55" s="26" t="s">
        <v>75</v>
      </c>
      <c r="E55" s="27">
        <v>1000000</v>
      </c>
      <c r="F55" s="28">
        <v>1015.931</v>
      </c>
      <c r="G55" s="29">
        <v>2.6866620000000001E-2</v>
      </c>
      <c r="H55" s="17">
        <v>6.7389999999999999</v>
      </c>
    </row>
    <row r="56" spans="1:8" x14ac:dyDescent="0.2">
      <c r="A56" s="25">
        <v>2</v>
      </c>
      <c r="B56" s="26" t="s">
        <v>76</v>
      </c>
      <c r="C56" s="26" t="s">
        <v>77</v>
      </c>
      <c r="D56" s="26" t="s">
        <v>75</v>
      </c>
      <c r="E56" s="27">
        <v>500000</v>
      </c>
      <c r="F56" s="28">
        <v>514.73800000000006</v>
      </c>
      <c r="G56" s="29">
        <v>1.361241E-2</v>
      </c>
      <c r="H56" s="17">
        <v>6.8019999999999996</v>
      </c>
    </row>
    <row r="57" spans="1:8" ht="25.5" x14ac:dyDescent="0.2">
      <c r="A57" s="25">
        <v>3</v>
      </c>
      <c r="B57" s="26" t="s">
        <v>250</v>
      </c>
      <c r="C57" s="26" t="s">
        <v>251</v>
      </c>
      <c r="D57" s="26" t="s">
        <v>75</v>
      </c>
      <c r="E57" s="27">
        <v>400000</v>
      </c>
      <c r="F57" s="28">
        <v>405.62360000000001</v>
      </c>
      <c r="G57" s="29">
        <v>1.072685E-2</v>
      </c>
      <c r="H57" s="17">
        <v>6.7653999999999996</v>
      </c>
    </row>
    <row r="58" spans="1:8" x14ac:dyDescent="0.2">
      <c r="A58" s="18"/>
      <c r="B58" s="18"/>
      <c r="C58" s="19" t="s">
        <v>11</v>
      </c>
      <c r="D58" s="18"/>
      <c r="E58" s="18" t="s">
        <v>12</v>
      </c>
      <c r="F58" s="24">
        <v>1936.2926</v>
      </c>
      <c r="G58" s="21">
        <v>5.1205880000000002E-2</v>
      </c>
      <c r="H58" s="17" t="s">
        <v>12</v>
      </c>
    </row>
    <row r="59" spans="1:8" x14ac:dyDescent="0.2">
      <c r="A59" s="18"/>
      <c r="B59" s="18"/>
      <c r="C59" s="22"/>
      <c r="D59" s="18"/>
      <c r="E59" s="18"/>
      <c r="F59" s="23"/>
      <c r="G59" s="23"/>
      <c r="H59" s="17" t="s">
        <v>12</v>
      </c>
    </row>
    <row r="60" spans="1:8" x14ac:dyDescent="0.2">
      <c r="A60" s="18"/>
      <c r="B60" s="18"/>
      <c r="C60" s="19" t="s">
        <v>88</v>
      </c>
      <c r="D60" s="18"/>
      <c r="E60" s="18"/>
      <c r="F60" s="23"/>
      <c r="G60" s="23"/>
      <c r="H60" s="17" t="s">
        <v>12</v>
      </c>
    </row>
    <row r="61" spans="1:8" x14ac:dyDescent="0.2">
      <c r="A61" s="18"/>
      <c r="B61" s="18"/>
      <c r="C61" s="19" t="s">
        <v>11</v>
      </c>
      <c r="D61" s="18"/>
      <c r="E61" s="18" t="s">
        <v>12</v>
      </c>
      <c r="F61" s="20" t="s">
        <v>13</v>
      </c>
      <c r="G61" s="21">
        <v>0</v>
      </c>
      <c r="H61" s="17" t="s">
        <v>12</v>
      </c>
    </row>
    <row r="62" spans="1:8" x14ac:dyDescent="0.2">
      <c r="A62" s="18"/>
      <c r="B62" s="18"/>
      <c r="C62" s="22"/>
      <c r="D62" s="18"/>
      <c r="E62" s="18"/>
      <c r="F62" s="23"/>
      <c r="G62" s="23"/>
      <c r="H62" s="17" t="s">
        <v>12</v>
      </c>
    </row>
    <row r="63" spans="1:8" x14ac:dyDescent="0.2">
      <c r="A63" s="18"/>
      <c r="B63" s="18"/>
      <c r="C63" s="19" t="s">
        <v>89</v>
      </c>
      <c r="D63" s="18"/>
      <c r="E63" s="18"/>
      <c r="F63" s="24">
        <v>23176.482800000002</v>
      </c>
      <c r="G63" s="21">
        <v>0.61290951000000005</v>
      </c>
      <c r="H63" s="17" t="s">
        <v>12</v>
      </c>
    </row>
    <row r="64" spans="1:8" x14ac:dyDescent="0.2">
      <c r="A64" s="18"/>
      <c r="B64" s="18"/>
      <c r="C64" s="22"/>
      <c r="D64" s="18"/>
      <c r="E64" s="18"/>
      <c r="F64" s="23"/>
      <c r="G64" s="23"/>
      <c r="H64" s="17" t="s">
        <v>12</v>
      </c>
    </row>
    <row r="65" spans="1:8" x14ac:dyDescent="0.2">
      <c r="A65" s="18"/>
      <c r="B65" s="18"/>
      <c r="C65" s="19" t="s">
        <v>90</v>
      </c>
      <c r="D65" s="18"/>
      <c r="E65" s="18"/>
      <c r="F65" s="23"/>
      <c r="G65" s="23"/>
      <c r="H65" s="17" t="s">
        <v>12</v>
      </c>
    </row>
    <row r="66" spans="1:8" x14ac:dyDescent="0.2">
      <c r="A66" s="18"/>
      <c r="B66" s="18"/>
      <c r="C66" s="19" t="s">
        <v>91</v>
      </c>
      <c r="D66" s="18"/>
      <c r="E66" s="18"/>
      <c r="F66" s="23"/>
      <c r="G66" s="23"/>
      <c r="H66" s="17" t="s">
        <v>12</v>
      </c>
    </row>
    <row r="67" spans="1:8" x14ac:dyDescent="0.2">
      <c r="A67" s="25">
        <v>1</v>
      </c>
      <c r="B67" s="26" t="s">
        <v>252</v>
      </c>
      <c r="C67" s="26" t="s">
        <v>253</v>
      </c>
      <c r="D67" s="26" t="s">
        <v>149</v>
      </c>
      <c r="E67" s="27">
        <v>500</v>
      </c>
      <c r="F67" s="28">
        <v>2383.2775000000001</v>
      </c>
      <c r="G67" s="29">
        <v>6.3026540000000006E-2</v>
      </c>
      <c r="H67" s="17">
        <v>7.875</v>
      </c>
    </row>
    <row r="68" spans="1:8" x14ac:dyDescent="0.2">
      <c r="A68" s="25">
        <v>2</v>
      </c>
      <c r="B68" s="26" t="s">
        <v>254</v>
      </c>
      <c r="C68" s="26" t="s">
        <v>255</v>
      </c>
      <c r="D68" s="26" t="s">
        <v>149</v>
      </c>
      <c r="E68" s="27">
        <v>400</v>
      </c>
      <c r="F68" s="28">
        <v>1964.896</v>
      </c>
      <c r="G68" s="29">
        <v>5.1962300000000003E-2</v>
      </c>
      <c r="H68" s="17">
        <v>7.4100999999999999</v>
      </c>
    </row>
    <row r="69" spans="1:8" x14ac:dyDescent="0.2">
      <c r="A69" s="25">
        <v>3</v>
      </c>
      <c r="B69" s="26" t="s">
        <v>181</v>
      </c>
      <c r="C69" s="26" t="s">
        <v>182</v>
      </c>
      <c r="D69" s="26" t="s">
        <v>149</v>
      </c>
      <c r="E69" s="27">
        <v>300</v>
      </c>
      <c r="F69" s="28">
        <v>1416.7515000000001</v>
      </c>
      <c r="G69" s="29">
        <v>3.7466449999999998E-2</v>
      </c>
      <c r="H69" s="17">
        <v>7.7149999999999999</v>
      </c>
    </row>
    <row r="70" spans="1:8" x14ac:dyDescent="0.2">
      <c r="A70" s="25">
        <v>4</v>
      </c>
      <c r="B70" s="26" t="s">
        <v>169</v>
      </c>
      <c r="C70" s="26" t="s">
        <v>170</v>
      </c>
      <c r="D70" s="26" t="s">
        <v>149</v>
      </c>
      <c r="E70" s="27">
        <v>200</v>
      </c>
      <c r="F70" s="28">
        <v>993.99599999999998</v>
      </c>
      <c r="G70" s="29">
        <v>2.6286540000000001E-2</v>
      </c>
      <c r="H70" s="17">
        <v>6.89</v>
      </c>
    </row>
    <row r="71" spans="1:8" x14ac:dyDescent="0.2">
      <c r="A71" s="25">
        <v>5</v>
      </c>
      <c r="B71" s="26" t="s">
        <v>173</v>
      </c>
      <c r="C71" s="26" t="s">
        <v>174</v>
      </c>
      <c r="D71" s="26" t="s">
        <v>149</v>
      </c>
      <c r="E71" s="27">
        <v>200</v>
      </c>
      <c r="F71" s="28">
        <v>980.77</v>
      </c>
      <c r="G71" s="29">
        <v>2.593678E-2</v>
      </c>
      <c r="H71" s="17">
        <v>7.4550000000000001</v>
      </c>
    </row>
    <row r="72" spans="1:8" x14ac:dyDescent="0.2">
      <c r="A72" s="25">
        <v>6</v>
      </c>
      <c r="B72" s="26" t="s">
        <v>256</v>
      </c>
      <c r="C72" s="26" t="s">
        <v>257</v>
      </c>
      <c r="D72" s="26" t="s">
        <v>149</v>
      </c>
      <c r="E72" s="27">
        <v>200</v>
      </c>
      <c r="F72" s="28">
        <v>943.11800000000005</v>
      </c>
      <c r="G72" s="29">
        <v>2.4941060000000001E-2</v>
      </c>
      <c r="H72" s="17">
        <v>7.5650000000000004</v>
      </c>
    </row>
    <row r="73" spans="1:8" x14ac:dyDescent="0.2">
      <c r="A73" s="18"/>
      <c r="B73" s="18"/>
      <c r="C73" s="19" t="s">
        <v>11</v>
      </c>
      <c r="D73" s="18"/>
      <c r="E73" s="18" t="s">
        <v>12</v>
      </c>
      <c r="F73" s="24">
        <v>8682.8089999999993</v>
      </c>
      <c r="G73" s="21">
        <v>0.22961967</v>
      </c>
      <c r="H73" s="17" t="s">
        <v>12</v>
      </c>
    </row>
    <row r="74" spans="1:8" x14ac:dyDescent="0.2">
      <c r="A74" s="18"/>
      <c r="B74" s="18"/>
      <c r="C74" s="22"/>
      <c r="D74" s="18"/>
      <c r="E74" s="18"/>
      <c r="F74" s="23"/>
      <c r="G74" s="23"/>
      <c r="H74" s="17" t="s">
        <v>12</v>
      </c>
    </row>
    <row r="75" spans="1:8" x14ac:dyDescent="0.2">
      <c r="A75" s="18"/>
      <c r="B75" s="18"/>
      <c r="C75" s="19" t="s">
        <v>92</v>
      </c>
      <c r="D75" s="18"/>
      <c r="E75" s="18"/>
      <c r="F75" s="23"/>
      <c r="G75" s="23"/>
      <c r="H75" s="17" t="s">
        <v>12</v>
      </c>
    </row>
    <row r="76" spans="1:8" ht="25.5" x14ac:dyDescent="0.2">
      <c r="A76" s="25">
        <v>1</v>
      </c>
      <c r="B76" s="26" t="s">
        <v>197</v>
      </c>
      <c r="C76" s="26" t="s">
        <v>198</v>
      </c>
      <c r="D76" s="26" t="s">
        <v>149</v>
      </c>
      <c r="E76" s="27">
        <v>200</v>
      </c>
      <c r="F76" s="28">
        <v>973.62599999999998</v>
      </c>
      <c r="G76" s="29">
        <v>2.5747849999999999E-2</v>
      </c>
      <c r="H76" s="17">
        <v>8.1713000000000005</v>
      </c>
    </row>
    <row r="77" spans="1:8" x14ac:dyDescent="0.2">
      <c r="A77" s="18"/>
      <c r="B77" s="18"/>
      <c r="C77" s="19" t="s">
        <v>11</v>
      </c>
      <c r="D77" s="18"/>
      <c r="E77" s="18" t="s">
        <v>12</v>
      </c>
      <c r="F77" s="24">
        <v>973.62599999999998</v>
      </c>
      <c r="G77" s="21">
        <v>2.5747849999999999E-2</v>
      </c>
      <c r="H77" s="17" t="s">
        <v>12</v>
      </c>
    </row>
    <row r="78" spans="1:8" x14ac:dyDescent="0.2">
      <c r="A78" s="18"/>
      <c r="B78" s="18"/>
      <c r="C78" s="22"/>
      <c r="D78" s="18"/>
      <c r="E78" s="18"/>
      <c r="F78" s="23"/>
      <c r="G78" s="23"/>
      <c r="H78" s="17" t="s">
        <v>12</v>
      </c>
    </row>
    <row r="79" spans="1:8" x14ac:dyDescent="0.2">
      <c r="A79" s="18"/>
      <c r="B79" s="18"/>
      <c r="C79" s="19" t="s">
        <v>93</v>
      </c>
      <c r="D79" s="18"/>
      <c r="E79" s="18"/>
      <c r="F79" s="23"/>
      <c r="G79" s="23"/>
      <c r="H79" s="17" t="s">
        <v>12</v>
      </c>
    </row>
    <row r="80" spans="1:8" x14ac:dyDescent="0.2">
      <c r="A80" s="25">
        <v>1</v>
      </c>
      <c r="B80" s="26" t="s">
        <v>209</v>
      </c>
      <c r="C80" s="26" t="s">
        <v>210</v>
      </c>
      <c r="D80" s="26" t="s">
        <v>75</v>
      </c>
      <c r="E80" s="27">
        <v>500000</v>
      </c>
      <c r="F80" s="28">
        <v>491.11799999999999</v>
      </c>
      <c r="G80" s="29">
        <v>1.2987769999999999E-2</v>
      </c>
      <c r="H80" s="17">
        <v>6.4718999999999998</v>
      </c>
    </row>
    <row r="81" spans="1:17" x14ac:dyDescent="0.2">
      <c r="A81" s="18"/>
      <c r="B81" s="18"/>
      <c r="C81" s="19" t="s">
        <v>11</v>
      </c>
      <c r="D81" s="18"/>
      <c r="E81" s="18" t="s">
        <v>12</v>
      </c>
      <c r="F81" s="24">
        <v>491.11799999999999</v>
      </c>
      <c r="G81" s="21">
        <v>1.2987769999999999E-2</v>
      </c>
      <c r="H81" s="17" t="s">
        <v>12</v>
      </c>
    </row>
    <row r="82" spans="1:17" x14ac:dyDescent="0.2">
      <c r="A82" s="18"/>
      <c r="B82" s="18"/>
      <c r="C82" s="22"/>
      <c r="D82" s="18"/>
      <c r="E82" s="18"/>
      <c r="F82" s="23"/>
      <c r="G82" s="23"/>
      <c r="H82" s="17" t="s">
        <v>12</v>
      </c>
    </row>
    <row r="83" spans="1:17" x14ac:dyDescent="0.2">
      <c r="A83" s="18"/>
      <c r="B83" s="18"/>
      <c r="C83" s="19" t="s">
        <v>94</v>
      </c>
      <c r="D83" s="18"/>
      <c r="E83" s="18"/>
      <c r="F83" s="23"/>
      <c r="G83" s="23"/>
      <c r="H83" s="17" t="s">
        <v>12</v>
      </c>
    </row>
    <row r="84" spans="1:17" x14ac:dyDescent="0.2">
      <c r="A84" s="25">
        <v>1</v>
      </c>
      <c r="B84" s="26"/>
      <c r="C84" s="26" t="s">
        <v>95</v>
      </c>
      <c r="D84" s="26"/>
      <c r="E84" s="30"/>
      <c r="F84" s="28">
        <v>1344.187622097</v>
      </c>
      <c r="G84" s="29">
        <v>3.5547469999999998E-2</v>
      </c>
      <c r="H84" s="17">
        <v>6.33</v>
      </c>
    </row>
    <row r="85" spans="1:17" x14ac:dyDescent="0.2">
      <c r="A85" s="18"/>
      <c r="B85" s="18"/>
      <c r="C85" s="19" t="s">
        <v>11</v>
      </c>
      <c r="D85" s="18"/>
      <c r="E85" s="18" t="s">
        <v>12</v>
      </c>
      <c r="F85" s="24">
        <v>1344.187622097</v>
      </c>
      <c r="G85" s="21">
        <v>3.5547469999999998E-2</v>
      </c>
      <c r="H85" s="17" t="s">
        <v>12</v>
      </c>
    </row>
    <row r="86" spans="1:17" x14ac:dyDescent="0.2">
      <c r="A86" s="18"/>
      <c r="B86" s="18"/>
      <c r="C86" s="22"/>
      <c r="D86" s="18"/>
      <c r="E86" s="18"/>
      <c r="F86" s="23"/>
      <c r="G86" s="23"/>
      <c r="H86" s="17" t="s">
        <v>12</v>
      </c>
    </row>
    <row r="87" spans="1:17" x14ac:dyDescent="0.2">
      <c r="A87" s="18"/>
      <c r="B87" s="18"/>
      <c r="C87" s="19" t="s">
        <v>96</v>
      </c>
      <c r="D87" s="18"/>
      <c r="E87" s="18"/>
      <c r="F87" s="24">
        <v>11491.740622097001</v>
      </c>
      <c r="G87" s="21">
        <v>0.30390275999999999</v>
      </c>
      <c r="H87" s="17" t="s">
        <v>12</v>
      </c>
    </row>
    <row r="88" spans="1:17" x14ac:dyDescent="0.2">
      <c r="A88" s="18"/>
      <c r="B88" s="18"/>
      <c r="C88" s="23"/>
      <c r="D88" s="18"/>
      <c r="E88" s="18"/>
      <c r="F88" s="18"/>
      <c r="G88" s="18"/>
      <c r="H88" s="17" t="s">
        <v>12</v>
      </c>
    </row>
    <row r="89" spans="1:17" x14ac:dyDescent="0.2">
      <c r="A89" s="18"/>
      <c r="B89" s="18"/>
      <c r="C89" s="19" t="s">
        <v>97</v>
      </c>
      <c r="D89" s="18"/>
      <c r="E89" s="18"/>
      <c r="F89" s="18"/>
      <c r="G89" s="18"/>
      <c r="H89" s="17" t="s">
        <v>12</v>
      </c>
    </row>
    <row r="90" spans="1:17" x14ac:dyDescent="0.2">
      <c r="A90" s="18"/>
      <c r="B90" s="18"/>
      <c r="C90" s="19" t="s">
        <v>98</v>
      </c>
      <c r="D90" s="18"/>
      <c r="E90" s="18"/>
      <c r="F90" s="18"/>
      <c r="G90" s="18"/>
      <c r="H90" s="17" t="s">
        <v>12</v>
      </c>
    </row>
    <row r="91" spans="1:17" x14ac:dyDescent="0.2">
      <c r="A91" s="18"/>
      <c r="B91" s="18"/>
      <c r="C91" s="19" t="s">
        <v>11</v>
      </c>
      <c r="D91" s="18"/>
      <c r="E91" s="18" t="s">
        <v>12</v>
      </c>
      <c r="F91" s="20" t="s">
        <v>13</v>
      </c>
      <c r="G91" s="21">
        <v>0</v>
      </c>
      <c r="H91" s="17" t="s">
        <v>12</v>
      </c>
    </row>
    <row r="92" spans="1:17" x14ac:dyDescent="0.2">
      <c r="A92" s="70"/>
      <c r="B92" s="70"/>
      <c r="C92" s="71"/>
      <c r="D92" s="70"/>
      <c r="E92" s="70"/>
      <c r="F92" s="72"/>
      <c r="G92" s="72"/>
      <c r="H92" s="68" t="s">
        <v>12</v>
      </c>
    </row>
    <row r="93" spans="1:17" x14ac:dyDescent="0.2">
      <c r="A93" s="70"/>
      <c r="B93" s="70"/>
      <c r="C93" s="73" t="s">
        <v>538</v>
      </c>
      <c r="D93" s="70"/>
      <c r="E93" s="70"/>
      <c r="F93" s="72"/>
      <c r="G93" s="72"/>
      <c r="H93" s="66"/>
      <c r="K93" s="50"/>
      <c r="L93" s="50"/>
      <c r="M93" s="50"/>
      <c r="N93" s="50"/>
      <c r="O93" s="74"/>
      <c r="P93" s="74"/>
      <c r="Q93" s="74"/>
    </row>
    <row r="94" spans="1:17" ht="25.5" x14ac:dyDescent="0.2">
      <c r="A94" s="63">
        <v>1</v>
      </c>
      <c r="B94" s="64" t="s">
        <v>99</v>
      </c>
      <c r="C94" s="64" t="s">
        <v>100</v>
      </c>
      <c r="D94" s="64"/>
      <c r="E94" s="75">
        <v>1043.4449999999999</v>
      </c>
      <c r="F94" s="66">
        <v>114.166699255</v>
      </c>
      <c r="G94" s="67">
        <v>3.0191800000000002E-3</v>
      </c>
      <c r="H94" s="68"/>
    </row>
    <row r="95" spans="1:17" x14ac:dyDescent="0.2">
      <c r="A95" s="70"/>
      <c r="B95" s="70"/>
      <c r="C95" s="73" t="s">
        <v>11</v>
      </c>
      <c r="D95" s="70"/>
      <c r="E95" s="70" t="s">
        <v>12</v>
      </c>
      <c r="F95" s="76">
        <f>SUM(F94)</f>
        <v>114.166699255</v>
      </c>
      <c r="G95" s="77">
        <f>SUM(G94)</f>
        <v>3.0191800000000002E-3</v>
      </c>
      <c r="H95" s="68" t="s">
        <v>12</v>
      </c>
    </row>
    <row r="96" spans="1:17" x14ac:dyDescent="0.2">
      <c r="A96" s="18"/>
      <c r="B96" s="18"/>
      <c r="C96" s="22"/>
      <c r="D96" s="18"/>
      <c r="E96" s="18"/>
      <c r="F96" s="23"/>
      <c r="G96" s="23"/>
      <c r="H96" s="17" t="s">
        <v>12</v>
      </c>
    </row>
    <row r="97" spans="1:8" x14ac:dyDescent="0.2">
      <c r="A97" s="18"/>
      <c r="B97" s="18"/>
      <c r="C97" s="19" t="s">
        <v>101</v>
      </c>
      <c r="D97" s="18"/>
      <c r="E97" s="18"/>
      <c r="F97" s="18"/>
      <c r="G97" s="18"/>
      <c r="H97" s="17" t="s">
        <v>12</v>
      </c>
    </row>
    <row r="98" spans="1:8" x14ac:dyDescent="0.2">
      <c r="A98" s="18"/>
      <c r="B98" s="18"/>
      <c r="C98" s="19" t="s">
        <v>102</v>
      </c>
      <c r="D98" s="18"/>
      <c r="E98" s="18"/>
      <c r="F98" s="18"/>
      <c r="G98" s="18"/>
      <c r="H98" s="17" t="s">
        <v>12</v>
      </c>
    </row>
    <row r="99" spans="1:8" x14ac:dyDescent="0.2">
      <c r="A99" s="18"/>
      <c r="B99" s="18"/>
      <c r="C99" s="19" t="s">
        <v>11</v>
      </c>
      <c r="D99" s="18"/>
      <c r="E99" s="18" t="s">
        <v>12</v>
      </c>
      <c r="F99" s="20" t="s">
        <v>13</v>
      </c>
      <c r="G99" s="21">
        <v>0</v>
      </c>
      <c r="H99" s="17" t="s">
        <v>12</v>
      </c>
    </row>
    <row r="100" spans="1:8" x14ac:dyDescent="0.2">
      <c r="A100" s="18"/>
      <c r="B100" s="18"/>
      <c r="C100" s="22"/>
      <c r="D100" s="18"/>
      <c r="E100" s="18"/>
      <c r="F100" s="23"/>
      <c r="G100" s="23"/>
      <c r="H100" s="17" t="s">
        <v>12</v>
      </c>
    </row>
    <row r="101" spans="1:8" x14ac:dyDescent="0.2">
      <c r="A101" s="18"/>
      <c r="B101" s="18"/>
      <c r="C101" s="19" t="s">
        <v>103</v>
      </c>
      <c r="D101" s="18"/>
      <c r="E101" s="18"/>
      <c r="F101" s="23"/>
      <c r="G101" s="23"/>
      <c r="H101" s="17" t="s">
        <v>12</v>
      </c>
    </row>
    <row r="102" spans="1:8" x14ac:dyDescent="0.2">
      <c r="A102" s="18"/>
      <c r="B102" s="18"/>
      <c r="C102" s="19" t="s">
        <v>11</v>
      </c>
      <c r="D102" s="18"/>
      <c r="E102" s="18" t="s">
        <v>12</v>
      </c>
      <c r="F102" s="20" t="s">
        <v>13</v>
      </c>
      <c r="G102" s="21">
        <v>0</v>
      </c>
      <c r="H102" s="17" t="s">
        <v>12</v>
      </c>
    </row>
    <row r="103" spans="1:8" x14ac:dyDescent="0.2">
      <c r="A103" s="18"/>
      <c r="B103" s="18"/>
      <c r="C103" s="22"/>
      <c r="D103" s="18"/>
      <c r="E103" s="18"/>
      <c r="F103" s="23"/>
      <c r="G103" s="23"/>
      <c r="H103" s="17" t="s">
        <v>12</v>
      </c>
    </row>
    <row r="104" spans="1:8" x14ac:dyDescent="0.2">
      <c r="A104" s="30"/>
      <c r="B104" s="26"/>
      <c r="C104" s="26" t="s">
        <v>104</v>
      </c>
      <c r="D104" s="26"/>
      <c r="E104" s="30"/>
      <c r="F104" s="28">
        <v>3031.4839417579901</v>
      </c>
      <c r="G104" s="29">
        <v>8.016856E-2</v>
      </c>
      <c r="H104" s="17" t="s">
        <v>12</v>
      </c>
    </row>
    <row r="105" spans="1:8" x14ac:dyDescent="0.2">
      <c r="A105" s="22"/>
      <c r="B105" s="22"/>
      <c r="C105" s="19" t="s">
        <v>105</v>
      </c>
      <c r="D105" s="23"/>
      <c r="E105" s="23"/>
      <c r="F105" s="24">
        <v>37813.874063109994</v>
      </c>
      <c r="G105" s="31">
        <v>1.0000000099999999</v>
      </c>
      <c r="H105" s="17" t="s">
        <v>12</v>
      </c>
    </row>
    <row r="106" spans="1:8" x14ac:dyDescent="0.2">
      <c r="A106" s="32"/>
      <c r="B106" s="32"/>
      <c r="C106" s="32"/>
      <c r="D106" s="33"/>
      <c r="E106" s="33"/>
      <c r="F106" s="33"/>
      <c r="G106" s="33"/>
    </row>
    <row r="107" spans="1:8" x14ac:dyDescent="0.2">
      <c r="A107" s="34"/>
      <c r="B107" s="151" t="s">
        <v>539</v>
      </c>
      <c r="C107" s="151"/>
      <c r="D107" s="151"/>
      <c r="E107" s="151"/>
      <c r="F107" s="151"/>
      <c r="G107" s="151"/>
      <c r="H107" s="151"/>
    </row>
    <row r="108" spans="1:8" x14ac:dyDescent="0.2">
      <c r="A108" s="34"/>
      <c r="B108" s="151" t="s">
        <v>540</v>
      </c>
      <c r="C108" s="151"/>
      <c r="D108" s="151"/>
      <c r="E108" s="151"/>
      <c r="F108" s="151"/>
      <c r="G108" s="151"/>
      <c r="H108" s="151"/>
    </row>
    <row r="109" spans="1:8" x14ac:dyDescent="0.2">
      <c r="A109" s="34"/>
      <c r="B109" s="151" t="s">
        <v>541</v>
      </c>
      <c r="C109" s="151"/>
      <c r="D109" s="151"/>
      <c r="E109" s="151"/>
      <c r="F109" s="151"/>
      <c r="G109" s="151"/>
      <c r="H109" s="151"/>
    </row>
    <row r="110" spans="1:8" x14ac:dyDescent="0.2">
      <c r="A110" s="36"/>
      <c r="B110" s="36"/>
      <c r="C110" s="36"/>
      <c r="D110" s="37"/>
      <c r="E110" s="37"/>
      <c r="F110" s="37"/>
      <c r="G110" s="37"/>
    </row>
    <row r="111" spans="1:8" x14ac:dyDescent="0.2">
      <c r="A111" s="36"/>
      <c r="B111" s="154" t="s">
        <v>106</v>
      </c>
      <c r="C111" s="155"/>
      <c r="D111" s="156"/>
      <c r="E111" s="38"/>
      <c r="F111" s="37"/>
      <c r="G111" s="37"/>
    </row>
    <row r="112" spans="1:8" ht="25.5" x14ac:dyDescent="0.2">
      <c r="A112" s="36"/>
      <c r="B112" s="157" t="s">
        <v>107</v>
      </c>
      <c r="C112" s="158"/>
      <c r="D112" s="73" t="s">
        <v>566</v>
      </c>
      <c r="E112" s="38"/>
      <c r="F112" s="37"/>
      <c r="G112" s="37"/>
    </row>
    <row r="113" spans="1:15" x14ac:dyDescent="0.2">
      <c r="A113" s="36"/>
      <c r="B113" s="157" t="s">
        <v>109</v>
      </c>
      <c r="C113" s="158"/>
      <c r="D113" s="19" t="s">
        <v>108</v>
      </c>
      <c r="E113" s="38"/>
      <c r="F113" s="37"/>
      <c r="G113" s="37"/>
    </row>
    <row r="114" spans="1:15" x14ac:dyDescent="0.2">
      <c r="A114" s="36"/>
      <c r="B114" s="157" t="s">
        <v>110</v>
      </c>
      <c r="C114" s="158"/>
      <c r="D114" s="23" t="s">
        <v>12</v>
      </c>
      <c r="E114" s="38"/>
      <c r="F114" s="37"/>
      <c r="G114" s="37"/>
    </row>
    <row r="115" spans="1:15" x14ac:dyDescent="0.2">
      <c r="A115" s="39"/>
      <c r="B115" s="40" t="s">
        <v>12</v>
      </c>
      <c r="C115" s="40" t="s">
        <v>542</v>
      </c>
      <c r="D115" s="40" t="s">
        <v>111</v>
      </c>
      <c r="E115" s="39"/>
      <c r="F115" s="39"/>
      <c r="G115" s="39"/>
    </row>
    <row r="116" spans="1:15" x14ac:dyDescent="0.2">
      <c r="A116" s="39"/>
      <c r="B116" s="41" t="s">
        <v>112</v>
      </c>
      <c r="C116" s="42">
        <v>45688</v>
      </c>
      <c r="D116" s="42">
        <v>45703</v>
      </c>
      <c r="E116" s="39"/>
      <c r="F116" s="39"/>
      <c r="G116" s="39"/>
    </row>
    <row r="117" spans="1:15" x14ac:dyDescent="0.2">
      <c r="A117" s="43"/>
      <c r="B117" s="26" t="s">
        <v>113</v>
      </c>
      <c r="C117" s="44">
        <v>3582.2114000000001</v>
      </c>
      <c r="D117" s="44">
        <v>3593.3326999999999</v>
      </c>
      <c r="E117" s="43"/>
      <c r="F117" s="45"/>
      <c r="G117" s="46"/>
    </row>
    <row r="118" spans="1:15" ht="25.5" x14ac:dyDescent="0.2">
      <c r="A118" s="43"/>
      <c r="B118" s="26" t="s">
        <v>663</v>
      </c>
      <c r="C118" s="44">
        <v>1098.1922999999999</v>
      </c>
      <c r="D118" s="44">
        <v>1101.6017999999999</v>
      </c>
      <c r="E118" s="43"/>
      <c r="F118" s="45"/>
      <c r="G118" s="46"/>
    </row>
    <row r="119" spans="1:15" ht="25.5" x14ac:dyDescent="0.2">
      <c r="A119" s="43"/>
      <c r="B119" s="26" t="s">
        <v>664</v>
      </c>
      <c r="C119" s="44">
        <v>1238.9719</v>
      </c>
      <c r="D119" s="44">
        <v>1242.8184000000001</v>
      </c>
      <c r="E119" s="43"/>
      <c r="F119" s="45"/>
      <c r="G119" s="46"/>
    </row>
    <row r="120" spans="1:15" x14ac:dyDescent="0.2">
      <c r="A120" s="43"/>
      <c r="B120" s="26" t="s">
        <v>114</v>
      </c>
      <c r="C120" s="44">
        <v>3351.7914999999998</v>
      </c>
      <c r="D120" s="44">
        <v>3361.0237000000002</v>
      </c>
      <c r="E120" s="43"/>
      <c r="F120" s="45"/>
      <c r="G120" s="46"/>
    </row>
    <row r="121" spans="1:15" x14ac:dyDescent="0.2">
      <c r="A121" s="43"/>
      <c r="B121" s="26" t="s">
        <v>139</v>
      </c>
      <c r="C121" s="44">
        <v>1298.0558000000001</v>
      </c>
      <c r="D121" s="44">
        <v>1301.6310000000001</v>
      </c>
      <c r="E121" s="43"/>
      <c r="F121" s="45"/>
      <c r="G121" s="46"/>
    </row>
    <row r="122" spans="1:15" ht="25.5" x14ac:dyDescent="0.2">
      <c r="A122" s="43"/>
      <c r="B122" s="26" t="s">
        <v>667</v>
      </c>
      <c r="C122" s="44">
        <v>1088.1518000000001</v>
      </c>
      <c r="D122" s="44">
        <v>1091.1489999999999</v>
      </c>
      <c r="E122" s="43"/>
      <c r="F122" s="45"/>
      <c r="G122" s="46"/>
    </row>
    <row r="123" spans="1:15" ht="25.5" x14ac:dyDescent="0.2">
      <c r="A123" s="43"/>
      <c r="B123" s="26" t="s">
        <v>668</v>
      </c>
      <c r="C123" s="44">
        <v>1198.6558</v>
      </c>
      <c r="D123" s="44">
        <v>1201.9572000000001</v>
      </c>
      <c r="E123" s="43"/>
      <c r="F123" s="45"/>
      <c r="G123" s="46"/>
    </row>
    <row r="124" spans="1:15" x14ac:dyDescent="0.2">
      <c r="A124" s="43"/>
      <c r="B124" s="43"/>
      <c r="C124" s="43"/>
      <c r="D124" s="43"/>
      <c r="E124" s="43"/>
      <c r="F124" s="43"/>
      <c r="G124" s="43"/>
    </row>
    <row r="125" spans="1:15" x14ac:dyDescent="0.2">
      <c r="A125" s="43"/>
      <c r="B125" s="157" t="s">
        <v>643</v>
      </c>
      <c r="C125" s="158"/>
      <c r="D125" s="73" t="s">
        <v>108</v>
      </c>
      <c r="E125" s="43"/>
      <c r="F125" s="43"/>
      <c r="G125" s="43"/>
    </row>
    <row r="126" spans="1:15" x14ac:dyDescent="0.2">
      <c r="A126" s="43"/>
      <c r="B126" s="48"/>
      <c r="C126" s="48"/>
      <c r="D126" s="48"/>
      <c r="E126" s="43"/>
      <c r="F126" s="43"/>
      <c r="G126" s="43"/>
    </row>
    <row r="127" spans="1:15" s="51" customFormat="1" x14ac:dyDescent="0.2">
      <c r="A127" s="91"/>
      <c r="B127" s="159" t="s">
        <v>557</v>
      </c>
      <c r="C127" s="160"/>
      <c r="D127" s="73" t="s">
        <v>108</v>
      </c>
      <c r="G127" s="91"/>
      <c r="I127"/>
      <c r="J127" s="14"/>
      <c r="K127" s="50"/>
      <c r="L127" s="50"/>
      <c r="M127" s="50"/>
      <c r="N127" s="50"/>
      <c r="O127" s="52"/>
    </row>
    <row r="128" spans="1:15" ht="25.5" customHeight="1" x14ac:dyDescent="0.2">
      <c r="A128" s="39"/>
      <c r="B128" s="159" t="s">
        <v>558</v>
      </c>
      <c r="C128" s="160"/>
      <c r="D128" s="73" t="s">
        <v>108</v>
      </c>
      <c r="E128" s="49"/>
      <c r="F128" s="39"/>
      <c r="G128" s="39"/>
      <c r="J128" s="14"/>
    </row>
    <row r="129" spans="1:20" ht="26.25" customHeight="1" x14ac:dyDescent="0.2">
      <c r="A129" s="39"/>
      <c r="B129" s="159" t="s">
        <v>559</v>
      </c>
      <c r="C129" s="160"/>
      <c r="D129" s="73" t="s">
        <v>108</v>
      </c>
      <c r="E129" s="49"/>
      <c r="F129" s="39"/>
      <c r="G129" s="39"/>
      <c r="J129" s="14"/>
    </row>
    <row r="130" spans="1:20" x14ac:dyDescent="0.2">
      <c r="A130" s="39"/>
      <c r="B130" s="159" t="s">
        <v>560</v>
      </c>
      <c r="C130" s="160"/>
      <c r="D130" s="73" t="s">
        <v>108</v>
      </c>
      <c r="E130" s="49"/>
      <c r="F130" s="39"/>
      <c r="G130" s="39"/>
      <c r="J130" s="14"/>
    </row>
    <row r="131" spans="1:20" x14ac:dyDescent="0.2">
      <c r="A131" s="39"/>
      <c r="B131" s="35"/>
      <c r="C131" s="35"/>
      <c r="D131" s="146"/>
      <c r="E131" s="39"/>
      <c r="F131" s="39"/>
      <c r="G131" s="39"/>
      <c r="J131" s="14"/>
    </row>
    <row r="132" spans="1:20" s="51" customFormat="1" x14ac:dyDescent="0.2">
      <c r="B132" s="161" t="s">
        <v>544</v>
      </c>
      <c r="C132" s="162"/>
      <c r="D132" s="163"/>
      <c r="I132"/>
      <c r="J132" s="14"/>
      <c r="K132" s="50"/>
      <c r="L132" s="50"/>
      <c r="M132" s="50"/>
      <c r="N132" s="50"/>
      <c r="O132" s="52"/>
    </row>
    <row r="133" spans="1:20" s="51" customFormat="1" ht="51" x14ac:dyDescent="0.2">
      <c r="B133" s="152" t="s">
        <v>545</v>
      </c>
      <c r="C133" s="152"/>
      <c r="D133" s="53" t="s">
        <v>211</v>
      </c>
      <c r="I133"/>
      <c r="J133" s="14"/>
      <c r="K133" s="50"/>
      <c r="L133" s="50"/>
      <c r="M133" s="50"/>
      <c r="N133" s="50"/>
      <c r="O133" s="52"/>
    </row>
    <row r="134" spans="1:20" s="51" customFormat="1" x14ac:dyDescent="0.2">
      <c r="B134" s="153" t="s">
        <v>546</v>
      </c>
      <c r="C134" s="153"/>
      <c r="D134" s="54"/>
      <c r="I134"/>
      <c r="J134" s="14"/>
      <c r="K134" s="50"/>
      <c r="L134" s="50"/>
      <c r="M134" s="50"/>
      <c r="N134" s="50"/>
      <c r="O134" s="52"/>
    </row>
    <row r="135" spans="1:20" s="51" customFormat="1" x14ac:dyDescent="0.2">
      <c r="B135" s="153"/>
      <c r="C135" s="153"/>
      <c r="D135" s="55"/>
      <c r="I135"/>
      <c r="J135" s="14"/>
      <c r="K135" s="50"/>
      <c r="L135" s="50"/>
      <c r="M135" s="50"/>
      <c r="N135" s="50"/>
      <c r="O135" s="52"/>
    </row>
    <row r="136" spans="1:20" s="51" customFormat="1" x14ac:dyDescent="0.2">
      <c r="B136" s="153" t="s">
        <v>547</v>
      </c>
      <c r="C136" s="153"/>
      <c r="D136" s="108">
        <v>7.7147598588619006</v>
      </c>
      <c r="I136"/>
      <c r="J136" s="14"/>
      <c r="K136" s="50"/>
      <c r="L136" s="50"/>
      <c r="M136" s="50"/>
      <c r="N136" s="50"/>
      <c r="O136" s="52"/>
    </row>
    <row r="137" spans="1:20" s="51" customFormat="1" x14ac:dyDescent="0.2">
      <c r="B137" s="153"/>
      <c r="C137" s="153"/>
      <c r="D137" s="55"/>
      <c r="I137"/>
      <c r="J137" s="14"/>
      <c r="K137" s="50"/>
      <c r="L137" s="50"/>
      <c r="M137" s="50"/>
      <c r="N137" s="50"/>
      <c r="O137" s="52"/>
      <c r="P137"/>
      <c r="Q137"/>
    </row>
    <row r="138" spans="1:20" s="51" customFormat="1" x14ac:dyDescent="0.2">
      <c r="B138" s="153" t="s">
        <v>548</v>
      </c>
      <c r="C138" s="153"/>
      <c r="D138" s="108">
        <v>0.96008179492320611</v>
      </c>
      <c r="I138"/>
      <c r="J138" s="14"/>
      <c r="K138" s="50"/>
      <c r="L138" s="50"/>
      <c r="M138" s="50"/>
      <c r="N138" s="50"/>
      <c r="O138" s="52"/>
      <c r="P138"/>
      <c r="Q138"/>
    </row>
    <row r="139" spans="1:20" s="51" customFormat="1" x14ac:dyDescent="0.2">
      <c r="B139" s="153" t="s">
        <v>567</v>
      </c>
      <c r="C139" s="153"/>
      <c r="D139" s="108">
        <v>1.1561380904437526</v>
      </c>
      <c r="I139"/>
      <c r="J139" s="14"/>
      <c r="K139" s="50"/>
      <c r="L139" s="50"/>
      <c r="M139" s="50"/>
      <c r="N139" s="50"/>
      <c r="O139"/>
      <c r="P139"/>
      <c r="Q139"/>
    </row>
    <row r="140" spans="1:20" s="51" customFormat="1" x14ac:dyDescent="0.2">
      <c r="B140" s="153"/>
      <c r="C140" s="153"/>
      <c r="D140" s="55"/>
      <c r="I140"/>
      <c r="J140" s="14"/>
      <c r="K140" s="50"/>
      <c r="L140" s="50"/>
      <c r="M140" s="50"/>
      <c r="N140" s="50"/>
      <c r="O140"/>
      <c r="P140"/>
      <c r="Q140"/>
    </row>
    <row r="141" spans="1:20" s="51" customFormat="1" ht="25.5" x14ac:dyDescent="0.2">
      <c r="B141" s="153" t="s">
        <v>550</v>
      </c>
      <c r="C141" s="153"/>
      <c r="D141" s="109" t="s">
        <v>657</v>
      </c>
      <c r="I141"/>
      <c r="J141" s="14"/>
      <c r="K141" s="50"/>
      <c r="L141" s="50"/>
      <c r="M141" s="50"/>
      <c r="N141" s="50"/>
      <c r="O141" s="52"/>
    </row>
    <row r="142" spans="1:20" s="51" customFormat="1" x14ac:dyDescent="0.2">
      <c r="B142" s="165" t="s">
        <v>551</v>
      </c>
      <c r="C142" s="167"/>
      <c r="D142" s="166"/>
      <c r="I142"/>
      <c r="J142" s="14"/>
      <c r="K142" s="50"/>
      <c r="L142" s="50"/>
      <c r="M142" s="50"/>
      <c r="N142" s="50"/>
      <c r="O142"/>
      <c r="P142"/>
      <c r="Q142"/>
      <c r="R142"/>
      <c r="S142"/>
      <c r="T142"/>
    </row>
    <row r="143" spans="1:20" x14ac:dyDescent="0.2">
      <c r="A143" s="48"/>
      <c r="B143" s="48"/>
      <c r="C143" s="48"/>
      <c r="D143" s="48"/>
      <c r="E143" s="48"/>
      <c r="F143" s="48"/>
      <c r="G143" s="48"/>
      <c r="J143" s="14"/>
    </row>
    <row r="144" spans="1:20" s="51" customFormat="1" x14ac:dyDescent="0.2">
      <c r="B144" s="128" t="s">
        <v>658</v>
      </c>
      <c r="C144" s="128"/>
      <c r="D144" s="128"/>
      <c r="E144" s="128"/>
      <c r="F144" s="128"/>
      <c r="G144" s="128"/>
      <c r="H144" s="128"/>
      <c r="I144"/>
      <c r="J144" s="14"/>
      <c r="K144" s="50"/>
      <c r="L144" s="50"/>
      <c r="M144" s="50"/>
      <c r="N144" s="50"/>
      <c r="O144" s="52"/>
    </row>
    <row r="145" spans="1:16" s="51" customFormat="1" x14ac:dyDescent="0.2">
      <c r="B145" s="129"/>
      <c r="C145" s="129"/>
      <c r="D145" s="129"/>
      <c r="E145" s="129"/>
      <c r="F145" s="129"/>
      <c r="G145" s="129"/>
      <c r="H145" s="129"/>
      <c r="I145"/>
      <c r="J145" s="14"/>
      <c r="K145" s="50"/>
      <c r="L145" s="50"/>
      <c r="M145" s="50"/>
      <c r="N145" s="50"/>
      <c r="O145" s="52"/>
    </row>
    <row r="146" spans="1:16" s="51" customFormat="1" ht="102" x14ac:dyDescent="0.2">
      <c r="A146" s="147"/>
      <c r="B146" s="131" t="s">
        <v>568</v>
      </c>
      <c r="C146" s="131" t="s">
        <v>569</v>
      </c>
      <c r="D146" s="131" t="s">
        <v>570</v>
      </c>
      <c r="E146" s="131" t="s">
        <v>571</v>
      </c>
      <c r="F146" s="131" t="s">
        <v>572</v>
      </c>
      <c r="G146" s="129"/>
      <c r="H146" s="129"/>
      <c r="I146"/>
      <c r="J146" s="14"/>
      <c r="K146" s="50"/>
      <c r="L146" s="50"/>
      <c r="M146" s="50"/>
      <c r="N146" s="50"/>
      <c r="O146" s="52"/>
    </row>
    <row r="147" spans="1:16" s="51" customFormat="1" x14ac:dyDescent="0.2">
      <c r="A147" s="148"/>
      <c r="B147" s="132" t="s">
        <v>573</v>
      </c>
      <c r="C147" s="132" t="s">
        <v>574</v>
      </c>
      <c r="D147" s="7">
        <v>0</v>
      </c>
      <c r="E147" s="8">
        <v>0</v>
      </c>
      <c r="F147" s="133">
        <v>300</v>
      </c>
      <c r="G147" s="129"/>
      <c r="H147" s="129"/>
      <c r="I147"/>
      <c r="J147" s="14"/>
      <c r="K147" s="50"/>
      <c r="L147" s="50"/>
      <c r="M147" s="50"/>
      <c r="N147" s="50"/>
      <c r="O147" s="52"/>
    </row>
    <row r="148" spans="1:16" s="51" customFormat="1" x14ac:dyDescent="0.2">
      <c r="A148" s="149"/>
      <c r="B148" s="149"/>
      <c r="C148" s="149"/>
      <c r="D148" s="149"/>
      <c r="E148" s="149"/>
      <c r="F148" s="149"/>
      <c r="G148" s="149"/>
      <c r="I148"/>
      <c r="J148" s="14"/>
      <c r="K148" s="50"/>
      <c r="L148" s="50"/>
      <c r="M148" s="50"/>
      <c r="N148" s="50"/>
      <c r="O148" s="52"/>
    </row>
    <row r="149" spans="1:16" ht="13.5" x14ac:dyDescent="0.25">
      <c r="B149" s="85" t="s">
        <v>575</v>
      </c>
      <c r="C149" s="85" t="s">
        <v>576</v>
      </c>
      <c r="D149" s="172" t="s">
        <v>570</v>
      </c>
      <c r="E149" s="172"/>
      <c r="F149" s="172"/>
      <c r="G149" s="173" t="s">
        <v>571</v>
      </c>
      <c r="H149" s="173"/>
      <c r="J149" s="14"/>
      <c r="K149" s="50"/>
      <c r="L149" s="50"/>
      <c r="M149" s="50"/>
      <c r="N149" s="50"/>
      <c r="P149" s="50"/>
    </row>
    <row r="150" spans="1:16" ht="27" x14ac:dyDescent="0.25">
      <c r="B150" s="84" t="s">
        <v>577</v>
      </c>
      <c r="C150" s="83" t="s">
        <v>578</v>
      </c>
      <c r="D150" s="174">
        <v>0</v>
      </c>
      <c r="E150" s="174"/>
      <c r="F150" s="174"/>
      <c r="G150" s="174">
        <v>0</v>
      </c>
      <c r="H150" s="174"/>
      <c r="J150" s="14"/>
      <c r="K150" s="50"/>
      <c r="L150" s="50"/>
      <c r="M150" s="50"/>
      <c r="N150" s="50"/>
      <c r="P150" s="50"/>
    </row>
    <row r="151" spans="1:16" ht="27" x14ac:dyDescent="0.25">
      <c r="B151" s="84" t="s">
        <v>579</v>
      </c>
      <c r="C151" s="83" t="s">
        <v>580</v>
      </c>
      <c r="D151" s="174">
        <v>0</v>
      </c>
      <c r="E151" s="174"/>
      <c r="F151" s="174"/>
      <c r="G151" s="174">
        <v>0</v>
      </c>
      <c r="H151" s="174"/>
      <c r="J151" s="14"/>
      <c r="K151" s="50"/>
      <c r="L151" s="50"/>
      <c r="M151" s="50"/>
      <c r="N151" s="50"/>
      <c r="P151" s="50"/>
    </row>
    <row r="152" spans="1:16" ht="27" x14ac:dyDescent="0.25">
      <c r="B152" s="84" t="s">
        <v>581</v>
      </c>
      <c r="C152" s="83" t="s">
        <v>582</v>
      </c>
      <c r="D152" s="174">
        <v>0</v>
      </c>
      <c r="E152" s="174"/>
      <c r="F152" s="174"/>
      <c r="G152" s="174">
        <v>0</v>
      </c>
      <c r="H152" s="174"/>
      <c r="J152" s="14"/>
      <c r="K152" s="50"/>
      <c r="L152" s="50"/>
      <c r="M152" s="50"/>
      <c r="N152" s="50"/>
      <c r="P152" s="50"/>
    </row>
    <row r="153" spans="1:16" ht="13.5" x14ac:dyDescent="0.25">
      <c r="B153" s="84"/>
      <c r="C153" s="84"/>
      <c r="D153" s="175"/>
      <c r="E153" s="175"/>
      <c r="F153" s="175"/>
      <c r="G153" s="175"/>
      <c r="H153" s="175"/>
      <c r="J153" s="14"/>
      <c r="K153" s="50"/>
      <c r="L153" s="50"/>
      <c r="M153" s="50"/>
      <c r="N153" s="50"/>
      <c r="P153" s="50"/>
    </row>
    <row r="154" spans="1:16" ht="13.5" x14ac:dyDescent="0.25">
      <c r="B154" s="173" t="s">
        <v>583</v>
      </c>
      <c r="C154" s="173"/>
      <c r="D154" s="173"/>
      <c r="E154" s="173"/>
      <c r="F154" s="173"/>
      <c r="G154" s="173"/>
      <c r="H154" s="173"/>
      <c r="J154" s="14"/>
      <c r="K154" s="50"/>
      <c r="L154" s="50"/>
      <c r="M154" s="50"/>
      <c r="N154" s="50"/>
      <c r="P154" s="50"/>
    </row>
    <row r="155" spans="1:16" ht="13.5" customHeight="1" x14ac:dyDescent="0.2">
      <c r="B155" s="178" t="s">
        <v>575</v>
      </c>
      <c r="C155" s="178" t="s">
        <v>576</v>
      </c>
      <c r="D155" s="178" t="s">
        <v>584</v>
      </c>
      <c r="E155" s="178"/>
      <c r="F155" s="178"/>
      <c r="G155" s="178"/>
      <c r="H155" s="179" t="s">
        <v>585</v>
      </c>
      <c r="I155" s="179" t="s">
        <v>586</v>
      </c>
      <c r="J155" s="176" t="s">
        <v>587</v>
      </c>
      <c r="K155" s="50"/>
      <c r="L155" s="50"/>
      <c r="M155" s="50"/>
      <c r="N155" s="50"/>
      <c r="O155" s="50"/>
      <c r="P155" s="50"/>
    </row>
    <row r="156" spans="1:16" ht="94.5" customHeight="1" x14ac:dyDescent="0.2">
      <c r="B156" s="178"/>
      <c r="C156" s="178"/>
      <c r="D156" s="80" t="s">
        <v>588</v>
      </c>
      <c r="E156" s="80" t="s">
        <v>589</v>
      </c>
      <c r="F156" s="80" t="s">
        <v>590</v>
      </c>
      <c r="G156" s="80" t="s">
        <v>591</v>
      </c>
      <c r="H156" s="179"/>
      <c r="I156" s="179"/>
      <c r="J156" s="177"/>
      <c r="K156" s="50"/>
      <c r="L156" s="50"/>
      <c r="M156" s="50"/>
      <c r="N156" s="50"/>
      <c r="O156" s="50"/>
      <c r="P156" s="50"/>
    </row>
    <row r="157" spans="1:16" ht="27" x14ac:dyDescent="0.25">
      <c r="B157" s="84" t="s">
        <v>577</v>
      </c>
      <c r="C157" s="83" t="s">
        <v>578</v>
      </c>
      <c r="D157" s="86">
        <v>1500</v>
      </c>
      <c r="E157" s="86">
        <v>99.850684900000005</v>
      </c>
      <c r="F157" s="139">
        <v>36.275342200000004</v>
      </c>
      <c r="G157" s="140">
        <v>1636.1260271000001</v>
      </c>
      <c r="H157" s="9">
        <v>726.67232000000001</v>
      </c>
      <c r="I157" s="9">
        <f>1250521/10^5</f>
        <v>12.50521</v>
      </c>
      <c r="J157" s="9">
        <f>H157+I157</f>
        <v>739.17753000000005</v>
      </c>
      <c r="K157" s="50"/>
      <c r="L157" s="50"/>
      <c r="M157" s="50"/>
      <c r="N157" s="50"/>
      <c r="O157" s="50"/>
      <c r="P157" s="50"/>
    </row>
    <row r="158" spans="1:16" ht="27" x14ac:dyDescent="0.25">
      <c r="B158" s="84" t="s">
        <v>579</v>
      </c>
      <c r="C158" s="83" t="s">
        <v>580</v>
      </c>
      <c r="D158" s="86">
        <v>2517.2199999999998</v>
      </c>
      <c r="E158" s="86">
        <v>183.25361600000002</v>
      </c>
      <c r="F158" s="139">
        <v>45.813405699999997</v>
      </c>
      <c r="G158" s="140">
        <v>2746.2870217</v>
      </c>
      <c r="H158" s="9">
        <v>1225.53333</v>
      </c>
      <c r="I158" s="9">
        <f>2109013/10^5</f>
        <v>21.090129999999998</v>
      </c>
      <c r="J158" s="9">
        <f>H158+I158</f>
        <v>1246.62346</v>
      </c>
      <c r="K158" s="50"/>
      <c r="L158" s="50"/>
      <c r="M158" s="50"/>
      <c r="N158" s="50"/>
      <c r="O158" s="50"/>
      <c r="P158" s="50"/>
    </row>
    <row r="159" spans="1:16" ht="27" x14ac:dyDescent="0.25">
      <c r="B159" s="84" t="s">
        <v>581</v>
      </c>
      <c r="C159" s="83" t="s">
        <v>582</v>
      </c>
      <c r="D159" s="86">
        <v>4882.25</v>
      </c>
      <c r="E159" s="86">
        <v>323.21163799999999</v>
      </c>
      <c r="F159" s="139">
        <v>117.42144879999999</v>
      </c>
      <c r="G159" s="140">
        <v>5322.8830868000005</v>
      </c>
      <c r="H159" s="9">
        <v>2364.0489899999998</v>
      </c>
      <c r="I159" s="9">
        <f>4068280/10^5</f>
        <v>40.6828</v>
      </c>
      <c r="J159" s="9">
        <f>H159+I159</f>
        <v>2404.7317899999998</v>
      </c>
      <c r="K159" s="50"/>
      <c r="L159" s="50"/>
      <c r="M159" s="50"/>
      <c r="N159" s="50"/>
      <c r="O159" s="50"/>
      <c r="P159" s="50"/>
    </row>
    <row r="160" spans="1:16" x14ac:dyDescent="0.2">
      <c r="I160" s="50"/>
      <c r="J160" s="14"/>
      <c r="K160" s="50"/>
      <c r="L160" s="50"/>
      <c r="M160" s="50"/>
      <c r="N160" s="50"/>
      <c r="O160" s="50"/>
      <c r="P160" s="50"/>
    </row>
    <row r="161" spans="2:16" x14ac:dyDescent="0.2">
      <c r="I161" s="50"/>
      <c r="J161" s="14"/>
      <c r="K161" s="50"/>
      <c r="L161" s="50"/>
      <c r="M161" s="50"/>
      <c r="N161" s="50"/>
      <c r="O161" s="50"/>
      <c r="P161" s="50"/>
    </row>
    <row r="162" spans="2:16" ht="13.5" x14ac:dyDescent="0.25">
      <c r="B162" s="89" t="s">
        <v>592</v>
      </c>
      <c r="I162" s="50"/>
      <c r="J162" s="14"/>
      <c r="K162" s="50"/>
      <c r="L162" s="50"/>
      <c r="M162" s="50"/>
      <c r="N162" s="50"/>
      <c r="O162" s="50"/>
      <c r="P162" s="50"/>
    </row>
    <row r="163" spans="2:16" x14ac:dyDescent="0.2">
      <c r="B163" s="50"/>
      <c r="C163" s="50"/>
      <c r="D163" s="50"/>
      <c r="E163" s="50"/>
      <c r="F163" s="50"/>
      <c r="G163" s="50"/>
      <c r="H163" s="50"/>
      <c r="I163" s="50"/>
      <c r="J163" s="14"/>
      <c r="K163" s="50"/>
      <c r="L163" s="50"/>
      <c r="M163" s="50"/>
      <c r="N163" s="50"/>
      <c r="O163" s="50"/>
      <c r="P163" s="50"/>
    </row>
    <row r="164" spans="2:16" x14ac:dyDescent="0.2">
      <c r="B164" s="90" t="s">
        <v>593</v>
      </c>
      <c r="C164" s="50"/>
      <c r="D164" s="50"/>
      <c r="E164" s="50"/>
      <c r="F164" s="50"/>
      <c r="G164" s="50"/>
      <c r="H164" s="50"/>
      <c r="I164" s="50"/>
      <c r="J164" s="14"/>
      <c r="K164" s="50"/>
      <c r="L164" s="50"/>
      <c r="M164" s="50"/>
      <c r="N164" s="50"/>
      <c r="O164" s="50"/>
      <c r="P164" s="50"/>
    </row>
    <row r="165" spans="2:16" x14ac:dyDescent="0.2">
      <c r="B165" s="50"/>
      <c r="C165" s="50"/>
      <c r="D165" s="50"/>
      <c r="E165" s="50"/>
      <c r="F165" s="50"/>
      <c r="G165" s="50"/>
      <c r="H165" s="50"/>
      <c r="I165" s="50"/>
      <c r="J165" s="14"/>
      <c r="K165" s="50"/>
      <c r="L165" s="50"/>
      <c r="M165" s="50"/>
      <c r="N165" s="50"/>
      <c r="O165" s="50"/>
      <c r="P165" s="50"/>
    </row>
    <row r="166" spans="2:16" x14ac:dyDescent="0.2">
      <c r="B166" s="90" t="s">
        <v>594</v>
      </c>
      <c r="C166" s="50"/>
      <c r="D166" s="50"/>
      <c r="E166" s="50"/>
      <c r="F166" s="50"/>
      <c r="G166" s="50"/>
      <c r="H166" s="50"/>
      <c r="I166" s="50"/>
      <c r="J166" s="14"/>
      <c r="K166" s="50"/>
      <c r="L166" s="50"/>
      <c r="M166" s="50"/>
      <c r="N166" s="50"/>
      <c r="O166" s="50"/>
      <c r="P166" s="50"/>
    </row>
    <row r="167" spans="2:16" x14ac:dyDescent="0.2">
      <c r="J167" s="14"/>
    </row>
    <row r="168" spans="2:16" x14ac:dyDescent="0.2">
      <c r="B168" s="90" t="s">
        <v>595</v>
      </c>
      <c r="J168" s="14"/>
      <c r="K168" s="50"/>
      <c r="L168" s="50"/>
      <c r="M168" s="50"/>
      <c r="N168" s="50"/>
      <c r="O168" s="50"/>
    </row>
    <row r="169" spans="2:16" x14ac:dyDescent="0.2">
      <c r="J169" s="14"/>
    </row>
    <row r="170" spans="2:16" x14ac:dyDescent="0.2">
      <c r="B170" s="60" t="s">
        <v>552</v>
      </c>
    </row>
    <row r="172" spans="2:16" ht="153.75" customHeight="1" x14ac:dyDescent="0.2"/>
    <row r="175" spans="2:16" x14ac:dyDescent="0.2">
      <c r="B175" s="61" t="s">
        <v>553</v>
      </c>
      <c r="C175" s="62"/>
      <c r="D175" s="61" t="s">
        <v>554</v>
      </c>
    </row>
    <row r="176" spans="2:16" x14ac:dyDescent="0.2">
      <c r="B176" s="61" t="s">
        <v>596</v>
      </c>
      <c r="D176" s="61" t="s">
        <v>597</v>
      </c>
    </row>
    <row r="177" spans="10:10" ht="165" customHeight="1" x14ac:dyDescent="0.2"/>
    <row r="179" spans="10:10" x14ac:dyDescent="0.2">
      <c r="J179" s="14"/>
    </row>
  </sheetData>
  <mergeCells count="43">
    <mergeCell ref="J155:J156"/>
    <mergeCell ref="B155:B156"/>
    <mergeCell ref="C155:C156"/>
    <mergeCell ref="D155:G155"/>
    <mergeCell ref="H155:H156"/>
    <mergeCell ref="I155:I156"/>
    <mergeCell ref="D152:F152"/>
    <mergeCell ref="G152:H152"/>
    <mergeCell ref="D153:F153"/>
    <mergeCell ref="G153:H153"/>
    <mergeCell ref="B154:H154"/>
    <mergeCell ref="G149:H149"/>
    <mergeCell ref="D150:F150"/>
    <mergeCell ref="G150:H150"/>
    <mergeCell ref="D151:F151"/>
    <mergeCell ref="G151:H151"/>
    <mergeCell ref="B139:C139"/>
    <mergeCell ref="B140:C140"/>
    <mergeCell ref="B141:C141"/>
    <mergeCell ref="B142:D142"/>
    <mergeCell ref="D149:F149"/>
    <mergeCell ref="B134:C134"/>
    <mergeCell ref="B135:C135"/>
    <mergeCell ref="B136:C136"/>
    <mergeCell ref="B137:C137"/>
    <mergeCell ref="B138:C138"/>
    <mergeCell ref="A1:H1"/>
    <mergeCell ref="A2:H2"/>
    <mergeCell ref="A3:H3"/>
    <mergeCell ref="B107:H107"/>
    <mergeCell ref="B108:H108"/>
    <mergeCell ref="B109:H109"/>
    <mergeCell ref="B130:C130"/>
    <mergeCell ref="B133:C133"/>
    <mergeCell ref="B111:D111"/>
    <mergeCell ref="B112:C112"/>
    <mergeCell ref="B113:C113"/>
    <mergeCell ref="B114:C114"/>
    <mergeCell ref="B125:C125"/>
    <mergeCell ref="B129:C129"/>
    <mergeCell ref="B127:C127"/>
    <mergeCell ref="B128:C128"/>
    <mergeCell ref="B132:D132"/>
  </mergeCells>
  <hyperlinks>
    <hyperlink ref="B164" r:id="rId1" xr:uid="{0124E3C8-8738-444E-9A3D-636D6ADC14D0}"/>
    <hyperlink ref="B166" r:id="rId2" xr:uid="{A6F11FD5-F65D-406E-AC61-5FAE3D8F7B05}"/>
    <hyperlink ref="B168" r:id="rId3" xr:uid="{CD17D0EF-E470-4E9D-B5DE-C32259AEA6D6}"/>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F06D8-CB36-4A42-97F5-F3A3A912C36B}">
  <sheetPr>
    <outlinePr summaryBelow="0" summaryRight="0"/>
  </sheetPr>
  <dimension ref="A1:R217"/>
  <sheetViews>
    <sheetView showGridLines="0" workbookViewId="0">
      <selection sqref="A1:H1"/>
    </sheetView>
  </sheetViews>
  <sheetFormatPr defaultRowHeight="12.75" x14ac:dyDescent="0.2"/>
  <cols>
    <col min="1" max="1" width="5.85546875" bestFit="1" customWidth="1"/>
    <col min="2" max="2" width="22" customWidth="1"/>
    <col min="3" max="3" width="39.140625" bestFit="1" customWidth="1"/>
    <col min="4" max="4" width="10.7109375" bestFit="1" customWidth="1"/>
    <col min="5" max="5" width="10.42578125" bestFit="1" customWidth="1"/>
    <col min="6" max="6" width="10.140625" bestFit="1" customWidth="1"/>
    <col min="7" max="7" width="14" bestFit="1" customWidth="1"/>
    <col min="8" max="8" width="9.85546875" bestFit="1" customWidth="1"/>
  </cols>
  <sheetData>
    <row r="1" spans="1:8" ht="15" x14ac:dyDescent="0.2">
      <c r="A1" s="164" t="s">
        <v>0</v>
      </c>
      <c r="B1" s="164"/>
      <c r="C1" s="164"/>
      <c r="D1" s="164"/>
      <c r="E1" s="164"/>
      <c r="F1" s="164"/>
      <c r="G1" s="164"/>
      <c r="H1" s="164"/>
    </row>
    <row r="2" spans="1:8" ht="15" x14ac:dyDescent="0.2">
      <c r="A2" s="164" t="s">
        <v>258</v>
      </c>
      <c r="B2" s="164"/>
      <c r="C2" s="164"/>
      <c r="D2" s="164"/>
      <c r="E2" s="164"/>
      <c r="F2" s="164"/>
      <c r="G2" s="164"/>
      <c r="H2" s="164"/>
    </row>
    <row r="3" spans="1:8" ht="15" x14ac:dyDescent="0.2">
      <c r="A3" s="164" t="s">
        <v>537</v>
      </c>
      <c r="B3" s="164"/>
      <c r="C3" s="164"/>
      <c r="D3" s="164"/>
      <c r="E3" s="164"/>
      <c r="F3" s="164"/>
      <c r="G3" s="164"/>
      <c r="H3" s="164"/>
    </row>
    <row r="4" spans="1:8" s="14" customFormat="1" ht="30" x14ac:dyDescent="0.2">
      <c r="A4" s="12" t="s">
        <v>2</v>
      </c>
      <c r="B4" s="12" t="s">
        <v>3</v>
      </c>
      <c r="C4" s="12" t="s">
        <v>4</v>
      </c>
      <c r="D4" s="12" t="s">
        <v>5</v>
      </c>
      <c r="E4" s="12" t="s">
        <v>6</v>
      </c>
      <c r="F4" s="12" t="s">
        <v>7</v>
      </c>
      <c r="G4" s="12" t="s">
        <v>8</v>
      </c>
      <c r="H4" s="13" t="s">
        <v>662</v>
      </c>
    </row>
    <row r="5" spans="1:8" x14ac:dyDescent="0.2">
      <c r="A5" s="15"/>
      <c r="B5" s="15"/>
      <c r="C5" s="16" t="s">
        <v>9</v>
      </c>
      <c r="D5" s="15"/>
      <c r="E5" s="15"/>
      <c r="F5" s="15"/>
      <c r="G5" s="15"/>
      <c r="H5" s="17" t="s">
        <v>12</v>
      </c>
    </row>
    <row r="6" spans="1:8" x14ac:dyDescent="0.2">
      <c r="A6" s="18"/>
      <c r="B6" s="18"/>
      <c r="C6" s="19" t="s">
        <v>10</v>
      </c>
      <c r="D6" s="18"/>
      <c r="E6" s="18"/>
      <c r="F6" s="18"/>
      <c r="G6" s="18"/>
      <c r="H6" s="17" t="s">
        <v>12</v>
      </c>
    </row>
    <row r="7" spans="1:8" x14ac:dyDescent="0.2">
      <c r="A7" s="18"/>
      <c r="B7" s="18"/>
      <c r="C7" s="19" t="s">
        <v>11</v>
      </c>
      <c r="D7" s="18"/>
      <c r="E7" s="18" t="s">
        <v>12</v>
      </c>
      <c r="F7" s="20" t="s">
        <v>13</v>
      </c>
      <c r="G7" s="21">
        <v>0</v>
      </c>
      <c r="H7" s="17" t="s">
        <v>12</v>
      </c>
    </row>
    <row r="8" spans="1:8" x14ac:dyDescent="0.2">
      <c r="A8" s="18"/>
      <c r="B8" s="18"/>
      <c r="C8" s="22"/>
      <c r="D8" s="18"/>
      <c r="E8" s="18"/>
      <c r="F8" s="23"/>
      <c r="G8" s="23"/>
      <c r="H8" s="17" t="s">
        <v>12</v>
      </c>
    </row>
    <row r="9" spans="1:8" x14ac:dyDescent="0.2">
      <c r="A9" s="18"/>
      <c r="B9" s="18"/>
      <c r="C9" s="19" t="s">
        <v>14</v>
      </c>
      <c r="D9" s="18"/>
      <c r="E9" s="18"/>
      <c r="F9" s="18"/>
      <c r="G9" s="18"/>
      <c r="H9" s="17" t="s">
        <v>12</v>
      </c>
    </row>
    <row r="10" spans="1:8" x14ac:dyDescent="0.2">
      <c r="A10" s="18"/>
      <c r="B10" s="18"/>
      <c r="C10" s="19" t="s">
        <v>11</v>
      </c>
      <c r="D10" s="18"/>
      <c r="E10" s="18" t="s">
        <v>12</v>
      </c>
      <c r="F10" s="20" t="s">
        <v>13</v>
      </c>
      <c r="G10" s="21">
        <v>0</v>
      </c>
      <c r="H10" s="17" t="s">
        <v>12</v>
      </c>
    </row>
    <row r="11" spans="1:8" x14ac:dyDescent="0.2">
      <c r="A11" s="18"/>
      <c r="B11" s="18"/>
      <c r="C11" s="22"/>
      <c r="D11" s="18"/>
      <c r="E11" s="18"/>
      <c r="F11" s="23"/>
      <c r="G11" s="23"/>
      <c r="H11" s="17" t="s">
        <v>12</v>
      </c>
    </row>
    <row r="12" spans="1:8" x14ac:dyDescent="0.2">
      <c r="A12" s="18"/>
      <c r="B12" s="18"/>
      <c r="C12" s="19" t="s">
        <v>15</v>
      </c>
      <c r="D12" s="18"/>
      <c r="E12" s="18"/>
      <c r="F12" s="18"/>
      <c r="G12" s="18"/>
      <c r="H12" s="17" t="s">
        <v>12</v>
      </c>
    </row>
    <row r="13" spans="1:8" x14ac:dyDescent="0.2">
      <c r="A13" s="18"/>
      <c r="B13" s="18"/>
      <c r="C13" s="19" t="s">
        <v>11</v>
      </c>
      <c r="D13" s="18"/>
      <c r="E13" s="18" t="s">
        <v>12</v>
      </c>
      <c r="F13" s="20" t="s">
        <v>13</v>
      </c>
      <c r="G13" s="21">
        <v>0</v>
      </c>
      <c r="H13" s="17" t="s">
        <v>12</v>
      </c>
    </row>
    <row r="14" spans="1:8" x14ac:dyDescent="0.2">
      <c r="A14" s="18"/>
      <c r="B14" s="18"/>
      <c r="C14" s="22"/>
      <c r="D14" s="18"/>
      <c r="E14" s="18"/>
      <c r="F14" s="23"/>
      <c r="G14" s="23"/>
      <c r="H14" s="17" t="s">
        <v>12</v>
      </c>
    </row>
    <row r="15" spans="1:8" x14ac:dyDescent="0.2">
      <c r="A15" s="18"/>
      <c r="B15" s="18"/>
      <c r="C15" s="19" t="s">
        <v>16</v>
      </c>
      <c r="D15" s="18"/>
      <c r="E15" s="18"/>
      <c r="F15" s="18"/>
      <c r="G15" s="18"/>
      <c r="H15" s="17" t="s">
        <v>12</v>
      </c>
    </row>
    <row r="16" spans="1:8"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ht="25.5" x14ac:dyDescent="0.2">
      <c r="A28" s="25">
        <v>1</v>
      </c>
      <c r="B28" s="26" t="s">
        <v>259</v>
      </c>
      <c r="C28" s="26" t="s">
        <v>260</v>
      </c>
      <c r="D28" s="26" t="s">
        <v>23</v>
      </c>
      <c r="E28" s="27">
        <v>1100</v>
      </c>
      <c r="F28" s="28">
        <v>10989.715</v>
      </c>
      <c r="G28" s="29">
        <v>1.805004E-2</v>
      </c>
      <c r="H28" s="17">
        <v>7.03</v>
      </c>
    </row>
    <row r="29" spans="1:8" x14ac:dyDescent="0.2">
      <c r="A29" s="18"/>
      <c r="B29" s="18"/>
      <c r="C29" s="19" t="s">
        <v>11</v>
      </c>
      <c r="D29" s="18"/>
      <c r="E29" s="18" t="s">
        <v>12</v>
      </c>
      <c r="F29" s="24">
        <v>10989.715</v>
      </c>
      <c r="G29" s="21">
        <v>1.805004E-2</v>
      </c>
      <c r="H29" s="17" t="s">
        <v>12</v>
      </c>
    </row>
    <row r="30" spans="1:8" x14ac:dyDescent="0.2">
      <c r="A30" s="18"/>
      <c r="B30" s="18"/>
      <c r="C30" s="22"/>
      <c r="D30" s="18"/>
      <c r="E30" s="18"/>
      <c r="F30" s="23"/>
      <c r="G30" s="23"/>
      <c r="H30" s="17" t="s">
        <v>12</v>
      </c>
    </row>
    <row r="31" spans="1:8" x14ac:dyDescent="0.2">
      <c r="A31" s="18"/>
      <c r="B31" s="18"/>
      <c r="C31" s="19" t="s">
        <v>71</v>
      </c>
      <c r="D31" s="18"/>
      <c r="E31" s="18"/>
      <c r="F31" s="18"/>
      <c r="G31" s="18"/>
      <c r="H31" s="17" t="s">
        <v>12</v>
      </c>
    </row>
    <row r="32" spans="1:8" x14ac:dyDescent="0.2">
      <c r="A32" s="18"/>
      <c r="B32" s="18"/>
      <c r="C32" s="19" t="s">
        <v>11</v>
      </c>
      <c r="D32" s="18"/>
      <c r="E32" s="18" t="s">
        <v>12</v>
      </c>
      <c r="F32" s="20" t="s">
        <v>13</v>
      </c>
      <c r="G32" s="21">
        <v>0</v>
      </c>
      <c r="H32" s="17" t="s">
        <v>12</v>
      </c>
    </row>
    <row r="33" spans="1:8" x14ac:dyDescent="0.2">
      <c r="A33" s="18"/>
      <c r="B33" s="18"/>
      <c r="C33" s="22"/>
      <c r="D33" s="18"/>
      <c r="E33" s="18"/>
      <c r="F33" s="23"/>
      <c r="G33" s="23"/>
      <c r="H33" s="17" t="s">
        <v>12</v>
      </c>
    </row>
    <row r="34" spans="1:8" x14ac:dyDescent="0.2">
      <c r="A34" s="18"/>
      <c r="B34" s="18"/>
      <c r="C34" s="19" t="s">
        <v>72</v>
      </c>
      <c r="D34" s="18"/>
      <c r="E34" s="18"/>
      <c r="F34" s="18"/>
      <c r="G34" s="18"/>
      <c r="H34" s="17" t="s">
        <v>12</v>
      </c>
    </row>
    <row r="35" spans="1:8" x14ac:dyDescent="0.2">
      <c r="A35" s="18"/>
      <c r="B35" s="18"/>
      <c r="C35" s="19" t="s">
        <v>11</v>
      </c>
      <c r="D35" s="18"/>
      <c r="E35" s="18" t="s">
        <v>12</v>
      </c>
      <c r="F35" s="20" t="s">
        <v>13</v>
      </c>
      <c r="G35" s="21">
        <v>0</v>
      </c>
      <c r="H35" s="17" t="s">
        <v>12</v>
      </c>
    </row>
    <row r="36" spans="1:8" x14ac:dyDescent="0.2">
      <c r="A36" s="18"/>
      <c r="B36" s="18"/>
      <c r="C36" s="22"/>
      <c r="D36" s="18"/>
      <c r="E36" s="18"/>
      <c r="F36" s="23"/>
      <c r="G36" s="23"/>
      <c r="H36" s="17" t="s">
        <v>12</v>
      </c>
    </row>
    <row r="37" spans="1:8" x14ac:dyDescent="0.2">
      <c r="A37" s="18"/>
      <c r="B37" s="18"/>
      <c r="C37" s="19" t="s">
        <v>88</v>
      </c>
      <c r="D37" s="18"/>
      <c r="E37" s="18"/>
      <c r="F37" s="23"/>
      <c r="G37" s="23"/>
      <c r="H37" s="17" t="s">
        <v>12</v>
      </c>
    </row>
    <row r="38" spans="1:8" x14ac:dyDescent="0.2">
      <c r="A38" s="18"/>
      <c r="B38" s="18"/>
      <c r="C38" s="19" t="s">
        <v>11</v>
      </c>
      <c r="D38" s="18"/>
      <c r="E38" s="18" t="s">
        <v>12</v>
      </c>
      <c r="F38" s="20" t="s">
        <v>13</v>
      </c>
      <c r="G38" s="21">
        <v>0</v>
      </c>
      <c r="H38" s="17" t="s">
        <v>12</v>
      </c>
    </row>
    <row r="39" spans="1:8" x14ac:dyDescent="0.2">
      <c r="A39" s="18"/>
      <c r="B39" s="18"/>
      <c r="C39" s="22"/>
      <c r="D39" s="18"/>
      <c r="E39" s="18"/>
      <c r="F39" s="23"/>
      <c r="G39" s="23"/>
      <c r="H39" s="17" t="s">
        <v>12</v>
      </c>
    </row>
    <row r="40" spans="1:8" x14ac:dyDescent="0.2">
      <c r="A40" s="18"/>
      <c r="B40" s="18"/>
      <c r="C40" s="19" t="s">
        <v>89</v>
      </c>
      <c r="D40" s="18"/>
      <c r="E40" s="18"/>
      <c r="F40" s="24">
        <v>10989.715</v>
      </c>
      <c r="G40" s="21">
        <v>1.805004E-2</v>
      </c>
      <c r="H40" s="17" t="s">
        <v>12</v>
      </c>
    </row>
    <row r="41" spans="1:8" x14ac:dyDescent="0.2">
      <c r="A41" s="18"/>
      <c r="B41" s="18"/>
      <c r="C41" s="22"/>
      <c r="D41" s="18"/>
      <c r="E41" s="18"/>
      <c r="F41" s="23"/>
      <c r="G41" s="23"/>
      <c r="H41" s="17" t="s">
        <v>12</v>
      </c>
    </row>
    <row r="42" spans="1:8" x14ac:dyDescent="0.2">
      <c r="A42" s="18"/>
      <c r="B42" s="18"/>
      <c r="C42" s="19" t="s">
        <v>90</v>
      </c>
      <c r="D42" s="18"/>
      <c r="E42" s="18"/>
      <c r="F42" s="23"/>
      <c r="G42" s="23"/>
      <c r="H42" s="17" t="s">
        <v>12</v>
      </c>
    </row>
    <row r="43" spans="1:8" x14ac:dyDescent="0.2">
      <c r="A43" s="18"/>
      <c r="B43" s="18"/>
      <c r="C43" s="19" t="s">
        <v>91</v>
      </c>
      <c r="D43" s="18"/>
      <c r="E43" s="18"/>
      <c r="F43" s="23"/>
      <c r="G43" s="23"/>
      <c r="H43" s="17" t="s">
        <v>12</v>
      </c>
    </row>
    <row r="44" spans="1:8" x14ac:dyDescent="0.2">
      <c r="A44" s="25">
        <v>1</v>
      </c>
      <c r="B44" s="26" t="s">
        <v>261</v>
      </c>
      <c r="C44" s="26" t="s">
        <v>262</v>
      </c>
      <c r="D44" s="26" t="s">
        <v>149</v>
      </c>
      <c r="E44" s="27">
        <v>6500</v>
      </c>
      <c r="F44" s="28">
        <v>32354.465</v>
      </c>
      <c r="G44" s="29">
        <v>5.3140550000000002E-2</v>
      </c>
      <c r="H44" s="17">
        <v>6.8402000000000003</v>
      </c>
    </row>
    <row r="45" spans="1:8" x14ac:dyDescent="0.2">
      <c r="A45" s="25">
        <v>2</v>
      </c>
      <c r="B45" s="26" t="s">
        <v>263</v>
      </c>
      <c r="C45" s="26" t="s">
        <v>264</v>
      </c>
      <c r="D45" s="26" t="s">
        <v>149</v>
      </c>
      <c r="E45" s="27">
        <v>5000</v>
      </c>
      <c r="F45" s="28">
        <v>24896.474999999999</v>
      </c>
      <c r="G45" s="29">
        <v>4.0891179999999999E-2</v>
      </c>
      <c r="H45" s="17">
        <v>6.8997999999999999</v>
      </c>
    </row>
    <row r="46" spans="1:8" x14ac:dyDescent="0.2">
      <c r="A46" s="25">
        <v>3</v>
      </c>
      <c r="B46" s="26" t="s">
        <v>187</v>
      </c>
      <c r="C46" s="26" t="s">
        <v>188</v>
      </c>
      <c r="D46" s="26" t="s">
        <v>146</v>
      </c>
      <c r="E46" s="27">
        <v>5000</v>
      </c>
      <c r="F46" s="28">
        <v>24611.15</v>
      </c>
      <c r="G46" s="29">
        <v>4.0422550000000002E-2</v>
      </c>
      <c r="H46" s="17">
        <v>7.3949999999999996</v>
      </c>
    </row>
    <row r="47" spans="1:8" x14ac:dyDescent="0.2">
      <c r="A47" s="25">
        <v>4</v>
      </c>
      <c r="B47" s="26" t="s">
        <v>265</v>
      </c>
      <c r="C47" s="26" t="s">
        <v>266</v>
      </c>
      <c r="D47" s="26" t="s">
        <v>143</v>
      </c>
      <c r="E47" s="27">
        <v>4500</v>
      </c>
      <c r="F47" s="28">
        <v>22374.022499999999</v>
      </c>
      <c r="G47" s="29">
        <v>3.674819E-2</v>
      </c>
      <c r="H47" s="17">
        <v>6.8502000000000001</v>
      </c>
    </row>
    <row r="48" spans="1:8" x14ac:dyDescent="0.2">
      <c r="A48" s="25">
        <v>5</v>
      </c>
      <c r="B48" s="26" t="s">
        <v>179</v>
      </c>
      <c r="C48" s="26" t="s">
        <v>180</v>
      </c>
      <c r="D48" s="26" t="s">
        <v>149</v>
      </c>
      <c r="E48" s="27">
        <v>4000</v>
      </c>
      <c r="F48" s="28">
        <v>19854.38</v>
      </c>
      <c r="G48" s="29">
        <v>3.2609800000000001E-2</v>
      </c>
      <c r="H48" s="17">
        <v>6.8650000000000002</v>
      </c>
    </row>
    <row r="49" spans="1:8" x14ac:dyDescent="0.2">
      <c r="A49" s="25">
        <v>6</v>
      </c>
      <c r="B49" s="26" t="s">
        <v>267</v>
      </c>
      <c r="C49" s="26" t="s">
        <v>268</v>
      </c>
      <c r="D49" s="26" t="s">
        <v>149</v>
      </c>
      <c r="E49" s="27">
        <v>3000</v>
      </c>
      <c r="F49" s="28">
        <v>14763.6</v>
      </c>
      <c r="G49" s="29">
        <v>2.4248459999999999E-2</v>
      </c>
      <c r="H49" s="17">
        <v>7.4</v>
      </c>
    </row>
    <row r="50" spans="1:8" x14ac:dyDescent="0.2">
      <c r="A50" s="25">
        <v>7</v>
      </c>
      <c r="B50" s="26" t="s">
        <v>269</v>
      </c>
      <c r="C50" s="26" t="s">
        <v>270</v>
      </c>
      <c r="D50" s="26" t="s">
        <v>149</v>
      </c>
      <c r="E50" s="27">
        <v>2500</v>
      </c>
      <c r="F50" s="28">
        <v>12457.887500000001</v>
      </c>
      <c r="G50" s="29">
        <v>2.0461440000000001E-2</v>
      </c>
      <c r="H50" s="17">
        <v>6.8550000000000004</v>
      </c>
    </row>
    <row r="51" spans="1:8" x14ac:dyDescent="0.2">
      <c r="A51" s="25">
        <v>8</v>
      </c>
      <c r="B51" s="26" t="s">
        <v>271</v>
      </c>
      <c r="C51" s="26" t="s">
        <v>272</v>
      </c>
      <c r="D51" s="26" t="s">
        <v>149</v>
      </c>
      <c r="E51" s="27">
        <v>2000</v>
      </c>
      <c r="F51" s="28">
        <v>9952.9699999999993</v>
      </c>
      <c r="G51" s="29">
        <v>1.6347239999999999E-2</v>
      </c>
      <c r="H51" s="17">
        <v>6.9</v>
      </c>
    </row>
    <row r="52" spans="1:8" x14ac:dyDescent="0.2">
      <c r="A52" s="25">
        <v>9</v>
      </c>
      <c r="B52" s="26" t="s">
        <v>273</v>
      </c>
      <c r="C52" s="26" t="s">
        <v>274</v>
      </c>
      <c r="D52" s="26" t="s">
        <v>143</v>
      </c>
      <c r="E52" s="27">
        <v>2000</v>
      </c>
      <c r="F52" s="28">
        <v>9928.99</v>
      </c>
      <c r="G52" s="29">
        <v>1.630786E-2</v>
      </c>
      <c r="H52" s="17">
        <v>6.87</v>
      </c>
    </row>
    <row r="53" spans="1:8" x14ac:dyDescent="0.2">
      <c r="A53" s="25">
        <v>10</v>
      </c>
      <c r="B53" s="26" t="s">
        <v>275</v>
      </c>
      <c r="C53" s="26" t="s">
        <v>276</v>
      </c>
      <c r="D53" s="26" t="s">
        <v>143</v>
      </c>
      <c r="E53" s="27">
        <v>2000</v>
      </c>
      <c r="F53" s="28">
        <v>9842.36</v>
      </c>
      <c r="G53" s="29">
        <v>1.6165570000000001E-2</v>
      </c>
      <c r="H53" s="17">
        <v>7.4</v>
      </c>
    </row>
    <row r="54" spans="1:8" x14ac:dyDescent="0.2">
      <c r="A54" s="25">
        <v>11</v>
      </c>
      <c r="B54" s="26" t="s">
        <v>277</v>
      </c>
      <c r="C54" s="26" t="s">
        <v>278</v>
      </c>
      <c r="D54" s="26" t="s">
        <v>149</v>
      </c>
      <c r="E54" s="27">
        <v>2000</v>
      </c>
      <c r="F54" s="28">
        <v>9838.2199999999993</v>
      </c>
      <c r="G54" s="29">
        <v>1.6158769999999999E-2</v>
      </c>
      <c r="H54" s="17">
        <v>7.41</v>
      </c>
    </row>
    <row r="55" spans="1:8" x14ac:dyDescent="0.2">
      <c r="A55" s="25">
        <v>12</v>
      </c>
      <c r="B55" s="26" t="s">
        <v>279</v>
      </c>
      <c r="C55" s="26" t="s">
        <v>280</v>
      </c>
      <c r="D55" s="26" t="s">
        <v>149</v>
      </c>
      <c r="E55" s="27">
        <v>2000</v>
      </c>
      <c r="F55" s="28">
        <v>9838.0400000000009</v>
      </c>
      <c r="G55" s="29">
        <v>1.6158479999999999E-2</v>
      </c>
      <c r="H55" s="17">
        <v>7.42</v>
      </c>
    </row>
    <row r="56" spans="1:8" x14ac:dyDescent="0.2">
      <c r="A56" s="25">
        <v>13</v>
      </c>
      <c r="B56" s="26" t="s">
        <v>281</v>
      </c>
      <c r="C56" s="26" t="s">
        <v>282</v>
      </c>
      <c r="D56" s="26" t="s">
        <v>149</v>
      </c>
      <c r="E56" s="27">
        <v>2000</v>
      </c>
      <c r="F56" s="28">
        <v>9836</v>
      </c>
      <c r="G56" s="29">
        <v>1.615513E-2</v>
      </c>
      <c r="H56" s="17">
        <v>7.5149999999999997</v>
      </c>
    </row>
    <row r="57" spans="1:8" x14ac:dyDescent="0.2">
      <c r="A57" s="25">
        <v>14</v>
      </c>
      <c r="B57" s="26" t="s">
        <v>283</v>
      </c>
      <c r="C57" s="26" t="s">
        <v>284</v>
      </c>
      <c r="D57" s="26" t="s">
        <v>149</v>
      </c>
      <c r="E57" s="27">
        <v>1500</v>
      </c>
      <c r="F57" s="28">
        <v>7456.1475</v>
      </c>
      <c r="G57" s="29">
        <v>1.224634E-2</v>
      </c>
      <c r="H57" s="17">
        <v>6.9249999999999998</v>
      </c>
    </row>
    <row r="58" spans="1:8" x14ac:dyDescent="0.2">
      <c r="A58" s="25">
        <v>15</v>
      </c>
      <c r="B58" s="26" t="s">
        <v>285</v>
      </c>
      <c r="C58" s="26" t="s">
        <v>286</v>
      </c>
      <c r="D58" s="26" t="s">
        <v>149</v>
      </c>
      <c r="E58" s="27">
        <v>1500</v>
      </c>
      <c r="F58" s="28">
        <v>7455.1350000000002</v>
      </c>
      <c r="G58" s="29">
        <v>1.2244680000000001E-2</v>
      </c>
      <c r="H58" s="17">
        <v>6.8650000000000002</v>
      </c>
    </row>
    <row r="59" spans="1:8" x14ac:dyDescent="0.2">
      <c r="A59" s="25">
        <v>16</v>
      </c>
      <c r="B59" s="26" t="s">
        <v>287</v>
      </c>
      <c r="C59" s="26" t="s">
        <v>288</v>
      </c>
      <c r="D59" s="26" t="s">
        <v>149</v>
      </c>
      <c r="E59" s="27">
        <v>1500</v>
      </c>
      <c r="F59" s="28">
        <v>7449.5625</v>
      </c>
      <c r="G59" s="29">
        <v>1.223553E-2</v>
      </c>
      <c r="H59" s="17">
        <v>6.8650000000000002</v>
      </c>
    </row>
    <row r="60" spans="1:8" ht="25.5" x14ac:dyDescent="0.2">
      <c r="A60" s="25">
        <v>17</v>
      </c>
      <c r="B60" s="26" t="s">
        <v>289</v>
      </c>
      <c r="C60" s="26" t="s">
        <v>290</v>
      </c>
      <c r="D60" s="26" t="s">
        <v>149</v>
      </c>
      <c r="E60" s="27">
        <v>1500</v>
      </c>
      <c r="F60" s="28">
        <v>7446.8549999999996</v>
      </c>
      <c r="G60" s="29">
        <v>1.223108E-2</v>
      </c>
      <c r="H60" s="17">
        <v>6.8550000000000004</v>
      </c>
    </row>
    <row r="61" spans="1:8" x14ac:dyDescent="0.2">
      <c r="A61" s="25">
        <v>18</v>
      </c>
      <c r="B61" s="26" t="s">
        <v>291</v>
      </c>
      <c r="C61" s="26" t="s">
        <v>292</v>
      </c>
      <c r="D61" s="26" t="s">
        <v>146</v>
      </c>
      <c r="E61" s="27">
        <v>1500</v>
      </c>
      <c r="F61" s="28">
        <v>7409.9250000000002</v>
      </c>
      <c r="G61" s="29">
        <v>1.217042E-2</v>
      </c>
      <c r="H61" s="17">
        <v>7.3949999999999996</v>
      </c>
    </row>
    <row r="62" spans="1:8" x14ac:dyDescent="0.2">
      <c r="A62" s="25">
        <v>19</v>
      </c>
      <c r="B62" s="26" t="s">
        <v>293</v>
      </c>
      <c r="C62" s="26" t="s">
        <v>294</v>
      </c>
      <c r="D62" s="26" t="s">
        <v>149</v>
      </c>
      <c r="E62" s="27">
        <v>1000</v>
      </c>
      <c r="F62" s="28">
        <v>4985.8649999999998</v>
      </c>
      <c r="G62" s="29">
        <v>8.1890299999999999E-3</v>
      </c>
      <c r="H62" s="17">
        <v>6.9</v>
      </c>
    </row>
    <row r="63" spans="1:8" x14ac:dyDescent="0.2">
      <c r="A63" s="25">
        <v>20</v>
      </c>
      <c r="B63" s="26" t="s">
        <v>295</v>
      </c>
      <c r="C63" s="26" t="s">
        <v>296</v>
      </c>
      <c r="D63" s="26" t="s">
        <v>149</v>
      </c>
      <c r="E63" s="27">
        <v>1000</v>
      </c>
      <c r="F63" s="28">
        <v>4982.13</v>
      </c>
      <c r="G63" s="29">
        <v>8.18289E-3</v>
      </c>
      <c r="H63" s="17">
        <v>6.89</v>
      </c>
    </row>
    <row r="64" spans="1:8" ht="25.5" x14ac:dyDescent="0.2">
      <c r="A64" s="25">
        <v>21</v>
      </c>
      <c r="B64" s="26" t="s">
        <v>297</v>
      </c>
      <c r="C64" s="26" t="s">
        <v>298</v>
      </c>
      <c r="D64" s="26" t="s">
        <v>149</v>
      </c>
      <c r="E64" s="27">
        <v>1000</v>
      </c>
      <c r="F64" s="28">
        <v>4982.12</v>
      </c>
      <c r="G64" s="29">
        <v>8.18288E-3</v>
      </c>
      <c r="H64" s="17">
        <v>6.8949999999999996</v>
      </c>
    </row>
    <row r="65" spans="1:8" x14ac:dyDescent="0.2">
      <c r="A65" s="25">
        <v>22</v>
      </c>
      <c r="B65" s="26" t="s">
        <v>299</v>
      </c>
      <c r="C65" s="26" t="s">
        <v>300</v>
      </c>
      <c r="D65" s="26" t="s">
        <v>149</v>
      </c>
      <c r="E65" s="27">
        <v>1000</v>
      </c>
      <c r="F65" s="28">
        <v>4978.54</v>
      </c>
      <c r="G65" s="29">
        <v>8.1770000000000002E-3</v>
      </c>
      <c r="H65" s="17">
        <v>6.84</v>
      </c>
    </row>
    <row r="66" spans="1:8" x14ac:dyDescent="0.2">
      <c r="A66" s="25">
        <v>23</v>
      </c>
      <c r="B66" s="26" t="s">
        <v>301</v>
      </c>
      <c r="C66" s="26" t="s">
        <v>302</v>
      </c>
      <c r="D66" s="26" t="s">
        <v>149</v>
      </c>
      <c r="E66" s="27">
        <v>1000</v>
      </c>
      <c r="F66" s="28">
        <v>4918.0200000000004</v>
      </c>
      <c r="G66" s="29">
        <v>8.0776000000000008E-3</v>
      </c>
      <c r="H66" s="17">
        <v>7.42</v>
      </c>
    </row>
    <row r="67" spans="1:8" x14ac:dyDescent="0.2">
      <c r="A67" s="25">
        <v>24</v>
      </c>
      <c r="B67" s="26" t="s">
        <v>303</v>
      </c>
      <c r="C67" s="26" t="s">
        <v>304</v>
      </c>
      <c r="D67" s="26" t="s">
        <v>149</v>
      </c>
      <c r="E67" s="27">
        <v>500</v>
      </c>
      <c r="F67" s="28">
        <v>2488.335</v>
      </c>
      <c r="G67" s="29">
        <v>4.0869599999999997E-3</v>
      </c>
      <c r="H67" s="17">
        <v>6.8449999999999998</v>
      </c>
    </row>
    <row r="68" spans="1:8" x14ac:dyDescent="0.2">
      <c r="A68" s="18"/>
      <c r="B68" s="18"/>
      <c r="C68" s="19" t="s">
        <v>11</v>
      </c>
      <c r="D68" s="18"/>
      <c r="E68" s="18" t="s">
        <v>12</v>
      </c>
      <c r="F68" s="24">
        <v>275101.19500000001</v>
      </c>
      <c r="G68" s="21">
        <v>0.45183962999999999</v>
      </c>
      <c r="H68" s="17" t="s">
        <v>12</v>
      </c>
    </row>
    <row r="69" spans="1:8" x14ac:dyDescent="0.2">
      <c r="A69" s="18"/>
      <c r="B69" s="18"/>
      <c r="C69" s="22"/>
      <c r="D69" s="18"/>
      <c r="E69" s="18"/>
      <c r="F69" s="23"/>
      <c r="G69" s="23"/>
      <c r="H69" s="17" t="s">
        <v>12</v>
      </c>
    </row>
    <row r="70" spans="1:8" x14ac:dyDescent="0.2">
      <c r="A70" s="18"/>
      <c r="B70" s="18"/>
      <c r="C70" s="19" t="s">
        <v>92</v>
      </c>
      <c r="D70" s="18"/>
      <c r="E70" s="18"/>
      <c r="F70" s="23"/>
      <c r="G70" s="23"/>
      <c r="H70" s="17" t="s">
        <v>12</v>
      </c>
    </row>
    <row r="71" spans="1:8" x14ac:dyDescent="0.2">
      <c r="A71" s="25">
        <v>1</v>
      </c>
      <c r="B71" s="26" t="s">
        <v>305</v>
      </c>
      <c r="C71" s="26" t="s">
        <v>306</v>
      </c>
      <c r="D71" s="26" t="s">
        <v>149</v>
      </c>
      <c r="E71" s="27">
        <v>4000</v>
      </c>
      <c r="F71" s="28">
        <v>19663.34</v>
      </c>
      <c r="G71" s="29">
        <v>3.2296030000000003E-2</v>
      </c>
      <c r="H71" s="17">
        <v>7.7149999999999999</v>
      </c>
    </row>
    <row r="72" spans="1:8" ht="25.5" x14ac:dyDescent="0.2">
      <c r="A72" s="25">
        <v>2</v>
      </c>
      <c r="B72" s="26" t="s">
        <v>307</v>
      </c>
      <c r="C72" s="26" t="s">
        <v>308</v>
      </c>
      <c r="D72" s="26" t="s">
        <v>149</v>
      </c>
      <c r="E72" s="27">
        <v>3000</v>
      </c>
      <c r="F72" s="28">
        <v>14932.605</v>
      </c>
      <c r="G72" s="29">
        <v>2.4526039999999999E-2</v>
      </c>
      <c r="H72" s="17">
        <v>6.8650000000000002</v>
      </c>
    </row>
    <row r="73" spans="1:8" ht="25.5" x14ac:dyDescent="0.2">
      <c r="A73" s="25">
        <v>3</v>
      </c>
      <c r="B73" s="26" t="s">
        <v>309</v>
      </c>
      <c r="C73" s="26" t="s">
        <v>310</v>
      </c>
      <c r="D73" s="26" t="s">
        <v>149</v>
      </c>
      <c r="E73" s="27">
        <v>3000</v>
      </c>
      <c r="F73" s="28">
        <v>14759.01</v>
      </c>
      <c r="G73" s="29">
        <v>2.4240919999999999E-2</v>
      </c>
      <c r="H73" s="17">
        <v>7.45</v>
      </c>
    </row>
    <row r="74" spans="1:8" x14ac:dyDescent="0.2">
      <c r="A74" s="25">
        <v>4</v>
      </c>
      <c r="B74" s="26" t="s">
        <v>311</v>
      </c>
      <c r="C74" s="26" t="s">
        <v>312</v>
      </c>
      <c r="D74" s="26" t="s">
        <v>149</v>
      </c>
      <c r="E74" s="27">
        <v>2000</v>
      </c>
      <c r="F74" s="28">
        <v>9978.7900000000009</v>
      </c>
      <c r="G74" s="29">
        <v>1.6389649999999999E-2</v>
      </c>
      <c r="H74" s="17">
        <v>7.0549999999999997</v>
      </c>
    </row>
    <row r="75" spans="1:8" ht="25.5" x14ac:dyDescent="0.2">
      <c r="A75" s="25">
        <v>5</v>
      </c>
      <c r="B75" s="26" t="s">
        <v>313</v>
      </c>
      <c r="C75" s="26" t="s">
        <v>314</v>
      </c>
      <c r="D75" s="26" t="s">
        <v>149</v>
      </c>
      <c r="E75" s="27">
        <v>2000</v>
      </c>
      <c r="F75" s="28">
        <v>9966.18</v>
      </c>
      <c r="G75" s="29">
        <v>1.6368939999999998E-2</v>
      </c>
      <c r="H75" s="17">
        <v>6.8803000000000001</v>
      </c>
    </row>
    <row r="76" spans="1:8" ht="25.5" x14ac:dyDescent="0.2">
      <c r="A76" s="25">
        <v>6</v>
      </c>
      <c r="B76" s="26" t="s">
        <v>315</v>
      </c>
      <c r="C76" s="26" t="s">
        <v>316</v>
      </c>
      <c r="D76" s="26" t="s">
        <v>149</v>
      </c>
      <c r="E76" s="27">
        <v>2000</v>
      </c>
      <c r="F76" s="28">
        <v>9952.66</v>
      </c>
      <c r="G76" s="29">
        <v>1.634673E-2</v>
      </c>
      <c r="H76" s="17">
        <v>6.9450000000000003</v>
      </c>
    </row>
    <row r="77" spans="1:8" x14ac:dyDescent="0.2">
      <c r="A77" s="25">
        <v>7</v>
      </c>
      <c r="B77" s="26" t="s">
        <v>317</v>
      </c>
      <c r="C77" s="26" t="s">
        <v>318</v>
      </c>
      <c r="D77" s="26" t="s">
        <v>149</v>
      </c>
      <c r="E77" s="27">
        <v>2000</v>
      </c>
      <c r="F77" s="28">
        <v>9934.2000000000007</v>
      </c>
      <c r="G77" s="29">
        <v>1.631641E-2</v>
      </c>
      <c r="H77" s="17">
        <v>7.5549999999999997</v>
      </c>
    </row>
    <row r="78" spans="1:8" ht="25.5" x14ac:dyDescent="0.2">
      <c r="A78" s="25">
        <v>8</v>
      </c>
      <c r="B78" s="26" t="s">
        <v>319</v>
      </c>
      <c r="C78" s="26" t="s">
        <v>320</v>
      </c>
      <c r="D78" s="26" t="s">
        <v>149</v>
      </c>
      <c r="E78" s="27">
        <v>2000</v>
      </c>
      <c r="F78" s="28">
        <v>9857.25</v>
      </c>
      <c r="G78" s="29">
        <v>1.6190030000000001E-2</v>
      </c>
      <c r="H78" s="17">
        <v>7.4450000000000003</v>
      </c>
    </row>
    <row r="79" spans="1:8" x14ac:dyDescent="0.2">
      <c r="A79" s="25">
        <v>9</v>
      </c>
      <c r="B79" s="26" t="s">
        <v>321</v>
      </c>
      <c r="C79" s="26" t="s">
        <v>322</v>
      </c>
      <c r="D79" s="26" t="s">
        <v>149</v>
      </c>
      <c r="E79" s="27">
        <v>2000</v>
      </c>
      <c r="F79" s="28">
        <v>9840.2900000000009</v>
      </c>
      <c r="G79" s="29">
        <v>1.616217E-2</v>
      </c>
      <c r="H79" s="17">
        <v>7.4050000000000002</v>
      </c>
    </row>
    <row r="80" spans="1:8" x14ac:dyDescent="0.2">
      <c r="A80" s="25">
        <v>10</v>
      </c>
      <c r="B80" s="26" t="s">
        <v>323</v>
      </c>
      <c r="C80" s="26" t="s">
        <v>324</v>
      </c>
      <c r="D80" s="26" t="s">
        <v>149</v>
      </c>
      <c r="E80" s="27">
        <v>2000</v>
      </c>
      <c r="F80" s="28">
        <v>9831.2800000000007</v>
      </c>
      <c r="G80" s="29">
        <v>1.6147370000000001E-2</v>
      </c>
      <c r="H80" s="17">
        <v>7.83</v>
      </c>
    </row>
    <row r="81" spans="1:8" x14ac:dyDescent="0.2">
      <c r="A81" s="25">
        <v>11</v>
      </c>
      <c r="B81" s="26" t="s">
        <v>325</v>
      </c>
      <c r="C81" s="26" t="s">
        <v>326</v>
      </c>
      <c r="D81" s="26" t="s">
        <v>149</v>
      </c>
      <c r="E81" s="27">
        <v>2000</v>
      </c>
      <c r="F81" s="28">
        <v>9829.85</v>
      </c>
      <c r="G81" s="29">
        <v>1.6145030000000001E-2</v>
      </c>
      <c r="H81" s="17">
        <v>7.8</v>
      </c>
    </row>
    <row r="82" spans="1:8" ht="25.5" x14ac:dyDescent="0.2">
      <c r="A82" s="25">
        <v>12</v>
      </c>
      <c r="B82" s="26" t="s">
        <v>327</v>
      </c>
      <c r="C82" s="26" t="s">
        <v>328</v>
      </c>
      <c r="D82" s="26" t="s">
        <v>143</v>
      </c>
      <c r="E82" s="27">
        <v>1500</v>
      </c>
      <c r="F82" s="28">
        <v>7464.1350000000002</v>
      </c>
      <c r="G82" s="29">
        <v>1.225946E-2</v>
      </c>
      <c r="H82" s="17">
        <v>7.0149999999999997</v>
      </c>
    </row>
    <row r="83" spans="1:8" x14ac:dyDescent="0.2">
      <c r="A83" s="25">
        <v>13</v>
      </c>
      <c r="B83" s="26" t="s">
        <v>329</v>
      </c>
      <c r="C83" s="26" t="s">
        <v>330</v>
      </c>
      <c r="D83" s="26" t="s">
        <v>149</v>
      </c>
      <c r="E83" s="27">
        <v>1500</v>
      </c>
      <c r="F83" s="28">
        <v>7453.4775</v>
      </c>
      <c r="G83" s="29">
        <v>1.224196E-2</v>
      </c>
      <c r="H83" s="17">
        <v>7.12</v>
      </c>
    </row>
    <row r="84" spans="1:8" x14ac:dyDescent="0.2">
      <c r="A84" s="25">
        <v>14</v>
      </c>
      <c r="B84" s="26" t="s">
        <v>331</v>
      </c>
      <c r="C84" s="26" t="s">
        <v>332</v>
      </c>
      <c r="D84" s="26" t="s">
        <v>149</v>
      </c>
      <c r="E84" s="27">
        <v>1500</v>
      </c>
      <c r="F84" s="28">
        <v>7450.68</v>
      </c>
      <c r="G84" s="29">
        <v>1.2237359999999999E-2</v>
      </c>
      <c r="H84" s="17">
        <v>7.55</v>
      </c>
    </row>
    <row r="85" spans="1:8" ht="25.5" x14ac:dyDescent="0.2">
      <c r="A85" s="25">
        <v>15</v>
      </c>
      <c r="B85" s="26" t="s">
        <v>333</v>
      </c>
      <c r="C85" s="26" t="s">
        <v>334</v>
      </c>
      <c r="D85" s="26" t="s">
        <v>149</v>
      </c>
      <c r="E85" s="27">
        <v>1500</v>
      </c>
      <c r="F85" s="28">
        <v>7449.8774999999996</v>
      </c>
      <c r="G85" s="29">
        <v>1.223604E-2</v>
      </c>
      <c r="H85" s="17">
        <v>7.6749999999999998</v>
      </c>
    </row>
    <row r="86" spans="1:8" x14ac:dyDescent="0.2">
      <c r="A86" s="25">
        <v>16</v>
      </c>
      <c r="B86" s="26" t="s">
        <v>335</v>
      </c>
      <c r="C86" s="26" t="s">
        <v>336</v>
      </c>
      <c r="D86" s="26" t="s">
        <v>149</v>
      </c>
      <c r="E86" s="27">
        <v>1500</v>
      </c>
      <c r="F86" s="28">
        <v>7449.8175000000001</v>
      </c>
      <c r="G86" s="29">
        <v>1.2235940000000001E-2</v>
      </c>
      <c r="H86" s="17">
        <v>7.45</v>
      </c>
    </row>
    <row r="87" spans="1:8" ht="25.5" x14ac:dyDescent="0.2">
      <c r="A87" s="25">
        <v>17</v>
      </c>
      <c r="B87" s="26" t="s">
        <v>337</v>
      </c>
      <c r="C87" s="26" t="s">
        <v>338</v>
      </c>
      <c r="D87" s="26" t="s">
        <v>149</v>
      </c>
      <c r="E87" s="27">
        <v>1500</v>
      </c>
      <c r="F87" s="28">
        <v>7393.0950000000003</v>
      </c>
      <c r="G87" s="29">
        <v>1.2142780000000001E-2</v>
      </c>
      <c r="H87" s="17">
        <v>8.1199999999999992</v>
      </c>
    </row>
    <row r="88" spans="1:8" ht="25.5" x14ac:dyDescent="0.2">
      <c r="A88" s="25">
        <v>18</v>
      </c>
      <c r="B88" s="26" t="s">
        <v>339</v>
      </c>
      <c r="C88" s="26" t="s">
        <v>340</v>
      </c>
      <c r="D88" s="26" t="s">
        <v>149</v>
      </c>
      <c r="E88" s="27">
        <v>1500</v>
      </c>
      <c r="F88" s="28">
        <v>7380.9825000000001</v>
      </c>
      <c r="G88" s="29">
        <v>1.2122890000000001E-2</v>
      </c>
      <c r="H88" s="17">
        <v>7.45</v>
      </c>
    </row>
    <row r="89" spans="1:8" x14ac:dyDescent="0.2">
      <c r="A89" s="25">
        <v>19</v>
      </c>
      <c r="B89" s="26" t="s">
        <v>341</v>
      </c>
      <c r="C89" s="26" t="s">
        <v>342</v>
      </c>
      <c r="D89" s="26" t="s">
        <v>149</v>
      </c>
      <c r="E89" s="27">
        <v>1500</v>
      </c>
      <c r="F89" s="28">
        <v>7373.3625000000002</v>
      </c>
      <c r="G89" s="29">
        <v>1.2110370000000001E-2</v>
      </c>
      <c r="H89" s="17">
        <v>7.6449999999999996</v>
      </c>
    </row>
    <row r="90" spans="1:8" ht="25.5" x14ac:dyDescent="0.2">
      <c r="A90" s="25">
        <v>20</v>
      </c>
      <c r="B90" s="26" t="s">
        <v>343</v>
      </c>
      <c r="C90" s="26" t="s">
        <v>344</v>
      </c>
      <c r="D90" s="26" t="s">
        <v>143</v>
      </c>
      <c r="E90" s="27">
        <v>1000</v>
      </c>
      <c r="F90" s="28">
        <v>4981.8100000000004</v>
      </c>
      <c r="G90" s="29">
        <v>8.1823699999999996E-3</v>
      </c>
      <c r="H90" s="17">
        <v>7.0149999999999997</v>
      </c>
    </row>
    <row r="91" spans="1:8" ht="25.5" x14ac:dyDescent="0.2">
      <c r="A91" s="25">
        <v>21</v>
      </c>
      <c r="B91" s="26" t="s">
        <v>345</v>
      </c>
      <c r="C91" s="26" t="s">
        <v>346</v>
      </c>
      <c r="D91" s="26" t="s">
        <v>149</v>
      </c>
      <c r="E91" s="27">
        <v>1000</v>
      </c>
      <c r="F91" s="28">
        <v>4974.3450000000003</v>
      </c>
      <c r="G91" s="29">
        <v>8.1701099999999995E-3</v>
      </c>
      <c r="H91" s="17">
        <v>7.53</v>
      </c>
    </row>
    <row r="92" spans="1:8" ht="25.5" x14ac:dyDescent="0.2">
      <c r="A92" s="25">
        <v>22</v>
      </c>
      <c r="B92" s="26" t="s">
        <v>347</v>
      </c>
      <c r="C92" s="26" t="s">
        <v>348</v>
      </c>
      <c r="D92" s="26" t="s">
        <v>149</v>
      </c>
      <c r="E92" s="27">
        <v>1000</v>
      </c>
      <c r="F92" s="28">
        <v>4973.6000000000004</v>
      </c>
      <c r="G92" s="29">
        <v>8.1688799999999999E-3</v>
      </c>
      <c r="H92" s="17">
        <v>7.75</v>
      </c>
    </row>
    <row r="93" spans="1:8" x14ac:dyDescent="0.2">
      <c r="A93" s="25">
        <v>23</v>
      </c>
      <c r="B93" s="26" t="s">
        <v>349</v>
      </c>
      <c r="C93" s="26" t="s">
        <v>350</v>
      </c>
      <c r="D93" s="26" t="s">
        <v>149</v>
      </c>
      <c r="E93" s="27">
        <v>1000</v>
      </c>
      <c r="F93" s="28">
        <v>4970.99</v>
      </c>
      <c r="G93" s="29">
        <v>8.1645999999999993E-3</v>
      </c>
      <c r="H93" s="17">
        <v>7.1</v>
      </c>
    </row>
    <row r="94" spans="1:8" x14ac:dyDescent="0.2">
      <c r="A94" s="25">
        <v>24</v>
      </c>
      <c r="B94" s="26" t="s">
        <v>351</v>
      </c>
      <c r="C94" s="26" t="s">
        <v>352</v>
      </c>
      <c r="D94" s="26" t="s">
        <v>149</v>
      </c>
      <c r="E94" s="27">
        <v>1000</v>
      </c>
      <c r="F94" s="28">
        <v>4970.7700000000004</v>
      </c>
      <c r="G94" s="29">
        <v>8.1642399999999997E-3</v>
      </c>
      <c r="H94" s="17">
        <v>7.1550000000000002</v>
      </c>
    </row>
    <row r="95" spans="1:8" x14ac:dyDescent="0.2">
      <c r="A95" s="25">
        <v>25</v>
      </c>
      <c r="B95" s="26" t="s">
        <v>353</v>
      </c>
      <c r="C95" s="26" t="s">
        <v>354</v>
      </c>
      <c r="D95" s="26" t="s">
        <v>149</v>
      </c>
      <c r="E95" s="27">
        <v>1000</v>
      </c>
      <c r="F95" s="28">
        <v>4966.45</v>
      </c>
      <c r="G95" s="29">
        <v>8.1571400000000002E-3</v>
      </c>
      <c r="H95" s="17">
        <v>7.7050000000000001</v>
      </c>
    </row>
    <row r="96" spans="1:8" x14ac:dyDescent="0.2">
      <c r="A96" s="25">
        <v>26</v>
      </c>
      <c r="B96" s="26" t="s">
        <v>355</v>
      </c>
      <c r="C96" s="26" t="s">
        <v>356</v>
      </c>
      <c r="D96" s="26" t="s">
        <v>149</v>
      </c>
      <c r="E96" s="27">
        <v>1000</v>
      </c>
      <c r="F96" s="28">
        <v>4931.0649999999996</v>
      </c>
      <c r="G96" s="29">
        <v>8.0990200000000002E-3</v>
      </c>
      <c r="H96" s="17">
        <v>7.85</v>
      </c>
    </row>
    <row r="97" spans="1:8" x14ac:dyDescent="0.2">
      <c r="A97" s="25">
        <v>27</v>
      </c>
      <c r="B97" s="26" t="s">
        <v>357</v>
      </c>
      <c r="C97" s="26" t="s">
        <v>358</v>
      </c>
      <c r="D97" s="26" t="s">
        <v>149</v>
      </c>
      <c r="E97" s="27">
        <v>1000</v>
      </c>
      <c r="F97" s="28">
        <v>4917.3149999999996</v>
      </c>
      <c r="G97" s="29">
        <v>8.0764400000000007E-3</v>
      </c>
      <c r="H97" s="17">
        <v>7.4850000000000003</v>
      </c>
    </row>
    <row r="98" spans="1:8" x14ac:dyDescent="0.2">
      <c r="A98" s="25">
        <v>28</v>
      </c>
      <c r="B98" s="26" t="s">
        <v>359</v>
      </c>
      <c r="C98" s="26" t="s">
        <v>360</v>
      </c>
      <c r="D98" s="26" t="s">
        <v>149</v>
      </c>
      <c r="E98" s="27">
        <v>1000</v>
      </c>
      <c r="F98" s="28">
        <v>4915.9549999999999</v>
      </c>
      <c r="G98" s="29">
        <v>8.0742000000000001E-3</v>
      </c>
      <c r="H98" s="17">
        <v>7.8</v>
      </c>
    </row>
    <row r="99" spans="1:8" ht="25.5" x14ac:dyDescent="0.2">
      <c r="A99" s="25">
        <v>29</v>
      </c>
      <c r="B99" s="26" t="s">
        <v>361</v>
      </c>
      <c r="C99" s="26" t="s">
        <v>362</v>
      </c>
      <c r="D99" s="26" t="s">
        <v>149</v>
      </c>
      <c r="E99" s="27">
        <v>1000</v>
      </c>
      <c r="F99" s="28">
        <v>4912.57</v>
      </c>
      <c r="G99" s="29">
        <v>8.0686400000000002E-3</v>
      </c>
      <c r="H99" s="17">
        <v>8.1199999999999992</v>
      </c>
    </row>
    <row r="100" spans="1:8" x14ac:dyDescent="0.2">
      <c r="A100" s="25">
        <v>30</v>
      </c>
      <c r="B100" s="26" t="s">
        <v>363</v>
      </c>
      <c r="C100" s="26" t="s">
        <v>364</v>
      </c>
      <c r="D100" s="26" t="s">
        <v>149</v>
      </c>
      <c r="E100" s="27">
        <v>1000</v>
      </c>
      <c r="F100" s="28">
        <v>4910.8050000000003</v>
      </c>
      <c r="G100" s="29">
        <v>8.06575E-3</v>
      </c>
      <c r="H100" s="17">
        <v>8.0850000000000009</v>
      </c>
    </row>
    <row r="101" spans="1:8" x14ac:dyDescent="0.2">
      <c r="A101" s="25">
        <v>31</v>
      </c>
      <c r="B101" s="26" t="s">
        <v>365</v>
      </c>
      <c r="C101" s="26" t="s">
        <v>366</v>
      </c>
      <c r="D101" s="26" t="s">
        <v>149</v>
      </c>
      <c r="E101" s="27">
        <v>900</v>
      </c>
      <c r="F101" s="28">
        <v>4489.6679999999997</v>
      </c>
      <c r="G101" s="29">
        <v>7.37405E-3</v>
      </c>
      <c r="H101" s="17">
        <v>7</v>
      </c>
    </row>
    <row r="102" spans="1:8" ht="25.5" x14ac:dyDescent="0.2">
      <c r="A102" s="25">
        <v>32</v>
      </c>
      <c r="B102" s="26" t="s">
        <v>367</v>
      </c>
      <c r="C102" s="26" t="s">
        <v>368</v>
      </c>
      <c r="D102" s="26" t="s">
        <v>149</v>
      </c>
      <c r="E102" s="27">
        <v>600</v>
      </c>
      <c r="F102" s="28">
        <v>2997.1469999999999</v>
      </c>
      <c r="G102" s="29">
        <v>4.9226599999999997E-3</v>
      </c>
      <c r="H102" s="17">
        <v>6.95</v>
      </c>
    </row>
    <row r="103" spans="1:8" x14ac:dyDescent="0.2">
      <c r="A103" s="25">
        <v>33</v>
      </c>
      <c r="B103" s="26" t="s">
        <v>369</v>
      </c>
      <c r="C103" s="26" t="s">
        <v>370</v>
      </c>
      <c r="D103" s="26" t="s">
        <v>149</v>
      </c>
      <c r="E103" s="27">
        <v>500</v>
      </c>
      <c r="F103" s="28">
        <v>2494.4349999999999</v>
      </c>
      <c r="G103" s="29">
        <v>4.0969800000000001E-3</v>
      </c>
      <c r="H103" s="17">
        <v>7.4050000000000002</v>
      </c>
    </row>
    <row r="104" spans="1:8" x14ac:dyDescent="0.2">
      <c r="A104" s="18"/>
      <c r="B104" s="18"/>
      <c r="C104" s="19" t="s">
        <v>11</v>
      </c>
      <c r="D104" s="18"/>
      <c r="E104" s="18" t="s">
        <v>12</v>
      </c>
      <c r="F104" s="24">
        <v>252367.8075</v>
      </c>
      <c r="G104" s="21">
        <v>0.41450120000000001</v>
      </c>
      <c r="H104" s="17" t="s">
        <v>12</v>
      </c>
    </row>
    <row r="105" spans="1:8" x14ac:dyDescent="0.2">
      <c r="A105" s="18"/>
      <c r="B105" s="18"/>
      <c r="C105" s="22"/>
      <c r="D105" s="18"/>
      <c r="E105" s="18"/>
      <c r="F105" s="23"/>
      <c r="G105" s="23"/>
      <c r="H105" s="17" t="s">
        <v>12</v>
      </c>
    </row>
    <row r="106" spans="1:8" x14ac:dyDescent="0.2">
      <c r="A106" s="18"/>
      <c r="B106" s="18"/>
      <c r="C106" s="19" t="s">
        <v>93</v>
      </c>
      <c r="D106" s="18"/>
      <c r="E106" s="18"/>
      <c r="F106" s="23"/>
      <c r="G106" s="23"/>
      <c r="H106" s="17" t="s">
        <v>12</v>
      </c>
    </row>
    <row r="107" spans="1:8" x14ac:dyDescent="0.2">
      <c r="A107" s="25">
        <v>1</v>
      </c>
      <c r="B107" s="26" t="s">
        <v>371</v>
      </c>
      <c r="C107" s="26" t="s">
        <v>372</v>
      </c>
      <c r="D107" s="26" t="s">
        <v>75</v>
      </c>
      <c r="E107" s="27">
        <v>20000000</v>
      </c>
      <c r="F107" s="28">
        <v>19718.3</v>
      </c>
      <c r="G107" s="29">
        <v>3.23863E-2</v>
      </c>
      <c r="H107" s="17">
        <v>6.4375</v>
      </c>
    </row>
    <row r="108" spans="1:8" x14ac:dyDescent="0.2">
      <c r="A108" s="25">
        <v>2</v>
      </c>
      <c r="B108" s="26" t="s">
        <v>373</v>
      </c>
      <c r="C108" s="26" t="s">
        <v>374</v>
      </c>
      <c r="D108" s="26" t="s">
        <v>75</v>
      </c>
      <c r="E108" s="27">
        <v>10000000</v>
      </c>
      <c r="F108" s="28">
        <v>9944.81</v>
      </c>
      <c r="G108" s="29">
        <v>1.6333839999999999E-2</v>
      </c>
      <c r="H108" s="17">
        <v>6.33</v>
      </c>
    </row>
    <row r="109" spans="1:8" x14ac:dyDescent="0.2">
      <c r="A109" s="25">
        <v>3</v>
      </c>
      <c r="B109" s="26" t="s">
        <v>375</v>
      </c>
      <c r="C109" s="26" t="s">
        <v>376</v>
      </c>
      <c r="D109" s="26" t="s">
        <v>75</v>
      </c>
      <c r="E109" s="27">
        <v>10000000</v>
      </c>
      <c r="F109" s="28">
        <v>9883.8799999999992</v>
      </c>
      <c r="G109" s="29">
        <v>1.6233770000000002E-2</v>
      </c>
      <c r="H109" s="17">
        <v>6.4</v>
      </c>
    </row>
    <row r="110" spans="1:8" x14ac:dyDescent="0.2">
      <c r="A110" s="25">
        <v>4</v>
      </c>
      <c r="B110" s="26" t="s">
        <v>207</v>
      </c>
      <c r="C110" s="26" t="s">
        <v>208</v>
      </c>
      <c r="D110" s="26" t="s">
        <v>75</v>
      </c>
      <c r="E110" s="27">
        <v>10000000</v>
      </c>
      <c r="F110" s="28">
        <v>9872.11</v>
      </c>
      <c r="G110" s="29">
        <v>1.621444E-2</v>
      </c>
      <c r="H110" s="17">
        <v>6.39</v>
      </c>
    </row>
    <row r="111" spans="1:8" x14ac:dyDescent="0.2">
      <c r="A111" s="25">
        <v>5</v>
      </c>
      <c r="B111" s="26" t="s">
        <v>377</v>
      </c>
      <c r="C111" s="26" t="s">
        <v>378</v>
      </c>
      <c r="D111" s="26" t="s">
        <v>75</v>
      </c>
      <c r="E111" s="27">
        <v>10000000</v>
      </c>
      <c r="F111" s="28">
        <v>9847.34</v>
      </c>
      <c r="G111" s="29">
        <v>1.6173750000000001E-2</v>
      </c>
      <c r="H111" s="17">
        <v>6.43</v>
      </c>
    </row>
    <row r="112" spans="1:8" x14ac:dyDescent="0.2">
      <c r="A112" s="25">
        <v>6</v>
      </c>
      <c r="B112" s="26" t="s">
        <v>379</v>
      </c>
      <c r="C112" s="26" t="s">
        <v>380</v>
      </c>
      <c r="D112" s="26" t="s">
        <v>75</v>
      </c>
      <c r="E112" s="27">
        <v>5000000</v>
      </c>
      <c r="F112" s="28">
        <v>4953.1850000000004</v>
      </c>
      <c r="G112" s="29">
        <v>8.1353499999999995E-3</v>
      </c>
      <c r="H112" s="17">
        <v>6.3886000000000003</v>
      </c>
    </row>
    <row r="113" spans="1:17" x14ac:dyDescent="0.2">
      <c r="A113" s="25">
        <v>7</v>
      </c>
      <c r="B113" s="26" t="s">
        <v>381</v>
      </c>
      <c r="C113" s="26" t="s">
        <v>382</v>
      </c>
      <c r="D113" s="26" t="s">
        <v>75</v>
      </c>
      <c r="E113" s="27">
        <v>3000000</v>
      </c>
      <c r="F113" s="28">
        <v>2997.933</v>
      </c>
      <c r="G113" s="29">
        <v>4.9239499999999999E-3</v>
      </c>
      <c r="H113" s="17">
        <v>6.2960000000000003</v>
      </c>
    </row>
    <row r="114" spans="1:17" x14ac:dyDescent="0.2">
      <c r="A114" s="25">
        <v>8</v>
      </c>
      <c r="B114" s="26" t="s">
        <v>383</v>
      </c>
      <c r="C114" s="26" t="s">
        <v>384</v>
      </c>
      <c r="D114" s="26" t="s">
        <v>75</v>
      </c>
      <c r="E114" s="27">
        <v>1000000</v>
      </c>
      <c r="F114" s="28">
        <v>998.10599999999999</v>
      </c>
      <c r="G114" s="29">
        <v>1.63934E-3</v>
      </c>
      <c r="H114" s="17">
        <v>6.2960000000000003</v>
      </c>
    </row>
    <row r="115" spans="1:17" x14ac:dyDescent="0.2">
      <c r="A115" s="18"/>
      <c r="B115" s="18"/>
      <c r="C115" s="19" t="s">
        <v>11</v>
      </c>
      <c r="D115" s="18"/>
      <c r="E115" s="18" t="s">
        <v>12</v>
      </c>
      <c r="F115" s="24">
        <v>68215.664000000004</v>
      </c>
      <c r="G115" s="21">
        <v>0.11204074</v>
      </c>
      <c r="H115" s="17" t="s">
        <v>12</v>
      </c>
    </row>
    <row r="116" spans="1:17" x14ac:dyDescent="0.2">
      <c r="A116" s="18"/>
      <c r="B116" s="18"/>
      <c r="C116" s="22"/>
      <c r="D116" s="18"/>
      <c r="E116" s="18"/>
      <c r="F116" s="23"/>
      <c r="G116" s="23"/>
      <c r="H116" s="17" t="s">
        <v>12</v>
      </c>
    </row>
    <row r="117" spans="1:17" x14ac:dyDescent="0.2">
      <c r="A117" s="18"/>
      <c r="B117" s="18"/>
      <c r="C117" s="19" t="s">
        <v>94</v>
      </c>
      <c r="D117" s="18"/>
      <c r="E117" s="18"/>
      <c r="F117" s="23"/>
      <c r="G117" s="23"/>
      <c r="H117" s="17" t="s">
        <v>12</v>
      </c>
    </row>
    <row r="118" spans="1:17" x14ac:dyDescent="0.2">
      <c r="A118" s="25">
        <v>1</v>
      </c>
      <c r="B118" s="26"/>
      <c r="C118" s="26" t="s">
        <v>95</v>
      </c>
      <c r="D118" s="26"/>
      <c r="E118" s="30"/>
      <c r="F118" s="28">
        <v>74.348539099999996</v>
      </c>
      <c r="G118" s="29">
        <v>1.2211000000000001E-4</v>
      </c>
      <c r="H118" s="17">
        <v>6.33</v>
      </c>
    </row>
    <row r="119" spans="1:17" x14ac:dyDescent="0.2">
      <c r="A119" s="18"/>
      <c r="B119" s="18"/>
      <c r="C119" s="19" t="s">
        <v>11</v>
      </c>
      <c r="D119" s="18"/>
      <c r="E119" s="18" t="s">
        <v>12</v>
      </c>
      <c r="F119" s="24">
        <v>74.348539099999996</v>
      </c>
      <c r="G119" s="21">
        <v>1.2211000000000001E-4</v>
      </c>
      <c r="H119" s="17" t="s">
        <v>12</v>
      </c>
    </row>
    <row r="120" spans="1:17" x14ac:dyDescent="0.2">
      <c r="A120" s="18"/>
      <c r="B120" s="18"/>
      <c r="C120" s="22"/>
      <c r="D120" s="18"/>
      <c r="E120" s="18"/>
      <c r="F120" s="23"/>
      <c r="G120" s="23"/>
      <c r="H120" s="17" t="s">
        <v>12</v>
      </c>
    </row>
    <row r="121" spans="1:17" x14ac:dyDescent="0.2">
      <c r="A121" s="18"/>
      <c r="B121" s="18"/>
      <c r="C121" s="19" t="s">
        <v>96</v>
      </c>
      <c r="D121" s="18"/>
      <c r="E121" s="18"/>
      <c r="F121" s="24">
        <v>595759.01503909996</v>
      </c>
      <c r="G121" s="21">
        <v>0.97850367999999999</v>
      </c>
      <c r="H121" s="17" t="s">
        <v>12</v>
      </c>
    </row>
    <row r="122" spans="1:17" x14ac:dyDescent="0.2">
      <c r="A122" s="18"/>
      <c r="B122" s="18"/>
      <c r="C122" s="23"/>
      <c r="D122" s="18"/>
      <c r="E122" s="18"/>
      <c r="F122" s="18"/>
      <c r="G122" s="18"/>
      <c r="H122" s="17" t="s">
        <v>12</v>
      </c>
    </row>
    <row r="123" spans="1:17" x14ac:dyDescent="0.2">
      <c r="A123" s="18"/>
      <c r="B123" s="18"/>
      <c r="C123" s="19" t="s">
        <v>97</v>
      </c>
      <c r="D123" s="18"/>
      <c r="E123" s="18"/>
      <c r="F123" s="18"/>
      <c r="G123" s="18"/>
      <c r="H123" s="17" t="s">
        <v>12</v>
      </c>
    </row>
    <row r="124" spans="1:17" x14ac:dyDescent="0.2">
      <c r="A124" s="18"/>
      <c r="B124" s="18"/>
      <c r="C124" s="19" t="s">
        <v>98</v>
      </c>
      <c r="D124" s="18"/>
      <c r="E124" s="18"/>
      <c r="F124" s="18"/>
      <c r="G124" s="18"/>
      <c r="H124" s="17" t="s">
        <v>12</v>
      </c>
    </row>
    <row r="125" spans="1:17" x14ac:dyDescent="0.2">
      <c r="A125" s="18"/>
      <c r="B125" s="18"/>
      <c r="C125" s="19" t="s">
        <v>11</v>
      </c>
      <c r="D125" s="18"/>
      <c r="E125" s="18" t="s">
        <v>12</v>
      </c>
      <c r="F125" s="20" t="s">
        <v>13</v>
      </c>
      <c r="G125" s="21">
        <v>0</v>
      </c>
      <c r="H125" s="17" t="s">
        <v>12</v>
      </c>
    </row>
    <row r="126" spans="1:17" x14ac:dyDescent="0.2">
      <c r="A126" s="70"/>
      <c r="B126" s="70"/>
      <c r="C126" s="71"/>
      <c r="D126" s="70"/>
      <c r="E126" s="70"/>
      <c r="F126" s="72"/>
      <c r="G126" s="72"/>
      <c r="H126" s="68" t="s">
        <v>12</v>
      </c>
    </row>
    <row r="127" spans="1:17" x14ac:dyDescent="0.2">
      <c r="A127" s="70"/>
      <c r="B127" s="70"/>
      <c r="C127" s="73" t="s">
        <v>538</v>
      </c>
      <c r="D127" s="70"/>
      <c r="E127" s="70"/>
      <c r="F127" s="72"/>
      <c r="G127" s="72"/>
      <c r="H127" s="66"/>
      <c r="K127" s="50"/>
      <c r="L127" s="50"/>
      <c r="M127" s="50"/>
      <c r="N127" s="50"/>
      <c r="O127" s="74"/>
      <c r="P127" s="74"/>
      <c r="Q127" s="74"/>
    </row>
    <row r="128" spans="1:17" ht="25.5" x14ac:dyDescent="0.2">
      <c r="A128" s="63">
        <v>1</v>
      </c>
      <c r="B128" s="64" t="s">
        <v>99</v>
      </c>
      <c r="C128" s="64" t="s">
        <v>100</v>
      </c>
      <c r="D128" s="64"/>
      <c r="E128" s="75">
        <v>13489.8614</v>
      </c>
      <c r="F128" s="66">
        <v>1475.969456415</v>
      </c>
      <c r="G128" s="67">
        <v>2.4242000000000001E-3</v>
      </c>
      <c r="H128" s="68"/>
    </row>
    <row r="129" spans="1:8" x14ac:dyDescent="0.2">
      <c r="A129" s="70"/>
      <c r="B129" s="70"/>
      <c r="C129" s="73" t="s">
        <v>11</v>
      </c>
      <c r="D129" s="70"/>
      <c r="E129" s="70" t="s">
        <v>12</v>
      </c>
      <c r="F129" s="76">
        <f>SUM(F128)</f>
        <v>1475.969456415</v>
      </c>
      <c r="G129" s="77">
        <f>SUM(G128)</f>
        <v>2.4242000000000001E-3</v>
      </c>
      <c r="H129" s="68" t="s">
        <v>12</v>
      </c>
    </row>
    <row r="130" spans="1:8" x14ac:dyDescent="0.2">
      <c r="A130" s="18"/>
      <c r="B130" s="18"/>
      <c r="C130" s="22"/>
      <c r="D130" s="18"/>
      <c r="E130" s="18"/>
      <c r="F130" s="23"/>
      <c r="G130" s="23"/>
      <c r="H130" s="17" t="s">
        <v>12</v>
      </c>
    </row>
    <row r="131" spans="1:8" x14ac:dyDescent="0.2">
      <c r="A131" s="18"/>
      <c r="B131" s="18"/>
      <c r="C131" s="19" t="s">
        <v>101</v>
      </c>
      <c r="D131" s="18"/>
      <c r="E131" s="18"/>
      <c r="F131" s="18"/>
      <c r="G131" s="18"/>
      <c r="H131" s="17" t="s">
        <v>12</v>
      </c>
    </row>
    <row r="132" spans="1:8" x14ac:dyDescent="0.2">
      <c r="A132" s="18"/>
      <c r="B132" s="18"/>
      <c r="C132" s="19" t="s">
        <v>102</v>
      </c>
      <c r="D132" s="18"/>
      <c r="E132" s="18"/>
      <c r="F132" s="18"/>
      <c r="G132" s="18"/>
      <c r="H132" s="17" t="s">
        <v>12</v>
      </c>
    </row>
    <row r="133" spans="1:8" x14ac:dyDescent="0.2">
      <c r="A133" s="18"/>
      <c r="B133" s="18"/>
      <c r="C133" s="19" t="s">
        <v>11</v>
      </c>
      <c r="D133" s="18"/>
      <c r="E133" s="18" t="s">
        <v>12</v>
      </c>
      <c r="F133" s="20" t="s">
        <v>13</v>
      </c>
      <c r="G133" s="21">
        <v>0</v>
      </c>
      <c r="H133" s="17" t="s">
        <v>12</v>
      </c>
    </row>
    <row r="134" spans="1:8" x14ac:dyDescent="0.2">
      <c r="A134" s="18"/>
      <c r="B134" s="18"/>
      <c r="C134" s="22"/>
      <c r="D134" s="18"/>
      <c r="E134" s="18"/>
      <c r="F134" s="23"/>
      <c r="G134" s="23"/>
      <c r="H134" s="17" t="s">
        <v>12</v>
      </c>
    </row>
    <row r="135" spans="1:8" x14ac:dyDescent="0.2">
      <c r="A135" s="18"/>
      <c r="B135" s="18"/>
      <c r="C135" s="19" t="s">
        <v>103</v>
      </c>
      <c r="D135" s="18"/>
      <c r="E135" s="18"/>
      <c r="F135" s="23"/>
      <c r="G135" s="23"/>
      <c r="H135" s="17" t="s">
        <v>12</v>
      </c>
    </row>
    <row r="136" spans="1:8" x14ac:dyDescent="0.2">
      <c r="A136" s="18"/>
      <c r="B136" s="18"/>
      <c r="C136" s="19" t="s">
        <v>11</v>
      </c>
      <c r="D136" s="18"/>
      <c r="E136" s="18" t="s">
        <v>12</v>
      </c>
      <c r="F136" s="20" t="s">
        <v>13</v>
      </c>
      <c r="G136" s="21">
        <v>0</v>
      </c>
      <c r="H136" s="17" t="s">
        <v>12</v>
      </c>
    </row>
    <row r="137" spans="1:8" x14ac:dyDescent="0.2">
      <c r="A137" s="18"/>
      <c r="B137" s="18"/>
      <c r="C137" s="22"/>
      <c r="D137" s="18"/>
      <c r="E137" s="18"/>
      <c r="F137" s="23"/>
      <c r="G137" s="23"/>
      <c r="H137" s="17" t="s">
        <v>12</v>
      </c>
    </row>
    <row r="138" spans="1:8" x14ac:dyDescent="0.2">
      <c r="A138" s="30"/>
      <c r="B138" s="26"/>
      <c r="C138" s="26" t="s">
        <v>104</v>
      </c>
      <c r="D138" s="26"/>
      <c r="E138" s="30"/>
      <c r="F138" s="28">
        <v>622.30475235509516</v>
      </c>
      <c r="G138" s="29">
        <v>1.0221099999999999E-3</v>
      </c>
      <c r="H138" s="17" t="s">
        <v>12</v>
      </c>
    </row>
    <row r="139" spans="1:8" x14ac:dyDescent="0.2">
      <c r="A139" s="22"/>
      <c r="B139" s="22"/>
      <c r="C139" s="19" t="s">
        <v>105</v>
      </c>
      <c r="D139" s="23"/>
      <c r="E139" s="23"/>
      <c r="F139" s="24">
        <v>608847.00424787006</v>
      </c>
      <c r="G139" s="31">
        <v>1.00000003</v>
      </c>
      <c r="H139" s="17" t="s">
        <v>12</v>
      </c>
    </row>
    <row r="140" spans="1:8" x14ac:dyDescent="0.2">
      <c r="A140" s="32"/>
      <c r="B140" s="32"/>
      <c r="C140" s="32"/>
      <c r="D140" s="33"/>
      <c r="E140" s="33"/>
      <c r="F140" s="33"/>
      <c r="G140" s="33"/>
    </row>
    <row r="141" spans="1:8" x14ac:dyDescent="0.2">
      <c r="A141" s="34"/>
      <c r="B141" s="151" t="s">
        <v>539</v>
      </c>
      <c r="C141" s="151"/>
      <c r="D141" s="151"/>
      <c r="E141" s="151"/>
      <c r="F141" s="151"/>
      <c r="G141" s="151"/>
      <c r="H141" s="151"/>
    </row>
    <row r="142" spans="1:8" x14ac:dyDescent="0.2">
      <c r="A142" s="34"/>
      <c r="B142" s="151" t="s">
        <v>540</v>
      </c>
      <c r="C142" s="151"/>
      <c r="D142" s="151"/>
      <c r="E142" s="151"/>
      <c r="F142" s="151"/>
      <c r="G142" s="151"/>
      <c r="H142" s="151"/>
    </row>
    <row r="143" spans="1:8" x14ac:dyDescent="0.2">
      <c r="A143" s="34"/>
      <c r="B143" s="151" t="s">
        <v>541</v>
      </c>
      <c r="C143" s="151"/>
      <c r="D143" s="151"/>
      <c r="E143" s="151"/>
      <c r="F143" s="151"/>
      <c r="G143" s="151"/>
      <c r="H143" s="151"/>
    </row>
    <row r="144" spans="1:8" x14ac:dyDescent="0.2">
      <c r="A144" s="34"/>
      <c r="B144" s="170" t="s">
        <v>598</v>
      </c>
      <c r="C144" s="151"/>
      <c r="D144" s="151"/>
      <c r="E144" s="151"/>
      <c r="F144" s="151"/>
      <c r="G144" s="151"/>
      <c r="H144" s="151"/>
    </row>
    <row r="145" spans="1:7" x14ac:dyDescent="0.2">
      <c r="A145" s="36"/>
      <c r="B145" s="36"/>
      <c r="C145" s="36"/>
      <c r="D145" s="37"/>
      <c r="E145" s="37"/>
      <c r="F145" s="37"/>
      <c r="G145" s="37"/>
    </row>
    <row r="146" spans="1:7" x14ac:dyDescent="0.2">
      <c r="A146" s="36"/>
      <c r="B146" s="154" t="s">
        <v>106</v>
      </c>
      <c r="C146" s="155"/>
      <c r="D146" s="156"/>
      <c r="E146" s="38"/>
      <c r="F146" s="37"/>
      <c r="G146" s="37"/>
    </row>
    <row r="147" spans="1:7" ht="25.5" x14ac:dyDescent="0.2">
      <c r="A147" s="36"/>
      <c r="B147" s="157" t="s">
        <v>107</v>
      </c>
      <c r="C147" s="158"/>
      <c r="D147" s="73" t="s">
        <v>566</v>
      </c>
      <c r="E147" s="38"/>
      <c r="F147" s="37"/>
      <c r="G147" s="37"/>
    </row>
    <row r="148" spans="1:7" x14ac:dyDescent="0.2">
      <c r="A148" s="36"/>
      <c r="B148" s="157" t="s">
        <v>109</v>
      </c>
      <c r="C148" s="158"/>
      <c r="D148" s="19" t="s">
        <v>108</v>
      </c>
      <c r="E148" s="38"/>
      <c r="F148" s="37"/>
      <c r="G148" s="37"/>
    </row>
    <row r="149" spans="1:7" x14ac:dyDescent="0.2">
      <c r="A149" s="36"/>
      <c r="B149" s="157" t="s">
        <v>110</v>
      </c>
      <c r="C149" s="158"/>
      <c r="D149" s="23" t="s">
        <v>12</v>
      </c>
      <c r="E149" s="38"/>
      <c r="F149" s="37"/>
      <c r="G149" s="37"/>
    </row>
    <row r="150" spans="1:7" x14ac:dyDescent="0.2">
      <c r="A150" s="39"/>
      <c r="B150" s="40" t="s">
        <v>12</v>
      </c>
      <c r="C150" s="40" t="s">
        <v>542</v>
      </c>
      <c r="D150" s="40" t="s">
        <v>111</v>
      </c>
      <c r="E150" s="39"/>
      <c r="F150" s="39"/>
      <c r="G150" s="39"/>
    </row>
    <row r="151" spans="1:7" x14ac:dyDescent="0.2">
      <c r="A151" s="39"/>
      <c r="B151" s="41" t="s">
        <v>112</v>
      </c>
      <c r="C151" s="42">
        <v>45688</v>
      </c>
      <c r="D151" s="42">
        <v>45703</v>
      </c>
      <c r="E151" s="39"/>
      <c r="F151" s="39"/>
      <c r="G151" s="39"/>
    </row>
    <row r="152" spans="1:7" x14ac:dyDescent="0.2">
      <c r="A152" s="43"/>
      <c r="B152" s="26" t="s">
        <v>113</v>
      </c>
      <c r="C152" s="44">
        <v>2263.2276999999999</v>
      </c>
      <c r="D152" s="44">
        <v>2270.1505999999999</v>
      </c>
      <c r="E152" s="43"/>
      <c r="F152" s="45"/>
      <c r="G152" s="46"/>
    </row>
    <row r="153" spans="1:7" x14ac:dyDescent="0.2">
      <c r="A153" s="43"/>
      <c r="B153" s="26" t="s">
        <v>138</v>
      </c>
      <c r="C153" s="44">
        <v>1244.5623000000001</v>
      </c>
      <c r="D153" s="44">
        <v>1248.3688999999999</v>
      </c>
      <c r="E153" s="43"/>
      <c r="F153" s="45"/>
      <c r="G153" s="46"/>
    </row>
    <row r="154" spans="1:7" ht="25.5" x14ac:dyDescent="0.2">
      <c r="A154" s="43"/>
      <c r="B154" s="26" t="s">
        <v>663</v>
      </c>
      <c r="C154" s="44">
        <v>1026.9078</v>
      </c>
      <c r="D154" s="44">
        <v>1030.0489</v>
      </c>
      <c r="E154" s="43"/>
      <c r="F154" s="45"/>
      <c r="G154" s="46"/>
    </row>
    <row r="155" spans="1:7" ht="25.5" x14ac:dyDescent="0.2">
      <c r="A155" s="43"/>
      <c r="B155" s="26" t="s">
        <v>664</v>
      </c>
      <c r="C155" s="44">
        <v>1144.547</v>
      </c>
      <c r="D155" s="44">
        <v>1148.0458000000001</v>
      </c>
      <c r="E155" s="43"/>
      <c r="F155" s="45"/>
      <c r="G155" s="46"/>
    </row>
    <row r="156" spans="1:7" x14ac:dyDescent="0.2">
      <c r="A156" s="43"/>
      <c r="B156" s="26" t="s">
        <v>114</v>
      </c>
      <c r="C156" s="44">
        <v>2239.1480999999999</v>
      </c>
      <c r="D156" s="44">
        <v>2245.748</v>
      </c>
      <c r="E156" s="43"/>
      <c r="F156" s="45"/>
      <c r="G156" s="46"/>
    </row>
    <row r="157" spans="1:7" x14ac:dyDescent="0.2">
      <c r="A157" s="43"/>
      <c r="B157" s="26" t="s">
        <v>139</v>
      </c>
      <c r="C157" s="44">
        <v>1239.4364</v>
      </c>
      <c r="D157" s="44">
        <v>1243.0897</v>
      </c>
      <c r="E157" s="43"/>
      <c r="F157" s="45"/>
      <c r="G157" s="46"/>
    </row>
    <row r="158" spans="1:7" ht="25.5" x14ac:dyDescent="0.2">
      <c r="A158" s="43"/>
      <c r="B158" s="26" t="s">
        <v>667</v>
      </c>
      <c r="C158" s="44">
        <v>1026.7755</v>
      </c>
      <c r="D158" s="44">
        <v>1029.8019999999999</v>
      </c>
      <c r="E158" s="43"/>
      <c r="F158" s="45"/>
      <c r="G158" s="46"/>
    </row>
    <row r="159" spans="1:7" ht="25.5" x14ac:dyDescent="0.2">
      <c r="A159" s="43"/>
      <c r="B159" s="26" t="s">
        <v>668</v>
      </c>
      <c r="C159" s="44">
        <v>1140.0446999999999</v>
      </c>
      <c r="D159" s="44">
        <v>1143.405</v>
      </c>
      <c r="E159" s="43"/>
      <c r="F159" s="45"/>
      <c r="G159" s="46"/>
    </row>
    <row r="160" spans="1:7" x14ac:dyDescent="0.2">
      <c r="A160" s="43"/>
      <c r="B160" s="43"/>
      <c r="C160" s="43"/>
      <c r="D160" s="43"/>
      <c r="E160" s="43"/>
      <c r="F160" s="43"/>
      <c r="G160" s="43"/>
    </row>
    <row r="161" spans="1:18" x14ac:dyDescent="0.2">
      <c r="A161" s="43"/>
      <c r="B161" s="157" t="s">
        <v>643</v>
      </c>
      <c r="C161" s="158"/>
      <c r="D161" s="73" t="s">
        <v>108</v>
      </c>
      <c r="E161" s="43"/>
      <c r="F161" s="43"/>
      <c r="G161" s="43"/>
    </row>
    <row r="162" spans="1:18" x14ac:dyDescent="0.2">
      <c r="A162" s="43"/>
      <c r="B162" s="48"/>
      <c r="C162" s="48"/>
      <c r="D162" s="48"/>
      <c r="E162" s="43"/>
      <c r="F162" s="43"/>
      <c r="G162" s="43"/>
    </row>
    <row r="163" spans="1:18" s="51" customFormat="1" x14ac:dyDescent="0.2">
      <c r="A163" s="91"/>
      <c r="B163" s="159" t="s">
        <v>557</v>
      </c>
      <c r="C163" s="160"/>
      <c r="D163" s="73" t="s">
        <v>108</v>
      </c>
      <c r="E163" s="91"/>
      <c r="F163" s="91"/>
      <c r="G163" s="91"/>
      <c r="I163"/>
      <c r="J163" s="14"/>
      <c r="K163" s="50"/>
      <c r="L163" s="50"/>
      <c r="M163" s="50"/>
      <c r="N163" s="50"/>
      <c r="O163" s="52"/>
      <c r="P163"/>
      <c r="Q163"/>
    </row>
    <row r="164" spans="1:18" ht="27.75" customHeight="1" x14ac:dyDescent="0.2">
      <c r="A164" s="39"/>
      <c r="B164" s="159" t="s">
        <v>558</v>
      </c>
      <c r="C164" s="160"/>
      <c r="D164" s="73" t="s">
        <v>108</v>
      </c>
      <c r="E164" s="49"/>
      <c r="F164" s="39"/>
      <c r="G164" s="39"/>
      <c r="J164" s="14"/>
    </row>
    <row r="165" spans="1:18" ht="26.25" customHeight="1" x14ac:dyDescent="0.2">
      <c r="A165" s="39"/>
      <c r="B165" s="159" t="s">
        <v>559</v>
      </c>
      <c r="C165" s="160"/>
      <c r="D165" s="73" t="s">
        <v>108</v>
      </c>
      <c r="E165" s="49"/>
      <c r="F165" s="39"/>
      <c r="G165" s="39"/>
      <c r="J165" s="14"/>
    </row>
    <row r="166" spans="1:18" x14ac:dyDescent="0.2">
      <c r="A166" s="39"/>
      <c r="B166" s="159" t="s">
        <v>560</v>
      </c>
      <c r="C166" s="160"/>
      <c r="D166" s="73" t="s">
        <v>108</v>
      </c>
      <c r="E166" s="49"/>
      <c r="F166" s="39"/>
      <c r="G166" s="39"/>
      <c r="J166" s="14"/>
    </row>
    <row r="167" spans="1:18" x14ac:dyDescent="0.2">
      <c r="A167" s="48"/>
      <c r="B167" s="48"/>
      <c r="C167" s="48"/>
      <c r="D167" s="48"/>
      <c r="E167" s="48"/>
      <c r="F167" s="48"/>
      <c r="G167" s="48"/>
      <c r="J167" s="14"/>
    </row>
    <row r="168" spans="1:18" s="51" customFormat="1" x14ac:dyDescent="0.2">
      <c r="B168" s="128" t="s">
        <v>658</v>
      </c>
      <c r="C168" s="128"/>
      <c r="D168" s="128"/>
      <c r="E168" s="128"/>
      <c r="F168" s="128"/>
      <c r="G168" s="128"/>
      <c r="I168"/>
      <c r="J168" s="14"/>
      <c r="K168" s="50"/>
      <c r="L168" s="50"/>
      <c r="M168" s="50"/>
      <c r="N168" s="50"/>
      <c r="O168"/>
    </row>
    <row r="169" spans="1:18" s="51" customFormat="1" x14ac:dyDescent="0.2">
      <c r="B169" s="128"/>
      <c r="C169" s="128"/>
      <c r="D169" s="128"/>
      <c r="E169" s="128"/>
      <c r="F169" s="128"/>
      <c r="G169" s="128"/>
      <c r="I169"/>
      <c r="J169" s="14"/>
      <c r="K169" s="50"/>
      <c r="L169" s="50"/>
      <c r="M169" s="50"/>
      <c r="N169" s="50"/>
      <c r="O169"/>
    </row>
    <row r="170" spans="1:18" s="51" customFormat="1" ht="63.75" x14ac:dyDescent="0.2">
      <c r="B170" s="131" t="s">
        <v>569</v>
      </c>
      <c r="C170" s="131" t="s">
        <v>568</v>
      </c>
      <c r="D170" s="131" t="s">
        <v>599</v>
      </c>
      <c r="E170" s="131" t="s">
        <v>600</v>
      </c>
      <c r="F170" s="131" t="s">
        <v>572</v>
      </c>
      <c r="I170"/>
      <c r="J170" s="14"/>
      <c r="K170" s="50"/>
      <c r="L170" s="50"/>
      <c r="M170" s="50"/>
      <c r="N170" s="50"/>
      <c r="O170"/>
    </row>
    <row r="171" spans="1:18" s="51" customFormat="1" ht="25.5" x14ac:dyDescent="0.2">
      <c r="B171" s="54" t="s">
        <v>574</v>
      </c>
      <c r="C171" s="132" t="s">
        <v>573</v>
      </c>
      <c r="D171" s="145">
        <v>0</v>
      </c>
      <c r="E171" s="10">
        <v>0</v>
      </c>
      <c r="F171" s="133">
        <v>5650</v>
      </c>
      <c r="I171"/>
      <c r="J171" s="14"/>
      <c r="K171" s="50"/>
      <c r="L171" s="50"/>
      <c r="M171" s="50"/>
      <c r="N171" s="50"/>
      <c r="O171"/>
      <c r="R171"/>
    </row>
    <row r="172" spans="1:18" s="51" customFormat="1" x14ac:dyDescent="0.2">
      <c r="I172"/>
      <c r="J172" s="14"/>
      <c r="K172" s="50"/>
      <c r="L172" s="50"/>
      <c r="M172" s="50"/>
      <c r="N172" s="50"/>
      <c r="O172"/>
      <c r="R172"/>
    </row>
    <row r="173" spans="1:18" s="51" customFormat="1" x14ac:dyDescent="0.2">
      <c r="B173" s="161" t="s">
        <v>544</v>
      </c>
      <c r="C173" s="162"/>
      <c r="D173" s="163"/>
      <c r="I173"/>
      <c r="J173" s="14"/>
      <c r="K173" s="50"/>
      <c r="L173" s="50"/>
      <c r="M173" s="50"/>
      <c r="N173" s="50"/>
      <c r="O173"/>
      <c r="R173"/>
    </row>
    <row r="174" spans="1:18" s="51" customFormat="1" ht="25.5" x14ac:dyDescent="0.2">
      <c r="B174" s="152" t="s">
        <v>545</v>
      </c>
      <c r="C174" s="152"/>
      <c r="D174" s="53" t="s">
        <v>258</v>
      </c>
      <c r="I174"/>
      <c r="J174" s="14"/>
      <c r="K174" s="50"/>
      <c r="L174" s="50"/>
      <c r="M174" s="50"/>
      <c r="N174" s="50"/>
      <c r="O174"/>
      <c r="R174"/>
    </row>
    <row r="175" spans="1:18" s="51" customFormat="1" x14ac:dyDescent="0.2">
      <c r="B175" s="153" t="s">
        <v>546</v>
      </c>
      <c r="C175" s="153"/>
      <c r="D175" s="54"/>
      <c r="I175"/>
      <c r="J175" s="14"/>
      <c r="K175" s="50"/>
      <c r="L175" s="50"/>
      <c r="M175" s="50"/>
      <c r="N175" s="50"/>
      <c r="O175"/>
      <c r="R175"/>
    </row>
    <row r="176" spans="1:18" s="51" customFormat="1" x14ac:dyDescent="0.2">
      <c r="B176" s="153"/>
      <c r="C176" s="153"/>
      <c r="D176" s="55"/>
      <c r="I176"/>
      <c r="J176" s="14"/>
      <c r="K176" s="50"/>
      <c r="L176" s="50"/>
      <c r="M176" s="50"/>
      <c r="N176" s="50"/>
      <c r="O176"/>
      <c r="R176"/>
    </row>
    <row r="177" spans="2:18" s="51" customFormat="1" x14ac:dyDescent="0.2">
      <c r="B177" s="153" t="s">
        <v>547</v>
      </c>
      <c r="C177" s="153"/>
      <c r="D177" s="108">
        <v>7.1372927240112638</v>
      </c>
      <c r="I177"/>
      <c r="J177" s="14"/>
      <c r="K177" s="50"/>
      <c r="L177" s="50"/>
      <c r="M177" s="50"/>
      <c r="N177" s="50"/>
      <c r="O177"/>
      <c r="R177"/>
    </row>
    <row r="178" spans="2:18" s="51" customFormat="1" x14ac:dyDescent="0.2">
      <c r="B178" s="153"/>
      <c r="C178" s="153"/>
      <c r="D178" s="55"/>
      <c r="I178"/>
      <c r="J178" s="14"/>
      <c r="K178" s="50"/>
      <c r="L178" s="50"/>
      <c r="M178" s="50"/>
      <c r="N178" s="50"/>
      <c r="O178"/>
      <c r="R178"/>
    </row>
    <row r="179" spans="2:18" s="51" customFormat="1" x14ac:dyDescent="0.2">
      <c r="B179" s="153" t="s">
        <v>548</v>
      </c>
      <c r="C179" s="153"/>
      <c r="D179" s="108">
        <v>0.13539428884281501</v>
      </c>
      <c r="I179"/>
      <c r="J179" s="14"/>
      <c r="K179" s="50"/>
      <c r="L179" s="50"/>
      <c r="M179" s="50"/>
      <c r="N179" s="50"/>
      <c r="O179"/>
      <c r="R179"/>
    </row>
    <row r="180" spans="2:18" s="51" customFormat="1" x14ac:dyDescent="0.2">
      <c r="B180" s="153" t="s">
        <v>549</v>
      </c>
      <c r="C180" s="153"/>
      <c r="D180" s="108">
        <v>0.13547072141063074</v>
      </c>
      <c r="I180"/>
      <c r="J180" s="14"/>
      <c r="K180" s="50"/>
      <c r="L180" s="50"/>
      <c r="M180" s="50"/>
      <c r="N180" s="50"/>
      <c r="O180"/>
      <c r="R180"/>
    </row>
    <row r="181" spans="2:18" s="51" customFormat="1" x14ac:dyDescent="0.2">
      <c r="B181" s="153"/>
      <c r="C181" s="153"/>
      <c r="D181" s="55"/>
      <c r="I181"/>
      <c r="J181" s="14"/>
      <c r="K181" s="50"/>
      <c r="L181" s="50"/>
      <c r="M181" s="50"/>
      <c r="N181" s="50"/>
      <c r="O181"/>
      <c r="P181"/>
      <c r="Q181"/>
      <c r="R181"/>
    </row>
    <row r="182" spans="2:18" s="51" customFormat="1" ht="25.5" x14ac:dyDescent="0.2">
      <c r="B182" s="153" t="s">
        <v>550</v>
      </c>
      <c r="C182" s="153"/>
      <c r="D182" s="109" t="s">
        <v>657</v>
      </c>
      <c r="I182"/>
      <c r="J182" s="14"/>
      <c r="K182" s="50"/>
      <c r="L182" s="50"/>
      <c r="M182" s="50"/>
      <c r="N182" s="50"/>
      <c r="O182" s="52"/>
    </row>
    <row r="183" spans="2:18" s="51" customFormat="1" x14ac:dyDescent="0.2">
      <c r="B183" s="165" t="s">
        <v>551</v>
      </c>
      <c r="C183" s="167"/>
      <c r="D183" s="166"/>
      <c r="I183"/>
      <c r="J183" s="14"/>
      <c r="K183" s="50"/>
      <c r="L183" s="50"/>
      <c r="M183" s="50"/>
      <c r="N183" s="50"/>
      <c r="O183"/>
      <c r="P183"/>
      <c r="Q183"/>
      <c r="R183"/>
    </row>
    <row r="184" spans="2:18" x14ac:dyDescent="0.2">
      <c r="J184" s="14"/>
    </row>
    <row r="185" spans="2:18" x14ac:dyDescent="0.2">
      <c r="B185" s="60" t="s">
        <v>552</v>
      </c>
    </row>
    <row r="187" spans="2:18" ht="153.75" customHeight="1" x14ac:dyDescent="0.2"/>
    <row r="190" spans="2:18" x14ac:dyDescent="0.2">
      <c r="B190" s="61" t="s">
        <v>553</v>
      </c>
      <c r="C190" s="62"/>
      <c r="D190" s="61" t="s">
        <v>554</v>
      </c>
    </row>
    <row r="191" spans="2:18" x14ac:dyDescent="0.2">
      <c r="B191" s="61" t="s">
        <v>601</v>
      </c>
      <c r="D191" s="61" t="s">
        <v>602</v>
      </c>
    </row>
    <row r="192" spans="2:18" ht="165" customHeight="1" x14ac:dyDescent="0.2"/>
    <row r="194" spans="10:10" x14ac:dyDescent="0.2">
      <c r="J194" s="14"/>
    </row>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sheetData>
  <mergeCells count="27">
    <mergeCell ref="B183:D183"/>
    <mergeCell ref="B178:C178"/>
    <mergeCell ref="B179:C179"/>
    <mergeCell ref="B180:C180"/>
    <mergeCell ref="B181:C181"/>
    <mergeCell ref="B182:C182"/>
    <mergeCell ref="B173:D173"/>
    <mergeCell ref="B174:C174"/>
    <mergeCell ref="B175:C175"/>
    <mergeCell ref="B176:C176"/>
    <mergeCell ref="B177:C177"/>
    <mergeCell ref="A1:H1"/>
    <mergeCell ref="A2:H2"/>
    <mergeCell ref="A3:H3"/>
    <mergeCell ref="B141:H141"/>
    <mergeCell ref="B142:H142"/>
    <mergeCell ref="B143:H143"/>
    <mergeCell ref="B144:H144"/>
    <mergeCell ref="B166:C166"/>
    <mergeCell ref="B146:D146"/>
    <mergeCell ref="B147:C147"/>
    <mergeCell ref="B148:C148"/>
    <mergeCell ref="B149:C149"/>
    <mergeCell ref="B161:C161"/>
    <mergeCell ref="B165:C165"/>
    <mergeCell ref="B163:C163"/>
    <mergeCell ref="B164:C164"/>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0959-FA2A-42ED-AA9B-664507F1C9E0}">
  <sheetPr>
    <outlinePr summaryBelow="0" summaryRight="0"/>
  </sheetPr>
  <dimension ref="A1:S178"/>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9.85546875" bestFit="1" customWidth="1"/>
  </cols>
  <sheetData>
    <row r="1" spans="1:8" ht="15" x14ac:dyDescent="0.2">
      <c r="A1" s="164" t="s">
        <v>0</v>
      </c>
      <c r="B1" s="164"/>
      <c r="C1" s="164"/>
      <c r="D1" s="164"/>
      <c r="E1" s="164"/>
      <c r="F1" s="164"/>
      <c r="G1" s="164"/>
      <c r="H1" s="164"/>
    </row>
    <row r="2" spans="1:8" ht="15" x14ac:dyDescent="0.2">
      <c r="A2" s="164" t="s">
        <v>385</v>
      </c>
      <c r="B2" s="164"/>
      <c r="C2" s="164"/>
      <c r="D2" s="164"/>
      <c r="E2" s="164"/>
      <c r="F2" s="164"/>
      <c r="G2" s="164"/>
      <c r="H2" s="164"/>
    </row>
    <row r="3" spans="1:8" ht="15" x14ac:dyDescent="0.2">
      <c r="A3" s="164" t="s">
        <v>537</v>
      </c>
      <c r="B3" s="164"/>
      <c r="C3" s="164"/>
      <c r="D3" s="164"/>
      <c r="E3" s="164"/>
      <c r="F3" s="164"/>
      <c r="G3" s="164"/>
      <c r="H3" s="164"/>
    </row>
    <row r="4" spans="1:8" s="14" customFormat="1" ht="30" x14ac:dyDescent="0.2">
      <c r="A4" s="12" t="s">
        <v>2</v>
      </c>
      <c r="B4" s="12" t="s">
        <v>3</v>
      </c>
      <c r="C4" s="12" t="s">
        <v>4</v>
      </c>
      <c r="D4" s="12" t="s">
        <v>5</v>
      </c>
      <c r="E4" s="12" t="s">
        <v>6</v>
      </c>
      <c r="F4" s="12" t="s">
        <v>7</v>
      </c>
      <c r="G4" s="12" t="s">
        <v>8</v>
      </c>
      <c r="H4" s="13" t="s">
        <v>536</v>
      </c>
    </row>
    <row r="5" spans="1:8" x14ac:dyDescent="0.2">
      <c r="A5" s="15"/>
      <c r="B5" s="15"/>
      <c r="C5" s="16" t="s">
        <v>9</v>
      </c>
      <c r="D5" s="15"/>
      <c r="E5" s="15"/>
      <c r="F5" s="15"/>
      <c r="G5" s="15"/>
      <c r="H5" s="17" t="s">
        <v>12</v>
      </c>
    </row>
    <row r="6" spans="1:8" x14ac:dyDescent="0.2">
      <c r="A6" s="18"/>
      <c r="B6" s="18"/>
      <c r="C6" s="19" t="s">
        <v>10</v>
      </c>
      <c r="D6" s="18"/>
      <c r="E6" s="18"/>
      <c r="F6" s="18"/>
      <c r="G6" s="18"/>
      <c r="H6" s="17" t="s">
        <v>12</v>
      </c>
    </row>
    <row r="7" spans="1:8" x14ac:dyDescent="0.2">
      <c r="A7" s="18"/>
      <c r="B7" s="18"/>
      <c r="C7" s="19" t="s">
        <v>11</v>
      </c>
      <c r="D7" s="18"/>
      <c r="E7" s="18" t="s">
        <v>12</v>
      </c>
      <c r="F7" s="20" t="s">
        <v>13</v>
      </c>
      <c r="G7" s="21">
        <v>0</v>
      </c>
      <c r="H7" s="17" t="s">
        <v>12</v>
      </c>
    </row>
    <row r="8" spans="1:8" x14ac:dyDescent="0.2">
      <c r="A8" s="18"/>
      <c r="B8" s="18"/>
      <c r="C8" s="22"/>
      <c r="D8" s="18"/>
      <c r="E8" s="18"/>
      <c r="F8" s="23"/>
      <c r="G8" s="23"/>
      <c r="H8" s="17" t="s">
        <v>12</v>
      </c>
    </row>
    <row r="9" spans="1:8" x14ac:dyDescent="0.2">
      <c r="A9" s="18"/>
      <c r="B9" s="18"/>
      <c r="C9" s="19" t="s">
        <v>14</v>
      </c>
      <c r="D9" s="18"/>
      <c r="E9" s="18"/>
      <c r="F9" s="18"/>
      <c r="G9" s="18"/>
      <c r="H9" s="17" t="s">
        <v>12</v>
      </c>
    </row>
    <row r="10" spans="1:8" x14ac:dyDescent="0.2">
      <c r="A10" s="18"/>
      <c r="B10" s="18"/>
      <c r="C10" s="19" t="s">
        <v>11</v>
      </c>
      <c r="D10" s="18"/>
      <c r="E10" s="18" t="s">
        <v>12</v>
      </c>
      <c r="F10" s="20" t="s">
        <v>13</v>
      </c>
      <c r="G10" s="21">
        <v>0</v>
      </c>
      <c r="H10" s="17" t="s">
        <v>12</v>
      </c>
    </row>
    <row r="11" spans="1:8" x14ac:dyDescent="0.2">
      <c r="A11" s="18"/>
      <c r="B11" s="18"/>
      <c r="C11" s="22"/>
      <c r="D11" s="18"/>
      <c r="E11" s="18"/>
      <c r="F11" s="23"/>
      <c r="G11" s="23"/>
      <c r="H11" s="17" t="s">
        <v>12</v>
      </c>
    </row>
    <row r="12" spans="1:8" x14ac:dyDescent="0.2">
      <c r="A12" s="18"/>
      <c r="B12" s="18"/>
      <c r="C12" s="19" t="s">
        <v>15</v>
      </c>
      <c r="D12" s="18"/>
      <c r="E12" s="18"/>
      <c r="F12" s="18"/>
      <c r="G12" s="18"/>
      <c r="H12" s="17" t="s">
        <v>12</v>
      </c>
    </row>
    <row r="13" spans="1:8" x14ac:dyDescent="0.2">
      <c r="A13" s="18"/>
      <c r="B13" s="18"/>
      <c r="C13" s="19" t="s">
        <v>11</v>
      </c>
      <c r="D13" s="18"/>
      <c r="E13" s="18" t="s">
        <v>12</v>
      </c>
      <c r="F13" s="20" t="s">
        <v>13</v>
      </c>
      <c r="G13" s="21">
        <v>0</v>
      </c>
      <c r="H13" s="17" t="s">
        <v>12</v>
      </c>
    </row>
    <row r="14" spans="1:8" x14ac:dyDescent="0.2">
      <c r="A14" s="18"/>
      <c r="B14" s="18"/>
      <c r="C14" s="22"/>
      <c r="D14" s="18"/>
      <c r="E14" s="18"/>
      <c r="F14" s="23"/>
      <c r="G14" s="23"/>
      <c r="H14" s="17" t="s">
        <v>12</v>
      </c>
    </row>
    <row r="15" spans="1:8" x14ac:dyDescent="0.2">
      <c r="A15" s="18"/>
      <c r="B15" s="18"/>
      <c r="C15" s="19" t="s">
        <v>16</v>
      </c>
      <c r="D15" s="18"/>
      <c r="E15" s="18"/>
      <c r="F15" s="18"/>
      <c r="G15" s="18"/>
      <c r="H15" s="17" t="s">
        <v>12</v>
      </c>
    </row>
    <row r="16" spans="1:8"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25">
        <v>1</v>
      </c>
      <c r="B28" s="26" t="s">
        <v>224</v>
      </c>
      <c r="C28" s="26" t="s">
        <v>225</v>
      </c>
      <c r="D28" s="26" t="s">
        <v>219</v>
      </c>
      <c r="E28" s="27">
        <v>1100</v>
      </c>
      <c r="F28" s="28">
        <v>1102.6960999999999</v>
      </c>
      <c r="G28" s="29">
        <v>5.1901879999999997E-2</v>
      </c>
      <c r="H28" s="17">
        <v>8.42</v>
      </c>
    </row>
    <row r="29" spans="1:8" ht="25.5" x14ac:dyDescent="0.2">
      <c r="A29" s="25">
        <v>2</v>
      </c>
      <c r="B29" s="26" t="s">
        <v>386</v>
      </c>
      <c r="C29" s="26" t="s">
        <v>387</v>
      </c>
      <c r="D29" s="26" t="s">
        <v>23</v>
      </c>
      <c r="E29" s="27">
        <v>1000</v>
      </c>
      <c r="F29" s="28">
        <v>1009.615</v>
      </c>
      <c r="G29" s="29">
        <v>4.7520720000000002E-2</v>
      </c>
      <c r="H29" s="17">
        <v>7.41</v>
      </c>
    </row>
    <row r="30" spans="1:8" ht="25.5" x14ac:dyDescent="0.2">
      <c r="A30" s="25">
        <v>3</v>
      </c>
      <c r="B30" s="26" t="s">
        <v>35</v>
      </c>
      <c r="C30" s="26" t="s">
        <v>36</v>
      </c>
      <c r="D30" s="26" t="s">
        <v>23</v>
      </c>
      <c r="E30" s="27">
        <v>1000</v>
      </c>
      <c r="F30" s="28">
        <v>1006.5549999999999</v>
      </c>
      <c r="G30" s="29">
        <v>4.7376689999999999E-2</v>
      </c>
      <c r="H30" s="17">
        <v>7.42</v>
      </c>
    </row>
    <row r="31" spans="1:8" ht="25.5" x14ac:dyDescent="0.2">
      <c r="A31" s="25">
        <v>4</v>
      </c>
      <c r="B31" s="26" t="s">
        <v>226</v>
      </c>
      <c r="C31" s="26" t="s">
        <v>227</v>
      </c>
      <c r="D31" s="26" t="s">
        <v>216</v>
      </c>
      <c r="E31" s="27">
        <v>1000</v>
      </c>
      <c r="F31" s="28">
        <v>1001.088</v>
      </c>
      <c r="G31" s="29">
        <v>4.7119370000000001E-2</v>
      </c>
      <c r="H31" s="17">
        <v>8.09</v>
      </c>
    </row>
    <row r="32" spans="1:8" ht="25.5" x14ac:dyDescent="0.2">
      <c r="A32" s="25">
        <v>5</v>
      </c>
      <c r="B32" s="26" t="s">
        <v>128</v>
      </c>
      <c r="C32" s="26" t="s">
        <v>129</v>
      </c>
      <c r="D32" s="26" t="s">
        <v>23</v>
      </c>
      <c r="E32" s="27">
        <v>1000</v>
      </c>
      <c r="F32" s="28">
        <v>1000.085</v>
      </c>
      <c r="G32" s="29">
        <v>4.7072160000000002E-2</v>
      </c>
      <c r="H32" s="17">
        <v>7.3598999999999997</v>
      </c>
    </row>
    <row r="33" spans="1:8" ht="25.5" x14ac:dyDescent="0.2">
      <c r="A33" s="25">
        <v>6</v>
      </c>
      <c r="B33" s="26" t="s">
        <v>388</v>
      </c>
      <c r="C33" s="26" t="s">
        <v>389</v>
      </c>
      <c r="D33" s="26" t="s">
        <v>245</v>
      </c>
      <c r="E33" s="27">
        <v>500</v>
      </c>
      <c r="F33" s="28">
        <v>505.73899999999998</v>
      </c>
      <c r="G33" s="29">
        <v>2.3804209999999999E-2</v>
      </c>
      <c r="H33" s="17">
        <v>8.19</v>
      </c>
    </row>
    <row r="34" spans="1:8" x14ac:dyDescent="0.2">
      <c r="A34" s="25">
        <v>7</v>
      </c>
      <c r="B34" s="26" t="s">
        <v>59</v>
      </c>
      <c r="C34" s="26" t="s">
        <v>60</v>
      </c>
      <c r="D34" s="26" t="s">
        <v>23</v>
      </c>
      <c r="E34" s="27">
        <v>50</v>
      </c>
      <c r="F34" s="28">
        <v>503.37950000000001</v>
      </c>
      <c r="G34" s="29">
        <v>2.369315E-2</v>
      </c>
      <c r="H34" s="17">
        <v>7.68</v>
      </c>
    </row>
    <row r="35" spans="1:8" ht="25.5" x14ac:dyDescent="0.2">
      <c r="A35" s="25">
        <v>8</v>
      </c>
      <c r="B35" s="26" t="s">
        <v>390</v>
      </c>
      <c r="C35" s="26" t="s">
        <v>391</v>
      </c>
      <c r="D35" s="26" t="s">
        <v>32</v>
      </c>
      <c r="E35" s="27">
        <v>500</v>
      </c>
      <c r="F35" s="28">
        <v>502.26850000000002</v>
      </c>
      <c r="G35" s="29">
        <v>2.364086E-2</v>
      </c>
      <c r="H35" s="17">
        <v>7.5449999999999999</v>
      </c>
    </row>
    <row r="36" spans="1:8" x14ac:dyDescent="0.2">
      <c r="A36" s="25">
        <v>9</v>
      </c>
      <c r="B36" s="26" t="s">
        <v>217</v>
      </c>
      <c r="C36" s="26" t="s">
        <v>218</v>
      </c>
      <c r="D36" s="26" t="s">
        <v>219</v>
      </c>
      <c r="E36" s="27">
        <v>500</v>
      </c>
      <c r="F36" s="28">
        <v>501.916</v>
      </c>
      <c r="G36" s="29">
        <v>2.3624260000000001E-2</v>
      </c>
      <c r="H36" s="17">
        <v>8.8000000000000007</v>
      </c>
    </row>
    <row r="37" spans="1:8" x14ac:dyDescent="0.2">
      <c r="A37" s="25">
        <v>10</v>
      </c>
      <c r="B37" s="26" t="s">
        <v>122</v>
      </c>
      <c r="C37" s="26" t="s">
        <v>123</v>
      </c>
      <c r="D37" s="26" t="s">
        <v>23</v>
      </c>
      <c r="E37" s="27">
        <v>500</v>
      </c>
      <c r="F37" s="28">
        <v>501.4975</v>
      </c>
      <c r="G37" s="29">
        <v>2.3604569999999998E-2</v>
      </c>
      <c r="H37" s="17">
        <v>7.4349999999999996</v>
      </c>
    </row>
    <row r="38" spans="1:8" x14ac:dyDescent="0.2">
      <c r="A38" s="25">
        <v>11</v>
      </c>
      <c r="B38" s="26" t="s">
        <v>246</v>
      </c>
      <c r="C38" s="26" t="s">
        <v>247</v>
      </c>
      <c r="D38" s="26" t="s">
        <v>219</v>
      </c>
      <c r="E38" s="27">
        <v>500</v>
      </c>
      <c r="F38" s="28">
        <v>501.18599999999998</v>
      </c>
      <c r="G38" s="29">
        <v>2.35899E-2</v>
      </c>
      <c r="H38" s="17">
        <v>8.5500000000000007</v>
      </c>
    </row>
    <row r="39" spans="1:8" x14ac:dyDescent="0.2">
      <c r="A39" s="25">
        <v>12</v>
      </c>
      <c r="B39" s="26" t="s">
        <v>228</v>
      </c>
      <c r="C39" s="26" t="s">
        <v>229</v>
      </c>
      <c r="D39" s="26" t="s">
        <v>23</v>
      </c>
      <c r="E39" s="27">
        <v>500</v>
      </c>
      <c r="F39" s="28">
        <v>499.89299999999997</v>
      </c>
      <c r="G39" s="29">
        <v>2.3529049999999999E-2</v>
      </c>
      <c r="H39" s="17">
        <v>7.6050000000000004</v>
      </c>
    </row>
    <row r="40" spans="1:8" ht="25.5" x14ac:dyDescent="0.2">
      <c r="A40" s="25">
        <v>13</v>
      </c>
      <c r="B40" s="26" t="s">
        <v>61</v>
      </c>
      <c r="C40" s="26" t="s">
        <v>62</v>
      </c>
      <c r="D40" s="26" t="s">
        <v>23</v>
      </c>
      <c r="E40" s="27">
        <v>500</v>
      </c>
      <c r="F40" s="28">
        <v>499.83150000000001</v>
      </c>
      <c r="G40" s="29">
        <v>2.3526149999999999E-2</v>
      </c>
      <c r="H40" s="17">
        <v>8.1188000000000002</v>
      </c>
    </row>
    <row r="41" spans="1:8" x14ac:dyDescent="0.2">
      <c r="A41" s="25">
        <v>14</v>
      </c>
      <c r="B41" s="26" t="s">
        <v>220</v>
      </c>
      <c r="C41" s="26" t="s">
        <v>221</v>
      </c>
      <c r="D41" s="26" t="s">
        <v>23</v>
      </c>
      <c r="E41" s="27">
        <v>500</v>
      </c>
      <c r="F41" s="28">
        <v>499.39499999999998</v>
      </c>
      <c r="G41" s="29">
        <v>2.350561E-2</v>
      </c>
      <c r="H41" s="17">
        <v>7.6050000000000004</v>
      </c>
    </row>
    <row r="42" spans="1:8" x14ac:dyDescent="0.2">
      <c r="A42" s="25">
        <v>15</v>
      </c>
      <c r="B42" s="26" t="s">
        <v>392</v>
      </c>
      <c r="C42" s="26" t="s">
        <v>393</v>
      </c>
      <c r="D42" s="26" t="s">
        <v>23</v>
      </c>
      <c r="E42" s="27">
        <v>500</v>
      </c>
      <c r="F42" s="28">
        <v>498.9615</v>
      </c>
      <c r="G42" s="29">
        <v>2.3485200000000001E-2</v>
      </c>
      <c r="H42" s="17">
        <v>7.6150000000000002</v>
      </c>
    </row>
    <row r="43" spans="1:8" ht="25.5" x14ac:dyDescent="0.2">
      <c r="A43" s="25">
        <v>16</v>
      </c>
      <c r="B43" s="26" t="s">
        <v>63</v>
      </c>
      <c r="C43" s="26" t="s">
        <v>64</v>
      </c>
      <c r="D43" s="26" t="s">
        <v>23</v>
      </c>
      <c r="E43" s="27">
        <v>500</v>
      </c>
      <c r="F43" s="28">
        <v>497.84800000000001</v>
      </c>
      <c r="G43" s="29">
        <v>2.3432789999999998E-2</v>
      </c>
      <c r="H43" s="17">
        <v>7.6887999999999996</v>
      </c>
    </row>
    <row r="44" spans="1:8" ht="25.5" x14ac:dyDescent="0.2">
      <c r="A44" s="25">
        <v>17</v>
      </c>
      <c r="B44" s="26" t="s">
        <v>394</v>
      </c>
      <c r="C44" s="26" t="s">
        <v>395</v>
      </c>
      <c r="D44" s="26" t="s">
        <v>23</v>
      </c>
      <c r="E44" s="27">
        <v>50</v>
      </c>
      <c r="F44" s="28">
        <v>496.63099999999997</v>
      </c>
      <c r="G44" s="29">
        <v>2.3375509999999999E-2</v>
      </c>
      <c r="H44" s="17">
        <v>7.62</v>
      </c>
    </row>
    <row r="45" spans="1:8" x14ac:dyDescent="0.2">
      <c r="A45" s="25">
        <v>18</v>
      </c>
      <c r="B45" s="26" t="s">
        <v>396</v>
      </c>
      <c r="C45" s="26" t="s">
        <v>397</v>
      </c>
      <c r="D45" s="26" t="s">
        <v>23</v>
      </c>
      <c r="E45" s="27">
        <v>50</v>
      </c>
      <c r="F45" s="28">
        <v>488.57549999999998</v>
      </c>
      <c r="G45" s="29">
        <v>2.2996349999999999E-2</v>
      </c>
      <c r="H45" s="17">
        <v>7.7549999999999999</v>
      </c>
    </row>
    <row r="46" spans="1:8" x14ac:dyDescent="0.2">
      <c r="A46" s="25">
        <v>19</v>
      </c>
      <c r="B46" s="26" t="s">
        <v>214</v>
      </c>
      <c r="C46" s="26" t="s">
        <v>215</v>
      </c>
      <c r="D46" s="26" t="s">
        <v>216</v>
      </c>
      <c r="E46" s="27">
        <v>300</v>
      </c>
      <c r="F46" s="28">
        <v>301.69290000000001</v>
      </c>
      <c r="G46" s="29">
        <v>1.420013E-2</v>
      </c>
      <c r="H46" s="17">
        <v>8.0046999999999997</v>
      </c>
    </row>
    <row r="47" spans="1:8" x14ac:dyDescent="0.2">
      <c r="A47" s="18"/>
      <c r="B47" s="18"/>
      <c r="C47" s="19" t="s">
        <v>11</v>
      </c>
      <c r="D47" s="18"/>
      <c r="E47" s="18" t="s">
        <v>12</v>
      </c>
      <c r="F47" s="24">
        <v>11918.853999999999</v>
      </c>
      <c r="G47" s="21">
        <v>0.56099856000000003</v>
      </c>
      <c r="H47" s="17" t="s">
        <v>12</v>
      </c>
    </row>
    <row r="48" spans="1:8" x14ac:dyDescent="0.2">
      <c r="A48" s="18"/>
      <c r="B48" s="18"/>
      <c r="C48" s="22"/>
      <c r="D48" s="18"/>
      <c r="E48" s="18"/>
      <c r="F48" s="23"/>
      <c r="G48" s="23"/>
      <c r="H48" s="17" t="s">
        <v>12</v>
      </c>
    </row>
    <row r="49" spans="1:8" x14ac:dyDescent="0.2">
      <c r="A49" s="18"/>
      <c r="B49" s="18"/>
      <c r="C49" s="19" t="s">
        <v>71</v>
      </c>
      <c r="D49" s="18"/>
      <c r="E49" s="18"/>
      <c r="F49" s="18"/>
      <c r="G49" s="18"/>
      <c r="H49" s="17" t="s">
        <v>12</v>
      </c>
    </row>
    <row r="50" spans="1:8" x14ac:dyDescent="0.2">
      <c r="A50" s="18"/>
      <c r="B50" s="18"/>
      <c r="C50" s="19" t="s">
        <v>11</v>
      </c>
      <c r="D50" s="18"/>
      <c r="E50" s="18" t="s">
        <v>12</v>
      </c>
      <c r="F50" s="20" t="s">
        <v>13</v>
      </c>
      <c r="G50" s="21">
        <v>0</v>
      </c>
      <c r="H50" s="17" t="s">
        <v>12</v>
      </c>
    </row>
    <row r="51" spans="1:8" x14ac:dyDescent="0.2">
      <c r="A51" s="18"/>
      <c r="B51" s="18"/>
      <c r="C51" s="22"/>
      <c r="D51" s="18"/>
      <c r="E51" s="18"/>
      <c r="F51" s="23"/>
      <c r="G51" s="23"/>
      <c r="H51" s="17" t="s">
        <v>12</v>
      </c>
    </row>
    <row r="52" spans="1:8" x14ac:dyDescent="0.2">
      <c r="A52" s="18"/>
      <c r="B52" s="18"/>
      <c r="C52" s="19" t="s">
        <v>72</v>
      </c>
      <c r="D52" s="18"/>
      <c r="E52" s="18"/>
      <c r="F52" s="18"/>
      <c r="G52" s="18"/>
      <c r="H52" s="17" t="s">
        <v>12</v>
      </c>
    </row>
    <row r="53" spans="1:8" ht="25.5" x14ac:dyDescent="0.2">
      <c r="A53" s="25">
        <v>1</v>
      </c>
      <c r="B53" s="26" t="s">
        <v>73</v>
      </c>
      <c r="C53" s="26" t="s">
        <v>74</v>
      </c>
      <c r="D53" s="26" t="s">
        <v>75</v>
      </c>
      <c r="E53" s="27">
        <v>2500000</v>
      </c>
      <c r="F53" s="28">
        <v>2557.2150000000001</v>
      </c>
      <c r="G53" s="29">
        <v>0.12036341</v>
      </c>
      <c r="H53" s="17">
        <v>6.8727999999999998</v>
      </c>
    </row>
    <row r="54" spans="1:8" x14ac:dyDescent="0.2">
      <c r="A54" s="25">
        <v>2</v>
      </c>
      <c r="B54" s="26" t="s">
        <v>84</v>
      </c>
      <c r="C54" s="26" t="s">
        <v>85</v>
      </c>
      <c r="D54" s="26" t="s">
        <v>75</v>
      </c>
      <c r="E54" s="27">
        <v>1500000</v>
      </c>
      <c r="F54" s="28">
        <v>1534.3019999999999</v>
      </c>
      <c r="G54" s="29">
        <v>7.2216779999999994E-2</v>
      </c>
      <c r="H54" s="17">
        <v>6.7666000000000004</v>
      </c>
    </row>
    <row r="55" spans="1:8" ht="25.5" x14ac:dyDescent="0.2">
      <c r="A55" s="25">
        <v>3</v>
      </c>
      <c r="B55" s="26" t="s">
        <v>248</v>
      </c>
      <c r="C55" s="26" t="s">
        <v>249</v>
      </c>
      <c r="D55" s="26" t="s">
        <v>75</v>
      </c>
      <c r="E55" s="27">
        <v>1000000</v>
      </c>
      <c r="F55" s="28">
        <v>1015.931</v>
      </c>
      <c r="G55" s="29">
        <v>4.7818010000000001E-2</v>
      </c>
      <c r="H55" s="17">
        <v>6.7389999999999999</v>
      </c>
    </row>
    <row r="56" spans="1:8" x14ac:dyDescent="0.2">
      <c r="A56" s="25">
        <v>4</v>
      </c>
      <c r="B56" s="26" t="s">
        <v>76</v>
      </c>
      <c r="C56" s="26" t="s">
        <v>77</v>
      </c>
      <c r="D56" s="26" t="s">
        <v>75</v>
      </c>
      <c r="E56" s="27">
        <v>500000</v>
      </c>
      <c r="F56" s="28">
        <v>514.73800000000006</v>
      </c>
      <c r="G56" s="29">
        <v>2.4227769999999999E-2</v>
      </c>
      <c r="H56" s="17">
        <v>6.8019999999999996</v>
      </c>
    </row>
    <row r="57" spans="1:8" x14ac:dyDescent="0.2">
      <c r="A57" s="25">
        <v>5</v>
      </c>
      <c r="B57" s="26" t="s">
        <v>86</v>
      </c>
      <c r="C57" s="26" t="s">
        <v>87</v>
      </c>
      <c r="D57" s="26" t="s">
        <v>75</v>
      </c>
      <c r="E57" s="27">
        <v>500000</v>
      </c>
      <c r="F57" s="28">
        <v>512.75350000000003</v>
      </c>
      <c r="G57" s="29">
        <v>2.4134369999999999E-2</v>
      </c>
      <c r="H57" s="17">
        <v>6.9889000000000001</v>
      </c>
    </row>
    <row r="58" spans="1:8" ht="25.5" x14ac:dyDescent="0.2">
      <c r="A58" s="25">
        <v>6</v>
      </c>
      <c r="B58" s="26" t="s">
        <v>398</v>
      </c>
      <c r="C58" s="26" t="s">
        <v>399</v>
      </c>
      <c r="D58" s="26" t="s">
        <v>75</v>
      </c>
      <c r="E58" s="27">
        <v>500000</v>
      </c>
      <c r="F58" s="28">
        <v>511.51949999999999</v>
      </c>
      <c r="G58" s="29">
        <v>2.4076279999999999E-2</v>
      </c>
      <c r="H58" s="17">
        <v>7.2161999999999997</v>
      </c>
    </row>
    <row r="59" spans="1:8" x14ac:dyDescent="0.2">
      <c r="A59" s="18"/>
      <c r="B59" s="18"/>
      <c r="C59" s="19" t="s">
        <v>11</v>
      </c>
      <c r="D59" s="18"/>
      <c r="E59" s="18" t="s">
        <v>12</v>
      </c>
      <c r="F59" s="24">
        <v>6646.4589999999998</v>
      </c>
      <c r="G59" s="21">
        <v>0.31283662000000001</v>
      </c>
      <c r="H59" s="17" t="s">
        <v>12</v>
      </c>
    </row>
    <row r="60" spans="1:8" x14ac:dyDescent="0.2">
      <c r="A60" s="18"/>
      <c r="B60" s="18"/>
      <c r="C60" s="22"/>
      <c r="D60" s="18"/>
      <c r="E60" s="18"/>
      <c r="F60" s="23"/>
      <c r="G60" s="23"/>
      <c r="H60" s="17" t="s">
        <v>12</v>
      </c>
    </row>
    <row r="61" spans="1:8" x14ac:dyDescent="0.2">
      <c r="A61" s="18"/>
      <c r="B61" s="18"/>
      <c r="C61" s="19" t="s">
        <v>88</v>
      </c>
      <c r="D61" s="18"/>
      <c r="E61" s="18"/>
      <c r="F61" s="23"/>
      <c r="G61" s="23"/>
      <c r="H61" s="17" t="s">
        <v>12</v>
      </c>
    </row>
    <row r="62" spans="1:8" x14ac:dyDescent="0.2">
      <c r="A62" s="18"/>
      <c r="B62" s="18"/>
      <c r="C62" s="19" t="s">
        <v>11</v>
      </c>
      <c r="D62" s="18"/>
      <c r="E62" s="18" t="s">
        <v>12</v>
      </c>
      <c r="F62" s="20" t="s">
        <v>13</v>
      </c>
      <c r="G62" s="21">
        <v>0</v>
      </c>
      <c r="H62" s="17" t="s">
        <v>12</v>
      </c>
    </row>
    <row r="63" spans="1:8" x14ac:dyDescent="0.2">
      <c r="A63" s="18"/>
      <c r="B63" s="18"/>
      <c r="C63" s="22"/>
      <c r="D63" s="18"/>
      <c r="E63" s="18"/>
      <c r="F63" s="23"/>
      <c r="G63" s="23"/>
      <c r="H63" s="17" t="s">
        <v>12</v>
      </c>
    </row>
    <row r="64" spans="1:8" x14ac:dyDescent="0.2">
      <c r="A64" s="18"/>
      <c r="B64" s="18"/>
      <c r="C64" s="19" t="s">
        <v>89</v>
      </c>
      <c r="D64" s="18"/>
      <c r="E64" s="18"/>
      <c r="F64" s="24">
        <v>18565.312999999998</v>
      </c>
      <c r="G64" s="21">
        <v>0.87383518000000004</v>
      </c>
      <c r="H64" s="17" t="s">
        <v>12</v>
      </c>
    </row>
    <row r="65" spans="1:8" x14ac:dyDescent="0.2">
      <c r="A65" s="18"/>
      <c r="B65" s="18"/>
      <c r="C65" s="22"/>
      <c r="D65" s="18"/>
      <c r="E65" s="18"/>
      <c r="F65" s="23"/>
      <c r="G65" s="23"/>
      <c r="H65" s="17" t="s">
        <v>12</v>
      </c>
    </row>
    <row r="66" spans="1:8" x14ac:dyDescent="0.2">
      <c r="A66" s="18"/>
      <c r="B66" s="18"/>
      <c r="C66" s="19" t="s">
        <v>90</v>
      </c>
      <c r="D66" s="18"/>
      <c r="E66" s="18"/>
      <c r="F66" s="23"/>
      <c r="G66" s="23"/>
      <c r="H66" s="17" t="s">
        <v>12</v>
      </c>
    </row>
    <row r="67" spans="1:8" x14ac:dyDescent="0.2">
      <c r="A67" s="18"/>
      <c r="B67" s="18"/>
      <c r="C67" s="19" t="s">
        <v>91</v>
      </c>
      <c r="D67" s="18"/>
      <c r="E67" s="18"/>
      <c r="F67" s="23"/>
      <c r="G67" s="23"/>
      <c r="H67" s="17" t="s">
        <v>12</v>
      </c>
    </row>
    <row r="68" spans="1:8" x14ac:dyDescent="0.2">
      <c r="A68" s="25">
        <v>1</v>
      </c>
      <c r="B68" s="26" t="s">
        <v>256</v>
      </c>
      <c r="C68" s="26" t="s">
        <v>257</v>
      </c>
      <c r="D68" s="26" t="s">
        <v>149</v>
      </c>
      <c r="E68" s="27">
        <v>200</v>
      </c>
      <c r="F68" s="28">
        <v>943.11800000000005</v>
      </c>
      <c r="G68" s="29">
        <v>4.4390829999999999E-2</v>
      </c>
      <c r="H68" s="17">
        <v>7.5650000000000004</v>
      </c>
    </row>
    <row r="69" spans="1:8" x14ac:dyDescent="0.2">
      <c r="A69" s="25">
        <v>2</v>
      </c>
      <c r="B69" s="26" t="s">
        <v>167</v>
      </c>
      <c r="C69" s="26" t="s">
        <v>168</v>
      </c>
      <c r="D69" s="26" t="s">
        <v>149</v>
      </c>
      <c r="E69" s="27">
        <v>100</v>
      </c>
      <c r="F69" s="28">
        <v>489.76799999999997</v>
      </c>
      <c r="G69" s="29">
        <v>2.305248E-2</v>
      </c>
      <c r="H69" s="17">
        <v>7.55</v>
      </c>
    </row>
    <row r="70" spans="1:8" x14ac:dyDescent="0.2">
      <c r="A70" s="18"/>
      <c r="B70" s="18"/>
      <c r="C70" s="19" t="s">
        <v>11</v>
      </c>
      <c r="D70" s="18"/>
      <c r="E70" s="18" t="s">
        <v>12</v>
      </c>
      <c r="F70" s="24">
        <v>1432.886</v>
      </c>
      <c r="G70" s="21">
        <v>6.7443310000000006E-2</v>
      </c>
      <c r="H70" s="17" t="s">
        <v>12</v>
      </c>
    </row>
    <row r="71" spans="1:8" x14ac:dyDescent="0.2">
      <c r="A71" s="18"/>
      <c r="B71" s="18"/>
      <c r="C71" s="22"/>
      <c r="D71" s="18"/>
      <c r="E71" s="18"/>
      <c r="F71" s="23"/>
      <c r="G71" s="23"/>
      <c r="H71" s="17" t="s">
        <v>12</v>
      </c>
    </row>
    <row r="72" spans="1:8" x14ac:dyDescent="0.2">
      <c r="A72" s="18"/>
      <c r="B72" s="18"/>
      <c r="C72" s="19" t="s">
        <v>92</v>
      </c>
      <c r="D72" s="18"/>
      <c r="E72" s="18"/>
      <c r="F72" s="23"/>
      <c r="G72" s="23"/>
      <c r="H72" s="17" t="s">
        <v>12</v>
      </c>
    </row>
    <row r="73" spans="1:8" x14ac:dyDescent="0.2">
      <c r="A73" s="18"/>
      <c r="B73" s="18"/>
      <c r="C73" s="19" t="s">
        <v>11</v>
      </c>
      <c r="D73" s="18"/>
      <c r="E73" s="18" t="s">
        <v>12</v>
      </c>
      <c r="F73" s="20" t="s">
        <v>13</v>
      </c>
      <c r="G73" s="21">
        <v>0</v>
      </c>
      <c r="H73" s="17" t="s">
        <v>12</v>
      </c>
    </row>
    <row r="74" spans="1:8" x14ac:dyDescent="0.2">
      <c r="A74" s="18"/>
      <c r="B74" s="18"/>
      <c r="C74" s="22"/>
      <c r="D74" s="18"/>
      <c r="E74" s="18"/>
      <c r="F74" s="23"/>
      <c r="G74" s="23"/>
      <c r="H74" s="17" t="s">
        <v>12</v>
      </c>
    </row>
    <row r="75" spans="1:8" x14ac:dyDescent="0.2">
      <c r="A75" s="18"/>
      <c r="B75" s="18"/>
      <c r="C75" s="19" t="s">
        <v>93</v>
      </c>
      <c r="D75" s="18"/>
      <c r="E75" s="18"/>
      <c r="F75" s="23"/>
      <c r="G75" s="23"/>
      <c r="H75" s="17" t="s">
        <v>12</v>
      </c>
    </row>
    <row r="76" spans="1:8" x14ac:dyDescent="0.2">
      <c r="A76" s="18"/>
      <c r="B76" s="18"/>
      <c r="C76" s="19" t="s">
        <v>11</v>
      </c>
      <c r="D76" s="18"/>
      <c r="E76" s="18" t="s">
        <v>12</v>
      </c>
      <c r="F76" s="20" t="s">
        <v>13</v>
      </c>
      <c r="G76" s="21">
        <v>0</v>
      </c>
      <c r="H76" s="17" t="s">
        <v>12</v>
      </c>
    </row>
    <row r="77" spans="1:8" x14ac:dyDescent="0.2">
      <c r="A77" s="18"/>
      <c r="B77" s="18"/>
      <c r="C77" s="22"/>
      <c r="D77" s="18"/>
      <c r="E77" s="18"/>
      <c r="F77" s="23"/>
      <c r="G77" s="23"/>
      <c r="H77" s="17" t="s">
        <v>12</v>
      </c>
    </row>
    <row r="78" spans="1:8" x14ac:dyDescent="0.2">
      <c r="A78" s="18"/>
      <c r="B78" s="18"/>
      <c r="C78" s="19" t="s">
        <v>94</v>
      </c>
      <c r="D78" s="18"/>
      <c r="E78" s="18"/>
      <c r="F78" s="23"/>
      <c r="G78" s="23"/>
      <c r="H78" s="17" t="s">
        <v>12</v>
      </c>
    </row>
    <row r="79" spans="1:8" x14ac:dyDescent="0.2">
      <c r="A79" s="25">
        <v>1</v>
      </c>
      <c r="B79" s="26"/>
      <c r="C79" s="26" t="s">
        <v>95</v>
      </c>
      <c r="D79" s="26"/>
      <c r="E79" s="30"/>
      <c r="F79" s="28">
        <v>665.86472169700005</v>
      </c>
      <c r="G79" s="29">
        <v>3.1341029999999999E-2</v>
      </c>
      <c r="H79" s="17">
        <v>6.33</v>
      </c>
    </row>
    <row r="80" spans="1:8" x14ac:dyDescent="0.2">
      <c r="A80" s="18"/>
      <c r="B80" s="18"/>
      <c r="C80" s="19" t="s">
        <v>11</v>
      </c>
      <c r="D80" s="18"/>
      <c r="E80" s="18" t="s">
        <v>12</v>
      </c>
      <c r="F80" s="24">
        <v>665.86472169700005</v>
      </c>
      <c r="G80" s="21">
        <v>3.1341029999999999E-2</v>
      </c>
      <c r="H80" s="17" t="s">
        <v>12</v>
      </c>
    </row>
    <row r="81" spans="1:17" x14ac:dyDescent="0.2">
      <c r="A81" s="18"/>
      <c r="B81" s="18"/>
      <c r="C81" s="22"/>
      <c r="D81" s="18"/>
      <c r="E81" s="18"/>
      <c r="F81" s="23"/>
      <c r="G81" s="23"/>
      <c r="H81" s="17" t="s">
        <v>12</v>
      </c>
    </row>
    <row r="82" spans="1:17" x14ac:dyDescent="0.2">
      <c r="A82" s="18"/>
      <c r="B82" s="18"/>
      <c r="C82" s="19" t="s">
        <v>96</v>
      </c>
      <c r="D82" s="18"/>
      <c r="E82" s="18"/>
      <c r="F82" s="24">
        <v>2098.7507216969998</v>
      </c>
      <c r="G82" s="21">
        <v>9.8784339999999998E-2</v>
      </c>
      <c r="H82" s="17" t="s">
        <v>12</v>
      </c>
    </row>
    <row r="83" spans="1:17" x14ac:dyDescent="0.2">
      <c r="A83" s="18"/>
      <c r="B83" s="18"/>
      <c r="C83" s="23"/>
      <c r="D83" s="18"/>
      <c r="E83" s="18"/>
      <c r="F83" s="18"/>
      <c r="G83" s="18"/>
      <c r="H83" s="17" t="s">
        <v>12</v>
      </c>
    </row>
    <row r="84" spans="1:17" x14ac:dyDescent="0.2">
      <c r="A84" s="18"/>
      <c r="B84" s="18"/>
      <c r="C84" s="19" t="s">
        <v>97</v>
      </c>
      <c r="D84" s="18"/>
      <c r="E84" s="18"/>
      <c r="F84" s="18"/>
      <c r="G84" s="18"/>
      <c r="H84" s="17" t="s">
        <v>12</v>
      </c>
    </row>
    <row r="85" spans="1:17" x14ac:dyDescent="0.2">
      <c r="A85" s="18"/>
      <c r="B85" s="18"/>
      <c r="C85" s="19" t="s">
        <v>98</v>
      </c>
      <c r="D85" s="18"/>
      <c r="E85" s="18"/>
      <c r="F85" s="18"/>
      <c r="G85" s="18"/>
      <c r="H85" s="17" t="s">
        <v>12</v>
      </c>
    </row>
    <row r="86" spans="1:17" x14ac:dyDescent="0.2">
      <c r="A86" s="18"/>
      <c r="B86" s="18"/>
      <c r="C86" s="19" t="s">
        <v>11</v>
      </c>
      <c r="D86" s="18"/>
      <c r="E86" s="18" t="s">
        <v>12</v>
      </c>
      <c r="F86" s="20" t="s">
        <v>13</v>
      </c>
      <c r="G86" s="21">
        <v>0</v>
      </c>
      <c r="H86" s="17" t="s">
        <v>12</v>
      </c>
    </row>
    <row r="87" spans="1:17" x14ac:dyDescent="0.2">
      <c r="A87" s="70"/>
      <c r="B87" s="70"/>
      <c r="C87" s="71"/>
      <c r="D87" s="70"/>
      <c r="E87" s="70"/>
      <c r="F87" s="72"/>
      <c r="G87" s="72"/>
      <c r="H87" s="68" t="s">
        <v>12</v>
      </c>
    </row>
    <row r="88" spans="1:17" x14ac:dyDescent="0.2">
      <c r="A88" s="70"/>
      <c r="B88" s="70"/>
      <c r="C88" s="73" t="s">
        <v>538</v>
      </c>
      <c r="D88" s="70"/>
      <c r="E88" s="70"/>
      <c r="F88" s="72"/>
      <c r="G88" s="72"/>
      <c r="H88" s="66"/>
      <c r="K88" s="50"/>
      <c r="L88" s="50"/>
      <c r="M88" s="50"/>
      <c r="N88" s="50"/>
      <c r="O88" s="74"/>
      <c r="P88" s="74"/>
      <c r="Q88" s="74"/>
    </row>
    <row r="89" spans="1:17" ht="25.5" x14ac:dyDescent="0.2">
      <c r="A89" s="63">
        <v>1</v>
      </c>
      <c r="B89" s="64" t="s">
        <v>99</v>
      </c>
      <c r="C89" s="64" t="s">
        <v>100</v>
      </c>
      <c r="D89" s="64"/>
      <c r="E89" s="75">
        <v>543.85400000000004</v>
      </c>
      <c r="F89" s="66">
        <v>59.504828771</v>
      </c>
      <c r="G89" s="67">
        <v>2.8007800000000001E-3</v>
      </c>
      <c r="H89" s="68"/>
    </row>
    <row r="90" spans="1:17" x14ac:dyDescent="0.2">
      <c r="A90" s="70"/>
      <c r="B90" s="70"/>
      <c r="C90" s="73" t="s">
        <v>11</v>
      </c>
      <c r="D90" s="70"/>
      <c r="E90" s="70" t="s">
        <v>12</v>
      </c>
      <c r="F90" s="76">
        <f>SUM(F89)</f>
        <v>59.504828771</v>
      </c>
      <c r="G90" s="77">
        <f>SUM(G89)</f>
        <v>2.8007800000000001E-3</v>
      </c>
      <c r="H90" s="68" t="s">
        <v>12</v>
      </c>
    </row>
    <row r="91" spans="1:17" x14ac:dyDescent="0.2">
      <c r="A91" s="18"/>
      <c r="B91" s="18"/>
      <c r="C91" s="22"/>
      <c r="D91" s="18"/>
      <c r="E91" s="18"/>
      <c r="F91" s="23"/>
      <c r="G91" s="23"/>
      <c r="H91" s="17" t="s">
        <v>12</v>
      </c>
    </row>
    <row r="92" spans="1:17" x14ac:dyDescent="0.2">
      <c r="A92" s="18"/>
      <c r="B92" s="18"/>
      <c r="C92" s="19" t="s">
        <v>101</v>
      </c>
      <c r="D92" s="18"/>
      <c r="E92" s="18"/>
      <c r="F92" s="18"/>
      <c r="G92" s="18"/>
      <c r="H92" s="17" t="s">
        <v>12</v>
      </c>
    </row>
    <row r="93" spans="1:17" x14ac:dyDescent="0.2">
      <c r="A93" s="18"/>
      <c r="B93" s="18"/>
      <c r="C93" s="19" t="s">
        <v>102</v>
      </c>
      <c r="D93" s="18"/>
      <c r="E93" s="18"/>
      <c r="F93" s="18"/>
      <c r="G93" s="18"/>
      <c r="H93" s="17" t="s">
        <v>12</v>
      </c>
    </row>
    <row r="94" spans="1:17" x14ac:dyDescent="0.2">
      <c r="A94" s="18"/>
      <c r="B94" s="18"/>
      <c r="C94" s="19" t="s">
        <v>11</v>
      </c>
      <c r="D94" s="18"/>
      <c r="E94" s="18" t="s">
        <v>12</v>
      </c>
      <c r="F94" s="20" t="s">
        <v>13</v>
      </c>
      <c r="G94" s="21">
        <v>0</v>
      </c>
      <c r="H94" s="17" t="s">
        <v>12</v>
      </c>
    </row>
    <row r="95" spans="1:17" x14ac:dyDescent="0.2">
      <c r="A95" s="18"/>
      <c r="B95" s="18"/>
      <c r="C95" s="22"/>
      <c r="D95" s="18"/>
      <c r="E95" s="18"/>
      <c r="F95" s="23"/>
      <c r="G95" s="23"/>
      <c r="H95" s="17" t="s">
        <v>12</v>
      </c>
    </row>
    <row r="96" spans="1:17" x14ac:dyDescent="0.2">
      <c r="A96" s="18"/>
      <c r="B96" s="18"/>
      <c r="C96" s="19" t="s">
        <v>103</v>
      </c>
      <c r="D96" s="18"/>
      <c r="E96" s="18"/>
      <c r="F96" s="23"/>
      <c r="G96" s="23"/>
      <c r="H96" s="17" t="s">
        <v>12</v>
      </c>
    </row>
    <row r="97" spans="1:8" x14ac:dyDescent="0.2">
      <c r="A97" s="18"/>
      <c r="B97" s="18"/>
      <c r="C97" s="19" t="s">
        <v>11</v>
      </c>
      <c r="D97" s="18"/>
      <c r="E97" s="18" t="s">
        <v>12</v>
      </c>
      <c r="F97" s="20" t="s">
        <v>13</v>
      </c>
      <c r="G97" s="21">
        <v>0</v>
      </c>
      <c r="H97" s="17" t="s">
        <v>12</v>
      </c>
    </row>
    <row r="98" spans="1:8" x14ac:dyDescent="0.2">
      <c r="A98" s="18"/>
      <c r="B98" s="18"/>
      <c r="C98" s="22"/>
      <c r="D98" s="18"/>
      <c r="E98" s="18"/>
      <c r="F98" s="23"/>
      <c r="G98" s="23"/>
      <c r="H98" s="17" t="s">
        <v>12</v>
      </c>
    </row>
    <row r="99" spans="1:8" x14ac:dyDescent="0.2">
      <c r="A99" s="30"/>
      <c r="B99" s="26"/>
      <c r="C99" s="26" t="s">
        <v>104</v>
      </c>
      <c r="D99" s="26"/>
      <c r="E99" s="30"/>
      <c r="F99" s="28">
        <v>522.21525342199811</v>
      </c>
      <c r="G99" s="29">
        <v>2.4579710000000001E-2</v>
      </c>
      <c r="H99" s="17" t="s">
        <v>12</v>
      </c>
    </row>
    <row r="100" spans="1:8" x14ac:dyDescent="0.2">
      <c r="A100" s="22"/>
      <c r="B100" s="22"/>
      <c r="C100" s="19" t="s">
        <v>105</v>
      </c>
      <c r="D100" s="23"/>
      <c r="E100" s="23"/>
      <c r="F100" s="24">
        <v>21245.783803889997</v>
      </c>
      <c r="G100" s="31">
        <v>1.0000000099999999</v>
      </c>
      <c r="H100" s="17" t="s">
        <v>12</v>
      </c>
    </row>
    <row r="101" spans="1:8" x14ac:dyDescent="0.2">
      <c r="A101" s="32"/>
      <c r="B101" s="32"/>
      <c r="C101" s="32"/>
      <c r="D101" s="33"/>
      <c r="E101" s="33"/>
      <c r="F101" s="33"/>
      <c r="G101" s="33"/>
    </row>
    <row r="102" spans="1:8" x14ac:dyDescent="0.2">
      <c r="A102" s="34"/>
      <c r="B102" s="151" t="s">
        <v>539</v>
      </c>
      <c r="C102" s="151"/>
      <c r="D102" s="151"/>
      <c r="E102" s="151"/>
      <c r="F102" s="151"/>
      <c r="G102" s="151"/>
      <c r="H102" s="151"/>
    </row>
    <row r="103" spans="1:8" x14ac:dyDescent="0.2">
      <c r="A103" s="34"/>
      <c r="B103" s="151" t="s">
        <v>540</v>
      </c>
      <c r="C103" s="151"/>
      <c r="D103" s="151"/>
      <c r="E103" s="151"/>
      <c r="F103" s="151"/>
      <c r="G103" s="151"/>
      <c r="H103" s="151"/>
    </row>
    <row r="104" spans="1:8" x14ac:dyDescent="0.2">
      <c r="A104" s="34"/>
      <c r="B104" s="151" t="s">
        <v>541</v>
      </c>
      <c r="C104" s="151"/>
      <c r="D104" s="151"/>
      <c r="E104" s="151"/>
      <c r="F104" s="151"/>
      <c r="G104" s="151"/>
      <c r="H104" s="151"/>
    </row>
    <row r="105" spans="1:8" x14ac:dyDescent="0.2">
      <c r="A105" s="36"/>
      <c r="B105" s="36"/>
      <c r="C105" s="36"/>
      <c r="D105" s="37"/>
      <c r="E105" s="37"/>
      <c r="F105" s="37"/>
      <c r="G105" s="37"/>
    </row>
    <row r="106" spans="1:8" x14ac:dyDescent="0.2">
      <c r="A106" s="36"/>
      <c r="B106" s="154" t="s">
        <v>106</v>
      </c>
      <c r="C106" s="155"/>
      <c r="D106" s="156"/>
      <c r="E106" s="38"/>
      <c r="F106" s="37"/>
      <c r="G106" s="37"/>
    </row>
    <row r="107" spans="1:8" ht="25.5" x14ac:dyDescent="0.2">
      <c r="A107" s="36"/>
      <c r="B107" s="157" t="s">
        <v>107</v>
      </c>
      <c r="C107" s="158"/>
      <c r="D107" s="73" t="s">
        <v>566</v>
      </c>
      <c r="E107" s="38"/>
      <c r="F107" s="37"/>
      <c r="G107" s="37"/>
    </row>
    <row r="108" spans="1:8" x14ac:dyDescent="0.2">
      <c r="A108" s="36"/>
      <c r="B108" s="157" t="s">
        <v>109</v>
      </c>
      <c r="C108" s="158"/>
      <c r="D108" s="19" t="s">
        <v>108</v>
      </c>
      <c r="E108" s="38"/>
      <c r="F108" s="37"/>
      <c r="G108" s="37"/>
    </row>
    <row r="109" spans="1:8" x14ac:dyDescent="0.2">
      <c r="A109" s="36"/>
      <c r="B109" s="157" t="s">
        <v>110</v>
      </c>
      <c r="C109" s="158"/>
      <c r="D109" s="23" t="s">
        <v>12</v>
      </c>
      <c r="E109" s="38"/>
      <c r="F109" s="37"/>
      <c r="G109" s="37"/>
    </row>
    <row r="110" spans="1:8" x14ac:dyDescent="0.2">
      <c r="A110" s="39"/>
      <c r="B110" s="40" t="s">
        <v>12</v>
      </c>
      <c r="C110" s="40" t="s">
        <v>542</v>
      </c>
      <c r="D110" s="40" t="s">
        <v>111</v>
      </c>
      <c r="E110" s="39"/>
      <c r="F110" s="39"/>
      <c r="G110" s="39"/>
    </row>
    <row r="111" spans="1:8" x14ac:dyDescent="0.2">
      <c r="A111" s="39"/>
      <c r="B111" s="41" t="s">
        <v>112</v>
      </c>
      <c r="C111" s="42">
        <v>45688</v>
      </c>
      <c r="D111" s="42">
        <v>45703</v>
      </c>
      <c r="E111" s="39"/>
      <c r="F111" s="39"/>
      <c r="G111" s="39"/>
    </row>
    <row r="112" spans="1:8" x14ac:dyDescent="0.2">
      <c r="A112" s="43"/>
      <c r="B112" s="26" t="s">
        <v>113</v>
      </c>
      <c r="C112" s="44">
        <v>46.077199999999998</v>
      </c>
      <c r="D112" s="44">
        <v>46.197899999999997</v>
      </c>
      <c r="E112" s="43"/>
      <c r="F112" s="45"/>
      <c r="G112" s="46"/>
    </row>
    <row r="113" spans="1:17" ht="25.5" x14ac:dyDescent="0.2">
      <c r="A113" s="43"/>
      <c r="B113" s="26" t="s">
        <v>663</v>
      </c>
      <c r="C113" s="44">
        <v>12.932700000000001</v>
      </c>
      <c r="D113" s="44">
        <v>12.9666</v>
      </c>
      <c r="E113" s="43"/>
      <c r="F113" s="45"/>
      <c r="G113" s="46"/>
    </row>
    <row r="114" spans="1:17" ht="25.5" x14ac:dyDescent="0.2">
      <c r="A114" s="43"/>
      <c r="B114" s="26" t="s">
        <v>664</v>
      </c>
      <c r="C114" s="44">
        <v>14.8185</v>
      </c>
      <c r="D114" s="44">
        <v>14.8574</v>
      </c>
      <c r="E114" s="43"/>
      <c r="F114" s="45"/>
      <c r="G114" s="46"/>
    </row>
    <row r="115" spans="1:17" ht="25.5" x14ac:dyDescent="0.2">
      <c r="A115" s="43"/>
      <c r="B115" s="26" t="s">
        <v>665</v>
      </c>
      <c r="C115" s="44">
        <v>14.721399999999999</v>
      </c>
      <c r="D115" s="44">
        <v>14.76</v>
      </c>
      <c r="E115" s="43"/>
      <c r="F115" s="45"/>
      <c r="G115" s="46"/>
    </row>
    <row r="116" spans="1:17" ht="25.5" x14ac:dyDescent="0.2">
      <c r="A116" s="43"/>
      <c r="B116" s="26" t="s">
        <v>666</v>
      </c>
      <c r="C116" s="44">
        <v>14.7233</v>
      </c>
      <c r="D116" s="44">
        <v>14.761900000000001</v>
      </c>
      <c r="E116" s="43"/>
      <c r="F116" s="45"/>
      <c r="G116" s="46"/>
    </row>
    <row r="117" spans="1:17" x14ac:dyDescent="0.2">
      <c r="A117" s="43"/>
      <c r="B117" s="26" t="s">
        <v>114</v>
      </c>
      <c r="C117" s="44">
        <v>42.695599999999999</v>
      </c>
      <c r="D117" s="44">
        <v>42.792999999999999</v>
      </c>
      <c r="E117" s="43"/>
      <c r="F117" s="45"/>
      <c r="G117" s="46"/>
    </row>
    <row r="118" spans="1:17" x14ac:dyDescent="0.2">
      <c r="A118" s="43"/>
      <c r="B118" s="26" t="s">
        <v>139</v>
      </c>
      <c r="C118" s="44">
        <v>15.422700000000001</v>
      </c>
      <c r="D118" s="44">
        <v>15.4579</v>
      </c>
      <c r="E118" s="43"/>
      <c r="F118" s="45"/>
      <c r="G118" s="46"/>
    </row>
    <row r="119" spans="1:17" ht="25.5" x14ac:dyDescent="0.2">
      <c r="A119" s="43"/>
      <c r="B119" s="26" t="s">
        <v>667</v>
      </c>
      <c r="C119" s="44">
        <v>12.895099999999999</v>
      </c>
      <c r="D119" s="44">
        <v>12.9245</v>
      </c>
      <c r="E119" s="43"/>
      <c r="F119" s="45"/>
      <c r="G119" s="46"/>
    </row>
    <row r="120" spans="1:17" ht="25.5" x14ac:dyDescent="0.2">
      <c r="A120" s="43"/>
      <c r="B120" s="26" t="s">
        <v>668</v>
      </c>
      <c r="C120" s="44">
        <v>14.5122</v>
      </c>
      <c r="D120" s="44">
        <v>14.545299999999999</v>
      </c>
      <c r="E120" s="43"/>
      <c r="F120" s="45"/>
      <c r="G120" s="46"/>
    </row>
    <row r="121" spans="1:17" ht="25.5" x14ac:dyDescent="0.2">
      <c r="A121" s="43"/>
      <c r="B121" s="26" t="s">
        <v>669</v>
      </c>
      <c r="C121" s="44">
        <v>14.4155</v>
      </c>
      <c r="D121" s="44">
        <v>14.448399999999999</v>
      </c>
      <c r="E121" s="43"/>
      <c r="F121" s="45"/>
      <c r="G121" s="46"/>
    </row>
    <row r="122" spans="1:17" ht="25.5" x14ac:dyDescent="0.2">
      <c r="A122" s="43"/>
      <c r="B122" s="26" t="s">
        <v>670</v>
      </c>
      <c r="C122" s="44">
        <v>14.4155</v>
      </c>
      <c r="D122" s="44">
        <v>14.448399999999999</v>
      </c>
      <c r="E122" s="43"/>
      <c r="F122" s="45"/>
      <c r="G122" s="46"/>
    </row>
    <row r="123" spans="1:17" x14ac:dyDescent="0.2">
      <c r="A123" s="43"/>
      <c r="B123" s="43"/>
      <c r="C123" s="43"/>
      <c r="D123" s="43"/>
      <c r="E123" s="43"/>
      <c r="F123" s="43"/>
      <c r="G123" s="43"/>
    </row>
    <row r="124" spans="1:17" x14ac:dyDescent="0.2">
      <c r="A124" s="43"/>
      <c r="B124" s="157" t="s">
        <v>643</v>
      </c>
      <c r="C124" s="158"/>
      <c r="D124" s="73" t="s">
        <v>108</v>
      </c>
      <c r="E124" s="43"/>
      <c r="F124" s="43"/>
      <c r="G124" s="43"/>
    </row>
    <row r="125" spans="1:17" x14ac:dyDescent="0.2">
      <c r="A125" s="43"/>
      <c r="B125" s="48"/>
      <c r="C125" s="48"/>
      <c r="D125" s="48"/>
      <c r="E125" s="43"/>
      <c r="F125" s="43"/>
      <c r="G125" s="43"/>
    </row>
    <row r="126" spans="1:17" s="51" customFormat="1" x14ac:dyDescent="0.2">
      <c r="A126" s="91"/>
      <c r="B126" s="159" t="s">
        <v>557</v>
      </c>
      <c r="C126" s="160"/>
      <c r="D126" s="73" t="s">
        <v>108</v>
      </c>
      <c r="E126" s="91"/>
      <c r="F126" s="91"/>
      <c r="G126" s="91"/>
      <c r="I126"/>
      <c r="J126" s="14"/>
      <c r="K126"/>
      <c r="L126" s="50"/>
      <c r="M126" s="50"/>
      <c r="N126" s="50"/>
      <c r="O126" s="52"/>
      <c r="P126"/>
      <c r="Q126"/>
    </row>
    <row r="127" spans="1:17" ht="25.5" customHeight="1" x14ac:dyDescent="0.2">
      <c r="A127" s="39"/>
      <c r="B127" s="159" t="s">
        <v>558</v>
      </c>
      <c r="C127" s="160"/>
      <c r="D127" s="73" t="s">
        <v>108</v>
      </c>
      <c r="E127" s="49"/>
      <c r="F127" s="39"/>
      <c r="G127" s="39"/>
      <c r="J127" s="14"/>
    </row>
    <row r="128" spans="1:17" ht="27" customHeight="1" x14ac:dyDescent="0.2">
      <c r="A128" s="39"/>
      <c r="B128" s="159" t="s">
        <v>559</v>
      </c>
      <c r="C128" s="160"/>
      <c r="D128" s="73" t="s">
        <v>108</v>
      </c>
      <c r="E128" s="49"/>
      <c r="F128" s="39"/>
      <c r="G128" s="39"/>
      <c r="J128" s="14"/>
    </row>
    <row r="129" spans="1:19" x14ac:dyDescent="0.2">
      <c r="A129" s="39"/>
      <c r="B129" s="159" t="s">
        <v>560</v>
      </c>
      <c r="C129" s="160"/>
      <c r="D129" s="73" t="s">
        <v>108</v>
      </c>
      <c r="E129" s="49"/>
      <c r="F129" s="39"/>
      <c r="G129" s="39"/>
      <c r="J129" s="14"/>
    </row>
    <row r="130" spans="1:19" x14ac:dyDescent="0.2">
      <c r="A130" s="48"/>
      <c r="B130" s="48"/>
      <c r="C130" s="48"/>
      <c r="D130" s="48"/>
      <c r="E130" s="48"/>
      <c r="F130" s="48"/>
      <c r="G130" s="48"/>
      <c r="J130" s="14"/>
    </row>
    <row r="131" spans="1:19" s="51" customFormat="1" x14ac:dyDescent="0.2">
      <c r="B131" s="161" t="s">
        <v>544</v>
      </c>
      <c r="C131" s="162"/>
      <c r="D131" s="163"/>
      <c r="I131"/>
      <c r="J131" s="14"/>
      <c r="K131"/>
      <c r="L131" s="50"/>
      <c r="M131" s="50"/>
      <c r="N131" s="50"/>
      <c r="O131" s="52"/>
      <c r="R131"/>
      <c r="S131"/>
    </row>
    <row r="132" spans="1:19" s="51" customFormat="1" ht="51" x14ac:dyDescent="0.2">
      <c r="B132" s="152" t="s">
        <v>545</v>
      </c>
      <c r="C132" s="152"/>
      <c r="D132" s="53" t="s">
        <v>385</v>
      </c>
      <c r="I132"/>
      <c r="J132" s="14"/>
      <c r="K132"/>
      <c r="L132" s="50"/>
      <c r="M132" s="50"/>
      <c r="N132" s="50"/>
      <c r="O132" s="52"/>
      <c r="R132"/>
      <c r="S132"/>
    </row>
    <row r="133" spans="1:19" s="51" customFormat="1" x14ac:dyDescent="0.2">
      <c r="B133" s="153" t="s">
        <v>546</v>
      </c>
      <c r="C133" s="153"/>
      <c r="D133" s="54"/>
      <c r="I133"/>
      <c r="J133" s="14"/>
      <c r="K133"/>
      <c r="L133" s="50"/>
      <c r="M133" s="50"/>
      <c r="N133" s="50"/>
      <c r="O133" s="52"/>
      <c r="R133"/>
      <c r="S133"/>
    </row>
    <row r="134" spans="1:19" s="51" customFormat="1" x14ac:dyDescent="0.2">
      <c r="B134" s="153"/>
      <c r="C134" s="153"/>
      <c r="D134" s="55"/>
      <c r="I134"/>
      <c r="J134" s="14"/>
      <c r="K134"/>
      <c r="L134" s="50"/>
      <c r="M134" s="50"/>
      <c r="N134" s="50"/>
      <c r="O134" s="52"/>
      <c r="R134"/>
      <c r="S134"/>
    </row>
    <row r="135" spans="1:19" s="51" customFormat="1" x14ac:dyDescent="0.2">
      <c r="B135" s="153" t="s">
        <v>547</v>
      </c>
      <c r="C135" s="153"/>
      <c r="D135" s="108">
        <v>7.4521411124873369</v>
      </c>
      <c r="I135"/>
      <c r="J135" s="14"/>
      <c r="K135"/>
      <c r="L135" s="50"/>
      <c r="M135" s="50"/>
      <c r="N135" s="50"/>
      <c r="O135" s="52"/>
    </row>
    <row r="136" spans="1:19" s="51" customFormat="1" x14ac:dyDescent="0.2">
      <c r="B136" s="153"/>
      <c r="C136" s="153"/>
      <c r="D136" s="55"/>
      <c r="I136"/>
      <c r="J136" s="14"/>
      <c r="K136"/>
      <c r="L136" s="50"/>
      <c r="M136" s="50"/>
      <c r="N136" s="50"/>
      <c r="O136" s="52"/>
    </row>
    <row r="137" spans="1:19" s="51" customFormat="1" x14ac:dyDescent="0.2">
      <c r="B137" s="153" t="s">
        <v>548</v>
      </c>
      <c r="C137" s="153"/>
      <c r="D137" s="108">
        <v>2.9024995983459352</v>
      </c>
      <c r="I137"/>
      <c r="J137" s="14"/>
      <c r="K137"/>
      <c r="L137" s="50"/>
      <c r="M137" s="50"/>
      <c r="N137" s="50"/>
      <c r="O137" s="52"/>
    </row>
    <row r="138" spans="1:19" s="51" customFormat="1" x14ac:dyDescent="0.2">
      <c r="B138" s="153" t="s">
        <v>567</v>
      </c>
      <c r="C138" s="153"/>
      <c r="D138" s="108">
        <v>3.5602253525116812</v>
      </c>
      <c r="I138"/>
      <c r="J138" s="14"/>
      <c r="K138"/>
      <c r="L138" s="50"/>
      <c r="M138" s="50"/>
      <c r="N138" s="50"/>
      <c r="O138" s="52"/>
    </row>
    <row r="139" spans="1:19" s="51" customFormat="1" x14ac:dyDescent="0.2">
      <c r="B139" s="153"/>
      <c r="C139" s="153"/>
      <c r="D139" s="55"/>
      <c r="I139"/>
      <c r="J139" s="14"/>
      <c r="K139"/>
      <c r="L139" s="50"/>
      <c r="M139" s="50"/>
      <c r="N139" s="50"/>
      <c r="O139" s="52"/>
    </row>
    <row r="140" spans="1:19" s="51" customFormat="1" ht="25.5" x14ac:dyDescent="0.2">
      <c r="B140" s="153" t="s">
        <v>550</v>
      </c>
      <c r="C140" s="153"/>
      <c r="D140" s="109" t="s">
        <v>657</v>
      </c>
      <c r="I140"/>
      <c r="J140" s="14"/>
      <c r="K140" s="50"/>
      <c r="L140" s="50"/>
      <c r="M140" s="50"/>
      <c r="N140" s="50"/>
      <c r="O140" s="52"/>
    </row>
    <row r="141" spans="1:19" s="51" customFormat="1" x14ac:dyDescent="0.2">
      <c r="B141" s="165" t="s">
        <v>551</v>
      </c>
      <c r="C141" s="167"/>
      <c r="D141" s="166"/>
      <c r="I141"/>
      <c r="J141" s="14"/>
      <c r="K141"/>
      <c r="L141" s="50"/>
      <c r="M141" s="50"/>
      <c r="N141" s="50"/>
      <c r="O141" s="52"/>
    </row>
    <row r="142" spans="1:19" x14ac:dyDescent="0.2">
      <c r="J142" s="14"/>
    </row>
    <row r="143" spans="1:19" ht="13.5" x14ac:dyDescent="0.2">
      <c r="B143" s="180" t="s">
        <v>658</v>
      </c>
      <c r="C143" s="180"/>
      <c r="D143" s="180"/>
      <c r="E143" s="180"/>
      <c r="F143" s="180"/>
      <c r="G143" s="180"/>
      <c r="H143" s="180"/>
    </row>
    <row r="144" spans="1:19" ht="13.5" x14ac:dyDescent="0.2">
      <c r="B144" s="137"/>
      <c r="C144" s="137"/>
      <c r="D144" s="137"/>
      <c r="E144" s="137"/>
      <c r="F144" s="137"/>
      <c r="G144" s="137"/>
      <c r="H144" s="137"/>
      <c r="J144" s="50"/>
      <c r="K144" s="50"/>
      <c r="L144" s="50"/>
      <c r="M144" s="50"/>
      <c r="N144" s="50"/>
      <c r="O144" s="50"/>
    </row>
    <row r="145" spans="2:15" ht="13.5" x14ac:dyDescent="0.25">
      <c r="B145" s="85" t="s">
        <v>575</v>
      </c>
      <c r="C145" s="85" t="s">
        <v>576</v>
      </c>
      <c r="D145" s="181" t="s">
        <v>570</v>
      </c>
      <c r="E145" s="182"/>
      <c r="F145" s="183"/>
      <c r="G145" s="184" t="s">
        <v>571</v>
      </c>
      <c r="H145" s="185"/>
      <c r="J145" s="50"/>
      <c r="K145" s="50"/>
      <c r="L145" s="50"/>
      <c r="M145" s="50"/>
      <c r="N145" s="50"/>
      <c r="O145" s="50"/>
    </row>
    <row r="146" spans="2:15" ht="27" x14ac:dyDescent="0.25">
      <c r="B146" s="84" t="s">
        <v>581</v>
      </c>
      <c r="C146" s="83" t="s">
        <v>604</v>
      </c>
      <c r="D146" s="186">
        <v>0</v>
      </c>
      <c r="E146" s="187"/>
      <c r="F146" s="188"/>
      <c r="G146" s="186">
        <v>0</v>
      </c>
      <c r="H146" s="188"/>
      <c r="J146" s="50"/>
      <c r="K146" s="50"/>
      <c r="L146" s="50"/>
      <c r="M146" s="50"/>
      <c r="N146" s="50"/>
      <c r="O146" s="50"/>
    </row>
    <row r="147" spans="2:15" ht="27" x14ac:dyDescent="0.25">
      <c r="B147" s="84" t="s">
        <v>577</v>
      </c>
      <c r="C147" s="83" t="s">
        <v>605</v>
      </c>
      <c r="D147" s="186">
        <v>0</v>
      </c>
      <c r="E147" s="187"/>
      <c r="F147" s="188"/>
      <c r="G147" s="186">
        <v>0</v>
      </c>
      <c r="H147" s="188"/>
      <c r="J147" s="50"/>
      <c r="K147" s="50"/>
      <c r="L147" s="50"/>
      <c r="M147" s="50"/>
      <c r="N147" s="50"/>
      <c r="O147" s="50"/>
    </row>
    <row r="148" spans="2:15" ht="27" x14ac:dyDescent="0.25">
      <c r="B148" s="84" t="s">
        <v>606</v>
      </c>
      <c r="C148" s="83" t="s">
        <v>607</v>
      </c>
      <c r="D148" s="186">
        <v>0</v>
      </c>
      <c r="E148" s="187"/>
      <c r="F148" s="188"/>
      <c r="G148" s="186">
        <v>0</v>
      </c>
      <c r="H148" s="188"/>
      <c r="J148" s="50"/>
      <c r="K148" s="50"/>
      <c r="L148" s="50"/>
      <c r="M148" s="50"/>
      <c r="N148" s="50"/>
      <c r="O148" s="50"/>
    </row>
    <row r="149" spans="2:15" ht="27" x14ac:dyDescent="0.25">
      <c r="B149" s="84" t="s">
        <v>579</v>
      </c>
      <c r="C149" s="83" t="s">
        <v>608</v>
      </c>
      <c r="D149" s="174">
        <v>0</v>
      </c>
      <c r="E149" s="174"/>
      <c r="F149" s="174"/>
      <c r="G149" s="174">
        <v>0</v>
      </c>
      <c r="H149" s="174"/>
      <c r="J149" s="50"/>
      <c r="K149" s="50"/>
      <c r="L149" s="50"/>
      <c r="M149" s="50"/>
      <c r="N149" s="50"/>
      <c r="O149" s="50"/>
    </row>
    <row r="150" spans="2:15" ht="13.5" x14ac:dyDescent="0.25">
      <c r="B150" s="138"/>
      <c r="C150" s="138"/>
      <c r="D150" s="189"/>
      <c r="E150" s="189"/>
      <c r="F150" s="189"/>
      <c r="G150" s="189"/>
      <c r="H150" s="189"/>
      <c r="J150" s="50"/>
      <c r="K150" s="50"/>
      <c r="L150" s="50"/>
      <c r="M150" s="50"/>
      <c r="N150" s="50"/>
      <c r="O150" s="50"/>
    </row>
    <row r="151" spans="2:15" ht="13.5" x14ac:dyDescent="0.25">
      <c r="B151" s="191" t="s">
        <v>583</v>
      </c>
      <c r="C151" s="191"/>
      <c r="D151" s="191"/>
      <c r="E151" s="191"/>
      <c r="F151" s="191"/>
      <c r="G151" s="191"/>
      <c r="H151" s="191"/>
      <c r="J151" s="50"/>
      <c r="K151" s="50"/>
      <c r="L151" s="50"/>
      <c r="M151" s="50"/>
      <c r="N151" s="50"/>
      <c r="O151" s="50"/>
    </row>
    <row r="152" spans="2:15" ht="13.5" x14ac:dyDescent="0.2">
      <c r="B152" s="178" t="s">
        <v>575</v>
      </c>
      <c r="C152" s="178" t="s">
        <v>576</v>
      </c>
      <c r="D152" s="178" t="s">
        <v>584</v>
      </c>
      <c r="E152" s="178"/>
      <c r="F152" s="178"/>
      <c r="G152" s="178"/>
      <c r="H152" s="179" t="s">
        <v>585</v>
      </c>
      <c r="I152" s="179" t="s">
        <v>609</v>
      </c>
      <c r="J152" s="179" t="s">
        <v>587</v>
      </c>
      <c r="K152" s="50"/>
      <c r="L152" s="50"/>
      <c r="M152" s="50"/>
      <c r="N152" s="50"/>
      <c r="O152" s="50"/>
    </row>
    <row r="153" spans="2:15" ht="121.5" x14ac:dyDescent="0.2">
      <c r="B153" s="178"/>
      <c r="C153" s="178"/>
      <c r="D153" s="80" t="s">
        <v>588</v>
      </c>
      <c r="E153" s="80" t="s">
        <v>589</v>
      </c>
      <c r="F153" s="80" t="s">
        <v>590</v>
      </c>
      <c r="G153" s="80" t="s">
        <v>610</v>
      </c>
      <c r="H153" s="179"/>
      <c r="I153" s="179"/>
      <c r="J153" s="179"/>
      <c r="K153" s="50"/>
      <c r="L153" s="50"/>
      <c r="M153" s="50"/>
      <c r="N153" s="50"/>
      <c r="O153" s="50"/>
    </row>
    <row r="154" spans="2:15" ht="27" x14ac:dyDescent="0.25">
      <c r="B154" s="84" t="s">
        <v>581</v>
      </c>
      <c r="C154" s="83" t="s">
        <v>604</v>
      </c>
      <c r="D154" s="86">
        <v>3000</v>
      </c>
      <c r="E154" s="86">
        <v>198.60410960000002</v>
      </c>
      <c r="F154" s="139">
        <v>72.152053199999997</v>
      </c>
      <c r="G154" s="140">
        <v>3270.7561627999999</v>
      </c>
      <c r="H154" s="9">
        <v>1452.6372699999999</v>
      </c>
      <c r="I154" s="9">
        <f>2499839/10^5</f>
        <v>24.998390000000001</v>
      </c>
      <c r="J154" s="9">
        <f>H154+I154</f>
        <v>1477.6356599999999</v>
      </c>
      <c r="K154" s="50"/>
      <c r="L154" s="50"/>
      <c r="M154" s="50"/>
      <c r="N154" s="50"/>
      <c r="O154" s="50"/>
    </row>
    <row r="155" spans="2:15" ht="27" x14ac:dyDescent="0.25">
      <c r="B155" s="84" t="s">
        <v>577</v>
      </c>
      <c r="C155" s="83" t="s">
        <v>605</v>
      </c>
      <c r="D155" s="86">
        <v>500</v>
      </c>
      <c r="E155" s="86">
        <v>33.283561599999999</v>
      </c>
      <c r="F155" s="139">
        <v>12.091777499999999</v>
      </c>
      <c r="G155" s="140">
        <f>D155+E155+F155</f>
        <v>545.37533910000002</v>
      </c>
      <c r="H155" s="9">
        <v>242.22076999999999</v>
      </c>
      <c r="I155" s="9">
        <f>416840/10^5</f>
        <v>4.1684000000000001</v>
      </c>
      <c r="J155" s="9">
        <f>H155+I155</f>
        <v>246.38916999999998</v>
      </c>
      <c r="K155" s="50"/>
      <c r="L155" s="50"/>
      <c r="M155" s="50"/>
      <c r="N155" s="50"/>
      <c r="O155" s="50"/>
    </row>
    <row r="156" spans="2:15" ht="27" x14ac:dyDescent="0.25">
      <c r="B156" s="84" t="s">
        <v>606</v>
      </c>
      <c r="C156" s="83" t="s">
        <v>611</v>
      </c>
      <c r="D156" s="86">
        <v>2000</v>
      </c>
      <c r="E156" s="86">
        <v>39.762295099999996</v>
      </c>
      <c r="F156" s="139">
        <v>64.029485721917808</v>
      </c>
      <c r="G156" s="140">
        <v>2103.7917808219199</v>
      </c>
      <c r="H156" s="9">
        <v>933.64715000000001</v>
      </c>
      <c r="I156" s="9">
        <f>1606686/10^5</f>
        <v>16.066859999999998</v>
      </c>
      <c r="J156" s="9">
        <f>H156+I156</f>
        <v>949.71401000000003</v>
      </c>
      <c r="K156" s="50"/>
      <c r="L156" s="50"/>
      <c r="M156" s="50"/>
      <c r="N156" s="50"/>
      <c r="O156" s="50"/>
    </row>
    <row r="157" spans="2:15" ht="27" x14ac:dyDescent="0.25">
      <c r="B157" s="84" t="s">
        <v>579</v>
      </c>
      <c r="C157" s="83" t="s">
        <v>608</v>
      </c>
      <c r="D157" s="86">
        <v>1882.78</v>
      </c>
      <c r="E157" s="86">
        <v>137.066384</v>
      </c>
      <c r="F157" s="139">
        <v>34.266601500000007</v>
      </c>
      <c r="G157" s="140">
        <v>2054.1129854999999</v>
      </c>
      <c r="H157" s="9">
        <v>916.65184999999997</v>
      </c>
      <c r="I157" s="9">
        <f>1577458/10^5</f>
        <v>15.77458</v>
      </c>
      <c r="J157" s="9">
        <f>H157+I157</f>
        <v>932.42642999999998</v>
      </c>
      <c r="K157" s="50"/>
      <c r="L157" s="50"/>
      <c r="M157" s="50"/>
      <c r="N157" s="50"/>
      <c r="O157" s="50"/>
    </row>
    <row r="158" spans="2:15" ht="13.5" x14ac:dyDescent="0.25">
      <c r="B158" s="138"/>
      <c r="C158" s="141"/>
      <c r="D158" s="142"/>
      <c r="E158" s="142"/>
      <c r="F158" s="143"/>
      <c r="G158" s="144"/>
      <c r="H158" s="11"/>
      <c r="J158" s="14"/>
      <c r="K158" s="50"/>
      <c r="L158" s="50"/>
      <c r="M158" s="50"/>
      <c r="N158" s="50"/>
      <c r="O158" s="50"/>
    </row>
    <row r="159" spans="2:15" ht="51" customHeight="1" x14ac:dyDescent="0.2">
      <c r="B159" s="190" t="s">
        <v>612</v>
      </c>
      <c r="C159" s="190"/>
      <c r="D159" s="190"/>
      <c r="E159" s="190"/>
      <c r="F159" s="190"/>
      <c r="G159" s="190"/>
      <c r="H159" s="190"/>
      <c r="I159" s="190"/>
      <c r="J159" s="14"/>
      <c r="K159" s="50"/>
      <c r="L159" s="50"/>
      <c r="M159" s="50"/>
      <c r="N159" s="50"/>
      <c r="O159" s="50"/>
    </row>
    <row r="160" spans="2:15" x14ac:dyDescent="0.2">
      <c r="B160" s="50"/>
      <c r="C160" s="50"/>
      <c r="D160" s="50"/>
      <c r="E160" s="50"/>
      <c r="F160" s="50"/>
      <c r="G160" s="50"/>
      <c r="H160" s="50"/>
      <c r="J160" s="14"/>
      <c r="K160" s="50"/>
      <c r="L160" s="50"/>
      <c r="M160" s="50"/>
      <c r="N160" s="50"/>
      <c r="O160" s="50"/>
    </row>
    <row r="161" spans="2:15" ht="13.5" x14ac:dyDescent="0.25">
      <c r="B161" s="89" t="s">
        <v>592</v>
      </c>
      <c r="C161" s="50"/>
      <c r="D161" s="50"/>
      <c r="E161" s="50"/>
      <c r="F161" s="50"/>
      <c r="G161" s="50"/>
      <c r="H161" s="50"/>
      <c r="J161" s="14"/>
      <c r="K161" s="50"/>
      <c r="L161" s="50"/>
      <c r="M161" s="50"/>
      <c r="N161" s="50"/>
      <c r="O161" s="50"/>
    </row>
    <row r="162" spans="2:15" x14ac:dyDescent="0.2">
      <c r="B162" s="50"/>
      <c r="C162" s="50"/>
      <c r="D162" s="50"/>
      <c r="E162" s="50"/>
      <c r="F162" s="50"/>
      <c r="G162" s="50"/>
      <c r="H162" s="50"/>
      <c r="I162" s="50"/>
      <c r="J162" s="14"/>
      <c r="K162" s="50"/>
      <c r="L162" s="50"/>
      <c r="M162" s="50"/>
      <c r="N162" s="50"/>
      <c r="O162" s="50"/>
    </row>
    <row r="163" spans="2:15" x14ac:dyDescent="0.2">
      <c r="B163" s="90" t="s">
        <v>593</v>
      </c>
      <c r="C163" s="50"/>
      <c r="D163" s="50"/>
      <c r="E163" s="50"/>
      <c r="F163" s="50"/>
      <c r="G163" s="50"/>
      <c r="H163" s="50"/>
      <c r="I163" s="50"/>
      <c r="J163" s="14"/>
      <c r="K163" s="50"/>
      <c r="L163" s="50"/>
      <c r="M163" s="50"/>
      <c r="N163" s="50"/>
      <c r="O163" s="50"/>
    </row>
    <row r="164" spans="2:15" x14ac:dyDescent="0.2">
      <c r="B164" s="50"/>
      <c r="C164" s="50"/>
      <c r="D164" s="50"/>
      <c r="E164" s="50"/>
      <c r="F164" s="50"/>
      <c r="G164" s="50"/>
      <c r="H164" s="50"/>
      <c r="I164" s="50"/>
      <c r="J164" s="14"/>
      <c r="K164" s="50"/>
      <c r="L164" s="50"/>
      <c r="M164" s="50"/>
      <c r="N164" s="50"/>
      <c r="O164" s="50"/>
    </row>
    <row r="165" spans="2:15" x14ac:dyDescent="0.2">
      <c r="B165" s="90" t="s">
        <v>594</v>
      </c>
      <c r="C165" s="50"/>
      <c r="D165" s="50"/>
      <c r="E165" s="50"/>
      <c r="F165" s="50"/>
      <c r="G165" s="50"/>
      <c r="H165" s="50"/>
      <c r="I165" s="50"/>
      <c r="J165" s="14"/>
      <c r="K165" s="50"/>
      <c r="L165" s="50"/>
      <c r="M165" s="50"/>
      <c r="N165" s="50"/>
      <c r="O165" s="50"/>
    </row>
    <row r="166" spans="2:15" x14ac:dyDescent="0.2">
      <c r="I166" s="50"/>
      <c r="J166" s="14"/>
      <c r="K166" s="50"/>
      <c r="L166" s="50"/>
      <c r="M166" s="50"/>
      <c r="N166" s="50"/>
      <c r="O166" s="50"/>
    </row>
    <row r="167" spans="2:15" x14ac:dyDescent="0.2">
      <c r="B167" s="90" t="s">
        <v>595</v>
      </c>
      <c r="J167" s="14"/>
      <c r="K167" s="50"/>
      <c r="L167" s="50"/>
      <c r="M167" s="50"/>
      <c r="N167" s="50"/>
      <c r="O167" s="50"/>
    </row>
    <row r="168" spans="2:15" x14ac:dyDescent="0.2">
      <c r="I168" s="50"/>
      <c r="J168" s="14"/>
      <c r="K168" s="50"/>
      <c r="L168" s="50"/>
      <c r="M168" s="50"/>
      <c r="N168" s="50"/>
      <c r="O168" s="50"/>
    </row>
    <row r="169" spans="2:15" ht="25.5" x14ac:dyDescent="0.2">
      <c r="B169" s="60" t="s">
        <v>552</v>
      </c>
    </row>
    <row r="171" spans="2:15" ht="153.75" customHeight="1" x14ac:dyDescent="0.2"/>
    <row r="174" spans="2:15" x14ac:dyDescent="0.2">
      <c r="B174" s="61" t="s">
        <v>553</v>
      </c>
      <c r="C174" s="62"/>
      <c r="D174" s="61" t="s">
        <v>554</v>
      </c>
    </row>
    <row r="175" spans="2:15" x14ac:dyDescent="0.2">
      <c r="B175" s="61" t="s">
        <v>613</v>
      </c>
      <c r="D175" s="61" t="s">
        <v>614</v>
      </c>
    </row>
    <row r="176" spans="2:15" ht="165" customHeight="1" x14ac:dyDescent="0.2"/>
    <row r="178" spans="10:10" x14ac:dyDescent="0.2">
      <c r="J178" s="14"/>
    </row>
  </sheetData>
  <mergeCells count="47">
    <mergeCell ref="I152:I153"/>
    <mergeCell ref="J152:J153"/>
    <mergeCell ref="B159:I159"/>
    <mergeCell ref="B151:H151"/>
    <mergeCell ref="B152:B153"/>
    <mergeCell ref="C152:C153"/>
    <mergeCell ref="D152:G152"/>
    <mergeCell ref="H152:H153"/>
    <mergeCell ref="D148:F148"/>
    <mergeCell ref="G148:H148"/>
    <mergeCell ref="D149:F149"/>
    <mergeCell ref="G149:H149"/>
    <mergeCell ref="D150:F150"/>
    <mergeCell ref="G150:H150"/>
    <mergeCell ref="D145:F145"/>
    <mergeCell ref="G145:H145"/>
    <mergeCell ref="D146:F146"/>
    <mergeCell ref="G146:H146"/>
    <mergeCell ref="D147:F147"/>
    <mergeCell ref="G147:H147"/>
    <mergeCell ref="B138:C138"/>
    <mergeCell ref="B139:C139"/>
    <mergeCell ref="B140:C140"/>
    <mergeCell ref="B141:D141"/>
    <mergeCell ref="B143:H143"/>
    <mergeCell ref="B133:C133"/>
    <mergeCell ref="B134:C134"/>
    <mergeCell ref="B135:C135"/>
    <mergeCell ref="B136:C136"/>
    <mergeCell ref="B137:C137"/>
    <mergeCell ref="A1:H1"/>
    <mergeCell ref="A2:H2"/>
    <mergeCell ref="A3:H3"/>
    <mergeCell ref="B102:H102"/>
    <mergeCell ref="B103:H103"/>
    <mergeCell ref="B104:H104"/>
    <mergeCell ref="B129:C129"/>
    <mergeCell ref="B132:C132"/>
    <mergeCell ref="B106:D106"/>
    <mergeCell ref="B107:C107"/>
    <mergeCell ref="B108:C108"/>
    <mergeCell ref="B109:C109"/>
    <mergeCell ref="B124:C124"/>
    <mergeCell ref="B128:C128"/>
    <mergeCell ref="B126:C126"/>
    <mergeCell ref="B127:C127"/>
    <mergeCell ref="B131:D131"/>
  </mergeCells>
  <hyperlinks>
    <hyperlink ref="B163" r:id="rId1" xr:uid="{8363DF8B-D700-4126-B7D0-104A9BCB7B24}"/>
    <hyperlink ref="B165" r:id="rId2" xr:uid="{59C670DC-DDF0-4E7C-9AB6-B7B3D592D23B}"/>
    <hyperlink ref="B167" r:id="rId3" xr:uid="{323883B0-4D82-4819-BC30-72F6EE79828D}"/>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5132-541B-448B-BDBA-B5520C2C07DB}">
  <sheetPr>
    <outlinePr summaryBelow="0" summaryRight="0"/>
  </sheetPr>
  <dimension ref="A1:Q194"/>
  <sheetViews>
    <sheetView showGridLines="0" workbookViewId="0">
      <selection sqref="A1:H1"/>
    </sheetView>
  </sheetViews>
  <sheetFormatPr defaultRowHeight="12.75" x14ac:dyDescent="0.2"/>
  <cols>
    <col min="1" max="1" width="5.85546875" bestFit="1" customWidth="1"/>
    <col min="2" max="2" width="22.28515625" customWidth="1"/>
    <col min="3" max="3" width="39.140625" bestFit="1" customWidth="1"/>
    <col min="4" max="4" width="10.7109375" bestFit="1" customWidth="1"/>
    <col min="5" max="5" width="9.42578125" bestFit="1" customWidth="1"/>
    <col min="6" max="6" width="10.140625" bestFit="1" customWidth="1"/>
    <col min="7" max="7" width="14" bestFit="1" customWidth="1"/>
    <col min="8" max="8" width="12.28515625" customWidth="1"/>
  </cols>
  <sheetData>
    <row r="1" spans="1:8" ht="15" x14ac:dyDescent="0.2">
      <c r="A1" s="164" t="s">
        <v>0</v>
      </c>
      <c r="B1" s="164"/>
      <c r="C1" s="164"/>
      <c r="D1" s="164"/>
      <c r="E1" s="164"/>
      <c r="F1" s="164"/>
      <c r="G1" s="164"/>
      <c r="H1" s="164"/>
    </row>
    <row r="2" spans="1:8" ht="15" x14ac:dyDescent="0.2">
      <c r="A2" s="164" t="s">
        <v>400</v>
      </c>
      <c r="B2" s="164"/>
      <c r="C2" s="164"/>
      <c r="D2" s="164"/>
      <c r="E2" s="164"/>
      <c r="F2" s="164"/>
      <c r="G2" s="164"/>
      <c r="H2" s="164"/>
    </row>
    <row r="3" spans="1:8" ht="15" x14ac:dyDescent="0.2">
      <c r="A3" s="164" t="s">
        <v>537</v>
      </c>
      <c r="B3" s="164"/>
      <c r="C3" s="164"/>
      <c r="D3" s="164"/>
      <c r="E3" s="164"/>
      <c r="F3" s="164"/>
      <c r="G3" s="164"/>
      <c r="H3" s="164"/>
    </row>
    <row r="4" spans="1:8" s="14" customFormat="1" ht="30" x14ac:dyDescent="0.2">
      <c r="A4" s="12" t="s">
        <v>2</v>
      </c>
      <c r="B4" s="12" t="s">
        <v>3</v>
      </c>
      <c r="C4" s="12" t="s">
        <v>4</v>
      </c>
      <c r="D4" s="12" t="s">
        <v>5</v>
      </c>
      <c r="E4" s="12" t="s">
        <v>6</v>
      </c>
      <c r="F4" s="12" t="s">
        <v>7</v>
      </c>
      <c r="G4" s="12" t="s">
        <v>8</v>
      </c>
      <c r="H4" s="13" t="s">
        <v>662</v>
      </c>
    </row>
    <row r="5" spans="1:8" x14ac:dyDescent="0.2">
      <c r="A5" s="15"/>
      <c r="B5" s="15"/>
      <c r="C5" s="16" t="s">
        <v>9</v>
      </c>
      <c r="D5" s="15"/>
      <c r="E5" s="15"/>
      <c r="F5" s="15"/>
      <c r="G5" s="15"/>
      <c r="H5" s="17" t="s">
        <v>12</v>
      </c>
    </row>
    <row r="6" spans="1:8" x14ac:dyDescent="0.2">
      <c r="A6" s="18"/>
      <c r="B6" s="18"/>
      <c r="C6" s="19" t="s">
        <v>10</v>
      </c>
      <c r="D6" s="18"/>
      <c r="E6" s="18"/>
      <c r="F6" s="18"/>
      <c r="G6" s="18"/>
      <c r="H6" s="17" t="s">
        <v>12</v>
      </c>
    </row>
    <row r="7" spans="1:8" x14ac:dyDescent="0.2">
      <c r="A7" s="18"/>
      <c r="B7" s="18"/>
      <c r="C7" s="19" t="s">
        <v>11</v>
      </c>
      <c r="D7" s="18"/>
      <c r="E7" s="18" t="s">
        <v>12</v>
      </c>
      <c r="F7" s="20" t="s">
        <v>13</v>
      </c>
      <c r="G7" s="21">
        <v>0</v>
      </c>
      <c r="H7" s="17" t="s">
        <v>12</v>
      </c>
    </row>
    <row r="8" spans="1:8" x14ac:dyDescent="0.2">
      <c r="A8" s="18"/>
      <c r="B8" s="18"/>
      <c r="C8" s="22"/>
      <c r="D8" s="18"/>
      <c r="E8" s="18"/>
      <c r="F8" s="23"/>
      <c r="G8" s="23"/>
      <c r="H8" s="17" t="s">
        <v>12</v>
      </c>
    </row>
    <row r="9" spans="1:8" x14ac:dyDescent="0.2">
      <c r="A9" s="18"/>
      <c r="B9" s="18"/>
      <c r="C9" s="19" t="s">
        <v>14</v>
      </c>
      <c r="D9" s="18"/>
      <c r="E9" s="18"/>
      <c r="F9" s="18"/>
      <c r="G9" s="18"/>
      <c r="H9" s="17" t="s">
        <v>12</v>
      </c>
    </row>
    <row r="10" spans="1:8" x14ac:dyDescent="0.2">
      <c r="A10" s="18"/>
      <c r="B10" s="18"/>
      <c r="C10" s="19" t="s">
        <v>11</v>
      </c>
      <c r="D10" s="18"/>
      <c r="E10" s="18" t="s">
        <v>12</v>
      </c>
      <c r="F10" s="20" t="s">
        <v>13</v>
      </c>
      <c r="G10" s="21">
        <v>0</v>
      </c>
      <c r="H10" s="17" t="s">
        <v>12</v>
      </c>
    </row>
    <row r="11" spans="1:8" x14ac:dyDescent="0.2">
      <c r="A11" s="18"/>
      <c r="B11" s="18"/>
      <c r="C11" s="22"/>
      <c r="D11" s="18"/>
      <c r="E11" s="18"/>
      <c r="F11" s="23"/>
      <c r="G11" s="23"/>
      <c r="H11" s="17" t="s">
        <v>12</v>
      </c>
    </row>
    <row r="12" spans="1:8" x14ac:dyDescent="0.2">
      <c r="A12" s="18"/>
      <c r="B12" s="18"/>
      <c r="C12" s="19" t="s">
        <v>15</v>
      </c>
      <c r="D12" s="18"/>
      <c r="E12" s="18"/>
      <c r="F12" s="18"/>
      <c r="G12" s="18"/>
      <c r="H12" s="17" t="s">
        <v>12</v>
      </c>
    </row>
    <row r="13" spans="1:8" x14ac:dyDescent="0.2">
      <c r="A13" s="18"/>
      <c r="B13" s="18"/>
      <c r="C13" s="19" t="s">
        <v>11</v>
      </c>
      <c r="D13" s="18"/>
      <c r="E13" s="18" t="s">
        <v>12</v>
      </c>
      <c r="F13" s="20" t="s">
        <v>13</v>
      </c>
      <c r="G13" s="21">
        <v>0</v>
      </c>
      <c r="H13" s="17" t="s">
        <v>12</v>
      </c>
    </row>
    <row r="14" spans="1:8" x14ac:dyDescent="0.2">
      <c r="A14" s="18"/>
      <c r="B14" s="18"/>
      <c r="C14" s="22"/>
      <c r="D14" s="18"/>
      <c r="E14" s="18"/>
      <c r="F14" s="23"/>
      <c r="G14" s="23"/>
      <c r="H14" s="17" t="s">
        <v>12</v>
      </c>
    </row>
    <row r="15" spans="1:8" x14ac:dyDescent="0.2">
      <c r="A15" s="18"/>
      <c r="B15" s="18"/>
      <c r="C15" s="19" t="s">
        <v>16</v>
      </c>
      <c r="D15" s="18"/>
      <c r="E15" s="18"/>
      <c r="F15" s="18"/>
      <c r="G15" s="18"/>
      <c r="H15" s="17" t="s">
        <v>12</v>
      </c>
    </row>
    <row r="16" spans="1:8"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25">
        <v>1</v>
      </c>
      <c r="B28" s="26" t="s">
        <v>401</v>
      </c>
      <c r="C28" s="26" t="s">
        <v>402</v>
      </c>
      <c r="D28" s="26" t="s">
        <v>403</v>
      </c>
      <c r="E28" s="27">
        <v>750</v>
      </c>
      <c r="F28" s="28">
        <v>7499.2574999999997</v>
      </c>
      <c r="G28" s="29">
        <v>3.4668160000000003E-2</v>
      </c>
      <c r="H28" s="17">
        <v>7.32</v>
      </c>
    </row>
    <row r="29" spans="1:8" x14ac:dyDescent="0.2">
      <c r="A29" s="25">
        <v>2</v>
      </c>
      <c r="B29" s="26" t="s">
        <v>224</v>
      </c>
      <c r="C29" s="26" t="s">
        <v>225</v>
      </c>
      <c r="D29" s="26" t="s">
        <v>219</v>
      </c>
      <c r="E29" s="27">
        <v>7000</v>
      </c>
      <c r="F29" s="28">
        <v>7017.1570000000002</v>
      </c>
      <c r="G29" s="29">
        <v>3.2439469999999998E-2</v>
      </c>
      <c r="H29" s="17">
        <v>8.42</v>
      </c>
    </row>
    <row r="30" spans="1:8" x14ac:dyDescent="0.2">
      <c r="A30" s="25">
        <v>3</v>
      </c>
      <c r="B30" s="26" t="s">
        <v>220</v>
      </c>
      <c r="C30" s="26" t="s">
        <v>221</v>
      </c>
      <c r="D30" s="26" t="s">
        <v>23</v>
      </c>
      <c r="E30" s="27">
        <v>5500</v>
      </c>
      <c r="F30" s="28">
        <v>5493.3450000000003</v>
      </c>
      <c r="G30" s="29">
        <v>2.5395069999999999E-2</v>
      </c>
      <c r="H30" s="17">
        <v>7.6050000000000004</v>
      </c>
    </row>
    <row r="31" spans="1:8" x14ac:dyDescent="0.2">
      <c r="A31" s="25">
        <v>4</v>
      </c>
      <c r="B31" s="26" t="s">
        <v>217</v>
      </c>
      <c r="C31" s="26" t="s">
        <v>218</v>
      </c>
      <c r="D31" s="26" t="s">
        <v>219</v>
      </c>
      <c r="E31" s="27">
        <v>3000</v>
      </c>
      <c r="F31" s="28">
        <v>3011.4960000000001</v>
      </c>
      <c r="G31" s="29">
        <v>1.392178E-2</v>
      </c>
      <c r="H31" s="17">
        <v>8.8000000000000007</v>
      </c>
    </row>
    <row r="32" spans="1:8" ht="25.5" x14ac:dyDescent="0.2">
      <c r="A32" s="25">
        <v>5</v>
      </c>
      <c r="B32" s="26" t="s">
        <v>404</v>
      </c>
      <c r="C32" s="26" t="s">
        <v>405</v>
      </c>
      <c r="D32" s="26" t="s">
        <v>245</v>
      </c>
      <c r="E32" s="27">
        <v>2500</v>
      </c>
      <c r="F32" s="28">
        <v>2500.2249999999999</v>
      </c>
      <c r="G32" s="29">
        <v>1.1558239999999999E-2</v>
      </c>
      <c r="H32" s="17">
        <v>7.7</v>
      </c>
    </row>
    <row r="33" spans="1:8" ht="25.5" x14ac:dyDescent="0.2">
      <c r="A33" s="25">
        <v>6</v>
      </c>
      <c r="B33" s="26" t="s">
        <v>406</v>
      </c>
      <c r="C33" s="26" t="s">
        <v>407</v>
      </c>
      <c r="D33" s="26" t="s">
        <v>245</v>
      </c>
      <c r="E33" s="27">
        <v>250000</v>
      </c>
      <c r="F33" s="28">
        <v>2499.92</v>
      </c>
      <c r="G33" s="29">
        <v>1.1556830000000001E-2</v>
      </c>
      <c r="H33" s="17">
        <v>7.8150000000000004</v>
      </c>
    </row>
    <row r="34" spans="1:8" ht="25.5" x14ac:dyDescent="0.2">
      <c r="A34" s="25">
        <v>7</v>
      </c>
      <c r="B34" s="26" t="s">
        <v>57</v>
      </c>
      <c r="C34" s="26" t="s">
        <v>58</v>
      </c>
      <c r="D34" s="26" t="s">
        <v>23</v>
      </c>
      <c r="E34" s="27">
        <v>2500</v>
      </c>
      <c r="F34" s="28">
        <v>2495.3625000000002</v>
      </c>
      <c r="G34" s="29">
        <v>1.1535760000000001E-2</v>
      </c>
      <c r="H34" s="17">
        <v>7.6675000000000004</v>
      </c>
    </row>
    <row r="35" spans="1:8" ht="25.5" x14ac:dyDescent="0.2">
      <c r="A35" s="25">
        <v>8</v>
      </c>
      <c r="B35" s="26" t="s">
        <v>408</v>
      </c>
      <c r="C35" s="26" t="s">
        <v>409</v>
      </c>
      <c r="D35" s="26" t="s">
        <v>23</v>
      </c>
      <c r="E35" s="27">
        <v>250</v>
      </c>
      <c r="F35" s="28">
        <v>2490.3449999999998</v>
      </c>
      <c r="G35" s="29">
        <v>1.151256E-2</v>
      </c>
      <c r="H35" s="17">
        <v>7.9363000000000001</v>
      </c>
    </row>
    <row r="36" spans="1:8" ht="25.5" x14ac:dyDescent="0.2">
      <c r="A36" s="25">
        <v>9</v>
      </c>
      <c r="B36" s="26" t="s">
        <v>410</v>
      </c>
      <c r="C36" s="26" t="s">
        <v>411</v>
      </c>
      <c r="D36" s="26" t="s">
        <v>23</v>
      </c>
      <c r="E36" s="27">
        <v>250</v>
      </c>
      <c r="F36" s="28">
        <v>2475.6999999999998</v>
      </c>
      <c r="G36" s="29">
        <v>1.1444859999999999E-2</v>
      </c>
      <c r="H36" s="17">
        <v>7.6849999999999996</v>
      </c>
    </row>
    <row r="37" spans="1:8" ht="25.5" x14ac:dyDescent="0.2">
      <c r="A37" s="25">
        <v>10</v>
      </c>
      <c r="B37" s="26" t="s">
        <v>243</v>
      </c>
      <c r="C37" s="26" t="s">
        <v>244</v>
      </c>
      <c r="D37" s="26" t="s">
        <v>245</v>
      </c>
      <c r="E37" s="27">
        <v>200</v>
      </c>
      <c r="F37" s="28">
        <v>2000.4860000000001</v>
      </c>
      <c r="G37" s="29">
        <v>9.2479999999999993E-3</v>
      </c>
      <c r="H37" s="17">
        <v>8.25</v>
      </c>
    </row>
    <row r="38" spans="1:8" x14ac:dyDescent="0.2">
      <c r="A38" s="25">
        <v>11</v>
      </c>
      <c r="B38" s="26" t="s">
        <v>214</v>
      </c>
      <c r="C38" s="26" t="s">
        <v>215</v>
      </c>
      <c r="D38" s="26" t="s">
        <v>216</v>
      </c>
      <c r="E38" s="27">
        <v>1600</v>
      </c>
      <c r="F38" s="28">
        <v>1609.0288</v>
      </c>
      <c r="G38" s="29">
        <v>7.4383499999999998E-3</v>
      </c>
      <c r="H38" s="17">
        <v>8.0046999999999997</v>
      </c>
    </row>
    <row r="39" spans="1:8" x14ac:dyDescent="0.2">
      <c r="A39" s="25">
        <v>12</v>
      </c>
      <c r="B39" s="26" t="s">
        <v>246</v>
      </c>
      <c r="C39" s="26" t="s">
        <v>247</v>
      </c>
      <c r="D39" s="26" t="s">
        <v>219</v>
      </c>
      <c r="E39" s="27">
        <v>1500</v>
      </c>
      <c r="F39" s="28">
        <v>1503.558</v>
      </c>
      <c r="G39" s="29">
        <v>6.9507700000000002E-3</v>
      </c>
      <c r="H39" s="17">
        <v>8.5500000000000007</v>
      </c>
    </row>
    <row r="40" spans="1:8" ht="25.5" x14ac:dyDescent="0.2">
      <c r="A40" s="25">
        <v>13</v>
      </c>
      <c r="B40" s="26" t="s">
        <v>61</v>
      </c>
      <c r="C40" s="26" t="s">
        <v>62</v>
      </c>
      <c r="D40" s="26" t="s">
        <v>23</v>
      </c>
      <c r="E40" s="27">
        <v>1500</v>
      </c>
      <c r="F40" s="28">
        <v>1499.4945</v>
      </c>
      <c r="G40" s="29">
        <v>6.9319799999999999E-3</v>
      </c>
      <c r="H40" s="17">
        <v>8.1188000000000002</v>
      </c>
    </row>
    <row r="41" spans="1:8" x14ac:dyDescent="0.2">
      <c r="A41" s="25">
        <v>14</v>
      </c>
      <c r="B41" s="26" t="s">
        <v>239</v>
      </c>
      <c r="C41" s="26" t="s">
        <v>240</v>
      </c>
      <c r="D41" s="26" t="s">
        <v>219</v>
      </c>
      <c r="E41" s="27">
        <v>1000</v>
      </c>
      <c r="F41" s="28">
        <v>1004.117</v>
      </c>
      <c r="G41" s="29">
        <v>4.64191E-3</v>
      </c>
      <c r="H41" s="17">
        <v>8.5950000000000006</v>
      </c>
    </row>
    <row r="42" spans="1:8" ht="25.5" x14ac:dyDescent="0.2">
      <c r="A42" s="25">
        <v>15</v>
      </c>
      <c r="B42" s="26" t="s">
        <v>63</v>
      </c>
      <c r="C42" s="26" t="s">
        <v>64</v>
      </c>
      <c r="D42" s="26" t="s">
        <v>23</v>
      </c>
      <c r="E42" s="27">
        <v>1000</v>
      </c>
      <c r="F42" s="28">
        <v>995.69600000000003</v>
      </c>
      <c r="G42" s="29">
        <v>4.6029799999999996E-3</v>
      </c>
      <c r="H42" s="17">
        <v>7.6887999999999996</v>
      </c>
    </row>
    <row r="43" spans="1:8" x14ac:dyDescent="0.2">
      <c r="A43" s="18"/>
      <c r="B43" s="18"/>
      <c r="C43" s="19" t="s">
        <v>11</v>
      </c>
      <c r="D43" s="18"/>
      <c r="E43" s="18" t="s">
        <v>12</v>
      </c>
      <c r="F43" s="24">
        <v>44095.188300000002</v>
      </c>
      <c r="G43" s="21">
        <v>0.20384672000000001</v>
      </c>
      <c r="H43" s="17" t="s">
        <v>12</v>
      </c>
    </row>
    <row r="44" spans="1:8" x14ac:dyDescent="0.2">
      <c r="A44" s="18"/>
      <c r="B44" s="18"/>
      <c r="C44" s="22"/>
      <c r="D44" s="18"/>
      <c r="E44" s="18"/>
      <c r="F44" s="23"/>
      <c r="G44" s="23"/>
      <c r="H44" s="17" t="s">
        <v>12</v>
      </c>
    </row>
    <row r="45" spans="1:8" x14ac:dyDescent="0.2">
      <c r="A45" s="18"/>
      <c r="B45" s="18"/>
      <c r="C45" s="19" t="s">
        <v>71</v>
      </c>
      <c r="D45" s="18"/>
      <c r="E45" s="18"/>
      <c r="F45" s="18"/>
      <c r="G45" s="18"/>
      <c r="H45" s="17" t="s">
        <v>12</v>
      </c>
    </row>
    <row r="46" spans="1:8" x14ac:dyDescent="0.2">
      <c r="A46" s="18"/>
      <c r="B46" s="18"/>
      <c r="C46" s="19" t="s">
        <v>11</v>
      </c>
      <c r="D46" s="18"/>
      <c r="E46" s="18" t="s">
        <v>12</v>
      </c>
      <c r="F46" s="20" t="s">
        <v>13</v>
      </c>
      <c r="G46" s="21">
        <v>0</v>
      </c>
      <c r="H46" s="17" t="s">
        <v>12</v>
      </c>
    </row>
    <row r="47" spans="1:8" x14ac:dyDescent="0.2">
      <c r="A47" s="18"/>
      <c r="B47" s="18"/>
      <c r="C47" s="22"/>
      <c r="D47" s="18"/>
      <c r="E47" s="18"/>
      <c r="F47" s="23"/>
      <c r="G47" s="23"/>
      <c r="H47" s="17" t="s">
        <v>12</v>
      </c>
    </row>
    <row r="48" spans="1:8" x14ac:dyDescent="0.2">
      <c r="A48" s="18"/>
      <c r="B48" s="18"/>
      <c r="C48" s="19" t="s">
        <v>72</v>
      </c>
      <c r="D48" s="18"/>
      <c r="E48" s="18"/>
      <c r="F48" s="18"/>
      <c r="G48" s="18"/>
      <c r="H48" s="17" t="s">
        <v>12</v>
      </c>
    </row>
    <row r="49" spans="1:8" x14ac:dyDescent="0.2">
      <c r="A49" s="18"/>
      <c r="B49" s="18"/>
      <c r="C49" s="19" t="s">
        <v>11</v>
      </c>
      <c r="D49" s="18"/>
      <c r="E49" s="18" t="s">
        <v>12</v>
      </c>
      <c r="F49" s="20" t="s">
        <v>13</v>
      </c>
      <c r="G49" s="21">
        <v>0</v>
      </c>
      <c r="H49" s="17" t="s">
        <v>12</v>
      </c>
    </row>
    <row r="50" spans="1:8" x14ac:dyDescent="0.2">
      <c r="A50" s="18"/>
      <c r="B50" s="18"/>
      <c r="C50" s="22"/>
      <c r="D50" s="18"/>
      <c r="E50" s="18"/>
      <c r="F50" s="23"/>
      <c r="G50" s="23"/>
      <c r="H50" s="17" t="s">
        <v>12</v>
      </c>
    </row>
    <row r="51" spans="1:8" x14ac:dyDescent="0.2">
      <c r="A51" s="18"/>
      <c r="B51" s="18"/>
      <c r="C51" s="19" t="s">
        <v>88</v>
      </c>
      <c r="D51" s="18"/>
      <c r="E51" s="18"/>
      <c r="F51" s="23"/>
      <c r="G51" s="23"/>
      <c r="H51" s="17" t="s">
        <v>12</v>
      </c>
    </row>
    <row r="52" spans="1:8" x14ac:dyDescent="0.2">
      <c r="A52" s="18"/>
      <c r="B52" s="18"/>
      <c r="C52" s="19" t="s">
        <v>11</v>
      </c>
      <c r="D52" s="18"/>
      <c r="E52" s="18" t="s">
        <v>12</v>
      </c>
      <c r="F52" s="20" t="s">
        <v>13</v>
      </c>
      <c r="G52" s="21">
        <v>0</v>
      </c>
      <c r="H52" s="17" t="s">
        <v>12</v>
      </c>
    </row>
    <row r="53" spans="1:8" x14ac:dyDescent="0.2">
      <c r="A53" s="18"/>
      <c r="B53" s="18"/>
      <c r="C53" s="22"/>
      <c r="D53" s="18"/>
      <c r="E53" s="18"/>
      <c r="F53" s="23"/>
      <c r="G53" s="23"/>
      <c r="H53" s="17" t="s">
        <v>12</v>
      </c>
    </row>
    <row r="54" spans="1:8" x14ac:dyDescent="0.2">
      <c r="A54" s="18"/>
      <c r="B54" s="18"/>
      <c r="C54" s="19" t="s">
        <v>89</v>
      </c>
      <c r="D54" s="18"/>
      <c r="E54" s="18"/>
      <c r="F54" s="24">
        <v>44095.188300000002</v>
      </c>
      <c r="G54" s="21">
        <v>0.20384672000000001</v>
      </c>
      <c r="H54" s="17" t="s">
        <v>12</v>
      </c>
    </row>
    <row r="55" spans="1:8" x14ac:dyDescent="0.2">
      <c r="A55" s="18"/>
      <c r="B55" s="18"/>
      <c r="C55" s="22"/>
      <c r="D55" s="18"/>
      <c r="E55" s="18"/>
      <c r="F55" s="23"/>
      <c r="G55" s="23"/>
      <c r="H55" s="17" t="s">
        <v>12</v>
      </c>
    </row>
    <row r="56" spans="1:8" x14ac:dyDescent="0.2">
      <c r="A56" s="18"/>
      <c r="B56" s="18"/>
      <c r="C56" s="19" t="s">
        <v>90</v>
      </c>
      <c r="D56" s="18"/>
      <c r="E56" s="18"/>
      <c r="F56" s="23"/>
      <c r="G56" s="23"/>
      <c r="H56" s="17" t="s">
        <v>12</v>
      </c>
    </row>
    <row r="57" spans="1:8" x14ac:dyDescent="0.2">
      <c r="A57" s="18"/>
      <c r="B57" s="18"/>
      <c r="C57" s="19" t="s">
        <v>91</v>
      </c>
      <c r="D57" s="18"/>
      <c r="E57" s="18"/>
      <c r="F57" s="23"/>
      <c r="G57" s="23"/>
      <c r="H57" s="17" t="s">
        <v>12</v>
      </c>
    </row>
    <row r="58" spans="1:8" x14ac:dyDescent="0.2">
      <c r="A58" s="25">
        <v>1</v>
      </c>
      <c r="B58" s="26" t="s">
        <v>412</v>
      </c>
      <c r="C58" s="26" t="s">
        <v>413</v>
      </c>
      <c r="D58" s="26" t="s">
        <v>149</v>
      </c>
      <c r="E58" s="27">
        <v>1000</v>
      </c>
      <c r="F58" s="28">
        <v>4890.04</v>
      </c>
      <c r="G58" s="29">
        <v>2.2606060000000001E-2</v>
      </c>
      <c r="H58" s="17">
        <v>7.53</v>
      </c>
    </row>
    <row r="59" spans="1:8" x14ac:dyDescent="0.2">
      <c r="A59" s="25">
        <v>2</v>
      </c>
      <c r="B59" s="26" t="s">
        <v>414</v>
      </c>
      <c r="C59" s="26" t="s">
        <v>415</v>
      </c>
      <c r="D59" s="26" t="s">
        <v>143</v>
      </c>
      <c r="E59" s="27">
        <v>1000</v>
      </c>
      <c r="F59" s="28">
        <v>4714.7849999999999</v>
      </c>
      <c r="G59" s="29">
        <v>2.179588E-2</v>
      </c>
      <c r="H59" s="17">
        <v>7.5875000000000004</v>
      </c>
    </row>
    <row r="60" spans="1:8" x14ac:dyDescent="0.2">
      <c r="A60" s="25">
        <v>3</v>
      </c>
      <c r="B60" s="26" t="s">
        <v>154</v>
      </c>
      <c r="C60" s="26" t="s">
        <v>155</v>
      </c>
      <c r="D60" s="26" t="s">
        <v>149</v>
      </c>
      <c r="E60" s="27">
        <v>1000</v>
      </c>
      <c r="F60" s="28">
        <v>4713.82</v>
      </c>
      <c r="G60" s="29">
        <v>2.1791419999999999E-2</v>
      </c>
      <c r="H60" s="17">
        <v>7.6150000000000002</v>
      </c>
    </row>
    <row r="61" spans="1:8" x14ac:dyDescent="0.2">
      <c r="A61" s="25">
        <v>4</v>
      </c>
      <c r="B61" s="26" t="s">
        <v>158</v>
      </c>
      <c r="C61" s="26" t="s">
        <v>159</v>
      </c>
      <c r="D61" s="26" t="s">
        <v>149</v>
      </c>
      <c r="E61" s="27">
        <v>1000</v>
      </c>
      <c r="F61" s="28">
        <v>4709.34</v>
      </c>
      <c r="G61" s="29">
        <v>2.1770709999999999E-2</v>
      </c>
      <c r="H61" s="17">
        <v>7.7149999999999999</v>
      </c>
    </row>
    <row r="62" spans="1:8" x14ac:dyDescent="0.2">
      <c r="A62" s="25">
        <v>5</v>
      </c>
      <c r="B62" s="26" t="s">
        <v>160</v>
      </c>
      <c r="C62" s="26" t="s">
        <v>161</v>
      </c>
      <c r="D62" s="26" t="s">
        <v>149</v>
      </c>
      <c r="E62" s="27">
        <v>1000</v>
      </c>
      <c r="F62" s="28">
        <v>4659.1899999999996</v>
      </c>
      <c r="G62" s="29">
        <v>2.1538870000000002E-2</v>
      </c>
      <c r="H62" s="17">
        <v>7.585</v>
      </c>
    </row>
    <row r="63" spans="1:8" x14ac:dyDescent="0.2">
      <c r="A63" s="25">
        <v>6</v>
      </c>
      <c r="B63" s="26" t="s">
        <v>162</v>
      </c>
      <c r="C63" s="26" t="s">
        <v>163</v>
      </c>
      <c r="D63" s="26" t="s">
        <v>149</v>
      </c>
      <c r="E63" s="27">
        <v>1000</v>
      </c>
      <c r="F63" s="28">
        <v>4658.4949999999999</v>
      </c>
      <c r="G63" s="29">
        <v>2.1535660000000002E-2</v>
      </c>
      <c r="H63" s="17">
        <v>7.58</v>
      </c>
    </row>
    <row r="64" spans="1:8" x14ac:dyDescent="0.2">
      <c r="A64" s="25">
        <v>7</v>
      </c>
      <c r="B64" s="26" t="s">
        <v>416</v>
      </c>
      <c r="C64" s="26" t="s">
        <v>417</v>
      </c>
      <c r="D64" s="26" t="s">
        <v>149</v>
      </c>
      <c r="E64" s="27">
        <v>1000</v>
      </c>
      <c r="F64" s="28">
        <v>4653.4650000000001</v>
      </c>
      <c r="G64" s="29">
        <v>2.1512409999999999E-2</v>
      </c>
      <c r="H64" s="17">
        <v>7.7</v>
      </c>
    </row>
    <row r="65" spans="1:8" x14ac:dyDescent="0.2">
      <c r="A65" s="25">
        <v>8</v>
      </c>
      <c r="B65" s="26" t="s">
        <v>187</v>
      </c>
      <c r="C65" s="26" t="s">
        <v>188</v>
      </c>
      <c r="D65" s="26" t="s">
        <v>146</v>
      </c>
      <c r="E65" s="27">
        <v>900</v>
      </c>
      <c r="F65" s="28">
        <v>4430.0069999999996</v>
      </c>
      <c r="G65" s="29">
        <v>2.047939E-2</v>
      </c>
      <c r="H65" s="17">
        <v>7.3949999999999996</v>
      </c>
    </row>
    <row r="66" spans="1:8" x14ac:dyDescent="0.2">
      <c r="A66" s="25">
        <v>9</v>
      </c>
      <c r="B66" s="26" t="s">
        <v>189</v>
      </c>
      <c r="C66" s="26" t="s">
        <v>190</v>
      </c>
      <c r="D66" s="26" t="s">
        <v>149</v>
      </c>
      <c r="E66" s="27">
        <v>900</v>
      </c>
      <c r="F66" s="28">
        <v>4416.8940000000002</v>
      </c>
      <c r="G66" s="29">
        <v>2.0418769999999999E-2</v>
      </c>
      <c r="H66" s="17">
        <v>7.4649999999999999</v>
      </c>
    </row>
    <row r="67" spans="1:8" x14ac:dyDescent="0.2">
      <c r="A67" s="25">
        <v>10</v>
      </c>
      <c r="B67" s="26" t="s">
        <v>191</v>
      </c>
      <c r="C67" s="26" t="s">
        <v>192</v>
      </c>
      <c r="D67" s="26" t="s">
        <v>149</v>
      </c>
      <c r="E67" s="27">
        <v>900</v>
      </c>
      <c r="F67" s="28">
        <v>4400.1495000000004</v>
      </c>
      <c r="G67" s="29">
        <v>2.0341359999999999E-2</v>
      </c>
      <c r="H67" s="17">
        <v>7.53</v>
      </c>
    </row>
    <row r="68" spans="1:8" x14ac:dyDescent="0.2">
      <c r="A68" s="25">
        <v>11</v>
      </c>
      <c r="B68" s="26" t="s">
        <v>185</v>
      </c>
      <c r="C68" s="26" t="s">
        <v>186</v>
      </c>
      <c r="D68" s="26" t="s">
        <v>143</v>
      </c>
      <c r="E68" s="27">
        <v>840</v>
      </c>
      <c r="F68" s="28">
        <v>4066.0115999999998</v>
      </c>
      <c r="G68" s="29">
        <v>1.879668E-2</v>
      </c>
      <c r="H68" s="17">
        <v>7.5650000000000004</v>
      </c>
    </row>
    <row r="69" spans="1:8" x14ac:dyDescent="0.2">
      <c r="A69" s="25">
        <v>12</v>
      </c>
      <c r="B69" s="26" t="s">
        <v>179</v>
      </c>
      <c r="C69" s="26" t="s">
        <v>180</v>
      </c>
      <c r="D69" s="26" t="s">
        <v>149</v>
      </c>
      <c r="E69" s="27">
        <v>800</v>
      </c>
      <c r="F69" s="28">
        <v>3970.8760000000002</v>
      </c>
      <c r="G69" s="29">
        <v>1.8356879999999999E-2</v>
      </c>
      <c r="H69" s="17">
        <v>6.8650000000000002</v>
      </c>
    </row>
    <row r="70" spans="1:8" x14ac:dyDescent="0.2">
      <c r="A70" s="25">
        <v>13</v>
      </c>
      <c r="B70" s="26" t="s">
        <v>183</v>
      </c>
      <c r="C70" s="26" t="s">
        <v>184</v>
      </c>
      <c r="D70" s="26" t="s">
        <v>149</v>
      </c>
      <c r="E70" s="27">
        <v>800</v>
      </c>
      <c r="F70" s="28">
        <v>3765.712</v>
      </c>
      <c r="G70" s="29">
        <v>1.7408429999999999E-2</v>
      </c>
      <c r="H70" s="17">
        <v>7.5949999999999998</v>
      </c>
    </row>
    <row r="71" spans="1:8" x14ac:dyDescent="0.2">
      <c r="A71" s="25">
        <v>14</v>
      </c>
      <c r="B71" s="26" t="s">
        <v>171</v>
      </c>
      <c r="C71" s="26" t="s">
        <v>172</v>
      </c>
      <c r="D71" s="26" t="s">
        <v>149</v>
      </c>
      <c r="E71" s="27">
        <v>700</v>
      </c>
      <c r="F71" s="28">
        <v>3476.3924999999999</v>
      </c>
      <c r="G71" s="29">
        <v>1.6070939999999999E-2</v>
      </c>
      <c r="H71" s="17">
        <v>6.8849999999999998</v>
      </c>
    </row>
    <row r="72" spans="1:8" x14ac:dyDescent="0.2">
      <c r="A72" s="25">
        <v>15</v>
      </c>
      <c r="B72" s="26" t="s">
        <v>175</v>
      </c>
      <c r="C72" s="26" t="s">
        <v>176</v>
      </c>
      <c r="D72" s="26" t="s">
        <v>149</v>
      </c>
      <c r="E72" s="27">
        <v>700</v>
      </c>
      <c r="F72" s="28">
        <v>3265.5455000000002</v>
      </c>
      <c r="G72" s="29">
        <v>1.509622E-2</v>
      </c>
      <c r="H72" s="17">
        <v>7.6849999999999996</v>
      </c>
    </row>
    <row r="73" spans="1:8" x14ac:dyDescent="0.2">
      <c r="A73" s="25">
        <v>16</v>
      </c>
      <c r="B73" s="26" t="s">
        <v>256</v>
      </c>
      <c r="C73" s="26" t="s">
        <v>257</v>
      </c>
      <c r="D73" s="26" t="s">
        <v>149</v>
      </c>
      <c r="E73" s="27">
        <v>600</v>
      </c>
      <c r="F73" s="28">
        <v>2829.3539999999998</v>
      </c>
      <c r="G73" s="29">
        <v>1.3079759999999999E-2</v>
      </c>
      <c r="H73" s="17">
        <v>7.5650000000000004</v>
      </c>
    </row>
    <row r="74" spans="1:8" x14ac:dyDescent="0.2">
      <c r="A74" s="25">
        <v>17</v>
      </c>
      <c r="B74" s="26" t="s">
        <v>418</v>
      </c>
      <c r="C74" s="26" t="s">
        <v>419</v>
      </c>
      <c r="D74" s="26" t="s">
        <v>149</v>
      </c>
      <c r="E74" s="27">
        <v>500</v>
      </c>
      <c r="F74" s="28">
        <v>2489.2175000000002</v>
      </c>
      <c r="G74" s="29">
        <v>1.150735E-2</v>
      </c>
      <c r="H74" s="17">
        <v>6.875</v>
      </c>
    </row>
    <row r="75" spans="1:8" x14ac:dyDescent="0.2">
      <c r="A75" s="25">
        <v>18</v>
      </c>
      <c r="B75" s="26" t="s">
        <v>141</v>
      </c>
      <c r="C75" s="26" t="s">
        <v>142</v>
      </c>
      <c r="D75" s="26" t="s">
        <v>143</v>
      </c>
      <c r="E75" s="27">
        <v>500</v>
      </c>
      <c r="F75" s="28">
        <v>2486.37</v>
      </c>
      <c r="G75" s="29">
        <v>1.149419E-2</v>
      </c>
      <c r="H75" s="17">
        <v>6.8998999999999997</v>
      </c>
    </row>
    <row r="76" spans="1:8" x14ac:dyDescent="0.2">
      <c r="A76" s="25">
        <v>19</v>
      </c>
      <c r="B76" s="26" t="s">
        <v>173</v>
      </c>
      <c r="C76" s="26" t="s">
        <v>174</v>
      </c>
      <c r="D76" s="26" t="s">
        <v>149</v>
      </c>
      <c r="E76" s="27">
        <v>500</v>
      </c>
      <c r="F76" s="28">
        <v>2451.9250000000002</v>
      </c>
      <c r="G76" s="29">
        <v>1.133495E-2</v>
      </c>
      <c r="H76" s="17">
        <v>7.4550000000000001</v>
      </c>
    </row>
    <row r="77" spans="1:8" x14ac:dyDescent="0.2">
      <c r="A77" s="25">
        <v>20</v>
      </c>
      <c r="B77" s="26" t="s">
        <v>420</v>
      </c>
      <c r="C77" s="26" t="s">
        <v>421</v>
      </c>
      <c r="D77" s="26" t="s">
        <v>149</v>
      </c>
      <c r="E77" s="27">
        <v>500</v>
      </c>
      <c r="F77" s="28">
        <v>2449.1374999999998</v>
      </c>
      <c r="G77" s="29">
        <v>1.132207E-2</v>
      </c>
      <c r="H77" s="17">
        <v>7.5049999999999999</v>
      </c>
    </row>
    <row r="78" spans="1:8" ht="25.5" x14ac:dyDescent="0.2">
      <c r="A78" s="25">
        <v>21</v>
      </c>
      <c r="B78" s="26" t="s">
        <v>422</v>
      </c>
      <c r="C78" s="26" t="s">
        <v>423</v>
      </c>
      <c r="D78" s="26" t="s">
        <v>149</v>
      </c>
      <c r="E78" s="27">
        <v>500</v>
      </c>
      <c r="F78" s="28">
        <v>2442.5925000000002</v>
      </c>
      <c r="G78" s="29">
        <v>1.1291809999999999E-2</v>
      </c>
      <c r="H78" s="17">
        <v>7.5250000000000004</v>
      </c>
    </row>
    <row r="79" spans="1:8" x14ac:dyDescent="0.2">
      <c r="A79" s="25">
        <v>22</v>
      </c>
      <c r="B79" s="26" t="s">
        <v>424</v>
      </c>
      <c r="C79" s="26" t="s">
        <v>425</v>
      </c>
      <c r="D79" s="26" t="s">
        <v>149</v>
      </c>
      <c r="E79" s="27">
        <v>500</v>
      </c>
      <c r="F79" s="28">
        <v>2406.4675000000002</v>
      </c>
      <c r="G79" s="29">
        <v>1.1124810000000001E-2</v>
      </c>
      <c r="H79" s="17">
        <v>7.71</v>
      </c>
    </row>
    <row r="80" spans="1:8" x14ac:dyDescent="0.2">
      <c r="A80" s="25">
        <v>23</v>
      </c>
      <c r="B80" s="26" t="s">
        <v>426</v>
      </c>
      <c r="C80" s="26" t="s">
        <v>427</v>
      </c>
      <c r="D80" s="26" t="s">
        <v>149</v>
      </c>
      <c r="E80" s="27">
        <v>500</v>
      </c>
      <c r="F80" s="28">
        <v>2406.0675000000001</v>
      </c>
      <c r="G80" s="29">
        <v>1.1122959999999999E-2</v>
      </c>
      <c r="H80" s="17">
        <v>7.62</v>
      </c>
    </row>
    <row r="81" spans="1:8" x14ac:dyDescent="0.2">
      <c r="A81" s="25">
        <v>24</v>
      </c>
      <c r="B81" s="26" t="s">
        <v>181</v>
      </c>
      <c r="C81" s="26" t="s">
        <v>182</v>
      </c>
      <c r="D81" s="26" t="s">
        <v>149</v>
      </c>
      <c r="E81" s="27">
        <v>500</v>
      </c>
      <c r="F81" s="28">
        <v>2361.2525000000001</v>
      </c>
      <c r="G81" s="29">
        <v>1.091578E-2</v>
      </c>
      <c r="H81" s="17">
        <v>7.7149999999999999</v>
      </c>
    </row>
    <row r="82" spans="1:8" x14ac:dyDescent="0.2">
      <c r="A82" s="25">
        <v>25</v>
      </c>
      <c r="B82" s="26" t="s">
        <v>150</v>
      </c>
      <c r="C82" s="26" t="s">
        <v>151</v>
      </c>
      <c r="D82" s="26" t="s">
        <v>149</v>
      </c>
      <c r="E82" s="27">
        <v>500</v>
      </c>
      <c r="F82" s="28">
        <v>2360.23</v>
      </c>
      <c r="G82" s="29">
        <v>1.091106E-2</v>
      </c>
      <c r="H82" s="17">
        <v>7.665</v>
      </c>
    </row>
    <row r="83" spans="1:8" x14ac:dyDescent="0.2">
      <c r="A83" s="25">
        <v>26</v>
      </c>
      <c r="B83" s="26" t="s">
        <v>152</v>
      </c>
      <c r="C83" s="26" t="s">
        <v>153</v>
      </c>
      <c r="D83" s="26" t="s">
        <v>149</v>
      </c>
      <c r="E83" s="27">
        <v>500</v>
      </c>
      <c r="F83" s="28">
        <v>2358.9124999999999</v>
      </c>
      <c r="G83" s="29">
        <v>1.090497E-2</v>
      </c>
      <c r="H83" s="17">
        <v>7.66</v>
      </c>
    </row>
    <row r="84" spans="1:8" ht="25.5" x14ac:dyDescent="0.2">
      <c r="A84" s="25">
        <v>27</v>
      </c>
      <c r="B84" s="26" t="s">
        <v>156</v>
      </c>
      <c r="C84" s="26" t="s">
        <v>157</v>
      </c>
      <c r="D84" s="26" t="s">
        <v>149</v>
      </c>
      <c r="E84" s="27">
        <v>500</v>
      </c>
      <c r="F84" s="28">
        <v>2356.625</v>
      </c>
      <c r="G84" s="29">
        <v>1.089439E-2</v>
      </c>
      <c r="H84" s="17">
        <v>7.6050000000000004</v>
      </c>
    </row>
    <row r="85" spans="1:8" ht="25.5" x14ac:dyDescent="0.2">
      <c r="A85" s="25">
        <v>28</v>
      </c>
      <c r="B85" s="26" t="s">
        <v>428</v>
      </c>
      <c r="C85" s="26" t="s">
        <v>429</v>
      </c>
      <c r="D85" s="26" t="s">
        <v>149</v>
      </c>
      <c r="E85" s="27">
        <v>500</v>
      </c>
      <c r="F85" s="28">
        <v>2338.9074999999998</v>
      </c>
      <c r="G85" s="29">
        <v>1.0812489999999999E-2</v>
      </c>
      <c r="H85" s="17">
        <v>7.5949999999999998</v>
      </c>
    </row>
    <row r="86" spans="1:8" x14ac:dyDescent="0.2">
      <c r="A86" s="25">
        <v>29</v>
      </c>
      <c r="B86" s="26" t="s">
        <v>430</v>
      </c>
      <c r="C86" s="26" t="s">
        <v>431</v>
      </c>
      <c r="D86" s="26" t="s">
        <v>149</v>
      </c>
      <c r="E86" s="27">
        <v>500</v>
      </c>
      <c r="F86" s="28">
        <v>2330.9850000000001</v>
      </c>
      <c r="G86" s="29">
        <v>1.077586E-2</v>
      </c>
      <c r="H86" s="17">
        <v>7.6050000000000004</v>
      </c>
    </row>
    <row r="87" spans="1:8" x14ac:dyDescent="0.2">
      <c r="A87" s="25">
        <v>30</v>
      </c>
      <c r="B87" s="26" t="s">
        <v>177</v>
      </c>
      <c r="C87" s="26" t="s">
        <v>178</v>
      </c>
      <c r="D87" s="26" t="s">
        <v>149</v>
      </c>
      <c r="E87" s="27">
        <v>300</v>
      </c>
      <c r="F87" s="28">
        <v>1494.636</v>
      </c>
      <c r="G87" s="29">
        <v>6.9095199999999997E-3</v>
      </c>
      <c r="H87" s="17">
        <v>6.8949999999999996</v>
      </c>
    </row>
    <row r="88" spans="1:8" x14ac:dyDescent="0.2">
      <c r="A88" s="18"/>
      <c r="B88" s="18"/>
      <c r="C88" s="19" t="s">
        <v>11</v>
      </c>
      <c r="D88" s="18"/>
      <c r="E88" s="18" t="s">
        <v>12</v>
      </c>
      <c r="F88" s="24">
        <v>100353.4031</v>
      </c>
      <c r="G88" s="21">
        <v>0.46392165000000002</v>
      </c>
      <c r="H88" s="17" t="s">
        <v>12</v>
      </c>
    </row>
    <row r="89" spans="1:8" x14ac:dyDescent="0.2">
      <c r="A89" s="18"/>
      <c r="B89" s="18"/>
      <c r="C89" s="22"/>
      <c r="D89" s="18"/>
      <c r="E89" s="18"/>
      <c r="F89" s="23"/>
      <c r="G89" s="23"/>
      <c r="H89" s="17" t="s">
        <v>12</v>
      </c>
    </row>
    <row r="90" spans="1:8" x14ac:dyDescent="0.2">
      <c r="A90" s="18"/>
      <c r="B90" s="18"/>
      <c r="C90" s="19" t="s">
        <v>92</v>
      </c>
      <c r="D90" s="18"/>
      <c r="E90" s="18"/>
      <c r="F90" s="23"/>
      <c r="G90" s="23"/>
      <c r="H90" s="17" t="s">
        <v>12</v>
      </c>
    </row>
    <row r="91" spans="1:8" x14ac:dyDescent="0.2">
      <c r="A91" s="25">
        <v>1</v>
      </c>
      <c r="B91" s="26" t="s">
        <v>432</v>
      </c>
      <c r="C91" s="26" t="s">
        <v>433</v>
      </c>
      <c r="D91" s="26" t="s">
        <v>149</v>
      </c>
      <c r="E91" s="27">
        <v>1000</v>
      </c>
      <c r="F91" s="28">
        <v>4991.0349999999999</v>
      </c>
      <c r="G91" s="29">
        <v>2.3072949999999998E-2</v>
      </c>
      <c r="H91" s="17">
        <v>7.2850000000000001</v>
      </c>
    </row>
    <row r="92" spans="1:8" x14ac:dyDescent="0.2">
      <c r="A92" s="25">
        <v>2</v>
      </c>
      <c r="B92" s="26" t="s">
        <v>434</v>
      </c>
      <c r="C92" s="26" t="s">
        <v>435</v>
      </c>
      <c r="D92" s="26" t="s">
        <v>149</v>
      </c>
      <c r="E92" s="27">
        <v>1000</v>
      </c>
      <c r="F92" s="28">
        <v>4976.4849999999997</v>
      </c>
      <c r="G92" s="29">
        <v>2.3005689999999999E-2</v>
      </c>
      <c r="H92" s="17">
        <v>7.5</v>
      </c>
    </row>
    <row r="93" spans="1:8" x14ac:dyDescent="0.2">
      <c r="A93" s="25">
        <v>3</v>
      </c>
      <c r="B93" s="26" t="s">
        <v>436</v>
      </c>
      <c r="C93" s="26" t="s">
        <v>437</v>
      </c>
      <c r="D93" s="26" t="s">
        <v>149</v>
      </c>
      <c r="E93" s="27">
        <v>1000</v>
      </c>
      <c r="F93" s="28">
        <v>4892.2950000000001</v>
      </c>
      <c r="G93" s="29">
        <v>2.261649E-2</v>
      </c>
      <c r="H93" s="17">
        <v>7.51</v>
      </c>
    </row>
    <row r="94" spans="1:8" x14ac:dyDescent="0.2">
      <c r="A94" s="25">
        <v>4</v>
      </c>
      <c r="B94" s="26" t="s">
        <v>438</v>
      </c>
      <c r="C94" s="26" t="s">
        <v>439</v>
      </c>
      <c r="D94" s="26" t="s">
        <v>149</v>
      </c>
      <c r="E94" s="27">
        <v>1000</v>
      </c>
      <c r="F94" s="28">
        <v>4790.9250000000002</v>
      </c>
      <c r="G94" s="29">
        <v>2.214787E-2</v>
      </c>
      <c r="H94" s="17">
        <v>7.6950000000000003</v>
      </c>
    </row>
    <row r="95" spans="1:8" ht="25.5" x14ac:dyDescent="0.2">
      <c r="A95" s="25">
        <v>5</v>
      </c>
      <c r="B95" s="26" t="s">
        <v>203</v>
      </c>
      <c r="C95" s="26" t="s">
        <v>204</v>
      </c>
      <c r="D95" s="26" t="s">
        <v>149</v>
      </c>
      <c r="E95" s="27">
        <v>800</v>
      </c>
      <c r="F95" s="28">
        <v>3973</v>
      </c>
      <c r="G95" s="29">
        <v>1.83667E-2</v>
      </c>
      <c r="H95" s="17">
        <v>6.89</v>
      </c>
    </row>
    <row r="96" spans="1:8" x14ac:dyDescent="0.2">
      <c r="A96" s="25">
        <v>6</v>
      </c>
      <c r="B96" s="26" t="s">
        <v>199</v>
      </c>
      <c r="C96" s="26" t="s">
        <v>200</v>
      </c>
      <c r="D96" s="26" t="s">
        <v>149</v>
      </c>
      <c r="E96" s="27">
        <v>700</v>
      </c>
      <c r="F96" s="28">
        <v>3341.2890000000002</v>
      </c>
      <c r="G96" s="29">
        <v>1.5446369999999999E-2</v>
      </c>
      <c r="H96" s="17">
        <v>7.8449999999999998</v>
      </c>
    </row>
    <row r="97" spans="1:8" x14ac:dyDescent="0.2">
      <c r="A97" s="25">
        <v>7</v>
      </c>
      <c r="B97" s="26" t="s">
        <v>440</v>
      </c>
      <c r="C97" s="26" t="s">
        <v>441</v>
      </c>
      <c r="D97" s="26" t="s">
        <v>149</v>
      </c>
      <c r="E97" s="27">
        <v>500</v>
      </c>
      <c r="F97" s="28">
        <v>2492.4074999999998</v>
      </c>
      <c r="G97" s="29">
        <v>1.15221E-2</v>
      </c>
      <c r="H97" s="17">
        <v>6.95</v>
      </c>
    </row>
    <row r="98" spans="1:8" ht="25.5" x14ac:dyDescent="0.2">
      <c r="A98" s="25">
        <v>8</v>
      </c>
      <c r="B98" s="26" t="s">
        <v>442</v>
      </c>
      <c r="C98" s="26" t="s">
        <v>443</v>
      </c>
      <c r="D98" s="26" t="s">
        <v>149</v>
      </c>
      <c r="E98" s="27">
        <v>500</v>
      </c>
      <c r="F98" s="28">
        <v>2482.5500000000002</v>
      </c>
      <c r="G98" s="29">
        <v>1.147653E-2</v>
      </c>
      <c r="H98" s="17">
        <v>7.7750000000000004</v>
      </c>
    </row>
    <row r="99" spans="1:8" ht="25.5" x14ac:dyDescent="0.2">
      <c r="A99" s="25">
        <v>9</v>
      </c>
      <c r="B99" s="26" t="s">
        <v>197</v>
      </c>
      <c r="C99" s="26" t="s">
        <v>198</v>
      </c>
      <c r="D99" s="26" t="s">
        <v>149</v>
      </c>
      <c r="E99" s="27">
        <v>500</v>
      </c>
      <c r="F99" s="28">
        <v>2434.0650000000001</v>
      </c>
      <c r="G99" s="29">
        <v>1.1252389999999999E-2</v>
      </c>
      <c r="H99" s="17">
        <v>8.1713000000000005</v>
      </c>
    </row>
    <row r="100" spans="1:8" ht="25.5" x14ac:dyDescent="0.2">
      <c r="A100" s="25">
        <v>10</v>
      </c>
      <c r="B100" s="26" t="s">
        <v>205</v>
      </c>
      <c r="C100" s="26" t="s">
        <v>206</v>
      </c>
      <c r="D100" s="26" t="s">
        <v>149</v>
      </c>
      <c r="E100" s="27">
        <v>300</v>
      </c>
      <c r="F100" s="28">
        <v>1469.403</v>
      </c>
      <c r="G100" s="29">
        <v>6.7928700000000003E-3</v>
      </c>
      <c r="H100" s="17">
        <v>7.5274999999999999</v>
      </c>
    </row>
    <row r="101" spans="1:8" x14ac:dyDescent="0.2">
      <c r="A101" s="25">
        <v>11</v>
      </c>
      <c r="B101" s="26" t="s">
        <v>444</v>
      </c>
      <c r="C101" s="26" t="s">
        <v>445</v>
      </c>
      <c r="D101" s="26" t="s">
        <v>149</v>
      </c>
      <c r="E101" s="27">
        <v>200</v>
      </c>
      <c r="F101" s="28">
        <v>995.54499999999996</v>
      </c>
      <c r="G101" s="29">
        <v>4.6022800000000003E-3</v>
      </c>
      <c r="H101" s="17">
        <v>7.4249999999999998</v>
      </c>
    </row>
    <row r="102" spans="1:8" x14ac:dyDescent="0.2">
      <c r="A102" s="18"/>
      <c r="B102" s="18"/>
      <c r="C102" s="19" t="s">
        <v>11</v>
      </c>
      <c r="D102" s="18"/>
      <c r="E102" s="18" t="s">
        <v>12</v>
      </c>
      <c r="F102" s="24">
        <v>36838.999499999998</v>
      </c>
      <c r="G102" s="21">
        <v>0.17030223999999999</v>
      </c>
      <c r="H102" s="17" t="s">
        <v>12</v>
      </c>
    </row>
    <row r="103" spans="1:8" x14ac:dyDescent="0.2">
      <c r="A103" s="18"/>
      <c r="B103" s="18"/>
      <c r="C103" s="22"/>
      <c r="D103" s="18"/>
      <c r="E103" s="18"/>
      <c r="F103" s="23"/>
      <c r="G103" s="23"/>
      <c r="H103" s="17" t="s">
        <v>12</v>
      </c>
    </row>
    <row r="104" spans="1:8" x14ac:dyDescent="0.2">
      <c r="A104" s="18"/>
      <c r="B104" s="18"/>
      <c r="C104" s="19" t="s">
        <v>93</v>
      </c>
      <c r="D104" s="18"/>
      <c r="E104" s="18"/>
      <c r="F104" s="23"/>
      <c r="G104" s="23"/>
      <c r="H104" s="17" t="s">
        <v>12</v>
      </c>
    </row>
    <row r="105" spans="1:8" x14ac:dyDescent="0.2">
      <c r="A105" s="25">
        <v>1</v>
      </c>
      <c r="B105" s="26" t="s">
        <v>446</v>
      </c>
      <c r="C105" s="26" t="s">
        <v>447</v>
      </c>
      <c r="D105" s="26" t="s">
        <v>75</v>
      </c>
      <c r="E105" s="27">
        <v>6000000</v>
      </c>
      <c r="F105" s="28">
        <v>5974.2179999999998</v>
      </c>
      <c r="G105" s="29">
        <v>2.7618090000000001E-2</v>
      </c>
      <c r="H105" s="17">
        <v>6.3</v>
      </c>
    </row>
    <row r="106" spans="1:8" x14ac:dyDescent="0.2">
      <c r="A106" s="25">
        <v>2</v>
      </c>
      <c r="B106" s="26" t="s">
        <v>448</v>
      </c>
      <c r="C106" s="26" t="s">
        <v>449</v>
      </c>
      <c r="D106" s="26" t="s">
        <v>75</v>
      </c>
      <c r="E106" s="27">
        <v>4000000</v>
      </c>
      <c r="F106" s="28">
        <v>3933.0520000000001</v>
      </c>
      <c r="G106" s="29">
        <v>1.818202E-2</v>
      </c>
      <c r="H106" s="17">
        <v>6.4718999999999998</v>
      </c>
    </row>
    <row r="107" spans="1:8" x14ac:dyDescent="0.2">
      <c r="A107" s="25">
        <v>3</v>
      </c>
      <c r="B107" s="26" t="s">
        <v>450</v>
      </c>
      <c r="C107" s="26" t="s">
        <v>451</v>
      </c>
      <c r="D107" s="26" t="s">
        <v>75</v>
      </c>
      <c r="E107" s="27">
        <v>2500000</v>
      </c>
      <c r="F107" s="28">
        <v>2492.3200000000002</v>
      </c>
      <c r="G107" s="29">
        <v>1.1521689999999999E-2</v>
      </c>
      <c r="H107" s="17">
        <v>6.2488000000000001</v>
      </c>
    </row>
    <row r="108" spans="1:8" x14ac:dyDescent="0.2">
      <c r="A108" s="25">
        <v>4</v>
      </c>
      <c r="B108" s="26" t="s">
        <v>207</v>
      </c>
      <c r="C108" s="26" t="s">
        <v>208</v>
      </c>
      <c r="D108" s="26" t="s">
        <v>75</v>
      </c>
      <c r="E108" s="27">
        <v>2500000</v>
      </c>
      <c r="F108" s="28">
        <v>2468.0275000000001</v>
      </c>
      <c r="G108" s="29">
        <v>1.140939E-2</v>
      </c>
      <c r="H108" s="17">
        <v>6.39</v>
      </c>
    </row>
    <row r="109" spans="1:8" x14ac:dyDescent="0.2">
      <c r="A109" s="25">
        <v>5</v>
      </c>
      <c r="B109" s="26" t="s">
        <v>209</v>
      </c>
      <c r="C109" s="26" t="s">
        <v>210</v>
      </c>
      <c r="D109" s="26" t="s">
        <v>75</v>
      </c>
      <c r="E109" s="27">
        <v>2500000</v>
      </c>
      <c r="F109" s="28">
        <v>2455.59</v>
      </c>
      <c r="G109" s="29">
        <v>1.13519E-2</v>
      </c>
      <c r="H109" s="17">
        <v>6.4718999999999998</v>
      </c>
    </row>
    <row r="110" spans="1:8" x14ac:dyDescent="0.2">
      <c r="A110" s="18"/>
      <c r="B110" s="18"/>
      <c r="C110" s="19" t="s">
        <v>11</v>
      </c>
      <c r="D110" s="18"/>
      <c r="E110" s="18" t="s">
        <v>12</v>
      </c>
      <c r="F110" s="24">
        <v>17323.2075</v>
      </c>
      <c r="G110" s="21">
        <v>8.0083089999999996E-2</v>
      </c>
      <c r="H110" s="17" t="s">
        <v>12</v>
      </c>
    </row>
    <row r="111" spans="1:8" x14ac:dyDescent="0.2">
      <c r="A111" s="18"/>
      <c r="B111" s="18"/>
      <c r="C111" s="22"/>
      <c r="D111" s="18"/>
      <c r="E111" s="18"/>
      <c r="F111" s="23"/>
      <c r="G111" s="23"/>
      <c r="H111" s="17" t="s">
        <v>12</v>
      </c>
    </row>
    <row r="112" spans="1:8" x14ac:dyDescent="0.2">
      <c r="A112" s="18"/>
      <c r="B112" s="18"/>
      <c r="C112" s="19" t="s">
        <v>94</v>
      </c>
      <c r="D112" s="18"/>
      <c r="E112" s="18"/>
      <c r="F112" s="23"/>
      <c r="G112" s="23"/>
      <c r="H112" s="17" t="s">
        <v>12</v>
      </c>
    </row>
    <row r="113" spans="1:17" x14ac:dyDescent="0.2">
      <c r="A113" s="25">
        <v>1</v>
      </c>
      <c r="B113" s="26"/>
      <c r="C113" s="26" t="s">
        <v>95</v>
      </c>
      <c r="D113" s="26"/>
      <c r="E113" s="30"/>
      <c r="F113" s="28">
        <v>15198.325225156999</v>
      </c>
      <c r="G113" s="29">
        <v>7.0260020000000006E-2</v>
      </c>
      <c r="H113" s="17">
        <v>6.3</v>
      </c>
    </row>
    <row r="114" spans="1:17" x14ac:dyDescent="0.2">
      <c r="A114" s="18"/>
      <c r="B114" s="18"/>
      <c r="C114" s="19" t="s">
        <v>11</v>
      </c>
      <c r="D114" s="18"/>
      <c r="E114" s="18" t="s">
        <v>12</v>
      </c>
      <c r="F114" s="24">
        <v>15198.325225156999</v>
      </c>
      <c r="G114" s="21">
        <v>7.0260020000000006E-2</v>
      </c>
      <c r="H114" s="17" t="s">
        <v>12</v>
      </c>
    </row>
    <row r="115" spans="1:17" x14ac:dyDescent="0.2">
      <c r="A115" s="18"/>
      <c r="B115" s="18"/>
      <c r="C115" s="22"/>
      <c r="D115" s="18"/>
      <c r="E115" s="18"/>
      <c r="F115" s="23"/>
      <c r="G115" s="23"/>
      <c r="H115" s="17" t="s">
        <v>12</v>
      </c>
    </row>
    <row r="116" spans="1:17" x14ac:dyDescent="0.2">
      <c r="A116" s="18"/>
      <c r="B116" s="18"/>
      <c r="C116" s="19" t="s">
        <v>96</v>
      </c>
      <c r="D116" s="18"/>
      <c r="E116" s="18"/>
      <c r="F116" s="24">
        <v>169713.93532515701</v>
      </c>
      <c r="G116" s="21">
        <v>0.78456700000000001</v>
      </c>
      <c r="H116" s="17" t="s">
        <v>12</v>
      </c>
    </row>
    <row r="117" spans="1:17" x14ac:dyDescent="0.2">
      <c r="A117" s="18"/>
      <c r="B117" s="18"/>
      <c r="C117" s="23"/>
      <c r="D117" s="18"/>
      <c r="E117" s="18"/>
      <c r="F117" s="18"/>
      <c r="G117" s="18"/>
      <c r="H117" s="17" t="s">
        <v>12</v>
      </c>
    </row>
    <row r="118" spans="1:17" x14ac:dyDescent="0.2">
      <c r="A118" s="18"/>
      <c r="B118" s="18"/>
      <c r="C118" s="19" t="s">
        <v>97</v>
      </c>
      <c r="D118" s="18"/>
      <c r="E118" s="18"/>
      <c r="F118" s="18"/>
      <c r="G118" s="18"/>
      <c r="H118" s="17" t="s">
        <v>12</v>
      </c>
    </row>
    <row r="119" spans="1:17" x14ac:dyDescent="0.2">
      <c r="A119" s="18"/>
      <c r="B119" s="18"/>
      <c r="C119" s="19" t="s">
        <v>98</v>
      </c>
      <c r="D119" s="18"/>
      <c r="E119" s="18"/>
      <c r="F119" s="18"/>
      <c r="G119" s="18"/>
      <c r="H119" s="17" t="s">
        <v>12</v>
      </c>
    </row>
    <row r="120" spans="1:17" x14ac:dyDescent="0.2">
      <c r="A120" s="18"/>
      <c r="B120" s="18"/>
      <c r="C120" s="19" t="s">
        <v>11</v>
      </c>
      <c r="D120" s="18"/>
      <c r="E120" s="18" t="s">
        <v>12</v>
      </c>
      <c r="F120" s="20" t="s">
        <v>13</v>
      </c>
      <c r="G120" s="21">
        <v>0</v>
      </c>
      <c r="H120" s="17" t="s">
        <v>12</v>
      </c>
    </row>
    <row r="121" spans="1:17" x14ac:dyDescent="0.2">
      <c r="A121" s="70"/>
      <c r="B121" s="70"/>
      <c r="C121" s="71"/>
      <c r="D121" s="70"/>
      <c r="E121" s="70"/>
      <c r="F121" s="72"/>
      <c r="G121" s="72"/>
      <c r="H121" s="68" t="s">
        <v>12</v>
      </c>
    </row>
    <row r="122" spans="1:17" x14ac:dyDescent="0.2">
      <c r="A122" s="70"/>
      <c r="B122" s="70"/>
      <c r="C122" s="73" t="s">
        <v>538</v>
      </c>
      <c r="D122" s="70"/>
      <c r="E122" s="70"/>
      <c r="F122" s="72"/>
      <c r="G122" s="72"/>
      <c r="H122" s="66"/>
      <c r="K122" s="50"/>
      <c r="L122" s="50"/>
      <c r="M122" s="50"/>
      <c r="N122" s="50"/>
      <c r="O122" s="74"/>
      <c r="P122" s="74"/>
      <c r="Q122" s="74"/>
    </row>
    <row r="123" spans="1:17" ht="25.5" x14ac:dyDescent="0.2">
      <c r="A123" s="63">
        <v>1</v>
      </c>
      <c r="B123" s="64" t="s">
        <v>99</v>
      </c>
      <c r="C123" s="64" t="s">
        <v>100</v>
      </c>
      <c r="D123" s="64"/>
      <c r="E123" s="75">
        <v>5151.0829999999996</v>
      </c>
      <c r="F123" s="66">
        <v>563.59668568999996</v>
      </c>
      <c r="G123" s="67">
        <v>2.6054400000000001E-3</v>
      </c>
      <c r="H123" s="68"/>
    </row>
    <row r="124" spans="1:17" x14ac:dyDescent="0.2">
      <c r="A124" s="70"/>
      <c r="B124" s="70"/>
      <c r="C124" s="73" t="s">
        <v>11</v>
      </c>
      <c r="D124" s="70"/>
      <c r="E124" s="70" t="s">
        <v>12</v>
      </c>
      <c r="F124" s="76">
        <f>SUM(F123)</f>
        <v>563.59668568999996</v>
      </c>
      <c r="G124" s="77">
        <f>SUM(G123)</f>
        <v>2.6054400000000001E-3</v>
      </c>
      <c r="H124" s="68" t="s">
        <v>12</v>
      </c>
    </row>
    <row r="125" spans="1:17" x14ac:dyDescent="0.2">
      <c r="A125" s="18"/>
      <c r="B125" s="18"/>
      <c r="C125" s="22"/>
      <c r="D125" s="18"/>
      <c r="E125" s="18"/>
      <c r="F125" s="23"/>
      <c r="G125" s="23"/>
      <c r="H125" s="17" t="s">
        <v>12</v>
      </c>
    </row>
    <row r="126" spans="1:17" x14ac:dyDescent="0.2">
      <c r="A126" s="18"/>
      <c r="B126" s="18"/>
      <c r="C126" s="19" t="s">
        <v>101</v>
      </c>
      <c r="D126" s="18"/>
      <c r="E126" s="18"/>
      <c r="F126" s="18"/>
      <c r="G126" s="18"/>
      <c r="H126" s="17" t="s">
        <v>12</v>
      </c>
    </row>
    <row r="127" spans="1:17" x14ac:dyDescent="0.2">
      <c r="A127" s="18"/>
      <c r="B127" s="18"/>
      <c r="C127" s="19" t="s">
        <v>102</v>
      </c>
      <c r="D127" s="18"/>
      <c r="E127" s="18"/>
      <c r="F127" s="18"/>
      <c r="G127" s="18"/>
      <c r="H127" s="17" t="s">
        <v>12</v>
      </c>
    </row>
    <row r="128" spans="1:17" x14ac:dyDescent="0.2">
      <c r="A128" s="18"/>
      <c r="B128" s="18"/>
      <c r="C128" s="19" t="s">
        <v>11</v>
      </c>
      <c r="D128" s="18"/>
      <c r="E128" s="18" t="s">
        <v>12</v>
      </c>
      <c r="F128" s="20" t="s">
        <v>13</v>
      </c>
      <c r="G128" s="21">
        <v>0</v>
      </c>
      <c r="H128" s="17" t="s">
        <v>12</v>
      </c>
    </row>
    <row r="129" spans="1:8" x14ac:dyDescent="0.2">
      <c r="A129" s="18"/>
      <c r="B129" s="18"/>
      <c r="C129" s="22"/>
      <c r="D129" s="18"/>
      <c r="E129" s="18"/>
      <c r="F129" s="23"/>
      <c r="G129" s="23"/>
      <c r="H129" s="17" t="s">
        <v>12</v>
      </c>
    </row>
    <row r="130" spans="1:8" x14ac:dyDescent="0.2">
      <c r="A130" s="18"/>
      <c r="B130" s="18"/>
      <c r="C130" s="19" t="s">
        <v>103</v>
      </c>
      <c r="D130" s="18"/>
      <c r="E130" s="18"/>
      <c r="F130" s="23"/>
      <c r="G130" s="23"/>
      <c r="H130" s="17" t="s">
        <v>12</v>
      </c>
    </row>
    <row r="131" spans="1:8" x14ac:dyDescent="0.2">
      <c r="A131" s="18"/>
      <c r="B131" s="18"/>
      <c r="C131" s="19" t="s">
        <v>11</v>
      </c>
      <c r="D131" s="18"/>
      <c r="E131" s="18" t="s">
        <v>12</v>
      </c>
      <c r="F131" s="20" t="s">
        <v>13</v>
      </c>
      <c r="G131" s="21">
        <v>0</v>
      </c>
      <c r="H131" s="17" t="s">
        <v>12</v>
      </c>
    </row>
    <row r="132" spans="1:8" x14ac:dyDescent="0.2">
      <c r="A132" s="18"/>
      <c r="B132" s="18"/>
      <c r="C132" s="22"/>
      <c r="D132" s="18"/>
      <c r="E132" s="18"/>
      <c r="F132" s="23"/>
      <c r="G132" s="23"/>
      <c r="H132" s="68" t="s">
        <v>12</v>
      </c>
    </row>
    <row r="133" spans="1:8" x14ac:dyDescent="0.2">
      <c r="A133" s="110"/>
      <c r="B133" s="110"/>
      <c r="C133" s="111" t="s">
        <v>615</v>
      </c>
      <c r="D133" s="112"/>
      <c r="E133" s="113"/>
      <c r="F133" s="113"/>
      <c r="G133" s="112"/>
      <c r="H133" s="113"/>
    </row>
    <row r="134" spans="1:8" ht="21.75" x14ac:dyDescent="0.2">
      <c r="A134" s="110"/>
      <c r="B134" s="110"/>
      <c r="C134" s="114" t="s">
        <v>616</v>
      </c>
      <c r="D134" s="112"/>
      <c r="E134" s="115">
        <v>2500000</v>
      </c>
      <c r="F134" s="68">
        <f>27750/10^5</f>
        <v>0.27750000000000002</v>
      </c>
      <c r="G134" s="116" t="s">
        <v>617</v>
      </c>
      <c r="H134" s="113"/>
    </row>
    <row r="135" spans="1:8" x14ac:dyDescent="0.2">
      <c r="A135" s="18"/>
      <c r="B135" s="18"/>
      <c r="C135" s="22"/>
      <c r="D135" s="18"/>
      <c r="E135" s="18"/>
      <c r="F135" s="23"/>
      <c r="G135" s="23"/>
      <c r="H135" s="17" t="s">
        <v>12</v>
      </c>
    </row>
    <row r="136" spans="1:8" x14ac:dyDescent="0.2">
      <c r="A136" s="30"/>
      <c r="B136" s="26"/>
      <c r="C136" s="26" t="s">
        <v>104</v>
      </c>
      <c r="D136" s="26"/>
      <c r="E136" s="30"/>
      <c r="F136" s="28">
        <f>-557.57413177+2500+0.0000158829498291016</f>
        <v>1942.4258841129499</v>
      </c>
      <c r="G136" s="29">
        <f>F136/F137</f>
        <v>8.9795995631457466E-3</v>
      </c>
      <c r="H136" s="17" t="s">
        <v>12</v>
      </c>
    </row>
    <row r="137" spans="1:8" x14ac:dyDescent="0.2">
      <c r="A137" s="22"/>
      <c r="B137" s="22"/>
      <c r="C137" s="19" t="s">
        <v>105</v>
      </c>
      <c r="D137" s="23"/>
      <c r="E137" s="23"/>
      <c r="F137" s="24">
        <f>F136+F134+F124+F116+F54+F24</f>
        <v>216315.42369495999</v>
      </c>
      <c r="G137" s="21">
        <f>G136+G124+G116+G54+G24</f>
        <v>0.99999875956314577</v>
      </c>
      <c r="H137" s="17" t="s">
        <v>12</v>
      </c>
    </row>
    <row r="138" spans="1:8" x14ac:dyDescent="0.2">
      <c r="A138" s="32"/>
      <c r="B138" s="32"/>
      <c r="C138" s="32"/>
      <c r="D138" s="33"/>
      <c r="E138" s="33"/>
      <c r="F138" s="33"/>
      <c r="G138" s="33"/>
    </row>
    <row r="139" spans="1:8" x14ac:dyDescent="0.2">
      <c r="A139" s="34"/>
      <c r="B139" s="151" t="s">
        <v>539</v>
      </c>
      <c r="C139" s="151"/>
      <c r="D139" s="151"/>
      <c r="E139" s="151"/>
      <c r="F139" s="151"/>
      <c r="G139" s="151"/>
      <c r="H139" s="151"/>
    </row>
    <row r="140" spans="1:8" x14ac:dyDescent="0.2">
      <c r="A140" s="34"/>
      <c r="B140" s="151" t="s">
        <v>540</v>
      </c>
      <c r="C140" s="151"/>
      <c r="D140" s="151"/>
      <c r="E140" s="151"/>
      <c r="F140" s="151"/>
      <c r="G140" s="151"/>
      <c r="H140" s="151"/>
    </row>
    <row r="141" spans="1:8" x14ac:dyDescent="0.2">
      <c r="A141" s="34"/>
      <c r="B141" s="151" t="s">
        <v>541</v>
      </c>
      <c r="C141" s="151"/>
      <c r="D141" s="151"/>
      <c r="E141" s="151"/>
      <c r="F141" s="151"/>
      <c r="G141" s="151"/>
      <c r="H141" s="151"/>
    </row>
    <row r="142" spans="1:8" ht="67.5" customHeight="1" x14ac:dyDescent="0.2">
      <c r="A142" s="34"/>
      <c r="B142" s="192" t="s">
        <v>603</v>
      </c>
      <c r="C142" s="192"/>
      <c r="D142" s="192"/>
      <c r="E142" s="192"/>
      <c r="F142" s="192"/>
      <c r="G142" s="192"/>
      <c r="H142" s="192"/>
    </row>
    <row r="143" spans="1:8" x14ac:dyDescent="0.2">
      <c r="A143" s="36"/>
      <c r="B143" s="36"/>
      <c r="C143" s="36"/>
      <c r="D143" s="37"/>
      <c r="E143" s="37"/>
      <c r="F143" s="37"/>
      <c r="G143" s="37"/>
    </row>
    <row r="144" spans="1:8" x14ac:dyDescent="0.2">
      <c r="A144" s="36"/>
      <c r="B144" s="154" t="s">
        <v>106</v>
      </c>
      <c r="C144" s="155"/>
      <c r="D144" s="156"/>
      <c r="E144" s="38"/>
      <c r="F144" s="37"/>
      <c r="G144" s="37"/>
    </row>
    <row r="145" spans="1:7" ht="25.5" x14ac:dyDescent="0.2">
      <c r="A145" s="36"/>
      <c r="B145" s="157" t="s">
        <v>107</v>
      </c>
      <c r="C145" s="158"/>
      <c r="D145" s="73" t="s">
        <v>566</v>
      </c>
      <c r="E145" s="38"/>
      <c r="F145" s="37"/>
      <c r="G145" s="37"/>
    </row>
    <row r="146" spans="1:7" x14ac:dyDescent="0.2">
      <c r="A146" s="36"/>
      <c r="B146" s="157" t="s">
        <v>109</v>
      </c>
      <c r="C146" s="158"/>
      <c r="D146" s="19" t="s">
        <v>108</v>
      </c>
      <c r="E146" s="38"/>
      <c r="F146" s="37"/>
      <c r="G146" s="37"/>
    </row>
    <row r="147" spans="1:7" x14ac:dyDescent="0.2">
      <c r="A147" s="36"/>
      <c r="B147" s="157" t="s">
        <v>110</v>
      </c>
      <c r="C147" s="158"/>
      <c r="D147" s="23" t="s">
        <v>12</v>
      </c>
      <c r="E147" s="38"/>
      <c r="F147" s="37"/>
      <c r="G147" s="37"/>
    </row>
    <row r="148" spans="1:7" x14ac:dyDescent="0.2">
      <c r="A148" s="39"/>
      <c r="B148" s="40" t="s">
        <v>12</v>
      </c>
      <c r="C148" s="40" t="s">
        <v>542</v>
      </c>
      <c r="D148" s="40" t="s">
        <v>111</v>
      </c>
      <c r="E148" s="39"/>
      <c r="F148" s="39"/>
      <c r="G148" s="39"/>
    </row>
    <row r="149" spans="1:7" x14ac:dyDescent="0.2">
      <c r="A149" s="39"/>
      <c r="B149" s="41" t="s">
        <v>112</v>
      </c>
      <c r="C149" s="42">
        <v>45688</v>
      </c>
      <c r="D149" s="42">
        <v>45703</v>
      </c>
      <c r="E149" s="39"/>
      <c r="F149" s="39"/>
      <c r="G149" s="39"/>
    </row>
    <row r="150" spans="1:7" x14ac:dyDescent="0.2">
      <c r="A150" s="43"/>
      <c r="B150" s="26" t="s">
        <v>113</v>
      </c>
      <c r="C150" s="44">
        <v>2834.4324999999999</v>
      </c>
      <c r="D150" s="44">
        <v>2843.3411999999998</v>
      </c>
      <c r="E150" s="43"/>
      <c r="F150" s="45"/>
      <c r="G150" s="46"/>
    </row>
    <row r="151" spans="1:7" ht="25.5" x14ac:dyDescent="0.2">
      <c r="A151" s="43"/>
      <c r="B151" s="26" t="s">
        <v>663</v>
      </c>
      <c r="C151" s="44">
        <v>1063.2080000000001</v>
      </c>
      <c r="D151" s="44">
        <v>1066.5491999999999</v>
      </c>
      <c r="E151" s="43"/>
      <c r="F151" s="45"/>
      <c r="G151" s="46"/>
    </row>
    <row r="152" spans="1:7" ht="25.5" x14ac:dyDescent="0.2">
      <c r="A152" s="43"/>
      <c r="B152" s="26" t="s">
        <v>664</v>
      </c>
      <c r="C152" s="44">
        <v>1194.6222</v>
      </c>
      <c r="D152" s="44">
        <v>1198.3715</v>
      </c>
      <c r="E152" s="43"/>
      <c r="F152" s="45"/>
      <c r="G152" s="46"/>
    </row>
    <row r="153" spans="1:7" x14ac:dyDescent="0.2">
      <c r="A153" s="43"/>
      <c r="B153" s="26" t="s">
        <v>114</v>
      </c>
      <c r="C153" s="44">
        <v>2612.2190000000001</v>
      </c>
      <c r="D153" s="44">
        <v>2619.0738000000001</v>
      </c>
      <c r="E153" s="43"/>
      <c r="F153" s="45"/>
      <c r="G153" s="46"/>
    </row>
    <row r="154" spans="1:7" ht="25.5" x14ac:dyDescent="0.2">
      <c r="A154" s="43"/>
      <c r="B154" s="26" t="s">
        <v>667</v>
      </c>
      <c r="C154" s="44">
        <v>1062.3047999999999</v>
      </c>
      <c r="D154" s="44">
        <v>1065.0924</v>
      </c>
      <c r="E154" s="43"/>
      <c r="F154" s="45"/>
      <c r="G154" s="46"/>
    </row>
    <row r="155" spans="1:7" ht="25.5" x14ac:dyDescent="0.2">
      <c r="A155" s="43"/>
      <c r="B155" s="26" t="s">
        <v>668</v>
      </c>
      <c r="C155" s="44">
        <v>1148.2489</v>
      </c>
      <c r="D155" s="44">
        <v>1151.2624000000001</v>
      </c>
      <c r="E155" s="43"/>
      <c r="F155" s="45"/>
      <c r="G155" s="46"/>
    </row>
    <row r="156" spans="1:7" x14ac:dyDescent="0.2">
      <c r="A156" s="43"/>
      <c r="B156" s="43"/>
      <c r="C156" s="43"/>
      <c r="D156" s="43"/>
      <c r="E156" s="43"/>
      <c r="F156" s="43"/>
      <c r="G156" s="43"/>
    </row>
    <row r="157" spans="1:7" x14ac:dyDescent="0.2">
      <c r="A157" s="43"/>
      <c r="B157" s="157" t="s">
        <v>643</v>
      </c>
      <c r="C157" s="158"/>
      <c r="D157" s="73" t="s">
        <v>108</v>
      </c>
      <c r="E157" s="43"/>
      <c r="F157" s="43"/>
      <c r="G157" s="43"/>
    </row>
    <row r="158" spans="1:7" x14ac:dyDescent="0.2">
      <c r="A158" s="43"/>
      <c r="B158" s="48"/>
      <c r="C158" s="48"/>
      <c r="D158" s="48"/>
      <c r="E158" s="43"/>
      <c r="F158" s="43"/>
      <c r="G158" s="43"/>
    </row>
    <row r="159" spans="1:7" ht="25.5" x14ac:dyDescent="0.2">
      <c r="A159" s="39"/>
      <c r="B159" s="159" t="s">
        <v>115</v>
      </c>
      <c r="C159" s="160"/>
      <c r="D159" s="73" t="s">
        <v>618</v>
      </c>
      <c r="E159" s="49"/>
      <c r="F159" s="39"/>
      <c r="G159" s="39"/>
    </row>
    <row r="160" spans="1:7" ht="27" customHeight="1" x14ac:dyDescent="0.2">
      <c r="A160" s="39"/>
      <c r="B160" s="159" t="s">
        <v>116</v>
      </c>
      <c r="C160" s="160"/>
      <c r="D160" s="73" t="s">
        <v>108</v>
      </c>
      <c r="E160" s="49"/>
      <c r="F160" s="39"/>
      <c r="G160" s="39"/>
    </row>
    <row r="161" spans="1:15" ht="27.75" customHeight="1" x14ac:dyDescent="0.2">
      <c r="A161" s="39"/>
      <c r="B161" s="159" t="s">
        <v>543</v>
      </c>
      <c r="C161" s="160"/>
      <c r="D161" s="73" t="s">
        <v>108</v>
      </c>
      <c r="E161" s="49"/>
      <c r="F161" s="39"/>
      <c r="G161" s="39"/>
      <c r="J161" s="14"/>
    </row>
    <row r="162" spans="1:15" ht="12.75" customHeight="1" x14ac:dyDescent="0.2">
      <c r="A162" s="48"/>
      <c r="B162" s="48"/>
      <c r="C162" s="48"/>
      <c r="D162" s="48"/>
      <c r="E162" s="48"/>
      <c r="F162" s="48"/>
      <c r="G162" s="48"/>
      <c r="J162" s="14"/>
    </row>
    <row r="163" spans="1:15" ht="13.5" x14ac:dyDescent="0.25">
      <c r="A163" s="48"/>
      <c r="B163" s="117" t="s">
        <v>659</v>
      </c>
      <c r="C163" s="48"/>
      <c r="D163" s="48"/>
      <c r="E163" s="48"/>
      <c r="F163" s="48"/>
      <c r="G163" s="48"/>
      <c r="H163" s="48"/>
      <c r="J163" s="14"/>
    </row>
    <row r="164" spans="1:15" s="14" customFormat="1" ht="51" x14ac:dyDescent="0.2">
      <c r="A164" s="118"/>
      <c r="B164" s="119" t="s">
        <v>619</v>
      </c>
      <c r="C164" s="119" t="s">
        <v>620</v>
      </c>
      <c r="D164" s="120" t="s">
        <v>621</v>
      </c>
      <c r="E164" s="120" t="s">
        <v>622</v>
      </c>
      <c r="F164" s="119" t="s">
        <v>623</v>
      </c>
      <c r="G164" s="119" t="s">
        <v>624</v>
      </c>
      <c r="H164" s="119" t="s">
        <v>8</v>
      </c>
    </row>
    <row r="165" spans="1:15" s="52" customFormat="1" ht="25.5" x14ac:dyDescent="0.2">
      <c r="A165" s="121"/>
      <c r="B165" s="122" t="s">
        <v>625</v>
      </c>
      <c r="C165" s="122" t="s">
        <v>626</v>
      </c>
      <c r="D165" s="123" t="s">
        <v>627</v>
      </c>
      <c r="E165" s="124" t="s">
        <v>628</v>
      </c>
      <c r="F165" s="125">
        <v>2500</v>
      </c>
      <c r="G165" s="126">
        <v>46002</v>
      </c>
      <c r="H165" s="67">
        <f>F165/F137</f>
        <v>1.1557197158189736E-2</v>
      </c>
      <c r="J165" s="14"/>
    </row>
    <row r="166" spans="1:15" s="62" customFormat="1" x14ac:dyDescent="0.2">
      <c r="A166" s="48"/>
      <c r="B166" s="48"/>
      <c r="C166" s="48"/>
      <c r="D166" s="48"/>
      <c r="E166" s="48"/>
      <c r="F166" s="48"/>
      <c r="G166" s="48"/>
      <c r="H166"/>
      <c r="I166" s="127"/>
      <c r="J166" s="127"/>
      <c r="K166" s="127"/>
      <c r="L166" s="127"/>
      <c r="M166" s="127"/>
      <c r="N166" s="127"/>
      <c r="O166" s="127"/>
    </row>
    <row r="167" spans="1:15" x14ac:dyDescent="0.2">
      <c r="A167" s="51"/>
      <c r="B167" s="128" t="s">
        <v>658</v>
      </c>
      <c r="C167" s="128"/>
      <c r="D167" s="128"/>
      <c r="E167" s="128"/>
      <c r="F167" s="128"/>
      <c r="G167" s="128"/>
      <c r="H167" s="51"/>
      <c r="J167" s="14"/>
    </row>
    <row r="168" spans="1:15" ht="6" customHeight="1" x14ac:dyDescent="0.2">
      <c r="A168" s="51"/>
      <c r="B168" s="129"/>
      <c r="C168" s="129"/>
      <c r="D168" s="129"/>
      <c r="E168" s="129"/>
      <c r="F168" s="129"/>
      <c r="G168" s="129"/>
      <c r="H168" s="51"/>
      <c r="J168" s="14"/>
    </row>
    <row r="169" spans="1:15" s="51" customFormat="1" ht="102" x14ac:dyDescent="0.2">
      <c r="B169" s="130" t="s">
        <v>568</v>
      </c>
      <c r="C169" s="130" t="s">
        <v>569</v>
      </c>
      <c r="D169" s="131" t="s">
        <v>570</v>
      </c>
      <c r="E169" s="130" t="s">
        <v>571</v>
      </c>
      <c r="F169" s="131" t="s">
        <v>629</v>
      </c>
      <c r="G169" s="129"/>
      <c r="I169"/>
      <c r="J169" s="14"/>
      <c r="K169" s="50"/>
      <c r="L169" s="50"/>
      <c r="M169" s="50"/>
      <c r="N169" s="50"/>
      <c r="O169" s="52"/>
    </row>
    <row r="170" spans="1:15" s="51" customFormat="1" x14ac:dyDescent="0.2">
      <c r="B170" s="132" t="s">
        <v>573</v>
      </c>
      <c r="C170" s="132" t="s">
        <v>574</v>
      </c>
      <c r="D170" s="7">
        <v>0</v>
      </c>
      <c r="E170" s="8">
        <v>0</v>
      </c>
      <c r="F170" s="133">
        <v>500</v>
      </c>
      <c r="G170" s="129"/>
      <c r="I170"/>
      <c r="J170" s="14"/>
      <c r="K170" s="50"/>
      <c r="L170" s="50"/>
      <c r="M170" s="50"/>
      <c r="N170" s="50"/>
      <c r="O170" s="52"/>
    </row>
    <row r="171" spans="1:15" s="51" customFormat="1" x14ac:dyDescent="0.2">
      <c r="I171"/>
      <c r="J171" s="14"/>
      <c r="K171" s="50"/>
      <c r="L171" s="50"/>
      <c r="M171" s="50"/>
      <c r="N171" s="50"/>
      <c r="O171" s="52"/>
    </row>
    <row r="172" spans="1:15" s="51" customFormat="1" x14ac:dyDescent="0.2">
      <c r="B172" s="193" t="s">
        <v>544</v>
      </c>
      <c r="C172" s="194"/>
      <c r="D172" s="195"/>
      <c r="I172"/>
      <c r="J172" s="14"/>
      <c r="K172" s="50"/>
      <c r="L172" s="50"/>
      <c r="M172" s="50"/>
      <c r="N172" s="50"/>
      <c r="O172" s="52"/>
    </row>
    <row r="173" spans="1:15" s="51" customFormat="1" ht="51" x14ac:dyDescent="0.2">
      <c r="B173" s="196" t="s">
        <v>545</v>
      </c>
      <c r="C173" s="196"/>
      <c r="D173" s="134" t="s">
        <v>400</v>
      </c>
      <c r="I173"/>
      <c r="J173" s="14"/>
      <c r="K173" s="50"/>
      <c r="L173" s="50"/>
      <c r="M173" s="50"/>
      <c r="N173" s="50"/>
      <c r="O173" s="52"/>
    </row>
    <row r="174" spans="1:15" s="51" customFormat="1" x14ac:dyDescent="0.2">
      <c r="B174" s="197" t="s">
        <v>546</v>
      </c>
      <c r="C174" s="197"/>
      <c r="D174" s="135"/>
      <c r="I174"/>
      <c r="J174" s="14"/>
      <c r="K174" s="50"/>
      <c r="L174" s="50"/>
      <c r="M174" s="50"/>
      <c r="N174" s="50"/>
      <c r="O174" s="52"/>
    </row>
    <row r="175" spans="1:15" s="51" customFormat="1" x14ac:dyDescent="0.2">
      <c r="B175" s="197"/>
      <c r="C175" s="197"/>
      <c r="D175" s="136"/>
      <c r="I175"/>
      <c r="J175" s="14"/>
      <c r="K175" s="50"/>
      <c r="L175" s="50"/>
      <c r="M175" s="50"/>
      <c r="N175" s="50"/>
      <c r="O175" s="52"/>
    </row>
    <row r="176" spans="1:15" s="51" customFormat="1" x14ac:dyDescent="0.2">
      <c r="B176" s="197" t="s">
        <v>547</v>
      </c>
      <c r="C176" s="197"/>
      <c r="D176" s="108">
        <v>7.41</v>
      </c>
      <c r="I176"/>
      <c r="J176" s="14"/>
      <c r="K176" s="50"/>
      <c r="L176" s="50"/>
      <c r="M176" s="50"/>
      <c r="N176" s="50"/>
      <c r="O176" s="52"/>
    </row>
    <row r="177" spans="1:17" s="51" customFormat="1" x14ac:dyDescent="0.2">
      <c r="B177" s="153"/>
      <c r="C177" s="153"/>
      <c r="D177" s="55"/>
      <c r="I177"/>
      <c r="J177" s="14"/>
      <c r="K177" s="50"/>
      <c r="L177" s="50"/>
      <c r="M177" s="50"/>
      <c r="N177" s="50"/>
      <c r="O177" s="52"/>
    </row>
    <row r="178" spans="1:17" s="51" customFormat="1" x14ac:dyDescent="0.2">
      <c r="B178" s="153" t="s">
        <v>548</v>
      </c>
      <c r="C178" s="153"/>
      <c r="D178" s="108">
        <v>0.48</v>
      </c>
      <c r="I178"/>
      <c r="J178" s="14"/>
      <c r="K178" s="50"/>
      <c r="L178" s="50"/>
      <c r="M178" s="50"/>
      <c r="N178" s="50"/>
      <c r="O178" s="52"/>
    </row>
    <row r="179" spans="1:17" s="51" customFormat="1" x14ac:dyDescent="0.2">
      <c r="B179" s="153" t="s">
        <v>549</v>
      </c>
      <c r="C179" s="153"/>
      <c r="D179" s="108">
        <v>0.49</v>
      </c>
      <c r="I179"/>
      <c r="J179" s="14"/>
      <c r="K179" s="50"/>
      <c r="L179" s="50"/>
      <c r="M179" s="50"/>
      <c r="N179" s="50"/>
      <c r="O179" s="52"/>
    </row>
    <row r="180" spans="1:17" s="51" customFormat="1" x14ac:dyDescent="0.2">
      <c r="B180" s="153"/>
      <c r="C180" s="153"/>
      <c r="D180" s="55"/>
      <c r="I180"/>
      <c r="J180" s="14"/>
      <c r="K180" s="50"/>
      <c r="L180" s="50"/>
      <c r="M180" s="50"/>
      <c r="N180" s="50"/>
      <c r="O180" s="52"/>
    </row>
    <row r="181" spans="1:17" s="51" customFormat="1" ht="25.5" x14ac:dyDescent="0.2">
      <c r="B181" s="153" t="s">
        <v>550</v>
      </c>
      <c r="C181" s="153"/>
      <c r="D181" s="109" t="s">
        <v>657</v>
      </c>
      <c r="I181"/>
      <c r="J181" s="14"/>
      <c r="K181" s="50"/>
      <c r="L181" s="50"/>
      <c r="M181" s="50"/>
      <c r="N181" s="50"/>
      <c r="O181" s="52"/>
    </row>
    <row r="182" spans="1:17" s="51" customFormat="1" x14ac:dyDescent="0.2">
      <c r="B182" s="165" t="s">
        <v>551</v>
      </c>
      <c r="C182" s="167"/>
      <c r="D182" s="166"/>
      <c r="I182"/>
      <c r="J182" s="14"/>
      <c r="K182" s="50"/>
      <c r="L182" s="50"/>
      <c r="M182" s="50"/>
      <c r="N182" s="50"/>
      <c r="O182" s="52"/>
    </row>
    <row r="183" spans="1:17" s="51" customFormat="1" x14ac:dyDescent="0.2">
      <c r="B183" s="35"/>
      <c r="C183" s="35"/>
      <c r="D183" s="35"/>
      <c r="I183"/>
      <c r="J183" s="14"/>
      <c r="K183" s="50"/>
      <c r="L183" s="50"/>
      <c r="M183" s="50"/>
      <c r="N183" s="50"/>
      <c r="O183" s="52"/>
    </row>
    <row r="184" spans="1:17" s="51" customFormat="1" x14ac:dyDescent="0.2">
      <c r="A184"/>
      <c r="B184" s="60" t="s">
        <v>552</v>
      </c>
      <c r="C184"/>
      <c r="D184"/>
      <c r="E184"/>
      <c r="F184"/>
      <c r="G184"/>
      <c r="H184"/>
      <c r="I184"/>
      <c r="J184" s="14"/>
      <c r="K184" s="50"/>
      <c r="L184" s="50"/>
      <c r="M184" s="50"/>
      <c r="N184" s="50"/>
      <c r="O184" s="52"/>
      <c r="P184"/>
      <c r="Q184"/>
    </row>
    <row r="186" spans="1:17" ht="153.75" customHeight="1" x14ac:dyDescent="0.2"/>
    <row r="187" spans="1:17" ht="25.5" customHeight="1" x14ac:dyDescent="0.2"/>
    <row r="188" spans="1:17" x14ac:dyDescent="0.2">
      <c r="B188" s="61" t="s">
        <v>553</v>
      </c>
      <c r="C188" s="62"/>
      <c r="D188" s="61" t="s">
        <v>554</v>
      </c>
    </row>
    <row r="189" spans="1:17" x14ac:dyDescent="0.2">
      <c r="B189" s="61" t="s">
        <v>630</v>
      </c>
      <c r="D189" s="61" t="s">
        <v>631</v>
      </c>
    </row>
    <row r="192" spans="1:17" ht="165" customHeight="1" x14ac:dyDescent="0.2"/>
    <row r="194" spans="10:10" x14ac:dyDescent="0.2">
      <c r="J194" s="14"/>
    </row>
  </sheetData>
  <mergeCells count="26">
    <mergeCell ref="B182:D182"/>
    <mergeCell ref="B177:C177"/>
    <mergeCell ref="B178:C178"/>
    <mergeCell ref="B179:C179"/>
    <mergeCell ref="B180:C180"/>
    <mergeCell ref="B181:C181"/>
    <mergeCell ref="B172:D172"/>
    <mergeCell ref="B173:C173"/>
    <mergeCell ref="B174:C174"/>
    <mergeCell ref="B175:C175"/>
    <mergeCell ref="B176:C176"/>
    <mergeCell ref="A1:H1"/>
    <mergeCell ref="A2:H2"/>
    <mergeCell ref="A3:H3"/>
    <mergeCell ref="B139:H139"/>
    <mergeCell ref="B140:H140"/>
    <mergeCell ref="B141:H141"/>
    <mergeCell ref="B142:H142"/>
    <mergeCell ref="B144:D144"/>
    <mergeCell ref="B145:C145"/>
    <mergeCell ref="B146:C146"/>
    <mergeCell ref="B147:C147"/>
    <mergeCell ref="B157:C157"/>
    <mergeCell ref="B161:C161"/>
    <mergeCell ref="B159:C159"/>
    <mergeCell ref="B160:C160"/>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92E3F-154B-4A52-A345-E091DEC12915}">
  <sheetPr>
    <outlinePr summaryBelow="0" summaryRight="0"/>
  </sheetPr>
  <dimension ref="A1:Q155"/>
  <sheetViews>
    <sheetView showGridLines="0" workbookViewId="0">
      <selection sqref="A1:H1"/>
    </sheetView>
  </sheetViews>
  <sheetFormatPr defaultRowHeight="12.75" x14ac:dyDescent="0.2"/>
  <cols>
    <col min="1" max="1" width="5.85546875" bestFit="1" customWidth="1"/>
    <col min="2" max="2" width="21.7109375" customWidth="1"/>
    <col min="3" max="3" width="39.140625" bestFit="1" customWidth="1"/>
    <col min="4" max="4" width="10.7109375" bestFit="1" customWidth="1"/>
    <col min="5" max="5" width="8.7109375" bestFit="1" customWidth="1"/>
    <col min="6" max="6" width="10.140625" bestFit="1" customWidth="1"/>
    <col min="7" max="7" width="14" bestFit="1" customWidth="1"/>
    <col min="8" max="8" width="9.85546875" bestFit="1" customWidth="1"/>
  </cols>
  <sheetData>
    <row r="1" spans="1:8" ht="15" x14ac:dyDescent="0.2">
      <c r="A1" s="164" t="s">
        <v>0</v>
      </c>
      <c r="B1" s="164"/>
      <c r="C1" s="164"/>
      <c r="D1" s="164"/>
      <c r="E1" s="164"/>
      <c r="F1" s="164"/>
      <c r="G1" s="164"/>
      <c r="H1" s="164"/>
    </row>
    <row r="2" spans="1:8" ht="15" x14ac:dyDescent="0.2">
      <c r="A2" s="164" t="s">
        <v>452</v>
      </c>
      <c r="B2" s="164"/>
      <c r="C2" s="164"/>
      <c r="D2" s="164"/>
      <c r="E2" s="164"/>
      <c r="F2" s="164"/>
      <c r="G2" s="164"/>
      <c r="H2" s="164"/>
    </row>
    <row r="3" spans="1:8" ht="15" x14ac:dyDescent="0.2">
      <c r="A3" s="164" t="s">
        <v>537</v>
      </c>
      <c r="B3" s="164"/>
      <c r="C3" s="164"/>
      <c r="D3" s="164"/>
      <c r="E3" s="164"/>
      <c r="F3" s="164"/>
      <c r="G3" s="164"/>
      <c r="H3" s="164"/>
    </row>
    <row r="4" spans="1:8" s="14" customFormat="1" ht="30" x14ac:dyDescent="0.2">
      <c r="A4" s="12" t="s">
        <v>2</v>
      </c>
      <c r="B4" s="12" t="s">
        <v>3</v>
      </c>
      <c r="C4" s="12" t="s">
        <v>4</v>
      </c>
      <c r="D4" s="12" t="s">
        <v>5</v>
      </c>
      <c r="E4" s="12" t="s">
        <v>6</v>
      </c>
      <c r="F4" s="12" t="s">
        <v>7</v>
      </c>
      <c r="G4" s="12" t="s">
        <v>8</v>
      </c>
      <c r="H4" s="13" t="s">
        <v>536</v>
      </c>
    </row>
    <row r="5" spans="1:8" x14ac:dyDescent="0.2">
      <c r="A5" s="15"/>
      <c r="B5" s="15"/>
      <c r="C5" s="16" t="s">
        <v>9</v>
      </c>
      <c r="D5" s="15"/>
      <c r="E5" s="15"/>
      <c r="F5" s="15"/>
      <c r="G5" s="15"/>
      <c r="H5" s="17" t="s">
        <v>12</v>
      </c>
    </row>
    <row r="6" spans="1:8" x14ac:dyDescent="0.2">
      <c r="A6" s="18"/>
      <c r="B6" s="18"/>
      <c r="C6" s="19" t="s">
        <v>10</v>
      </c>
      <c r="D6" s="18"/>
      <c r="E6" s="18"/>
      <c r="F6" s="18"/>
      <c r="G6" s="18"/>
      <c r="H6" s="17" t="s">
        <v>12</v>
      </c>
    </row>
    <row r="7" spans="1:8" x14ac:dyDescent="0.2">
      <c r="A7" s="18"/>
      <c r="B7" s="18"/>
      <c r="C7" s="19" t="s">
        <v>11</v>
      </c>
      <c r="D7" s="18"/>
      <c r="E7" s="18" t="s">
        <v>12</v>
      </c>
      <c r="F7" s="20" t="s">
        <v>13</v>
      </c>
      <c r="G7" s="21">
        <v>0</v>
      </c>
      <c r="H7" s="17" t="s">
        <v>12</v>
      </c>
    </row>
    <row r="8" spans="1:8" x14ac:dyDescent="0.2">
      <c r="A8" s="18"/>
      <c r="B8" s="18"/>
      <c r="C8" s="22"/>
      <c r="D8" s="18"/>
      <c r="E8" s="18"/>
      <c r="F8" s="23"/>
      <c r="G8" s="23"/>
      <c r="H8" s="17" t="s">
        <v>12</v>
      </c>
    </row>
    <row r="9" spans="1:8" x14ac:dyDescent="0.2">
      <c r="A9" s="18"/>
      <c r="B9" s="18"/>
      <c r="C9" s="19" t="s">
        <v>14</v>
      </c>
      <c r="D9" s="18"/>
      <c r="E9" s="18"/>
      <c r="F9" s="18"/>
      <c r="G9" s="18"/>
      <c r="H9" s="17" t="s">
        <v>12</v>
      </c>
    </row>
    <row r="10" spans="1:8" x14ac:dyDescent="0.2">
      <c r="A10" s="18"/>
      <c r="B10" s="18"/>
      <c r="C10" s="19" t="s">
        <v>11</v>
      </c>
      <c r="D10" s="18"/>
      <c r="E10" s="18" t="s">
        <v>12</v>
      </c>
      <c r="F10" s="20" t="s">
        <v>13</v>
      </c>
      <c r="G10" s="21">
        <v>0</v>
      </c>
      <c r="H10" s="17" t="s">
        <v>12</v>
      </c>
    </row>
    <row r="11" spans="1:8" x14ac:dyDescent="0.2">
      <c r="A11" s="18"/>
      <c r="B11" s="18"/>
      <c r="C11" s="22"/>
      <c r="D11" s="18"/>
      <c r="E11" s="18"/>
      <c r="F11" s="23"/>
      <c r="G11" s="23"/>
      <c r="H11" s="17" t="s">
        <v>12</v>
      </c>
    </row>
    <row r="12" spans="1:8" x14ac:dyDescent="0.2">
      <c r="A12" s="18"/>
      <c r="B12" s="18"/>
      <c r="C12" s="19" t="s">
        <v>15</v>
      </c>
      <c r="D12" s="18"/>
      <c r="E12" s="18"/>
      <c r="F12" s="18"/>
      <c r="G12" s="18"/>
      <c r="H12" s="17" t="s">
        <v>12</v>
      </c>
    </row>
    <row r="13" spans="1:8" x14ac:dyDescent="0.2">
      <c r="A13" s="18"/>
      <c r="B13" s="18"/>
      <c r="C13" s="19" t="s">
        <v>11</v>
      </c>
      <c r="D13" s="18"/>
      <c r="E13" s="18" t="s">
        <v>12</v>
      </c>
      <c r="F13" s="20" t="s">
        <v>13</v>
      </c>
      <c r="G13" s="21">
        <v>0</v>
      </c>
      <c r="H13" s="17" t="s">
        <v>12</v>
      </c>
    </row>
    <row r="14" spans="1:8" x14ac:dyDescent="0.2">
      <c r="A14" s="18"/>
      <c r="B14" s="18"/>
      <c r="C14" s="22"/>
      <c r="D14" s="18"/>
      <c r="E14" s="18"/>
      <c r="F14" s="23"/>
      <c r="G14" s="23"/>
      <c r="H14" s="17" t="s">
        <v>12</v>
      </c>
    </row>
    <row r="15" spans="1:8" x14ac:dyDescent="0.2">
      <c r="A15" s="18"/>
      <c r="B15" s="18"/>
      <c r="C15" s="19" t="s">
        <v>16</v>
      </c>
      <c r="D15" s="18"/>
      <c r="E15" s="18"/>
      <c r="F15" s="18"/>
      <c r="G15" s="18"/>
      <c r="H15" s="17" t="s">
        <v>12</v>
      </c>
    </row>
    <row r="16" spans="1:8"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25">
        <v>1</v>
      </c>
      <c r="B28" s="26" t="s">
        <v>224</v>
      </c>
      <c r="C28" s="26" t="s">
        <v>225</v>
      </c>
      <c r="D28" s="26" t="s">
        <v>219</v>
      </c>
      <c r="E28" s="27">
        <v>200</v>
      </c>
      <c r="F28" s="28">
        <v>200.49019999999999</v>
      </c>
      <c r="G28" s="29">
        <v>4.6105670000000001E-2</v>
      </c>
      <c r="H28" s="17">
        <v>8.42</v>
      </c>
    </row>
    <row r="29" spans="1:8" x14ac:dyDescent="0.2">
      <c r="A29" s="25">
        <v>2</v>
      </c>
      <c r="B29" s="26" t="s">
        <v>214</v>
      </c>
      <c r="C29" s="26" t="s">
        <v>215</v>
      </c>
      <c r="D29" s="26" t="s">
        <v>216</v>
      </c>
      <c r="E29" s="27">
        <v>100</v>
      </c>
      <c r="F29" s="28">
        <v>100.5643</v>
      </c>
      <c r="G29" s="29">
        <v>2.3126239999999999E-2</v>
      </c>
      <c r="H29" s="17">
        <v>8.0046999999999997</v>
      </c>
    </row>
    <row r="30" spans="1:8" x14ac:dyDescent="0.2">
      <c r="A30" s="25">
        <v>3</v>
      </c>
      <c r="B30" s="26" t="s">
        <v>237</v>
      </c>
      <c r="C30" s="26" t="s">
        <v>238</v>
      </c>
      <c r="D30" s="26" t="s">
        <v>219</v>
      </c>
      <c r="E30" s="27">
        <v>100</v>
      </c>
      <c r="F30" s="28">
        <v>100.1056</v>
      </c>
      <c r="G30" s="29">
        <v>2.3020760000000001E-2</v>
      </c>
      <c r="H30" s="17">
        <v>8.2249999999999996</v>
      </c>
    </row>
    <row r="31" spans="1:8" ht="25.5" x14ac:dyDescent="0.2">
      <c r="A31" s="25">
        <v>4</v>
      </c>
      <c r="B31" s="26" t="s">
        <v>222</v>
      </c>
      <c r="C31" s="26" t="s">
        <v>223</v>
      </c>
      <c r="D31" s="26" t="s">
        <v>23</v>
      </c>
      <c r="E31" s="27">
        <v>10</v>
      </c>
      <c r="F31" s="28">
        <v>98.789400000000001</v>
      </c>
      <c r="G31" s="29">
        <v>2.2718080000000002E-2</v>
      </c>
      <c r="H31" s="17">
        <v>7.81</v>
      </c>
    </row>
    <row r="32" spans="1:8" x14ac:dyDescent="0.2">
      <c r="A32" s="18"/>
      <c r="B32" s="18"/>
      <c r="C32" s="19" t="s">
        <v>11</v>
      </c>
      <c r="D32" s="18"/>
      <c r="E32" s="18" t="s">
        <v>12</v>
      </c>
      <c r="F32" s="24">
        <v>499.9495</v>
      </c>
      <c r="G32" s="21">
        <v>0.11497075</v>
      </c>
      <c r="H32" s="17" t="s">
        <v>12</v>
      </c>
    </row>
    <row r="33" spans="1:8" x14ac:dyDescent="0.2">
      <c r="A33" s="18"/>
      <c r="B33" s="18"/>
      <c r="C33" s="22"/>
      <c r="D33" s="18"/>
      <c r="E33" s="18"/>
      <c r="F33" s="23"/>
      <c r="G33" s="23"/>
      <c r="H33" s="17" t="s">
        <v>12</v>
      </c>
    </row>
    <row r="34" spans="1:8" x14ac:dyDescent="0.2">
      <c r="A34" s="18"/>
      <c r="B34" s="18"/>
      <c r="C34" s="19" t="s">
        <v>71</v>
      </c>
      <c r="D34" s="18"/>
      <c r="E34" s="18"/>
      <c r="F34" s="18"/>
      <c r="G34" s="18"/>
      <c r="H34" s="17" t="s">
        <v>12</v>
      </c>
    </row>
    <row r="35" spans="1:8" x14ac:dyDescent="0.2">
      <c r="A35" s="18"/>
      <c r="B35" s="18"/>
      <c r="C35" s="19" t="s">
        <v>11</v>
      </c>
      <c r="D35" s="18"/>
      <c r="E35" s="18" t="s">
        <v>12</v>
      </c>
      <c r="F35" s="20" t="s">
        <v>13</v>
      </c>
      <c r="G35" s="21">
        <v>0</v>
      </c>
      <c r="H35" s="17" t="s">
        <v>12</v>
      </c>
    </row>
    <row r="36" spans="1:8" x14ac:dyDescent="0.2">
      <c r="A36" s="18"/>
      <c r="B36" s="18"/>
      <c r="C36" s="22"/>
      <c r="D36" s="18"/>
      <c r="E36" s="18"/>
      <c r="F36" s="23"/>
      <c r="G36" s="23"/>
      <c r="H36" s="17" t="s">
        <v>12</v>
      </c>
    </row>
    <row r="37" spans="1:8" x14ac:dyDescent="0.2">
      <c r="A37" s="18"/>
      <c r="B37" s="18"/>
      <c r="C37" s="19" t="s">
        <v>72</v>
      </c>
      <c r="D37" s="18"/>
      <c r="E37" s="18"/>
      <c r="F37" s="18"/>
      <c r="G37" s="18"/>
      <c r="H37" s="17" t="s">
        <v>12</v>
      </c>
    </row>
    <row r="38" spans="1:8" ht="25.5" x14ac:dyDescent="0.2">
      <c r="A38" s="25">
        <v>1</v>
      </c>
      <c r="B38" s="26" t="s">
        <v>73</v>
      </c>
      <c r="C38" s="26" t="s">
        <v>74</v>
      </c>
      <c r="D38" s="26" t="s">
        <v>75</v>
      </c>
      <c r="E38" s="27">
        <v>1500000</v>
      </c>
      <c r="F38" s="28">
        <v>1534.329</v>
      </c>
      <c r="G38" s="29">
        <v>0.35284155</v>
      </c>
      <c r="H38" s="17">
        <v>6.8727999999999998</v>
      </c>
    </row>
    <row r="39" spans="1:8" ht="25.5" x14ac:dyDescent="0.2">
      <c r="A39" s="25">
        <v>2</v>
      </c>
      <c r="B39" s="26" t="s">
        <v>453</v>
      </c>
      <c r="C39" s="26" t="s">
        <v>454</v>
      </c>
      <c r="D39" s="26" t="s">
        <v>75</v>
      </c>
      <c r="E39" s="27">
        <v>1000000</v>
      </c>
      <c r="F39" s="28">
        <v>986.42399999999998</v>
      </c>
      <c r="G39" s="29">
        <v>0.22684272999999999</v>
      </c>
      <c r="H39" s="17">
        <v>6.6759000000000004</v>
      </c>
    </row>
    <row r="40" spans="1:8" x14ac:dyDescent="0.2">
      <c r="A40" s="25">
        <v>3</v>
      </c>
      <c r="B40" s="26" t="s">
        <v>84</v>
      </c>
      <c r="C40" s="26" t="s">
        <v>85</v>
      </c>
      <c r="D40" s="26" t="s">
        <v>75</v>
      </c>
      <c r="E40" s="27">
        <v>500000</v>
      </c>
      <c r="F40" s="28">
        <v>511.43400000000003</v>
      </c>
      <c r="G40" s="29">
        <v>0.11761178</v>
      </c>
      <c r="H40" s="17">
        <v>6.7666000000000004</v>
      </c>
    </row>
    <row r="41" spans="1:8" ht="25.5" x14ac:dyDescent="0.2">
      <c r="A41" s="25">
        <v>4</v>
      </c>
      <c r="B41" s="26" t="s">
        <v>398</v>
      </c>
      <c r="C41" s="26" t="s">
        <v>399</v>
      </c>
      <c r="D41" s="26" t="s">
        <v>75</v>
      </c>
      <c r="E41" s="27">
        <v>230000</v>
      </c>
      <c r="F41" s="28">
        <v>235.29897</v>
      </c>
      <c r="G41" s="29">
        <v>5.4110459999999999E-2</v>
      </c>
      <c r="H41" s="17">
        <v>7.2161999999999997</v>
      </c>
    </row>
    <row r="42" spans="1:8" ht="25.5" x14ac:dyDescent="0.2">
      <c r="A42" s="25">
        <v>5</v>
      </c>
      <c r="B42" s="26" t="s">
        <v>250</v>
      </c>
      <c r="C42" s="26" t="s">
        <v>251</v>
      </c>
      <c r="D42" s="26" t="s">
        <v>75</v>
      </c>
      <c r="E42" s="27">
        <v>100000</v>
      </c>
      <c r="F42" s="28">
        <v>101.4059</v>
      </c>
      <c r="G42" s="29">
        <v>2.3319779999999998E-2</v>
      </c>
      <c r="H42" s="17">
        <v>6.7653999999999996</v>
      </c>
    </row>
    <row r="43" spans="1:8" x14ac:dyDescent="0.2">
      <c r="A43" s="18"/>
      <c r="B43" s="18"/>
      <c r="C43" s="19" t="s">
        <v>11</v>
      </c>
      <c r="D43" s="18"/>
      <c r="E43" s="18" t="s">
        <v>12</v>
      </c>
      <c r="F43" s="24">
        <v>3368.8918699999999</v>
      </c>
      <c r="G43" s="21">
        <v>0.77472629999999998</v>
      </c>
      <c r="H43" s="17" t="s">
        <v>12</v>
      </c>
    </row>
    <row r="44" spans="1:8" x14ac:dyDescent="0.2">
      <c r="A44" s="18"/>
      <c r="B44" s="18"/>
      <c r="C44" s="22"/>
      <c r="D44" s="18"/>
      <c r="E44" s="18"/>
      <c r="F44" s="23"/>
      <c r="G44" s="23"/>
      <c r="H44" s="17" t="s">
        <v>12</v>
      </c>
    </row>
    <row r="45" spans="1:8" x14ac:dyDescent="0.2">
      <c r="A45" s="18"/>
      <c r="B45" s="18"/>
      <c r="C45" s="19" t="s">
        <v>88</v>
      </c>
      <c r="D45" s="18"/>
      <c r="E45" s="18"/>
      <c r="F45" s="23"/>
      <c r="G45" s="23"/>
      <c r="H45" s="17" t="s">
        <v>12</v>
      </c>
    </row>
    <row r="46" spans="1:8" x14ac:dyDescent="0.2">
      <c r="A46" s="18"/>
      <c r="B46" s="18"/>
      <c r="C46" s="19" t="s">
        <v>11</v>
      </c>
      <c r="D46" s="18"/>
      <c r="E46" s="18" t="s">
        <v>12</v>
      </c>
      <c r="F46" s="20" t="s">
        <v>13</v>
      </c>
      <c r="G46" s="21">
        <v>0</v>
      </c>
      <c r="H46" s="17" t="s">
        <v>12</v>
      </c>
    </row>
    <row r="47" spans="1:8" x14ac:dyDescent="0.2">
      <c r="A47" s="18"/>
      <c r="B47" s="18"/>
      <c r="C47" s="22"/>
      <c r="D47" s="18"/>
      <c r="E47" s="18"/>
      <c r="F47" s="23"/>
      <c r="G47" s="23"/>
      <c r="H47" s="17" t="s">
        <v>12</v>
      </c>
    </row>
    <row r="48" spans="1:8" x14ac:dyDescent="0.2">
      <c r="A48" s="18"/>
      <c r="B48" s="18"/>
      <c r="C48" s="19" t="s">
        <v>89</v>
      </c>
      <c r="D48" s="18"/>
      <c r="E48" s="18"/>
      <c r="F48" s="24">
        <v>3868.8413700000001</v>
      </c>
      <c r="G48" s="21">
        <v>0.88969704999999999</v>
      </c>
      <c r="H48" s="17" t="s">
        <v>12</v>
      </c>
    </row>
    <row r="49" spans="1:8" x14ac:dyDescent="0.2">
      <c r="A49" s="18"/>
      <c r="B49" s="18"/>
      <c r="C49" s="22"/>
      <c r="D49" s="18"/>
      <c r="E49" s="18"/>
      <c r="F49" s="23"/>
      <c r="G49" s="23"/>
      <c r="H49" s="17" t="s">
        <v>12</v>
      </c>
    </row>
    <row r="50" spans="1:8" x14ac:dyDescent="0.2">
      <c r="A50" s="18"/>
      <c r="B50" s="18"/>
      <c r="C50" s="19" t="s">
        <v>90</v>
      </c>
      <c r="D50" s="18"/>
      <c r="E50" s="18"/>
      <c r="F50" s="23"/>
      <c r="G50" s="23"/>
      <c r="H50" s="17" t="s">
        <v>12</v>
      </c>
    </row>
    <row r="51" spans="1:8" x14ac:dyDescent="0.2">
      <c r="A51" s="18"/>
      <c r="B51" s="18"/>
      <c r="C51" s="19" t="s">
        <v>91</v>
      </c>
      <c r="D51" s="18"/>
      <c r="E51" s="18"/>
      <c r="F51" s="23"/>
      <c r="G51" s="23"/>
      <c r="H51" s="17" t="s">
        <v>12</v>
      </c>
    </row>
    <row r="52" spans="1:8" x14ac:dyDescent="0.2">
      <c r="A52" s="18"/>
      <c r="B52" s="18"/>
      <c r="C52" s="19" t="s">
        <v>11</v>
      </c>
      <c r="D52" s="18"/>
      <c r="E52" s="18" t="s">
        <v>12</v>
      </c>
      <c r="F52" s="20" t="s">
        <v>13</v>
      </c>
      <c r="G52" s="21">
        <v>0</v>
      </c>
      <c r="H52" s="17" t="s">
        <v>12</v>
      </c>
    </row>
    <row r="53" spans="1:8" x14ac:dyDescent="0.2">
      <c r="A53" s="18"/>
      <c r="B53" s="18"/>
      <c r="C53" s="22"/>
      <c r="D53" s="18"/>
      <c r="E53" s="18"/>
      <c r="F53" s="23"/>
      <c r="G53" s="23"/>
      <c r="H53" s="17" t="s">
        <v>12</v>
      </c>
    </row>
    <row r="54" spans="1:8" x14ac:dyDescent="0.2">
      <c r="A54" s="18"/>
      <c r="B54" s="18"/>
      <c r="C54" s="19" t="s">
        <v>92</v>
      </c>
      <c r="D54" s="18"/>
      <c r="E54" s="18"/>
      <c r="F54" s="23"/>
      <c r="G54" s="23"/>
      <c r="H54" s="17" t="s">
        <v>12</v>
      </c>
    </row>
    <row r="55" spans="1:8" x14ac:dyDescent="0.2">
      <c r="A55" s="18"/>
      <c r="B55" s="18"/>
      <c r="C55" s="19" t="s">
        <v>11</v>
      </c>
      <c r="D55" s="18"/>
      <c r="E55" s="18" t="s">
        <v>12</v>
      </c>
      <c r="F55" s="20" t="s">
        <v>13</v>
      </c>
      <c r="G55" s="21">
        <v>0</v>
      </c>
      <c r="H55" s="17" t="s">
        <v>12</v>
      </c>
    </row>
    <row r="56" spans="1:8" x14ac:dyDescent="0.2">
      <c r="A56" s="18"/>
      <c r="B56" s="18"/>
      <c r="C56" s="22"/>
      <c r="D56" s="18"/>
      <c r="E56" s="18"/>
      <c r="F56" s="23"/>
      <c r="G56" s="23"/>
      <c r="H56" s="17" t="s">
        <v>12</v>
      </c>
    </row>
    <row r="57" spans="1:8" x14ac:dyDescent="0.2">
      <c r="A57" s="18"/>
      <c r="B57" s="18"/>
      <c r="C57" s="19" t="s">
        <v>93</v>
      </c>
      <c r="D57" s="18"/>
      <c r="E57" s="18"/>
      <c r="F57" s="23"/>
      <c r="G57" s="23"/>
      <c r="H57" s="17" t="s">
        <v>12</v>
      </c>
    </row>
    <row r="58" spans="1:8" x14ac:dyDescent="0.2">
      <c r="A58" s="18"/>
      <c r="B58" s="18"/>
      <c r="C58" s="19" t="s">
        <v>11</v>
      </c>
      <c r="D58" s="18"/>
      <c r="E58" s="18" t="s">
        <v>12</v>
      </c>
      <c r="F58" s="20" t="s">
        <v>13</v>
      </c>
      <c r="G58" s="21">
        <v>0</v>
      </c>
      <c r="H58" s="17" t="s">
        <v>12</v>
      </c>
    </row>
    <row r="59" spans="1:8" x14ac:dyDescent="0.2">
      <c r="A59" s="18"/>
      <c r="B59" s="18"/>
      <c r="C59" s="22"/>
      <c r="D59" s="18"/>
      <c r="E59" s="18"/>
      <c r="F59" s="23"/>
      <c r="G59" s="23"/>
      <c r="H59" s="17" t="s">
        <v>12</v>
      </c>
    </row>
    <row r="60" spans="1:8" x14ac:dyDescent="0.2">
      <c r="A60" s="18"/>
      <c r="B60" s="18"/>
      <c r="C60" s="19" t="s">
        <v>94</v>
      </c>
      <c r="D60" s="18"/>
      <c r="E60" s="18"/>
      <c r="F60" s="23"/>
      <c r="G60" s="23"/>
      <c r="H60" s="17" t="s">
        <v>12</v>
      </c>
    </row>
    <row r="61" spans="1:8" x14ac:dyDescent="0.2">
      <c r="A61" s="25">
        <v>1</v>
      </c>
      <c r="B61" s="26"/>
      <c r="C61" s="26" t="s">
        <v>95</v>
      </c>
      <c r="D61" s="26"/>
      <c r="E61" s="30"/>
      <c r="F61" s="28">
        <v>375.06837359999997</v>
      </c>
      <c r="G61" s="29">
        <v>8.6252499999999996E-2</v>
      </c>
      <c r="H61" s="17">
        <v>6.33</v>
      </c>
    </row>
    <row r="62" spans="1:8" x14ac:dyDescent="0.2">
      <c r="A62" s="18"/>
      <c r="B62" s="18"/>
      <c r="C62" s="19" t="s">
        <v>11</v>
      </c>
      <c r="D62" s="18"/>
      <c r="E62" s="18" t="s">
        <v>12</v>
      </c>
      <c r="F62" s="24">
        <v>375.06837359999997</v>
      </c>
      <c r="G62" s="21">
        <v>8.6252499999999996E-2</v>
      </c>
      <c r="H62" s="17" t="s">
        <v>12</v>
      </c>
    </row>
    <row r="63" spans="1:8" x14ac:dyDescent="0.2">
      <c r="A63" s="18"/>
      <c r="B63" s="18"/>
      <c r="C63" s="22"/>
      <c r="D63" s="18"/>
      <c r="E63" s="18"/>
      <c r="F63" s="23"/>
      <c r="G63" s="23"/>
      <c r="H63" s="17" t="s">
        <v>12</v>
      </c>
    </row>
    <row r="64" spans="1:8" x14ac:dyDescent="0.2">
      <c r="A64" s="18"/>
      <c r="B64" s="18"/>
      <c r="C64" s="19" t="s">
        <v>96</v>
      </c>
      <c r="D64" s="18"/>
      <c r="E64" s="18"/>
      <c r="F64" s="24">
        <v>375.06837359999997</v>
      </c>
      <c r="G64" s="21">
        <v>8.6252499999999996E-2</v>
      </c>
      <c r="H64" s="17" t="s">
        <v>12</v>
      </c>
    </row>
    <row r="65" spans="1:17" x14ac:dyDescent="0.2">
      <c r="A65" s="18"/>
      <c r="B65" s="18"/>
      <c r="C65" s="23"/>
      <c r="D65" s="18"/>
      <c r="E65" s="18"/>
      <c r="F65" s="18"/>
      <c r="G65" s="18"/>
      <c r="H65" s="17" t="s">
        <v>12</v>
      </c>
    </row>
    <row r="66" spans="1:17" x14ac:dyDescent="0.2">
      <c r="A66" s="18"/>
      <c r="B66" s="18"/>
      <c r="C66" s="19" t="s">
        <v>97</v>
      </c>
      <c r="D66" s="18"/>
      <c r="E66" s="18"/>
      <c r="F66" s="18"/>
      <c r="G66" s="18"/>
      <c r="H66" s="17" t="s">
        <v>12</v>
      </c>
    </row>
    <row r="67" spans="1:17" x14ac:dyDescent="0.2">
      <c r="A67" s="18"/>
      <c r="B67" s="18"/>
      <c r="C67" s="19" t="s">
        <v>98</v>
      </c>
      <c r="D67" s="18"/>
      <c r="E67" s="18"/>
      <c r="F67" s="18"/>
      <c r="G67" s="18"/>
      <c r="H67" s="17" t="s">
        <v>12</v>
      </c>
    </row>
    <row r="68" spans="1:17" x14ac:dyDescent="0.2">
      <c r="A68" s="18"/>
      <c r="B68" s="18"/>
      <c r="C68" s="19" t="s">
        <v>11</v>
      </c>
      <c r="D68" s="18"/>
      <c r="E68" s="18" t="s">
        <v>12</v>
      </c>
      <c r="F68" s="20" t="s">
        <v>13</v>
      </c>
      <c r="G68" s="21">
        <v>0</v>
      </c>
      <c r="H68" s="17" t="s">
        <v>12</v>
      </c>
    </row>
    <row r="69" spans="1:17" x14ac:dyDescent="0.2">
      <c r="A69" s="70"/>
      <c r="B69" s="70"/>
      <c r="C69" s="71"/>
      <c r="D69" s="70"/>
      <c r="E69" s="70"/>
      <c r="F69" s="72"/>
      <c r="G69" s="72"/>
      <c r="H69" s="68" t="s">
        <v>12</v>
      </c>
    </row>
    <row r="70" spans="1:17" x14ac:dyDescent="0.2">
      <c r="A70" s="70"/>
      <c r="B70" s="70"/>
      <c r="C70" s="73" t="s">
        <v>538</v>
      </c>
      <c r="D70" s="70"/>
      <c r="E70" s="70"/>
      <c r="F70" s="72"/>
      <c r="G70" s="72"/>
      <c r="H70" s="66"/>
      <c r="K70" s="50"/>
      <c r="L70" s="50"/>
      <c r="M70" s="50"/>
      <c r="N70" s="50"/>
      <c r="O70" s="74"/>
      <c r="P70" s="74"/>
      <c r="Q70" s="74"/>
    </row>
    <row r="71" spans="1:17" ht="25.5" x14ac:dyDescent="0.2">
      <c r="A71" s="63">
        <v>1</v>
      </c>
      <c r="B71" s="64" t="s">
        <v>99</v>
      </c>
      <c r="C71" s="64" t="s">
        <v>100</v>
      </c>
      <c r="D71" s="64"/>
      <c r="E71" s="75">
        <v>112.994</v>
      </c>
      <c r="F71" s="66">
        <v>12.363039754000001</v>
      </c>
      <c r="G71" s="67">
        <v>2.8430600000000001E-3</v>
      </c>
      <c r="H71" s="68"/>
    </row>
    <row r="72" spans="1:17" x14ac:dyDescent="0.2">
      <c r="A72" s="70"/>
      <c r="B72" s="70"/>
      <c r="C72" s="73" t="s">
        <v>11</v>
      </c>
      <c r="D72" s="70"/>
      <c r="E72" s="70" t="s">
        <v>12</v>
      </c>
      <c r="F72" s="76">
        <f>SUM(F71)</f>
        <v>12.363039754000001</v>
      </c>
      <c r="G72" s="77">
        <f>SUM(G71)</f>
        <v>2.8430600000000001E-3</v>
      </c>
      <c r="H72" s="68" t="s">
        <v>12</v>
      </c>
    </row>
    <row r="73" spans="1:17" x14ac:dyDescent="0.2">
      <c r="A73" s="18"/>
      <c r="B73" s="18"/>
      <c r="C73" s="22"/>
      <c r="D73" s="18"/>
      <c r="E73" s="18"/>
      <c r="F73" s="23"/>
      <c r="G73" s="23"/>
      <c r="H73" s="17" t="s">
        <v>12</v>
      </c>
    </row>
    <row r="74" spans="1:17" x14ac:dyDescent="0.2">
      <c r="A74" s="18"/>
      <c r="B74" s="18"/>
      <c r="C74" s="19" t="s">
        <v>101</v>
      </c>
      <c r="D74" s="18"/>
      <c r="E74" s="18"/>
      <c r="F74" s="18"/>
      <c r="G74" s="18"/>
      <c r="H74" s="17" t="s">
        <v>12</v>
      </c>
    </row>
    <row r="75" spans="1:17" x14ac:dyDescent="0.2">
      <c r="A75" s="18"/>
      <c r="B75" s="18"/>
      <c r="C75" s="19" t="s">
        <v>102</v>
      </c>
      <c r="D75" s="18"/>
      <c r="E75" s="18"/>
      <c r="F75" s="18"/>
      <c r="G75" s="18"/>
      <c r="H75" s="17" t="s">
        <v>12</v>
      </c>
    </row>
    <row r="76" spans="1:17" x14ac:dyDescent="0.2">
      <c r="A76" s="18"/>
      <c r="B76" s="18"/>
      <c r="C76" s="19" t="s">
        <v>11</v>
      </c>
      <c r="D76" s="18"/>
      <c r="E76" s="18" t="s">
        <v>12</v>
      </c>
      <c r="F76" s="20" t="s">
        <v>13</v>
      </c>
      <c r="G76" s="21">
        <v>0</v>
      </c>
      <c r="H76" s="17" t="s">
        <v>12</v>
      </c>
    </row>
    <row r="77" spans="1:17" x14ac:dyDescent="0.2">
      <c r="A77" s="18"/>
      <c r="B77" s="18"/>
      <c r="C77" s="22"/>
      <c r="D77" s="18"/>
      <c r="E77" s="18"/>
      <c r="F77" s="23"/>
      <c r="G77" s="23"/>
      <c r="H77" s="17" t="s">
        <v>12</v>
      </c>
    </row>
    <row r="78" spans="1:17" x14ac:dyDescent="0.2">
      <c r="A78" s="18"/>
      <c r="B78" s="18"/>
      <c r="C78" s="19" t="s">
        <v>103</v>
      </c>
      <c r="D78" s="18"/>
      <c r="E78" s="18"/>
      <c r="F78" s="23"/>
      <c r="G78" s="23"/>
      <c r="H78" s="17" t="s">
        <v>12</v>
      </c>
    </row>
    <row r="79" spans="1:17" x14ac:dyDescent="0.2">
      <c r="A79" s="18"/>
      <c r="B79" s="18"/>
      <c r="C79" s="19" t="s">
        <v>11</v>
      </c>
      <c r="D79" s="18"/>
      <c r="E79" s="18" t="s">
        <v>12</v>
      </c>
      <c r="F79" s="20" t="s">
        <v>13</v>
      </c>
      <c r="G79" s="21">
        <v>0</v>
      </c>
      <c r="H79" s="17" t="s">
        <v>12</v>
      </c>
    </row>
    <row r="80" spans="1:17" x14ac:dyDescent="0.2">
      <c r="A80" s="18"/>
      <c r="B80" s="18"/>
      <c r="C80" s="22"/>
      <c r="D80" s="18"/>
      <c r="E80" s="18"/>
      <c r="F80" s="23"/>
      <c r="G80" s="23"/>
      <c r="H80" s="17" t="s">
        <v>12</v>
      </c>
    </row>
    <row r="81" spans="1:8" x14ac:dyDescent="0.2">
      <c r="A81" s="30"/>
      <c r="B81" s="26"/>
      <c r="C81" s="26" t="s">
        <v>104</v>
      </c>
      <c r="D81" s="26"/>
      <c r="E81" s="30"/>
      <c r="F81" s="28">
        <f>92.22015667+0.000553285999894142</f>
        <v>92.220709955999894</v>
      </c>
      <c r="G81" s="29">
        <v>2.1207380000000001E-2</v>
      </c>
      <c r="H81" s="17" t="s">
        <v>12</v>
      </c>
    </row>
    <row r="82" spans="1:8" x14ac:dyDescent="0.2">
      <c r="A82" s="22"/>
      <c r="B82" s="22"/>
      <c r="C82" s="19" t="s">
        <v>105</v>
      </c>
      <c r="D82" s="23"/>
      <c r="E82" s="23"/>
      <c r="F82" s="24">
        <v>4348.4934933099994</v>
      </c>
      <c r="G82" s="31">
        <v>0.99999998999999995</v>
      </c>
      <c r="H82" s="17" t="s">
        <v>12</v>
      </c>
    </row>
    <row r="83" spans="1:8" x14ac:dyDescent="0.2">
      <c r="A83" s="32"/>
      <c r="B83" s="32"/>
      <c r="C83" s="32"/>
      <c r="D83" s="33"/>
      <c r="E83" s="33"/>
      <c r="F83" s="33"/>
      <c r="G83" s="33"/>
    </row>
    <row r="84" spans="1:8" x14ac:dyDescent="0.2">
      <c r="A84" s="34"/>
      <c r="B84" s="151" t="s">
        <v>539</v>
      </c>
      <c r="C84" s="151"/>
      <c r="D84" s="151"/>
      <c r="E84" s="151"/>
      <c r="F84" s="151"/>
      <c r="G84" s="151"/>
      <c r="H84" s="151"/>
    </row>
    <row r="85" spans="1:8" x14ac:dyDescent="0.2">
      <c r="A85" s="34"/>
      <c r="B85" s="151" t="s">
        <v>540</v>
      </c>
      <c r="C85" s="151"/>
      <c r="D85" s="151"/>
      <c r="E85" s="151"/>
      <c r="F85" s="151"/>
      <c r="G85" s="151"/>
      <c r="H85" s="151"/>
    </row>
    <row r="86" spans="1:8" x14ac:dyDescent="0.2">
      <c r="A86" s="34"/>
      <c r="B86" s="151" t="s">
        <v>541</v>
      </c>
      <c r="C86" s="151"/>
      <c r="D86" s="151"/>
      <c r="E86" s="151"/>
      <c r="F86" s="151"/>
      <c r="G86" s="151"/>
      <c r="H86" s="151"/>
    </row>
    <row r="87" spans="1:8" x14ac:dyDescent="0.2">
      <c r="A87" s="36"/>
      <c r="B87" s="36"/>
      <c r="C87" s="36"/>
      <c r="D87" s="37"/>
      <c r="E87" s="37"/>
      <c r="F87" s="37"/>
      <c r="G87" s="37"/>
    </row>
    <row r="88" spans="1:8" x14ac:dyDescent="0.2">
      <c r="A88" s="36"/>
      <c r="B88" s="154" t="s">
        <v>106</v>
      </c>
      <c r="C88" s="155"/>
      <c r="D88" s="156"/>
      <c r="E88" s="38"/>
      <c r="F88" s="37"/>
      <c r="G88" s="37"/>
    </row>
    <row r="89" spans="1:8" ht="25.5" x14ac:dyDescent="0.2">
      <c r="A89" s="36"/>
      <c r="B89" s="157" t="s">
        <v>107</v>
      </c>
      <c r="C89" s="158"/>
      <c r="D89" s="73" t="s">
        <v>566</v>
      </c>
      <c r="E89" s="38"/>
      <c r="F89" s="37"/>
      <c r="G89" s="37"/>
    </row>
    <row r="90" spans="1:8" x14ac:dyDescent="0.2">
      <c r="A90" s="36"/>
      <c r="B90" s="157" t="s">
        <v>109</v>
      </c>
      <c r="C90" s="158"/>
      <c r="D90" s="19" t="s">
        <v>108</v>
      </c>
      <c r="E90" s="38"/>
      <c r="F90" s="37"/>
      <c r="G90" s="37"/>
    </row>
    <row r="91" spans="1:8" x14ac:dyDescent="0.2">
      <c r="A91" s="36"/>
      <c r="B91" s="157" t="s">
        <v>110</v>
      </c>
      <c r="C91" s="158"/>
      <c r="D91" s="23" t="s">
        <v>12</v>
      </c>
      <c r="E91" s="38"/>
      <c r="F91" s="37"/>
      <c r="G91" s="37"/>
    </row>
    <row r="92" spans="1:8" x14ac:dyDescent="0.2">
      <c r="A92" s="39"/>
      <c r="B92" s="40" t="s">
        <v>12</v>
      </c>
      <c r="C92" s="40" t="s">
        <v>542</v>
      </c>
      <c r="D92" s="40" t="s">
        <v>111</v>
      </c>
      <c r="E92" s="39"/>
      <c r="F92" s="39"/>
      <c r="G92" s="39"/>
    </row>
    <row r="93" spans="1:8" x14ac:dyDescent="0.2">
      <c r="A93" s="39"/>
      <c r="B93" s="41" t="s">
        <v>112</v>
      </c>
      <c r="C93" s="42">
        <v>45688</v>
      </c>
      <c r="D93" s="42">
        <v>45703</v>
      </c>
      <c r="E93" s="39"/>
      <c r="F93" s="39"/>
      <c r="G93" s="39"/>
    </row>
    <row r="94" spans="1:8" x14ac:dyDescent="0.2">
      <c r="A94" s="43"/>
      <c r="B94" s="26" t="s">
        <v>113</v>
      </c>
      <c r="C94" s="44">
        <v>74.415599999999998</v>
      </c>
      <c r="D94" s="44">
        <v>74.550799999999995</v>
      </c>
      <c r="E94" s="43"/>
      <c r="F94" s="45"/>
      <c r="G94" s="46"/>
    </row>
    <row r="95" spans="1:8" ht="25.5" x14ac:dyDescent="0.2">
      <c r="A95" s="43"/>
      <c r="B95" s="26" t="s">
        <v>664</v>
      </c>
      <c r="C95" s="44">
        <v>26.636299999999999</v>
      </c>
      <c r="D95" s="44">
        <v>26.684699999999999</v>
      </c>
      <c r="E95" s="43"/>
      <c r="F95" s="45"/>
      <c r="G95" s="46"/>
    </row>
    <row r="96" spans="1:8" ht="25.5" x14ac:dyDescent="0.2">
      <c r="A96" s="43"/>
      <c r="B96" s="26" t="s">
        <v>666</v>
      </c>
      <c r="C96" s="44">
        <v>15.0357</v>
      </c>
      <c r="D96" s="44">
        <v>15.063000000000001</v>
      </c>
      <c r="E96" s="43"/>
      <c r="F96" s="45"/>
      <c r="G96" s="46"/>
    </row>
    <row r="97" spans="1:14" x14ac:dyDescent="0.2">
      <c r="A97" s="43"/>
      <c r="B97" s="26" t="s">
        <v>114</v>
      </c>
      <c r="C97" s="44">
        <v>66.877399999999994</v>
      </c>
      <c r="D97" s="44">
        <v>66.976900000000001</v>
      </c>
      <c r="E97" s="43"/>
      <c r="F97" s="45"/>
      <c r="G97" s="46"/>
    </row>
    <row r="98" spans="1:14" x14ac:dyDescent="0.2">
      <c r="A98" s="43"/>
      <c r="B98" s="26" t="s">
        <v>139</v>
      </c>
      <c r="C98" s="44">
        <v>22.842300000000002</v>
      </c>
      <c r="D98" s="44">
        <v>22.876300000000001</v>
      </c>
      <c r="E98" s="43"/>
      <c r="F98" s="45"/>
      <c r="G98" s="46"/>
    </row>
    <row r="99" spans="1:14" ht="25.5" x14ac:dyDescent="0.2">
      <c r="A99" s="43"/>
      <c r="B99" s="26" t="s">
        <v>668</v>
      </c>
      <c r="C99" s="44">
        <v>13.178599999999999</v>
      </c>
      <c r="D99" s="44">
        <v>13.1982</v>
      </c>
      <c r="E99" s="43"/>
      <c r="F99" s="45"/>
      <c r="G99" s="46"/>
    </row>
    <row r="100" spans="1:14" ht="25.5" x14ac:dyDescent="0.2">
      <c r="A100" s="43"/>
      <c r="B100" s="26" t="s">
        <v>669</v>
      </c>
      <c r="C100" s="44">
        <v>13.5466</v>
      </c>
      <c r="D100" s="44">
        <v>13.566700000000001</v>
      </c>
      <c r="E100" s="43"/>
      <c r="F100" s="45"/>
      <c r="G100" s="46"/>
    </row>
    <row r="101" spans="1:14" ht="25.5" x14ac:dyDescent="0.2">
      <c r="A101" s="43"/>
      <c r="B101" s="26" t="s">
        <v>670</v>
      </c>
      <c r="C101" s="44">
        <v>13.287800000000001</v>
      </c>
      <c r="D101" s="44">
        <v>13.307600000000001</v>
      </c>
      <c r="E101" s="43"/>
      <c r="F101" s="45"/>
      <c r="G101" s="46"/>
    </row>
    <row r="102" spans="1:14" x14ac:dyDescent="0.2">
      <c r="A102" s="43"/>
      <c r="B102" s="43"/>
      <c r="C102" s="43"/>
      <c r="D102" s="43"/>
      <c r="E102" s="43"/>
      <c r="F102" s="43"/>
      <c r="G102" s="43"/>
    </row>
    <row r="103" spans="1:14" x14ac:dyDescent="0.2">
      <c r="A103" s="43"/>
      <c r="B103" s="157" t="s">
        <v>643</v>
      </c>
      <c r="C103" s="158"/>
      <c r="D103" s="73" t="s">
        <v>108</v>
      </c>
      <c r="E103" s="43"/>
      <c r="F103" s="43"/>
      <c r="G103" s="43"/>
    </row>
    <row r="104" spans="1:14" x14ac:dyDescent="0.2">
      <c r="A104" s="43"/>
      <c r="B104" s="48"/>
      <c r="C104" s="48"/>
      <c r="D104" s="48"/>
      <c r="E104" s="43"/>
      <c r="F104" s="43"/>
      <c r="G104" s="43"/>
    </row>
    <row r="105" spans="1:14" s="51" customFormat="1" ht="15" x14ac:dyDescent="0.25">
      <c r="A105" s="91"/>
      <c r="B105" s="159" t="s">
        <v>557</v>
      </c>
      <c r="C105" s="160"/>
      <c r="D105" s="73" t="s">
        <v>108</v>
      </c>
      <c r="E105" s="91"/>
      <c r="F105" s="35"/>
      <c r="G105" s="91"/>
      <c r="I105" s="92"/>
      <c r="J105" s="93"/>
      <c r="K105" s="93"/>
      <c r="L105" s="93"/>
      <c r="M105" s="93"/>
      <c r="N105"/>
    </row>
    <row r="106" spans="1:14" ht="26.25" customHeight="1" x14ac:dyDescent="0.25">
      <c r="A106" s="39"/>
      <c r="B106" s="159" t="s">
        <v>558</v>
      </c>
      <c r="C106" s="160"/>
      <c r="D106" s="73" t="s">
        <v>108</v>
      </c>
      <c r="E106" s="49"/>
      <c r="F106" s="39"/>
      <c r="G106" s="39"/>
      <c r="I106" s="94"/>
    </row>
    <row r="107" spans="1:14" ht="27.75" customHeight="1" x14ac:dyDescent="0.25">
      <c r="A107" s="39"/>
      <c r="B107" s="159" t="s">
        <v>559</v>
      </c>
      <c r="C107" s="160"/>
      <c r="D107" s="73" t="s">
        <v>108</v>
      </c>
      <c r="E107" s="49"/>
      <c r="F107" s="39"/>
      <c r="G107" s="39"/>
      <c r="I107" s="95"/>
    </row>
    <row r="108" spans="1:14" x14ac:dyDescent="0.2">
      <c r="A108" s="39"/>
      <c r="B108" s="159" t="s">
        <v>560</v>
      </c>
      <c r="C108" s="160"/>
      <c r="D108" s="73" t="s">
        <v>108</v>
      </c>
      <c r="E108" s="49"/>
      <c r="F108" s="39"/>
      <c r="G108" s="39"/>
    </row>
    <row r="109" spans="1:14" x14ac:dyDescent="0.2">
      <c r="A109" s="48"/>
      <c r="B109" s="48"/>
      <c r="C109" s="48"/>
      <c r="D109" s="48"/>
      <c r="E109" s="48"/>
      <c r="F109" s="48"/>
      <c r="G109" s="48"/>
    </row>
    <row r="110" spans="1:14" s="51" customFormat="1" ht="15" x14ac:dyDescent="0.25">
      <c r="B110" s="198" t="s">
        <v>658</v>
      </c>
      <c r="C110" s="199"/>
      <c r="D110" s="199"/>
      <c r="E110" s="199"/>
      <c r="F110" s="199"/>
      <c r="G110" s="200"/>
      <c r="I110"/>
      <c r="J110" s="93"/>
      <c r="K110" s="93"/>
      <c r="L110" s="93"/>
      <c r="M110" s="93"/>
      <c r="N110"/>
    </row>
    <row r="111" spans="1:14" s="51" customFormat="1" ht="45" customHeight="1" x14ac:dyDescent="0.25">
      <c r="B111" s="96" t="s">
        <v>575</v>
      </c>
      <c r="C111" s="96" t="s">
        <v>576</v>
      </c>
      <c r="D111" s="201" t="s">
        <v>570</v>
      </c>
      <c r="E111" s="202"/>
      <c r="F111" s="203" t="s">
        <v>571</v>
      </c>
      <c r="G111" s="203"/>
      <c r="H111" s="97"/>
      <c r="I111"/>
      <c r="J111" s="93"/>
      <c r="K111" s="93"/>
      <c r="L111" s="93"/>
      <c r="M111" s="93"/>
      <c r="N111"/>
    </row>
    <row r="112" spans="1:14" s="51" customFormat="1" ht="25.5" x14ac:dyDescent="0.25">
      <c r="B112" s="98" t="s">
        <v>632</v>
      </c>
      <c r="C112" s="99" t="s">
        <v>633</v>
      </c>
      <c r="D112" s="204">
        <v>0</v>
      </c>
      <c r="E112" s="205"/>
      <c r="F112" s="204">
        <v>0</v>
      </c>
      <c r="G112" s="205"/>
      <c r="H112" s="100"/>
      <c r="I112"/>
      <c r="J112" s="93"/>
      <c r="K112" s="93"/>
      <c r="L112" s="93"/>
      <c r="M112" s="93"/>
      <c r="N112"/>
    </row>
    <row r="113" spans="2:14" s="51" customFormat="1" ht="15" x14ac:dyDescent="0.25">
      <c r="B113" s="206" t="s">
        <v>634</v>
      </c>
      <c r="C113" s="207"/>
      <c r="D113" s="207"/>
      <c r="E113" s="207"/>
      <c r="F113" s="207"/>
      <c r="G113" s="208"/>
      <c r="H113" s="100"/>
      <c r="I113"/>
      <c r="J113" s="95"/>
      <c r="K113" s="95"/>
      <c r="L113" s="95"/>
      <c r="M113" s="93"/>
      <c r="N113"/>
    </row>
    <row r="114" spans="2:14" s="51" customFormat="1" ht="15" x14ac:dyDescent="0.25">
      <c r="B114" s="203" t="s">
        <v>575</v>
      </c>
      <c r="C114" s="203" t="s">
        <v>576</v>
      </c>
      <c r="D114" s="206" t="s">
        <v>584</v>
      </c>
      <c r="E114" s="207"/>
      <c r="F114" s="208"/>
      <c r="G114" s="98"/>
      <c r="H114" s="100"/>
      <c r="I114"/>
      <c r="J114" s="95"/>
      <c r="K114" s="95"/>
      <c r="L114" s="95"/>
      <c r="M114" s="93"/>
      <c r="N114"/>
    </row>
    <row r="115" spans="2:14" s="51" customFormat="1" ht="76.5" x14ac:dyDescent="0.25">
      <c r="B115" s="203"/>
      <c r="C115" s="203"/>
      <c r="D115" s="101" t="s">
        <v>588</v>
      </c>
      <c r="E115" s="101" t="s">
        <v>635</v>
      </c>
      <c r="F115" s="101" t="s">
        <v>591</v>
      </c>
      <c r="G115" s="101" t="s">
        <v>660</v>
      </c>
      <c r="H115" s="102"/>
      <c r="I115"/>
      <c r="J115" s="95"/>
      <c r="K115" s="95"/>
      <c r="L115" s="95"/>
      <c r="M115" s="93"/>
      <c r="N115"/>
    </row>
    <row r="116" spans="2:14" s="51" customFormat="1" ht="25.5" x14ac:dyDescent="0.2">
      <c r="B116" s="103" t="s">
        <v>632</v>
      </c>
      <c r="C116" s="99" t="s">
        <v>633</v>
      </c>
      <c r="D116" s="104">
        <v>200</v>
      </c>
      <c r="E116" s="104">
        <v>6.8852450999999997</v>
      </c>
      <c r="F116" s="104">
        <v>206.88524509999999</v>
      </c>
      <c r="G116" s="105">
        <f>F116/F82</f>
        <v>4.7576303245775921E-2</v>
      </c>
      <c r="H116" s="106"/>
      <c r="I116"/>
      <c r="J116"/>
      <c r="K116"/>
      <c r="L116"/>
      <c r="M116"/>
      <c r="N116"/>
    </row>
    <row r="117" spans="2:14" s="51" customFormat="1" ht="33" customHeight="1" x14ac:dyDescent="0.2">
      <c r="B117" s="209" t="s">
        <v>636</v>
      </c>
      <c r="C117" s="210"/>
      <c r="D117" s="210"/>
      <c r="E117" s="210"/>
      <c r="F117" s="210"/>
      <c r="G117" s="211"/>
      <c r="H117" s="107"/>
      <c r="I117"/>
      <c r="J117"/>
      <c r="K117"/>
      <c r="L117"/>
      <c r="M117"/>
      <c r="N117"/>
    </row>
    <row r="118" spans="2:14" s="51" customFormat="1" x14ac:dyDescent="0.2">
      <c r="H118" s="107"/>
      <c r="I118"/>
      <c r="J118"/>
      <c r="K118"/>
      <c r="L118"/>
      <c r="M118"/>
      <c r="N118"/>
    </row>
    <row r="119" spans="2:14" s="51" customFormat="1" x14ac:dyDescent="0.2">
      <c r="B119" s="161" t="s">
        <v>544</v>
      </c>
      <c r="C119" s="162"/>
      <c r="D119" s="163"/>
      <c r="I119"/>
      <c r="J119"/>
      <c r="K119"/>
      <c r="L119"/>
      <c r="M119"/>
      <c r="N119"/>
    </row>
    <row r="120" spans="2:14" s="51" customFormat="1" ht="51" x14ac:dyDescent="0.2">
      <c r="B120" s="152" t="s">
        <v>545</v>
      </c>
      <c r="C120" s="152"/>
      <c r="D120" s="53" t="s">
        <v>452</v>
      </c>
      <c r="I120"/>
      <c r="J120"/>
      <c r="K120"/>
      <c r="L120"/>
      <c r="M120"/>
      <c r="N120"/>
    </row>
    <row r="121" spans="2:14" s="51" customFormat="1" x14ac:dyDescent="0.2">
      <c r="B121" s="153" t="s">
        <v>546</v>
      </c>
      <c r="C121" s="153"/>
      <c r="D121" s="54"/>
      <c r="I121"/>
      <c r="J121"/>
      <c r="K121"/>
      <c r="L121"/>
      <c r="M121"/>
      <c r="N121"/>
    </row>
    <row r="122" spans="2:14" s="51" customFormat="1" x14ac:dyDescent="0.2">
      <c r="B122" s="153"/>
      <c r="C122" s="153"/>
      <c r="D122" s="55"/>
      <c r="I122"/>
      <c r="J122"/>
      <c r="K122"/>
      <c r="L122"/>
      <c r="M122"/>
      <c r="N122"/>
    </row>
    <row r="123" spans="2:14" s="51" customFormat="1" x14ac:dyDescent="0.2">
      <c r="B123" s="153" t="s">
        <v>547</v>
      </c>
      <c r="C123" s="153"/>
      <c r="D123" s="108">
        <v>6.9414298132148824</v>
      </c>
      <c r="I123"/>
      <c r="J123"/>
      <c r="K123"/>
      <c r="L123"/>
      <c r="M123"/>
      <c r="N123"/>
    </row>
    <row r="124" spans="2:14" s="51" customFormat="1" x14ac:dyDescent="0.2">
      <c r="B124" s="153"/>
      <c r="C124" s="153"/>
      <c r="D124" s="55"/>
      <c r="I124"/>
      <c r="J124"/>
      <c r="K124"/>
      <c r="L124"/>
      <c r="M124"/>
      <c r="N124"/>
    </row>
    <row r="125" spans="2:14" s="51" customFormat="1" x14ac:dyDescent="0.2">
      <c r="B125" s="153" t="s">
        <v>548</v>
      </c>
      <c r="C125" s="153"/>
      <c r="D125" s="108">
        <v>3.7910399918236513</v>
      </c>
      <c r="I125"/>
      <c r="J125"/>
      <c r="K125"/>
      <c r="L125"/>
      <c r="M125"/>
      <c r="N125"/>
    </row>
    <row r="126" spans="2:14" s="51" customFormat="1" x14ac:dyDescent="0.2">
      <c r="B126" s="153" t="s">
        <v>549</v>
      </c>
      <c r="C126" s="153"/>
      <c r="D126" s="108">
        <v>4.896771110512157</v>
      </c>
      <c r="I126"/>
      <c r="J126"/>
      <c r="K126"/>
      <c r="L126"/>
      <c r="M126"/>
      <c r="N126"/>
    </row>
    <row r="127" spans="2:14" s="51" customFormat="1" x14ac:dyDescent="0.2">
      <c r="B127" s="153"/>
      <c r="C127" s="153"/>
      <c r="D127" s="55"/>
      <c r="I127"/>
      <c r="J127"/>
      <c r="K127"/>
      <c r="L127"/>
      <c r="M127"/>
      <c r="N127"/>
    </row>
    <row r="128" spans="2:14" s="51" customFormat="1" ht="25.5" x14ac:dyDescent="0.2">
      <c r="B128" s="153" t="s">
        <v>550</v>
      </c>
      <c r="C128" s="153"/>
      <c r="D128" s="109" t="s">
        <v>657</v>
      </c>
      <c r="I128"/>
      <c r="J128" s="50"/>
      <c r="K128" s="50"/>
      <c r="L128" s="50"/>
      <c r="M128" s="50"/>
      <c r="N128" s="52"/>
    </row>
    <row r="129" spans="2:16" s="51" customFormat="1" x14ac:dyDescent="0.2">
      <c r="B129" s="165" t="s">
        <v>551</v>
      </c>
      <c r="C129" s="167"/>
      <c r="D129" s="166"/>
      <c r="I129"/>
      <c r="J129"/>
      <c r="K129"/>
      <c r="L129"/>
      <c r="M129"/>
      <c r="N129"/>
      <c r="O129"/>
      <c r="P129"/>
    </row>
    <row r="131" spans="2:16" x14ac:dyDescent="0.2">
      <c r="B131" s="60" t="s">
        <v>552</v>
      </c>
    </row>
    <row r="132" spans="2:16" ht="153.75" customHeight="1" x14ac:dyDescent="0.2"/>
    <row r="135" spans="2:16" x14ac:dyDescent="0.2">
      <c r="B135" s="61" t="s">
        <v>553</v>
      </c>
      <c r="C135" s="62"/>
      <c r="D135" s="61" t="s">
        <v>554</v>
      </c>
    </row>
    <row r="136" spans="2:16" x14ac:dyDescent="0.2">
      <c r="B136" s="61" t="s">
        <v>637</v>
      </c>
      <c r="D136" s="61" t="s">
        <v>638</v>
      </c>
    </row>
    <row r="137" spans="2:16" ht="165" customHeigh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sheetData>
  <mergeCells count="36">
    <mergeCell ref="B129:D129"/>
    <mergeCell ref="B124:C124"/>
    <mergeCell ref="B125:C125"/>
    <mergeCell ref="B126:C126"/>
    <mergeCell ref="B127:C127"/>
    <mergeCell ref="B128:C128"/>
    <mergeCell ref="B119:D119"/>
    <mergeCell ref="B120:C120"/>
    <mergeCell ref="B121:C121"/>
    <mergeCell ref="B122:C122"/>
    <mergeCell ref="B123:C123"/>
    <mergeCell ref="B113:G113"/>
    <mergeCell ref="B114:B115"/>
    <mergeCell ref="C114:C115"/>
    <mergeCell ref="D114:F114"/>
    <mergeCell ref="B117:G117"/>
    <mergeCell ref="B107:C107"/>
    <mergeCell ref="A1:H1"/>
    <mergeCell ref="A2:H2"/>
    <mergeCell ref="A3:H3"/>
    <mergeCell ref="B84:H84"/>
    <mergeCell ref="B85:H85"/>
    <mergeCell ref="B86:H86"/>
    <mergeCell ref="B105:C105"/>
    <mergeCell ref="B106:C106"/>
    <mergeCell ref="B88:D88"/>
    <mergeCell ref="B89:C89"/>
    <mergeCell ref="B90:C90"/>
    <mergeCell ref="B91:C91"/>
    <mergeCell ref="B103:C103"/>
    <mergeCell ref="B108:C108"/>
    <mergeCell ref="B110:G110"/>
    <mergeCell ref="D111:E111"/>
    <mergeCell ref="F111:G111"/>
    <mergeCell ref="D112:E112"/>
    <mergeCell ref="F112:G112"/>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CAF7-DAC0-45F1-AE8B-AA18573F6324}">
  <sheetPr>
    <outlinePr summaryBelow="0" summaryRight="0"/>
  </sheetPr>
  <dimension ref="A1:R192"/>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 bestFit="1" customWidth="1"/>
    <col min="5" max="5" width="8.7109375" bestFit="1" customWidth="1"/>
    <col min="6" max="6" width="10.140625" bestFit="1" customWidth="1"/>
    <col min="7" max="7" width="14" bestFit="1" customWidth="1"/>
    <col min="8" max="8" width="9.85546875" bestFit="1" customWidth="1"/>
  </cols>
  <sheetData>
    <row r="1" spans="1:10" ht="15" x14ac:dyDescent="0.2">
      <c r="A1" s="164" t="s">
        <v>0</v>
      </c>
      <c r="B1" s="164"/>
      <c r="C1" s="164"/>
      <c r="D1" s="164"/>
      <c r="E1" s="164"/>
      <c r="F1" s="164"/>
      <c r="G1" s="164"/>
      <c r="H1" s="164"/>
    </row>
    <row r="2" spans="1:10" ht="15" x14ac:dyDescent="0.2">
      <c r="A2" s="164" t="s">
        <v>455</v>
      </c>
      <c r="B2" s="164"/>
      <c r="C2" s="164"/>
      <c r="D2" s="164"/>
      <c r="E2" s="164"/>
      <c r="F2" s="164"/>
      <c r="G2" s="164"/>
      <c r="H2" s="164"/>
    </row>
    <row r="3" spans="1:10" ht="15" x14ac:dyDescent="0.2">
      <c r="A3" s="164" t="s">
        <v>537</v>
      </c>
      <c r="B3" s="164"/>
      <c r="C3" s="164"/>
      <c r="D3" s="164"/>
      <c r="E3" s="164"/>
      <c r="F3" s="164"/>
      <c r="G3" s="164"/>
      <c r="H3" s="164"/>
    </row>
    <row r="4" spans="1:10" s="14" customFormat="1" ht="30" x14ac:dyDescent="0.2">
      <c r="A4" s="12" t="s">
        <v>2</v>
      </c>
      <c r="B4" s="12" t="s">
        <v>3</v>
      </c>
      <c r="C4" s="12" t="s">
        <v>4</v>
      </c>
      <c r="D4" s="12" t="s">
        <v>5</v>
      </c>
      <c r="E4" s="12" t="s">
        <v>6</v>
      </c>
      <c r="F4" s="12" t="s">
        <v>7</v>
      </c>
      <c r="G4" s="12" t="s">
        <v>8</v>
      </c>
      <c r="H4" s="13" t="s">
        <v>536</v>
      </c>
    </row>
    <row r="5" spans="1:10" x14ac:dyDescent="0.2">
      <c r="A5" s="15"/>
      <c r="B5" s="15"/>
      <c r="C5" s="16" t="s">
        <v>9</v>
      </c>
      <c r="D5" s="15"/>
      <c r="E5" s="15"/>
      <c r="F5" s="15"/>
      <c r="G5" s="15"/>
      <c r="H5" s="17" t="s">
        <v>12</v>
      </c>
    </row>
    <row r="6" spans="1:10" x14ac:dyDescent="0.2">
      <c r="A6" s="18"/>
      <c r="B6" s="18"/>
      <c r="C6" s="19" t="s">
        <v>10</v>
      </c>
      <c r="D6" s="18"/>
      <c r="E6" s="18"/>
      <c r="F6" s="18"/>
      <c r="G6" s="18"/>
      <c r="H6" s="17" t="s">
        <v>12</v>
      </c>
    </row>
    <row r="7" spans="1:10" x14ac:dyDescent="0.2">
      <c r="A7" s="25">
        <v>1</v>
      </c>
      <c r="B7" s="26" t="s">
        <v>456</v>
      </c>
      <c r="C7" s="26" t="s">
        <v>457</v>
      </c>
      <c r="D7" s="26" t="s">
        <v>458</v>
      </c>
      <c r="E7" s="27">
        <v>4250</v>
      </c>
      <c r="F7" s="28">
        <v>72.031125000000003</v>
      </c>
      <c r="G7" s="29">
        <v>2.6712369999999999E-2</v>
      </c>
      <c r="H7" s="17" t="s">
        <v>12</v>
      </c>
    </row>
    <row r="8" spans="1:10" x14ac:dyDescent="0.2">
      <c r="A8" s="25">
        <v>2</v>
      </c>
      <c r="B8" s="26" t="s">
        <v>459</v>
      </c>
      <c r="C8" s="26" t="s">
        <v>460</v>
      </c>
      <c r="D8" s="26" t="s">
        <v>458</v>
      </c>
      <c r="E8" s="27">
        <v>4200</v>
      </c>
      <c r="F8" s="28">
        <v>52.924199999999999</v>
      </c>
      <c r="G8" s="29">
        <v>1.9626660000000001E-2</v>
      </c>
      <c r="H8" s="17" t="s">
        <v>12</v>
      </c>
    </row>
    <row r="9" spans="1:10" x14ac:dyDescent="0.2">
      <c r="A9" s="25">
        <v>3</v>
      </c>
      <c r="B9" s="26" t="s">
        <v>461</v>
      </c>
      <c r="C9" s="26" t="s">
        <v>462</v>
      </c>
      <c r="D9" s="26" t="s">
        <v>463</v>
      </c>
      <c r="E9" s="27">
        <v>2500</v>
      </c>
      <c r="F9" s="28">
        <v>42.926250000000003</v>
      </c>
      <c r="G9" s="29">
        <v>1.5918979999999999E-2</v>
      </c>
      <c r="H9" s="17" t="s">
        <v>12</v>
      </c>
    </row>
    <row r="10" spans="1:10" x14ac:dyDescent="0.2">
      <c r="A10" s="25">
        <v>4</v>
      </c>
      <c r="B10" s="26" t="s">
        <v>464</v>
      </c>
      <c r="C10" s="26" t="s">
        <v>465</v>
      </c>
      <c r="D10" s="26" t="s">
        <v>466</v>
      </c>
      <c r="E10" s="27">
        <v>3400</v>
      </c>
      <c r="F10" s="28">
        <v>41.386499999999998</v>
      </c>
      <c r="G10" s="29">
        <v>1.5347970000000001E-2</v>
      </c>
      <c r="H10" s="17" t="s">
        <v>12</v>
      </c>
    </row>
    <row r="11" spans="1:10" x14ac:dyDescent="0.2">
      <c r="A11" s="25">
        <v>5</v>
      </c>
      <c r="B11" s="26" t="s">
        <v>467</v>
      </c>
      <c r="C11" s="26" t="s">
        <v>468</v>
      </c>
      <c r="D11" s="26" t="s">
        <v>469</v>
      </c>
      <c r="E11" s="27">
        <v>1750</v>
      </c>
      <c r="F11" s="28">
        <v>32.487000000000002</v>
      </c>
      <c r="G11" s="29">
        <v>1.204763E-2</v>
      </c>
      <c r="H11" s="17" t="s">
        <v>12</v>
      </c>
    </row>
    <row r="12" spans="1:10" x14ac:dyDescent="0.2">
      <c r="A12" s="25">
        <v>6</v>
      </c>
      <c r="B12" s="26" t="s">
        <v>470</v>
      </c>
      <c r="C12" s="26" t="s">
        <v>471</v>
      </c>
      <c r="D12" s="26" t="s">
        <v>469</v>
      </c>
      <c r="E12" s="27">
        <v>1848</v>
      </c>
      <c r="F12" s="28">
        <v>31.623899999999999</v>
      </c>
      <c r="G12" s="29">
        <v>1.172756E-2</v>
      </c>
      <c r="H12" s="17" t="s">
        <v>12</v>
      </c>
    </row>
    <row r="13" spans="1:10" ht="25.5" x14ac:dyDescent="0.2">
      <c r="A13" s="63">
        <v>7</v>
      </c>
      <c r="B13" s="64" t="s">
        <v>639</v>
      </c>
      <c r="C13" s="64" t="s">
        <v>640</v>
      </c>
      <c r="D13" s="64" t="s">
        <v>641</v>
      </c>
      <c r="E13" s="65">
        <v>30000</v>
      </c>
      <c r="F13" s="66">
        <f>2425200/10^5</f>
        <v>24.251999999999999</v>
      </c>
      <c r="G13" s="67">
        <f>F13/F99</f>
        <v>8.9937269132952403E-3</v>
      </c>
      <c r="H13" s="68" t="s">
        <v>12</v>
      </c>
      <c r="J13" s="69"/>
    </row>
    <row r="14" spans="1:10" x14ac:dyDescent="0.2">
      <c r="A14" s="25">
        <v>8</v>
      </c>
      <c r="B14" s="26" t="s">
        <v>472</v>
      </c>
      <c r="C14" s="26" t="s">
        <v>473</v>
      </c>
      <c r="D14" s="26" t="s">
        <v>458</v>
      </c>
      <c r="E14" s="27">
        <v>2000</v>
      </c>
      <c r="F14" s="28">
        <v>19.95</v>
      </c>
      <c r="G14" s="29">
        <v>7.3983499999999997E-3</v>
      </c>
      <c r="H14" s="17" t="s">
        <v>12</v>
      </c>
    </row>
    <row r="15" spans="1:10" x14ac:dyDescent="0.2">
      <c r="A15" s="25">
        <v>9</v>
      </c>
      <c r="B15" s="26" t="s">
        <v>474</v>
      </c>
      <c r="C15" s="26" t="s">
        <v>475</v>
      </c>
      <c r="D15" s="26" t="s">
        <v>458</v>
      </c>
      <c r="E15" s="27">
        <v>2600</v>
      </c>
      <c r="F15" s="28">
        <v>18.7759</v>
      </c>
      <c r="G15" s="29">
        <v>6.9629399999999999E-3</v>
      </c>
      <c r="H15" s="17" t="s">
        <v>12</v>
      </c>
    </row>
    <row r="16" spans="1:10" x14ac:dyDescent="0.2">
      <c r="A16" s="25">
        <v>10</v>
      </c>
      <c r="B16" s="26" t="s">
        <v>476</v>
      </c>
      <c r="C16" s="26" t="s">
        <v>477</v>
      </c>
      <c r="D16" s="26" t="s">
        <v>478</v>
      </c>
      <c r="E16" s="27">
        <v>4000</v>
      </c>
      <c r="F16" s="28">
        <v>16.41</v>
      </c>
      <c r="G16" s="29">
        <v>6.0855600000000003E-3</v>
      </c>
      <c r="H16" s="17" t="s">
        <v>12</v>
      </c>
    </row>
    <row r="17" spans="1:8" ht="25.5" x14ac:dyDescent="0.2">
      <c r="A17" s="25">
        <v>11</v>
      </c>
      <c r="B17" s="26" t="s">
        <v>479</v>
      </c>
      <c r="C17" s="26" t="s">
        <v>480</v>
      </c>
      <c r="D17" s="26" t="s">
        <v>481</v>
      </c>
      <c r="E17" s="27">
        <v>125</v>
      </c>
      <c r="F17" s="28">
        <v>14.079812499999999</v>
      </c>
      <c r="G17" s="29">
        <v>5.22143E-3</v>
      </c>
      <c r="H17" s="17" t="s">
        <v>12</v>
      </c>
    </row>
    <row r="18" spans="1:8" x14ac:dyDescent="0.2">
      <c r="A18" s="25">
        <v>12</v>
      </c>
      <c r="B18" s="26" t="s">
        <v>482</v>
      </c>
      <c r="C18" s="26" t="s">
        <v>483</v>
      </c>
      <c r="D18" s="26" t="s">
        <v>484</v>
      </c>
      <c r="E18" s="27">
        <v>160</v>
      </c>
      <c r="F18" s="28">
        <v>13.6104</v>
      </c>
      <c r="G18" s="29">
        <v>5.0473499999999999E-3</v>
      </c>
      <c r="H18" s="17" t="s">
        <v>12</v>
      </c>
    </row>
    <row r="19" spans="1:8" x14ac:dyDescent="0.2">
      <c r="A19" s="25">
        <v>13</v>
      </c>
      <c r="B19" s="26" t="s">
        <v>485</v>
      </c>
      <c r="C19" s="26" t="s">
        <v>486</v>
      </c>
      <c r="D19" s="26" t="s">
        <v>487</v>
      </c>
      <c r="E19" s="27">
        <v>2000</v>
      </c>
      <c r="F19" s="28">
        <v>13.385999999999999</v>
      </c>
      <c r="G19" s="29">
        <v>4.9641299999999998E-3</v>
      </c>
      <c r="H19" s="17" t="s">
        <v>12</v>
      </c>
    </row>
    <row r="20" spans="1:8" x14ac:dyDescent="0.2">
      <c r="A20" s="25">
        <v>14</v>
      </c>
      <c r="B20" s="26" t="s">
        <v>488</v>
      </c>
      <c r="C20" s="26" t="s">
        <v>489</v>
      </c>
      <c r="D20" s="26" t="s">
        <v>458</v>
      </c>
      <c r="E20" s="27">
        <v>675</v>
      </c>
      <c r="F20" s="28">
        <v>13.178699999999999</v>
      </c>
      <c r="G20" s="29">
        <v>4.8872500000000001E-3</v>
      </c>
      <c r="H20" s="17" t="s">
        <v>12</v>
      </c>
    </row>
    <row r="21" spans="1:8" x14ac:dyDescent="0.2">
      <c r="A21" s="25">
        <v>15</v>
      </c>
      <c r="B21" s="26" t="s">
        <v>490</v>
      </c>
      <c r="C21" s="26" t="s">
        <v>491</v>
      </c>
      <c r="D21" s="26" t="s">
        <v>492</v>
      </c>
      <c r="E21" s="27">
        <v>400</v>
      </c>
      <c r="F21" s="28">
        <v>12.9506</v>
      </c>
      <c r="G21" s="29">
        <v>4.8026600000000003E-3</v>
      </c>
      <c r="H21" s="17" t="s">
        <v>12</v>
      </c>
    </row>
    <row r="22" spans="1:8" x14ac:dyDescent="0.2">
      <c r="A22" s="25">
        <v>16</v>
      </c>
      <c r="B22" s="26" t="s">
        <v>493</v>
      </c>
      <c r="C22" s="26" t="s">
        <v>494</v>
      </c>
      <c r="D22" s="26" t="s">
        <v>484</v>
      </c>
      <c r="E22" s="27">
        <v>100</v>
      </c>
      <c r="F22" s="28">
        <v>12.680249999999999</v>
      </c>
      <c r="G22" s="29">
        <v>4.7023999999999998E-3</v>
      </c>
      <c r="H22" s="17" t="s">
        <v>12</v>
      </c>
    </row>
    <row r="23" spans="1:8" ht="25.5" x14ac:dyDescent="0.2">
      <c r="A23" s="25">
        <v>17</v>
      </c>
      <c r="B23" s="26" t="s">
        <v>495</v>
      </c>
      <c r="C23" s="26" t="s">
        <v>496</v>
      </c>
      <c r="D23" s="26" t="s">
        <v>497</v>
      </c>
      <c r="E23" s="27">
        <v>2000</v>
      </c>
      <c r="F23" s="28">
        <v>12.675000000000001</v>
      </c>
      <c r="G23" s="29">
        <v>4.7004600000000001E-3</v>
      </c>
      <c r="H23" s="17" t="s">
        <v>12</v>
      </c>
    </row>
    <row r="24" spans="1:8" x14ac:dyDescent="0.2">
      <c r="A24" s="25">
        <v>18</v>
      </c>
      <c r="B24" s="26" t="s">
        <v>498</v>
      </c>
      <c r="C24" s="26" t="s">
        <v>499</v>
      </c>
      <c r="D24" s="26" t="s">
        <v>466</v>
      </c>
      <c r="E24" s="27">
        <v>5000</v>
      </c>
      <c r="F24" s="28">
        <v>12.55</v>
      </c>
      <c r="G24" s="29">
        <v>4.6541000000000004E-3</v>
      </c>
      <c r="H24" s="17" t="s">
        <v>12</v>
      </c>
    </row>
    <row r="25" spans="1:8" x14ac:dyDescent="0.2">
      <c r="A25" s="25">
        <v>19</v>
      </c>
      <c r="B25" s="26" t="s">
        <v>500</v>
      </c>
      <c r="C25" s="26" t="s">
        <v>501</v>
      </c>
      <c r="D25" s="26" t="s">
        <v>502</v>
      </c>
      <c r="E25" s="27">
        <v>900</v>
      </c>
      <c r="F25" s="28">
        <v>12.2796</v>
      </c>
      <c r="G25" s="29">
        <v>4.55383E-3</v>
      </c>
      <c r="H25" s="17" t="s">
        <v>12</v>
      </c>
    </row>
    <row r="26" spans="1:8" x14ac:dyDescent="0.2">
      <c r="A26" s="25">
        <v>20</v>
      </c>
      <c r="B26" s="26" t="s">
        <v>503</v>
      </c>
      <c r="C26" s="26" t="s">
        <v>504</v>
      </c>
      <c r="D26" s="26" t="s">
        <v>505</v>
      </c>
      <c r="E26" s="27">
        <v>2000</v>
      </c>
      <c r="F26" s="28">
        <v>11.648999999999999</v>
      </c>
      <c r="G26" s="29">
        <v>4.3199700000000002E-3</v>
      </c>
      <c r="H26" s="17" t="s">
        <v>12</v>
      </c>
    </row>
    <row r="27" spans="1:8" ht="25.5" x14ac:dyDescent="0.2">
      <c r="A27" s="25">
        <v>21</v>
      </c>
      <c r="B27" s="26" t="s">
        <v>506</v>
      </c>
      <c r="C27" s="26" t="s">
        <v>507</v>
      </c>
      <c r="D27" s="26" t="s">
        <v>508</v>
      </c>
      <c r="E27" s="27">
        <v>250</v>
      </c>
      <c r="F27" s="28">
        <v>11.62875</v>
      </c>
      <c r="G27" s="29">
        <v>4.3124599999999997E-3</v>
      </c>
      <c r="H27" s="17" t="s">
        <v>12</v>
      </c>
    </row>
    <row r="28" spans="1:8" ht="25.5" x14ac:dyDescent="0.2">
      <c r="A28" s="25">
        <v>22</v>
      </c>
      <c r="B28" s="26" t="s">
        <v>509</v>
      </c>
      <c r="C28" s="26" t="s">
        <v>510</v>
      </c>
      <c r="D28" s="26" t="s">
        <v>481</v>
      </c>
      <c r="E28" s="27">
        <v>450</v>
      </c>
      <c r="F28" s="28">
        <v>10.940849999999999</v>
      </c>
      <c r="G28" s="29">
        <v>4.0573600000000003E-3</v>
      </c>
      <c r="H28" s="17" t="s">
        <v>12</v>
      </c>
    </row>
    <row r="29" spans="1:8" ht="25.5" x14ac:dyDescent="0.2">
      <c r="A29" s="25">
        <v>23</v>
      </c>
      <c r="B29" s="26" t="s">
        <v>511</v>
      </c>
      <c r="C29" s="26" t="s">
        <v>512</v>
      </c>
      <c r="D29" s="26" t="s">
        <v>513</v>
      </c>
      <c r="E29" s="27">
        <v>320</v>
      </c>
      <c r="F29" s="28">
        <v>10.12096</v>
      </c>
      <c r="G29" s="29">
        <v>3.7533100000000002E-3</v>
      </c>
      <c r="H29" s="17" t="s">
        <v>12</v>
      </c>
    </row>
    <row r="30" spans="1:8" x14ac:dyDescent="0.2">
      <c r="A30" s="18"/>
      <c r="B30" s="18"/>
      <c r="C30" s="19" t="s">
        <v>11</v>
      </c>
      <c r="D30" s="18"/>
      <c r="E30" s="18" t="s">
        <v>12</v>
      </c>
      <c r="F30" s="24">
        <f>SUM(F7:F29)</f>
        <v>514.49679750000018</v>
      </c>
      <c r="G30" s="21">
        <f>SUM(G7:G29)</f>
        <v>0.19079845691329525</v>
      </c>
      <c r="H30" s="17" t="s">
        <v>12</v>
      </c>
    </row>
    <row r="31" spans="1:8" x14ac:dyDescent="0.2">
      <c r="A31" s="18"/>
      <c r="B31" s="18"/>
      <c r="C31" s="22"/>
      <c r="D31" s="18"/>
      <c r="E31" s="18"/>
      <c r="F31" s="23"/>
      <c r="G31" s="23"/>
      <c r="H31" s="17" t="s">
        <v>12</v>
      </c>
    </row>
    <row r="32" spans="1:8" x14ac:dyDescent="0.2">
      <c r="A32" s="18"/>
      <c r="B32" s="18"/>
      <c r="C32" s="19" t="s">
        <v>14</v>
      </c>
      <c r="D32" s="18"/>
      <c r="E32" s="18"/>
      <c r="F32" s="18"/>
      <c r="G32" s="18"/>
      <c r="H32" s="17" t="s">
        <v>12</v>
      </c>
    </row>
    <row r="33" spans="1:8" x14ac:dyDescent="0.2">
      <c r="A33" s="18"/>
      <c r="B33" s="18"/>
      <c r="C33" s="19" t="s">
        <v>11</v>
      </c>
      <c r="D33" s="18"/>
      <c r="E33" s="18" t="s">
        <v>12</v>
      </c>
      <c r="F33" s="20" t="s">
        <v>13</v>
      </c>
      <c r="G33" s="21">
        <v>0</v>
      </c>
      <c r="H33" s="17" t="s">
        <v>12</v>
      </c>
    </row>
    <row r="34" spans="1:8" x14ac:dyDescent="0.2">
      <c r="A34" s="18"/>
      <c r="B34" s="18"/>
      <c r="C34" s="22"/>
      <c r="D34" s="18"/>
      <c r="E34" s="18"/>
      <c r="F34" s="23"/>
      <c r="G34" s="23"/>
      <c r="H34" s="17" t="s">
        <v>12</v>
      </c>
    </row>
    <row r="35" spans="1:8" x14ac:dyDescent="0.2">
      <c r="A35" s="18"/>
      <c r="B35" s="18"/>
      <c r="C35" s="19" t="s">
        <v>15</v>
      </c>
      <c r="D35" s="18"/>
      <c r="E35" s="18"/>
      <c r="F35" s="18"/>
      <c r="G35" s="18"/>
      <c r="H35" s="17" t="s">
        <v>12</v>
      </c>
    </row>
    <row r="36" spans="1:8" x14ac:dyDescent="0.2">
      <c r="A36" s="18"/>
      <c r="B36" s="18"/>
      <c r="C36" s="19" t="s">
        <v>11</v>
      </c>
      <c r="D36" s="18"/>
      <c r="E36" s="18" t="s">
        <v>12</v>
      </c>
      <c r="F36" s="20" t="s">
        <v>13</v>
      </c>
      <c r="G36" s="21">
        <v>0</v>
      </c>
      <c r="H36" s="17" t="s">
        <v>12</v>
      </c>
    </row>
    <row r="37" spans="1:8" x14ac:dyDescent="0.2">
      <c r="A37" s="18"/>
      <c r="B37" s="18"/>
      <c r="C37" s="22"/>
      <c r="D37" s="18"/>
      <c r="E37" s="18"/>
      <c r="F37" s="23"/>
      <c r="G37" s="23"/>
      <c r="H37" s="17" t="s">
        <v>12</v>
      </c>
    </row>
    <row r="38" spans="1:8" x14ac:dyDescent="0.2">
      <c r="A38" s="18"/>
      <c r="B38" s="18"/>
      <c r="C38" s="19" t="s">
        <v>16</v>
      </c>
      <c r="D38" s="18"/>
      <c r="E38" s="18"/>
      <c r="F38" s="18"/>
      <c r="G38" s="18"/>
      <c r="H38" s="17" t="s">
        <v>12</v>
      </c>
    </row>
    <row r="39" spans="1:8" x14ac:dyDescent="0.2">
      <c r="A39" s="25">
        <v>1</v>
      </c>
      <c r="B39" s="26" t="s">
        <v>514</v>
      </c>
      <c r="C39" s="26" t="s">
        <v>642</v>
      </c>
      <c r="D39" s="26" t="s">
        <v>463</v>
      </c>
      <c r="E39" s="27">
        <v>218</v>
      </c>
      <c r="F39" s="28">
        <v>2.758899</v>
      </c>
      <c r="G39" s="29">
        <v>1.02312E-3</v>
      </c>
      <c r="H39" s="17" t="s">
        <v>12</v>
      </c>
    </row>
    <row r="40" spans="1:8" x14ac:dyDescent="0.2">
      <c r="A40" s="18"/>
      <c r="B40" s="18"/>
      <c r="C40" s="19" t="s">
        <v>11</v>
      </c>
      <c r="D40" s="18"/>
      <c r="E40" s="18" t="s">
        <v>12</v>
      </c>
      <c r="F40" s="24">
        <v>2.758899</v>
      </c>
      <c r="G40" s="21">
        <v>1.02312E-3</v>
      </c>
      <c r="H40" s="17" t="s">
        <v>12</v>
      </c>
    </row>
    <row r="41" spans="1:8" x14ac:dyDescent="0.2">
      <c r="A41" s="18"/>
      <c r="B41" s="18"/>
      <c r="C41" s="22"/>
      <c r="D41" s="18"/>
      <c r="E41" s="18"/>
      <c r="F41" s="23"/>
      <c r="G41" s="23"/>
      <c r="H41" s="17" t="s">
        <v>12</v>
      </c>
    </row>
    <row r="42" spans="1:8" x14ac:dyDescent="0.2">
      <c r="A42" s="18"/>
      <c r="B42" s="18"/>
      <c r="C42" s="19" t="s">
        <v>17</v>
      </c>
      <c r="D42" s="18"/>
      <c r="E42" s="18"/>
      <c r="F42" s="23"/>
      <c r="G42" s="23"/>
      <c r="H42" s="17" t="s">
        <v>12</v>
      </c>
    </row>
    <row r="43" spans="1:8" x14ac:dyDescent="0.2">
      <c r="A43" s="18"/>
      <c r="B43" s="18"/>
      <c r="C43" s="19" t="s">
        <v>11</v>
      </c>
      <c r="D43" s="18"/>
      <c r="E43" s="18" t="s">
        <v>12</v>
      </c>
      <c r="F43" s="20" t="s">
        <v>13</v>
      </c>
      <c r="G43" s="21">
        <v>0</v>
      </c>
      <c r="H43" s="17" t="s">
        <v>12</v>
      </c>
    </row>
    <row r="44" spans="1:8" x14ac:dyDescent="0.2">
      <c r="A44" s="18"/>
      <c r="B44" s="18"/>
      <c r="C44" s="22"/>
      <c r="D44" s="18"/>
      <c r="E44" s="18"/>
      <c r="F44" s="23"/>
      <c r="G44" s="23"/>
      <c r="H44" s="17" t="s">
        <v>12</v>
      </c>
    </row>
    <row r="45" spans="1:8" x14ac:dyDescent="0.2">
      <c r="A45" s="18"/>
      <c r="B45" s="18"/>
      <c r="C45" s="19" t="s">
        <v>18</v>
      </c>
      <c r="D45" s="18"/>
      <c r="E45" s="18"/>
      <c r="F45" s="23"/>
      <c r="G45" s="23"/>
      <c r="H45" s="17" t="s">
        <v>12</v>
      </c>
    </row>
    <row r="46" spans="1:8" x14ac:dyDescent="0.2">
      <c r="A46" s="18"/>
      <c r="B46" s="18"/>
      <c r="C46" s="19" t="s">
        <v>11</v>
      </c>
      <c r="D46" s="18"/>
      <c r="E46" s="18" t="s">
        <v>12</v>
      </c>
      <c r="F46" s="20" t="s">
        <v>13</v>
      </c>
      <c r="G46" s="21">
        <v>0</v>
      </c>
      <c r="H46" s="17" t="s">
        <v>12</v>
      </c>
    </row>
    <row r="47" spans="1:8" x14ac:dyDescent="0.2">
      <c r="A47" s="18"/>
      <c r="B47" s="18"/>
      <c r="C47" s="22"/>
      <c r="D47" s="18"/>
      <c r="E47" s="18"/>
      <c r="F47" s="23"/>
      <c r="G47" s="23"/>
      <c r="H47" s="17" t="s">
        <v>12</v>
      </c>
    </row>
    <row r="48" spans="1:8" x14ac:dyDescent="0.2">
      <c r="A48" s="18"/>
      <c r="B48" s="18"/>
      <c r="C48" s="19" t="s">
        <v>19</v>
      </c>
      <c r="D48" s="18"/>
      <c r="E48" s="18"/>
      <c r="F48" s="24">
        <f>F40+F30</f>
        <v>517.25569650000023</v>
      </c>
      <c r="G48" s="21">
        <f>G40+G30</f>
        <v>0.19182157691329524</v>
      </c>
      <c r="H48" s="17" t="s">
        <v>12</v>
      </c>
    </row>
    <row r="49" spans="1:8" x14ac:dyDescent="0.2">
      <c r="A49" s="18"/>
      <c r="B49" s="18"/>
      <c r="C49" s="22"/>
      <c r="D49" s="18"/>
      <c r="E49" s="18"/>
      <c r="F49" s="23"/>
      <c r="G49" s="23"/>
      <c r="H49" s="17" t="s">
        <v>12</v>
      </c>
    </row>
    <row r="50" spans="1:8" x14ac:dyDescent="0.2">
      <c r="A50" s="18"/>
      <c r="B50" s="18"/>
      <c r="C50" s="19" t="s">
        <v>20</v>
      </c>
      <c r="D50" s="18"/>
      <c r="E50" s="18"/>
      <c r="F50" s="23"/>
      <c r="G50" s="23"/>
      <c r="H50" s="17" t="s">
        <v>12</v>
      </c>
    </row>
    <row r="51" spans="1:8" x14ac:dyDescent="0.2">
      <c r="A51" s="18"/>
      <c r="B51" s="18"/>
      <c r="C51" s="19" t="s">
        <v>10</v>
      </c>
      <c r="D51" s="18"/>
      <c r="E51" s="18"/>
      <c r="F51" s="23"/>
      <c r="G51" s="23"/>
      <c r="H51" s="17" t="s">
        <v>12</v>
      </c>
    </row>
    <row r="52" spans="1:8" x14ac:dyDescent="0.2">
      <c r="A52" s="18"/>
      <c r="B52" s="18"/>
      <c r="C52" s="19" t="s">
        <v>11</v>
      </c>
      <c r="D52" s="18"/>
      <c r="E52" s="18" t="s">
        <v>12</v>
      </c>
      <c r="F52" s="20" t="s">
        <v>13</v>
      </c>
      <c r="G52" s="21">
        <v>0</v>
      </c>
      <c r="H52" s="17" t="s">
        <v>12</v>
      </c>
    </row>
    <row r="53" spans="1:8" x14ac:dyDescent="0.2">
      <c r="A53" s="18"/>
      <c r="B53" s="18"/>
      <c r="C53" s="22"/>
      <c r="D53" s="18"/>
      <c r="E53" s="18"/>
      <c r="F53" s="23"/>
      <c r="G53" s="23"/>
      <c r="H53" s="17" t="s">
        <v>12</v>
      </c>
    </row>
    <row r="54" spans="1:8" x14ac:dyDescent="0.2">
      <c r="A54" s="18"/>
      <c r="B54" s="18"/>
      <c r="C54" s="19" t="s">
        <v>71</v>
      </c>
      <c r="D54" s="18"/>
      <c r="E54" s="18"/>
      <c r="F54" s="18"/>
      <c r="G54" s="18"/>
      <c r="H54" s="17" t="s">
        <v>12</v>
      </c>
    </row>
    <row r="55" spans="1:8" x14ac:dyDescent="0.2">
      <c r="A55" s="18"/>
      <c r="B55" s="18"/>
      <c r="C55" s="19" t="s">
        <v>11</v>
      </c>
      <c r="D55" s="18"/>
      <c r="E55" s="18" t="s">
        <v>12</v>
      </c>
      <c r="F55" s="20" t="s">
        <v>13</v>
      </c>
      <c r="G55" s="21">
        <v>0</v>
      </c>
      <c r="H55" s="17" t="s">
        <v>12</v>
      </c>
    </row>
    <row r="56" spans="1:8" x14ac:dyDescent="0.2">
      <c r="A56" s="18"/>
      <c r="B56" s="18"/>
      <c r="C56" s="22"/>
      <c r="D56" s="18"/>
      <c r="E56" s="18"/>
      <c r="F56" s="23"/>
      <c r="G56" s="23"/>
      <c r="H56" s="17" t="s">
        <v>12</v>
      </c>
    </row>
    <row r="57" spans="1:8" x14ac:dyDescent="0.2">
      <c r="A57" s="18"/>
      <c r="B57" s="18"/>
      <c r="C57" s="19" t="s">
        <v>72</v>
      </c>
      <c r="D57" s="18"/>
      <c r="E57" s="18"/>
      <c r="F57" s="18"/>
      <c r="G57" s="18"/>
      <c r="H57" s="17" t="s">
        <v>12</v>
      </c>
    </row>
    <row r="58" spans="1:8" ht="25.5" x14ac:dyDescent="0.2">
      <c r="A58" s="25">
        <v>1</v>
      </c>
      <c r="B58" s="26" t="s">
        <v>73</v>
      </c>
      <c r="C58" s="26" t="s">
        <v>74</v>
      </c>
      <c r="D58" s="26" t="s">
        <v>75</v>
      </c>
      <c r="E58" s="27">
        <v>1100000</v>
      </c>
      <c r="F58" s="28">
        <v>1125.1746000000001</v>
      </c>
      <c r="G58" s="29">
        <v>0.4172651</v>
      </c>
      <c r="H58" s="17">
        <v>6.8727999999999998</v>
      </c>
    </row>
    <row r="59" spans="1:8" x14ac:dyDescent="0.2">
      <c r="A59" s="25">
        <v>2</v>
      </c>
      <c r="B59" s="26" t="s">
        <v>78</v>
      </c>
      <c r="C59" s="26" t="s">
        <v>79</v>
      </c>
      <c r="D59" s="26" t="s">
        <v>75</v>
      </c>
      <c r="E59" s="27">
        <v>500000</v>
      </c>
      <c r="F59" s="28">
        <v>515.5675</v>
      </c>
      <c r="G59" s="29">
        <v>0.19119549999999999</v>
      </c>
      <c r="H59" s="17">
        <v>7.1677</v>
      </c>
    </row>
    <row r="60" spans="1:8" x14ac:dyDescent="0.2">
      <c r="A60" s="18"/>
      <c r="B60" s="18"/>
      <c r="C60" s="19" t="s">
        <v>11</v>
      </c>
      <c r="D60" s="18"/>
      <c r="E60" s="18" t="s">
        <v>12</v>
      </c>
      <c r="F60" s="24">
        <v>1640.7420999999999</v>
      </c>
      <c r="G60" s="21">
        <v>0.60846060000000002</v>
      </c>
      <c r="H60" s="17" t="s">
        <v>12</v>
      </c>
    </row>
    <row r="61" spans="1:8" x14ac:dyDescent="0.2">
      <c r="A61" s="18"/>
      <c r="B61" s="18"/>
      <c r="C61" s="22"/>
      <c r="D61" s="18"/>
      <c r="E61" s="18"/>
      <c r="F61" s="23"/>
      <c r="G61" s="23"/>
      <c r="H61" s="17" t="s">
        <v>12</v>
      </c>
    </row>
    <row r="62" spans="1:8" x14ac:dyDescent="0.2">
      <c r="A62" s="18"/>
      <c r="B62" s="18"/>
      <c r="C62" s="19" t="s">
        <v>88</v>
      </c>
      <c r="D62" s="18"/>
      <c r="E62" s="18"/>
      <c r="F62" s="23"/>
      <c r="G62" s="23"/>
      <c r="H62" s="17" t="s">
        <v>12</v>
      </c>
    </row>
    <row r="63" spans="1:8" x14ac:dyDescent="0.2">
      <c r="A63" s="18"/>
      <c r="B63" s="18"/>
      <c r="C63" s="19" t="s">
        <v>11</v>
      </c>
      <c r="D63" s="18"/>
      <c r="E63" s="18" t="s">
        <v>12</v>
      </c>
      <c r="F63" s="20" t="s">
        <v>13</v>
      </c>
      <c r="G63" s="21">
        <v>0</v>
      </c>
      <c r="H63" s="17" t="s">
        <v>12</v>
      </c>
    </row>
    <row r="64" spans="1:8" x14ac:dyDescent="0.2">
      <c r="A64" s="18"/>
      <c r="B64" s="18"/>
      <c r="C64" s="22"/>
      <c r="D64" s="18"/>
      <c r="E64" s="18"/>
      <c r="F64" s="23"/>
      <c r="G64" s="23"/>
      <c r="H64" s="17" t="s">
        <v>12</v>
      </c>
    </row>
    <row r="65" spans="1:8" x14ac:dyDescent="0.2">
      <c r="A65" s="18"/>
      <c r="B65" s="18"/>
      <c r="C65" s="19" t="s">
        <v>89</v>
      </c>
      <c r="D65" s="18"/>
      <c r="E65" s="18"/>
      <c r="F65" s="24">
        <v>1640.7420999999999</v>
      </c>
      <c r="G65" s="21">
        <v>0.60846060000000002</v>
      </c>
      <c r="H65" s="17" t="s">
        <v>12</v>
      </c>
    </row>
    <row r="66" spans="1:8" x14ac:dyDescent="0.2">
      <c r="A66" s="18"/>
      <c r="B66" s="18"/>
      <c r="C66" s="22"/>
      <c r="D66" s="18"/>
      <c r="E66" s="18"/>
      <c r="F66" s="23"/>
      <c r="G66" s="23"/>
      <c r="H66" s="17" t="s">
        <v>12</v>
      </c>
    </row>
    <row r="67" spans="1:8" x14ac:dyDescent="0.2">
      <c r="A67" s="18"/>
      <c r="B67" s="18"/>
      <c r="C67" s="19" t="s">
        <v>90</v>
      </c>
      <c r="D67" s="18"/>
      <c r="E67" s="18"/>
      <c r="F67" s="23"/>
      <c r="G67" s="23"/>
      <c r="H67" s="17" t="s">
        <v>12</v>
      </c>
    </row>
    <row r="68" spans="1:8" x14ac:dyDescent="0.2">
      <c r="A68" s="18"/>
      <c r="B68" s="18"/>
      <c r="C68" s="19" t="s">
        <v>91</v>
      </c>
      <c r="D68" s="18"/>
      <c r="E68" s="18"/>
      <c r="F68" s="23"/>
      <c r="G68" s="23"/>
      <c r="H68" s="17" t="s">
        <v>12</v>
      </c>
    </row>
    <row r="69" spans="1:8" x14ac:dyDescent="0.2">
      <c r="A69" s="18"/>
      <c r="B69" s="18"/>
      <c r="C69" s="19" t="s">
        <v>11</v>
      </c>
      <c r="D69" s="18"/>
      <c r="E69" s="18" t="s">
        <v>12</v>
      </c>
      <c r="F69" s="20" t="s">
        <v>13</v>
      </c>
      <c r="G69" s="21">
        <v>0</v>
      </c>
      <c r="H69" s="17" t="s">
        <v>12</v>
      </c>
    </row>
    <row r="70" spans="1:8" x14ac:dyDescent="0.2">
      <c r="A70" s="18"/>
      <c r="B70" s="18"/>
      <c r="C70" s="22"/>
      <c r="D70" s="18"/>
      <c r="E70" s="18"/>
      <c r="F70" s="23"/>
      <c r="G70" s="23"/>
      <c r="H70" s="17" t="s">
        <v>12</v>
      </c>
    </row>
    <row r="71" spans="1:8" x14ac:dyDescent="0.2">
      <c r="A71" s="18"/>
      <c r="B71" s="18"/>
      <c r="C71" s="19" t="s">
        <v>92</v>
      </c>
      <c r="D71" s="18"/>
      <c r="E71" s="18"/>
      <c r="F71" s="23"/>
      <c r="G71" s="23"/>
      <c r="H71" s="17" t="s">
        <v>12</v>
      </c>
    </row>
    <row r="72" spans="1:8" x14ac:dyDescent="0.2">
      <c r="A72" s="18"/>
      <c r="B72" s="18"/>
      <c r="C72" s="19" t="s">
        <v>11</v>
      </c>
      <c r="D72" s="18"/>
      <c r="E72" s="18" t="s">
        <v>12</v>
      </c>
      <c r="F72" s="20" t="s">
        <v>13</v>
      </c>
      <c r="G72" s="21">
        <v>0</v>
      </c>
      <c r="H72" s="17" t="s">
        <v>12</v>
      </c>
    </row>
    <row r="73" spans="1:8" x14ac:dyDescent="0.2">
      <c r="A73" s="18"/>
      <c r="B73" s="18"/>
      <c r="C73" s="22"/>
      <c r="D73" s="18"/>
      <c r="E73" s="18"/>
      <c r="F73" s="23"/>
      <c r="G73" s="23"/>
      <c r="H73" s="17" t="s">
        <v>12</v>
      </c>
    </row>
    <row r="74" spans="1:8" x14ac:dyDescent="0.2">
      <c r="A74" s="18"/>
      <c r="B74" s="18"/>
      <c r="C74" s="19" t="s">
        <v>93</v>
      </c>
      <c r="D74" s="18"/>
      <c r="E74" s="18"/>
      <c r="F74" s="23"/>
      <c r="G74" s="23"/>
      <c r="H74" s="17" t="s">
        <v>12</v>
      </c>
    </row>
    <row r="75" spans="1:8" x14ac:dyDescent="0.2">
      <c r="A75" s="18"/>
      <c r="B75" s="18"/>
      <c r="C75" s="19" t="s">
        <v>11</v>
      </c>
      <c r="D75" s="18"/>
      <c r="E75" s="18" t="s">
        <v>12</v>
      </c>
      <c r="F75" s="20" t="s">
        <v>13</v>
      </c>
      <c r="G75" s="21">
        <v>0</v>
      </c>
      <c r="H75" s="17" t="s">
        <v>12</v>
      </c>
    </row>
    <row r="76" spans="1:8" x14ac:dyDescent="0.2">
      <c r="A76" s="18"/>
      <c r="B76" s="18"/>
      <c r="C76" s="22"/>
      <c r="D76" s="18"/>
      <c r="E76" s="18"/>
      <c r="F76" s="23"/>
      <c r="G76" s="23"/>
      <c r="H76" s="17" t="s">
        <v>12</v>
      </c>
    </row>
    <row r="77" spans="1:8" x14ac:dyDescent="0.2">
      <c r="A77" s="18"/>
      <c r="B77" s="18"/>
      <c r="C77" s="19" t="s">
        <v>94</v>
      </c>
      <c r="D77" s="18"/>
      <c r="E77" s="18"/>
      <c r="F77" s="23"/>
      <c r="G77" s="23"/>
      <c r="H77" s="17" t="s">
        <v>12</v>
      </c>
    </row>
    <row r="78" spans="1:8" x14ac:dyDescent="0.2">
      <c r="A78" s="25">
        <v>1</v>
      </c>
      <c r="B78" s="26"/>
      <c r="C78" s="26" t="s">
        <v>95</v>
      </c>
      <c r="D78" s="26"/>
      <c r="E78" s="30"/>
      <c r="F78" s="28">
        <v>479.33392179999998</v>
      </c>
      <c r="G78" s="29">
        <v>0.17775847</v>
      </c>
      <c r="H78" s="17">
        <v>6.33</v>
      </c>
    </row>
    <row r="79" spans="1:8" x14ac:dyDescent="0.2">
      <c r="A79" s="18"/>
      <c r="B79" s="18"/>
      <c r="C79" s="19" t="s">
        <v>11</v>
      </c>
      <c r="D79" s="18"/>
      <c r="E79" s="18" t="s">
        <v>12</v>
      </c>
      <c r="F79" s="24">
        <v>479.33392179999998</v>
      </c>
      <c r="G79" s="21">
        <v>0.17775847</v>
      </c>
      <c r="H79" s="17" t="s">
        <v>12</v>
      </c>
    </row>
    <row r="80" spans="1:8" x14ac:dyDescent="0.2">
      <c r="A80" s="18"/>
      <c r="B80" s="18"/>
      <c r="C80" s="22"/>
      <c r="D80" s="18"/>
      <c r="E80" s="18"/>
      <c r="F80" s="23"/>
      <c r="G80" s="23"/>
      <c r="H80" s="17" t="s">
        <v>12</v>
      </c>
    </row>
    <row r="81" spans="1:17" x14ac:dyDescent="0.2">
      <c r="A81" s="18"/>
      <c r="B81" s="18"/>
      <c r="C81" s="19" t="s">
        <v>96</v>
      </c>
      <c r="D81" s="18"/>
      <c r="E81" s="18"/>
      <c r="F81" s="24">
        <v>479.33392179999998</v>
      </c>
      <c r="G81" s="21">
        <v>0.17775847</v>
      </c>
      <c r="H81" s="17" t="s">
        <v>12</v>
      </c>
    </row>
    <row r="82" spans="1:17" x14ac:dyDescent="0.2">
      <c r="A82" s="18"/>
      <c r="B82" s="18"/>
      <c r="C82" s="23"/>
      <c r="D82" s="18"/>
      <c r="E82" s="18"/>
      <c r="F82" s="18"/>
      <c r="G82" s="18"/>
      <c r="H82" s="17" t="s">
        <v>12</v>
      </c>
    </row>
    <row r="83" spans="1:17" x14ac:dyDescent="0.2">
      <c r="A83" s="18"/>
      <c r="B83" s="18"/>
      <c r="C83" s="19" t="s">
        <v>97</v>
      </c>
      <c r="D83" s="18"/>
      <c r="E83" s="18"/>
      <c r="F83" s="18"/>
      <c r="G83" s="18"/>
      <c r="H83" s="17" t="s">
        <v>12</v>
      </c>
    </row>
    <row r="84" spans="1:17" x14ac:dyDescent="0.2">
      <c r="A84" s="18"/>
      <c r="B84" s="18"/>
      <c r="C84" s="19" t="s">
        <v>98</v>
      </c>
      <c r="D84" s="18"/>
      <c r="E84" s="18"/>
      <c r="F84" s="18"/>
      <c r="G84" s="18"/>
      <c r="H84" s="17" t="s">
        <v>12</v>
      </c>
    </row>
    <row r="85" spans="1:17" x14ac:dyDescent="0.2">
      <c r="A85" s="18"/>
      <c r="B85" s="18"/>
      <c r="C85" s="19" t="s">
        <v>11</v>
      </c>
      <c r="D85" s="18"/>
      <c r="E85" s="18" t="s">
        <v>12</v>
      </c>
      <c r="F85" s="20" t="s">
        <v>13</v>
      </c>
      <c r="G85" s="21">
        <v>0</v>
      </c>
      <c r="H85" s="17" t="s">
        <v>12</v>
      </c>
    </row>
    <row r="86" spans="1:17" x14ac:dyDescent="0.2">
      <c r="A86" s="70"/>
      <c r="B86" s="70"/>
      <c r="C86" s="71"/>
      <c r="D86" s="70"/>
      <c r="E86" s="70"/>
      <c r="F86" s="72"/>
      <c r="G86" s="72"/>
      <c r="H86" s="68" t="s">
        <v>12</v>
      </c>
    </row>
    <row r="87" spans="1:17" x14ac:dyDescent="0.2">
      <c r="A87" s="70"/>
      <c r="B87" s="70"/>
      <c r="C87" s="73" t="s">
        <v>538</v>
      </c>
      <c r="D87" s="70"/>
      <c r="E87" s="70"/>
      <c r="F87" s="72"/>
      <c r="G87" s="72"/>
      <c r="H87" s="66"/>
      <c r="K87" s="50"/>
      <c r="L87" s="50"/>
      <c r="M87" s="50"/>
      <c r="N87" s="50"/>
      <c r="O87" s="74"/>
      <c r="P87" s="74"/>
      <c r="Q87" s="74"/>
    </row>
    <row r="88" spans="1:17" ht="25.5" x14ac:dyDescent="0.2">
      <c r="A88" s="63">
        <v>1</v>
      </c>
      <c r="B88" s="64" t="s">
        <v>99</v>
      </c>
      <c r="C88" s="64" t="s">
        <v>100</v>
      </c>
      <c r="D88" s="64"/>
      <c r="E88" s="75">
        <v>76.796000000000006</v>
      </c>
      <c r="F88" s="66">
        <v>8.4024992560000005</v>
      </c>
      <c r="G88" s="67">
        <v>3.1160200000000002E-3</v>
      </c>
      <c r="H88" s="68"/>
    </row>
    <row r="89" spans="1:17" x14ac:dyDescent="0.2">
      <c r="A89" s="70"/>
      <c r="B89" s="70"/>
      <c r="C89" s="73" t="s">
        <v>11</v>
      </c>
      <c r="D89" s="70"/>
      <c r="E89" s="70" t="s">
        <v>12</v>
      </c>
      <c r="F89" s="76">
        <f>SUM(F88)</f>
        <v>8.4024992560000005</v>
      </c>
      <c r="G89" s="77">
        <f>SUM(G88)</f>
        <v>3.1160200000000002E-3</v>
      </c>
      <c r="H89" s="68" t="s">
        <v>12</v>
      </c>
    </row>
    <row r="90" spans="1:17" x14ac:dyDescent="0.2">
      <c r="A90" s="18"/>
      <c r="B90" s="18"/>
      <c r="C90" s="22"/>
      <c r="D90" s="18"/>
      <c r="E90" s="18"/>
      <c r="F90" s="23"/>
      <c r="G90" s="23"/>
      <c r="H90" s="17" t="s">
        <v>12</v>
      </c>
    </row>
    <row r="91" spans="1:17" x14ac:dyDescent="0.2">
      <c r="A91" s="18"/>
      <c r="B91" s="18"/>
      <c r="C91" s="19" t="s">
        <v>101</v>
      </c>
      <c r="D91" s="18"/>
      <c r="E91" s="18"/>
      <c r="F91" s="18"/>
      <c r="G91" s="18"/>
      <c r="H91" s="17" t="s">
        <v>12</v>
      </c>
    </row>
    <row r="92" spans="1:17" x14ac:dyDescent="0.2">
      <c r="A92" s="18"/>
      <c r="B92" s="18"/>
      <c r="C92" s="19" t="s">
        <v>102</v>
      </c>
      <c r="D92" s="18"/>
      <c r="E92" s="18"/>
      <c r="F92" s="18"/>
      <c r="G92" s="18"/>
      <c r="H92" s="17" t="s">
        <v>12</v>
      </c>
    </row>
    <row r="93" spans="1:17" x14ac:dyDescent="0.2">
      <c r="A93" s="18"/>
      <c r="B93" s="18"/>
      <c r="C93" s="19" t="s">
        <v>11</v>
      </c>
      <c r="D93" s="18"/>
      <c r="E93" s="18" t="s">
        <v>12</v>
      </c>
      <c r="F93" s="20" t="s">
        <v>13</v>
      </c>
      <c r="G93" s="21">
        <v>0</v>
      </c>
      <c r="H93" s="17" t="s">
        <v>12</v>
      </c>
    </row>
    <row r="94" spans="1:17" x14ac:dyDescent="0.2">
      <c r="A94" s="18"/>
      <c r="B94" s="18"/>
      <c r="C94" s="22"/>
      <c r="D94" s="18"/>
      <c r="E94" s="18"/>
      <c r="F94" s="23"/>
      <c r="G94" s="23"/>
      <c r="H94" s="17" t="s">
        <v>12</v>
      </c>
    </row>
    <row r="95" spans="1:17" x14ac:dyDescent="0.2">
      <c r="A95" s="18"/>
      <c r="B95" s="18"/>
      <c r="C95" s="19" t="s">
        <v>103</v>
      </c>
      <c r="D95" s="18"/>
      <c r="E95" s="18"/>
      <c r="F95" s="23"/>
      <c r="G95" s="23"/>
      <c r="H95" s="17" t="s">
        <v>12</v>
      </c>
    </row>
    <row r="96" spans="1:17" x14ac:dyDescent="0.2">
      <c r="A96" s="18"/>
      <c r="B96" s="18"/>
      <c r="C96" s="19" t="s">
        <v>11</v>
      </c>
      <c r="D96" s="18"/>
      <c r="E96" s="18" t="s">
        <v>12</v>
      </c>
      <c r="F96" s="20" t="s">
        <v>13</v>
      </c>
      <c r="G96" s="21">
        <v>0</v>
      </c>
      <c r="H96" s="17" t="s">
        <v>12</v>
      </c>
    </row>
    <row r="97" spans="1:8" x14ac:dyDescent="0.2">
      <c r="A97" s="18"/>
      <c r="B97" s="18"/>
      <c r="C97" s="22"/>
      <c r="D97" s="18"/>
      <c r="E97" s="18"/>
      <c r="F97" s="23"/>
      <c r="G97" s="23"/>
      <c r="H97" s="17" t="s">
        <v>12</v>
      </c>
    </row>
    <row r="98" spans="1:8" x14ac:dyDescent="0.2">
      <c r="A98" s="30"/>
      <c r="B98" s="26"/>
      <c r="C98" s="26" t="s">
        <v>104</v>
      </c>
      <c r="D98" s="26"/>
      <c r="E98" s="30"/>
      <c r="F98" s="28">
        <v>50.811967780000003</v>
      </c>
      <c r="G98" s="29">
        <v>1.8843349999999998E-2</v>
      </c>
      <c r="H98" s="17" t="s">
        <v>12</v>
      </c>
    </row>
    <row r="99" spans="1:8" x14ac:dyDescent="0.2">
      <c r="A99" s="22"/>
      <c r="B99" s="22"/>
      <c r="C99" s="19" t="s">
        <v>105</v>
      </c>
      <c r="D99" s="23"/>
      <c r="E99" s="23"/>
      <c r="F99" s="24">
        <f>F98+F89+F81+F65+F48</f>
        <v>2696.5461853360002</v>
      </c>
      <c r="G99" s="31">
        <f>G98+G89+G81+G65+G48</f>
        <v>1.0000000169132952</v>
      </c>
      <c r="H99" s="17" t="s">
        <v>12</v>
      </c>
    </row>
    <row r="100" spans="1:8" x14ac:dyDescent="0.2">
      <c r="A100" s="32"/>
      <c r="B100" s="32"/>
      <c r="C100" s="32"/>
      <c r="D100" s="33"/>
      <c r="E100" s="33"/>
      <c r="F100" s="33"/>
      <c r="G100" s="33"/>
    </row>
    <row r="101" spans="1:8" x14ac:dyDescent="0.2">
      <c r="A101" s="34"/>
      <c r="B101" s="151" t="s">
        <v>539</v>
      </c>
      <c r="C101" s="151"/>
      <c r="D101" s="151"/>
      <c r="E101" s="151"/>
      <c r="F101" s="151"/>
      <c r="G101" s="151"/>
      <c r="H101" s="151"/>
    </row>
    <row r="102" spans="1:8" x14ac:dyDescent="0.2">
      <c r="A102" s="34"/>
      <c r="B102" s="151" t="s">
        <v>540</v>
      </c>
      <c r="C102" s="151"/>
      <c r="D102" s="151"/>
      <c r="E102" s="151"/>
      <c r="F102" s="151"/>
      <c r="G102" s="151"/>
      <c r="H102" s="151"/>
    </row>
    <row r="103" spans="1:8" x14ac:dyDescent="0.2">
      <c r="A103" s="34"/>
      <c r="B103" s="151" t="s">
        <v>541</v>
      </c>
      <c r="C103" s="151"/>
      <c r="D103" s="151"/>
      <c r="E103" s="151"/>
      <c r="F103" s="151"/>
      <c r="G103" s="151"/>
      <c r="H103" s="151"/>
    </row>
    <row r="104" spans="1:8" x14ac:dyDescent="0.2">
      <c r="A104" s="36"/>
      <c r="B104" s="36"/>
      <c r="C104" s="36"/>
      <c r="D104" s="37"/>
      <c r="E104" s="37"/>
      <c r="F104" s="37"/>
      <c r="G104" s="37"/>
    </row>
    <row r="105" spans="1:8" x14ac:dyDescent="0.2">
      <c r="A105" s="36"/>
      <c r="B105" s="154" t="s">
        <v>106</v>
      </c>
      <c r="C105" s="155"/>
      <c r="D105" s="156"/>
      <c r="E105" s="38"/>
      <c r="F105" s="37"/>
      <c r="G105" s="37"/>
    </row>
    <row r="106" spans="1:8" ht="25.5" x14ac:dyDescent="0.2">
      <c r="A106" s="36"/>
      <c r="B106" s="157" t="s">
        <v>107</v>
      </c>
      <c r="C106" s="158"/>
      <c r="D106" s="73" t="s">
        <v>618</v>
      </c>
      <c r="E106" s="38"/>
      <c r="F106" s="37"/>
      <c r="G106" s="37"/>
    </row>
    <row r="107" spans="1:8" x14ac:dyDescent="0.2">
      <c r="A107" s="36"/>
      <c r="B107" s="157" t="s">
        <v>109</v>
      </c>
      <c r="C107" s="158"/>
      <c r="D107" s="19" t="s">
        <v>108</v>
      </c>
      <c r="E107" s="38"/>
      <c r="F107" s="37"/>
      <c r="G107" s="37"/>
    </row>
    <row r="108" spans="1:8" x14ac:dyDescent="0.2">
      <c r="A108" s="36"/>
      <c r="B108" s="157" t="s">
        <v>110</v>
      </c>
      <c r="C108" s="158"/>
      <c r="D108" s="23" t="s">
        <v>12</v>
      </c>
      <c r="E108" s="38"/>
      <c r="F108" s="37"/>
      <c r="G108" s="37"/>
    </row>
    <row r="109" spans="1:8" x14ac:dyDescent="0.2">
      <c r="A109" s="39"/>
      <c r="B109" s="40" t="s">
        <v>12</v>
      </c>
      <c r="C109" s="40" t="s">
        <v>542</v>
      </c>
      <c r="D109" s="40" t="s">
        <v>111</v>
      </c>
      <c r="E109" s="39"/>
      <c r="F109" s="39"/>
      <c r="G109" s="39"/>
    </row>
    <row r="110" spans="1:8" x14ac:dyDescent="0.2">
      <c r="A110" s="39"/>
      <c r="B110" s="41" t="s">
        <v>112</v>
      </c>
      <c r="C110" s="42">
        <v>45688</v>
      </c>
      <c r="D110" s="42">
        <v>45703</v>
      </c>
      <c r="E110" s="39"/>
      <c r="F110" s="39"/>
      <c r="G110" s="39"/>
    </row>
    <row r="111" spans="1:8" x14ac:dyDescent="0.2">
      <c r="A111" s="43"/>
      <c r="B111" s="26" t="s">
        <v>113</v>
      </c>
      <c r="C111" s="44">
        <v>31.452100000000002</v>
      </c>
      <c r="D111" s="44">
        <v>31.356999999999999</v>
      </c>
      <c r="E111" s="43"/>
      <c r="F111" s="45"/>
      <c r="G111" s="46"/>
    </row>
    <row r="112" spans="1:8" ht="25.5" x14ac:dyDescent="0.2">
      <c r="A112" s="43"/>
      <c r="B112" s="26" t="s">
        <v>663</v>
      </c>
      <c r="C112" s="44">
        <v>13.404999999999999</v>
      </c>
      <c r="D112" s="44">
        <v>13.3644</v>
      </c>
      <c r="E112" s="43"/>
      <c r="F112" s="45"/>
      <c r="G112" s="46"/>
    </row>
    <row r="113" spans="1:18" ht="25.5" x14ac:dyDescent="0.2">
      <c r="A113" s="43"/>
      <c r="B113" s="26" t="s">
        <v>664</v>
      </c>
      <c r="C113" s="44">
        <v>20.703600000000002</v>
      </c>
      <c r="D113" s="44">
        <v>20.640899999999998</v>
      </c>
      <c r="E113" s="43"/>
      <c r="F113" s="45"/>
      <c r="G113" s="46"/>
    </row>
    <row r="114" spans="1:18" ht="25.5" x14ac:dyDescent="0.2">
      <c r="A114" s="43"/>
      <c r="B114" s="26" t="s">
        <v>665</v>
      </c>
      <c r="C114" s="44">
        <v>20.611699999999999</v>
      </c>
      <c r="D114" s="44">
        <v>20.549299999999999</v>
      </c>
      <c r="E114" s="43"/>
      <c r="F114" s="45"/>
      <c r="G114" s="46"/>
    </row>
    <row r="115" spans="1:18" x14ac:dyDescent="0.2">
      <c r="A115" s="43"/>
      <c r="B115" s="26" t="s">
        <v>114</v>
      </c>
      <c r="C115" s="44">
        <v>28.636299999999999</v>
      </c>
      <c r="D115" s="44">
        <v>28.541699999999999</v>
      </c>
      <c r="E115" s="43"/>
      <c r="F115" s="45"/>
      <c r="G115" s="46"/>
    </row>
    <row r="116" spans="1:18" ht="25.5" x14ac:dyDescent="0.2">
      <c r="A116" s="43"/>
      <c r="B116" s="26" t="s">
        <v>667</v>
      </c>
      <c r="C116" s="44">
        <v>13.2887</v>
      </c>
      <c r="D116" s="44">
        <v>13.2448</v>
      </c>
      <c r="E116" s="43"/>
      <c r="F116" s="45"/>
      <c r="G116" s="46"/>
    </row>
    <row r="117" spans="1:18" ht="25.5" x14ac:dyDescent="0.2">
      <c r="A117" s="43"/>
      <c r="B117" s="26" t="s">
        <v>668</v>
      </c>
      <c r="C117" s="44">
        <v>18.739699999999999</v>
      </c>
      <c r="D117" s="44">
        <v>18.677800000000001</v>
      </c>
      <c r="E117" s="43"/>
      <c r="F117" s="45"/>
      <c r="G117" s="46"/>
    </row>
    <row r="118" spans="1:18" ht="25.5" x14ac:dyDescent="0.2">
      <c r="A118" s="43"/>
      <c r="B118" s="26" t="s">
        <v>669</v>
      </c>
      <c r="C118" s="44">
        <v>18.577400000000001</v>
      </c>
      <c r="D118" s="44">
        <v>18.515999999999998</v>
      </c>
      <c r="E118" s="43"/>
      <c r="F118" s="45"/>
      <c r="G118" s="46"/>
    </row>
    <row r="119" spans="1:18" x14ac:dyDescent="0.2">
      <c r="A119" s="43"/>
      <c r="B119" s="43"/>
      <c r="C119" s="43"/>
      <c r="D119" s="43"/>
      <c r="E119" s="43"/>
      <c r="F119" s="43"/>
      <c r="G119" s="43"/>
    </row>
    <row r="120" spans="1:18" x14ac:dyDescent="0.2">
      <c r="A120" s="43"/>
      <c r="B120" s="157" t="s">
        <v>643</v>
      </c>
      <c r="C120" s="212"/>
      <c r="D120" s="47" t="s">
        <v>108</v>
      </c>
      <c r="E120" s="43"/>
      <c r="F120" s="43"/>
      <c r="G120" s="43"/>
    </row>
    <row r="121" spans="1:18" x14ac:dyDescent="0.2">
      <c r="A121" s="43"/>
      <c r="B121" s="48"/>
      <c r="C121" s="48"/>
      <c r="D121" s="48"/>
      <c r="E121" s="43"/>
      <c r="F121" s="43"/>
      <c r="G121" s="43"/>
    </row>
    <row r="122" spans="1:18" ht="26.25" customHeight="1" x14ac:dyDescent="0.2">
      <c r="A122" s="39"/>
      <c r="B122" s="213" t="s">
        <v>115</v>
      </c>
      <c r="C122" s="214"/>
      <c r="D122" s="47" t="s">
        <v>108</v>
      </c>
      <c r="E122" s="49"/>
      <c r="F122" s="39"/>
      <c r="G122" s="39"/>
      <c r="J122" s="14"/>
    </row>
    <row r="123" spans="1:18" ht="27" customHeight="1" x14ac:dyDescent="0.2">
      <c r="A123" s="39"/>
      <c r="B123" s="213" t="s">
        <v>116</v>
      </c>
      <c r="C123" s="214"/>
      <c r="D123" s="47" t="s">
        <v>108</v>
      </c>
      <c r="E123" s="49"/>
      <c r="F123" s="39"/>
      <c r="G123" s="39"/>
      <c r="J123" s="14"/>
    </row>
    <row r="124" spans="1:18" x14ac:dyDescent="0.2">
      <c r="A124" s="39"/>
      <c r="B124" s="213" t="s">
        <v>543</v>
      </c>
      <c r="C124" s="214"/>
      <c r="D124" s="47" t="s">
        <v>108</v>
      </c>
      <c r="E124" s="49"/>
      <c r="F124" s="39"/>
      <c r="G124" s="39"/>
      <c r="J124" s="14"/>
    </row>
    <row r="125" spans="1:18" x14ac:dyDescent="0.2">
      <c r="A125" s="48"/>
      <c r="B125" s="48"/>
      <c r="C125" s="48"/>
      <c r="D125" s="48"/>
      <c r="E125" s="48"/>
      <c r="F125" s="48"/>
      <c r="G125" s="48"/>
      <c r="J125" s="14"/>
    </row>
    <row r="126" spans="1:18" s="51" customFormat="1" x14ac:dyDescent="0.2">
      <c r="B126" s="161" t="s">
        <v>544</v>
      </c>
      <c r="C126" s="194"/>
      <c r="D126" s="163"/>
      <c r="I126"/>
      <c r="J126" s="14"/>
      <c r="K126" s="50"/>
      <c r="L126" s="50"/>
      <c r="M126" s="50"/>
      <c r="N126" s="50"/>
      <c r="O126"/>
      <c r="R126"/>
    </row>
    <row r="127" spans="1:18" s="51" customFormat="1" ht="38.25" x14ac:dyDescent="0.2">
      <c r="B127" s="152" t="s">
        <v>545</v>
      </c>
      <c r="C127" s="152"/>
      <c r="D127" s="53" t="s">
        <v>455</v>
      </c>
      <c r="I127"/>
      <c r="J127" s="14"/>
      <c r="K127" s="50"/>
      <c r="L127" s="50"/>
      <c r="M127" s="50"/>
      <c r="N127" s="50"/>
      <c r="O127"/>
      <c r="R127"/>
    </row>
    <row r="128" spans="1:18" s="51" customFormat="1" x14ac:dyDescent="0.2">
      <c r="B128" s="153" t="s">
        <v>546</v>
      </c>
      <c r="C128" s="153"/>
      <c r="D128" s="54"/>
      <c r="I128"/>
      <c r="J128" s="14"/>
      <c r="K128" s="50"/>
      <c r="L128" s="50"/>
      <c r="M128" s="50"/>
      <c r="N128" s="50"/>
      <c r="O128"/>
      <c r="R128"/>
    </row>
    <row r="129" spans="2:16" s="51" customFormat="1" x14ac:dyDescent="0.2">
      <c r="B129" s="153"/>
      <c r="C129" s="153"/>
      <c r="D129" s="55"/>
      <c r="I129"/>
      <c r="J129" s="14"/>
      <c r="K129" s="50"/>
      <c r="L129" s="50"/>
      <c r="M129" s="50"/>
      <c r="N129" s="50"/>
      <c r="O129"/>
    </row>
    <row r="130" spans="2:16" s="51" customFormat="1" x14ac:dyDescent="0.2">
      <c r="B130" s="153" t="s">
        <v>547</v>
      </c>
      <c r="C130" s="153"/>
      <c r="D130" s="56">
        <v>6.8242073395712053</v>
      </c>
      <c r="I130"/>
      <c r="J130" s="14"/>
      <c r="K130" s="50"/>
      <c r="L130" s="50"/>
      <c r="M130" s="50"/>
      <c r="N130" s="50"/>
      <c r="O130"/>
    </row>
    <row r="131" spans="2:16" s="51" customFormat="1" x14ac:dyDescent="0.2">
      <c r="B131" s="153"/>
      <c r="C131" s="153"/>
      <c r="D131" s="55"/>
      <c r="I131"/>
      <c r="J131" s="14"/>
      <c r="K131" s="50"/>
      <c r="L131" s="50"/>
      <c r="M131" s="50"/>
      <c r="N131" s="50"/>
      <c r="O131"/>
    </row>
    <row r="132" spans="2:16" s="51" customFormat="1" x14ac:dyDescent="0.2">
      <c r="B132" s="153" t="s">
        <v>644</v>
      </c>
      <c r="C132" s="153"/>
      <c r="D132" s="56">
        <v>6.5636792491449425</v>
      </c>
      <c r="I132"/>
      <c r="J132" s="14"/>
      <c r="K132" s="50"/>
      <c r="L132" s="50"/>
      <c r="M132" s="50"/>
      <c r="N132" s="50"/>
      <c r="O132"/>
    </row>
    <row r="133" spans="2:16" s="51" customFormat="1" x14ac:dyDescent="0.2">
      <c r="B133" s="153" t="s">
        <v>645</v>
      </c>
      <c r="C133" s="153"/>
      <c r="D133" s="56">
        <v>11.670258674062268</v>
      </c>
      <c r="I133"/>
      <c r="J133" s="14"/>
      <c r="K133" s="50"/>
      <c r="L133" s="50"/>
      <c r="M133" s="50"/>
      <c r="N133" s="50"/>
      <c r="O133"/>
    </row>
    <row r="134" spans="2:16" s="51" customFormat="1" x14ac:dyDescent="0.2">
      <c r="B134" s="153"/>
      <c r="C134" s="153"/>
      <c r="D134" s="55"/>
      <c r="I134"/>
      <c r="J134" s="14"/>
      <c r="K134" s="50"/>
      <c r="L134" s="50"/>
      <c r="M134" s="50"/>
      <c r="N134" s="50"/>
      <c r="O134"/>
    </row>
    <row r="135" spans="2:16" s="51" customFormat="1" x14ac:dyDescent="0.2">
      <c r="B135" s="153" t="s">
        <v>550</v>
      </c>
      <c r="C135" s="153"/>
      <c r="D135" s="78" t="s">
        <v>657</v>
      </c>
      <c r="I135"/>
      <c r="J135" s="14"/>
      <c r="K135" s="50"/>
      <c r="L135" s="50"/>
      <c r="M135" s="50"/>
      <c r="N135" s="50"/>
      <c r="O135"/>
    </row>
    <row r="136" spans="2:16" s="51" customFormat="1" x14ac:dyDescent="0.2">
      <c r="B136" s="165" t="s">
        <v>551</v>
      </c>
      <c r="C136" s="215"/>
      <c r="D136" s="166"/>
      <c r="I136"/>
      <c r="J136" s="14"/>
      <c r="K136" s="50"/>
      <c r="L136" s="50"/>
      <c r="M136" s="50"/>
      <c r="N136" s="50"/>
      <c r="O136"/>
    </row>
    <row r="137" spans="2:16" x14ac:dyDescent="0.2">
      <c r="J137" s="14"/>
    </row>
    <row r="138" spans="2:16" ht="13.5" x14ac:dyDescent="0.2">
      <c r="B138" s="216" t="s">
        <v>661</v>
      </c>
      <c r="C138" s="216"/>
      <c r="D138" s="216"/>
      <c r="E138" s="216"/>
      <c r="F138" s="216"/>
      <c r="G138" s="216"/>
      <c r="H138" s="216"/>
      <c r="I138" s="50"/>
      <c r="J138" s="14"/>
      <c r="K138" s="50"/>
      <c r="L138" s="50"/>
      <c r="M138" s="50"/>
      <c r="N138" s="50"/>
      <c r="O138" s="50"/>
      <c r="P138" s="50"/>
    </row>
    <row r="139" spans="2:16" s="52" customFormat="1" ht="26.25" customHeight="1" x14ac:dyDescent="0.2">
      <c r="B139" s="79" t="s">
        <v>575</v>
      </c>
      <c r="C139" s="79" t="s">
        <v>576</v>
      </c>
      <c r="D139" s="179" t="s">
        <v>646</v>
      </c>
      <c r="E139" s="179"/>
      <c r="F139" s="179"/>
      <c r="G139" s="178" t="s">
        <v>571</v>
      </c>
      <c r="H139" s="178"/>
      <c r="J139" s="14"/>
      <c r="K139" s="81"/>
      <c r="L139" s="81"/>
      <c r="M139" s="81"/>
      <c r="N139" s="81"/>
      <c r="O139" s="81"/>
      <c r="P139" s="81"/>
    </row>
    <row r="140" spans="2:16" ht="27" x14ac:dyDescent="0.25">
      <c r="B140" s="82" t="s">
        <v>606</v>
      </c>
      <c r="C140" s="83" t="s">
        <v>647</v>
      </c>
      <c r="D140" s="174">
        <v>0</v>
      </c>
      <c r="E140" s="174"/>
      <c r="F140" s="174"/>
      <c r="G140" s="174">
        <v>0</v>
      </c>
      <c r="H140" s="174"/>
      <c r="J140" s="14"/>
      <c r="K140" s="50"/>
      <c r="L140" s="50"/>
      <c r="M140" s="50"/>
      <c r="N140" s="50"/>
      <c r="O140" s="50"/>
      <c r="P140" s="50"/>
    </row>
    <row r="141" spans="2:16" ht="13.5" x14ac:dyDescent="0.25">
      <c r="B141" s="84"/>
      <c r="C141" s="84"/>
      <c r="D141" s="175"/>
      <c r="E141" s="175"/>
      <c r="F141" s="175"/>
      <c r="G141" s="175"/>
      <c r="H141" s="175"/>
      <c r="J141" s="14"/>
      <c r="K141" s="50"/>
      <c r="L141" s="50"/>
      <c r="M141" s="50"/>
      <c r="N141" s="50"/>
      <c r="O141" s="50"/>
      <c r="P141" s="50"/>
    </row>
    <row r="142" spans="2:16" ht="13.5" x14ac:dyDescent="0.25">
      <c r="B142" s="173" t="s">
        <v>583</v>
      </c>
      <c r="C142" s="173"/>
      <c r="D142" s="173"/>
      <c r="E142" s="173"/>
      <c r="F142" s="173"/>
      <c r="G142" s="173"/>
      <c r="H142" s="173"/>
      <c r="J142" s="14"/>
      <c r="K142" s="50"/>
      <c r="L142" s="50"/>
      <c r="M142" s="50"/>
      <c r="N142" s="50"/>
      <c r="O142" s="50"/>
      <c r="P142" s="50"/>
    </row>
    <row r="143" spans="2:16" ht="13.5" customHeight="1" x14ac:dyDescent="0.2">
      <c r="B143" s="178" t="s">
        <v>575</v>
      </c>
      <c r="C143" s="178" t="s">
        <v>576</v>
      </c>
      <c r="D143" s="178" t="s">
        <v>584</v>
      </c>
      <c r="E143" s="178"/>
      <c r="F143" s="178"/>
      <c r="G143" s="178"/>
      <c r="H143" s="179" t="s">
        <v>648</v>
      </c>
      <c r="I143" s="179" t="s">
        <v>649</v>
      </c>
      <c r="J143" s="179" t="s">
        <v>587</v>
      </c>
      <c r="K143" s="50"/>
      <c r="L143" s="50"/>
      <c r="M143" s="50"/>
      <c r="N143" s="50"/>
      <c r="O143" s="50"/>
      <c r="P143" s="50"/>
    </row>
    <row r="144" spans="2:16" ht="121.5" x14ac:dyDescent="0.2">
      <c r="B144" s="178"/>
      <c r="C144" s="178"/>
      <c r="D144" s="80" t="s">
        <v>588</v>
      </c>
      <c r="E144" s="80" t="s">
        <v>589</v>
      </c>
      <c r="F144" s="80" t="s">
        <v>590</v>
      </c>
      <c r="G144" s="80" t="s">
        <v>591</v>
      </c>
      <c r="H144" s="179"/>
      <c r="I144" s="179"/>
      <c r="J144" s="179"/>
      <c r="K144" s="50"/>
      <c r="L144" s="50"/>
      <c r="M144" s="50"/>
      <c r="N144" s="50"/>
      <c r="O144" s="50"/>
    </row>
    <row r="145" spans="2:16" ht="27" x14ac:dyDescent="0.25">
      <c r="B145" s="84" t="s">
        <v>606</v>
      </c>
      <c r="C145" s="83" t="s">
        <v>650</v>
      </c>
      <c r="D145" s="86">
        <v>500</v>
      </c>
      <c r="E145" s="86">
        <v>9.9405737999999992</v>
      </c>
      <c r="F145" s="87">
        <v>16.00737140547945</v>
      </c>
      <c r="G145" s="86">
        <v>525.94794520547941</v>
      </c>
      <c r="H145" s="9">
        <v>233.40679</v>
      </c>
      <c r="I145" s="9">
        <v>4.01</v>
      </c>
      <c r="J145" s="88">
        <f>H145+I145</f>
        <v>237.41678999999999</v>
      </c>
      <c r="K145" s="50"/>
      <c r="L145" s="50"/>
      <c r="M145" s="50"/>
      <c r="N145" s="50"/>
      <c r="O145" s="50"/>
      <c r="P145" s="50"/>
    </row>
    <row r="146" spans="2:16" x14ac:dyDescent="0.2">
      <c r="J146" s="14"/>
      <c r="P146" s="50"/>
    </row>
    <row r="147" spans="2:16" x14ac:dyDescent="0.2">
      <c r="J147" s="14"/>
      <c r="K147" s="50"/>
      <c r="L147" s="50"/>
      <c r="M147" s="50"/>
      <c r="N147" s="50"/>
      <c r="O147" s="50"/>
      <c r="P147" s="50"/>
    </row>
    <row r="148" spans="2:16" ht="13.5" x14ac:dyDescent="0.25">
      <c r="B148" s="89" t="s">
        <v>592</v>
      </c>
      <c r="J148" s="14"/>
      <c r="K148" s="50"/>
      <c r="L148" s="50"/>
      <c r="M148" s="50"/>
      <c r="N148" s="50"/>
      <c r="O148" s="50"/>
      <c r="P148" s="50"/>
    </row>
    <row r="149" spans="2:16" x14ac:dyDescent="0.2">
      <c r="B149" s="50"/>
      <c r="C149" s="50"/>
      <c r="D149" s="50"/>
      <c r="E149" s="50"/>
      <c r="F149" s="50"/>
      <c r="G149" s="50"/>
      <c r="H149" s="50"/>
      <c r="J149" s="14"/>
      <c r="K149" s="50"/>
      <c r="L149" s="50"/>
      <c r="M149" s="50"/>
      <c r="N149" s="50"/>
      <c r="O149" s="50"/>
      <c r="P149" s="50"/>
    </row>
    <row r="150" spans="2:16" x14ac:dyDescent="0.2">
      <c r="B150" s="90" t="s">
        <v>593</v>
      </c>
      <c r="C150" s="50"/>
      <c r="D150" s="50"/>
      <c r="E150" s="50"/>
      <c r="F150" s="50"/>
      <c r="G150" s="50"/>
      <c r="H150" s="50"/>
      <c r="J150" s="14"/>
      <c r="K150" s="50"/>
      <c r="L150" s="50"/>
      <c r="M150" s="50"/>
      <c r="N150" s="50"/>
      <c r="O150" s="50"/>
      <c r="P150" s="50"/>
    </row>
    <row r="151" spans="2:16" x14ac:dyDescent="0.2">
      <c r="B151" s="50"/>
      <c r="C151" s="50"/>
      <c r="D151" s="50"/>
      <c r="E151" s="50"/>
      <c r="F151" s="50"/>
      <c r="G151" s="50"/>
      <c r="H151" s="50"/>
      <c r="J151" s="14"/>
      <c r="K151" s="50"/>
      <c r="L151" s="50"/>
      <c r="M151" s="50"/>
      <c r="N151" s="50"/>
      <c r="O151" s="50"/>
      <c r="P151" s="50"/>
    </row>
    <row r="152" spans="2:16" x14ac:dyDescent="0.2">
      <c r="B152" s="90" t="s">
        <v>594</v>
      </c>
      <c r="C152" s="50"/>
      <c r="D152" s="50"/>
      <c r="E152" s="50"/>
      <c r="F152" s="50"/>
      <c r="G152" s="50"/>
      <c r="H152" s="50"/>
      <c r="J152" s="14"/>
      <c r="K152" s="50"/>
      <c r="L152" s="50"/>
      <c r="M152" s="50"/>
      <c r="N152" s="50"/>
      <c r="O152" s="50"/>
      <c r="P152" s="50"/>
    </row>
    <row r="153" spans="2:16" x14ac:dyDescent="0.2">
      <c r="J153" s="14"/>
      <c r="K153" s="50"/>
      <c r="L153" s="50"/>
      <c r="M153" s="50"/>
      <c r="N153" s="50"/>
      <c r="O153" s="50"/>
    </row>
    <row r="154" spans="2:16" x14ac:dyDescent="0.2">
      <c r="B154" s="90" t="s">
        <v>595</v>
      </c>
      <c r="J154" s="14"/>
      <c r="K154" s="50"/>
      <c r="L154" s="50"/>
      <c r="M154" s="50"/>
      <c r="N154" s="50"/>
      <c r="O154" s="50"/>
    </row>
    <row r="155" spans="2:16" x14ac:dyDescent="0.2">
      <c r="J155" s="14"/>
    </row>
    <row r="156" spans="2:16" ht="25.5" x14ac:dyDescent="0.2">
      <c r="B156" s="60" t="s">
        <v>552</v>
      </c>
    </row>
    <row r="158" spans="2:16" ht="153.75" customHeight="1" x14ac:dyDescent="0.2"/>
    <row r="161" spans="2:10" x14ac:dyDescent="0.2">
      <c r="B161" s="61" t="s">
        <v>651</v>
      </c>
      <c r="C161" s="62"/>
      <c r="D161" s="61"/>
    </row>
    <row r="162" spans="2:10" x14ac:dyDescent="0.2">
      <c r="B162" s="61" t="s">
        <v>652</v>
      </c>
      <c r="D162" s="61"/>
    </row>
    <row r="163" spans="2:10" ht="165" customHeight="1" x14ac:dyDescent="0.2"/>
    <row r="165" spans="2:10" x14ac:dyDescent="0.2">
      <c r="J165" s="14"/>
    </row>
    <row r="166" spans="2:10" x14ac:dyDescent="0.2">
      <c r="J166" s="14"/>
    </row>
    <row r="167" spans="2:10" x14ac:dyDescent="0.2">
      <c r="J167" s="14"/>
    </row>
    <row r="168" spans="2:10" x14ac:dyDescent="0.2">
      <c r="J168" s="14"/>
    </row>
    <row r="169" spans="2:10" x14ac:dyDescent="0.2">
      <c r="J169" s="14"/>
    </row>
    <row r="170" spans="2:10" x14ac:dyDescent="0.2">
      <c r="J170" s="14"/>
    </row>
    <row r="171" spans="2:10" x14ac:dyDescent="0.2">
      <c r="J171" s="14"/>
    </row>
    <row r="172" spans="2:10" x14ac:dyDescent="0.2">
      <c r="J172" s="14"/>
    </row>
    <row r="173" spans="2:10" x14ac:dyDescent="0.2">
      <c r="J173" s="14"/>
    </row>
    <row r="174" spans="2:10" x14ac:dyDescent="0.2">
      <c r="J174" s="14"/>
    </row>
    <row r="175" spans="2:10" x14ac:dyDescent="0.2">
      <c r="J175" s="14"/>
    </row>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sheetData>
  <mergeCells count="39">
    <mergeCell ref="J143:J144"/>
    <mergeCell ref="B143:B144"/>
    <mergeCell ref="C143:C144"/>
    <mergeCell ref="D143:G143"/>
    <mergeCell ref="H143:H144"/>
    <mergeCell ref="I143:I144"/>
    <mergeCell ref="D140:F140"/>
    <mergeCell ref="G140:H140"/>
    <mergeCell ref="D141:F141"/>
    <mergeCell ref="G141:H141"/>
    <mergeCell ref="B142:H142"/>
    <mergeCell ref="B134:C134"/>
    <mergeCell ref="B135:C135"/>
    <mergeCell ref="B136:D136"/>
    <mergeCell ref="B138:H138"/>
    <mergeCell ref="D139:F139"/>
    <mergeCell ref="G139:H139"/>
    <mergeCell ref="B129:C129"/>
    <mergeCell ref="B130:C130"/>
    <mergeCell ref="B131:C131"/>
    <mergeCell ref="B132:C132"/>
    <mergeCell ref="B133:C133"/>
    <mergeCell ref="A1:H1"/>
    <mergeCell ref="A2:H2"/>
    <mergeCell ref="A3:H3"/>
    <mergeCell ref="B101:H101"/>
    <mergeCell ref="B102:H102"/>
    <mergeCell ref="B103:H103"/>
    <mergeCell ref="B127:C127"/>
    <mergeCell ref="B128:C128"/>
    <mergeCell ref="B105:D105"/>
    <mergeCell ref="B106:C106"/>
    <mergeCell ref="B107:C107"/>
    <mergeCell ref="B108:C108"/>
    <mergeCell ref="B120:C120"/>
    <mergeCell ref="B124:C124"/>
    <mergeCell ref="B122:C122"/>
    <mergeCell ref="B123:C123"/>
    <mergeCell ref="B126:D126"/>
  </mergeCells>
  <hyperlinks>
    <hyperlink ref="B150" r:id="rId1" xr:uid="{2B774552-1D1B-45E5-B09D-EE3BC7BFB87C}"/>
    <hyperlink ref="B152" r:id="rId2" xr:uid="{F0DE19DA-9C65-4435-9B42-A501AB0F6A5A}"/>
    <hyperlink ref="B154" r:id="rId3" xr:uid="{A21E1D2B-C23A-4E89-A207-19D2641AD43D}"/>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6E1A0-2CC4-442A-ADC7-CE31A9B02529}">
  <sheetPr>
    <outlinePr summaryBelow="0" summaryRight="0"/>
  </sheetPr>
  <dimension ref="A1:U118"/>
  <sheetViews>
    <sheetView showGridLines="0" workbookViewId="0">
      <selection sqref="A1:H1"/>
    </sheetView>
  </sheetViews>
  <sheetFormatPr defaultRowHeight="12.75" x14ac:dyDescent="0.2"/>
  <cols>
    <col min="1" max="1" width="5.85546875" bestFit="1" customWidth="1"/>
    <col min="2" max="2" width="21.5703125" customWidth="1"/>
    <col min="3" max="3" width="39.140625" bestFit="1" customWidth="1"/>
    <col min="4" max="4" width="10.7109375" bestFit="1" customWidth="1"/>
    <col min="5" max="5" width="10.42578125" customWidth="1"/>
    <col min="6" max="6" width="10.140625" bestFit="1" customWidth="1"/>
    <col min="7" max="7" width="14" bestFit="1" customWidth="1"/>
    <col min="8" max="8" width="9.85546875" bestFit="1" customWidth="1"/>
  </cols>
  <sheetData>
    <row r="1" spans="1:8" ht="15" x14ac:dyDescent="0.2">
      <c r="A1" s="164" t="s">
        <v>0</v>
      </c>
      <c r="B1" s="164"/>
      <c r="C1" s="164"/>
      <c r="D1" s="164"/>
      <c r="E1" s="164"/>
      <c r="F1" s="164"/>
      <c r="G1" s="164"/>
      <c r="H1" s="164"/>
    </row>
    <row r="2" spans="1:8" ht="15" x14ac:dyDescent="0.2">
      <c r="A2" s="164" t="s">
        <v>515</v>
      </c>
      <c r="B2" s="164"/>
      <c r="C2" s="164"/>
      <c r="D2" s="164"/>
      <c r="E2" s="164"/>
      <c r="F2" s="164"/>
      <c r="G2" s="164"/>
      <c r="H2" s="164"/>
    </row>
    <row r="3" spans="1:8" ht="15" x14ac:dyDescent="0.2">
      <c r="A3" s="164" t="s">
        <v>537</v>
      </c>
      <c r="B3" s="164"/>
      <c r="C3" s="164"/>
      <c r="D3" s="164"/>
      <c r="E3" s="164"/>
      <c r="F3" s="164"/>
      <c r="G3" s="164"/>
      <c r="H3" s="164"/>
    </row>
    <row r="4" spans="1:8" s="14" customFormat="1" ht="30" x14ac:dyDescent="0.2">
      <c r="A4" s="12" t="s">
        <v>2</v>
      </c>
      <c r="B4" s="12" t="s">
        <v>3</v>
      </c>
      <c r="C4" s="12" t="s">
        <v>4</v>
      </c>
      <c r="D4" s="12" t="s">
        <v>5</v>
      </c>
      <c r="E4" s="12" t="s">
        <v>6</v>
      </c>
      <c r="F4" s="12" t="s">
        <v>7</v>
      </c>
      <c r="G4" s="12" t="s">
        <v>8</v>
      </c>
      <c r="H4" s="13" t="s">
        <v>662</v>
      </c>
    </row>
    <row r="5" spans="1:8" x14ac:dyDescent="0.2">
      <c r="A5" s="15"/>
      <c r="B5" s="15"/>
      <c r="C5" s="16" t="s">
        <v>9</v>
      </c>
      <c r="D5" s="15"/>
      <c r="E5" s="15"/>
      <c r="F5" s="15"/>
      <c r="G5" s="15"/>
      <c r="H5" s="17" t="s">
        <v>12</v>
      </c>
    </row>
    <row r="6" spans="1:8" x14ac:dyDescent="0.2">
      <c r="A6" s="18"/>
      <c r="B6" s="18"/>
      <c r="C6" s="19" t="s">
        <v>10</v>
      </c>
      <c r="D6" s="18"/>
      <c r="E6" s="18"/>
      <c r="F6" s="18"/>
      <c r="G6" s="18"/>
      <c r="H6" s="17" t="s">
        <v>12</v>
      </c>
    </row>
    <row r="7" spans="1:8" x14ac:dyDescent="0.2">
      <c r="A7" s="18"/>
      <c r="B7" s="18"/>
      <c r="C7" s="19" t="s">
        <v>11</v>
      </c>
      <c r="D7" s="18"/>
      <c r="E7" s="18" t="s">
        <v>12</v>
      </c>
      <c r="F7" s="20" t="s">
        <v>13</v>
      </c>
      <c r="G7" s="21">
        <v>0</v>
      </c>
      <c r="H7" s="17" t="s">
        <v>12</v>
      </c>
    </row>
    <row r="8" spans="1:8" x14ac:dyDescent="0.2">
      <c r="A8" s="18"/>
      <c r="B8" s="18"/>
      <c r="C8" s="22"/>
      <c r="D8" s="18"/>
      <c r="E8" s="18"/>
      <c r="F8" s="23"/>
      <c r="G8" s="23"/>
      <c r="H8" s="17" t="s">
        <v>12</v>
      </c>
    </row>
    <row r="9" spans="1:8" x14ac:dyDescent="0.2">
      <c r="A9" s="18"/>
      <c r="B9" s="18"/>
      <c r="C9" s="19" t="s">
        <v>14</v>
      </c>
      <c r="D9" s="18"/>
      <c r="E9" s="18"/>
      <c r="F9" s="18"/>
      <c r="G9" s="18"/>
      <c r="H9" s="17" t="s">
        <v>12</v>
      </c>
    </row>
    <row r="10" spans="1:8" x14ac:dyDescent="0.2">
      <c r="A10" s="18"/>
      <c r="B10" s="18"/>
      <c r="C10" s="19" t="s">
        <v>11</v>
      </c>
      <c r="D10" s="18"/>
      <c r="E10" s="18" t="s">
        <v>12</v>
      </c>
      <c r="F10" s="20" t="s">
        <v>13</v>
      </c>
      <c r="G10" s="21">
        <v>0</v>
      </c>
      <c r="H10" s="17" t="s">
        <v>12</v>
      </c>
    </row>
    <row r="11" spans="1:8" x14ac:dyDescent="0.2">
      <c r="A11" s="18"/>
      <c r="B11" s="18"/>
      <c r="C11" s="22"/>
      <c r="D11" s="18"/>
      <c r="E11" s="18"/>
      <c r="F11" s="23"/>
      <c r="G11" s="23"/>
      <c r="H11" s="17" t="s">
        <v>12</v>
      </c>
    </row>
    <row r="12" spans="1:8" x14ac:dyDescent="0.2">
      <c r="A12" s="18"/>
      <c r="B12" s="18"/>
      <c r="C12" s="19" t="s">
        <v>15</v>
      </c>
      <c r="D12" s="18"/>
      <c r="E12" s="18"/>
      <c r="F12" s="18"/>
      <c r="G12" s="18"/>
      <c r="H12" s="17" t="s">
        <v>12</v>
      </c>
    </row>
    <row r="13" spans="1:8" x14ac:dyDescent="0.2">
      <c r="A13" s="18"/>
      <c r="B13" s="18"/>
      <c r="C13" s="19" t="s">
        <v>11</v>
      </c>
      <c r="D13" s="18"/>
      <c r="E13" s="18" t="s">
        <v>12</v>
      </c>
      <c r="F13" s="20" t="s">
        <v>13</v>
      </c>
      <c r="G13" s="21">
        <v>0</v>
      </c>
      <c r="H13" s="17" t="s">
        <v>12</v>
      </c>
    </row>
    <row r="14" spans="1:8" x14ac:dyDescent="0.2">
      <c r="A14" s="18"/>
      <c r="B14" s="18"/>
      <c r="C14" s="22"/>
      <c r="D14" s="18"/>
      <c r="E14" s="18"/>
      <c r="F14" s="23"/>
      <c r="G14" s="23"/>
      <c r="H14" s="17" t="s">
        <v>12</v>
      </c>
    </row>
    <row r="15" spans="1:8" x14ac:dyDescent="0.2">
      <c r="A15" s="18"/>
      <c r="B15" s="18"/>
      <c r="C15" s="19" t="s">
        <v>16</v>
      </c>
      <c r="D15" s="18"/>
      <c r="E15" s="18"/>
      <c r="F15" s="18"/>
      <c r="G15" s="18"/>
      <c r="H15" s="17" t="s">
        <v>12</v>
      </c>
    </row>
    <row r="16" spans="1:8"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18"/>
      <c r="B28" s="18"/>
      <c r="C28" s="19" t="s">
        <v>11</v>
      </c>
      <c r="D28" s="18"/>
      <c r="E28" s="18" t="s">
        <v>12</v>
      </c>
      <c r="F28" s="20" t="s">
        <v>13</v>
      </c>
      <c r="G28" s="21">
        <v>0</v>
      </c>
      <c r="H28" s="17" t="s">
        <v>12</v>
      </c>
    </row>
    <row r="29" spans="1:8" x14ac:dyDescent="0.2">
      <c r="A29" s="18"/>
      <c r="B29" s="18"/>
      <c r="C29" s="22"/>
      <c r="D29" s="18"/>
      <c r="E29" s="18"/>
      <c r="F29" s="23"/>
      <c r="G29" s="23"/>
      <c r="H29" s="17" t="s">
        <v>12</v>
      </c>
    </row>
    <row r="30" spans="1:8" x14ac:dyDescent="0.2">
      <c r="A30" s="18"/>
      <c r="B30" s="18"/>
      <c r="C30" s="19" t="s">
        <v>71</v>
      </c>
      <c r="D30" s="18"/>
      <c r="E30" s="18"/>
      <c r="F30" s="18"/>
      <c r="G30" s="18"/>
      <c r="H30" s="17" t="s">
        <v>12</v>
      </c>
    </row>
    <row r="31" spans="1:8" x14ac:dyDescent="0.2">
      <c r="A31" s="18"/>
      <c r="B31" s="18"/>
      <c r="C31" s="19" t="s">
        <v>11</v>
      </c>
      <c r="D31" s="18"/>
      <c r="E31" s="18" t="s">
        <v>12</v>
      </c>
      <c r="F31" s="20" t="s">
        <v>13</v>
      </c>
      <c r="G31" s="21">
        <v>0</v>
      </c>
      <c r="H31" s="17" t="s">
        <v>12</v>
      </c>
    </row>
    <row r="32" spans="1:8" x14ac:dyDescent="0.2">
      <c r="A32" s="18"/>
      <c r="B32" s="18"/>
      <c r="C32" s="22"/>
      <c r="D32" s="18"/>
      <c r="E32" s="18"/>
      <c r="F32" s="23"/>
      <c r="G32" s="23"/>
      <c r="H32" s="17" t="s">
        <v>12</v>
      </c>
    </row>
    <row r="33" spans="1:8" x14ac:dyDescent="0.2">
      <c r="A33" s="18"/>
      <c r="B33" s="18"/>
      <c r="C33" s="19" t="s">
        <v>72</v>
      </c>
      <c r="D33" s="18"/>
      <c r="E33" s="18"/>
      <c r="F33" s="18"/>
      <c r="G33" s="18"/>
      <c r="H33" s="17" t="s">
        <v>12</v>
      </c>
    </row>
    <row r="34" spans="1:8" x14ac:dyDescent="0.2">
      <c r="A34" s="18"/>
      <c r="B34" s="18"/>
      <c r="C34" s="19" t="s">
        <v>11</v>
      </c>
      <c r="D34" s="18"/>
      <c r="E34" s="18" t="s">
        <v>12</v>
      </c>
      <c r="F34" s="20" t="s">
        <v>13</v>
      </c>
      <c r="G34" s="21">
        <v>0</v>
      </c>
      <c r="H34" s="17" t="s">
        <v>12</v>
      </c>
    </row>
    <row r="35" spans="1:8" x14ac:dyDescent="0.2">
      <c r="A35" s="18"/>
      <c r="B35" s="18"/>
      <c r="C35" s="22"/>
      <c r="D35" s="18"/>
      <c r="E35" s="18"/>
      <c r="F35" s="23"/>
      <c r="G35" s="23"/>
      <c r="H35" s="17" t="s">
        <v>12</v>
      </c>
    </row>
    <row r="36" spans="1:8" x14ac:dyDescent="0.2">
      <c r="A36" s="18"/>
      <c r="B36" s="18"/>
      <c r="C36" s="19" t="s">
        <v>88</v>
      </c>
      <c r="D36" s="18"/>
      <c r="E36" s="18"/>
      <c r="F36" s="23"/>
      <c r="G36" s="23"/>
      <c r="H36" s="17" t="s">
        <v>12</v>
      </c>
    </row>
    <row r="37" spans="1:8" x14ac:dyDescent="0.2">
      <c r="A37" s="18"/>
      <c r="B37" s="18"/>
      <c r="C37" s="19" t="s">
        <v>11</v>
      </c>
      <c r="D37" s="18"/>
      <c r="E37" s="18" t="s">
        <v>12</v>
      </c>
      <c r="F37" s="20" t="s">
        <v>13</v>
      </c>
      <c r="G37" s="21">
        <v>0</v>
      </c>
      <c r="H37" s="17" t="s">
        <v>12</v>
      </c>
    </row>
    <row r="38" spans="1:8" x14ac:dyDescent="0.2">
      <c r="A38" s="18"/>
      <c r="B38" s="18"/>
      <c r="C38" s="22"/>
      <c r="D38" s="18"/>
      <c r="E38" s="18"/>
      <c r="F38" s="23"/>
      <c r="G38" s="23"/>
      <c r="H38" s="17" t="s">
        <v>12</v>
      </c>
    </row>
    <row r="39" spans="1:8" x14ac:dyDescent="0.2">
      <c r="A39" s="18"/>
      <c r="B39" s="18"/>
      <c r="C39" s="19" t="s">
        <v>89</v>
      </c>
      <c r="D39" s="18"/>
      <c r="E39" s="18"/>
      <c r="F39" s="24">
        <v>0</v>
      </c>
      <c r="G39" s="21">
        <v>0</v>
      </c>
      <c r="H39" s="17" t="s">
        <v>12</v>
      </c>
    </row>
    <row r="40" spans="1:8" x14ac:dyDescent="0.2">
      <c r="A40" s="18"/>
      <c r="B40" s="18"/>
      <c r="C40" s="22"/>
      <c r="D40" s="18"/>
      <c r="E40" s="18"/>
      <c r="F40" s="23"/>
      <c r="G40" s="23"/>
      <c r="H40" s="17" t="s">
        <v>12</v>
      </c>
    </row>
    <row r="41" spans="1:8" x14ac:dyDescent="0.2">
      <c r="A41" s="18"/>
      <c r="B41" s="18"/>
      <c r="C41" s="19" t="s">
        <v>90</v>
      </c>
      <c r="D41" s="18"/>
      <c r="E41" s="18"/>
      <c r="F41" s="23"/>
      <c r="G41" s="23"/>
      <c r="H41" s="17" t="s">
        <v>12</v>
      </c>
    </row>
    <row r="42" spans="1:8" x14ac:dyDescent="0.2">
      <c r="A42" s="18"/>
      <c r="B42" s="18"/>
      <c r="C42" s="19" t="s">
        <v>91</v>
      </c>
      <c r="D42" s="18"/>
      <c r="E42" s="18"/>
      <c r="F42" s="23"/>
      <c r="G42" s="23"/>
      <c r="H42" s="17" t="s">
        <v>12</v>
      </c>
    </row>
    <row r="43" spans="1:8" x14ac:dyDescent="0.2">
      <c r="A43" s="18"/>
      <c r="B43" s="18"/>
      <c r="C43" s="19" t="s">
        <v>11</v>
      </c>
      <c r="D43" s="18"/>
      <c r="E43" s="18" t="s">
        <v>12</v>
      </c>
      <c r="F43" s="20" t="s">
        <v>13</v>
      </c>
      <c r="G43" s="21">
        <v>0</v>
      </c>
      <c r="H43" s="17" t="s">
        <v>12</v>
      </c>
    </row>
    <row r="44" spans="1:8" x14ac:dyDescent="0.2">
      <c r="A44" s="18"/>
      <c r="B44" s="18"/>
      <c r="C44" s="22"/>
      <c r="D44" s="18"/>
      <c r="E44" s="18"/>
      <c r="F44" s="23"/>
      <c r="G44" s="23"/>
      <c r="H44" s="17" t="s">
        <v>12</v>
      </c>
    </row>
    <row r="45" spans="1:8" x14ac:dyDescent="0.2">
      <c r="A45" s="18"/>
      <c r="B45" s="18"/>
      <c r="C45" s="19" t="s">
        <v>92</v>
      </c>
      <c r="D45" s="18"/>
      <c r="E45" s="18"/>
      <c r="F45" s="23"/>
      <c r="G45" s="23"/>
      <c r="H45" s="17" t="s">
        <v>12</v>
      </c>
    </row>
    <row r="46" spans="1:8" x14ac:dyDescent="0.2">
      <c r="A46" s="18"/>
      <c r="B46" s="18"/>
      <c r="C46" s="19" t="s">
        <v>11</v>
      </c>
      <c r="D46" s="18"/>
      <c r="E46" s="18" t="s">
        <v>12</v>
      </c>
      <c r="F46" s="20" t="s">
        <v>13</v>
      </c>
      <c r="G46" s="21">
        <v>0</v>
      </c>
      <c r="H46" s="17" t="s">
        <v>12</v>
      </c>
    </row>
    <row r="47" spans="1:8" x14ac:dyDescent="0.2">
      <c r="A47" s="18"/>
      <c r="B47" s="18"/>
      <c r="C47" s="22"/>
      <c r="D47" s="18"/>
      <c r="E47" s="18"/>
      <c r="F47" s="23"/>
      <c r="G47" s="23"/>
      <c r="H47" s="17" t="s">
        <v>12</v>
      </c>
    </row>
    <row r="48" spans="1:8" x14ac:dyDescent="0.2">
      <c r="A48" s="18"/>
      <c r="B48" s="18"/>
      <c r="C48" s="19" t="s">
        <v>93</v>
      </c>
      <c r="D48" s="18"/>
      <c r="E48" s="18"/>
      <c r="F48" s="23"/>
      <c r="G48" s="23"/>
      <c r="H48" s="17" t="s">
        <v>12</v>
      </c>
    </row>
    <row r="49" spans="1:8" x14ac:dyDescent="0.2">
      <c r="A49" s="25">
        <v>1</v>
      </c>
      <c r="B49" s="26" t="s">
        <v>383</v>
      </c>
      <c r="C49" s="26" t="s">
        <v>384</v>
      </c>
      <c r="D49" s="26" t="s">
        <v>75</v>
      </c>
      <c r="E49" s="27">
        <v>1000000</v>
      </c>
      <c r="F49" s="28">
        <v>998.10599999999999</v>
      </c>
      <c r="G49" s="29">
        <v>1.2710279999999999E-2</v>
      </c>
      <c r="H49" s="17">
        <v>6.2960000000000003</v>
      </c>
    </row>
    <row r="50" spans="1:8" x14ac:dyDescent="0.2">
      <c r="A50" s="25">
        <v>2</v>
      </c>
      <c r="B50" s="26" t="s">
        <v>516</v>
      </c>
      <c r="C50" s="26" t="s">
        <v>517</v>
      </c>
      <c r="D50" s="26" t="s">
        <v>75</v>
      </c>
      <c r="E50" s="27">
        <v>1000000</v>
      </c>
      <c r="F50" s="28">
        <v>996.928</v>
      </c>
      <c r="G50" s="29">
        <v>1.269528E-2</v>
      </c>
      <c r="H50" s="17">
        <v>6.2488000000000001</v>
      </c>
    </row>
    <row r="51" spans="1:8" x14ac:dyDescent="0.2">
      <c r="A51" s="25">
        <v>3</v>
      </c>
      <c r="B51" s="26" t="s">
        <v>518</v>
      </c>
      <c r="C51" s="26" t="s">
        <v>519</v>
      </c>
      <c r="D51" s="26" t="s">
        <v>75</v>
      </c>
      <c r="E51" s="27">
        <v>500000</v>
      </c>
      <c r="F51" s="28">
        <v>499.053</v>
      </c>
      <c r="G51" s="29">
        <v>6.3551399999999996E-3</v>
      </c>
      <c r="H51" s="17">
        <v>6.2960000000000003</v>
      </c>
    </row>
    <row r="52" spans="1:8" x14ac:dyDescent="0.2">
      <c r="A52" s="25">
        <v>4</v>
      </c>
      <c r="B52" s="26" t="s">
        <v>520</v>
      </c>
      <c r="C52" s="26" t="s">
        <v>521</v>
      </c>
      <c r="D52" s="26" t="s">
        <v>75</v>
      </c>
      <c r="E52" s="27">
        <v>500000</v>
      </c>
      <c r="F52" s="28">
        <v>498.464</v>
      </c>
      <c r="G52" s="29">
        <v>6.3476399999999999E-3</v>
      </c>
      <c r="H52" s="17">
        <v>6.2488000000000001</v>
      </c>
    </row>
    <row r="53" spans="1:8" x14ac:dyDescent="0.2">
      <c r="A53" s="18"/>
      <c r="B53" s="18"/>
      <c r="C53" s="19" t="s">
        <v>11</v>
      </c>
      <c r="D53" s="18"/>
      <c r="E53" s="18" t="s">
        <v>12</v>
      </c>
      <c r="F53" s="24">
        <v>2992.5509999999999</v>
      </c>
      <c r="G53" s="21">
        <v>3.8108339999999997E-2</v>
      </c>
      <c r="H53" s="17" t="s">
        <v>12</v>
      </c>
    </row>
    <row r="54" spans="1:8" x14ac:dyDescent="0.2">
      <c r="A54" s="18"/>
      <c r="B54" s="18"/>
      <c r="C54" s="22"/>
      <c r="D54" s="18"/>
      <c r="E54" s="18"/>
      <c r="F54" s="23"/>
      <c r="G54" s="23"/>
      <c r="H54" s="17" t="s">
        <v>12</v>
      </c>
    </row>
    <row r="55" spans="1:8" x14ac:dyDescent="0.2">
      <c r="A55" s="18"/>
      <c r="B55" s="18"/>
      <c r="C55" s="19" t="s">
        <v>94</v>
      </c>
      <c r="D55" s="18"/>
      <c r="E55" s="18"/>
      <c r="F55" s="23"/>
      <c r="G55" s="23"/>
      <c r="H55" s="17" t="s">
        <v>12</v>
      </c>
    </row>
    <row r="56" spans="1:8" x14ac:dyDescent="0.2">
      <c r="A56" s="25">
        <v>1</v>
      </c>
      <c r="B56" s="26"/>
      <c r="C56" s="26" t="s">
        <v>522</v>
      </c>
      <c r="D56" s="26"/>
      <c r="E56" s="30"/>
      <c r="F56" s="28">
        <v>54099.791816700003</v>
      </c>
      <c r="G56" s="29">
        <v>0.68892825000000002</v>
      </c>
      <c r="H56" s="17">
        <v>6.45</v>
      </c>
    </row>
    <row r="57" spans="1:8" x14ac:dyDescent="0.2">
      <c r="A57" s="25">
        <v>2</v>
      </c>
      <c r="B57" s="26"/>
      <c r="C57" s="26" t="s">
        <v>95</v>
      </c>
      <c r="D57" s="26"/>
      <c r="E57" s="30"/>
      <c r="F57" s="28">
        <v>21282.971443311999</v>
      </c>
      <c r="G57" s="29">
        <v>0.27102581999999997</v>
      </c>
      <c r="H57" s="17">
        <v>6.33</v>
      </c>
    </row>
    <row r="58" spans="1:8" x14ac:dyDescent="0.2">
      <c r="A58" s="18"/>
      <c r="B58" s="18"/>
      <c r="C58" s="19" t="s">
        <v>11</v>
      </c>
      <c r="D58" s="18"/>
      <c r="E58" s="18" t="s">
        <v>12</v>
      </c>
      <c r="F58" s="24">
        <v>75382.763260011998</v>
      </c>
      <c r="G58" s="21">
        <v>0.95995406999999999</v>
      </c>
      <c r="H58" s="17" t="s">
        <v>12</v>
      </c>
    </row>
    <row r="59" spans="1:8" x14ac:dyDescent="0.2">
      <c r="A59" s="18"/>
      <c r="B59" s="18"/>
      <c r="C59" s="22"/>
      <c r="D59" s="18"/>
      <c r="E59" s="18"/>
      <c r="F59" s="23"/>
      <c r="G59" s="23"/>
      <c r="H59" s="17" t="s">
        <v>12</v>
      </c>
    </row>
    <row r="60" spans="1:8" x14ac:dyDescent="0.2">
      <c r="A60" s="18"/>
      <c r="B60" s="18"/>
      <c r="C60" s="19" t="s">
        <v>96</v>
      </c>
      <c r="D60" s="18"/>
      <c r="E60" s="18"/>
      <c r="F60" s="24">
        <v>78375.314260012005</v>
      </c>
      <c r="G60" s="21">
        <v>0.99806240999999996</v>
      </c>
      <c r="H60" s="17" t="s">
        <v>12</v>
      </c>
    </row>
    <row r="61" spans="1:8" x14ac:dyDescent="0.2">
      <c r="A61" s="18"/>
      <c r="B61" s="18"/>
      <c r="C61" s="23"/>
      <c r="D61" s="18"/>
      <c r="E61" s="18"/>
      <c r="F61" s="18"/>
      <c r="G61" s="18"/>
      <c r="H61" s="17" t="s">
        <v>12</v>
      </c>
    </row>
    <row r="62" spans="1:8" x14ac:dyDescent="0.2">
      <c r="A62" s="18"/>
      <c r="B62" s="18"/>
      <c r="C62" s="19" t="s">
        <v>97</v>
      </c>
      <c r="D62" s="18"/>
      <c r="E62" s="18"/>
      <c r="F62" s="18"/>
      <c r="G62" s="18"/>
      <c r="H62" s="17" t="s">
        <v>12</v>
      </c>
    </row>
    <row r="63" spans="1:8" x14ac:dyDescent="0.2">
      <c r="A63" s="18"/>
      <c r="B63" s="18"/>
      <c r="C63" s="19" t="s">
        <v>98</v>
      </c>
      <c r="D63" s="18"/>
      <c r="E63" s="18"/>
      <c r="F63" s="18"/>
      <c r="G63" s="18"/>
      <c r="H63" s="17" t="s">
        <v>12</v>
      </c>
    </row>
    <row r="64" spans="1:8" x14ac:dyDescent="0.2">
      <c r="A64" s="18"/>
      <c r="B64" s="18"/>
      <c r="C64" s="19" t="s">
        <v>11</v>
      </c>
      <c r="D64" s="18"/>
      <c r="E64" s="18" t="s">
        <v>12</v>
      </c>
      <c r="F64" s="20" t="s">
        <v>13</v>
      </c>
      <c r="G64" s="21">
        <v>0</v>
      </c>
      <c r="H64" s="17" t="s">
        <v>12</v>
      </c>
    </row>
    <row r="65" spans="1:8" x14ac:dyDescent="0.2">
      <c r="A65" s="18"/>
      <c r="B65" s="18"/>
      <c r="C65" s="22"/>
      <c r="D65" s="18"/>
      <c r="E65" s="18"/>
      <c r="F65" s="23"/>
      <c r="G65" s="23"/>
      <c r="H65" s="17" t="s">
        <v>12</v>
      </c>
    </row>
    <row r="66" spans="1:8" x14ac:dyDescent="0.2">
      <c r="A66" s="18"/>
      <c r="B66" s="18"/>
      <c r="C66" s="19" t="s">
        <v>101</v>
      </c>
      <c r="D66" s="18"/>
      <c r="E66" s="18"/>
      <c r="F66" s="18"/>
      <c r="G66" s="18"/>
      <c r="H66" s="17" t="s">
        <v>12</v>
      </c>
    </row>
    <row r="67" spans="1:8" x14ac:dyDescent="0.2">
      <c r="A67" s="18"/>
      <c r="B67" s="18"/>
      <c r="C67" s="19" t="s">
        <v>102</v>
      </c>
      <c r="D67" s="18"/>
      <c r="E67" s="18"/>
      <c r="F67" s="18"/>
      <c r="G67" s="18"/>
      <c r="H67" s="17" t="s">
        <v>12</v>
      </c>
    </row>
    <row r="68" spans="1:8" x14ac:dyDescent="0.2">
      <c r="A68" s="18"/>
      <c r="B68" s="18"/>
      <c r="C68" s="19" t="s">
        <v>11</v>
      </c>
      <c r="D68" s="18"/>
      <c r="E68" s="18" t="s">
        <v>12</v>
      </c>
      <c r="F68" s="20" t="s">
        <v>13</v>
      </c>
      <c r="G68" s="21">
        <v>0</v>
      </c>
      <c r="H68" s="17" t="s">
        <v>12</v>
      </c>
    </row>
    <row r="69" spans="1:8" x14ac:dyDescent="0.2">
      <c r="A69" s="18"/>
      <c r="B69" s="18"/>
      <c r="C69" s="22"/>
      <c r="D69" s="18"/>
      <c r="E69" s="18"/>
      <c r="F69" s="23"/>
      <c r="G69" s="23"/>
      <c r="H69" s="17" t="s">
        <v>12</v>
      </c>
    </row>
    <row r="70" spans="1:8" x14ac:dyDescent="0.2">
      <c r="A70" s="18"/>
      <c r="B70" s="18"/>
      <c r="C70" s="19" t="s">
        <v>103</v>
      </c>
      <c r="D70" s="18"/>
      <c r="E70" s="18"/>
      <c r="F70" s="23"/>
      <c r="G70" s="23"/>
      <c r="H70" s="17" t="s">
        <v>12</v>
      </c>
    </row>
    <row r="71" spans="1:8" x14ac:dyDescent="0.2">
      <c r="A71" s="18"/>
      <c r="B71" s="18"/>
      <c r="C71" s="19" t="s">
        <v>11</v>
      </c>
      <c r="D71" s="18"/>
      <c r="E71" s="18" t="s">
        <v>12</v>
      </c>
      <c r="F71" s="20" t="s">
        <v>13</v>
      </c>
      <c r="G71" s="21">
        <v>0</v>
      </c>
      <c r="H71" s="17" t="s">
        <v>12</v>
      </c>
    </row>
    <row r="72" spans="1:8" x14ac:dyDescent="0.2">
      <c r="A72" s="18"/>
      <c r="B72" s="26"/>
      <c r="C72" s="26"/>
      <c r="D72" s="19"/>
      <c r="E72" s="18"/>
      <c r="F72" s="26"/>
      <c r="G72" s="30"/>
      <c r="H72" s="17" t="s">
        <v>12</v>
      </c>
    </row>
    <row r="73" spans="1:8" x14ac:dyDescent="0.2">
      <c r="A73" s="30"/>
      <c r="B73" s="26"/>
      <c r="C73" s="26" t="s">
        <v>104</v>
      </c>
      <c r="D73" s="26"/>
      <c r="E73" s="30"/>
      <c r="F73" s="28">
        <f>152.15426735+0.0000302180004119873</f>
        <v>152.1542975680004</v>
      </c>
      <c r="G73" s="29">
        <v>1.9375900000000001E-3</v>
      </c>
      <c r="H73" s="17" t="s">
        <v>12</v>
      </c>
    </row>
    <row r="74" spans="1:8" x14ac:dyDescent="0.2">
      <c r="A74" s="22"/>
      <c r="B74" s="22"/>
      <c r="C74" s="19" t="s">
        <v>105</v>
      </c>
      <c r="D74" s="23"/>
      <c r="E74" s="23"/>
      <c r="F74" s="24">
        <v>78527.468557579996</v>
      </c>
      <c r="G74" s="31">
        <v>1</v>
      </c>
      <c r="H74" s="17" t="s">
        <v>12</v>
      </c>
    </row>
    <row r="75" spans="1:8" x14ac:dyDescent="0.2">
      <c r="A75" s="32"/>
      <c r="B75" s="32"/>
      <c r="C75" s="32"/>
      <c r="D75" s="33"/>
      <c r="E75" s="33"/>
      <c r="F75" s="33"/>
      <c r="G75" s="33"/>
    </row>
    <row r="76" spans="1:8" x14ac:dyDescent="0.2">
      <c r="A76" s="34"/>
      <c r="B76" s="151" t="s">
        <v>539</v>
      </c>
      <c r="C76" s="151"/>
      <c r="D76" s="151"/>
      <c r="E76" s="151"/>
      <c r="F76" s="151"/>
      <c r="G76" s="151"/>
      <c r="H76" s="151"/>
    </row>
    <row r="77" spans="1:8" x14ac:dyDescent="0.2">
      <c r="A77" s="34"/>
      <c r="B77" s="151" t="s">
        <v>540</v>
      </c>
      <c r="C77" s="151"/>
      <c r="D77" s="151"/>
      <c r="E77" s="151"/>
      <c r="F77" s="151"/>
      <c r="G77" s="151"/>
      <c r="H77" s="151"/>
    </row>
    <row r="78" spans="1:8" x14ac:dyDescent="0.2">
      <c r="A78" s="34"/>
      <c r="B78" s="151" t="s">
        <v>541</v>
      </c>
      <c r="C78" s="151"/>
      <c r="D78" s="151"/>
      <c r="E78" s="151"/>
      <c r="F78" s="151"/>
      <c r="G78" s="151"/>
      <c r="H78" s="151"/>
    </row>
    <row r="79" spans="1:8" x14ac:dyDescent="0.2">
      <c r="A79" s="36"/>
      <c r="B79" s="36"/>
      <c r="C79" s="36"/>
      <c r="D79" s="37"/>
      <c r="E79" s="37"/>
      <c r="F79" s="37"/>
      <c r="G79" s="37"/>
    </row>
    <row r="80" spans="1:8" x14ac:dyDescent="0.2">
      <c r="A80" s="36"/>
      <c r="B80" s="154" t="s">
        <v>106</v>
      </c>
      <c r="C80" s="155"/>
      <c r="D80" s="156"/>
      <c r="E80" s="38"/>
      <c r="F80" s="37"/>
      <c r="G80" s="37"/>
    </row>
    <row r="81" spans="1:9" ht="30" customHeight="1" x14ac:dyDescent="0.2">
      <c r="A81" s="36"/>
      <c r="B81" s="157" t="s">
        <v>107</v>
      </c>
      <c r="C81" s="158"/>
      <c r="D81" s="19" t="s">
        <v>108</v>
      </c>
      <c r="E81" s="38"/>
      <c r="F81" s="37"/>
      <c r="G81" s="37"/>
    </row>
    <row r="82" spans="1:9" x14ac:dyDescent="0.2">
      <c r="A82" s="36"/>
      <c r="B82" s="157" t="s">
        <v>109</v>
      </c>
      <c r="C82" s="158"/>
      <c r="D82" s="19" t="s">
        <v>108</v>
      </c>
      <c r="E82" s="38"/>
      <c r="F82" s="37"/>
      <c r="G82" s="37"/>
    </row>
    <row r="83" spans="1:9" x14ac:dyDescent="0.2">
      <c r="A83" s="36"/>
      <c r="B83" s="157" t="s">
        <v>110</v>
      </c>
      <c r="C83" s="158"/>
      <c r="D83" s="23" t="s">
        <v>12</v>
      </c>
      <c r="E83" s="38"/>
      <c r="F83" s="37"/>
      <c r="G83" s="37"/>
    </row>
    <row r="84" spans="1:9" x14ac:dyDescent="0.2">
      <c r="A84" s="39"/>
      <c r="B84" s="40" t="s">
        <v>12</v>
      </c>
      <c r="C84" s="40" t="s">
        <v>542</v>
      </c>
      <c r="D84" s="40" t="s">
        <v>111</v>
      </c>
      <c r="E84" s="39"/>
      <c r="F84" s="39"/>
      <c r="G84" s="39"/>
    </row>
    <row r="85" spans="1:9" x14ac:dyDescent="0.2">
      <c r="A85" s="39"/>
      <c r="B85" s="41" t="s">
        <v>112</v>
      </c>
      <c r="C85" s="42">
        <v>45688</v>
      </c>
      <c r="D85" s="42">
        <v>45703</v>
      </c>
      <c r="E85" s="39"/>
      <c r="F85" s="39"/>
      <c r="G85" s="39"/>
    </row>
    <row r="86" spans="1:9" x14ac:dyDescent="0.2">
      <c r="A86" s="43"/>
      <c r="B86" s="26" t="s">
        <v>113</v>
      </c>
      <c r="C86" s="44">
        <v>1342.8867</v>
      </c>
      <c r="D86" s="44">
        <v>1346.3824999999999</v>
      </c>
      <c r="E86" s="43"/>
      <c r="F86" s="45"/>
      <c r="G86" s="46"/>
    </row>
    <row r="87" spans="1:9" ht="25.5" x14ac:dyDescent="0.2">
      <c r="A87" s="43"/>
      <c r="B87" s="26" t="s">
        <v>663</v>
      </c>
      <c r="C87" s="44">
        <v>1044.9173000000001</v>
      </c>
      <c r="D87" s="44">
        <v>1047.6369999999999</v>
      </c>
      <c r="E87" s="43"/>
      <c r="F87" s="45"/>
      <c r="G87" s="46"/>
    </row>
    <row r="88" spans="1:9" x14ac:dyDescent="0.2">
      <c r="A88" s="43"/>
      <c r="B88" s="26" t="s">
        <v>114</v>
      </c>
      <c r="C88" s="44">
        <v>1335.0103999999999</v>
      </c>
      <c r="D88" s="44">
        <v>1338.4499000000001</v>
      </c>
      <c r="E88" s="43"/>
      <c r="F88" s="45"/>
      <c r="G88" s="46"/>
    </row>
    <row r="89" spans="1:9" ht="25.5" x14ac:dyDescent="0.2">
      <c r="A89" s="43"/>
      <c r="B89" s="26" t="s">
        <v>667</v>
      </c>
      <c r="C89" s="44">
        <v>1041.1850999999999</v>
      </c>
      <c r="D89" s="44">
        <v>1043.8676</v>
      </c>
      <c r="E89" s="43"/>
      <c r="F89" s="45"/>
      <c r="G89" s="46"/>
    </row>
    <row r="90" spans="1:9" x14ac:dyDescent="0.2">
      <c r="A90" s="43"/>
      <c r="B90" s="43"/>
      <c r="C90" s="43"/>
      <c r="D90" s="43"/>
      <c r="E90" s="43"/>
      <c r="F90" s="43"/>
      <c r="G90" s="43"/>
    </row>
    <row r="91" spans="1:9" x14ac:dyDescent="0.2">
      <c r="A91" s="43"/>
      <c r="B91" s="157" t="s">
        <v>643</v>
      </c>
      <c r="C91" s="158"/>
      <c r="D91" s="47" t="s">
        <v>108</v>
      </c>
      <c r="E91" s="43"/>
      <c r="F91" s="43"/>
      <c r="G91" s="43"/>
    </row>
    <row r="92" spans="1:9" x14ac:dyDescent="0.2">
      <c r="A92" s="43"/>
      <c r="B92" s="48"/>
      <c r="C92" s="48"/>
      <c r="D92" s="48"/>
      <c r="E92" s="43"/>
      <c r="F92" s="43"/>
      <c r="G92" s="43"/>
    </row>
    <row r="93" spans="1:9" ht="26.25" customHeight="1" x14ac:dyDescent="0.2">
      <c r="A93" s="39"/>
      <c r="B93" s="213" t="s">
        <v>115</v>
      </c>
      <c r="C93" s="214"/>
      <c r="D93" s="47" t="s">
        <v>108</v>
      </c>
      <c r="E93" s="49"/>
      <c r="F93" s="39"/>
      <c r="G93" s="39"/>
    </row>
    <row r="94" spans="1:9" ht="29.25" customHeight="1" x14ac:dyDescent="0.2">
      <c r="A94" s="39"/>
      <c r="B94" s="213" t="s">
        <v>116</v>
      </c>
      <c r="C94" s="214"/>
      <c r="D94" s="47" t="s">
        <v>108</v>
      </c>
      <c r="E94" s="49"/>
      <c r="F94" s="39"/>
      <c r="G94" s="39"/>
    </row>
    <row r="95" spans="1:9" x14ac:dyDescent="0.2">
      <c r="A95" s="39"/>
      <c r="B95" s="213" t="s">
        <v>543</v>
      </c>
      <c r="C95" s="214"/>
      <c r="D95" s="47" t="s">
        <v>108</v>
      </c>
      <c r="E95" s="49"/>
      <c r="F95" s="39"/>
      <c r="G95" s="39"/>
      <c r="I95" s="50"/>
    </row>
    <row r="96" spans="1:9" x14ac:dyDescent="0.2">
      <c r="A96" s="48"/>
      <c r="B96" s="48"/>
      <c r="C96" s="48"/>
      <c r="D96" s="48"/>
      <c r="E96" s="48"/>
      <c r="F96" s="48"/>
      <c r="G96" s="48"/>
      <c r="I96" s="50"/>
    </row>
    <row r="97" spans="2:21" s="51" customFormat="1" x14ac:dyDescent="0.2">
      <c r="B97" s="161" t="s">
        <v>544</v>
      </c>
      <c r="C97" s="194"/>
      <c r="D97" s="163"/>
      <c r="I97" s="50"/>
      <c r="J97"/>
      <c r="K97" s="50"/>
      <c r="L97" s="50"/>
      <c r="M97" s="50"/>
      <c r="N97" s="52"/>
      <c r="Q97"/>
      <c r="R97"/>
      <c r="S97"/>
      <c r="T97"/>
      <c r="U97"/>
    </row>
    <row r="98" spans="2:21" s="51" customFormat="1" ht="38.25" x14ac:dyDescent="0.2">
      <c r="B98" s="152" t="s">
        <v>545</v>
      </c>
      <c r="C98" s="152"/>
      <c r="D98" s="53" t="s">
        <v>515</v>
      </c>
      <c r="I98" s="50"/>
      <c r="J98"/>
      <c r="K98" s="50"/>
      <c r="L98" s="50"/>
      <c r="M98" s="50"/>
      <c r="N98" s="52"/>
      <c r="Q98"/>
      <c r="R98"/>
      <c r="S98"/>
      <c r="T98"/>
      <c r="U98"/>
    </row>
    <row r="99" spans="2:21" s="51" customFormat="1" x14ac:dyDescent="0.2">
      <c r="B99" s="153" t="s">
        <v>546</v>
      </c>
      <c r="C99" s="153"/>
      <c r="D99" s="54"/>
      <c r="I99" s="50"/>
      <c r="J99"/>
      <c r="K99" s="50"/>
      <c r="L99" s="50"/>
      <c r="M99" s="50"/>
      <c r="N99" s="52"/>
    </row>
    <row r="100" spans="2:21" s="51" customFormat="1" x14ac:dyDescent="0.2">
      <c r="B100" s="153"/>
      <c r="C100" s="153"/>
      <c r="D100" s="55"/>
      <c r="I100"/>
      <c r="J100"/>
      <c r="K100" s="50"/>
      <c r="L100" s="50"/>
      <c r="M100" s="50"/>
      <c r="N100" s="52"/>
    </row>
    <row r="101" spans="2:21" s="51" customFormat="1" x14ac:dyDescent="0.2">
      <c r="B101" s="153" t="s">
        <v>547</v>
      </c>
      <c r="C101" s="153"/>
      <c r="D101" s="56">
        <v>6.347047132903322</v>
      </c>
      <c r="I101"/>
      <c r="J101"/>
      <c r="K101" s="50"/>
      <c r="L101" s="50"/>
      <c r="M101" s="50"/>
      <c r="N101" s="52"/>
    </row>
    <row r="102" spans="2:21" s="51" customFormat="1" x14ac:dyDescent="0.2">
      <c r="B102" s="153"/>
      <c r="C102" s="153"/>
      <c r="D102" s="55"/>
      <c r="I102"/>
      <c r="J102"/>
      <c r="K102" s="50"/>
      <c r="L102" s="50"/>
      <c r="M102" s="50"/>
      <c r="N102" s="52"/>
    </row>
    <row r="103" spans="2:21" s="51" customFormat="1" x14ac:dyDescent="0.2">
      <c r="B103" s="153" t="s">
        <v>653</v>
      </c>
      <c r="C103" s="153"/>
      <c r="D103" s="57">
        <v>2</v>
      </c>
      <c r="I103"/>
      <c r="J103"/>
      <c r="K103" s="50"/>
      <c r="L103" s="50"/>
      <c r="M103" s="50"/>
      <c r="N103" s="52"/>
    </row>
    <row r="104" spans="2:21" s="51" customFormat="1" x14ac:dyDescent="0.2">
      <c r="B104" s="153" t="s">
        <v>654</v>
      </c>
      <c r="C104" s="153"/>
      <c r="D104" s="57">
        <v>2</v>
      </c>
      <c r="I104"/>
      <c r="J104"/>
      <c r="K104" s="50"/>
      <c r="L104" s="50"/>
      <c r="M104" s="50"/>
      <c r="N104" s="52"/>
    </row>
    <row r="105" spans="2:21" s="51" customFormat="1" x14ac:dyDescent="0.2">
      <c r="B105" s="153"/>
      <c r="C105" s="153"/>
      <c r="D105" s="55"/>
      <c r="I105"/>
      <c r="J105"/>
      <c r="K105" s="50"/>
      <c r="L105" s="50"/>
      <c r="M105" s="50"/>
      <c r="N105" s="52"/>
    </row>
    <row r="106" spans="2:21" s="51" customFormat="1" ht="25.5" x14ac:dyDescent="0.2">
      <c r="B106" s="153" t="s">
        <v>550</v>
      </c>
      <c r="C106" s="153"/>
      <c r="D106" s="58" t="s">
        <v>657</v>
      </c>
      <c r="I106"/>
      <c r="J106"/>
      <c r="K106" s="50"/>
      <c r="L106" s="50"/>
      <c r="M106" s="50"/>
      <c r="N106" s="52"/>
    </row>
    <row r="107" spans="2:21" s="51" customFormat="1" x14ac:dyDescent="0.2">
      <c r="B107" s="165" t="s">
        <v>551</v>
      </c>
      <c r="C107" s="215"/>
      <c r="D107" s="166"/>
      <c r="I107"/>
      <c r="J107"/>
      <c r="K107" s="50"/>
      <c r="L107" s="50"/>
      <c r="M107" s="50"/>
      <c r="N107" s="52"/>
    </row>
    <row r="108" spans="2:21" x14ac:dyDescent="0.2">
      <c r="H108" s="59"/>
    </row>
    <row r="109" spans="2:21" x14ac:dyDescent="0.2">
      <c r="B109" s="60" t="s">
        <v>552</v>
      </c>
    </row>
    <row r="110" spans="2:21" ht="7.5" customHeight="1" x14ac:dyDescent="0.2"/>
    <row r="111" spans="2:21" ht="153.75" customHeight="1" x14ac:dyDescent="0.2"/>
    <row r="114" spans="2:10" x14ac:dyDescent="0.2">
      <c r="B114" s="61" t="s">
        <v>553</v>
      </c>
      <c r="C114" s="62"/>
      <c r="D114" s="61" t="s">
        <v>554</v>
      </c>
    </row>
    <row r="115" spans="2:10" x14ac:dyDescent="0.2">
      <c r="B115" s="61" t="s">
        <v>655</v>
      </c>
      <c r="D115" s="61" t="s">
        <v>656</v>
      </c>
    </row>
    <row r="116" spans="2:10" ht="165" customHeight="1" x14ac:dyDescent="0.2"/>
    <row r="118" spans="2:10" x14ac:dyDescent="0.2">
      <c r="J118" s="14"/>
    </row>
  </sheetData>
  <mergeCells count="25">
    <mergeCell ref="B105:C105"/>
    <mergeCell ref="B106:C106"/>
    <mergeCell ref="B107:D107"/>
    <mergeCell ref="B100:C100"/>
    <mergeCell ref="B101:C101"/>
    <mergeCell ref="B102:C102"/>
    <mergeCell ref="B103:C103"/>
    <mergeCell ref="B104:C104"/>
    <mergeCell ref="A1:H1"/>
    <mergeCell ref="A2:H2"/>
    <mergeCell ref="A3:H3"/>
    <mergeCell ref="B76:H76"/>
    <mergeCell ref="B77:H77"/>
    <mergeCell ref="B78:H78"/>
    <mergeCell ref="B98:C98"/>
    <mergeCell ref="B99:C99"/>
    <mergeCell ref="B80:D80"/>
    <mergeCell ref="B81:C81"/>
    <mergeCell ref="B82:C82"/>
    <mergeCell ref="B83:C83"/>
    <mergeCell ref="B91:C91"/>
    <mergeCell ref="B95:C95"/>
    <mergeCell ref="B93:C93"/>
    <mergeCell ref="B94:C94"/>
    <mergeCell ref="B97:D97"/>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Swapna.N - Sundaram Mutual</dc:creator>
  <cp:lastModifiedBy>Swapna.N - Sundaram Mutual</cp:lastModifiedBy>
  <dcterms:created xsi:type="dcterms:W3CDTF">2025-02-17T09:38:13Z</dcterms:created>
  <dcterms:modified xsi:type="dcterms:W3CDTF">2025-02-18T11:39:48Z</dcterms:modified>
</cp:coreProperties>
</file>