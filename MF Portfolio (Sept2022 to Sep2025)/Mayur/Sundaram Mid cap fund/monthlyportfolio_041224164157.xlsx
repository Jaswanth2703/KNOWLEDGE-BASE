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51F86CD0-0BE6-4B7C-A230-23D1233621ED}" xr6:coauthVersionLast="47" xr6:coauthVersionMax="47" xr10:uidLastSave="{00000000-0000-0000-0000-000000000000}"/>
  <bookViews>
    <workbookView xWindow="-120" yWindow="-120" windowWidth="29040" windowHeight="15840" tabRatio="748" xr2:uid="{DD367C7B-D038-4D7C-B75F-9D87C39B6F5A}"/>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72" i="10"/>
  <c r="F81" i="8"/>
  <c r="F82" i="8"/>
  <c r="F135" i="7"/>
  <c r="F136" i="7"/>
  <c r="F97" i="6"/>
  <c r="F98" i="6"/>
  <c r="F161" i="5"/>
  <c r="F162" i="5"/>
  <c r="F107" i="4"/>
  <c r="F108" i="4"/>
  <c r="F95" i="2"/>
  <c r="F94" i="2"/>
  <c r="J148" i="9" l="1"/>
  <c r="F34" i="9"/>
  <c r="F51" i="9" s="1"/>
  <c r="F102" i="9" s="1"/>
  <c r="G13" i="9" s="1"/>
  <c r="G34" i="9" s="1"/>
  <c r="G51" i="9" s="1"/>
  <c r="G102" i="9" s="1"/>
  <c r="G117" i="8"/>
  <c r="I156" i="6"/>
  <c r="J156" i="6" s="1"/>
  <c r="I155" i="6"/>
  <c r="J155" i="6" s="1"/>
  <c r="I154" i="6"/>
  <c r="J154" i="6" s="1"/>
  <c r="G154" i="6"/>
  <c r="I153" i="6"/>
  <c r="J153" i="6" s="1"/>
  <c r="I162" i="4"/>
  <c r="J162" i="4" s="1"/>
  <c r="I161" i="4"/>
  <c r="J161" i="4" s="1"/>
  <c r="I160" i="4"/>
  <c r="J160" i="4" s="1"/>
  <c r="G92" i="9"/>
  <c r="F92" i="9"/>
  <c r="G72" i="8"/>
  <c r="F72" i="8"/>
  <c r="G126" i="7"/>
  <c r="F126" i="7"/>
  <c r="G88" i="6"/>
  <c r="F88" i="6"/>
  <c r="G152" i="5"/>
  <c r="F152" i="5"/>
  <c r="G98" i="4"/>
  <c r="F98" i="4"/>
  <c r="G98" i="3"/>
  <c r="F98" i="3"/>
  <c r="G85" i="2"/>
  <c r="F85" i="2"/>
  <c r="G92" i="1"/>
  <c r="F92" i="1"/>
</calcChain>
</file>

<file path=xl/sharedStrings.xml><?xml version="1.0" encoding="utf-8"?>
<sst xmlns="http://schemas.openxmlformats.org/spreadsheetml/2006/main" count="3241" uniqueCount="725">
  <si>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</si>
  <si>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</si>
  <si>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</si>
  <si>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</si>
  <si>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</si>
  <si>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</si>
  <si>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</si>
  <si>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</si>
  <si>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</si>
  <si>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</si>
  <si>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</si>
  <si>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</si>
  <si>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</si>
  <si>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</si>
  <si>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</si>
  <si>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</si>
  <si>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</si>
  <si>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</si>
  <si>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</si>
  <si>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</si>
  <si>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</si>
  <si>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INE557F08FR8</t>
  </si>
  <si>
    <t>National Housing Bank - 7.22% - 23/07/2026**</t>
  </si>
  <si>
    <t>CRISIL AAA</t>
  </si>
  <si>
    <t>INE556F08KL3</t>
  </si>
  <si>
    <t>Small Industries Development Bank of India - 7.83% - 24/11/2028</t>
  </si>
  <si>
    <t>INE053F08411</t>
  </si>
  <si>
    <t>Indian Railway Finance Corporation Ltd - 7.37% - 31/07/2029**</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</si>
  <si>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</si>
  <si>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</si>
  <si>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</si>
  <si>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</si>
  <si>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</si>
  <si>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</si>
  <si>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</si>
  <si>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</si>
  <si>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</si>
  <si>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</si>
  <si>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</si>
  <si>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</si>
  <si>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</si>
  <si>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</si>
  <si>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</si>
  <si>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</si>
  <si>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</si>
  <si>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</si>
  <si>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</si>
  <si>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</si>
  <si>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</si>
  <si>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</si>
  <si>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</si>
  <si>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</si>
  <si>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</si>
  <si>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</si>
  <si>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</si>
  <si>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</si>
  <si>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</si>
  <si>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</si>
  <si>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</si>
  <si>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</si>
  <si>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</si>
  <si>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</si>
  <si>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</si>
  <si>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</si>
  <si>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</si>
  <si>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</si>
  <si>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</si>
  <si>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</si>
  <si>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</si>
  <si>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</si>
  <si>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</si>
  <si>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</si>
  <si>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</si>
  <si>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</si>
  <si>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</si>
  <si>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</si>
  <si>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IN0020240035</t>
  </si>
  <si>
    <t>7.34% Central Government Securities 22/04/2064</t>
  </si>
  <si>
    <t>IN0020230101</t>
  </si>
  <si>
    <t>7.37% Government Securities-23/10/2028</t>
  </si>
  <si>
    <t>IN0020240027</t>
  </si>
  <si>
    <t>7.23% Central Government Securities 15/04/2039</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</si>
  <si>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</si>
  <si>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</si>
  <si>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</si>
  <si>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</si>
  <si>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</si>
  <si>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</si>
  <si>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</si>
  <si>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</si>
  <si>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</si>
  <si>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</si>
  <si>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</si>
  <si>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</si>
  <si>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</si>
  <si>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</si>
  <si>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</si>
  <si>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</si>
  <si>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</si>
  <si>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</si>
  <si>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</si>
  <si>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</si>
  <si>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</si>
  <si>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</si>
  <si>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</si>
  <si>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</si>
  <si>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</si>
  <si>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</si>
  <si>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</si>
  <si>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</si>
  <si>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</si>
  <si>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</si>
  <si>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</si>
  <si>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</si>
  <si>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</si>
  <si>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</si>
  <si>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</si>
  <si>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</si>
  <si>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</si>
  <si>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</si>
  <si>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</si>
  <si>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</si>
  <si>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</si>
  <si>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</si>
  <si>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</si>
  <si>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</si>
  <si>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</si>
  <si>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</si>
  <si>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</si>
  <si>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</si>
  <si>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</si>
  <si>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</si>
  <si>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INE556F08KE8</t>
  </si>
  <si>
    <t>Small Industries Development Bank of India - 7.47% - 25/11/2025**</t>
  </si>
  <si>
    <t>Direct Plan - Bonus</t>
  </si>
  <si>
    <t>Regular Plan - Bonus</t>
  </si>
  <si>
    <t>Sundaram Money Market Fund</t>
  </si>
  <si>
    <t>INE160A16OM8</t>
  </si>
  <si>
    <t>Punjab National Bank - 25/02/2025</t>
  </si>
  <si>
    <t>CRISIL A1+</t>
  </si>
  <si>
    <t>INE556F16AR4</t>
  </si>
  <si>
    <t>Small Industries Development Bank of India - 27/02/2025**</t>
  </si>
  <si>
    <t>INE261F16843</t>
  </si>
  <si>
    <t>National Bank for Agriculture &amp; Rural Development - 12/03/2025**</t>
  </si>
  <si>
    <t>INE090AD6147</t>
  </si>
  <si>
    <t>ICICI Bank Ltd - 17/03/2025**</t>
  </si>
  <si>
    <t>ICRA A1+</t>
  </si>
  <si>
    <t>INE028A16GR2</t>
  </si>
  <si>
    <t>Bank of Baroda - 15/05/2025**</t>
  </si>
  <si>
    <t>IND A1+</t>
  </si>
  <si>
    <t>INE949L16CY1</t>
  </si>
  <si>
    <t>AU Small Finance Bank Ltd - 28/10/2025**</t>
  </si>
  <si>
    <t>INE084A16CS2</t>
  </si>
  <si>
    <t>Bank of India - 28/11/2025**</t>
  </si>
  <si>
    <t>INE092T16XM4</t>
  </si>
  <si>
    <t>IDFC First Bank Ltd - 28/05/2025**</t>
  </si>
  <si>
    <t>INE476A16YB0</t>
  </si>
  <si>
    <t>Canara Bank - 20/03/2025**</t>
  </si>
  <si>
    <t>INE562A16MZ1</t>
  </si>
  <si>
    <t>Indian Bank - 23/05/2025**</t>
  </si>
  <si>
    <t>INE040A16EN1</t>
  </si>
  <si>
    <t>HDFC Bank Ltd - 20/02/2025**</t>
  </si>
  <si>
    <t>INE01GA16228</t>
  </si>
  <si>
    <t>DBS BANK LTD - 07/03/2025**</t>
  </si>
  <si>
    <t>INE095A16X69</t>
  </si>
  <si>
    <t>IndusInd Bank Ltd - 21/11/2025**</t>
  </si>
  <si>
    <t>INE090AD6170</t>
  </si>
  <si>
    <t>ICICI Bank Ltd - 25/07/2025**</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</si>
  <si>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</si>
  <si>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</si>
  <si>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</si>
  <si>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</si>
  <si>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</si>
  <si>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</si>
  <si>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</si>
  <si>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</si>
  <si>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</si>
  <si>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</si>
  <si>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INE028A16GP6</t>
  </si>
  <si>
    <t>Bank of Baroda - 05/05/2025**</t>
  </si>
  <si>
    <t>INE238AD6967</t>
  </si>
  <si>
    <t>Axis Bank Ltd - 19/05/2025**</t>
  </si>
  <si>
    <t>INE040A16FA5</t>
  </si>
  <si>
    <t>HDFC Bank Ltd - 24/06/2025**</t>
  </si>
  <si>
    <t>INE338I14IN8</t>
  </si>
  <si>
    <t>Motilal Oswal Financial Services Ltd - 29/01/2025**</t>
  </si>
  <si>
    <t>INE121A14WW7</t>
  </si>
  <si>
    <t>Cholamandalam Investment and Finance Co Ltd - 10/02/2025**</t>
  </si>
  <si>
    <t>INE403D14544</t>
  </si>
  <si>
    <t>Bharti Telecom Ltd - 17/10/2025**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</si>
  <si>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</si>
  <si>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</si>
  <si>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</si>
  <si>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</si>
  <si>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</si>
  <si>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</si>
  <si>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</si>
  <si>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</si>
  <si>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INE556F14KH9</t>
  </si>
  <si>
    <t>Small Industries Development Bank of India - 28/05/2025**</t>
  </si>
  <si>
    <t>IN002024Y290</t>
  </si>
  <si>
    <t>182 Days - T Bill - 01/05/2025</t>
  </si>
  <si>
    <t>IN002024Y324</t>
  </si>
  <si>
    <t>182 Days - T Bill - 23/05/2025</t>
  </si>
  <si>
    <t>IN002024Y332</t>
  </si>
  <si>
    <t>182 Days - T Bill - 29/05/2025</t>
  </si>
  <si>
    <t>IN002024Y241</t>
  </si>
  <si>
    <t>182 Days - T Bill - 13/03/2025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</si>
  <si>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</si>
  <si>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</si>
  <si>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</si>
  <si>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</si>
  <si>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</si>
  <si>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</si>
  <si>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</si>
  <si>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</si>
  <si>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</si>
  <si>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</si>
  <si>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</si>
  <si>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</si>
  <si>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</si>
  <si>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</si>
  <si>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</si>
  <si>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</si>
  <si>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</si>
  <si>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</si>
  <si>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INE572E07183</t>
  </si>
  <si>
    <t>PNB Housing Finance Ltd - 8.15% - 29/07/2027**</t>
  </si>
  <si>
    <t>INE020B08ED9</t>
  </si>
  <si>
    <t>REC LTD - 7.56% - 30/06/2026**</t>
  </si>
  <si>
    <t>INE523H07CB9</t>
  </si>
  <si>
    <t>JM Financial Products Ltd - 8.92% - 16/11/2026**</t>
  </si>
  <si>
    <t>CRISIL AA</t>
  </si>
  <si>
    <t>INE261F08DP6</t>
  </si>
  <si>
    <t>National Bank for Agriculture &amp; Rural Development - 7.35% - 08/07/2025**</t>
  </si>
  <si>
    <t>INE414G07HI7</t>
  </si>
  <si>
    <t>Muthoot Finance Ltd - 8.3% - 06/01/2026**</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</si>
  <si>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</si>
  <si>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</si>
  <si>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</si>
  <si>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</si>
  <si>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</si>
  <si>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</si>
  <si>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</si>
  <si>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</si>
  <si>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</si>
  <si>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</si>
  <si>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</si>
  <si>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</si>
  <si>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</si>
  <si>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</si>
  <si>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</si>
  <si>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</si>
  <si>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</si>
  <si>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</si>
  <si>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</si>
  <si>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</si>
  <si>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</si>
  <si>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INE261F16819</t>
  </si>
  <si>
    <t>National Bank for Agriculture &amp; Rural Development - 26/02/2025**</t>
  </si>
  <si>
    <t>INE466L14DI2</t>
  </si>
  <si>
    <t>360 ONE WAM Ltd (Prev IIFL Wealth Management Ltd) - 14/03/2025**</t>
  </si>
  <si>
    <t>Sundaram Liquid Fund</t>
  </si>
  <si>
    <t>INE557F08FG1</t>
  </si>
  <si>
    <t>National Housing Bank - 7.05% - 18/12/2024**</t>
  </si>
  <si>
    <t>INE115A07OX8</t>
  </si>
  <si>
    <t>LIC Housing Finance Ltd - 5.5315% - 20/12/2024**</t>
  </si>
  <si>
    <t>INE572E07118</t>
  </si>
  <si>
    <t>PNB Housing Finance Ltd - 8.53% - 29/12/2024**</t>
  </si>
  <si>
    <t>INE115A07PD7</t>
  </si>
  <si>
    <t>LIC Housing Finance Ltd - 6.4% - 24/01/2025**</t>
  </si>
  <si>
    <t>INE040A08682</t>
  </si>
  <si>
    <t>HDFC Bank Ltd - 8.4% - 23/01/2025**</t>
  </si>
  <si>
    <t>INE261F08DI1</t>
  </si>
  <si>
    <t>National Bank for Agriculture &amp; Rural Development - 5.23% - 31/01/2025**</t>
  </si>
  <si>
    <t>INE028A16GJ9</t>
  </si>
  <si>
    <t>Bank of Baroda - 06/12/2024**</t>
  </si>
  <si>
    <t>INE040A16FL2</t>
  </si>
  <si>
    <t>HDFC Bank Ltd - 12/12/2024**</t>
  </si>
  <si>
    <t>INE062A16549</t>
  </si>
  <si>
    <t>State Bank of India - 27/12/2024**</t>
  </si>
  <si>
    <t>INE476A16ZD3</t>
  </si>
  <si>
    <t>Canara Bank - 09/12/2024</t>
  </si>
  <si>
    <t>INE692A16HV5</t>
  </si>
  <si>
    <t>Union Bank of India - 11/12/2024**</t>
  </si>
  <si>
    <t>INE556F16AM5</t>
  </si>
  <si>
    <t>Small Industries Development Bank of India - 11/12/2024**</t>
  </si>
  <si>
    <t>INE160A16PY0</t>
  </si>
  <si>
    <t>Punjab National Bank - 23/12/2024**</t>
  </si>
  <si>
    <t>INE457A16LZ6</t>
  </si>
  <si>
    <t>Bank of Maharashtra - 24/12/2024**</t>
  </si>
  <si>
    <t>INE238AD6629</t>
  </si>
  <si>
    <t>Axis Bank Ltd - 10/01/2025**</t>
  </si>
  <si>
    <t>INE476A16XI7</t>
  </si>
  <si>
    <t>Canara Bank - 16/01/2025**</t>
  </si>
  <si>
    <t>INE476A16YV8</t>
  </si>
  <si>
    <t>Canara Bank - 03/02/2025**</t>
  </si>
  <si>
    <t>INE040A16EM3</t>
  </si>
  <si>
    <t>HDFC Bank Ltd - 03/02/2025**</t>
  </si>
  <si>
    <t>INE008A16X32</t>
  </si>
  <si>
    <t>IDBI Bank Ltd - 04/02/2025**</t>
  </si>
  <si>
    <t>INE028A16EU1</t>
  </si>
  <si>
    <t>Bank of Baroda - 07/02/2025**</t>
  </si>
  <si>
    <t>INE084A16CR4</t>
  </si>
  <si>
    <t>Bank of India - 27/02/2025**</t>
  </si>
  <si>
    <t>INE084A16CP8</t>
  </si>
  <si>
    <t>Bank of India - 09/12/2024**</t>
  </si>
  <si>
    <t>INE028A16GL5</t>
  </si>
  <si>
    <t>Bank of Baroda - 11/12/2024**</t>
  </si>
  <si>
    <t>INE476A16ZF8</t>
  </si>
  <si>
    <t>Canara Bank - 12/12/2024**</t>
  </si>
  <si>
    <t>INE160A16PX2</t>
  </si>
  <si>
    <t>Punjab National Bank - 20/12/2024**</t>
  </si>
  <si>
    <t>INE562A16NI5</t>
  </si>
  <si>
    <t>Indian Bank - 05/12/2024</t>
  </si>
  <si>
    <t>INE090AD6105</t>
  </si>
  <si>
    <t>ICICI Bank Ltd - 06/12/2024**</t>
  </si>
  <si>
    <t>INE692A16HU7</t>
  </si>
  <si>
    <t>Union Bank of India - 10/12/2024**</t>
  </si>
  <si>
    <t>INE01GA16210</t>
  </si>
  <si>
    <t>DBS BANK LTD - 12/12/2024**</t>
  </si>
  <si>
    <t>INE476A16YQ8</t>
  </si>
  <si>
    <t>Canara Bank - 13/12/2024**</t>
  </si>
  <si>
    <t>INE476A16YR6</t>
  </si>
  <si>
    <t>Canara Bank - 16/12/2024</t>
  </si>
  <si>
    <t>INE238AD6926</t>
  </si>
  <si>
    <t>Axis Bank Ltd - 24/12/2024**</t>
  </si>
  <si>
    <t>INE476A16ZJ0</t>
  </si>
  <si>
    <t>Canara Bank - 26/12/2024**</t>
  </si>
  <si>
    <t>INE040A16EJ9</t>
  </si>
  <si>
    <t>HDFC Bank Ltd - 27/12/2024**</t>
  </si>
  <si>
    <t>INE556F16AO1</t>
  </si>
  <si>
    <t>Small Industries Development Bank of India - 10/01/2025**</t>
  </si>
  <si>
    <t>INE092T16XJ0</t>
  </si>
  <si>
    <t>IDFC First Bank Ltd - 17/01/2025**</t>
  </si>
  <si>
    <t>INE028A16GT8</t>
  </si>
  <si>
    <t>Bank of Baroda - 04/02/2025**</t>
  </si>
  <si>
    <t>INE562A16NL9</t>
  </si>
  <si>
    <t>Indian Bank - 05/02/2025**</t>
  </si>
  <si>
    <t>INE160A16QI1</t>
  </si>
  <si>
    <t>Punjab National Bank - 11/02/2025**</t>
  </si>
  <si>
    <t>INE028A16EX5</t>
  </si>
  <si>
    <t>Bank of Baroda - 20/02/2025</t>
  </si>
  <si>
    <t>INE160A16PK9</t>
  </si>
  <si>
    <t>Punjab National Bank - 20/02/2025</t>
  </si>
  <si>
    <t>INE238AD6694</t>
  </si>
  <si>
    <t>Axis Bank Ltd - 21/02/2025**</t>
  </si>
  <si>
    <t>INE237A165X0</t>
  </si>
  <si>
    <t>Kotak Mahindra Bank Ltd - 20/12/2024**</t>
  </si>
  <si>
    <t>INE238AD6603</t>
  </si>
  <si>
    <t>Axis Bank Ltd - 26/12/2024**</t>
  </si>
  <si>
    <t>INE261F16769</t>
  </si>
  <si>
    <t>National Bank for Agriculture &amp; Rural Development - 17/01/2025**</t>
  </si>
  <si>
    <t>INE556F14KO5</t>
  </si>
  <si>
    <t>Small Industries Development Bank of India - 13/12/2024</t>
  </si>
  <si>
    <t>INE417C14645</t>
  </si>
  <si>
    <t>Pilani Investment and Industries Corporation Ltd. - 14/01/2025**</t>
  </si>
  <si>
    <t>INE763G14WD3</t>
  </si>
  <si>
    <t>ICICI Securities Ltd - 11/02/2025**</t>
  </si>
  <si>
    <t>INE081A14FD8</t>
  </si>
  <si>
    <t>Tata Steel Ltd - 09/12/2024**</t>
  </si>
  <si>
    <t>INE338I14IJ6</t>
  </si>
  <si>
    <t>Motilal Oswal Financial Services Ltd - 11/12/2024**</t>
  </si>
  <si>
    <t>INE607M14BL7</t>
  </si>
  <si>
    <t>Tata Power Renewable Energy Ltd - 12/12/2024**</t>
  </si>
  <si>
    <t>INE0DZE14115</t>
  </si>
  <si>
    <t>Kisetsu Saison Finance - 12/12/2024**</t>
  </si>
  <si>
    <t>INE721A14DY0</t>
  </si>
  <si>
    <t>Shriram Finance Ltd - 12/12/2024**</t>
  </si>
  <si>
    <t>INE115A14EQ9</t>
  </si>
  <si>
    <t>LIC Housing Finance Ltd - 17/12/2024**</t>
  </si>
  <si>
    <t>INE860H144B8</t>
  </si>
  <si>
    <t>Aditya Birla Finance Ltd - 24/12/2024**</t>
  </si>
  <si>
    <t>INE09OL14FX2</t>
  </si>
  <si>
    <t>Birla Group Holdings Pvt Ltd - 27/12/2024**</t>
  </si>
  <si>
    <t>INE514E14RY1</t>
  </si>
  <si>
    <t>Export Import Bank of India - 24/01/2025**</t>
  </si>
  <si>
    <t>INE018A14LG1</t>
  </si>
  <si>
    <t>Larsen &amp; Toubro Ltd - 14/02/2025**</t>
  </si>
  <si>
    <t>INE929O14CT2</t>
  </si>
  <si>
    <t>Reliance Retail Ventures Ltd - 18/02/2025**</t>
  </si>
  <si>
    <t>INE891D14ZI1</t>
  </si>
  <si>
    <t>Redington Ltd - 27/02/2025**</t>
  </si>
  <si>
    <t>INE763G14VR5</t>
  </si>
  <si>
    <t>ICICI Securities Ltd - 03/12/2024</t>
  </si>
  <si>
    <t>INE233A14S61</t>
  </si>
  <si>
    <t>Godrej Industries Ltd - 13/12/2024**</t>
  </si>
  <si>
    <t>INE824H14QJ0</t>
  </si>
  <si>
    <t>Julius Baer Capital (India) Private Ltd - 30/12/2024**</t>
  </si>
  <si>
    <t>INE121A14WX5</t>
  </si>
  <si>
    <t>Cholamandalam Investment and Finance Co Ltd - 29/01/2025**</t>
  </si>
  <si>
    <t>INE700G14MJ3</t>
  </si>
  <si>
    <t>HDFC Securities Ltd - 27/02/2025**</t>
  </si>
  <si>
    <t>INE007N14DW1</t>
  </si>
  <si>
    <t>Fedbank Financial Services Ltd - 02/12/2024**</t>
  </si>
  <si>
    <t>INE850D14SH4</t>
  </si>
  <si>
    <t>Godrej Agrovet Ltd - 06/12/2024**</t>
  </si>
  <si>
    <t>INE146O14CN6</t>
  </si>
  <si>
    <t>Hinduja Leyland Finance Ltd - 06/12/2024**</t>
  </si>
  <si>
    <t>INE870H14TO7</t>
  </si>
  <si>
    <t>Network18 Media &amp; Investments Ltd - 13/12/2024**</t>
  </si>
  <si>
    <t>INE338I14IQ1</t>
  </si>
  <si>
    <t>Motilal Oswal Financial Services Ltd - 04/02/2025**</t>
  </si>
  <si>
    <t>INE929O14CS4</t>
  </si>
  <si>
    <t>Reliance Retail Ventures Ltd - 11/02/2025**</t>
  </si>
  <si>
    <t>INE700G14MD6</t>
  </si>
  <si>
    <t>HDFC Securities Ltd - 12/02/2025**</t>
  </si>
  <si>
    <t>INE498L14CV0</t>
  </si>
  <si>
    <t>L &amp; T Finance Ltd - 13/02/2025**</t>
  </si>
  <si>
    <t>INE047A14AC2</t>
  </si>
  <si>
    <t>Grasim Industries Ltd - 28/02/2025**</t>
  </si>
  <si>
    <t>INE860H143M7</t>
  </si>
  <si>
    <t>Aditya Birla Finance Ltd - 25/02/2025**</t>
  </si>
  <si>
    <t>INE261F14ML4</t>
  </si>
  <si>
    <t>National Bank for Agriculture &amp; Rural Development - 21/02/2025**</t>
  </si>
  <si>
    <t>INE865C14MH7</t>
  </si>
  <si>
    <t>Aditya Birla Money Ltd - 26/12/2024**</t>
  </si>
  <si>
    <t>INE692Q14BH8</t>
  </si>
  <si>
    <t>TOYOTA FINANCIAL SERVICES - 27/01/2025**</t>
  </si>
  <si>
    <t>INE865C14MJ3</t>
  </si>
  <si>
    <t>Aditya Birla Money Ltd - 05/02/2025**</t>
  </si>
  <si>
    <t>INE027214738</t>
  </si>
  <si>
    <t>BOBCARD Ltd - 27/02/2025**</t>
  </si>
  <si>
    <t>IN002023Z455</t>
  </si>
  <si>
    <t>364 Days - T Bill - 23/01/2025</t>
  </si>
  <si>
    <t>IN002023Z414</t>
  </si>
  <si>
    <t>364 Days - T Bill - 26/12/2024</t>
  </si>
  <si>
    <t>IN002024X276</t>
  </si>
  <si>
    <t>91 Days - T Bill - 09/01/2025</t>
  </si>
  <si>
    <t>IN002024Y183</t>
  </si>
  <si>
    <t>182 Days - T Bill - 30/01/2025</t>
  </si>
  <si>
    <t>IN002024X300</t>
  </si>
  <si>
    <t>91 Days - T Bill - 30/01/2025</t>
  </si>
  <si>
    <t>IN002023Z471</t>
  </si>
  <si>
    <t>364 Days- T Bill-06/02/2025</t>
  </si>
  <si>
    <t>IN002024Y118</t>
  </si>
  <si>
    <t>182 Days - T Bill - 12/12/2024</t>
  </si>
  <si>
    <t>IN002024Y100</t>
  </si>
  <si>
    <t>182 Days - T Bill - 05/12/2024</t>
  </si>
  <si>
    <t>IN002023Z430</t>
  </si>
  <si>
    <t>364 Days -T Bill- 09/01/2025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</si>
  <si>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</si>
  <si>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</si>
  <si>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</si>
  <si>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</si>
  <si>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</si>
  <si>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</si>
  <si>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</si>
  <si>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</si>
  <si>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</si>
  <si>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</si>
  <si>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</si>
  <si>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</si>
  <si>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</si>
  <si>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</si>
  <si>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</si>
  <si>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</si>
  <si>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</si>
  <si>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</si>
  <si>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</si>
  <si>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</si>
  <si>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</si>
  <si>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</si>
  <si>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</si>
  <si>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</si>
  <si>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</si>
  <si>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</si>
  <si>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</si>
  <si>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</si>
  <si>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</si>
  <si>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</si>
  <si>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</si>
  <si>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INE238AD6819</t>
  </si>
  <si>
    <t>Axis Bank Ltd - 27/02/2025</t>
  </si>
  <si>
    <t>INE237A160W3</t>
  </si>
  <si>
    <t>Kotak Mahindra Bank Ltd - 05/02/2025</t>
  </si>
  <si>
    <t>INE556F16AQ6</t>
  </si>
  <si>
    <t>Small Industries Development Bank of India - 07/02/2025**</t>
  </si>
  <si>
    <t>INE160A16OL0</t>
  </si>
  <si>
    <t>Punjab National Bank - 07/02/2025**</t>
  </si>
  <si>
    <t>INE028A16FL7</t>
  </si>
  <si>
    <t>Bank of Baroda - 10/03/2025</t>
  </si>
  <si>
    <t>INE476A16XV0</t>
  </si>
  <si>
    <t>Canara Bank - 11/03/2025</t>
  </si>
  <si>
    <t>INE084A16CT0</t>
  </si>
  <si>
    <t>Bank of India - 28/05/2025**</t>
  </si>
  <si>
    <t>INE238AD6884</t>
  </si>
  <si>
    <t>Axis Bank Ltd - 22/08/2025**</t>
  </si>
  <si>
    <t>INE095A16X10</t>
  </si>
  <si>
    <t>IndusInd Bank Ltd - 19/08/2025**</t>
  </si>
  <si>
    <t>INE261F14MH2</t>
  </si>
  <si>
    <t>National Bank for Agriculture &amp; Rural Development - 03/12/2024**</t>
  </si>
  <si>
    <t>INE556F14KG1</t>
  </si>
  <si>
    <t>Small Industries Development Bank of India - 28/02/2025**</t>
  </si>
  <si>
    <t>INE414G14TC1</t>
  </si>
  <si>
    <t>Muthoot Finance Ltd - 25/02/2025**</t>
  </si>
  <si>
    <t>INE477S14CC9</t>
  </si>
  <si>
    <t>Tata Motors Finance Ltd - 11/03/2025**</t>
  </si>
  <si>
    <t>INE144H14GZ0</t>
  </si>
  <si>
    <t>Deutsche Investments India Private Ltd - 09/12/2024**</t>
  </si>
  <si>
    <t>INE790I14EV2</t>
  </si>
  <si>
    <t>HSBC InvestDirect Financial Services India Limited - 24/12/2024**</t>
  </si>
  <si>
    <t>INE115A14EV9</t>
  </si>
  <si>
    <t>LIC Housing Finance Ltd - 04/03/2025**</t>
  </si>
  <si>
    <t>INE417C14710</t>
  </si>
  <si>
    <t>Pilani Investment and Industries Corporation Ltd. - 21/03/2025**</t>
  </si>
  <si>
    <t>INE763G14TX7</t>
  </si>
  <si>
    <t>ICICI Securities Ltd - 10/03/2025**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</si>
  <si>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</si>
  <si>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</si>
  <si>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</si>
  <si>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</si>
  <si>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</si>
  <si>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</si>
  <si>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</si>
  <si>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</si>
  <si>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</si>
  <si>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</si>
  <si>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</si>
  <si>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</si>
  <si>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</si>
  <si>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</si>
  <si>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</si>
  <si>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</si>
  <si>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</si>
  <si>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</si>
  <si>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</si>
  <si>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</si>
  <si>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</si>
  <si>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</si>
  <si>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</si>
  <si>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INE238A01034</t>
  </si>
  <si>
    <t>Axis Bank Ltd</t>
  </si>
  <si>
    <t>INE018A01030</t>
  </si>
  <si>
    <t>Larsen &amp; Toubro Ltd</t>
  </si>
  <si>
    <t>Construction</t>
  </si>
  <si>
    <t>INE062A01020</t>
  </si>
  <si>
    <t>State Bank of India</t>
  </si>
  <si>
    <t>INE154A01025</t>
  </si>
  <si>
    <t>ITC Ltd</t>
  </si>
  <si>
    <t>Diversified Fmcg</t>
  </si>
  <si>
    <t>INE044A01036</t>
  </si>
  <si>
    <t>Sun Pharmaceutical Industries Ltd</t>
  </si>
  <si>
    <t>Pharmaceuticals &amp; Biotechnology</t>
  </si>
  <si>
    <t>INE200M01039</t>
  </si>
  <si>
    <t>Varun Beverages Ltd</t>
  </si>
  <si>
    <t>Beverages</t>
  </si>
  <si>
    <t>INE029A01011</t>
  </si>
  <si>
    <t>Bharat Petroleum Corporation Ltd</t>
  </si>
  <si>
    <t>INE917I01010</t>
  </si>
  <si>
    <t>Bajaj Auto Ltd</t>
  </si>
  <si>
    <t>Automobiles</t>
  </si>
  <si>
    <t>INE540L01014</t>
  </si>
  <si>
    <t>Alkem Laboratories Ltd</t>
  </si>
  <si>
    <t>INE481G01011</t>
  </si>
  <si>
    <t>Ultratech Cement Ltd</t>
  </si>
  <si>
    <t>Cement &amp; Cement Products</t>
  </si>
  <si>
    <t>INE726G01019</t>
  </si>
  <si>
    <t>ICICI Prudential Life Insurance Company Ltd</t>
  </si>
  <si>
    <t>Insurance</t>
  </si>
  <si>
    <t>INE854D01024</t>
  </si>
  <si>
    <t>United Spirits Ltd</t>
  </si>
  <si>
    <t>INE603J01030</t>
  </si>
  <si>
    <t>PI Industries Ltd</t>
  </si>
  <si>
    <t>Fertilizers &amp; Agrochemicals</t>
  </si>
  <si>
    <t>INE196A01026</t>
  </si>
  <si>
    <t>Marico Ltd</t>
  </si>
  <si>
    <t>Agricultural Food &amp; Other Products</t>
  </si>
  <si>
    <t>INE797F01020</t>
  </si>
  <si>
    <t>Jubilant Foodworks Ltd</t>
  </si>
  <si>
    <t>Leisure Services</t>
  </si>
  <si>
    <t>INE047A01021</t>
  </si>
  <si>
    <t>Grasim Industries Ltd</t>
  </si>
  <si>
    <t>INE585B01010</t>
  </si>
  <si>
    <t>Maruti Suzuki India Ltd</t>
  </si>
  <si>
    <t>INE438A01022</t>
  </si>
  <si>
    <t>Apollo Tyres Ltd</t>
  </si>
  <si>
    <t>Auto Components</t>
  </si>
  <si>
    <t>INE028A01039</t>
  </si>
  <si>
    <t>Bank of Baroda</t>
  </si>
  <si>
    <t>IN9397D01014</t>
  </si>
  <si>
    <t>Sundaram Overnight Fund</t>
  </si>
  <si>
    <t>IN002024X250</t>
  </si>
  <si>
    <t>91 Days - T Bill - 12/12/2024</t>
  </si>
  <si>
    <t>Reverse Repo</t>
  </si>
  <si>
    <t>S. No.</t>
  </si>
  <si>
    <t>ACRONYM</t>
  </si>
  <si>
    <t>SCHEME NAME</t>
  </si>
  <si>
    <t>SFRLTP</t>
  </si>
  <si>
    <t>SFRSTP</t>
  </si>
  <si>
    <t>SMMF</t>
  </si>
  <si>
    <t>SPLDF</t>
  </si>
  <si>
    <t>SPMON</t>
  </si>
  <si>
    <t>SPSDF</t>
  </si>
  <si>
    <t>SPUSDF</t>
  </si>
  <si>
    <t>SUNBDS</t>
  </si>
  <si>
    <t>SUNMIA</t>
  </si>
  <si>
    <t>SUNONF</t>
  </si>
  <si>
    <t>Index</t>
  </si>
  <si>
    <t>YTM (%)*</t>
  </si>
  <si>
    <t>Fortnightly Portfolio Statement as on 30 November 2024</t>
  </si>
  <si>
    <t>YTM (%)</t>
  </si>
  <si>
    <t>**Non Traded Securities - Wherever applicable</t>
  </si>
  <si>
    <t>^ Net current assets includes interest accrued on fixed income securities - Wherever applicable</t>
  </si>
  <si>
    <t># percentage to NAV of security is less than 0.01% - Wherever applicable</t>
  </si>
  <si>
    <t>At the beginning</t>
  </si>
  <si>
    <t>(b) Corporate Debt Market Development Fund</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</si>
  <si>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</si>
  <si>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</si>
  <si>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</si>
  <si>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</si>
  <si>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</si>
  <si>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</si>
  <si>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</si>
  <si>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</si>
  <si>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</si>
  <si>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</si>
  <si>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</si>
  <si>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</si>
  <si>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</si>
  <si>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</si>
  <si>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</si>
  <si>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</si>
  <si>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</si>
  <si>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</si>
  <si>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</si>
  <si>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</si>
  <si>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</si>
  <si>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</si>
  <si>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</si>
  <si>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</si>
  <si>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</si>
  <si>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</si>
  <si>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</si>
  <si>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</si>
  <si>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</si>
  <si>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</si>
  <si>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</si>
  <si>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</si>
  <si>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</si>
  <si>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</si>
  <si>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</si>
  <si>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</si>
  <si>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</si>
  <si>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</si>
  <si>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</si>
  <si>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</si>
  <si>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</si>
  <si>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</si>
  <si>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</si>
  <si>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Net receivable/ Market value  (Rs. Lakh)</t>
  </si>
  <si>
    <t>% to NAV</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</si>
  <si>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</si>
  <si>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</si>
  <si>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</si>
  <si>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</si>
  <si>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</si>
  <si>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</si>
  <si>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</si>
  <si>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</si>
  <si>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</si>
  <si>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</si>
  <si>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</si>
  <si>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h)</t>
  </si>
  <si>
    <t>Total Amount(Principal &amp; Interest)  (Rs. Lakh)</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</si>
  <si>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</si>
  <si>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</si>
  <si>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</si>
  <si>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</si>
  <si>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</si>
  <si>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</si>
  <si>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INE0GGX23010</t>
  </si>
  <si>
    <t>Power Grid Infrastructure Investment Trust(InvIT)</t>
  </si>
  <si>
    <t>Power</t>
  </si>
  <si>
    <t>Bharti Airtel Ltd - Partly Paid Right Shares</t>
  </si>
  <si>
    <t>Macaulay Duration - only for Debt portion (years)</t>
  </si>
  <si>
    <t>Average Maturity  - only for Debt portion (years)</t>
  </si>
  <si>
    <t xml:space="preserve">11.55% Prev 11.45%-Dewan Housing Finance Corp Ltd-12/09/2019  </t>
  </si>
  <si>
    <t>Amount Recovered (Rs. In Lacs) 30th Sep 2021</t>
  </si>
  <si>
    <t>Further amount received on 31/08/2024  (Rs. In Lacs)</t>
  </si>
  <si>
    <t xml:space="preserve">11.55%_Prev 11.45%-Dewan Housing Finance Corp Ltd-12/09/2019  </t>
  </si>
  <si>
    <t>Unclaimed Plan - IDCW beyond three years</t>
  </si>
  <si>
    <t>Unclaimed Plan - IDCW upto three years</t>
  </si>
  <si>
    <t>Unclaimed Plan - Redemption upto three years</t>
  </si>
  <si>
    <t>Unclaimed Plan - Redemption beyond three years</t>
  </si>
  <si>
    <t>Macaulay Duration (Days)</t>
  </si>
  <si>
    <t>Average Maturity (Days)</t>
  </si>
  <si>
    <t>30-Nov-2024</t>
  </si>
  <si>
    <t>i) Exposure to securities classified as below investment grade or default as on 30-Nov-2024:-</t>
  </si>
  <si>
    <t>h) Exposure to securities classified as below investment grade or default as on 30-Nov-2024:-</t>
  </si>
  <si>
    <t>% to AUM as on  30-Nov-2024</t>
  </si>
  <si>
    <t>Scheme Riskometer :</t>
  </si>
  <si>
    <t>Tier I Benchmark Riskometer :</t>
  </si>
  <si>
    <t xml:space="preserve">                    NIFTY Corporate Bond Index A-II</t>
  </si>
  <si>
    <t>Tier II Benchmark Riskometer :</t>
  </si>
  <si>
    <t xml:space="preserve">               NIFTY AAA Short Duration Bond Index</t>
  </si>
  <si>
    <t xml:space="preserve">           NIFTY Banking and PSU Debt Index A-II</t>
  </si>
  <si>
    <t xml:space="preserve">            NIFTY AAA Short Duration Bond Index</t>
  </si>
  <si>
    <t xml:space="preserve">                    NIFTY Money Market Index A-I</t>
  </si>
  <si>
    <t xml:space="preserve">                     NIFTY Money Market Index</t>
  </si>
  <si>
    <t xml:space="preserve">              NIFTY Low Duration Debt Index A-I</t>
  </si>
  <si>
    <t xml:space="preserve">                  NIFTY Low Duration Debt Index</t>
  </si>
  <si>
    <t xml:space="preserve">                      NIFTY Liquid Index A-I</t>
  </si>
  <si>
    <t xml:space="preserve">                       NIFTY Liquid Index</t>
  </si>
  <si>
    <t xml:space="preserve">               Nifty Short Duration Debt Index A-II</t>
  </si>
  <si>
    <t xml:space="preserve">                NIFTY Short Duration Debt Index</t>
  </si>
  <si>
    <t xml:space="preserve">          NIFTY Ultra Short Duration Debt Index A-I</t>
  </si>
  <si>
    <t xml:space="preserve">              NIFTY Ultra Short Duration Debt Index</t>
  </si>
  <si>
    <t xml:space="preserve">          NIFTY Medium Duration Debt Index A-III</t>
  </si>
  <si>
    <t xml:space="preserve">              NIFTY Medium Duration Debt Index</t>
  </si>
  <si>
    <t>Benchmark Riskometer :</t>
  </si>
  <si>
    <t xml:space="preserve">      CRISIL Hybrid 85 Plus 15 - Conservative Index</t>
  </si>
  <si>
    <t xml:space="preserve">                         NIFTY 1D Rate Index</t>
  </si>
  <si>
    <t xml:space="preserve">                        NIFTY 1D Rate Index</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</si>
  <si>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</si>
  <si>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</si>
  <si>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</si>
  <si>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</si>
  <si>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</si>
  <si>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</si>
  <si>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</si>
  <si>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</si>
  <si>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 Aggregate Investments by Other schemes of Sundaram Mutual Fund - Rs.56,732.095 Lakhs</t>
  </si>
  <si>
    <t>++ Aggregate Investments by Other schemes of Sundaram Mutual Fund - Rs.11,072.36 Lakhs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</si>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</sst>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_ * #,##0.00_ ;_ * \-#,##0.00_ ;_ * &quot;-&quot;??_ ;_ @_ "/>
  </numFmts>
  <fonts count="31"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sz val="11"/>
      <name val="Aptos Narrow"/>
      <family val="2"/>
      <scheme val="minor"/>
    </font>
    <font>
      <b/>
      <sz val="10"/>
      <name val="Arial"/>
      <family val="2"/>
    </font>
  </fonts>
  <fills count="2">
    <fill>
      <patternFill patternType="none"/>
    </fill>
    <fill>
      <patternFill patternType="gray125"/>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wrapText="1"/>
    </xf>
    <xf numFmtId="164" fontId="5" fillId="0" borderId="0" applyFont="0" applyFill="0" applyBorder="0" applyAlignment="0" applyProtection="0"/>
    <xf numFmtId="0" fontId="1" fillId="0" borderId="0"/>
    <xf numFmtId="0" fontId="1" fillId="0" borderId="0"/>
    <xf numFmtId="0" fontId="11" fillId="0" borderId="0" applyNumberFormat="0" applyFill="0" applyBorder="0" applyAlignment="0" applyProtection="0">
      <alignment wrapText="1"/>
    </xf>
    <xf numFmtId="0" fontId="16" fillId="0" borderId="0">
      <alignment wrapText="1"/>
    </xf>
    <xf numFmtId="175" fontId="16" fillId="0" borderId="0" applyFont="0" applyFill="0" applyBorder="0" applyAlignment="0" applyProtection="0"/>
    <xf numFmtId="9" fontId="27" fillId="0" borderId="0" applyFont="0" applyFill="0" applyBorder="0" applyAlignment="0" applyProtection="0"/>
    <xf numFmtId="9" fontId="16" fillId="0" borderId="0" applyFont="0" applyFill="0" applyBorder="0" applyAlignment="0" applyProtection="0"/>
    <xf numFmtId="0" fontId="1" fillId="0" borderId="0"/>
  </cellStyleXfs>
  <cellXfs count="181">
    <xf numFmtId="0" fontId="0" fillId="0" borderId="0" xfId="0">
      <alignment wrapText="1"/>
    </xf>
    <xf numFmtId="0" fontId="8" fillId="0" borderId="7" xfId="2" applyFont="1" applyBorder="1" applyAlignment="1">
      <alignment horizontal="center"/>
    </xf>
    <xf numFmtId="0" fontId="9" fillId="0" borderId="7" xfId="2" applyFont="1" applyBorder="1" applyAlignment="1">
      <alignment horizontal="center" vertical="center"/>
    </xf>
    <xf numFmtId="0" fontId="10" fillId="0" borderId="0" xfId="3" applyFont="1"/>
    <xf numFmtId="0" fontId="10" fillId="0" borderId="7" xfId="2" applyFont="1" applyBorder="1" applyAlignment="1">
      <alignment horizontal="center"/>
    </xf>
    <xf numFmtId="0" fontId="12" fillId="0" borderId="7" xfId="4" applyFont="1" applyBorder="1" applyAlignment="1">
      <alignment vertical="center"/>
    </xf>
    <xf numFmtId="0" fontId="13" fillId="0" borderId="7" xfId="2" applyFont="1" applyBorder="1" applyAlignment="1">
      <alignment vertical="top"/>
    </xf>
    <xf numFmtId="0" fontId="15" fillId="0" borderId="0" xfId="4" applyFont="1" applyFill="1" applyBorder="1" applyAlignment="1">
      <alignment horizontal="center" vertical="center" wrapText="1"/>
    </xf>
    <xf numFmtId="175" fontId="21" fillId="0" borderId="7" xfId="6" applyFont="1" applyFill="1" applyBorder="1" applyAlignment="1">
      <alignment vertical="center"/>
    </xf>
    <xf numFmtId="175" fontId="24" fillId="0" borderId="7" xfId="6" applyFont="1" applyFill="1" applyBorder="1" applyAlignment="1">
      <alignment vertical="center"/>
    </xf>
    <xf numFmtId="4" fontId="26" fillId="0" borderId="7" xfId="7" applyNumberFormat="1" applyFont="1" applyFill="1" applyBorder="1"/>
    <xf numFmtId="10" fontId="24" fillId="0" borderId="7" xfId="8" applyNumberFormat="1" applyFont="1" applyFill="1" applyBorder="1" applyAlignment="1">
      <alignment vertical="center"/>
    </xf>
    <xf numFmtId="4" fontId="26" fillId="0" borderId="0" xfId="7" applyNumberFormat="1" applyFont="1" applyFill="1" applyBorder="1"/>
    <xf numFmtId="0" fontId="14" fillId="0" borderId="4" xfId="0" applyFont="1" applyBorder="1" applyAlignment="1">
      <alignment horizontal="center" vertical="center" wrapText="1" readingOrder="1"/>
    </xf>
    <xf numFmtId="164" fontId="14"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166" fontId="18" fillId="0" borderId="7"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8"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4" fillId="0" borderId="6" xfId="0" applyFont="1" applyBorder="1" applyAlignment="1">
      <alignment horizontal="right" vertical="center" wrapText="1" readingOrder="1"/>
    </xf>
    <xf numFmtId="0" fontId="18" fillId="0" borderId="0" xfId="0" applyFont="1" applyAlignment="1">
      <alignment horizontal="right" vertical="top" wrapText="1" readingOrder="1"/>
    </xf>
    <xf numFmtId="0" fontId="20" fillId="0" borderId="4" xfId="0" applyFont="1" applyBorder="1" applyAlignment="1">
      <alignment horizontal="right" vertical="top" wrapText="1" readingOrder="1"/>
    </xf>
    <xf numFmtId="164" fontId="18" fillId="0" borderId="0" xfId="1" applyFont="1" applyFill="1" applyBorder="1" applyAlignment="1">
      <alignment horizontal="right" vertical="top" wrapText="1" readingOrder="1"/>
    </xf>
    <xf numFmtId="0" fontId="2" fillId="0" borderId="0" xfId="0" applyFont="1" applyAlignment="1">
      <alignment horizontal="right" vertical="top" wrapText="1" readingOrder="1"/>
    </xf>
    <xf numFmtId="0" fontId="3" fillId="0" borderId="4" xfId="0" applyFont="1" applyBorder="1" applyAlignment="1">
      <alignment horizontal="left" vertical="top" wrapText="1" readingOrder="1"/>
    </xf>
    <xf numFmtId="173" fontId="20" fillId="0" borderId="4" xfId="0" applyNumberFormat="1" applyFont="1" applyBorder="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18" fillId="0" borderId="4" xfId="0" applyFont="1" applyBorder="1" applyAlignment="1">
      <alignment horizontal="left" vertical="center" wrapText="1" readingOrder="1"/>
    </xf>
    <xf numFmtId="0" fontId="20" fillId="0" borderId="4" xfId="0" applyFont="1" applyBorder="1" applyAlignment="1">
      <alignment horizontal="left" vertical="center" wrapText="1" readingOrder="1"/>
    </xf>
    <xf numFmtId="0" fontId="0" fillId="0" borderId="0" xfId="0" applyAlignment="1">
      <alignment horizontal="center" vertical="top" readingOrder="1"/>
    </xf>
    <xf numFmtId="0" fontId="18" fillId="0" borderId="6" xfId="0" applyFont="1" applyBorder="1" applyAlignment="1">
      <alignment horizontal="right" vertical="top" wrapText="1" readingOrder="1"/>
    </xf>
    <xf numFmtId="0" fontId="16" fillId="0" borderId="0" xfId="5">
      <alignment wrapText="1"/>
    </xf>
    <xf numFmtId="0" fontId="21" fillId="0" borderId="0" xfId="0" applyFont="1" applyAlignment="1">
      <alignment vertical="center" wrapText="1"/>
    </xf>
    <xf numFmtId="0" fontId="0" fillId="0" borderId="0" xfId="0" applyAlignment="1">
      <alignment vertical="center" wrapText="1"/>
    </xf>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172" fontId="20" fillId="0" borderId="4" xfId="0" applyNumberFormat="1" applyFont="1" applyBorder="1" applyAlignment="1">
      <alignment horizontal="left" vertical="center" wrapText="1" readingOrder="1"/>
    </xf>
    <xf numFmtId="174" fontId="20" fillId="0" borderId="4" xfId="0" applyNumberFormat="1" applyFont="1" applyBorder="1" applyAlignment="1">
      <alignment horizontal="left" vertical="center" wrapText="1" readingOrder="1"/>
    </xf>
    <xf numFmtId="174" fontId="20" fillId="0" borderId="4" xfId="0" quotePrefix="1" applyNumberFormat="1" applyFont="1" applyBorder="1" applyAlignment="1">
      <alignment horizontal="left" vertical="center" wrapText="1" readingOrder="1"/>
    </xf>
    <xf numFmtId="175" fontId="0" fillId="0" borderId="0" xfId="6" applyFont="1" applyFill="1" applyAlignment="1">
      <alignment wrapText="1"/>
    </xf>
    <xf numFmtId="0" fontId="30" fillId="0" borderId="0" xfId="0" applyFont="1">
      <alignment wrapText="1"/>
    </xf>
    <xf numFmtId="0" fontId="30" fillId="0" borderId="0" xfId="0" applyFont="1" applyAlignment="1"/>
    <xf numFmtId="0" fontId="0" fillId="0" borderId="0" xfId="0" applyAlignment="1"/>
    <xf numFmtId="168" fontId="18" fillId="0" borderId="4" xfId="0" applyNumberFormat="1" applyFont="1" applyBorder="1" applyAlignment="1">
      <alignment horizontal="right" vertical="center" wrapText="1" readingOrder="1"/>
    </xf>
    <xf numFmtId="166" fontId="18" fillId="0" borderId="4" xfId="0" applyNumberFormat="1" applyFont="1" applyBorder="1" applyAlignment="1">
      <alignment horizontal="right" vertical="center" wrapText="1" readingOrder="1"/>
    </xf>
    <xf numFmtId="165" fontId="18" fillId="0" borderId="4" xfId="0" applyNumberFormat="1" applyFont="1" applyBorder="1" applyAlignment="1">
      <alignment horizontal="right" vertical="center" wrapText="1" readingOrder="1"/>
    </xf>
    <xf numFmtId="0" fontId="30" fillId="0" borderId="0" xfId="0" applyFont="1" applyAlignment="1">
      <alignment horizontal="center" vertical="center" wrapText="1"/>
    </xf>
    <xf numFmtId="0" fontId="18" fillId="0" borderId="4" xfId="0" applyFont="1" applyBorder="1" applyAlignment="1">
      <alignment horizontal="right" vertical="top" wrapText="1" readingOrder="1"/>
    </xf>
    <xf numFmtId="0" fontId="19" fillId="0" borderId="4" xfId="0" applyFont="1" applyBorder="1" applyAlignment="1">
      <alignment horizontal="left" vertical="center" wrapText="1" readingOrder="1"/>
    </xf>
    <xf numFmtId="0" fontId="19" fillId="0" borderId="4" xfId="0" applyFont="1" applyBorder="1" applyAlignment="1">
      <alignment horizontal="right" vertical="center" wrapText="1" readingOrder="1"/>
    </xf>
    <xf numFmtId="0" fontId="21" fillId="0" borderId="0" xfId="0" applyFont="1">
      <alignment wrapText="1"/>
    </xf>
    <xf numFmtId="167" fontId="18" fillId="0" borderId="4" xfId="0" applyNumberFormat="1" applyFont="1" applyBorder="1" applyAlignment="1">
      <alignment horizontal="right" vertical="center" wrapText="1" readingOrder="1"/>
    </xf>
    <xf numFmtId="169" fontId="18" fillId="0" borderId="4" xfId="0" applyNumberFormat="1" applyFont="1" applyBorder="1" applyAlignment="1">
      <alignment horizontal="right" vertical="center" wrapText="1" readingOrder="1"/>
    </xf>
    <xf numFmtId="166" fontId="20" fillId="0" borderId="4" xfId="0" applyNumberFormat="1" applyFont="1" applyBorder="1" applyAlignment="1">
      <alignment horizontal="right" vertical="center" wrapText="1" readingOrder="1"/>
    </xf>
    <xf numFmtId="165" fontId="20" fillId="0" borderId="4" xfId="0" applyNumberFormat="1" applyFont="1" applyBorder="1" applyAlignment="1">
      <alignment horizontal="right" vertical="center" wrapText="1" readingOrder="1"/>
    </xf>
    <xf numFmtId="14" fontId="21" fillId="0" borderId="7" xfId="0" quotePrefix="1" applyNumberFormat="1" applyFont="1" applyBorder="1" applyAlignment="1">
      <alignment horizontal="justify" vertical="center" wrapText="1"/>
    </xf>
    <xf numFmtId="0" fontId="25" fillId="0" borderId="7" xfId="2" applyFont="1" applyBorder="1" applyAlignment="1">
      <alignment horizontal="center"/>
    </xf>
    <xf numFmtId="0" fontId="26" fillId="0" borderId="7" xfId="2" applyFont="1" applyBorder="1" applyAlignment="1">
      <alignment vertical="center"/>
    </xf>
    <xf numFmtId="0" fontId="26" fillId="0" borderId="7" xfId="2" applyFont="1" applyBorder="1" applyAlignment="1">
      <alignment wrapText="1"/>
    </xf>
    <xf numFmtId="0" fontId="26" fillId="0" borderId="7" xfId="2" applyFont="1" applyBorder="1"/>
    <xf numFmtId="0" fontId="25" fillId="0" borderId="7" xfId="2" applyFont="1" applyBorder="1" applyAlignment="1">
      <alignment horizontal="center" vertical="center" wrapText="1"/>
    </xf>
    <xf numFmtId="4" fontId="26" fillId="0" borderId="7" xfId="2" applyNumberFormat="1" applyFont="1" applyBorder="1"/>
    <xf numFmtId="2" fontId="26" fillId="0" borderId="7" xfId="2" applyNumberFormat="1" applyFont="1" applyBorder="1"/>
    <xf numFmtId="4" fontId="16" fillId="0" borderId="7" xfId="5" applyNumberFormat="1" applyBorder="1">
      <alignment wrapText="1"/>
    </xf>
    <xf numFmtId="0" fontId="28" fillId="0" borderId="0" xfId="0" applyFont="1" applyAlignment="1"/>
    <xf numFmtId="0" fontId="11" fillId="0" borderId="0" xfId="4" applyFill="1" applyAlignment="1"/>
    <xf numFmtId="0" fontId="18" fillId="0" borderId="0" xfId="0" applyFont="1" applyAlignment="1">
      <alignment horizontal="right" vertical="center" wrapText="1" readingOrder="1"/>
    </xf>
    <xf numFmtId="0" fontId="6" fillId="0" borderId="0" xfId="9" applyFont="1" applyAlignment="1">
      <alignment horizontal="center" vertical="center"/>
    </xf>
    <xf numFmtId="0" fontId="1" fillId="0" borderId="0" xfId="9" applyAlignment="1">
      <alignment wrapText="1"/>
    </xf>
    <xf numFmtId="4" fontId="7" fillId="0" borderId="0" xfId="9" applyNumberFormat="1" applyFont="1"/>
    <xf numFmtId="0" fontId="29" fillId="0" borderId="0" xfId="9" applyFont="1" applyAlignment="1">
      <alignment wrapText="1"/>
    </xf>
    <xf numFmtId="0" fontId="23" fillId="0" borderId="7" xfId="9" applyFont="1" applyBorder="1" applyAlignment="1">
      <alignment horizontal="center" vertical="center"/>
    </xf>
    <xf numFmtId="0" fontId="23" fillId="0" borderId="0" xfId="9" applyFont="1" applyAlignment="1">
      <alignment horizontal="center" vertical="center"/>
    </xf>
    <xf numFmtId="0" fontId="24" fillId="0" borderId="7" xfId="9" applyFont="1" applyBorder="1" applyAlignment="1">
      <alignment vertical="center"/>
    </xf>
    <xf numFmtId="0" fontId="24" fillId="0" borderId="7" xfId="9" applyFont="1" applyBorder="1" applyAlignment="1">
      <alignment vertical="center" wrapText="1"/>
    </xf>
    <xf numFmtId="0" fontId="24" fillId="0" borderId="0" xfId="9" applyFont="1" applyAlignment="1">
      <alignment horizontal="center" vertical="center"/>
    </xf>
    <xf numFmtId="0" fontId="23" fillId="0" borderId="7" xfId="9" applyFont="1" applyBorder="1" applyAlignment="1">
      <alignment horizontal="center" vertical="center" wrapText="1"/>
    </xf>
    <xf numFmtId="0" fontId="17" fillId="0" borderId="0" xfId="9" applyFont="1" applyAlignment="1">
      <alignment horizontal="center" vertical="center"/>
    </xf>
    <xf numFmtId="0" fontId="24" fillId="0" borderId="7" xfId="9" applyFont="1" applyBorder="1" applyAlignment="1">
      <alignment horizontal="left" vertical="center"/>
    </xf>
    <xf numFmtId="4" fontId="24" fillId="0" borderId="7" xfId="9" applyNumberFormat="1" applyFont="1" applyBorder="1" applyAlignment="1">
      <alignment horizontal="right" vertical="center"/>
    </xf>
    <xf numFmtId="10" fontId="24" fillId="0" borderId="7" xfId="7" applyNumberFormat="1" applyFont="1" applyFill="1" applyBorder="1" applyAlignment="1">
      <alignment vertical="center"/>
    </xf>
    <xf numFmtId="175" fontId="29" fillId="0" borderId="0" xfId="6" applyFont="1" applyFill="1" applyAlignment="1">
      <alignment vertical="center"/>
    </xf>
    <xf numFmtId="175" fontId="24" fillId="0" borderId="0" xfId="6" applyFont="1" applyFill="1" applyAlignment="1">
      <alignment horizontal="center" vertical="center"/>
    </xf>
    <xf numFmtId="0" fontId="22" fillId="0" borderId="0" xfId="0" applyFont="1" applyAlignment="1">
      <alignment vertical="center" readingOrder="1"/>
    </xf>
    <xf numFmtId="0" fontId="22" fillId="0" borderId="0" xfId="0" applyFont="1" applyAlignment="1">
      <alignment horizontal="left" vertical="center" readingOrder="1"/>
    </xf>
    <xf numFmtId="0" fontId="23" fillId="0" borderId="7" xfId="0" applyFont="1" applyBorder="1" applyAlignment="1">
      <alignment vertical="center" wrapText="1"/>
    </xf>
    <xf numFmtId="0" fontId="23" fillId="0" borderId="7" xfId="0" applyFont="1" applyBorder="1" applyAlignment="1">
      <alignment horizontal="center" vertical="center" wrapText="1"/>
    </xf>
    <xf numFmtId="0" fontId="21" fillId="0" borderId="7" xfId="0" applyFont="1" applyBorder="1" applyAlignment="1">
      <alignment vertical="center"/>
    </xf>
    <xf numFmtId="4" fontId="21" fillId="0" borderId="7" xfId="0" applyNumberFormat="1" applyFont="1" applyBorder="1" applyAlignment="1">
      <alignment vertical="center"/>
    </xf>
    <xf numFmtId="0" fontId="19" fillId="0" borderId="0" xfId="2" applyFont="1" applyAlignment="1">
      <alignment horizontal="left" vertical="center" wrapText="1" readingOrder="1"/>
    </xf>
    <xf numFmtId="0" fontId="10" fillId="0" borderId="0" xfId="2" applyFont="1" applyAlignment="1">
      <alignment vertical="center" wrapText="1"/>
    </xf>
    <xf numFmtId="0" fontId="28" fillId="0" borderId="0" xfId="0" applyFont="1" applyAlignment="1">
      <alignment horizontal="left" vertical="top" readingOrder="1"/>
    </xf>
    <xf numFmtId="175" fontId="26" fillId="0" borderId="7" xfId="6" applyFont="1" applyFill="1" applyBorder="1"/>
    <xf numFmtId="43" fontId="26" fillId="0" borderId="7" xfId="2" applyNumberFormat="1" applyFont="1" applyBorder="1"/>
    <xf numFmtId="0" fontId="26" fillId="0" borderId="0" xfId="2" applyFont="1"/>
    <xf numFmtId="0" fontId="26" fillId="0" borderId="0" xfId="2" applyFont="1" applyAlignment="1">
      <alignment wrapText="1"/>
    </xf>
    <xf numFmtId="4" fontId="26" fillId="0" borderId="0" xfId="2" applyNumberFormat="1" applyFont="1"/>
    <xf numFmtId="175" fontId="26" fillId="0" borderId="0" xfId="6" applyFont="1" applyFill="1" applyBorder="1"/>
    <xf numFmtId="43" fontId="26" fillId="0" borderId="0" xfId="2" applyNumberFormat="1" applyFont="1"/>
    <xf numFmtId="2" fontId="21" fillId="0" borderId="7" xfId="0" applyNumberFormat="1" applyFont="1" applyBorder="1" applyAlignment="1">
      <alignment vertical="center"/>
    </xf>
    <xf numFmtId="0" fontId="20" fillId="0" borderId="0" xfId="0" applyFont="1" applyAlignment="1">
      <alignment horizontal="left" vertical="center" wrapText="1" readingOrder="1"/>
    </xf>
    <xf numFmtId="0" fontId="23" fillId="0" borderId="0" xfId="0" applyFont="1" applyAlignment="1">
      <alignment vertical="center" wrapText="1"/>
    </xf>
    <xf numFmtId="0" fontId="21" fillId="0" borderId="0" xfId="0" applyFont="1" applyAlignment="1">
      <alignment vertical="center"/>
    </xf>
    <xf numFmtId="0" fontId="21" fillId="0" borderId="0" xfId="0" applyFont="1" applyAlignment="1">
      <alignment horizontal="center" vertical="center" readingOrder="1"/>
    </xf>
    <xf numFmtId="0" fontId="2" fillId="0" borderId="4" xfId="0" applyFont="1" applyBorder="1" applyAlignment="1">
      <alignment horizontal="center" vertical="center" wrapText="1" readingOrder="1"/>
    </xf>
    <xf numFmtId="0" fontId="18" fillId="0" borderId="0" xfId="0" applyFont="1" applyAlignment="1">
      <alignment horizontal="left" vertical="center" wrapText="1" readingOrder="1"/>
    </xf>
    <xf numFmtId="0" fontId="20" fillId="0" borderId="7" xfId="0" applyFont="1" applyBorder="1" applyAlignment="1">
      <alignment horizontal="center" vertical="center" wrapText="1" readingOrder="1"/>
    </xf>
    <xf numFmtId="0" fontId="18" fillId="0" borderId="7"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8" fillId="0" borderId="1" xfId="0" applyFont="1" applyBorder="1" applyAlignment="1">
      <alignment horizontal="left" vertical="center" wrapText="1" readingOrder="1"/>
    </xf>
    <xf numFmtId="0" fontId="18" fillId="0" borderId="3" xfId="0" applyFont="1" applyBorder="1" applyAlignment="1">
      <alignment horizontal="left" vertical="center" wrapText="1" readingOrder="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14" fillId="0" borderId="7" xfId="0" applyFont="1" applyBorder="1" applyAlignment="1">
      <alignment horizontal="center" vertical="center" wrapText="1" readingOrder="1"/>
    </xf>
    <xf numFmtId="0" fontId="18" fillId="0" borderId="8" xfId="0" applyFont="1" applyBorder="1" applyAlignment="1">
      <alignment horizontal="left" vertical="center" wrapText="1" readingOrder="1"/>
    </xf>
    <xf numFmtId="0" fontId="18" fillId="0" borderId="10" xfId="0" applyFont="1" applyBorder="1" applyAlignment="1">
      <alignment horizontal="left" vertical="center" wrapText="1" readingOrder="1"/>
    </xf>
    <xf numFmtId="0" fontId="18" fillId="0" borderId="9" xfId="0" applyFont="1" applyBorder="1" applyAlignment="1">
      <alignment horizontal="left" vertical="center" wrapText="1" readingOrder="1"/>
    </xf>
    <xf numFmtId="0" fontId="20" fillId="0" borderId="8" xfId="0" applyFont="1" applyBorder="1" applyAlignment="1">
      <alignment horizontal="center" vertical="center" wrapText="1" readingOrder="1"/>
    </xf>
    <xf numFmtId="0" fontId="20" fillId="0" borderId="10" xfId="0" applyFont="1" applyBorder="1" applyAlignment="1">
      <alignment horizontal="center" vertical="center" wrapText="1" readingOrder="1"/>
    </xf>
    <xf numFmtId="0" fontId="2" fillId="0" borderId="0" xfId="0" quotePrefix="1" applyFont="1" applyAlignment="1">
      <alignment horizontal="left" vertical="center" wrapText="1" readingOrder="1"/>
    </xf>
    <xf numFmtId="0" fontId="18" fillId="0" borderId="11" xfId="0" applyFont="1" applyBorder="1" applyAlignment="1">
      <alignment horizontal="left" vertical="center" wrapText="1" readingOrder="1"/>
    </xf>
    <xf numFmtId="0" fontId="25" fillId="0" borderId="7" xfId="2" applyFont="1" applyBorder="1" applyAlignment="1">
      <alignment horizontal="center" wrapText="1"/>
    </xf>
    <xf numFmtId="0" fontId="25" fillId="0" borderId="7" xfId="2" applyFont="1" applyBorder="1" applyAlignment="1">
      <alignment horizontal="center"/>
    </xf>
    <xf numFmtId="175" fontId="26" fillId="0" borderId="7" xfId="6" applyFont="1" applyFill="1" applyBorder="1" applyAlignment="1">
      <alignment horizontal="center"/>
    </xf>
    <xf numFmtId="0" fontId="26" fillId="0" borderId="7" xfId="2" applyFont="1" applyBorder="1" applyAlignment="1">
      <alignment horizontal="center"/>
    </xf>
    <xf numFmtId="0" fontId="25" fillId="0" borderId="12" xfId="2" applyFont="1" applyBorder="1" applyAlignment="1">
      <alignment horizontal="center" vertical="center" wrapText="1"/>
    </xf>
    <xf numFmtId="0" fontId="25" fillId="0" borderId="13" xfId="2" applyFont="1" applyBorder="1" applyAlignment="1">
      <alignment horizontal="center" vertical="center" wrapText="1"/>
    </xf>
    <xf numFmtId="0" fontId="25" fillId="0" borderId="7" xfId="2" applyFont="1" applyBorder="1" applyAlignment="1">
      <alignment horizontal="center" vertical="center"/>
    </xf>
    <xf numFmtId="0" fontId="25" fillId="0" borderId="7" xfId="2" applyFont="1" applyBorder="1" applyAlignment="1">
      <alignment horizontal="center" vertical="center" wrapText="1"/>
    </xf>
    <xf numFmtId="0" fontId="18" fillId="0" borderId="0" xfId="0" applyFont="1" applyAlignment="1">
      <alignment horizontal="justify" vertical="top" wrapText="1" readingOrder="1"/>
    </xf>
    <xf numFmtId="0" fontId="28" fillId="0" borderId="0" xfId="0" applyFont="1" applyAlignment="1">
      <alignment horizontal="left" vertical="top" readingOrder="1"/>
    </xf>
    <xf numFmtId="0" fontId="25" fillId="0" borderId="8" xfId="2" applyFont="1" applyBorder="1" applyAlignment="1">
      <alignment horizontal="center" wrapText="1"/>
    </xf>
    <xf numFmtId="0" fontId="25" fillId="0" borderId="9" xfId="2" applyFont="1" applyBorder="1" applyAlignment="1">
      <alignment horizontal="center" wrapText="1"/>
    </xf>
    <xf numFmtId="0" fontId="25" fillId="0" borderId="10" xfId="2" applyFont="1" applyBorder="1" applyAlignment="1">
      <alignment horizontal="center" wrapText="1"/>
    </xf>
    <xf numFmtId="0" fontId="25" fillId="0" borderId="8" xfId="2" applyFont="1" applyBorder="1" applyAlignment="1">
      <alignment horizontal="center"/>
    </xf>
    <xf numFmtId="0" fontId="25" fillId="0" borderId="10" xfId="2" applyFont="1" applyBorder="1" applyAlignment="1">
      <alignment horizontal="center"/>
    </xf>
    <xf numFmtId="175" fontId="26" fillId="0" borderId="8" xfId="6" applyFont="1" applyFill="1" applyBorder="1" applyAlignment="1">
      <alignment horizontal="center"/>
    </xf>
    <xf numFmtId="175" fontId="26" fillId="0" borderId="9" xfId="6" applyFont="1" applyFill="1" applyBorder="1" applyAlignment="1">
      <alignment horizontal="center"/>
    </xf>
    <xf numFmtId="175" fontId="26" fillId="0" borderId="10" xfId="6" applyFont="1" applyFill="1" applyBorder="1" applyAlignment="1">
      <alignment horizontal="center"/>
    </xf>
    <xf numFmtId="0" fontId="26" fillId="0" borderId="0" xfId="2" applyFont="1" applyAlignment="1">
      <alignment horizontal="left" vertical="center" wrapText="1"/>
    </xf>
    <xf numFmtId="0" fontId="22" fillId="0" borderId="8" xfId="0" applyFont="1" applyBorder="1" applyAlignment="1">
      <alignment horizontal="left" vertical="center" readingOrder="1"/>
    </xf>
    <xf numFmtId="0" fontId="22" fillId="0" borderId="9" xfId="0" applyFont="1" applyBorder="1" applyAlignment="1">
      <alignment horizontal="left" vertical="center" readingOrder="1"/>
    </xf>
    <xf numFmtId="0" fontId="22" fillId="0" borderId="10" xfId="0" applyFont="1" applyBorder="1" applyAlignment="1">
      <alignment horizontal="left" vertical="center" readingOrder="1"/>
    </xf>
    <xf numFmtId="0" fontId="23" fillId="0" borderId="8" xfId="9" applyFont="1" applyBorder="1" applyAlignment="1">
      <alignment horizontal="center" vertical="center" wrapText="1"/>
    </xf>
    <xf numFmtId="0" fontId="23" fillId="0" borderId="10" xfId="9" applyFont="1" applyBorder="1" applyAlignment="1">
      <alignment horizontal="center" vertical="center" wrapText="1"/>
    </xf>
    <xf numFmtId="0" fontId="23" fillId="0" borderId="7" xfId="9" applyFont="1" applyBorder="1" applyAlignment="1">
      <alignment horizontal="center" vertical="center"/>
    </xf>
    <xf numFmtId="175" fontId="24" fillId="0" borderId="8" xfId="6" applyFont="1" applyFill="1" applyBorder="1" applyAlignment="1">
      <alignment horizontal="center" vertical="center"/>
    </xf>
    <xf numFmtId="175" fontId="24" fillId="0" borderId="10" xfId="6" applyFont="1" applyFill="1" applyBorder="1" applyAlignment="1">
      <alignment horizontal="center" vertical="center"/>
    </xf>
    <xf numFmtId="0" fontId="23" fillId="0" borderId="8" xfId="9" applyFont="1" applyBorder="1" applyAlignment="1">
      <alignment horizontal="center" vertical="center"/>
    </xf>
    <xf numFmtId="0" fontId="23" fillId="0" borderId="9" xfId="9" applyFont="1" applyBorder="1" applyAlignment="1">
      <alignment horizontal="center" vertical="center"/>
    </xf>
    <xf numFmtId="0" fontId="23" fillId="0" borderId="10" xfId="9" applyFont="1" applyBorder="1" applyAlignment="1">
      <alignment horizontal="center" vertical="center"/>
    </xf>
    <xf numFmtId="0" fontId="24" fillId="0" borderId="8" xfId="9" applyFont="1" applyBorder="1" applyAlignment="1">
      <alignment horizontal="left" vertical="center" wrapText="1"/>
    </xf>
    <xf numFmtId="0" fontId="24" fillId="0" borderId="9" xfId="9" applyFont="1" applyBorder="1" applyAlignment="1">
      <alignment horizontal="left" vertical="center" wrapText="1"/>
    </xf>
    <xf numFmtId="0" fontId="24" fillId="0" borderId="10" xfId="9" applyFont="1" applyBorder="1" applyAlignment="1">
      <alignment horizontal="left" vertical="center" wrapText="1"/>
    </xf>
    <xf numFmtId="0" fontId="28" fillId="0" borderId="7" xfId="0" applyFont="1" applyBorder="1" applyAlignment="1">
      <alignment horizontal="left" vertical="top" readingOrder="1"/>
    </xf>
  </cellXfs>
  <cellStyles count="10">
    <cellStyle name="Comma" xfId="1" builtinId="3"/>
    <cellStyle name="Comma 2" xfId="6" xr:uid="{0F172C97-DB5D-429C-9E6C-EFA3C29494E5}"/>
    <cellStyle name="Hyperlink 2" xfId="4" xr:uid="{D4E12EFD-A6D6-46C1-9ACD-758FF6BBFD05}"/>
    <cellStyle name="Normal" xfId="0" builtinId="0"/>
    <cellStyle name="Normal 2 2 2" xfId="2" xr:uid="{DF1989C0-8F3D-4022-A3B7-1C65D1A139C9}"/>
    <cellStyle name="Normal 2 2 3" xfId="9" xr:uid="{076625FF-408D-4E82-B9F2-EB2F93C57D71}"/>
    <cellStyle name="Normal 2 3" xfId="3" xr:uid="{EC20E2C3-0147-45A2-B6E8-2614940624B7}"/>
    <cellStyle name="Normal 3" xfId="5" xr:uid="{1666F929-A8EB-4ED0-BB3F-7FAD37F4AFF0}"/>
    <cellStyle name="Percent 2" xfId="7" xr:uid="{EA351F9A-6E31-4085-967D-8D0210BC6476}"/>
    <cellStyle name="Percent 3" xfId="8" xr:uid="{97685C6B-D42A-4DC6-8CB3-B0EA286B89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143</xdr:row>
      <xdr:rowOff>123824</xdr:rowOff>
    </xdr:from>
    <xdr:to>
      <xdr:col>2</xdr:col>
      <xdr:colOff>1685097</xdr:colOff>
      <xdr:row>144</xdr:row>
      <xdr:rowOff>1941899</xdr:rowOff>
    </xdr:to>
    <xdr:pic>
      <xdr:nvPicPr>
        <xdr:cNvPr id="4" name="Picture 3">
          <a:extLst>
            <a:ext uri="{FF2B5EF4-FFF2-40B4-BE49-F238E27FC236}">
              <a16:creationId xmlns:a16="http://schemas.microsoft.com/office/drawing/2014/main" id="{F0C6BD9F-146F-41BF-8600-249502090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49" y="28508324"/>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149</xdr:row>
      <xdr:rowOff>47625</xdr:rowOff>
    </xdr:from>
    <xdr:to>
      <xdr:col>2</xdr:col>
      <xdr:colOff>1986464</xdr:colOff>
      <xdr:row>149</xdr:row>
      <xdr:rowOff>2027625</xdr:rowOff>
    </xdr:to>
    <xdr:pic>
      <xdr:nvPicPr>
        <xdr:cNvPr id="5" name="Picture 4">
          <a:extLst>
            <a:ext uri="{FF2B5EF4-FFF2-40B4-BE49-F238E27FC236}">
              <a16:creationId xmlns:a16="http://schemas.microsoft.com/office/drawing/2014/main" id="{3D211A63-280D-F7AC-27B1-0D81BBD305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100" y="31480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2590800</xdr:colOff>
      <xdr:row>149</xdr:row>
      <xdr:rowOff>38100</xdr:rowOff>
    </xdr:from>
    <xdr:to>
      <xdr:col>7</xdr:col>
      <xdr:colOff>376739</xdr:colOff>
      <xdr:row>149</xdr:row>
      <xdr:rowOff>2018100</xdr:rowOff>
    </xdr:to>
    <xdr:pic>
      <xdr:nvPicPr>
        <xdr:cNvPr id="6" name="Picture 5">
          <a:extLst>
            <a:ext uri="{FF2B5EF4-FFF2-40B4-BE49-F238E27FC236}">
              <a16:creationId xmlns:a16="http://schemas.microsoft.com/office/drawing/2014/main" id="{3BD079AF-627B-526D-088B-140994BCE5F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10075" y="31184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1818448</xdr:colOff>
      <xdr:row>135</xdr:row>
      <xdr:rowOff>27375</xdr:rowOff>
    </xdr:to>
    <xdr:pic>
      <xdr:nvPicPr>
        <xdr:cNvPr id="5" name="Picture 4">
          <a:extLst>
            <a:ext uri="{FF2B5EF4-FFF2-40B4-BE49-F238E27FC236}">
              <a16:creationId xmlns:a16="http://schemas.microsoft.com/office/drawing/2014/main" id="{1C2C8600-4EA7-4C01-996F-64EF4B085B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7175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2</xdr:col>
      <xdr:colOff>2100764</xdr:colOff>
      <xdr:row>139</xdr:row>
      <xdr:rowOff>1980000</xdr:rowOff>
    </xdr:to>
    <xdr:pic>
      <xdr:nvPicPr>
        <xdr:cNvPr id="6" name="Picture 5">
          <a:extLst>
            <a:ext uri="{FF2B5EF4-FFF2-40B4-BE49-F238E27FC236}">
              <a16:creationId xmlns:a16="http://schemas.microsoft.com/office/drawing/2014/main" id="{BB201ABE-F3EB-400C-868C-154903C7BB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317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139</xdr:row>
      <xdr:rowOff>0</xdr:rowOff>
    </xdr:from>
    <xdr:to>
      <xdr:col>7</xdr:col>
      <xdr:colOff>395789</xdr:colOff>
      <xdr:row>139</xdr:row>
      <xdr:rowOff>1980000</xdr:rowOff>
    </xdr:to>
    <xdr:pic>
      <xdr:nvPicPr>
        <xdr:cNvPr id="7" name="Picture 6">
          <a:extLst>
            <a:ext uri="{FF2B5EF4-FFF2-40B4-BE49-F238E27FC236}">
              <a16:creationId xmlns:a16="http://schemas.microsoft.com/office/drawing/2014/main" id="{971D3C79-8D3D-4675-84BE-34EF73788B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0" y="28317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2</xdr:col>
      <xdr:colOff>2034089</xdr:colOff>
      <xdr:row>148</xdr:row>
      <xdr:rowOff>27375</xdr:rowOff>
    </xdr:to>
    <xdr:pic>
      <xdr:nvPicPr>
        <xdr:cNvPr id="5" name="Picture 4">
          <a:extLst>
            <a:ext uri="{FF2B5EF4-FFF2-40B4-BE49-F238E27FC236}">
              <a16:creationId xmlns:a16="http://schemas.microsoft.com/office/drawing/2014/main" id="{14238D7F-B95E-1935-98D7-D891821E63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546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xdr:row>
      <xdr:rowOff>0</xdr:rowOff>
    </xdr:from>
    <xdr:to>
      <xdr:col>2</xdr:col>
      <xdr:colOff>2034089</xdr:colOff>
      <xdr:row>152</xdr:row>
      <xdr:rowOff>1980000</xdr:rowOff>
    </xdr:to>
    <xdr:pic>
      <xdr:nvPicPr>
        <xdr:cNvPr id="6" name="Picture 5">
          <a:extLst>
            <a:ext uri="{FF2B5EF4-FFF2-40B4-BE49-F238E27FC236}">
              <a16:creationId xmlns:a16="http://schemas.microsoft.com/office/drawing/2014/main" id="{6C4FEF8A-664C-461D-98DB-C23209AC31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1465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152</xdr:row>
      <xdr:rowOff>0</xdr:rowOff>
    </xdr:from>
    <xdr:to>
      <xdr:col>7</xdr:col>
      <xdr:colOff>462464</xdr:colOff>
      <xdr:row>152</xdr:row>
      <xdr:rowOff>1980000</xdr:rowOff>
    </xdr:to>
    <xdr:pic>
      <xdr:nvPicPr>
        <xdr:cNvPr id="7" name="Picture 6">
          <a:extLst>
            <a:ext uri="{FF2B5EF4-FFF2-40B4-BE49-F238E27FC236}">
              <a16:creationId xmlns:a16="http://schemas.microsoft.com/office/drawing/2014/main" id="{1352FB72-6DEF-4C5E-8724-86B9AA67F44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291465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1751773</xdr:colOff>
      <xdr:row>175</xdr:row>
      <xdr:rowOff>27375</xdr:rowOff>
    </xdr:to>
    <xdr:pic>
      <xdr:nvPicPr>
        <xdr:cNvPr id="5" name="Picture 4">
          <a:extLst>
            <a:ext uri="{FF2B5EF4-FFF2-40B4-BE49-F238E27FC236}">
              <a16:creationId xmlns:a16="http://schemas.microsoft.com/office/drawing/2014/main" id="{96559CE8-90DD-426C-94A0-43A208EAC3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5187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2</xdr:col>
      <xdr:colOff>2034089</xdr:colOff>
      <xdr:row>179</xdr:row>
      <xdr:rowOff>1980000</xdr:rowOff>
    </xdr:to>
    <xdr:pic>
      <xdr:nvPicPr>
        <xdr:cNvPr id="6" name="Picture 5">
          <a:extLst>
            <a:ext uri="{FF2B5EF4-FFF2-40B4-BE49-F238E27FC236}">
              <a16:creationId xmlns:a16="http://schemas.microsoft.com/office/drawing/2014/main" id="{0ACB03CE-3F8F-4E38-9ECD-E7EED2CB2A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119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179</xdr:row>
      <xdr:rowOff>0</xdr:rowOff>
    </xdr:from>
    <xdr:to>
      <xdr:col>7</xdr:col>
      <xdr:colOff>395789</xdr:colOff>
      <xdr:row>179</xdr:row>
      <xdr:rowOff>1980000</xdr:rowOff>
    </xdr:to>
    <xdr:pic>
      <xdr:nvPicPr>
        <xdr:cNvPr id="7" name="Picture 6">
          <a:extLst>
            <a:ext uri="{FF2B5EF4-FFF2-40B4-BE49-F238E27FC236}">
              <a16:creationId xmlns:a16="http://schemas.microsoft.com/office/drawing/2014/main" id="{7F05CCB2-105E-4170-B0E5-96584FDBE4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119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2</xdr:col>
      <xdr:colOff>2034089</xdr:colOff>
      <xdr:row>210</xdr:row>
      <xdr:rowOff>27375</xdr:rowOff>
    </xdr:to>
    <xdr:pic>
      <xdr:nvPicPr>
        <xdr:cNvPr id="5" name="Picture 4">
          <a:extLst>
            <a:ext uri="{FF2B5EF4-FFF2-40B4-BE49-F238E27FC236}">
              <a16:creationId xmlns:a16="http://schemas.microsoft.com/office/drawing/2014/main" id="{A5FE092C-A97B-4A07-839B-543D039E79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881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214</xdr:row>
      <xdr:rowOff>0</xdr:rowOff>
    </xdr:from>
    <xdr:to>
      <xdr:col>2</xdr:col>
      <xdr:colOff>2034089</xdr:colOff>
      <xdr:row>214</xdr:row>
      <xdr:rowOff>1980000</xdr:rowOff>
    </xdr:to>
    <xdr:pic>
      <xdr:nvPicPr>
        <xdr:cNvPr id="6" name="Picture 5">
          <a:extLst>
            <a:ext uri="{FF2B5EF4-FFF2-40B4-BE49-F238E27FC236}">
              <a16:creationId xmlns:a16="http://schemas.microsoft.com/office/drawing/2014/main" id="{BCC1ADE6-72CA-4123-8A04-9EFD850E92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481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214</xdr:row>
      <xdr:rowOff>0</xdr:rowOff>
    </xdr:from>
    <xdr:to>
      <xdr:col>7</xdr:col>
      <xdr:colOff>329114</xdr:colOff>
      <xdr:row>214</xdr:row>
      <xdr:rowOff>1980000</xdr:rowOff>
    </xdr:to>
    <xdr:pic>
      <xdr:nvPicPr>
        <xdr:cNvPr id="7" name="Picture 6">
          <a:extLst>
            <a:ext uri="{FF2B5EF4-FFF2-40B4-BE49-F238E27FC236}">
              <a16:creationId xmlns:a16="http://schemas.microsoft.com/office/drawing/2014/main" id="{066ABF46-674D-42F5-981E-1511FA00C9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1481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2</xdr:col>
      <xdr:colOff>1751773</xdr:colOff>
      <xdr:row>170</xdr:row>
      <xdr:rowOff>27375</xdr:rowOff>
    </xdr:to>
    <xdr:pic>
      <xdr:nvPicPr>
        <xdr:cNvPr id="5" name="Picture 4">
          <a:extLst>
            <a:ext uri="{FF2B5EF4-FFF2-40B4-BE49-F238E27FC236}">
              <a16:creationId xmlns:a16="http://schemas.microsoft.com/office/drawing/2014/main" id="{52176D63-3485-49D2-85FF-11B2811A52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9759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2</xdr:col>
      <xdr:colOff>2034089</xdr:colOff>
      <xdr:row>174</xdr:row>
      <xdr:rowOff>1980000</xdr:rowOff>
    </xdr:to>
    <xdr:pic>
      <xdr:nvPicPr>
        <xdr:cNvPr id="6" name="Picture 5">
          <a:extLst>
            <a:ext uri="{FF2B5EF4-FFF2-40B4-BE49-F238E27FC236}">
              <a16:creationId xmlns:a16="http://schemas.microsoft.com/office/drawing/2014/main" id="{B6F71A28-ECA5-4C5A-871C-E4247FC012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576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xdr:row>
      <xdr:rowOff>0</xdr:rowOff>
    </xdr:from>
    <xdr:to>
      <xdr:col>7</xdr:col>
      <xdr:colOff>443414</xdr:colOff>
      <xdr:row>174</xdr:row>
      <xdr:rowOff>1980000</xdr:rowOff>
    </xdr:to>
    <xdr:pic>
      <xdr:nvPicPr>
        <xdr:cNvPr id="7" name="Picture 6">
          <a:extLst>
            <a:ext uri="{FF2B5EF4-FFF2-40B4-BE49-F238E27FC236}">
              <a16:creationId xmlns:a16="http://schemas.microsoft.com/office/drawing/2014/main" id="{53A7872F-A5D4-4A19-857B-BD05198F349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576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2034089</xdr:colOff>
      <xdr:row>180</xdr:row>
      <xdr:rowOff>27375</xdr:rowOff>
    </xdr:to>
    <xdr:pic>
      <xdr:nvPicPr>
        <xdr:cNvPr id="5" name="Picture 4">
          <a:extLst>
            <a:ext uri="{FF2B5EF4-FFF2-40B4-BE49-F238E27FC236}">
              <a16:creationId xmlns:a16="http://schemas.microsoft.com/office/drawing/2014/main" id="{F830A3D0-0D75-477C-89D3-BA4FBFF59E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4832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2</xdr:col>
      <xdr:colOff>2034089</xdr:colOff>
      <xdr:row>184</xdr:row>
      <xdr:rowOff>1980000</xdr:rowOff>
    </xdr:to>
    <xdr:pic>
      <xdr:nvPicPr>
        <xdr:cNvPr id="6" name="Picture 5">
          <a:extLst>
            <a:ext uri="{FF2B5EF4-FFF2-40B4-BE49-F238E27FC236}">
              <a16:creationId xmlns:a16="http://schemas.microsoft.com/office/drawing/2014/main" id="{5D0C1D5B-630E-446F-89F4-C460397703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433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184</xdr:row>
      <xdr:rowOff>0</xdr:rowOff>
    </xdr:from>
    <xdr:to>
      <xdr:col>7</xdr:col>
      <xdr:colOff>395789</xdr:colOff>
      <xdr:row>184</xdr:row>
      <xdr:rowOff>1980000</xdr:rowOff>
    </xdr:to>
    <xdr:pic>
      <xdr:nvPicPr>
        <xdr:cNvPr id="7" name="Picture 6">
          <a:extLst>
            <a:ext uri="{FF2B5EF4-FFF2-40B4-BE49-F238E27FC236}">
              <a16:creationId xmlns:a16="http://schemas.microsoft.com/office/drawing/2014/main" id="{5705D873-B31A-4FA8-9809-979BF8FB146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7433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1704148</xdr:colOff>
      <xdr:row>134</xdr:row>
      <xdr:rowOff>27375</xdr:rowOff>
    </xdr:to>
    <xdr:pic>
      <xdr:nvPicPr>
        <xdr:cNvPr id="5" name="Picture 4">
          <a:extLst>
            <a:ext uri="{FF2B5EF4-FFF2-40B4-BE49-F238E27FC236}">
              <a16:creationId xmlns:a16="http://schemas.microsoft.com/office/drawing/2014/main" id="{34ACFD0D-342A-4673-AA59-5FA432F745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8032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138</xdr:row>
      <xdr:rowOff>38101</xdr:rowOff>
    </xdr:from>
    <xdr:to>
      <xdr:col>2</xdr:col>
      <xdr:colOff>1995990</xdr:colOff>
      <xdr:row>138</xdr:row>
      <xdr:rowOff>2018101</xdr:rowOff>
    </xdr:to>
    <xdr:pic>
      <xdr:nvPicPr>
        <xdr:cNvPr id="6" name="Picture 5">
          <a:extLst>
            <a:ext uri="{FF2B5EF4-FFF2-40B4-BE49-F238E27FC236}">
              <a16:creationId xmlns:a16="http://schemas.microsoft.com/office/drawing/2014/main" id="{8CEE5B35-67EF-47D1-9CA2-8AACD669D2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84416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2752725</xdr:colOff>
      <xdr:row>138</xdr:row>
      <xdr:rowOff>19050</xdr:rowOff>
    </xdr:from>
    <xdr:to>
      <xdr:col>7</xdr:col>
      <xdr:colOff>395789</xdr:colOff>
      <xdr:row>138</xdr:row>
      <xdr:rowOff>1999050</xdr:rowOff>
    </xdr:to>
    <xdr:pic>
      <xdr:nvPicPr>
        <xdr:cNvPr id="9" name="Picture 8">
          <a:extLst>
            <a:ext uri="{FF2B5EF4-FFF2-40B4-BE49-F238E27FC236}">
              <a16:creationId xmlns:a16="http://schemas.microsoft.com/office/drawing/2014/main" id="{D0994C53-EBFA-4438-B6CF-F1CDC32491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284226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1994905</xdr:colOff>
      <xdr:row>161</xdr:row>
      <xdr:rowOff>27375</xdr:rowOff>
    </xdr:to>
    <xdr:pic>
      <xdr:nvPicPr>
        <xdr:cNvPr id="5" name="Picture 4">
          <a:extLst>
            <a:ext uri="{FF2B5EF4-FFF2-40B4-BE49-F238E27FC236}">
              <a16:creationId xmlns:a16="http://schemas.microsoft.com/office/drawing/2014/main" id="{1B4318B0-642B-AF2E-BBBC-45D62156AB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2229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1994905</xdr:colOff>
      <xdr:row>165</xdr:row>
      <xdr:rowOff>1980000</xdr:rowOff>
    </xdr:to>
    <xdr:pic>
      <xdr:nvPicPr>
        <xdr:cNvPr id="6" name="Picture 5">
          <a:extLst>
            <a:ext uri="{FF2B5EF4-FFF2-40B4-BE49-F238E27FC236}">
              <a16:creationId xmlns:a16="http://schemas.microsoft.com/office/drawing/2014/main" id="{067890C7-BF46-4330-838B-77BA0CE506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8232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113</xdr:row>
      <xdr:rowOff>0</xdr:rowOff>
    </xdr:from>
    <xdr:to>
      <xdr:col>2</xdr:col>
      <xdr:colOff>2015039</xdr:colOff>
      <xdr:row>114</xdr:row>
      <xdr:rowOff>27375</xdr:rowOff>
    </xdr:to>
    <xdr:pic>
      <xdr:nvPicPr>
        <xdr:cNvPr id="5" name="Picture 4">
          <a:extLst>
            <a:ext uri="{FF2B5EF4-FFF2-40B4-BE49-F238E27FC236}">
              <a16:creationId xmlns:a16="http://schemas.microsoft.com/office/drawing/2014/main" id="{1C36BE95-9976-2E4E-56E9-76C8880970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0221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xdr:row>
      <xdr:rowOff>0</xdr:rowOff>
    </xdr:from>
    <xdr:to>
      <xdr:col>2</xdr:col>
      <xdr:colOff>2015039</xdr:colOff>
      <xdr:row>118</xdr:row>
      <xdr:rowOff>1980000</xdr:rowOff>
    </xdr:to>
    <xdr:pic>
      <xdr:nvPicPr>
        <xdr:cNvPr id="6" name="Picture 5">
          <a:extLst>
            <a:ext uri="{FF2B5EF4-FFF2-40B4-BE49-F238E27FC236}">
              <a16:creationId xmlns:a16="http://schemas.microsoft.com/office/drawing/2014/main" id="{1A08F5BB-6B1A-45B4-4935-D050FF013B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2821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118</xdr:row>
      <xdr:rowOff>0</xdr:rowOff>
    </xdr:from>
    <xdr:to>
      <xdr:col>7</xdr:col>
      <xdr:colOff>443414</xdr:colOff>
      <xdr:row>118</xdr:row>
      <xdr:rowOff>1980000</xdr:rowOff>
    </xdr:to>
    <xdr:pic>
      <xdr:nvPicPr>
        <xdr:cNvPr id="7" name="Picture 6">
          <a:extLst>
            <a:ext uri="{FF2B5EF4-FFF2-40B4-BE49-F238E27FC236}">
              <a16:creationId xmlns:a16="http://schemas.microsoft.com/office/drawing/2014/main" id="{24E3FCE7-BD80-4593-86AF-89A4F5A48C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71975" y="228219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0247-15D7-4FC4-BC52-1EBC533E6F21}">
  <dimension ref="A1:C11"/>
  <sheetViews>
    <sheetView tabSelected="1" workbookViewId="0">
      <selection activeCell="G20" sqref="G20"/>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585</v>
      </c>
      <c r="B1" s="2" t="s">
        <v>586</v>
      </c>
      <c r="C1" s="2" t="s">
        <v>587</v>
      </c>
    </row>
    <row r="2" spans="1:3" x14ac:dyDescent="0.25">
      <c r="A2" s="4">
        <v>1</v>
      </c>
      <c r="B2" s="5" t="s">
        <v>588</v>
      </c>
      <c r="C2" s="6" t="s">
        <v>1</v>
      </c>
    </row>
    <row r="3" spans="1:3" x14ac:dyDescent="0.25">
      <c r="A3" s="4">
        <v>2</v>
      </c>
      <c r="B3" s="5" t="s">
        <v>589</v>
      </c>
      <c r="C3" s="6" t="s">
        <v>113</v>
      </c>
    </row>
    <row r="4" spans="1:3" x14ac:dyDescent="0.25">
      <c r="A4" s="4">
        <v>3</v>
      </c>
      <c r="B4" s="5" t="s">
        <v>590</v>
      </c>
      <c r="C4" s="6" t="s">
        <v>136</v>
      </c>
    </row>
    <row r="5" spans="1:3" x14ac:dyDescent="0.25">
      <c r="A5" s="4">
        <v>4</v>
      </c>
      <c r="B5" s="5" t="s">
        <v>591</v>
      </c>
      <c r="C5" s="6" t="s">
        <v>210</v>
      </c>
    </row>
    <row r="6" spans="1:3" x14ac:dyDescent="0.25">
      <c r="A6" s="4">
        <v>5</v>
      </c>
      <c r="B6" s="5" t="s">
        <v>592</v>
      </c>
      <c r="C6" s="6" t="s">
        <v>262</v>
      </c>
    </row>
    <row r="7" spans="1:3" x14ac:dyDescent="0.25">
      <c r="A7" s="4">
        <v>6</v>
      </c>
      <c r="B7" s="5" t="s">
        <v>593</v>
      </c>
      <c r="C7" s="6" t="s">
        <v>441</v>
      </c>
    </row>
    <row r="8" spans="1:3" x14ac:dyDescent="0.25">
      <c r="A8" s="4">
        <v>7</v>
      </c>
      <c r="B8" s="5" t="s">
        <v>594</v>
      </c>
      <c r="C8" s="6" t="s">
        <v>457</v>
      </c>
    </row>
    <row r="9" spans="1:3" x14ac:dyDescent="0.25">
      <c r="A9" s="4">
        <v>8</v>
      </c>
      <c r="B9" s="5" t="s">
        <v>595</v>
      </c>
      <c r="C9" s="6" t="s">
        <v>510</v>
      </c>
    </row>
    <row r="10" spans="1:3" x14ac:dyDescent="0.25">
      <c r="A10" s="4">
        <v>9</v>
      </c>
      <c r="B10" s="5" t="s">
        <v>596</v>
      </c>
      <c r="C10" s="6" t="s">
        <v>514</v>
      </c>
    </row>
    <row r="11" spans="1:3" x14ac:dyDescent="0.25">
      <c r="A11" s="4">
        <v>10</v>
      </c>
      <c r="B11" s="5" t="s">
        <v>597</v>
      </c>
      <c r="C11" s="6" t="s">
        <v>581</v>
      </c>
    </row>
  </sheetData>
  <hyperlinks>
    <hyperlink ref="B3" location="SFRSTP!A1" display="SFRSTP" xr:uid="{A5F7D175-DF25-43DE-9DA0-9DF14A2672CD}"/>
    <hyperlink ref="B4" location="SMMF!A1" display="SMMF" xr:uid="{37A53707-7935-4E04-BEE8-B355F5082013}"/>
    <hyperlink ref="B5" location="SPLDF!A1" display="SPLDF" xr:uid="{5532B4BD-4591-4012-BE91-2C1E1A391028}"/>
    <hyperlink ref="B6" location="SPMON!A1" display="SPMON" xr:uid="{0F8B61E1-AF4C-4895-A59E-B7A09757B4DF}"/>
    <hyperlink ref="B7" location="SPSDF!A1" display="SPSDF" xr:uid="{22F18EC5-854E-4C4D-93E8-A2270102FC67}"/>
    <hyperlink ref="B8" location="SPUSDF!A1" display="SPUSDF" xr:uid="{3917E08D-8D95-43A2-8A9F-590845A5FB6F}"/>
    <hyperlink ref="B9" location="SUNBDS!A1" display="SUNBDS" xr:uid="{DDE3A866-79AC-47C9-AF3C-95F22A3A644C}"/>
    <hyperlink ref="B10" location="SUNMIA!A1" display="SUNMIA" xr:uid="{AAF521CA-881A-40B1-93DF-AAA7D1FC77C6}"/>
    <hyperlink ref="B11" location="SUNONF!A1" display="SUNONF" xr:uid="{0FEC339D-90B4-45AE-91DD-33B0A87FBBD5}"/>
    <hyperlink ref="B2" location="SFRLTP!A1" display="SFRLTP" xr:uid="{3AA8A55F-187B-4B35-8FFB-1852E92909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64EC-DF39-4ACA-B20D-C8C702665913}">
  <sheetPr>
    <outlinePr summaryBelow="0" summaryRight="0"/>
  </sheetPr>
  <dimension ref="A1:Q150"/>
  <sheetViews>
    <sheetView showGridLines="0" workbookViewId="0">
      <selection sqref="A1:H1"/>
    </sheetView>
  </sheetViews>
  <sheetFormatPr defaultRowHeight="12.75" x14ac:dyDescent="0.2"/>
  <cols>
    <col min="1" max="1" width="5.85546875" bestFit="1" customWidth="1"/>
    <col min="2" max="2" width="21.42578125"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5703125" customWidth="1"/>
    <col min="9" max="9" width="5.7109375" bestFit="1" customWidth="1"/>
  </cols>
  <sheetData>
    <row r="1" spans="1:9" ht="15" x14ac:dyDescent="0.2">
      <c r="A1" s="139" t="s">
        <v>0</v>
      </c>
      <c r="B1" s="139"/>
      <c r="C1" s="139"/>
      <c r="D1" s="139"/>
      <c r="E1" s="139"/>
      <c r="F1" s="139"/>
      <c r="G1" s="139"/>
      <c r="H1" s="139"/>
      <c r="I1" s="7" t="s">
        <v>598</v>
      </c>
    </row>
    <row r="2" spans="1:9" ht="15" x14ac:dyDescent="0.2">
      <c r="A2" s="139" t="s">
        <v>1</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599</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21</v>
      </c>
      <c r="C28" s="25" t="s">
        <v>22</v>
      </c>
      <c r="D28" s="25" t="s">
        <v>23</v>
      </c>
      <c r="E28" s="26">
        <v>6500</v>
      </c>
      <c r="F28" s="27">
        <v>6474.4809999999998</v>
      </c>
      <c r="G28" s="28">
        <v>8.8103550000000003E-2</v>
      </c>
      <c r="H28" s="18">
        <v>7.46</v>
      </c>
    </row>
    <row r="29" spans="1:8" ht="25.5" x14ac:dyDescent="0.2">
      <c r="A29" s="24">
        <v>2</v>
      </c>
      <c r="B29" s="25" t="s">
        <v>24</v>
      </c>
      <c r="C29" s="25" t="s">
        <v>25</v>
      </c>
      <c r="D29" s="25" t="s">
        <v>23</v>
      </c>
      <c r="E29" s="26">
        <v>5000</v>
      </c>
      <c r="F29" s="27">
        <v>5066.5550000000003</v>
      </c>
      <c r="G29" s="28">
        <v>6.8944749999999999E-2</v>
      </c>
      <c r="H29" s="18">
        <v>7.43</v>
      </c>
    </row>
    <row r="30" spans="1:8" ht="25.5" x14ac:dyDescent="0.2">
      <c r="A30" s="24">
        <v>3</v>
      </c>
      <c r="B30" s="25" t="s">
        <v>26</v>
      </c>
      <c r="C30" s="25" t="s">
        <v>27</v>
      </c>
      <c r="D30" s="25" t="s">
        <v>23</v>
      </c>
      <c r="E30" s="26">
        <v>4000</v>
      </c>
      <c r="F30" s="27">
        <v>4020.54</v>
      </c>
      <c r="G30" s="28">
        <v>5.4710769999999999E-2</v>
      </c>
      <c r="H30" s="18">
        <v>7.2450000000000001</v>
      </c>
    </row>
    <row r="31" spans="1:8" x14ac:dyDescent="0.2">
      <c r="A31" s="24">
        <v>4</v>
      </c>
      <c r="B31" s="25" t="s">
        <v>28</v>
      </c>
      <c r="C31" s="25" t="s">
        <v>29</v>
      </c>
      <c r="D31" s="25" t="s">
        <v>23</v>
      </c>
      <c r="E31" s="26">
        <v>300</v>
      </c>
      <c r="F31" s="27">
        <v>3004.953</v>
      </c>
      <c r="G31" s="28">
        <v>4.0890849999999999E-2</v>
      </c>
      <c r="H31" s="18">
        <v>7.62</v>
      </c>
    </row>
    <row r="32" spans="1:8" ht="25.5" x14ac:dyDescent="0.2">
      <c r="A32" s="24">
        <v>5</v>
      </c>
      <c r="B32" s="25" t="s">
        <v>30</v>
      </c>
      <c r="C32" s="25" t="s">
        <v>31</v>
      </c>
      <c r="D32" s="25" t="s">
        <v>23</v>
      </c>
      <c r="E32" s="26">
        <v>2500</v>
      </c>
      <c r="F32" s="27">
        <v>2535.66</v>
      </c>
      <c r="G32" s="28">
        <v>3.4504800000000002E-2</v>
      </c>
      <c r="H32" s="18">
        <v>7.1550000000000002</v>
      </c>
    </row>
    <row r="33" spans="1:8" ht="25.5" x14ac:dyDescent="0.2">
      <c r="A33" s="24">
        <v>6</v>
      </c>
      <c r="B33" s="25" t="s">
        <v>32</v>
      </c>
      <c r="C33" s="25" t="s">
        <v>33</v>
      </c>
      <c r="D33" s="25" t="s">
        <v>23</v>
      </c>
      <c r="E33" s="26">
        <v>2500</v>
      </c>
      <c r="F33" s="27">
        <v>2526.5925000000002</v>
      </c>
      <c r="G33" s="28">
        <v>3.4381410000000001E-2</v>
      </c>
      <c r="H33" s="18">
        <v>7.4649999999999999</v>
      </c>
    </row>
    <row r="34" spans="1:8" ht="25.5" x14ac:dyDescent="0.2">
      <c r="A34" s="24">
        <v>7</v>
      </c>
      <c r="B34" s="25" t="s">
        <v>34</v>
      </c>
      <c r="C34" s="25" t="s">
        <v>35</v>
      </c>
      <c r="D34" s="25" t="s">
        <v>36</v>
      </c>
      <c r="E34" s="26">
        <v>2500</v>
      </c>
      <c r="F34" s="27">
        <v>2518.7824999999998</v>
      </c>
      <c r="G34" s="28">
        <v>3.4275130000000001E-2</v>
      </c>
      <c r="H34" s="18">
        <v>7.4550000000000001</v>
      </c>
    </row>
    <row r="35" spans="1:8" ht="25.5" x14ac:dyDescent="0.2">
      <c r="A35" s="24">
        <v>8</v>
      </c>
      <c r="B35" s="25" t="s">
        <v>37</v>
      </c>
      <c r="C35" s="25" t="s">
        <v>38</v>
      </c>
      <c r="D35" s="25" t="s">
        <v>23</v>
      </c>
      <c r="E35" s="26">
        <v>2500</v>
      </c>
      <c r="F35" s="27">
        <v>2511.125</v>
      </c>
      <c r="G35" s="28">
        <v>3.4170930000000002E-2</v>
      </c>
      <c r="H35" s="18">
        <v>7.48</v>
      </c>
    </row>
    <row r="36" spans="1:8" x14ac:dyDescent="0.2">
      <c r="A36" s="24">
        <v>9</v>
      </c>
      <c r="B36" s="25" t="s">
        <v>39</v>
      </c>
      <c r="C36" s="25" t="s">
        <v>40</v>
      </c>
      <c r="D36" s="25" t="s">
        <v>23</v>
      </c>
      <c r="E36" s="26">
        <v>2500</v>
      </c>
      <c r="F36" s="27">
        <v>2505.8200000000002</v>
      </c>
      <c r="G36" s="28">
        <v>3.4098740000000002E-2</v>
      </c>
      <c r="H36" s="18">
        <v>7.3624999999999998</v>
      </c>
    </row>
    <row r="37" spans="1:8" x14ac:dyDescent="0.2">
      <c r="A37" s="24">
        <v>10</v>
      </c>
      <c r="B37" s="25" t="s">
        <v>41</v>
      </c>
      <c r="C37" s="25" t="s">
        <v>42</v>
      </c>
      <c r="D37" s="25" t="s">
        <v>23</v>
      </c>
      <c r="E37" s="26">
        <v>2500</v>
      </c>
      <c r="F37" s="27">
        <v>2495.6550000000002</v>
      </c>
      <c r="G37" s="28">
        <v>3.3960419999999998E-2</v>
      </c>
      <c r="H37" s="18">
        <v>7.55</v>
      </c>
    </row>
    <row r="38" spans="1:8" ht="25.5" x14ac:dyDescent="0.2">
      <c r="A38" s="24">
        <v>11</v>
      </c>
      <c r="B38" s="25" t="s">
        <v>43</v>
      </c>
      <c r="C38" s="25" t="s">
        <v>44</v>
      </c>
      <c r="D38" s="25" t="s">
        <v>23</v>
      </c>
      <c r="E38" s="26">
        <v>2500</v>
      </c>
      <c r="F38" s="27">
        <v>2492.7224999999999</v>
      </c>
      <c r="G38" s="28">
        <v>3.3920510000000001E-2</v>
      </c>
      <c r="H38" s="18">
        <v>7.4</v>
      </c>
    </row>
    <row r="39" spans="1:8" ht="25.5" x14ac:dyDescent="0.2">
      <c r="A39" s="24">
        <v>12</v>
      </c>
      <c r="B39" s="25" t="s">
        <v>45</v>
      </c>
      <c r="C39" s="25" t="s">
        <v>46</v>
      </c>
      <c r="D39" s="25" t="s">
        <v>23</v>
      </c>
      <c r="E39" s="26">
        <v>2000</v>
      </c>
      <c r="F39" s="27">
        <v>2014.89</v>
      </c>
      <c r="G39" s="28">
        <v>2.7418250000000002E-2</v>
      </c>
      <c r="H39" s="18">
        <v>7.3875000000000002</v>
      </c>
    </row>
    <row r="40" spans="1:8" ht="25.5" x14ac:dyDescent="0.2">
      <c r="A40" s="24">
        <v>13</v>
      </c>
      <c r="B40" s="25" t="s">
        <v>47</v>
      </c>
      <c r="C40" s="25" t="s">
        <v>48</v>
      </c>
      <c r="D40" s="25" t="s">
        <v>36</v>
      </c>
      <c r="E40" s="26">
        <v>200</v>
      </c>
      <c r="F40" s="27">
        <v>2008.624</v>
      </c>
      <c r="G40" s="28">
        <v>2.7332990000000001E-2</v>
      </c>
      <c r="H40" s="18">
        <v>7.2725</v>
      </c>
    </row>
    <row r="41" spans="1:8" x14ac:dyDescent="0.2">
      <c r="A41" s="24">
        <v>14</v>
      </c>
      <c r="B41" s="25" t="s">
        <v>49</v>
      </c>
      <c r="C41" s="25" t="s">
        <v>50</v>
      </c>
      <c r="D41" s="25" t="s">
        <v>23</v>
      </c>
      <c r="E41" s="26">
        <v>2000</v>
      </c>
      <c r="F41" s="27">
        <v>2007.904</v>
      </c>
      <c r="G41" s="28">
        <v>2.7323190000000001E-2</v>
      </c>
      <c r="H41" s="18">
        <v>7.6749999999999998</v>
      </c>
    </row>
    <row r="42" spans="1:8" ht="25.5" x14ac:dyDescent="0.2">
      <c r="A42" s="24">
        <v>15</v>
      </c>
      <c r="B42" s="25" t="s">
        <v>51</v>
      </c>
      <c r="C42" s="25" t="s">
        <v>52</v>
      </c>
      <c r="D42" s="25" t="s">
        <v>23</v>
      </c>
      <c r="E42" s="26">
        <v>1500</v>
      </c>
      <c r="F42" s="27">
        <v>1530.498</v>
      </c>
      <c r="G42" s="28">
        <v>2.082674E-2</v>
      </c>
      <c r="H42" s="18">
        <v>7.4550000000000001</v>
      </c>
    </row>
    <row r="43" spans="1:8" x14ac:dyDescent="0.2">
      <c r="A43" s="24">
        <v>16</v>
      </c>
      <c r="B43" s="25" t="s">
        <v>53</v>
      </c>
      <c r="C43" s="25" t="s">
        <v>54</v>
      </c>
      <c r="D43" s="25" t="s">
        <v>23</v>
      </c>
      <c r="E43" s="26">
        <v>1500</v>
      </c>
      <c r="F43" s="27">
        <v>1504.6079999999999</v>
      </c>
      <c r="G43" s="28">
        <v>2.0474429999999998E-2</v>
      </c>
      <c r="H43" s="18">
        <v>7.56</v>
      </c>
    </row>
    <row r="44" spans="1:8" ht="25.5" x14ac:dyDescent="0.2">
      <c r="A44" s="24">
        <v>17</v>
      </c>
      <c r="B44" s="25" t="s">
        <v>55</v>
      </c>
      <c r="C44" s="25" t="s">
        <v>56</v>
      </c>
      <c r="D44" s="25" t="s">
        <v>23</v>
      </c>
      <c r="E44" s="26">
        <v>1500</v>
      </c>
      <c r="F44" s="27">
        <v>1498.7684999999999</v>
      </c>
      <c r="G44" s="28">
        <v>2.0394969999999998E-2</v>
      </c>
      <c r="H44" s="18">
        <v>7.5934999999999997</v>
      </c>
    </row>
    <row r="45" spans="1:8" x14ac:dyDescent="0.2">
      <c r="A45" s="24">
        <v>18</v>
      </c>
      <c r="B45" s="25" t="s">
        <v>57</v>
      </c>
      <c r="C45" s="25" t="s">
        <v>58</v>
      </c>
      <c r="D45" s="25" t="s">
        <v>23</v>
      </c>
      <c r="E45" s="26">
        <v>100</v>
      </c>
      <c r="F45" s="27">
        <v>1008.574</v>
      </c>
      <c r="G45" s="28">
        <v>1.3724490000000001E-2</v>
      </c>
      <c r="H45" s="18">
        <v>7.62</v>
      </c>
    </row>
    <row r="46" spans="1:8" ht="25.5" x14ac:dyDescent="0.2">
      <c r="A46" s="24">
        <v>19</v>
      </c>
      <c r="B46" s="25" t="s">
        <v>59</v>
      </c>
      <c r="C46" s="25" t="s">
        <v>60</v>
      </c>
      <c r="D46" s="25" t="s">
        <v>23</v>
      </c>
      <c r="E46" s="26">
        <v>1000</v>
      </c>
      <c r="F46" s="27">
        <v>999.80700000000002</v>
      </c>
      <c r="G46" s="28">
        <v>1.360519E-2</v>
      </c>
      <c r="H46" s="18">
        <v>8.0399999999999991</v>
      </c>
    </row>
    <row r="47" spans="1:8" ht="25.5" x14ac:dyDescent="0.2">
      <c r="A47" s="24">
        <v>20</v>
      </c>
      <c r="B47" s="25" t="s">
        <v>61</v>
      </c>
      <c r="C47" s="25" t="s">
        <v>62</v>
      </c>
      <c r="D47" s="25" t="s">
        <v>23</v>
      </c>
      <c r="E47" s="26">
        <v>1000</v>
      </c>
      <c r="F47" s="27">
        <v>997.11900000000003</v>
      </c>
      <c r="G47" s="28">
        <v>1.356861E-2</v>
      </c>
      <c r="H47" s="18">
        <v>7.58</v>
      </c>
    </row>
    <row r="48" spans="1:8" x14ac:dyDescent="0.2">
      <c r="A48" s="24">
        <v>21</v>
      </c>
      <c r="B48" s="25" t="s">
        <v>63</v>
      </c>
      <c r="C48" s="25" t="s">
        <v>64</v>
      </c>
      <c r="D48" s="25" t="s">
        <v>23</v>
      </c>
      <c r="E48" s="26">
        <v>500</v>
      </c>
      <c r="F48" s="27">
        <v>503.29450000000003</v>
      </c>
      <c r="G48" s="28">
        <v>6.8487399999999999E-3</v>
      </c>
      <c r="H48" s="18">
        <v>7.76</v>
      </c>
    </row>
    <row r="49" spans="1:8" ht="25.5" x14ac:dyDescent="0.2">
      <c r="A49" s="24">
        <v>22</v>
      </c>
      <c r="B49" s="25" t="s">
        <v>65</v>
      </c>
      <c r="C49" s="25" t="s">
        <v>66</v>
      </c>
      <c r="D49" s="25" t="s">
        <v>36</v>
      </c>
      <c r="E49" s="26">
        <v>50</v>
      </c>
      <c r="F49" s="27">
        <v>497.81150000000002</v>
      </c>
      <c r="G49" s="28">
        <v>6.7741299999999997E-3</v>
      </c>
      <c r="H49" s="18">
        <v>7.46</v>
      </c>
    </row>
    <row r="50" spans="1:8" x14ac:dyDescent="0.2">
      <c r="A50" s="16"/>
      <c r="B50" s="16"/>
      <c r="C50" s="17" t="s">
        <v>11</v>
      </c>
      <c r="D50" s="16"/>
      <c r="E50" s="16" t="s">
        <v>12</v>
      </c>
      <c r="F50" s="23">
        <v>50724.785000000003</v>
      </c>
      <c r="G50" s="20">
        <v>0.69025358999999997</v>
      </c>
      <c r="H50" s="18" t="s">
        <v>12</v>
      </c>
    </row>
    <row r="51" spans="1:8" x14ac:dyDescent="0.2">
      <c r="A51" s="16"/>
      <c r="B51" s="16"/>
      <c r="C51" s="21"/>
      <c r="D51" s="16"/>
      <c r="E51" s="16"/>
      <c r="F51" s="22"/>
      <c r="G51" s="22"/>
      <c r="H51" s="18" t="s">
        <v>12</v>
      </c>
    </row>
    <row r="52" spans="1:8" x14ac:dyDescent="0.2">
      <c r="A52" s="16"/>
      <c r="B52" s="16"/>
      <c r="C52" s="17" t="s">
        <v>67</v>
      </c>
      <c r="D52" s="16"/>
      <c r="E52" s="16"/>
      <c r="F52" s="16"/>
      <c r="G52" s="16"/>
      <c r="H52" s="18" t="s">
        <v>12</v>
      </c>
    </row>
    <row r="53" spans="1:8" x14ac:dyDescent="0.2">
      <c r="A53" s="16"/>
      <c r="B53" s="16"/>
      <c r="C53" s="17" t="s">
        <v>11</v>
      </c>
      <c r="D53" s="16"/>
      <c r="E53" s="16" t="s">
        <v>12</v>
      </c>
      <c r="F53" s="19" t="s">
        <v>13</v>
      </c>
      <c r="G53" s="20">
        <v>0</v>
      </c>
      <c r="H53" s="18" t="s">
        <v>12</v>
      </c>
    </row>
    <row r="54" spans="1:8" x14ac:dyDescent="0.2">
      <c r="A54" s="16"/>
      <c r="B54" s="16"/>
      <c r="C54" s="21"/>
      <c r="D54" s="16"/>
      <c r="E54" s="16"/>
      <c r="F54" s="22"/>
      <c r="G54" s="22"/>
      <c r="H54" s="18" t="s">
        <v>12</v>
      </c>
    </row>
    <row r="55" spans="1:8" x14ac:dyDescent="0.2">
      <c r="A55" s="16"/>
      <c r="B55" s="16"/>
      <c r="C55" s="17" t="s">
        <v>68</v>
      </c>
      <c r="D55" s="16"/>
      <c r="E55" s="16"/>
      <c r="F55" s="16"/>
      <c r="G55" s="16"/>
      <c r="H55" s="18" t="s">
        <v>12</v>
      </c>
    </row>
    <row r="56" spans="1:8" ht="25.5" x14ac:dyDescent="0.2">
      <c r="A56" s="24">
        <v>1</v>
      </c>
      <c r="B56" s="25" t="s">
        <v>69</v>
      </c>
      <c r="C56" s="25" t="s">
        <v>70</v>
      </c>
      <c r="D56" s="25" t="s">
        <v>71</v>
      </c>
      <c r="E56" s="26">
        <v>10500000</v>
      </c>
      <c r="F56" s="27">
        <v>10728.3645</v>
      </c>
      <c r="G56" s="28">
        <v>0.14598961999999999</v>
      </c>
      <c r="H56" s="18">
        <v>6.8952999999999998</v>
      </c>
    </row>
    <row r="57" spans="1:8" x14ac:dyDescent="0.2">
      <c r="A57" s="24">
        <v>2</v>
      </c>
      <c r="B57" s="25" t="s">
        <v>72</v>
      </c>
      <c r="C57" s="25" t="s">
        <v>73</v>
      </c>
      <c r="D57" s="25" t="s">
        <v>71</v>
      </c>
      <c r="E57" s="26">
        <v>2000000</v>
      </c>
      <c r="F57" s="27">
        <v>2054.6</v>
      </c>
      <c r="G57" s="28">
        <v>2.795862E-2</v>
      </c>
      <c r="H57" s="18">
        <v>6.8681000000000001</v>
      </c>
    </row>
    <row r="58" spans="1:8" x14ac:dyDescent="0.2">
      <c r="A58" s="24">
        <v>3</v>
      </c>
      <c r="B58" s="25" t="s">
        <v>74</v>
      </c>
      <c r="C58" s="25" t="s">
        <v>75</v>
      </c>
      <c r="D58" s="25" t="s">
        <v>71</v>
      </c>
      <c r="E58" s="26">
        <v>1500000</v>
      </c>
      <c r="F58" s="27">
        <v>1553.6685</v>
      </c>
      <c r="G58" s="28">
        <v>2.1142040000000001E-2</v>
      </c>
      <c r="H58" s="18">
        <v>7.1307999999999998</v>
      </c>
    </row>
    <row r="59" spans="1:8" ht="25.5" x14ac:dyDescent="0.2">
      <c r="A59" s="24">
        <v>4</v>
      </c>
      <c r="B59" s="25" t="s">
        <v>76</v>
      </c>
      <c r="C59" s="25" t="s">
        <v>77</v>
      </c>
      <c r="D59" s="25" t="s">
        <v>71</v>
      </c>
      <c r="E59" s="26">
        <v>1000000</v>
      </c>
      <c r="F59" s="27">
        <v>1040.3330000000001</v>
      </c>
      <c r="G59" s="28">
        <v>1.415666E-2</v>
      </c>
      <c r="H59" s="18">
        <v>7.1593</v>
      </c>
    </row>
    <row r="60" spans="1:8" x14ac:dyDescent="0.2">
      <c r="A60" s="24">
        <v>5</v>
      </c>
      <c r="B60" s="25" t="s">
        <v>78</v>
      </c>
      <c r="C60" s="25" t="s">
        <v>79</v>
      </c>
      <c r="D60" s="25" t="s">
        <v>71</v>
      </c>
      <c r="E60" s="26">
        <v>1000000</v>
      </c>
      <c r="F60" s="27">
        <v>1022.183</v>
      </c>
      <c r="G60" s="28">
        <v>1.3909680000000001E-2</v>
      </c>
      <c r="H60" s="18">
        <v>6.8228999999999997</v>
      </c>
    </row>
    <row r="61" spans="1:8" ht="25.5" x14ac:dyDescent="0.2">
      <c r="A61" s="24">
        <v>6</v>
      </c>
      <c r="B61" s="25" t="s">
        <v>80</v>
      </c>
      <c r="C61" s="25" t="s">
        <v>81</v>
      </c>
      <c r="D61" s="25" t="s">
        <v>71</v>
      </c>
      <c r="E61" s="26">
        <v>500000</v>
      </c>
      <c r="F61" s="27">
        <v>516.53750000000002</v>
      </c>
      <c r="G61" s="28">
        <v>7.02895E-3</v>
      </c>
      <c r="H61" s="18">
        <v>6.9809000000000001</v>
      </c>
    </row>
    <row r="62" spans="1:8" x14ac:dyDescent="0.2">
      <c r="A62" s="24">
        <v>7</v>
      </c>
      <c r="B62" s="25" t="s">
        <v>82</v>
      </c>
      <c r="C62" s="25" t="s">
        <v>83</v>
      </c>
      <c r="D62" s="25" t="s">
        <v>71</v>
      </c>
      <c r="E62" s="26">
        <v>500000</v>
      </c>
      <c r="F62" s="27">
        <v>512.77350000000001</v>
      </c>
      <c r="G62" s="28">
        <v>6.9777299999999997E-3</v>
      </c>
      <c r="H62" s="18">
        <v>6.9909999999999997</v>
      </c>
    </row>
    <row r="63" spans="1:8" x14ac:dyDescent="0.2">
      <c r="A63" s="16"/>
      <c r="B63" s="16"/>
      <c r="C63" s="17" t="s">
        <v>11</v>
      </c>
      <c r="D63" s="16"/>
      <c r="E63" s="16" t="s">
        <v>12</v>
      </c>
      <c r="F63" s="23">
        <v>17428.46</v>
      </c>
      <c r="G63" s="20">
        <v>0.23716329999999999</v>
      </c>
      <c r="H63" s="18" t="s">
        <v>12</v>
      </c>
    </row>
    <row r="64" spans="1:8" x14ac:dyDescent="0.2">
      <c r="A64" s="16"/>
      <c r="B64" s="16"/>
      <c r="C64" s="21"/>
      <c r="D64" s="16"/>
      <c r="E64" s="16"/>
      <c r="F64" s="22"/>
      <c r="G64" s="22"/>
      <c r="H64" s="18" t="s">
        <v>12</v>
      </c>
    </row>
    <row r="65" spans="1:8" x14ac:dyDescent="0.2">
      <c r="A65" s="16"/>
      <c r="B65" s="16"/>
      <c r="C65" s="17" t="s">
        <v>84</v>
      </c>
      <c r="D65" s="16"/>
      <c r="E65" s="16"/>
      <c r="F65" s="22"/>
      <c r="G65" s="22"/>
      <c r="H65" s="18" t="s">
        <v>12</v>
      </c>
    </row>
    <row r="66" spans="1:8" x14ac:dyDescent="0.2">
      <c r="A66" s="16"/>
      <c r="B66" s="16"/>
      <c r="C66" s="17" t="s">
        <v>11</v>
      </c>
      <c r="D66" s="16"/>
      <c r="E66" s="16" t="s">
        <v>12</v>
      </c>
      <c r="F66" s="19" t="s">
        <v>13</v>
      </c>
      <c r="G66" s="20">
        <v>0</v>
      </c>
      <c r="H66" s="18" t="s">
        <v>12</v>
      </c>
    </row>
    <row r="67" spans="1:8" x14ac:dyDescent="0.2">
      <c r="A67" s="16"/>
      <c r="B67" s="16"/>
      <c r="C67" s="21"/>
      <c r="D67" s="16"/>
      <c r="E67" s="16"/>
      <c r="F67" s="22"/>
      <c r="G67" s="22"/>
      <c r="H67" s="18" t="s">
        <v>12</v>
      </c>
    </row>
    <row r="68" spans="1:8" x14ac:dyDescent="0.2">
      <c r="A68" s="16"/>
      <c r="B68" s="16"/>
      <c r="C68" s="17" t="s">
        <v>85</v>
      </c>
      <c r="D68" s="16"/>
      <c r="E68" s="16"/>
      <c r="F68" s="23">
        <v>68153.244999999995</v>
      </c>
      <c r="G68" s="20">
        <v>0.92741689000000005</v>
      </c>
      <c r="H68" s="18" t="s">
        <v>12</v>
      </c>
    </row>
    <row r="69" spans="1:8" x14ac:dyDescent="0.2">
      <c r="A69" s="16"/>
      <c r="B69" s="16"/>
      <c r="C69" s="21"/>
      <c r="D69" s="16"/>
      <c r="E69" s="16"/>
      <c r="F69" s="22"/>
      <c r="G69" s="22"/>
      <c r="H69" s="18" t="s">
        <v>12</v>
      </c>
    </row>
    <row r="70" spans="1:8" x14ac:dyDescent="0.2">
      <c r="A70" s="16"/>
      <c r="B70" s="16"/>
      <c r="C70" s="17" t="s">
        <v>86</v>
      </c>
      <c r="D70" s="16"/>
      <c r="E70" s="16"/>
      <c r="F70" s="22"/>
      <c r="G70" s="22"/>
      <c r="H70" s="18" t="s">
        <v>12</v>
      </c>
    </row>
    <row r="71" spans="1:8" x14ac:dyDescent="0.2">
      <c r="A71" s="16"/>
      <c r="B71" s="16"/>
      <c r="C71" s="17" t="s">
        <v>87</v>
      </c>
      <c r="D71" s="16"/>
      <c r="E71" s="16"/>
      <c r="F71" s="22"/>
      <c r="G71" s="22"/>
      <c r="H71" s="18" t="s">
        <v>12</v>
      </c>
    </row>
    <row r="72" spans="1:8" x14ac:dyDescent="0.2">
      <c r="A72" s="16"/>
      <c r="B72" s="16"/>
      <c r="C72" s="17" t="s">
        <v>11</v>
      </c>
      <c r="D72" s="16"/>
      <c r="E72" s="16" t="s">
        <v>12</v>
      </c>
      <c r="F72" s="19" t="s">
        <v>13</v>
      </c>
      <c r="G72" s="20">
        <v>0</v>
      </c>
      <c r="H72" s="18" t="s">
        <v>12</v>
      </c>
    </row>
    <row r="73" spans="1:8" x14ac:dyDescent="0.2">
      <c r="A73" s="16"/>
      <c r="B73" s="16"/>
      <c r="C73" s="21"/>
      <c r="D73" s="16"/>
      <c r="E73" s="16"/>
      <c r="F73" s="22"/>
      <c r="G73" s="22"/>
      <c r="H73" s="18" t="s">
        <v>12</v>
      </c>
    </row>
    <row r="74" spans="1:8" x14ac:dyDescent="0.2">
      <c r="A74" s="16"/>
      <c r="B74" s="16"/>
      <c r="C74" s="17" t="s">
        <v>88</v>
      </c>
      <c r="D74" s="16"/>
      <c r="E74" s="16"/>
      <c r="F74" s="22"/>
      <c r="G74" s="22"/>
      <c r="H74" s="18" t="s">
        <v>12</v>
      </c>
    </row>
    <row r="75" spans="1:8" x14ac:dyDescent="0.2">
      <c r="A75" s="16"/>
      <c r="B75" s="16"/>
      <c r="C75" s="17" t="s">
        <v>11</v>
      </c>
      <c r="D75" s="16"/>
      <c r="E75" s="16" t="s">
        <v>12</v>
      </c>
      <c r="F75" s="19" t="s">
        <v>13</v>
      </c>
      <c r="G75" s="20">
        <v>0</v>
      </c>
      <c r="H75" s="18" t="s">
        <v>12</v>
      </c>
    </row>
    <row r="76" spans="1:8" x14ac:dyDescent="0.2">
      <c r="A76" s="16"/>
      <c r="B76" s="16"/>
      <c r="C76" s="21"/>
      <c r="D76" s="16"/>
      <c r="E76" s="16"/>
      <c r="F76" s="22"/>
      <c r="G76" s="22"/>
      <c r="H76" s="18" t="s">
        <v>12</v>
      </c>
    </row>
    <row r="77" spans="1:8" x14ac:dyDescent="0.2">
      <c r="A77" s="16"/>
      <c r="B77" s="16"/>
      <c r="C77" s="17" t="s">
        <v>89</v>
      </c>
      <c r="D77" s="16"/>
      <c r="E77" s="16"/>
      <c r="F77" s="22"/>
      <c r="G77" s="22"/>
      <c r="H77" s="18" t="s">
        <v>12</v>
      </c>
    </row>
    <row r="78" spans="1:8" x14ac:dyDescent="0.2">
      <c r="A78" s="16"/>
      <c r="B78" s="16"/>
      <c r="C78" s="17" t="s">
        <v>11</v>
      </c>
      <c r="D78" s="16"/>
      <c r="E78" s="16" t="s">
        <v>12</v>
      </c>
      <c r="F78" s="19" t="s">
        <v>13</v>
      </c>
      <c r="G78" s="20">
        <v>0</v>
      </c>
      <c r="H78" s="18" t="s">
        <v>12</v>
      </c>
    </row>
    <row r="79" spans="1:8" x14ac:dyDescent="0.2">
      <c r="A79" s="16"/>
      <c r="B79" s="16"/>
      <c r="C79" s="21"/>
      <c r="D79" s="16"/>
      <c r="E79" s="16"/>
      <c r="F79" s="22"/>
      <c r="G79" s="22"/>
      <c r="H79" s="18" t="s">
        <v>12</v>
      </c>
    </row>
    <row r="80" spans="1:8" x14ac:dyDescent="0.2">
      <c r="A80" s="16"/>
      <c r="B80" s="16"/>
      <c r="C80" s="17" t="s">
        <v>90</v>
      </c>
      <c r="D80" s="16"/>
      <c r="E80" s="16"/>
      <c r="F80" s="22"/>
      <c r="G80" s="22"/>
      <c r="H80" s="18" t="s">
        <v>12</v>
      </c>
    </row>
    <row r="81" spans="1:17" x14ac:dyDescent="0.2">
      <c r="A81" s="24">
        <v>1</v>
      </c>
      <c r="B81" s="25"/>
      <c r="C81" s="25" t="s">
        <v>91</v>
      </c>
      <c r="D81" s="25"/>
      <c r="E81" s="29"/>
      <c r="F81" s="27">
        <v>3256.6223563939998</v>
      </c>
      <c r="G81" s="28">
        <v>4.4315519999999997E-2</v>
      </c>
      <c r="H81" s="18">
        <v>6.66</v>
      </c>
    </row>
    <row r="82" spans="1:17" x14ac:dyDescent="0.2">
      <c r="A82" s="16"/>
      <c r="B82" s="16"/>
      <c r="C82" s="17" t="s">
        <v>11</v>
      </c>
      <c r="D82" s="16"/>
      <c r="E82" s="16" t="s">
        <v>12</v>
      </c>
      <c r="F82" s="23">
        <v>3256.6223563939998</v>
      </c>
      <c r="G82" s="20">
        <v>4.4315519999999997E-2</v>
      </c>
      <c r="H82" s="18" t="s">
        <v>12</v>
      </c>
    </row>
    <row r="83" spans="1:17" x14ac:dyDescent="0.2">
      <c r="A83" s="16"/>
      <c r="B83" s="16"/>
      <c r="C83" s="21"/>
      <c r="D83" s="16"/>
      <c r="E83" s="16"/>
      <c r="F83" s="22"/>
      <c r="G83" s="22"/>
      <c r="H83" s="18" t="s">
        <v>12</v>
      </c>
    </row>
    <row r="84" spans="1:17" x14ac:dyDescent="0.2">
      <c r="A84" s="16"/>
      <c r="B84" s="16"/>
      <c r="C84" s="17" t="s">
        <v>92</v>
      </c>
      <c r="D84" s="16"/>
      <c r="E84" s="16"/>
      <c r="F84" s="23">
        <v>3256.6223563939998</v>
      </c>
      <c r="G84" s="20">
        <v>4.4315519999999997E-2</v>
      </c>
      <c r="H84" s="18" t="s">
        <v>12</v>
      </c>
    </row>
    <row r="85" spans="1:17" x14ac:dyDescent="0.2">
      <c r="A85" s="16"/>
      <c r="B85" s="16"/>
      <c r="C85" s="22"/>
      <c r="D85" s="16"/>
      <c r="E85" s="16"/>
      <c r="F85" s="16"/>
      <c r="G85" s="16"/>
      <c r="H85" s="18" t="s">
        <v>12</v>
      </c>
    </row>
    <row r="86" spans="1:17" x14ac:dyDescent="0.2">
      <c r="A86" s="16"/>
      <c r="B86" s="16"/>
      <c r="C86" s="17" t="s">
        <v>93</v>
      </c>
      <c r="D86" s="16"/>
      <c r="E86" s="16"/>
      <c r="F86" s="16"/>
      <c r="G86" s="16"/>
      <c r="H86" s="18" t="s">
        <v>12</v>
      </c>
    </row>
    <row r="87" spans="1:17" x14ac:dyDescent="0.2">
      <c r="A87" s="16"/>
      <c r="B87" s="16"/>
      <c r="C87" s="17" t="s">
        <v>94</v>
      </c>
      <c r="D87" s="16"/>
      <c r="E87" s="16"/>
      <c r="F87" s="16"/>
      <c r="G87" s="16"/>
      <c r="H87" s="18" t="s">
        <v>12</v>
      </c>
    </row>
    <row r="88" spans="1:17" x14ac:dyDescent="0.2">
      <c r="A88" s="16"/>
      <c r="B88" s="16"/>
      <c r="C88" s="17" t="s">
        <v>11</v>
      </c>
      <c r="D88" s="16"/>
      <c r="E88" s="16" t="s">
        <v>12</v>
      </c>
      <c r="F88" s="19" t="s">
        <v>13</v>
      </c>
      <c r="G88" s="20">
        <v>0</v>
      </c>
      <c r="H88" s="18" t="s">
        <v>12</v>
      </c>
    </row>
    <row r="89" spans="1:17" x14ac:dyDescent="0.2">
      <c r="A89" s="68"/>
      <c r="B89" s="68"/>
      <c r="C89" s="69"/>
      <c r="D89" s="68"/>
      <c r="E89" s="68"/>
      <c r="F89" s="70"/>
      <c r="G89" s="70"/>
      <c r="H89" s="18" t="s">
        <v>12</v>
      </c>
    </row>
    <row r="90" spans="1:17" x14ac:dyDescent="0.2">
      <c r="A90" s="68"/>
      <c r="B90" s="68"/>
      <c r="C90" s="48" t="s">
        <v>606</v>
      </c>
      <c r="D90" s="68"/>
      <c r="E90" s="68"/>
      <c r="F90" s="70"/>
      <c r="G90" s="70"/>
      <c r="H90" s="65"/>
      <c r="K90" s="51"/>
      <c r="L90" s="51"/>
      <c r="M90" s="51"/>
      <c r="N90" s="51"/>
      <c r="O90" s="71"/>
      <c r="P90" s="71"/>
      <c r="Q90" s="71"/>
    </row>
    <row r="91" spans="1:17" ht="25.5" x14ac:dyDescent="0.2">
      <c r="A91" s="72">
        <v>1</v>
      </c>
      <c r="B91" s="47" t="s">
        <v>95</v>
      </c>
      <c r="C91" s="47" t="s">
        <v>96</v>
      </c>
      <c r="D91" s="47"/>
      <c r="E91" s="73">
        <v>2586.3710000000001</v>
      </c>
      <c r="F91" s="65">
        <v>270.71503875100001</v>
      </c>
      <c r="G91" s="66">
        <v>3.6838399999999999E-3</v>
      </c>
      <c r="H91" s="18"/>
    </row>
    <row r="92" spans="1:17" x14ac:dyDescent="0.2">
      <c r="A92" s="68"/>
      <c r="B92" s="68"/>
      <c r="C92" s="48" t="s">
        <v>11</v>
      </c>
      <c r="D92" s="68"/>
      <c r="E92" s="68" t="s">
        <v>12</v>
      </c>
      <c r="F92" s="74">
        <f>SUM(F91)</f>
        <v>270.71503875100001</v>
      </c>
      <c r="G92" s="75">
        <f>SUM(G91)</f>
        <v>3.6838399999999999E-3</v>
      </c>
      <c r="H92" s="18" t="s">
        <v>12</v>
      </c>
    </row>
    <row r="93" spans="1:17" x14ac:dyDescent="0.2">
      <c r="A93" s="16"/>
      <c r="B93" s="16"/>
      <c r="C93" s="21"/>
      <c r="D93" s="16"/>
      <c r="E93" s="16"/>
      <c r="F93" s="22"/>
      <c r="G93" s="22"/>
      <c r="H93" s="18" t="s">
        <v>12</v>
      </c>
    </row>
    <row r="94" spans="1:17" x14ac:dyDescent="0.2">
      <c r="A94" s="16"/>
      <c r="B94" s="16"/>
      <c r="C94" s="17" t="s">
        <v>97</v>
      </c>
      <c r="D94" s="16"/>
      <c r="E94" s="16"/>
      <c r="F94" s="16"/>
      <c r="G94" s="16"/>
      <c r="H94" s="18" t="s">
        <v>12</v>
      </c>
    </row>
    <row r="95" spans="1:17" x14ac:dyDescent="0.2">
      <c r="A95" s="16"/>
      <c r="B95" s="16"/>
      <c r="C95" s="17" t="s">
        <v>98</v>
      </c>
      <c r="D95" s="16"/>
      <c r="E95" s="16"/>
      <c r="F95" s="16"/>
      <c r="G95" s="16"/>
      <c r="H95" s="18" t="s">
        <v>12</v>
      </c>
    </row>
    <row r="96" spans="1:17" x14ac:dyDescent="0.2">
      <c r="A96" s="16"/>
      <c r="B96" s="16"/>
      <c r="C96" s="17" t="s">
        <v>11</v>
      </c>
      <c r="D96" s="16"/>
      <c r="E96" s="16" t="s">
        <v>12</v>
      </c>
      <c r="F96" s="19" t="s">
        <v>13</v>
      </c>
      <c r="G96" s="20">
        <v>0</v>
      </c>
      <c r="H96" s="18" t="s">
        <v>12</v>
      </c>
    </row>
    <row r="97" spans="1:8" x14ac:dyDescent="0.2">
      <c r="A97" s="16"/>
      <c r="B97" s="16"/>
      <c r="C97" s="21"/>
      <c r="D97" s="16"/>
      <c r="E97" s="16"/>
      <c r="F97" s="22"/>
      <c r="G97" s="22"/>
      <c r="H97" s="18" t="s">
        <v>12</v>
      </c>
    </row>
    <row r="98" spans="1:8" x14ac:dyDescent="0.2">
      <c r="A98" s="16"/>
      <c r="B98" s="16"/>
      <c r="C98" s="17" t="s">
        <v>99</v>
      </c>
      <c r="D98" s="16"/>
      <c r="E98" s="16"/>
      <c r="F98" s="22"/>
      <c r="G98" s="22"/>
      <c r="H98" s="18" t="s">
        <v>12</v>
      </c>
    </row>
    <row r="99" spans="1:8" x14ac:dyDescent="0.2">
      <c r="A99" s="16"/>
      <c r="B99" s="16"/>
      <c r="C99" s="17" t="s">
        <v>11</v>
      </c>
      <c r="D99" s="16"/>
      <c r="E99" s="16" t="s">
        <v>12</v>
      </c>
      <c r="F99" s="19" t="s">
        <v>13</v>
      </c>
      <c r="G99" s="20">
        <v>0</v>
      </c>
      <c r="H99" s="18" t="s">
        <v>12</v>
      </c>
    </row>
    <row r="100" spans="1:8" x14ac:dyDescent="0.2">
      <c r="A100" s="16"/>
      <c r="B100" s="25"/>
      <c r="C100" s="25"/>
      <c r="D100" s="17"/>
      <c r="E100" s="16"/>
      <c r="F100" s="25"/>
      <c r="G100" s="29"/>
      <c r="H100" s="18" t="s">
        <v>12</v>
      </c>
    </row>
    <row r="101" spans="1:8" x14ac:dyDescent="0.2">
      <c r="A101" s="29"/>
      <c r="B101" s="25"/>
      <c r="C101" s="25" t="s">
        <v>100</v>
      </c>
      <c r="D101" s="25"/>
      <c r="E101" s="29"/>
      <c r="F101" s="27">
        <v>1806.59031041</v>
      </c>
      <c r="G101" s="28">
        <v>2.4583750000000001E-2</v>
      </c>
      <c r="H101" s="18" t="s">
        <v>12</v>
      </c>
    </row>
    <row r="102" spans="1:8" x14ac:dyDescent="0.2">
      <c r="A102" s="21"/>
      <c r="B102" s="21"/>
      <c r="C102" s="17" t="s">
        <v>101</v>
      </c>
      <c r="D102" s="22"/>
      <c r="E102" s="22"/>
      <c r="F102" s="23">
        <v>73487.172705555</v>
      </c>
      <c r="G102" s="30">
        <v>1</v>
      </c>
      <c r="H102" s="18" t="s">
        <v>12</v>
      </c>
    </row>
    <row r="103" spans="1:8" x14ac:dyDescent="0.2">
      <c r="A103" s="31"/>
      <c r="B103" s="31"/>
      <c r="C103" s="31"/>
      <c r="D103" s="32"/>
      <c r="E103" s="32"/>
      <c r="F103" s="32"/>
      <c r="G103" s="32"/>
    </row>
    <row r="104" spans="1:8" x14ac:dyDescent="0.2">
      <c r="A104" s="33"/>
      <c r="B104" s="126" t="s">
        <v>602</v>
      </c>
      <c r="C104" s="126"/>
      <c r="D104" s="126"/>
      <c r="E104" s="126"/>
      <c r="F104" s="126"/>
      <c r="G104" s="126"/>
      <c r="H104" s="126"/>
    </row>
    <row r="105" spans="1:8" x14ac:dyDescent="0.2">
      <c r="A105" s="33"/>
      <c r="B105" s="126" t="s">
        <v>603</v>
      </c>
      <c r="C105" s="126"/>
      <c r="D105" s="126"/>
      <c r="E105" s="126"/>
      <c r="F105" s="126"/>
      <c r="G105" s="126"/>
      <c r="H105" s="126"/>
    </row>
    <row r="106" spans="1:8" x14ac:dyDescent="0.2">
      <c r="A106" s="33"/>
      <c r="B106" s="126" t="s">
        <v>604</v>
      </c>
      <c r="C106" s="126"/>
      <c r="D106" s="126"/>
      <c r="E106" s="126"/>
      <c r="F106" s="126"/>
      <c r="G106" s="126"/>
      <c r="H106" s="126"/>
    </row>
    <row r="107" spans="1:8" x14ac:dyDescent="0.2">
      <c r="A107" s="35"/>
      <c r="B107" s="35"/>
      <c r="C107" s="35"/>
      <c r="D107" s="36"/>
      <c r="E107" s="36"/>
      <c r="F107" s="36"/>
      <c r="G107" s="36"/>
    </row>
    <row r="108" spans="1:8" x14ac:dyDescent="0.2">
      <c r="A108" s="35"/>
      <c r="B108" s="129" t="s">
        <v>102</v>
      </c>
      <c r="C108" s="130"/>
      <c r="D108" s="131"/>
      <c r="E108" s="37"/>
      <c r="F108" s="36"/>
      <c r="G108" s="36"/>
    </row>
    <row r="109" spans="1:8" x14ac:dyDescent="0.2">
      <c r="A109" s="35"/>
      <c r="B109" s="132" t="s">
        <v>103</v>
      </c>
      <c r="C109" s="133"/>
      <c r="D109" s="17" t="s">
        <v>104</v>
      </c>
      <c r="E109" s="37"/>
      <c r="F109" s="36"/>
      <c r="G109" s="36"/>
    </row>
    <row r="110" spans="1:8" x14ac:dyDescent="0.2">
      <c r="A110" s="35"/>
      <c r="B110" s="132" t="s">
        <v>105</v>
      </c>
      <c r="C110" s="133"/>
      <c r="D110" s="17" t="s">
        <v>104</v>
      </c>
      <c r="E110" s="37"/>
      <c r="F110" s="36"/>
      <c r="G110" s="36"/>
    </row>
    <row r="111" spans="1:8" x14ac:dyDescent="0.2">
      <c r="A111" s="35"/>
      <c r="B111" s="132" t="s">
        <v>106</v>
      </c>
      <c r="C111" s="133"/>
      <c r="D111" s="22" t="s">
        <v>12</v>
      </c>
      <c r="E111" s="37"/>
      <c r="F111" s="36"/>
      <c r="G111" s="36"/>
    </row>
    <row r="112" spans="1:8" x14ac:dyDescent="0.2">
      <c r="A112" s="38"/>
      <c r="B112" s="39" t="s">
        <v>12</v>
      </c>
      <c r="C112" s="39" t="s">
        <v>605</v>
      </c>
      <c r="D112" s="39" t="s">
        <v>107</v>
      </c>
      <c r="E112" s="38"/>
      <c r="F112" s="38"/>
      <c r="G112" s="38"/>
      <c r="H112" s="40"/>
    </row>
    <row r="113" spans="1:7" x14ac:dyDescent="0.2">
      <c r="A113" s="41"/>
      <c r="B113" s="42" t="s">
        <v>108</v>
      </c>
      <c r="C113" s="43">
        <v>45611</v>
      </c>
      <c r="D113" s="43">
        <v>45626</v>
      </c>
      <c r="E113" s="41"/>
      <c r="F113" s="41"/>
      <c r="G113" s="41"/>
    </row>
    <row r="114" spans="1:7" x14ac:dyDescent="0.2">
      <c r="A114" s="41"/>
      <c r="B114" s="25" t="s">
        <v>109</v>
      </c>
      <c r="C114" s="44">
        <v>39.319499999999998</v>
      </c>
      <c r="D114" s="44">
        <v>39.467199999999998</v>
      </c>
      <c r="E114" s="41"/>
      <c r="F114" s="45"/>
      <c r="G114" s="46"/>
    </row>
    <row r="115" spans="1:7" ht="25.5" x14ac:dyDescent="0.2">
      <c r="A115" s="41"/>
      <c r="B115" s="25" t="s">
        <v>714</v>
      </c>
      <c r="C115" s="44">
        <v>17.416599999999999</v>
      </c>
      <c r="D115" s="44">
        <v>17.481999999999999</v>
      </c>
      <c r="E115" s="41"/>
      <c r="F115" s="45"/>
      <c r="G115" s="46"/>
    </row>
    <row r="116" spans="1:7" ht="25.5" x14ac:dyDescent="0.2">
      <c r="A116" s="41"/>
      <c r="B116" s="25" t="s">
        <v>715</v>
      </c>
      <c r="C116" s="44">
        <v>19.299099999999999</v>
      </c>
      <c r="D116" s="44">
        <v>19.371600000000001</v>
      </c>
      <c r="E116" s="41"/>
      <c r="F116" s="45"/>
      <c r="G116" s="46"/>
    </row>
    <row r="117" spans="1:7" ht="25.5" x14ac:dyDescent="0.2">
      <c r="A117" s="41"/>
      <c r="B117" s="25" t="s">
        <v>716</v>
      </c>
      <c r="C117" s="44">
        <v>17.380800000000001</v>
      </c>
      <c r="D117" s="44">
        <v>17.445900000000002</v>
      </c>
      <c r="E117" s="41"/>
      <c r="F117" s="45"/>
      <c r="G117" s="46"/>
    </row>
    <row r="118" spans="1:7" ht="25.5" x14ac:dyDescent="0.2">
      <c r="A118" s="41"/>
      <c r="B118" s="25" t="s">
        <v>717</v>
      </c>
      <c r="C118" s="44">
        <v>17.494299999999999</v>
      </c>
      <c r="D118" s="44">
        <v>17.559999999999999</v>
      </c>
      <c r="E118" s="41"/>
      <c r="F118" s="45"/>
      <c r="G118" s="46"/>
    </row>
    <row r="119" spans="1:7" x14ac:dyDescent="0.2">
      <c r="A119" s="41"/>
      <c r="B119" s="25" t="s">
        <v>110</v>
      </c>
      <c r="C119" s="44">
        <v>38.078200000000002</v>
      </c>
      <c r="D119" s="44">
        <v>38.217599999999997</v>
      </c>
      <c r="E119" s="41"/>
      <c r="F119" s="45"/>
      <c r="G119" s="46"/>
    </row>
    <row r="120" spans="1:7" ht="25.5" x14ac:dyDescent="0.2">
      <c r="A120" s="41"/>
      <c r="B120" s="25" t="s">
        <v>718</v>
      </c>
      <c r="C120" s="44">
        <v>16.4617</v>
      </c>
      <c r="D120" s="44">
        <v>16.521999999999998</v>
      </c>
      <c r="E120" s="41"/>
      <c r="F120" s="45"/>
      <c r="G120" s="46"/>
    </row>
    <row r="121" spans="1:7" ht="25.5" x14ac:dyDescent="0.2">
      <c r="A121" s="41"/>
      <c r="B121" s="25" t="s">
        <v>665</v>
      </c>
      <c r="C121" s="44">
        <v>18.729099999999999</v>
      </c>
      <c r="D121" s="44">
        <v>18.797699999999999</v>
      </c>
      <c r="E121" s="41"/>
      <c r="F121" s="45"/>
      <c r="G121" s="46"/>
    </row>
    <row r="122" spans="1:7" ht="25.5" x14ac:dyDescent="0.2">
      <c r="A122" s="41"/>
      <c r="B122" s="25" t="s">
        <v>719</v>
      </c>
      <c r="C122" s="44">
        <v>17.2683</v>
      </c>
      <c r="D122" s="44">
        <v>17.331499999999998</v>
      </c>
      <c r="E122" s="41"/>
      <c r="F122" s="45"/>
      <c r="G122" s="46"/>
    </row>
    <row r="123" spans="1:7" ht="25.5" x14ac:dyDescent="0.2">
      <c r="A123" s="41"/>
      <c r="B123" s="25" t="s">
        <v>720</v>
      </c>
      <c r="C123" s="44">
        <v>16.977399999999999</v>
      </c>
      <c r="D123" s="44">
        <v>17.0395</v>
      </c>
      <c r="E123" s="41"/>
      <c r="F123" s="45"/>
      <c r="G123" s="46"/>
    </row>
    <row r="124" spans="1:7" x14ac:dyDescent="0.2">
      <c r="A124" s="41"/>
      <c r="B124" s="41"/>
      <c r="C124" s="41"/>
      <c r="D124" s="41"/>
      <c r="E124" s="41"/>
      <c r="F124" s="41"/>
      <c r="G124" s="41"/>
    </row>
    <row r="125" spans="1:7" x14ac:dyDescent="0.2">
      <c r="A125" s="41"/>
      <c r="B125" s="132" t="s">
        <v>721</v>
      </c>
      <c r="C125" s="133"/>
      <c r="D125" s="17" t="s">
        <v>104</v>
      </c>
      <c r="E125" s="41"/>
      <c r="F125" s="41"/>
      <c r="G125" s="41"/>
    </row>
    <row r="126" spans="1:7" x14ac:dyDescent="0.2">
      <c r="A126" s="41"/>
      <c r="B126" s="49"/>
      <c r="C126" s="49"/>
      <c r="D126" s="49"/>
      <c r="E126" s="41"/>
      <c r="F126" s="41"/>
      <c r="G126" s="41"/>
    </row>
    <row r="127" spans="1:7" ht="25.5" customHeight="1" x14ac:dyDescent="0.2">
      <c r="A127" s="38"/>
      <c r="B127" s="134" t="s">
        <v>111</v>
      </c>
      <c r="C127" s="135"/>
      <c r="D127" s="48" t="s">
        <v>104</v>
      </c>
      <c r="E127" s="50"/>
      <c r="F127" s="38"/>
      <c r="G127" s="38"/>
    </row>
    <row r="128" spans="1:7" ht="26.25" customHeight="1" x14ac:dyDescent="0.2">
      <c r="A128" s="38"/>
      <c r="B128" s="134" t="s">
        <v>112</v>
      </c>
      <c r="C128" s="135"/>
      <c r="D128" s="48" t="s">
        <v>104</v>
      </c>
      <c r="E128" s="50"/>
      <c r="F128" s="38"/>
      <c r="G128" s="38"/>
    </row>
    <row r="129" spans="1:14" x14ac:dyDescent="0.2">
      <c r="A129" s="38"/>
      <c r="B129" s="134" t="s">
        <v>607</v>
      </c>
      <c r="C129" s="135"/>
      <c r="D129" s="48" t="s">
        <v>104</v>
      </c>
      <c r="E129" s="50"/>
      <c r="F129" s="38"/>
      <c r="G129" s="38"/>
    </row>
    <row r="130" spans="1:14" x14ac:dyDescent="0.2">
      <c r="A130" s="49"/>
      <c r="B130" s="49"/>
      <c r="C130" s="49"/>
      <c r="D130" s="49"/>
      <c r="E130" s="49"/>
      <c r="F130" s="49"/>
      <c r="G130" s="49"/>
    </row>
    <row r="131" spans="1:14" s="52" customFormat="1" x14ac:dyDescent="0.2">
      <c r="B131" s="136" t="s">
        <v>608</v>
      </c>
      <c r="C131" s="137"/>
      <c r="D131" s="138"/>
      <c r="I131"/>
      <c r="J131" s="51"/>
      <c r="K131" s="51"/>
      <c r="L131" s="51"/>
      <c r="M131" s="51"/>
      <c r="N131" s="51"/>
    </row>
    <row r="132" spans="1:14" s="52" customFormat="1" ht="38.25" x14ac:dyDescent="0.2">
      <c r="B132" s="127" t="s">
        <v>609</v>
      </c>
      <c r="C132" s="127"/>
      <c r="D132" s="54" t="s">
        <v>1</v>
      </c>
      <c r="I132"/>
      <c r="J132" s="51"/>
      <c r="K132" s="51"/>
      <c r="L132" s="51"/>
      <c r="M132" s="51"/>
      <c r="N132" s="51"/>
    </row>
    <row r="133" spans="1:14" s="52" customFormat="1" x14ac:dyDescent="0.2">
      <c r="B133" s="128" t="s">
        <v>610</v>
      </c>
      <c r="C133" s="128"/>
      <c r="D133" s="55"/>
      <c r="I133"/>
      <c r="J133" s="51"/>
      <c r="K133" s="51"/>
      <c r="L133" s="51"/>
      <c r="M133" s="51"/>
      <c r="N133" s="51"/>
    </row>
    <row r="134" spans="1:14" s="52" customFormat="1" x14ac:dyDescent="0.2">
      <c r="B134" s="140"/>
      <c r="C134" s="141"/>
      <c r="D134" s="56"/>
      <c r="I134"/>
      <c r="J134" s="51"/>
      <c r="K134" s="51"/>
      <c r="L134" s="51"/>
      <c r="M134" s="51"/>
      <c r="N134" s="51"/>
    </row>
    <row r="135" spans="1:14" s="52" customFormat="1" x14ac:dyDescent="0.2">
      <c r="B135" s="128" t="s">
        <v>611</v>
      </c>
      <c r="C135" s="128"/>
      <c r="D135" s="57">
        <v>7.2957956932977073</v>
      </c>
      <c r="I135"/>
      <c r="J135" s="51"/>
      <c r="K135" s="51"/>
      <c r="L135" s="51"/>
      <c r="M135" s="51"/>
      <c r="N135" s="51"/>
    </row>
    <row r="136" spans="1:14" s="52" customFormat="1" x14ac:dyDescent="0.2">
      <c r="B136" s="140"/>
      <c r="C136" s="141"/>
      <c r="D136" s="56"/>
      <c r="I136"/>
      <c r="J136" s="51"/>
      <c r="K136" s="51"/>
      <c r="L136" s="51"/>
      <c r="M136" s="51"/>
      <c r="N136" s="51"/>
    </row>
    <row r="137" spans="1:14" s="52" customFormat="1" x14ac:dyDescent="0.2">
      <c r="B137" s="128" t="s">
        <v>612</v>
      </c>
      <c r="C137" s="128"/>
      <c r="D137" s="57">
        <v>4.2554693304544191</v>
      </c>
      <c r="I137"/>
      <c r="J137" s="51"/>
      <c r="K137" s="51"/>
      <c r="L137" s="51"/>
      <c r="M137" s="51"/>
      <c r="N137" s="51"/>
    </row>
    <row r="138" spans="1:14" s="52" customFormat="1" x14ac:dyDescent="0.2">
      <c r="B138" s="128" t="s">
        <v>613</v>
      </c>
      <c r="C138" s="128"/>
      <c r="D138" s="57">
        <v>6.1248544843074004</v>
      </c>
      <c r="I138"/>
      <c r="J138" s="51"/>
      <c r="K138" s="51"/>
      <c r="L138" s="51"/>
      <c r="M138" s="51"/>
      <c r="N138" s="51"/>
    </row>
    <row r="139" spans="1:14" s="52" customFormat="1" x14ac:dyDescent="0.2">
      <c r="B139" s="140"/>
      <c r="C139" s="141"/>
      <c r="D139" s="56"/>
      <c r="I139"/>
      <c r="J139" s="51"/>
      <c r="K139" s="51"/>
      <c r="L139" s="51"/>
      <c r="M139" s="51"/>
      <c r="N139" s="51"/>
    </row>
    <row r="140" spans="1:14" s="52" customFormat="1" x14ac:dyDescent="0.2">
      <c r="B140" s="128" t="s">
        <v>614</v>
      </c>
      <c r="C140" s="128"/>
      <c r="D140" s="59" t="s">
        <v>687</v>
      </c>
      <c r="I140"/>
      <c r="J140" s="51"/>
      <c r="K140" s="51"/>
      <c r="L140" s="51"/>
      <c r="M140" s="51"/>
      <c r="N140" s="53"/>
    </row>
    <row r="141" spans="1:14" s="52" customFormat="1" x14ac:dyDescent="0.2">
      <c r="B141" s="140" t="s">
        <v>615</v>
      </c>
      <c r="C141" s="142"/>
      <c r="D141" s="141"/>
      <c r="I141"/>
      <c r="J141" s="51"/>
      <c r="K141" s="51"/>
      <c r="L141" s="51"/>
      <c r="M141" s="51"/>
      <c r="N141" s="51"/>
    </row>
    <row r="143" spans="1:14" x14ac:dyDescent="0.2">
      <c r="B143" s="61" t="s">
        <v>691</v>
      </c>
    </row>
    <row r="145" spans="2:4" ht="153.75" customHeight="1" x14ac:dyDescent="0.2"/>
    <row r="148" spans="2:4" x14ac:dyDescent="0.2">
      <c r="B148" s="62" t="s">
        <v>692</v>
      </c>
      <c r="C148" s="63"/>
      <c r="D148" s="62" t="s">
        <v>694</v>
      </c>
    </row>
    <row r="149" spans="2:4" x14ac:dyDescent="0.2">
      <c r="B149" s="62" t="s">
        <v>693</v>
      </c>
      <c r="D149" s="62" t="s">
        <v>695</v>
      </c>
    </row>
    <row r="150" spans="2:4" ht="165" customHeight="1" x14ac:dyDescent="0.2"/>
  </sheetData>
  <mergeCells count="25">
    <mergeCell ref="B139:C139"/>
    <mergeCell ref="B140:C140"/>
    <mergeCell ref="B141:D141"/>
    <mergeCell ref="B134:C134"/>
    <mergeCell ref="B135:C135"/>
    <mergeCell ref="B136:C136"/>
    <mergeCell ref="B137:C137"/>
    <mergeCell ref="B138:C138"/>
    <mergeCell ref="A1:H1"/>
    <mergeCell ref="A2:H2"/>
    <mergeCell ref="A3:H3"/>
    <mergeCell ref="B104:H104"/>
    <mergeCell ref="B105:H105"/>
    <mergeCell ref="B106:H106"/>
    <mergeCell ref="B132:C132"/>
    <mergeCell ref="B133:C133"/>
    <mergeCell ref="B108:D108"/>
    <mergeCell ref="B109:C109"/>
    <mergeCell ref="B110:C110"/>
    <mergeCell ref="B111:C111"/>
    <mergeCell ref="B125:C125"/>
    <mergeCell ref="B129:C129"/>
    <mergeCell ref="B127:C127"/>
    <mergeCell ref="B128:C128"/>
    <mergeCell ref="B131:D131"/>
  </mergeCells>
  <hyperlinks>
    <hyperlink ref="I1" location="Index!B2" display="Index" xr:uid="{1C9329A0-A5F9-4CE1-A760-C03C49BD9B7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5C73-9EEF-46A6-AF48-DA0A26B67A99}">
  <sheetPr>
    <outlinePr summaryBelow="0" summaryRight="0"/>
  </sheetPr>
  <dimension ref="A1:R143"/>
  <sheetViews>
    <sheetView showGridLines="0" workbookViewId="0">
      <selection sqref="A1:H1"/>
    </sheetView>
  </sheetViews>
  <sheetFormatPr defaultRowHeight="12.75" x14ac:dyDescent="0.2"/>
  <cols>
    <col min="1" max="1" width="5.85546875" bestFit="1" customWidth="1"/>
    <col min="2" max="2" width="19.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8" customWidth="1"/>
    <col min="9" max="9" width="5.7109375" bestFit="1" customWidth="1"/>
  </cols>
  <sheetData>
    <row r="1" spans="1:9" ht="15" x14ac:dyDescent="0.2">
      <c r="A1" s="139" t="s">
        <v>0</v>
      </c>
      <c r="B1" s="139"/>
      <c r="C1" s="139"/>
      <c r="D1" s="139"/>
      <c r="E1" s="139"/>
      <c r="F1" s="139"/>
      <c r="G1" s="139"/>
      <c r="H1" s="139"/>
      <c r="I1" s="7" t="s">
        <v>598</v>
      </c>
    </row>
    <row r="2" spans="1:9" ht="15" x14ac:dyDescent="0.2">
      <c r="A2" s="139" t="s">
        <v>113</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599</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ht="25.5" x14ac:dyDescent="0.2">
      <c r="A28" s="24">
        <v>1</v>
      </c>
      <c r="B28" s="25" t="s">
        <v>47</v>
      </c>
      <c r="C28" s="25" t="s">
        <v>48</v>
      </c>
      <c r="D28" s="25" t="s">
        <v>36</v>
      </c>
      <c r="E28" s="26">
        <v>300</v>
      </c>
      <c r="F28" s="27">
        <v>3012.9360000000001</v>
      </c>
      <c r="G28" s="28">
        <v>8.9668230000000002E-2</v>
      </c>
      <c r="H28" s="18">
        <v>7.2725</v>
      </c>
    </row>
    <row r="29" spans="1:8" x14ac:dyDescent="0.2">
      <c r="A29" s="24">
        <v>2</v>
      </c>
      <c r="B29" s="25" t="s">
        <v>114</v>
      </c>
      <c r="C29" s="25" t="s">
        <v>115</v>
      </c>
      <c r="D29" s="25" t="s">
        <v>36</v>
      </c>
      <c r="E29" s="26">
        <v>250</v>
      </c>
      <c r="F29" s="27">
        <v>2511.5650000000001</v>
      </c>
      <c r="G29" s="28">
        <v>7.4746889999999996E-2</v>
      </c>
      <c r="H29" s="18">
        <v>7.3674999999999997</v>
      </c>
    </row>
    <row r="30" spans="1:8" x14ac:dyDescent="0.2">
      <c r="A30" s="24">
        <v>3</v>
      </c>
      <c r="B30" s="25" t="s">
        <v>116</v>
      </c>
      <c r="C30" s="25" t="s">
        <v>117</v>
      </c>
      <c r="D30" s="25" t="s">
        <v>23</v>
      </c>
      <c r="E30" s="26">
        <v>2500</v>
      </c>
      <c r="F30" s="27">
        <v>2504.8674999999998</v>
      </c>
      <c r="G30" s="28">
        <v>7.4547559999999999E-2</v>
      </c>
      <c r="H30" s="18">
        <v>7.61</v>
      </c>
    </row>
    <row r="31" spans="1:8" x14ac:dyDescent="0.2">
      <c r="A31" s="24">
        <v>4</v>
      </c>
      <c r="B31" s="25" t="s">
        <v>118</v>
      </c>
      <c r="C31" s="25" t="s">
        <v>119</v>
      </c>
      <c r="D31" s="25" t="s">
        <v>23</v>
      </c>
      <c r="E31" s="26">
        <v>2000</v>
      </c>
      <c r="F31" s="27">
        <v>2008.8019999999999</v>
      </c>
      <c r="G31" s="28">
        <v>5.9784120000000003E-2</v>
      </c>
      <c r="H31" s="18">
        <v>7.38</v>
      </c>
    </row>
    <row r="32" spans="1:8" ht="25.5" x14ac:dyDescent="0.2">
      <c r="A32" s="24">
        <v>5</v>
      </c>
      <c r="B32" s="25" t="s">
        <v>120</v>
      </c>
      <c r="C32" s="25" t="s">
        <v>121</v>
      </c>
      <c r="D32" s="25" t="s">
        <v>36</v>
      </c>
      <c r="E32" s="26">
        <v>200</v>
      </c>
      <c r="F32" s="27">
        <v>1996.9880000000001</v>
      </c>
      <c r="G32" s="28">
        <v>5.9432520000000003E-2</v>
      </c>
      <c r="H32" s="18">
        <v>7.71</v>
      </c>
    </row>
    <row r="33" spans="1:8" ht="25.5" x14ac:dyDescent="0.2">
      <c r="A33" s="24">
        <v>6</v>
      </c>
      <c r="B33" s="25" t="s">
        <v>122</v>
      </c>
      <c r="C33" s="25" t="s">
        <v>123</v>
      </c>
      <c r="D33" s="25" t="s">
        <v>36</v>
      </c>
      <c r="E33" s="26">
        <v>200</v>
      </c>
      <c r="F33" s="27">
        <v>1952.5940000000001</v>
      </c>
      <c r="G33" s="28">
        <v>5.8111309999999999E-2</v>
      </c>
      <c r="H33" s="18">
        <v>7.57</v>
      </c>
    </row>
    <row r="34" spans="1:8" ht="25.5" x14ac:dyDescent="0.2">
      <c r="A34" s="24">
        <v>7</v>
      </c>
      <c r="B34" s="25" t="s">
        <v>37</v>
      </c>
      <c r="C34" s="25" t="s">
        <v>38</v>
      </c>
      <c r="D34" s="25" t="s">
        <v>23</v>
      </c>
      <c r="E34" s="26">
        <v>1500</v>
      </c>
      <c r="F34" s="27">
        <v>1506.675</v>
      </c>
      <c r="G34" s="28">
        <v>4.4840270000000002E-2</v>
      </c>
      <c r="H34" s="18">
        <v>7.48</v>
      </c>
    </row>
    <row r="35" spans="1:8" ht="25.5" x14ac:dyDescent="0.2">
      <c r="A35" s="24">
        <v>8</v>
      </c>
      <c r="B35" s="25" t="s">
        <v>43</v>
      </c>
      <c r="C35" s="25" t="s">
        <v>44</v>
      </c>
      <c r="D35" s="25" t="s">
        <v>23</v>
      </c>
      <c r="E35" s="26">
        <v>1500</v>
      </c>
      <c r="F35" s="27">
        <v>1495.6334999999999</v>
      </c>
      <c r="G35" s="28">
        <v>4.4511670000000003E-2</v>
      </c>
      <c r="H35" s="18">
        <v>7.4</v>
      </c>
    </row>
    <row r="36" spans="1:8" ht="25.5" x14ac:dyDescent="0.2">
      <c r="A36" s="24">
        <v>9</v>
      </c>
      <c r="B36" s="25" t="s">
        <v>124</v>
      </c>
      <c r="C36" s="25" t="s">
        <v>125</v>
      </c>
      <c r="D36" s="25" t="s">
        <v>36</v>
      </c>
      <c r="E36" s="26">
        <v>150</v>
      </c>
      <c r="F36" s="27">
        <v>1494.597</v>
      </c>
      <c r="G36" s="28">
        <v>4.4480819999999997E-2</v>
      </c>
      <c r="H36" s="18">
        <v>7.7</v>
      </c>
    </row>
    <row r="37" spans="1:8" ht="25.5" x14ac:dyDescent="0.2">
      <c r="A37" s="24">
        <v>10</v>
      </c>
      <c r="B37" s="25" t="s">
        <v>126</v>
      </c>
      <c r="C37" s="25" t="s">
        <v>127</v>
      </c>
      <c r="D37" s="25" t="s">
        <v>23</v>
      </c>
      <c r="E37" s="26">
        <v>1000</v>
      </c>
      <c r="F37" s="27">
        <v>1011.0549999999999</v>
      </c>
      <c r="G37" s="28">
        <v>3.009009E-2</v>
      </c>
      <c r="H37" s="18">
        <v>7.1786000000000003</v>
      </c>
    </row>
    <row r="38" spans="1:8" ht="25.5" x14ac:dyDescent="0.2">
      <c r="A38" s="24">
        <v>11</v>
      </c>
      <c r="B38" s="25" t="s">
        <v>26</v>
      </c>
      <c r="C38" s="25" t="s">
        <v>27</v>
      </c>
      <c r="D38" s="25" t="s">
        <v>23</v>
      </c>
      <c r="E38" s="26">
        <v>1000</v>
      </c>
      <c r="F38" s="27">
        <v>1005.135</v>
      </c>
      <c r="G38" s="28">
        <v>2.99139E-2</v>
      </c>
      <c r="H38" s="18">
        <v>7.2450000000000001</v>
      </c>
    </row>
    <row r="39" spans="1:8" ht="25.5" x14ac:dyDescent="0.2">
      <c r="A39" s="24">
        <v>12</v>
      </c>
      <c r="B39" s="25" t="s">
        <v>30</v>
      </c>
      <c r="C39" s="25" t="s">
        <v>31</v>
      </c>
      <c r="D39" s="25" t="s">
        <v>23</v>
      </c>
      <c r="E39" s="26">
        <v>500</v>
      </c>
      <c r="F39" s="27">
        <v>507.13200000000001</v>
      </c>
      <c r="G39" s="28">
        <v>1.50928E-2</v>
      </c>
      <c r="H39" s="18">
        <v>7.1550000000000002</v>
      </c>
    </row>
    <row r="40" spans="1:8" ht="25.5" x14ac:dyDescent="0.2">
      <c r="A40" s="24">
        <v>13</v>
      </c>
      <c r="B40" s="25" t="s">
        <v>128</v>
      </c>
      <c r="C40" s="25" t="s">
        <v>129</v>
      </c>
      <c r="D40" s="25" t="s">
        <v>23</v>
      </c>
      <c r="E40" s="26">
        <v>500</v>
      </c>
      <c r="F40" s="27">
        <v>505.58499999999998</v>
      </c>
      <c r="G40" s="28">
        <v>1.5046759999999999E-2</v>
      </c>
      <c r="H40" s="18">
        <v>7.2549999999999999</v>
      </c>
    </row>
    <row r="41" spans="1:8" ht="25.5" x14ac:dyDescent="0.2">
      <c r="A41" s="24">
        <v>14</v>
      </c>
      <c r="B41" s="25" t="s">
        <v>45</v>
      </c>
      <c r="C41" s="25" t="s">
        <v>46</v>
      </c>
      <c r="D41" s="25" t="s">
        <v>23</v>
      </c>
      <c r="E41" s="26">
        <v>500</v>
      </c>
      <c r="F41" s="27">
        <v>503.72250000000003</v>
      </c>
      <c r="G41" s="28">
        <v>1.4991330000000001E-2</v>
      </c>
      <c r="H41" s="18">
        <v>7.3875000000000002</v>
      </c>
    </row>
    <row r="42" spans="1:8" ht="25.5" x14ac:dyDescent="0.2">
      <c r="A42" s="24">
        <v>15</v>
      </c>
      <c r="B42" s="25" t="s">
        <v>130</v>
      </c>
      <c r="C42" s="25" t="s">
        <v>131</v>
      </c>
      <c r="D42" s="25" t="s">
        <v>23</v>
      </c>
      <c r="E42" s="26">
        <v>500</v>
      </c>
      <c r="F42" s="27">
        <v>502.45749999999998</v>
      </c>
      <c r="G42" s="28">
        <v>1.495368E-2</v>
      </c>
      <c r="H42" s="18">
        <v>7.4</v>
      </c>
    </row>
    <row r="43" spans="1:8" x14ac:dyDescent="0.2">
      <c r="A43" s="24">
        <v>16</v>
      </c>
      <c r="B43" s="25" t="s">
        <v>53</v>
      </c>
      <c r="C43" s="25" t="s">
        <v>54</v>
      </c>
      <c r="D43" s="25" t="s">
        <v>23</v>
      </c>
      <c r="E43" s="26">
        <v>500</v>
      </c>
      <c r="F43" s="27">
        <v>501.536</v>
      </c>
      <c r="G43" s="28">
        <v>1.492625E-2</v>
      </c>
      <c r="H43" s="18">
        <v>7.56</v>
      </c>
    </row>
    <row r="44" spans="1:8" ht="25.5" x14ac:dyDescent="0.2">
      <c r="A44" s="24">
        <v>17</v>
      </c>
      <c r="B44" s="25" t="s">
        <v>132</v>
      </c>
      <c r="C44" s="25" t="s">
        <v>133</v>
      </c>
      <c r="D44" s="25" t="s">
        <v>36</v>
      </c>
      <c r="E44" s="26">
        <v>50</v>
      </c>
      <c r="F44" s="27">
        <v>498.72050000000002</v>
      </c>
      <c r="G44" s="28">
        <v>1.484246E-2</v>
      </c>
      <c r="H44" s="18">
        <v>7.7450000000000001</v>
      </c>
    </row>
    <row r="45" spans="1:8" x14ac:dyDescent="0.2">
      <c r="A45" s="16"/>
      <c r="B45" s="16"/>
      <c r="C45" s="17" t="s">
        <v>11</v>
      </c>
      <c r="D45" s="16"/>
      <c r="E45" s="16" t="s">
        <v>12</v>
      </c>
      <c r="F45" s="23">
        <v>23520.001499999998</v>
      </c>
      <c r="G45" s="20">
        <v>0.69998066000000003</v>
      </c>
      <c r="H45" s="18" t="s">
        <v>12</v>
      </c>
    </row>
    <row r="46" spans="1:8" x14ac:dyDescent="0.2">
      <c r="A46" s="16"/>
      <c r="B46" s="16"/>
      <c r="C46" s="21"/>
      <c r="D46" s="16"/>
      <c r="E46" s="16"/>
      <c r="F46" s="22"/>
      <c r="G46" s="22"/>
      <c r="H46" s="18" t="s">
        <v>12</v>
      </c>
    </row>
    <row r="47" spans="1:8" x14ac:dyDescent="0.2">
      <c r="A47" s="16"/>
      <c r="B47" s="16"/>
      <c r="C47" s="17" t="s">
        <v>67</v>
      </c>
      <c r="D47" s="16"/>
      <c r="E47" s="16"/>
      <c r="F47" s="16"/>
      <c r="G47" s="16"/>
      <c r="H47" s="18" t="s">
        <v>12</v>
      </c>
    </row>
    <row r="48" spans="1:8" x14ac:dyDescent="0.2">
      <c r="A48" s="16"/>
      <c r="B48" s="16"/>
      <c r="C48" s="17" t="s">
        <v>11</v>
      </c>
      <c r="D48" s="16"/>
      <c r="E48" s="16" t="s">
        <v>12</v>
      </c>
      <c r="F48" s="19" t="s">
        <v>13</v>
      </c>
      <c r="G48" s="20">
        <v>0</v>
      </c>
      <c r="H48" s="18" t="s">
        <v>12</v>
      </c>
    </row>
    <row r="49" spans="1:8" x14ac:dyDescent="0.2">
      <c r="A49" s="16"/>
      <c r="B49" s="16"/>
      <c r="C49" s="21"/>
      <c r="D49" s="16"/>
      <c r="E49" s="16"/>
      <c r="F49" s="22"/>
      <c r="G49" s="22"/>
      <c r="H49" s="18" t="s">
        <v>12</v>
      </c>
    </row>
    <row r="50" spans="1:8" x14ac:dyDescent="0.2">
      <c r="A50" s="16"/>
      <c r="B50" s="16"/>
      <c r="C50" s="17" t="s">
        <v>68</v>
      </c>
      <c r="D50" s="16"/>
      <c r="E50" s="16"/>
      <c r="F50" s="16"/>
      <c r="G50" s="16"/>
      <c r="H50" s="18" t="s">
        <v>12</v>
      </c>
    </row>
    <row r="51" spans="1:8" ht="25.5" x14ac:dyDescent="0.2">
      <c r="A51" s="24">
        <v>1</v>
      </c>
      <c r="B51" s="25" t="s">
        <v>69</v>
      </c>
      <c r="C51" s="25" t="s">
        <v>70</v>
      </c>
      <c r="D51" s="25" t="s">
        <v>71</v>
      </c>
      <c r="E51" s="26">
        <v>4300000</v>
      </c>
      <c r="F51" s="27">
        <v>4393.5207</v>
      </c>
      <c r="G51" s="28">
        <v>0.13075592</v>
      </c>
      <c r="H51" s="18">
        <v>6.8952999999999998</v>
      </c>
    </row>
    <row r="52" spans="1:8" x14ac:dyDescent="0.2">
      <c r="A52" s="24">
        <v>2</v>
      </c>
      <c r="B52" s="25" t="s">
        <v>72</v>
      </c>
      <c r="C52" s="25" t="s">
        <v>73</v>
      </c>
      <c r="D52" s="25" t="s">
        <v>71</v>
      </c>
      <c r="E52" s="26">
        <v>1000000</v>
      </c>
      <c r="F52" s="27">
        <v>1027.3</v>
      </c>
      <c r="G52" s="28">
        <v>3.057356E-2</v>
      </c>
      <c r="H52" s="18">
        <v>6.8681000000000001</v>
      </c>
    </row>
    <row r="53" spans="1:8" ht="25.5" x14ac:dyDescent="0.2">
      <c r="A53" s="24">
        <v>3</v>
      </c>
      <c r="B53" s="25" t="s">
        <v>76</v>
      </c>
      <c r="C53" s="25" t="s">
        <v>77</v>
      </c>
      <c r="D53" s="25" t="s">
        <v>71</v>
      </c>
      <c r="E53" s="26">
        <v>500000</v>
      </c>
      <c r="F53" s="27">
        <v>520.16650000000004</v>
      </c>
      <c r="G53" s="28">
        <v>1.548072E-2</v>
      </c>
      <c r="H53" s="18">
        <v>7.1593</v>
      </c>
    </row>
    <row r="54" spans="1:8" x14ac:dyDescent="0.2">
      <c r="A54" s="24">
        <v>4</v>
      </c>
      <c r="B54" s="25" t="s">
        <v>74</v>
      </c>
      <c r="C54" s="25" t="s">
        <v>75</v>
      </c>
      <c r="D54" s="25" t="s">
        <v>71</v>
      </c>
      <c r="E54" s="26">
        <v>500000</v>
      </c>
      <c r="F54" s="27">
        <v>517.8895</v>
      </c>
      <c r="G54" s="28">
        <v>1.541295E-2</v>
      </c>
      <c r="H54" s="18">
        <v>7.1307999999999998</v>
      </c>
    </row>
    <row r="55" spans="1:8" ht="25.5" x14ac:dyDescent="0.2">
      <c r="A55" s="24">
        <v>5</v>
      </c>
      <c r="B55" s="25" t="s">
        <v>80</v>
      </c>
      <c r="C55" s="25" t="s">
        <v>81</v>
      </c>
      <c r="D55" s="25" t="s">
        <v>71</v>
      </c>
      <c r="E55" s="26">
        <v>500000</v>
      </c>
      <c r="F55" s="27">
        <v>516.53750000000002</v>
      </c>
      <c r="G55" s="28">
        <v>1.537271E-2</v>
      </c>
      <c r="H55" s="18">
        <v>6.9809000000000001</v>
      </c>
    </row>
    <row r="56" spans="1:8" x14ac:dyDescent="0.2">
      <c r="A56" s="16"/>
      <c r="B56" s="16"/>
      <c r="C56" s="17" t="s">
        <v>11</v>
      </c>
      <c r="D56" s="16"/>
      <c r="E56" s="16" t="s">
        <v>12</v>
      </c>
      <c r="F56" s="23">
        <v>6975.4142000000002</v>
      </c>
      <c r="G56" s="20">
        <v>0.20759585999999999</v>
      </c>
      <c r="H56" s="18" t="s">
        <v>12</v>
      </c>
    </row>
    <row r="57" spans="1:8" x14ac:dyDescent="0.2">
      <c r="A57" s="16"/>
      <c r="B57" s="16"/>
      <c r="C57" s="21"/>
      <c r="D57" s="16"/>
      <c r="E57" s="16"/>
      <c r="F57" s="22"/>
      <c r="G57" s="22"/>
      <c r="H57" s="18" t="s">
        <v>12</v>
      </c>
    </row>
    <row r="58" spans="1:8" x14ac:dyDescent="0.2">
      <c r="A58" s="16"/>
      <c r="B58" s="16"/>
      <c r="C58" s="17" t="s">
        <v>84</v>
      </c>
      <c r="D58" s="16"/>
      <c r="E58" s="16"/>
      <c r="F58" s="22"/>
      <c r="G58" s="22"/>
      <c r="H58" s="18" t="s">
        <v>12</v>
      </c>
    </row>
    <row r="59" spans="1:8" x14ac:dyDescent="0.2">
      <c r="A59" s="16"/>
      <c r="B59" s="16"/>
      <c r="C59" s="17" t="s">
        <v>11</v>
      </c>
      <c r="D59" s="16"/>
      <c r="E59" s="16" t="s">
        <v>12</v>
      </c>
      <c r="F59" s="19" t="s">
        <v>13</v>
      </c>
      <c r="G59" s="20">
        <v>0</v>
      </c>
      <c r="H59" s="18" t="s">
        <v>12</v>
      </c>
    </row>
    <row r="60" spans="1:8" x14ac:dyDescent="0.2">
      <c r="A60" s="16"/>
      <c r="B60" s="16"/>
      <c r="C60" s="21"/>
      <c r="D60" s="16"/>
      <c r="E60" s="16"/>
      <c r="F60" s="22"/>
      <c r="G60" s="22"/>
      <c r="H60" s="18" t="s">
        <v>12</v>
      </c>
    </row>
    <row r="61" spans="1:8" x14ac:dyDescent="0.2">
      <c r="A61" s="16"/>
      <c r="B61" s="16"/>
      <c r="C61" s="17" t="s">
        <v>85</v>
      </c>
      <c r="D61" s="16"/>
      <c r="E61" s="16"/>
      <c r="F61" s="23">
        <v>30495.415700000001</v>
      </c>
      <c r="G61" s="20">
        <v>0.90757652</v>
      </c>
      <c r="H61" s="18" t="s">
        <v>12</v>
      </c>
    </row>
    <row r="62" spans="1:8" x14ac:dyDescent="0.2">
      <c r="A62" s="16"/>
      <c r="B62" s="16"/>
      <c r="C62" s="21"/>
      <c r="D62" s="16"/>
      <c r="E62" s="16"/>
      <c r="F62" s="22"/>
      <c r="G62" s="22"/>
      <c r="H62" s="18" t="s">
        <v>12</v>
      </c>
    </row>
    <row r="63" spans="1:8" x14ac:dyDescent="0.2">
      <c r="A63" s="16"/>
      <c r="B63" s="16"/>
      <c r="C63" s="17" t="s">
        <v>86</v>
      </c>
      <c r="D63" s="16"/>
      <c r="E63" s="16"/>
      <c r="F63" s="22"/>
      <c r="G63" s="22"/>
      <c r="H63" s="18" t="s">
        <v>12</v>
      </c>
    </row>
    <row r="64" spans="1:8" x14ac:dyDescent="0.2">
      <c r="A64" s="16"/>
      <c r="B64" s="16"/>
      <c r="C64" s="17" t="s">
        <v>87</v>
      </c>
      <c r="D64" s="16"/>
      <c r="E64" s="16"/>
      <c r="F64" s="22"/>
      <c r="G64" s="22"/>
      <c r="H64" s="18" t="s">
        <v>12</v>
      </c>
    </row>
    <row r="65" spans="1:8" x14ac:dyDescent="0.2">
      <c r="A65" s="16"/>
      <c r="B65" s="16"/>
      <c r="C65" s="17" t="s">
        <v>11</v>
      </c>
      <c r="D65" s="16"/>
      <c r="E65" s="16" t="s">
        <v>12</v>
      </c>
      <c r="F65" s="19" t="s">
        <v>13</v>
      </c>
      <c r="G65" s="20">
        <v>0</v>
      </c>
      <c r="H65" s="18" t="s">
        <v>12</v>
      </c>
    </row>
    <row r="66" spans="1:8" x14ac:dyDescent="0.2">
      <c r="A66" s="16"/>
      <c r="B66" s="16"/>
      <c r="C66" s="21"/>
      <c r="D66" s="16"/>
      <c r="E66" s="16"/>
      <c r="F66" s="22"/>
      <c r="G66" s="22"/>
      <c r="H66" s="18" t="s">
        <v>12</v>
      </c>
    </row>
    <row r="67" spans="1:8" x14ac:dyDescent="0.2">
      <c r="A67" s="16"/>
      <c r="B67" s="16"/>
      <c r="C67" s="17" t="s">
        <v>88</v>
      </c>
      <c r="D67" s="16"/>
      <c r="E67" s="16"/>
      <c r="F67" s="22"/>
      <c r="G67" s="22"/>
      <c r="H67" s="18" t="s">
        <v>12</v>
      </c>
    </row>
    <row r="68" spans="1:8" x14ac:dyDescent="0.2">
      <c r="A68" s="16"/>
      <c r="B68" s="16"/>
      <c r="C68" s="17" t="s">
        <v>11</v>
      </c>
      <c r="D68" s="16"/>
      <c r="E68" s="16" t="s">
        <v>12</v>
      </c>
      <c r="F68" s="19" t="s">
        <v>13</v>
      </c>
      <c r="G68" s="20">
        <v>0</v>
      </c>
      <c r="H68" s="18" t="s">
        <v>12</v>
      </c>
    </row>
    <row r="69" spans="1:8" x14ac:dyDescent="0.2">
      <c r="A69" s="16"/>
      <c r="B69" s="16"/>
      <c r="C69" s="21"/>
      <c r="D69" s="16"/>
      <c r="E69" s="16"/>
      <c r="F69" s="22"/>
      <c r="G69" s="22"/>
      <c r="H69" s="18" t="s">
        <v>12</v>
      </c>
    </row>
    <row r="70" spans="1:8" x14ac:dyDescent="0.2">
      <c r="A70" s="16"/>
      <c r="B70" s="16"/>
      <c r="C70" s="17" t="s">
        <v>89</v>
      </c>
      <c r="D70" s="16"/>
      <c r="E70" s="16"/>
      <c r="F70" s="22"/>
      <c r="G70" s="22"/>
      <c r="H70" s="18" t="s">
        <v>12</v>
      </c>
    </row>
    <row r="71" spans="1:8" x14ac:dyDescent="0.2">
      <c r="A71" s="16"/>
      <c r="B71" s="16"/>
      <c r="C71" s="17" t="s">
        <v>11</v>
      </c>
      <c r="D71" s="16"/>
      <c r="E71" s="16" t="s">
        <v>12</v>
      </c>
      <c r="F71" s="19" t="s">
        <v>13</v>
      </c>
      <c r="G71" s="20">
        <v>0</v>
      </c>
      <c r="H71" s="18" t="s">
        <v>12</v>
      </c>
    </row>
    <row r="72" spans="1:8" x14ac:dyDescent="0.2">
      <c r="A72" s="16"/>
      <c r="B72" s="16"/>
      <c r="C72" s="21"/>
      <c r="D72" s="16"/>
      <c r="E72" s="16"/>
      <c r="F72" s="22"/>
      <c r="G72" s="22"/>
      <c r="H72" s="18" t="s">
        <v>12</v>
      </c>
    </row>
    <row r="73" spans="1:8" x14ac:dyDescent="0.2">
      <c r="A73" s="16"/>
      <c r="B73" s="16"/>
      <c r="C73" s="17" t="s">
        <v>90</v>
      </c>
      <c r="D73" s="16"/>
      <c r="E73" s="16"/>
      <c r="F73" s="22"/>
      <c r="G73" s="22"/>
      <c r="H73" s="18" t="s">
        <v>12</v>
      </c>
    </row>
    <row r="74" spans="1:8" x14ac:dyDescent="0.2">
      <c r="A74" s="24">
        <v>1</v>
      </c>
      <c r="B74" s="25"/>
      <c r="C74" s="25" t="s">
        <v>91</v>
      </c>
      <c r="D74" s="25"/>
      <c r="E74" s="29"/>
      <c r="F74" s="27">
        <v>2041.4233849039999</v>
      </c>
      <c r="G74" s="28">
        <v>6.0754959999999997E-2</v>
      </c>
      <c r="H74" s="18">
        <v>6.66</v>
      </c>
    </row>
    <row r="75" spans="1:8" x14ac:dyDescent="0.2">
      <c r="A75" s="16"/>
      <c r="B75" s="16"/>
      <c r="C75" s="17" t="s">
        <v>11</v>
      </c>
      <c r="D75" s="16"/>
      <c r="E75" s="16" t="s">
        <v>12</v>
      </c>
      <c r="F75" s="23">
        <v>2041.4233849039999</v>
      </c>
      <c r="G75" s="20">
        <v>6.0754959999999997E-2</v>
      </c>
      <c r="H75" s="18" t="s">
        <v>12</v>
      </c>
    </row>
    <row r="76" spans="1:8" x14ac:dyDescent="0.2">
      <c r="A76" s="16"/>
      <c r="B76" s="16"/>
      <c r="C76" s="21"/>
      <c r="D76" s="16"/>
      <c r="E76" s="16"/>
      <c r="F76" s="22"/>
      <c r="G76" s="22"/>
      <c r="H76" s="18" t="s">
        <v>12</v>
      </c>
    </row>
    <row r="77" spans="1:8" x14ac:dyDescent="0.2">
      <c r="A77" s="16"/>
      <c r="B77" s="16"/>
      <c r="C77" s="17" t="s">
        <v>92</v>
      </c>
      <c r="D77" s="16"/>
      <c r="E77" s="16"/>
      <c r="F77" s="23">
        <v>2041.4233849039999</v>
      </c>
      <c r="G77" s="20">
        <v>6.0754959999999997E-2</v>
      </c>
      <c r="H77" s="18" t="s">
        <v>12</v>
      </c>
    </row>
    <row r="78" spans="1:8" x14ac:dyDescent="0.2">
      <c r="A78" s="16"/>
      <c r="B78" s="16"/>
      <c r="C78" s="22"/>
      <c r="D78" s="16"/>
      <c r="E78" s="16"/>
      <c r="F78" s="16"/>
      <c r="G78" s="16"/>
      <c r="H78" s="18" t="s">
        <v>12</v>
      </c>
    </row>
    <row r="79" spans="1:8" x14ac:dyDescent="0.2">
      <c r="A79" s="16"/>
      <c r="B79" s="16"/>
      <c r="C79" s="17" t="s">
        <v>93</v>
      </c>
      <c r="D79" s="16"/>
      <c r="E79" s="16"/>
      <c r="F79" s="16"/>
      <c r="G79" s="16"/>
      <c r="H79" s="18" t="s">
        <v>12</v>
      </c>
    </row>
    <row r="80" spans="1:8" x14ac:dyDescent="0.2">
      <c r="A80" s="16"/>
      <c r="B80" s="16"/>
      <c r="C80" s="17" t="s">
        <v>94</v>
      </c>
      <c r="D80" s="16"/>
      <c r="E80" s="16"/>
      <c r="F80" s="16"/>
      <c r="G80" s="16"/>
      <c r="H80" s="18" t="s">
        <v>12</v>
      </c>
    </row>
    <row r="81" spans="1:18" x14ac:dyDescent="0.2">
      <c r="A81" s="16"/>
      <c r="B81" s="16"/>
      <c r="C81" s="17" t="s">
        <v>11</v>
      </c>
      <c r="D81" s="16"/>
      <c r="E81" s="16" t="s">
        <v>12</v>
      </c>
      <c r="F81" s="19" t="s">
        <v>13</v>
      </c>
      <c r="G81" s="20">
        <v>0</v>
      </c>
      <c r="H81" s="18" t="s">
        <v>12</v>
      </c>
    </row>
    <row r="82" spans="1:18" x14ac:dyDescent="0.2">
      <c r="A82" s="68"/>
      <c r="B82" s="68"/>
      <c r="C82" s="69"/>
      <c r="D82" s="68"/>
      <c r="E82" s="68"/>
      <c r="F82" s="70"/>
      <c r="G82" s="70"/>
      <c r="H82" s="18" t="s">
        <v>12</v>
      </c>
      <c r="J82" s="15"/>
    </row>
    <row r="83" spans="1:18" x14ac:dyDescent="0.2">
      <c r="A83" s="68"/>
      <c r="B83" s="68"/>
      <c r="C83" s="48" t="s">
        <v>606</v>
      </c>
      <c r="D83" s="68"/>
      <c r="E83" s="68"/>
      <c r="F83" s="70"/>
      <c r="G83" s="70"/>
      <c r="H83" s="65"/>
      <c r="J83" s="15"/>
      <c r="L83" s="51"/>
      <c r="M83" s="51"/>
      <c r="N83" s="51"/>
      <c r="O83" s="51"/>
      <c r="P83" s="71"/>
      <c r="Q83" s="71"/>
      <c r="R83" s="71"/>
    </row>
    <row r="84" spans="1:18" ht="25.5" x14ac:dyDescent="0.2">
      <c r="A84" s="72">
        <v>1</v>
      </c>
      <c r="B84" s="47" t="s">
        <v>95</v>
      </c>
      <c r="C84" s="47" t="s">
        <v>96</v>
      </c>
      <c r="D84" s="47"/>
      <c r="E84" s="73">
        <v>1138.2429999999999</v>
      </c>
      <c r="F84" s="65">
        <v>119.139712691</v>
      </c>
      <c r="G84" s="66">
        <v>3.54573E-3</v>
      </c>
      <c r="H84" s="18"/>
      <c r="J84" s="15"/>
    </row>
    <row r="85" spans="1:18" x14ac:dyDescent="0.2">
      <c r="A85" s="68"/>
      <c r="B85" s="68"/>
      <c r="C85" s="48" t="s">
        <v>11</v>
      </c>
      <c r="D85" s="68"/>
      <c r="E85" s="68" t="s">
        <v>12</v>
      </c>
      <c r="F85" s="74">
        <f>SUM(F84)</f>
        <v>119.139712691</v>
      </c>
      <c r="G85" s="75">
        <f>SUM(G84)</f>
        <v>3.54573E-3</v>
      </c>
      <c r="H85" s="18" t="s">
        <v>12</v>
      </c>
      <c r="J85" s="15"/>
    </row>
    <row r="86" spans="1:18" x14ac:dyDescent="0.2">
      <c r="A86" s="16"/>
      <c r="B86" s="16"/>
      <c r="C86" s="21"/>
      <c r="D86" s="16"/>
      <c r="E86" s="16"/>
      <c r="F86" s="22"/>
      <c r="G86" s="22"/>
      <c r="H86" s="18" t="s">
        <v>12</v>
      </c>
    </row>
    <row r="87" spans="1:18" x14ac:dyDescent="0.2">
      <c r="A87" s="16"/>
      <c r="B87" s="16"/>
      <c r="C87" s="17" t="s">
        <v>97</v>
      </c>
      <c r="D87" s="16"/>
      <c r="E87" s="16"/>
      <c r="F87" s="16"/>
      <c r="G87" s="16"/>
      <c r="H87" s="18" t="s">
        <v>12</v>
      </c>
    </row>
    <row r="88" spans="1:18" x14ac:dyDescent="0.2">
      <c r="A88" s="16"/>
      <c r="B88" s="16"/>
      <c r="C88" s="17" t="s">
        <v>98</v>
      </c>
      <c r="D88" s="16"/>
      <c r="E88" s="16"/>
      <c r="F88" s="16"/>
      <c r="G88" s="16"/>
      <c r="H88" s="18" t="s">
        <v>12</v>
      </c>
    </row>
    <row r="89" spans="1:18" x14ac:dyDescent="0.2">
      <c r="A89" s="16"/>
      <c r="B89" s="16"/>
      <c r="C89" s="17" t="s">
        <v>11</v>
      </c>
      <c r="D89" s="16"/>
      <c r="E89" s="16" t="s">
        <v>12</v>
      </c>
      <c r="F89" s="19" t="s">
        <v>13</v>
      </c>
      <c r="G89" s="20">
        <v>0</v>
      </c>
      <c r="H89" s="18" t="s">
        <v>12</v>
      </c>
    </row>
    <row r="90" spans="1:18" x14ac:dyDescent="0.2">
      <c r="A90" s="16"/>
      <c r="B90" s="16"/>
      <c r="C90" s="21"/>
      <c r="D90" s="16"/>
      <c r="E90" s="16"/>
      <c r="F90" s="22"/>
      <c r="G90" s="22"/>
      <c r="H90" s="18" t="s">
        <v>12</v>
      </c>
    </row>
    <row r="91" spans="1:18" x14ac:dyDescent="0.2">
      <c r="A91" s="16"/>
      <c r="B91" s="16"/>
      <c r="C91" s="17" t="s">
        <v>99</v>
      </c>
      <c r="D91" s="16"/>
      <c r="E91" s="16"/>
      <c r="F91" s="22"/>
      <c r="G91" s="22"/>
      <c r="H91" s="18" t="s">
        <v>12</v>
      </c>
    </row>
    <row r="92" spans="1:18" x14ac:dyDescent="0.2">
      <c r="A92" s="16"/>
      <c r="B92" s="16"/>
      <c r="C92" s="17" t="s">
        <v>11</v>
      </c>
      <c r="D92" s="16"/>
      <c r="E92" s="16" t="s">
        <v>12</v>
      </c>
      <c r="F92" s="19" t="s">
        <v>13</v>
      </c>
      <c r="G92" s="20">
        <v>0</v>
      </c>
      <c r="H92" s="18" t="s">
        <v>12</v>
      </c>
    </row>
    <row r="93" spans="1:18" x14ac:dyDescent="0.2">
      <c r="A93" s="16"/>
      <c r="B93" s="16"/>
      <c r="C93" s="21"/>
      <c r="D93" s="16"/>
      <c r="E93" s="16"/>
      <c r="F93" s="22"/>
      <c r="G93" s="22"/>
      <c r="H93" s="18" t="s">
        <v>12</v>
      </c>
    </row>
    <row r="94" spans="1:18" x14ac:dyDescent="0.2">
      <c r="A94" s="29"/>
      <c r="B94" s="25"/>
      <c r="C94" s="25" t="s">
        <v>100</v>
      </c>
      <c r="D94" s="25"/>
      <c r="E94" s="29"/>
      <c r="F94" s="27">
        <f>944.95301473-0.000272105002403259</f>
        <v>944.95274262499754</v>
      </c>
      <c r="G94" s="28">
        <v>2.812282E-2</v>
      </c>
      <c r="H94" s="18" t="s">
        <v>12</v>
      </c>
    </row>
    <row r="95" spans="1:18" x14ac:dyDescent="0.2">
      <c r="A95" s="21"/>
      <c r="B95" s="21"/>
      <c r="C95" s="17" t="s">
        <v>101</v>
      </c>
      <c r="D95" s="22"/>
      <c r="E95" s="22"/>
      <c r="F95" s="23">
        <f>33600.931812325-0.000272105002403259</f>
        <v>33600.931540219994</v>
      </c>
      <c r="G95" s="30">
        <v>1.00000003</v>
      </c>
      <c r="H95" s="18" t="s">
        <v>12</v>
      </c>
    </row>
    <row r="96" spans="1:18" x14ac:dyDescent="0.2">
      <c r="A96" s="31"/>
      <c r="B96" s="31"/>
      <c r="C96" s="31"/>
      <c r="D96" s="32"/>
      <c r="E96" s="32"/>
      <c r="F96" s="32"/>
      <c r="G96" s="32"/>
    </row>
    <row r="97" spans="1:10" x14ac:dyDescent="0.2">
      <c r="A97" s="33"/>
      <c r="B97" s="126" t="s">
        <v>602</v>
      </c>
      <c r="C97" s="126"/>
      <c r="D97" s="126"/>
      <c r="E97" s="126"/>
      <c r="F97" s="126"/>
      <c r="G97" s="126"/>
      <c r="H97" s="126"/>
      <c r="J97" s="15"/>
    </row>
    <row r="98" spans="1:10" x14ac:dyDescent="0.2">
      <c r="A98" s="33"/>
      <c r="B98" s="126" t="s">
        <v>603</v>
      </c>
      <c r="C98" s="126"/>
      <c r="D98" s="126"/>
      <c r="E98" s="126"/>
      <c r="F98" s="126"/>
      <c r="G98" s="126"/>
      <c r="H98" s="126"/>
      <c r="J98" s="15"/>
    </row>
    <row r="99" spans="1:10" x14ac:dyDescent="0.2">
      <c r="A99" s="33"/>
      <c r="B99" s="126" t="s">
        <v>604</v>
      </c>
      <c r="C99" s="126"/>
      <c r="D99" s="126"/>
      <c r="E99" s="126"/>
      <c r="F99" s="126"/>
      <c r="G99" s="126"/>
      <c r="H99" s="126"/>
      <c r="J99" s="15"/>
    </row>
    <row r="100" spans="1:10" x14ac:dyDescent="0.2">
      <c r="A100" s="35"/>
      <c r="B100" s="35"/>
      <c r="C100" s="35"/>
      <c r="D100" s="36"/>
      <c r="E100" s="36"/>
      <c r="F100" s="36"/>
      <c r="G100" s="36"/>
    </row>
    <row r="101" spans="1:10" x14ac:dyDescent="0.2">
      <c r="A101" s="35"/>
      <c r="B101" s="129" t="s">
        <v>102</v>
      </c>
      <c r="C101" s="130"/>
      <c r="D101" s="131"/>
      <c r="E101" s="37"/>
      <c r="F101" s="36"/>
      <c r="G101" s="36"/>
    </row>
    <row r="102" spans="1:10" x14ac:dyDescent="0.2">
      <c r="A102" s="35"/>
      <c r="B102" s="132" t="s">
        <v>103</v>
      </c>
      <c r="C102" s="133"/>
      <c r="D102" s="17" t="s">
        <v>104</v>
      </c>
      <c r="E102" s="37"/>
      <c r="F102" s="36"/>
      <c r="G102" s="36"/>
    </row>
    <row r="103" spans="1:10" x14ac:dyDescent="0.2">
      <c r="A103" s="35"/>
      <c r="B103" s="132" t="s">
        <v>105</v>
      </c>
      <c r="C103" s="133"/>
      <c r="D103" s="17" t="s">
        <v>104</v>
      </c>
      <c r="E103" s="37"/>
      <c r="F103" s="36"/>
      <c r="G103" s="36"/>
    </row>
    <row r="104" spans="1:10" x14ac:dyDescent="0.2">
      <c r="A104" s="35"/>
      <c r="B104" s="132" t="s">
        <v>106</v>
      </c>
      <c r="C104" s="133"/>
      <c r="D104" s="22" t="s">
        <v>12</v>
      </c>
      <c r="E104" s="37"/>
      <c r="F104" s="36"/>
      <c r="G104" s="36"/>
    </row>
    <row r="105" spans="1:10" x14ac:dyDescent="0.2">
      <c r="A105" s="38"/>
      <c r="B105" s="39" t="s">
        <v>12</v>
      </c>
      <c r="C105" s="39" t="s">
        <v>605</v>
      </c>
      <c r="D105" s="39" t="s">
        <v>107</v>
      </c>
      <c r="E105" s="38"/>
      <c r="F105" s="38"/>
      <c r="G105" s="38"/>
      <c r="H105" s="40"/>
      <c r="J105" s="15"/>
    </row>
    <row r="106" spans="1:10" x14ac:dyDescent="0.2">
      <c r="A106" s="41"/>
      <c r="B106" s="42" t="s">
        <v>108</v>
      </c>
      <c r="C106" s="43">
        <v>45611</v>
      </c>
      <c r="D106" s="43">
        <v>45626</v>
      </c>
      <c r="E106" s="41"/>
      <c r="F106" s="41"/>
      <c r="G106" s="41"/>
    </row>
    <row r="107" spans="1:10" x14ac:dyDescent="0.2">
      <c r="A107" s="41"/>
      <c r="B107" s="25" t="s">
        <v>109</v>
      </c>
      <c r="C107" s="44">
        <v>41.375399999999999</v>
      </c>
      <c r="D107" s="44">
        <v>41.516100000000002</v>
      </c>
      <c r="E107" s="41"/>
      <c r="F107" s="45"/>
      <c r="G107" s="46"/>
    </row>
    <row r="108" spans="1:10" x14ac:dyDescent="0.2">
      <c r="A108" s="41"/>
      <c r="B108" s="25" t="s">
        <v>134</v>
      </c>
      <c r="C108" s="44">
        <v>20.698799999999999</v>
      </c>
      <c r="D108" s="44">
        <v>20.769200000000001</v>
      </c>
      <c r="E108" s="41"/>
      <c r="F108" s="45"/>
      <c r="G108" s="46"/>
    </row>
    <row r="109" spans="1:10" ht="25.5" x14ac:dyDescent="0.2">
      <c r="A109" s="41"/>
      <c r="B109" s="25" t="s">
        <v>714</v>
      </c>
      <c r="C109" s="44">
        <v>11.5085</v>
      </c>
      <c r="D109" s="44">
        <v>11.547599999999999</v>
      </c>
      <c r="E109" s="41"/>
      <c r="F109" s="45"/>
      <c r="G109" s="46"/>
    </row>
    <row r="110" spans="1:10" x14ac:dyDescent="0.2">
      <c r="A110" s="41"/>
      <c r="B110" s="25" t="s">
        <v>110</v>
      </c>
      <c r="C110" s="44">
        <v>40.8322</v>
      </c>
      <c r="D110" s="44">
        <v>40.968800000000002</v>
      </c>
      <c r="E110" s="41"/>
      <c r="F110" s="45"/>
      <c r="G110" s="46"/>
    </row>
    <row r="111" spans="1:10" x14ac:dyDescent="0.2">
      <c r="A111" s="41"/>
      <c r="B111" s="25" t="s">
        <v>135</v>
      </c>
      <c r="C111" s="44">
        <v>20.590499999999999</v>
      </c>
      <c r="D111" s="44">
        <v>20.659400000000002</v>
      </c>
      <c r="E111" s="41"/>
      <c r="F111" s="45"/>
      <c r="G111" s="46"/>
    </row>
    <row r="112" spans="1:10" ht="25.5" x14ac:dyDescent="0.2">
      <c r="A112" s="41"/>
      <c r="B112" s="25" t="s">
        <v>718</v>
      </c>
      <c r="C112" s="44">
        <v>11.561299999999999</v>
      </c>
      <c r="D112" s="44">
        <v>11.5999</v>
      </c>
      <c r="E112" s="41"/>
      <c r="F112" s="45"/>
      <c r="G112" s="46"/>
    </row>
    <row r="113" spans="1:15" x14ac:dyDescent="0.2">
      <c r="A113" s="41"/>
      <c r="B113" s="41"/>
      <c r="C113" s="41"/>
      <c r="D113" s="41"/>
      <c r="E113" s="41"/>
      <c r="F113" s="41"/>
      <c r="G113" s="41"/>
    </row>
    <row r="114" spans="1:15" x14ac:dyDescent="0.2">
      <c r="A114" s="41"/>
      <c r="B114" s="132" t="s">
        <v>721</v>
      </c>
      <c r="C114" s="133"/>
      <c r="D114" s="48" t="s">
        <v>104</v>
      </c>
      <c r="E114" s="41"/>
      <c r="F114" s="41"/>
      <c r="G114" s="41"/>
    </row>
    <row r="115" spans="1:15" x14ac:dyDescent="0.2">
      <c r="A115" s="41"/>
      <c r="B115" s="49"/>
      <c r="C115" s="49"/>
      <c r="D115" s="49"/>
      <c r="E115" s="41"/>
      <c r="F115" s="41"/>
      <c r="G115" s="41"/>
    </row>
    <row r="116" spans="1:15" s="52" customFormat="1" x14ac:dyDescent="0.2">
      <c r="A116" s="87"/>
      <c r="B116" s="134" t="s">
        <v>616</v>
      </c>
      <c r="C116" s="135"/>
      <c r="D116" s="48" t="s">
        <v>104</v>
      </c>
      <c r="E116" s="87"/>
      <c r="F116" s="34"/>
      <c r="G116" s="87"/>
      <c r="I116"/>
      <c r="J116"/>
      <c r="K116" s="51"/>
      <c r="L116" s="51"/>
      <c r="M116" s="51"/>
      <c r="N116" s="51"/>
      <c r="O116" s="53"/>
    </row>
    <row r="117" spans="1:15" ht="24.75" customHeight="1" x14ac:dyDescent="0.2">
      <c r="A117" s="38"/>
      <c r="B117" s="134" t="s">
        <v>617</v>
      </c>
      <c r="C117" s="135"/>
      <c r="D117" s="48" t="s">
        <v>104</v>
      </c>
      <c r="E117" s="50"/>
      <c r="F117" s="38"/>
      <c r="G117" s="38"/>
    </row>
    <row r="118" spans="1:15" ht="25.5" customHeight="1" x14ac:dyDescent="0.2">
      <c r="A118" s="38"/>
      <c r="B118" s="134" t="s">
        <v>618</v>
      </c>
      <c r="C118" s="135"/>
      <c r="D118" s="48" t="s">
        <v>104</v>
      </c>
      <c r="E118" s="50"/>
      <c r="F118" s="38"/>
      <c r="G118" s="38"/>
    </row>
    <row r="119" spans="1:15" x14ac:dyDescent="0.2">
      <c r="A119" s="38"/>
      <c r="B119" s="134" t="s">
        <v>619</v>
      </c>
      <c r="C119" s="135"/>
      <c r="D119" s="48" t="s">
        <v>104</v>
      </c>
      <c r="E119" s="50"/>
      <c r="F119" s="38"/>
      <c r="G119" s="38"/>
    </row>
    <row r="120" spans="1:15" x14ac:dyDescent="0.2">
      <c r="A120" s="49"/>
      <c r="B120" s="49"/>
      <c r="C120" s="49"/>
      <c r="D120" s="49"/>
      <c r="E120" s="49"/>
      <c r="F120" s="49"/>
      <c r="G120" s="49"/>
    </row>
    <row r="121" spans="1:15" s="52" customFormat="1" x14ac:dyDescent="0.2">
      <c r="B121" s="136" t="s">
        <v>608</v>
      </c>
      <c r="C121" s="137"/>
      <c r="D121" s="138"/>
      <c r="I121"/>
      <c r="J121" s="15"/>
      <c r="K121" s="51"/>
      <c r="L121" s="51"/>
      <c r="M121" s="51"/>
      <c r="N121" s="51"/>
      <c r="O121" s="53"/>
    </row>
    <row r="122" spans="1:15" s="52" customFormat="1" ht="38.25" x14ac:dyDescent="0.2">
      <c r="B122" s="127" t="s">
        <v>609</v>
      </c>
      <c r="C122" s="127"/>
      <c r="D122" s="54" t="s">
        <v>113</v>
      </c>
      <c r="I122"/>
      <c r="J122" s="15"/>
      <c r="K122" s="51"/>
      <c r="L122" s="51"/>
      <c r="M122" s="51"/>
      <c r="N122" s="51"/>
      <c r="O122" s="53"/>
    </row>
    <row r="123" spans="1:15" s="52" customFormat="1" x14ac:dyDescent="0.2">
      <c r="B123" s="128" t="s">
        <v>610</v>
      </c>
      <c r="C123" s="128"/>
      <c r="D123" s="55"/>
      <c r="I123"/>
      <c r="J123" s="15"/>
      <c r="K123" s="51"/>
      <c r="L123" s="51"/>
      <c r="M123" s="51"/>
      <c r="N123" s="51"/>
      <c r="O123" s="53"/>
    </row>
    <row r="124" spans="1:15" s="52" customFormat="1" x14ac:dyDescent="0.2">
      <c r="B124" s="128"/>
      <c r="C124" s="128"/>
      <c r="D124" s="56"/>
      <c r="I124"/>
      <c r="J124"/>
      <c r="K124" s="51"/>
      <c r="L124" s="51"/>
      <c r="M124" s="51"/>
      <c r="N124" s="51"/>
      <c r="O124" s="53"/>
    </row>
    <row r="125" spans="1:15" s="52" customFormat="1" x14ac:dyDescent="0.2">
      <c r="B125" s="128" t="s">
        <v>611</v>
      </c>
      <c r="C125" s="128"/>
      <c r="D125" s="57">
        <v>7.2960898220552224</v>
      </c>
      <c r="I125"/>
      <c r="J125"/>
      <c r="K125" s="51"/>
      <c r="L125" s="51"/>
      <c r="M125" s="51"/>
      <c r="N125" s="51"/>
      <c r="O125" s="53"/>
    </row>
    <row r="126" spans="1:15" s="52" customFormat="1" x14ac:dyDescent="0.2">
      <c r="B126" s="128"/>
      <c r="C126" s="128"/>
      <c r="D126" s="56"/>
      <c r="I126"/>
      <c r="J126" s="15"/>
      <c r="K126" s="51"/>
      <c r="L126" s="51"/>
      <c r="M126" s="51"/>
      <c r="N126" s="51"/>
      <c r="O126" s="53"/>
    </row>
    <row r="127" spans="1:15" s="52" customFormat="1" x14ac:dyDescent="0.2">
      <c r="B127" s="128" t="s">
        <v>612</v>
      </c>
      <c r="C127" s="128"/>
      <c r="D127" s="57">
        <v>3.6850152534296896</v>
      </c>
      <c r="I127"/>
      <c r="J127" s="15"/>
      <c r="K127" s="51"/>
      <c r="L127" s="51"/>
      <c r="M127" s="51"/>
      <c r="N127" s="51"/>
      <c r="O127" s="53"/>
    </row>
    <row r="128" spans="1:15" s="52" customFormat="1" x14ac:dyDescent="0.2">
      <c r="B128" s="128" t="s">
        <v>613</v>
      </c>
      <c r="C128" s="128"/>
      <c r="D128" s="57">
        <v>5.1680817295914467</v>
      </c>
      <c r="I128"/>
      <c r="J128" s="15"/>
      <c r="K128" s="51"/>
      <c r="L128" s="51"/>
      <c r="M128" s="51"/>
      <c r="N128" s="51"/>
      <c r="O128" s="53"/>
    </row>
    <row r="129" spans="2:18" s="52" customFormat="1" x14ac:dyDescent="0.2">
      <c r="B129" s="128"/>
      <c r="C129" s="128"/>
      <c r="D129" s="56"/>
      <c r="I129"/>
      <c r="J129" s="15"/>
      <c r="K129" s="51"/>
      <c r="L129" s="51"/>
      <c r="M129" s="51"/>
      <c r="N129" s="51"/>
      <c r="O129" s="53"/>
      <c r="R129"/>
    </row>
    <row r="130" spans="2:18" s="52" customFormat="1" x14ac:dyDescent="0.2">
      <c r="B130" s="128" t="s">
        <v>614</v>
      </c>
      <c r="C130" s="128"/>
      <c r="D130" s="59" t="s">
        <v>687</v>
      </c>
      <c r="I130"/>
      <c r="J130" s="15"/>
      <c r="K130" s="51"/>
      <c r="L130" s="51"/>
      <c r="M130" s="51"/>
      <c r="N130" s="51"/>
      <c r="O130" s="53"/>
    </row>
    <row r="131" spans="2:18" s="52" customFormat="1" x14ac:dyDescent="0.2">
      <c r="B131" s="140" t="s">
        <v>615</v>
      </c>
      <c r="C131" s="142"/>
      <c r="D131" s="141"/>
      <c r="I131"/>
      <c r="J131" s="15"/>
      <c r="K131" s="51"/>
      <c r="L131" s="51"/>
      <c r="M131" s="51"/>
      <c r="N131" s="51"/>
      <c r="O131" s="53"/>
      <c r="R131"/>
    </row>
    <row r="132" spans="2:18" x14ac:dyDescent="0.2">
      <c r="J132" s="15"/>
    </row>
    <row r="133" spans="2:18" ht="25.5" x14ac:dyDescent="0.2">
      <c r="B133" s="61" t="s">
        <v>691</v>
      </c>
    </row>
    <row r="135" spans="2:18" ht="153.75" customHeight="1" x14ac:dyDescent="0.2"/>
    <row r="138" spans="2:18" x14ac:dyDescent="0.2">
      <c r="B138" s="62" t="s">
        <v>692</v>
      </c>
      <c r="C138" s="63"/>
      <c r="D138" s="62" t="s">
        <v>694</v>
      </c>
    </row>
    <row r="139" spans="2:18" x14ac:dyDescent="0.2">
      <c r="B139" s="62" t="s">
        <v>696</v>
      </c>
      <c r="D139" s="62" t="s">
        <v>697</v>
      </c>
    </row>
    <row r="140" spans="2:18" ht="165" customHeight="1" x14ac:dyDescent="0.2"/>
    <row r="141" spans="2:18" x14ac:dyDescent="0.2">
      <c r="J141" s="15"/>
    </row>
    <row r="142" spans="2:18" x14ac:dyDescent="0.2">
      <c r="J142" s="15"/>
    </row>
    <row r="143" spans="2:18" x14ac:dyDescent="0.2">
      <c r="J143" s="15"/>
    </row>
  </sheetData>
  <mergeCells count="26">
    <mergeCell ref="B129:C129"/>
    <mergeCell ref="B130:C130"/>
    <mergeCell ref="B131:D131"/>
    <mergeCell ref="B124:C124"/>
    <mergeCell ref="B125:C125"/>
    <mergeCell ref="B126:C126"/>
    <mergeCell ref="B127:C127"/>
    <mergeCell ref="B128:C128"/>
    <mergeCell ref="B99:H99"/>
    <mergeCell ref="B116:C116"/>
    <mergeCell ref="B117:C117"/>
    <mergeCell ref="B101:D101"/>
    <mergeCell ref="B102:C102"/>
    <mergeCell ref="B103:C103"/>
    <mergeCell ref="B104:C104"/>
    <mergeCell ref="B114:C114"/>
    <mergeCell ref="A1:H1"/>
    <mergeCell ref="A2:H2"/>
    <mergeCell ref="A3:H3"/>
    <mergeCell ref="B97:H97"/>
    <mergeCell ref="B98:H98"/>
    <mergeCell ref="B119:C119"/>
    <mergeCell ref="B122:C122"/>
    <mergeCell ref="B123:C123"/>
    <mergeCell ref="B121:D121"/>
    <mergeCell ref="B118:C118"/>
  </mergeCells>
  <hyperlinks>
    <hyperlink ref="I1" location="Index!B2" display="Index" xr:uid="{C5ECA762-A6C7-4AFF-94E3-461D27456B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3525D-A3F5-4796-B6F3-6A74FF36A2BA}">
  <sheetPr>
    <outlinePr summaryBelow="0" summaryRight="0"/>
  </sheetPr>
  <dimension ref="A1:Q153"/>
  <sheetViews>
    <sheetView showGridLines="0" workbookViewId="0">
      <selection activeCell="B113" sqref="B113:H113"/>
    </sheetView>
  </sheetViews>
  <sheetFormatPr defaultRowHeight="12.75" x14ac:dyDescent="0.2"/>
  <cols>
    <col min="1" max="1" width="5.85546875" bestFit="1" customWidth="1"/>
    <col min="2" max="2" width="20.28515625" bestFit="1" customWidth="1"/>
    <col min="3" max="3" width="39.140625" bestFit="1" customWidth="1"/>
    <col min="4" max="4" width="11" customWidth="1"/>
    <col min="5" max="5" width="8.7109375" bestFit="1" customWidth="1"/>
    <col min="6" max="6" width="10.140625" bestFit="1" customWidth="1"/>
    <col min="7" max="7" width="14" bestFit="1" customWidth="1"/>
    <col min="8" max="8" width="8.85546875" bestFit="1" customWidth="1"/>
    <col min="9" max="9" width="5.7109375" bestFit="1" customWidth="1"/>
  </cols>
  <sheetData>
    <row r="1" spans="1:9" ht="15" x14ac:dyDescent="0.2">
      <c r="A1" s="139" t="s">
        <v>0</v>
      </c>
      <c r="B1" s="139"/>
      <c r="C1" s="139"/>
      <c r="D1" s="139"/>
      <c r="E1" s="139"/>
      <c r="F1" s="139"/>
      <c r="G1" s="139"/>
      <c r="H1" s="139"/>
      <c r="I1" s="7" t="s">
        <v>598</v>
      </c>
    </row>
    <row r="2" spans="1:9" ht="15" x14ac:dyDescent="0.2">
      <c r="A2" s="139" t="s">
        <v>136</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601</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67</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68</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84</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85</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86</v>
      </c>
      <c r="D41" s="16"/>
      <c r="E41" s="16"/>
      <c r="F41" s="22"/>
      <c r="G41" s="22"/>
      <c r="H41" s="18" t="s">
        <v>12</v>
      </c>
    </row>
    <row r="42" spans="1:8" x14ac:dyDescent="0.2">
      <c r="A42" s="16"/>
      <c r="B42" s="16"/>
      <c r="C42" s="17" t="s">
        <v>87</v>
      </c>
      <c r="D42" s="16"/>
      <c r="E42" s="16"/>
      <c r="F42" s="22"/>
      <c r="G42" s="22"/>
      <c r="H42" s="18" t="s">
        <v>12</v>
      </c>
    </row>
    <row r="43" spans="1:8" x14ac:dyDescent="0.2">
      <c r="A43" s="24">
        <v>1</v>
      </c>
      <c r="B43" s="25" t="s">
        <v>137</v>
      </c>
      <c r="C43" s="25" t="s">
        <v>138</v>
      </c>
      <c r="D43" s="25" t="s">
        <v>139</v>
      </c>
      <c r="E43" s="26">
        <v>900</v>
      </c>
      <c r="F43" s="27">
        <v>4424.9309999999996</v>
      </c>
      <c r="G43" s="28">
        <v>7.5725520000000004E-2</v>
      </c>
      <c r="H43" s="18">
        <v>7.2000999999999999</v>
      </c>
    </row>
    <row r="44" spans="1:8" ht="25.5" x14ac:dyDescent="0.2">
      <c r="A44" s="24">
        <v>2</v>
      </c>
      <c r="B44" s="25" t="s">
        <v>140</v>
      </c>
      <c r="C44" s="25" t="s">
        <v>141</v>
      </c>
      <c r="D44" s="25" t="s">
        <v>139</v>
      </c>
      <c r="E44" s="26">
        <v>500</v>
      </c>
      <c r="F44" s="27">
        <v>2457.4025000000001</v>
      </c>
      <c r="G44" s="28">
        <v>4.2054460000000002E-2</v>
      </c>
      <c r="H44" s="18">
        <v>7.1901000000000002</v>
      </c>
    </row>
    <row r="45" spans="1:8" ht="25.5" x14ac:dyDescent="0.2">
      <c r="A45" s="24">
        <v>3</v>
      </c>
      <c r="B45" s="25" t="s">
        <v>142</v>
      </c>
      <c r="C45" s="25" t="s">
        <v>143</v>
      </c>
      <c r="D45" s="25" t="s">
        <v>139</v>
      </c>
      <c r="E45" s="26">
        <v>500</v>
      </c>
      <c r="F45" s="27">
        <v>2450.9650000000001</v>
      </c>
      <c r="G45" s="28">
        <v>4.1944299999999997E-2</v>
      </c>
      <c r="H45" s="18">
        <v>7.23</v>
      </c>
    </row>
    <row r="46" spans="1:8" x14ac:dyDescent="0.2">
      <c r="A46" s="24">
        <v>4</v>
      </c>
      <c r="B46" s="25" t="s">
        <v>144</v>
      </c>
      <c r="C46" s="25" t="s">
        <v>145</v>
      </c>
      <c r="D46" s="25" t="s">
        <v>146</v>
      </c>
      <c r="E46" s="26">
        <v>500</v>
      </c>
      <c r="F46" s="27">
        <v>2448.8325</v>
      </c>
      <c r="G46" s="28">
        <v>4.1907800000000002E-2</v>
      </c>
      <c r="H46" s="18">
        <v>7.1950000000000003</v>
      </c>
    </row>
    <row r="47" spans="1:8" x14ac:dyDescent="0.2">
      <c r="A47" s="24">
        <v>5</v>
      </c>
      <c r="B47" s="25" t="s">
        <v>147</v>
      </c>
      <c r="C47" s="25" t="s">
        <v>148</v>
      </c>
      <c r="D47" s="25" t="s">
        <v>149</v>
      </c>
      <c r="E47" s="26">
        <v>500</v>
      </c>
      <c r="F47" s="27">
        <v>2418.8649999999998</v>
      </c>
      <c r="G47" s="28">
        <v>4.1394960000000001E-2</v>
      </c>
      <c r="H47" s="18">
        <v>7.42</v>
      </c>
    </row>
    <row r="48" spans="1:8" x14ac:dyDescent="0.2">
      <c r="A48" s="24">
        <v>6</v>
      </c>
      <c r="B48" s="25" t="s">
        <v>150</v>
      </c>
      <c r="C48" s="25" t="s">
        <v>151</v>
      </c>
      <c r="D48" s="25" t="s">
        <v>139</v>
      </c>
      <c r="E48" s="26">
        <v>500</v>
      </c>
      <c r="F48" s="27">
        <v>2330.4050000000002</v>
      </c>
      <c r="G48" s="28">
        <v>3.9881109999999997E-2</v>
      </c>
      <c r="H48" s="18">
        <v>8.0250000000000004</v>
      </c>
    </row>
    <row r="49" spans="1:8" x14ac:dyDescent="0.2">
      <c r="A49" s="24">
        <v>7</v>
      </c>
      <c r="B49" s="25" t="s">
        <v>152</v>
      </c>
      <c r="C49" s="25" t="s">
        <v>153</v>
      </c>
      <c r="D49" s="25" t="s">
        <v>139</v>
      </c>
      <c r="E49" s="26">
        <v>500</v>
      </c>
      <c r="F49" s="27">
        <v>2323.9124999999999</v>
      </c>
      <c r="G49" s="28">
        <v>3.977E-2</v>
      </c>
      <c r="H49" s="18">
        <v>7.64</v>
      </c>
    </row>
    <row r="50" spans="1:8" x14ac:dyDescent="0.2">
      <c r="A50" s="24">
        <v>8</v>
      </c>
      <c r="B50" s="25" t="s">
        <v>154</v>
      </c>
      <c r="C50" s="25" t="s">
        <v>155</v>
      </c>
      <c r="D50" s="25" t="s">
        <v>139</v>
      </c>
      <c r="E50" s="26">
        <v>400</v>
      </c>
      <c r="F50" s="27">
        <v>1929.1579999999999</v>
      </c>
      <c r="G50" s="28">
        <v>3.3014410000000001E-2</v>
      </c>
      <c r="H50" s="18">
        <v>7.5301</v>
      </c>
    </row>
    <row r="51" spans="1:8" x14ac:dyDescent="0.2">
      <c r="A51" s="24">
        <v>9</v>
      </c>
      <c r="B51" s="25" t="s">
        <v>156</v>
      </c>
      <c r="C51" s="25" t="s">
        <v>157</v>
      </c>
      <c r="D51" s="25" t="s">
        <v>139</v>
      </c>
      <c r="E51" s="26">
        <v>300</v>
      </c>
      <c r="F51" s="27">
        <v>1468.3844999999999</v>
      </c>
      <c r="G51" s="28">
        <v>2.5129019999999998E-2</v>
      </c>
      <c r="H51" s="18">
        <v>7.2100999999999997</v>
      </c>
    </row>
    <row r="52" spans="1:8" x14ac:dyDescent="0.2">
      <c r="A52" s="24">
        <v>10</v>
      </c>
      <c r="B52" s="25" t="s">
        <v>158</v>
      </c>
      <c r="C52" s="25" t="s">
        <v>159</v>
      </c>
      <c r="D52" s="25" t="s">
        <v>139</v>
      </c>
      <c r="E52" s="26">
        <v>300</v>
      </c>
      <c r="F52" s="27">
        <v>1448.9069999999999</v>
      </c>
      <c r="G52" s="28">
        <v>2.47957E-2</v>
      </c>
      <c r="H52" s="18">
        <v>7.44</v>
      </c>
    </row>
    <row r="53" spans="1:8" x14ac:dyDescent="0.2">
      <c r="A53" s="24">
        <v>11</v>
      </c>
      <c r="B53" s="25" t="s">
        <v>160</v>
      </c>
      <c r="C53" s="25" t="s">
        <v>161</v>
      </c>
      <c r="D53" s="25" t="s">
        <v>139</v>
      </c>
      <c r="E53" s="26">
        <v>200</v>
      </c>
      <c r="F53" s="27">
        <v>984.322</v>
      </c>
      <c r="G53" s="28">
        <v>1.6845079999999998E-2</v>
      </c>
      <c r="H53" s="18">
        <v>7.1775000000000002</v>
      </c>
    </row>
    <row r="54" spans="1:8" x14ac:dyDescent="0.2">
      <c r="A54" s="24">
        <v>12</v>
      </c>
      <c r="B54" s="25" t="s">
        <v>162</v>
      </c>
      <c r="C54" s="25" t="s">
        <v>163</v>
      </c>
      <c r="D54" s="25" t="s">
        <v>139</v>
      </c>
      <c r="E54" s="26">
        <v>200</v>
      </c>
      <c r="F54" s="27">
        <v>981.16200000000003</v>
      </c>
      <c r="G54" s="28">
        <v>1.6791E-2</v>
      </c>
      <c r="H54" s="18">
        <v>7.3002000000000002</v>
      </c>
    </row>
    <row r="55" spans="1:8" x14ac:dyDescent="0.2">
      <c r="A55" s="24">
        <v>13</v>
      </c>
      <c r="B55" s="25" t="s">
        <v>164</v>
      </c>
      <c r="C55" s="25" t="s">
        <v>165</v>
      </c>
      <c r="D55" s="25" t="s">
        <v>139</v>
      </c>
      <c r="E55" s="26">
        <v>200</v>
      </c>
      <c r="F55" s="27">
        <v>930.11699999999996</v>
      </c>
      <c r="G55" s="28">
        <v>1.591745E-2</v>
      </c>
      <c r="H55" s="18">
        <v>7.7249999999999996</v>
      </c>
    </row>
    <row r="56" spans="1:8" x14ac:dyDescent="0.2">
      <c r="A56" s="24">
        <v>14</v>
      </c>
      <c r="B56" s="25" t="s">
        <v>166</v>
      </c>
      <c r="C56" s="25" t="s">
        <v>167</v>
      </c>
      <c r="D56" s="25" t="s">
        <v>146</v>
      </c>
      <c r="E56" s="26">
        <v>160</v>
      </c>
      <c r="F56" s="27">
        <v>763.04719999999998</v>
      </c>
      <c r="G56" s="28">
        <v>1.305832E-2</v>
      </c>
      <c r="H56" s="18">
        <v>7.49</v>
      </c>
    </row>
    <row r="57" spans="1:8" x14ac:dyDescent="0.2">
      <c r="A57" s="24">
        <v>15</v>
      </c>
      <c r="B57" s="25" t="s">
        <v>168</v>
      </c>
      <c r="C57" s="25" t="s">
        <v>169</v>
      </c>
      <c r="D57" s="25" t="s">
        <v>139</v>
      </c>
      <c r="E57" s="26">
        <v>140</v>
      </c>
      <c r="F57" s="27">
        <v>688.82730000000004</v>
      </c>
      <c r="G57" s="28">
        <v>1.1788160000000001E-2</v>
      </c>
      <c r="H57" s="18">
        <v>7.2199</v>
      </c>
    </row>
    <row r="58" spans="1:8" x14ac:dyDescent="0.2">
      <c r="A58" s="24">
        <v>16</v>
      </c>
      <c r="B58" s="25" t="s">
        <v>170</v>
      </c>
      <c r="C58" s="25" t="s">
        <v>171</v>
      </c>
      <c r="D58" s="25" t="s">
        <v>139</v>
      </c>
      <c r="E58" s="26">
        <v>140</v>
      </c>
      <c r="F58" s="27">
        <v>688.44090000000006</v>
      </c>
      <c r="G58" s="28">
        <v>1.178155E-2</v>
      </c>
      <c r="H58" s="18">
        <v>7.21</v>
      </c>
    </row>
    <row r="59" spans="1:8" x14ac:dyDescent="0.2">
      <c r="A59" s="24">
        <v>17</v>
      </c>
      <c r="B59" s="25" t="s">
        <v>172</v>
      </c>
      <c r="C59" s="25" t="s">
        <v>173</v>
      </c>
      <c r="D59" s="25" t="s">
        <v>146</v>
      </c>
      <c r="E59" s="26">
        <v>100</v>
      </c>
      <c r="F59" s="27">
        <v>494.10399999999998</v>
      </c>
      <c r="G59" s="28">
        <v>8.4557899999999995E-3</v>
      </c>
      <c r="H59" s="18">
        <v>7.14</v>
      </c>
    </row>
    <row r="60" spans="1:8" x14ac:dyDescent="0.2">
      <c r="A60" s="24">
        <v>18</v>
      </c>
      <c r="B60" s="25" t="s">
        <v>174</v>
      </c>
      <c r="C60" s="25" t="s">
        <v>175</v>
      </c>
      <c r="D60" s="25" t="s">
        <v>139</v>
      </c>
      <c r="E60" s="26">
        <v>100</v>
      </c>
      <c r="F60" s="27">
        <v>493.67</v>
      </c>
      <c r="G60" s="28">
        <v>8.4483600000000002E-3</v>
      </c>
      <c r="H60" s="18">
        <v>7.2</v>
      </c>
    </row>
    <row r="61" spans="1:8" x14ac:dyDescent="0.2">
      <c r="A61" s="24">
        <v>19</v>
      </c>
      <c r="B61" s="25" t="s">
        <v>176</v>
      </c>
      <c r="C61" s="25" t="s">
        <v>177</v>
      </c>
      <c r="D61" s="25" t="s">
        <v>146</v>
      </c>
      <c r="E61" s="26">
        <v>100</v>
      </c>
      <c r="F61" s="27">
        <v>491.49099999999999</v>
      </c>
      <c r="G61" s="28">
        <v>8.4110699999999997E-3</v>
      </c>
      <c r="H61" s="18">
        <v>7.1811999999999996</v>
      </c>
    </row>
    <row r="62" spans="1:8" x14ac:dyDescent="0.2">
      <c r="A62" s="24">
        <v>20</v>
      </c>
      <c r="B62" s="25" t="s">
        <v>178</v>
      </c>
      <c r="C62" s="25" t="s">
        <v>179</v>
      </c>
      <c r="D62" s="25" t="s">
        <v>149</v>
      </c>
      <c r="E62" s="26">
        <v>100</v>
      </c>
      <c r="F62" s="27">
        <v>484.72649999999999</v>
      </c>
      <c r="G62" s="28">
        <v>8.2953100000000002E-3</v>
      </c>
      <c r="H62" s="18">
        <v>7.42</v>
      </c>
    </row>
    <row r="63" spans="1:8" x14ac:dyDescent="0.2">
      <c r="A63" s="24">
        <v>21</v>
      </c>
      <c r="B63" s="25" t="s">
        <v>180</v>
      </c>
      <c r="C63" s="25" t="s">
        <v>181</v>
      </c>
      <c r="D63" s="25" t="s">
        <v>139</v>
      </c>
      <c r="E63" s="26">
        <v>100</v>
      </c>
      <c r="F63" s="27">
        <v>483.32799999999997</v>
      </c>
      <c r="G63" s="28">
        <v>8.2713800000000001E-3</v>
      </c>
      <c r="H63" s="18">
        <v>7.45</v>
      </c>
    </row>
    <row r="64" spans="1:8" x14ac:dyDescent="0.2">
      <c r="A64" s="24">
        <v>22</v>
      </c>
      <c r="B64" s="25" t="s">
        <v>182</v>
      </c>
      <c r="C64" s="25" t="s">
        <v>183</v>
      </c>
      <c r="D64" s="25" t="s">
        <v>139</v>
      </c>
      <c r="E64" s="26">
        <v>100</v>
      </c>
      <c r="F64" s="27">
        <v>479.93200000000002</v>
      </c>
      <c r="G64" s="28">
        <v>8.21326E-3</v>
      </c>
      <c r="H64" s="18">
        <v>7.4450000000000003</v>
      </c>
    </row>
    <row r="65" spans="1:8" x14ac:dyDescent="0.2">
      <c r="A65" s="16"/>
      <c r="B65" s="16"/>
      <c r="C65" s="17" t="s">
        <v>11</v>
      </c>
      <c r="D65" s="16"/>
      <c r="E65" s="16" t="s">
        <v>12</v>
      </c>
      <c r="F65" s="23">
        <v>31664.930899999999</v>
      </c>
      <c r="G65" s="20">
        <v>0.54189401000000004</v>
      </c>
      <c r="H65" s="18" t="s">
        <v>12</v>
      </c>
    </row>
    <row r="66" spans="1:8" x14ac:dyDescent="0.2">
      <c r="A66" s="16"/>
      <c r="B66" s="16"/>
      <c r="C66" s="21"/>
      <c r="D66" s="16"/>
      <c r="E66" s="16"/>
      <c r="F66" s="22"/>
      <c r="G66" s="22"/>
      <c r="H66" s="18" t="s">
        <v>12</v>
      </c>
    </row>
    <row r="67" spans="1:8" x14ac:dyDescent="0.2">
      <c r="A67" s="16"/>
      <c r="B67" s="16"/>
      <c r="C67" s="17" t="s">
        <v>88</v>
      </c>
      <c r="D67" s="16"/>
      <c r="E67" s="16"/>
      <c r="F67" s="22"/>
      <c r="G67" s="22"/>
      <c r="H67" s="18" t="s">
        <v>12</v>
      </c>
    </row>
    <row r="68" spans="1:8" ht="25.5" x14ac:dyDescent="0.2">
      <c r="A68" s="24">
        <v>1</v>
      </c>
      <c r="B68" s="25" t="s">
        <v>184</v>
      </c>
      <c r="C68" s="25" t="s">
        <v>185</v>
      </c>
      <c r="D68" s="25" t="s">
        <v>139</v>
      </c>
      <c r="E68" s="26">
        <v>500</v>
      </c>
      <c r="F68" s="27">
        <v>2468.9524999999999</v>
      </c>
      <c r="G68" s="28">
        <v>4.2252119999999997E-2</v>
      </c>
      <c r="H68" s="18">
        <v>7.78</v>
      </c>
    </row>
    <row r="69" spans="1:8" ht="25.5" x14ac:dyDescent="0.2">
      <c r="A69" s="24">
        <v>2</v>
      </c>
      <c r="B69" s="25" t="s">
        <v>186</v>
      </c>
      <c r="C69" s="25" t="s">
        <v>187</v>
      </c>
      <c r="D69" s="25" t="s">
        <v>139</v>
      </c>
      <c r="E69" s="26">
        <v>500</v>
      </c>
      <c r="F69" s="27">
        <v>2463.39</v>
      </c>
      <c r="G69" s="28">
        <v>4.2156930000000002E-2</v>
      </c>
      <c r="H69" s="18">
        <v>7.64</v>
      </c>
    </row>
    <row r="70" spans="1:8" x14ac:dyDescent="0.2">
      <c r="A70" s="24">
        <v>3</v>
      </c>
      <c r="B70" s="25" t="s">
        <v>188</v>
      </c>
      <c r="C70" s="25" t="s">
        <v>189</v>
      </c>
      <c r="D70" s="25" t="s">
        <v>139</v>
      </c>
      <c r="E70" s="26">
        <v>500</v>
      </c>
      <c r="F70" s="27">
        <v>2329.8525</v>
      </c>
      <c r="G70" s="28">
        <v>3.9871650000000002E-2</v>
      </c>
      <c r="H70" s="18">
        <v>8.33</v>
      </c>
    </row>
    <row r="71" spans="1:8" ht="25.5" x14ac:dyDescent="0.2">
      <c r="A71" s="24">
        <v>4</v>
      </c>
      <c r="B71" s="25" t="s">
        <v>190</v>
      </c>
      <c r="C71" s="25" t="s">
        <v>191</v>
      </c>
      <c r="D71" s="25" t="s">
        <v>139</v>
      </c>
      <c r="E71" s="26">
        <v>300</v>
      </c>
      <c r="F71" s="27">
        <v>1435.7460000000001</v>
      </c>
      <c r="G71" s="28">
        <v>2.4570470000000001E-2</v>
      </c>
      <c r="H71" s="18">
        <v>8.25</v>
      </c>
    </row>
    <row r="72" spans="1:8" x14ac:dyDescent="0.2">
      <c r="A72" s="24">
        <v>5</v>
      </c>
      <c r="B72" s="25" t="s">
        <v>192</v>
      </c>
      <c r="C72" s="25" t="s">
        <v>193</v>
      </c>
      <c r="D72" s="25" t="s">
        <v>139</v>
      </c>
      <c r="E72" s="26">
        <v>300</v>
      </c>
      <c r="F72" s="27">
        <v>1410.6285</v>
      </c>
      <c r="G72" s="28">
        <v>2.4140620000000002E-2</v>
      </c>
      <c r="H72" s="18">
        <v>7.76</v>
      </c>
    </row>
    <row r="73" spans="1:8" x14ac:dyDescent="0.2">
      <c r="A73" s="24">
        <v>6</v>
      </c>
      <c r="B73" s="25" t="s">
        <v>194</v>
      </c>
      <c r="C73" s="25" t="s">
        <v>195</v>
      </c>
      <c r="D73" s="25" t="s">
        <v>139</v>
      </c>
      <c r="E73" s="26">
        <v>200</v>
      </c>
      <c r="F73" s="27">
        <v>983.37099999999998</v>
      </c>
      <c r="G73" s="28">
        <v>1.6828800000000001E-2</v>
      </c>
      <c r="H73" s="18">
        <v>7.5274999999999999</v>
      </c>
    </row>
    <row r="74" spans="1:8" x14ac:dyDescent="0.2">
      <c r="A74" s="24">
        <v>7</v>
      </c>
      <c r="B74" s="25" t="s">
        <v>196</v>
      </c>
      <c r="C74" s="25" t="s">
        <v>197</v>
      </c>
      <c r="D74" s="25" t="s">
        <v>139</v>
      </c>
      <c r="E74" s="26">
        <v>200</v>
      </c>
      <c r="F74" s="27">
        <v>978.53200000000004</v>
      </c>
      <c r="G74" s="28">
        <v>1.6745989999999999E-2</v>
      </c>
      <c r="H74" s="18">
        <v>7.28</v>
      </c>
    </row>
    <row r="75" spans="1:8" ht="25.5" x14ac:dyDescent="0.2">
      <c r="A75" s="24">
        <v>8</v>
      </c>
      <c r="B75" s="25" t="s">
        <v>198</v>
      </c>
      <c r="C75" s="25" t="s">
        <v>199</v>
      </c>
      <c r="D75" s="25" t="s">
        <v>139</v>
      </c>
      <c r="E75" s="26">
        <v>200</v>
      </c>
      <c r="F75" s="27">
        <v>964.81700000000001</v>
      </c>
      <c r="G75" s="28">
        <v>1.651128E-2</v>
      </c>
      <c r="H75" s="18">
        <v>7.4775</v>
      </c>
    </row>
    <row r="76" spans="1:8" x14ac:dyDescent="0.2">
      <c r="A76" s="16"/>
      <c r="B76" s="16"/>
      <c r="C76" s="17" t="s">
        <v>11</v>
      </c>
      <c r="D76" s="16"/>
      <c r="E76" s="16" t="s">
        <v>12</v>
      </c>
      <c r="F76" s="23">
        <v>13035.289500000001</v>
      </c>
      <c r="G76" s="20">
        <v>0.22307785999999999</v>
      </c>
      <c r="H76" s="18" t="s">
        <v>12</v>
      </c>
    </row>
    <row r="77" spans="1:8" x14ac:dyDescent="0.2">
      <c r="A77" s="16"/>
      <c r="B77" s="16"/>
      <c r="C77" s="21"/>
      <c r="D77" s="16"/>
      <c r="E77" s="16"/>
      <c r="F77" s="22"/>
      <c r="G77" s="22"/>
      <c r="H77" s="18" t="s">
        <v>12</v>
      </c>
    </row>
    <row r="78" spans="1:8" x14ac:dyDescent="0.2">
      <c r="A78" s="16"/>
      <c r="B78" s="16"/>
      <c r="C78" s="17" t="s">
        <v>89</v>
      </c>
      <c r="D78" s="16"/>
      <c r="E78" s="16"/>
      <c r="F78" s="22"/>
      <c r="G78" s="22"/>
      <c r="H78" s="18" t="s">
        <v>12</v>
      </c>
    </row>
    <row r="79" spans="1:8" x14ac:dyDescent="0.2">
      <c r="A79" s="24">
        <v>1</v>
      </c>
      <c r="B79" s="25" t="s">
        <v>200</v>
      </c>
      <c r="C79" s="25" t="s">
        <v>201</v>
      </c>
      <c r="D79" s="25" t="s">
        <v>71</v>
      </c>
      <c r="E79" s="26">
        <v>2500000</v>
      </c>
      <c r="F79" s="27">
        <v>2433.5549999999998</v>
      </c>
      <c r="G79" s="28">
        <v>4.1646349999999999E-2</v>
      </c>
      <c r="H79" s="18">
        <v>6.6</v>
      </c>
    </row>
    <row r="80" spans="1:8" x14ac:dyDescent="0.2">
      <c r="A80" s="24">
        <v>2</v>
      </c>
      <c r="B80" s="25" t="s">
        <v>202</v>
      </c>
      <c r="C80" s="25" t="s">
        <v>203</v>
      </c>
      <c r="D80" s="25" t="s">
        <v>71</v>
      </c>
      <c r="E80" s="26">
        <v>1500000</v>
      </c>
      <c r="F80" s="27">
        <v>1454.5005000000001</v>
      </c>
      <c r="G80" s="28">
        <v>2.4891420000000001E-2</v>
      </c>
      <c r="H80" s="18">
        <v>6.6</v>
      </c>
    </row>
    <row r="81" spans="1:17" x14ac:dyDescent="0.2">
      <c r="A81" s="24">
        <v>3</v>
      </c>
      <c r="B81" s="25" t="s">
        <v>204</v>
      </c>
      <c r="C81" s="25" t="s">
        <v>205</v>
      </c>
      <c r="D81" s="25" t="s">
        <v>71</v>
      </c>
      <c r="E81" s="26">
        <v>1500000</v>
      </c>
      <c r="F81" s="27">
        <v>1452.972</v>
      </c>
      <c r="G81" s="28">
        <v>2.486526E-2</v>
      </c>
      <c r="H81" s="18">
        <v>6.6</v>
      </c>
    </row>
    <row r="82" spans="1:17" x14ac:dyDescent="0.2">
      <c r="A82" s="24">
        <v>4</v>
      </c>
      <c r="B82" s="25" t="s">
        <v>206</v>
      </c>
      <c r="C82" s="25" t="s">
        <v>207</v>
      </c>
      <c r="D82" s="25" t="s">
        <v>71</v>
      </c>
      <c r="E82" s="26">
        <v>1000000</v>
      </c>
      <c r="F82" s="27">
        <v>982.21400000000006</v>
      </c>
      <c r="G82" s="28">
        <v>1.6809000000000001E-2</v>
      </c>
      <c r="H82" s="18">
        <v>6.48</v>
      </c>
    </row>
    <row r="83" spans="1:17" x14ac:dyDescent="0.2">
      <c r="A83" s="24">
        <v>5</v>
      </c>
      <c r="B83" s="25" t="s">
        <v>208</v>
      </c>
      <c r="C83" s="25" t="s">
        <v>209</v>
      </c>
      <c r="D83" s="25" t="s">
        <v>71</v>
      </c>
      <c r="E83" s="26">
        <v>1000000</v>
      </c>
      <c r="F83" s="27">
        <v>971.029</v>
      </c>
      <c r="G83" s="28">
        <v>1.6617590000000002E-2</v>
      </c>
      <c r="H83" s="18">
        <v>6.6</v>
      </c>
    </row>
    <row r="84" spans="1:17" x14ac:dyDescent="0.2">
      <c r="A84" s="16"/>
      <c r="B84" s="16"/>
      <c r="C84" s="17" t="s">
        <v>11</v>
      </c>
      <c r="D84" s="16"/>
      <c r="E84" s="16" t="s">
        <v>12</v>
      </c>
      <c r="F84" s="23">
        <v>7294.2704999999996</v>
      </c>
      <c r="G84" s="20">
        <v>0.12482962</v>
      </c>
      <c r="H84" s="18" t="s">
        <v>12</v>
      </c>
    </row>
    <row r="85" spans="1:17" x14ac:dyDescent="0.2">
      <c r="A85" s="16"/>
      <c r="B85" s="16"/>
      <c r="C85" s="21"/>
      <c r="D85" s="16"/>
      <c r="E85" s="16"/>
      <c r="F85" s="22"/>
      <c r="G85" s="22"/>
      <c r="H85" s="18" t="s">
        <v>12</v>
      </c>
    </row>
    <row r="86" spans="1:17" x14ac:dyDescent="0.2">
      <c r="A86" s="16"/>
      <c r="B86" s="16"/>
      <c r="C86" s="17" t="s">
        <v>90</v>
      </c>
      <c r="D86" s="16"/>
      <c r="E86" s="16"/>
      <c r="F86" s="22"/>
      <c r="G86" s="22"/>
      <c r="H86" s="18" t="s">
        <v>12</v>
      </c>
    </row>
    <row r="87" spans="1:17" x14ac:dyDescent="0.2">
      <c r="A87" s="24">
        <v>1</v>
      </c>
      <c r="B87" s="25"/>
      <c r="C87" s="25" t="s">
        <v>91</v>
      </c>
      <c r="D87" s="25"/>
      <c r="E87" s="29"/>
      <c r="F87" s="27">
        <v>6878.1820122890003</v>
      </c>
      <c r="G87" s="28">
        <v>0.11770894</v>
      </c>
      <c r="H87" s="18">
        <v>6.63</v>
      </c>
    </row>
    <row r="88" spans="1:17" x14ac:dyDescent="0.2">
      <c r="A88" s="16"/>
      <c r="B88" s="16"/>
      <c r="C88" s="17" t="s">
        <v>11</v>
      </c>
      <c r="D88" s="16"/>
      <c r="E88" s="16" t="s">
        <v>12</v>
      </c>
      <c r="F88" s="23">
        <v>6878.1820122890003</v>
      </c>
      <c r="G88" s="20">
        <v>0.11770894</v>
      </c>
      <c r="H88" s="18" t="s">
        <v>12</v>
      </c>
    </row>
    <row r="89" spans="1:17" x14ac:dyDescent="0.2">
      <c r="A89" s="16"/>
      <c r="B89" s="16"/>
      <c r="C89" s="21"/>
      <c r="D89" s="16"/>
      <c r="E89" s="16"/>
      <c r="F89" s="22"/>
      <c r="G89" s="22"/>
      <c r="H89" s="18" t="s">
        <v>12</v>
      </c>
    </row>
    <row r="90" spans="1:17" x14ac:dyDescent="0.2">
      <c r="A90" s="16"/>
      <c r="B90" s="16"/>
      <c r="C90" s="17" t="s">
        <v>92</v>
      </c>
      <c r="D90" s="16"/>
      <c r="E90" s="16"/>
      <c r="F90" s="23">
        <v>58872.672912289003</v>
      </c>
      <c r="G90" s="20">
        <v>1.00751043</v>
      </c>
      <c r="H90" s="18" t="s">
        <v>12</v>
      </c>
    </row>
    <row r="91" spans="1:17" x14ac:dyDescent="0.2">
      <c r="A91" s="16"/>
      <c r="B91" s="16"/>
      <c r="C91" s="22"/>
      <c r="D91" s="16"/>
      <c r="E91" s="16"/>
      <c r="F91" s="16"/>
      <c r="G91" s="16"/>
      <c r="H91" s="18" t="s">
        <v>12</v>
      </c>
    </row>
    <row r="92" spans="1:17" x14ac:dyDescent="0.2">
      <c r="A92" s="16"/>
      <c r="B92" s="16"/>
      <c r="C92" s="17" t="s">
        <v>93</v>
      </c>
      <c r="D92" s="16"/>
      <c r="E92" s="16"/>
      <c r="F92" s="16"/>
      <c r="G92" s="16"/>
      <c r="H92" s="18" t="s">
        <v>12</v>
      </c>
    </row>
    <row r="93" spans="1:17" x14ac:dyDescent="0.2">
      <c r="A93" s="16"/>
      <c r="B93" s="16"/>
      <c r="C93" s="17" t="s">
        <v>94</v>
      </c>
      <c r="D93" s="16"/>
      <c r="E93" s="16"/>
      <c r="F93" s="16"/>
      <c r="G93" s="16"/>
      <c r="H93" s="18" t="s">
        <v>12</v>
      </c>
    </row>
    <row r="94" spans="1:17" x14ac:dyDescent="0.2">
      <c r="A94" s="16"/>
      <c r="B94" s="16"/>
      <c r="C94" s="17" t="s">
        <v>11</v>
      </c>
      <c r="D94" s="16"/>
      <c r="E94" s="16" t="s">
        <v>12</v>
      </c>
      <c r="F94" s="19" t="s">
        <v>13</v>
      </c>
      <c r="G94" s="20">
        <v>0</v>
      </c>
      <c r="H94" s="18" t="s">
        <v>12</v>
      </c>
    </row>
    <row r="95" spans="1:17" x14ac:dyDescent="0.2">
      <c r="A95" s="68"/>
      <c r="B95" s="68"/>
      <c r="C95" s="69"/>
      <c r="D95" s="68"/>
      <c r="E95" s="68"/>
      <c r="F95" s="70"/>
      <c r="G95" s="70"/>
      <c r="H95" s="18" t="s">
        <v>12</v>
      </c>
    </row>
    <row r="96" spans="1:17" x14ac:dyDescent="0.2">
      <c r="A96" s="68"/>
      <c r="B96" s="68"/>
      <c r="C96" s="48" t="s">
        <v>606</v>
      </c>
      <c r="D96" s="68"/>
      <c r="E96" s="68"/>
      <c r="F96" s="70"/>
      <c r="G96" s="70"/>
      <c r="H96" s="65"/>
      <c r="K96" s="51"/>
      <c r="L96" s="51"/>
      <c r="M96" s="51"/>
      <c r="N96" s="51"/>
      <c r="O96" s="71"/>
      <c r="P96" s="71"/>
      <c r="Q96" s="71"/>
    </row>
    <row r="97" spans="1:8" ht="25.5" x14ac:dyDescent="0.2">
      <c r="A97" s="72">
        <v>1</v>
      </c>
      <c r="B97" s="47" t="s">
        <v>95</v>
      </c>
      <c r="C97" s="47" t="s">
        <v>96</v>
      </c>
      <c r="D97" s="47"/>
      <c r="E97" s="73">
        <v>649.726</v>
      </c>
      <c r="F97" s="65">
        <v>68.006716463999993</v>
      </c>
      <c r="G97" s="66">
        <v>1.16383E-3</v>
      </c>
      <c r="H97" s="18"/>
    </row>
    <row r="98" spans="1:8" x14ac:dyDescent="0.2">
      <c r="A98" s="68"/>
      <c r="B98" s="68"/>
      <c r="C98" s="48" t="s">
        <v>11</v>
      </c>
      <c r="D98" s="68"/>
      <c r="E98" s="68" t="s">
        <v>12</v>
      </c>
      <c r="F98" s="74">
        <f>SUM(F97)</f>
        <v>68.006716463999993</v>
      </c>
      <c r="G98" s="75">
        <f>SUM(G97)</f>
        <v>1.16383E-3</v>
      </c>
      <c r="H98" s="18" t="s">
        <v>12</v>
      </c>
    </row>
    <row r="99" spans="1:8" x14ac:dyDescent="0.2">
      <c r="A99" s="16"/>
      <c r="B99" s="16"/>
      <c r="C99" s="21"/>
      <c r="D99" s="16"/>
      <c r="E99" s="16"/>
      <c r="F99" s="22"/>
      <c r="G99" s="22"/>
      <c r="H99" s="18" t="s">
        <v>12</v>
      </c>
    </row>
    <row r="100" spans="1:8" x14ac:dyDescent="0.2">
      <c r="A100" s="16"/>
      <c r="B100" s="16"/>
      <c r="C100" s="17" t="s">
        <v>97</v>
      </c>
      <c r="D100" s="16"/>
      <c r="E100" s="16"/>
      <c r="F100" s="16"/>
      <c r="G100" s="16"/>
      <c r="H100" s="18" t="s">
        <v>12</v>
      </c>
    </row>
    <row r="101" spans="1:8" x14ac:dyDescent="0.2">
      <c r="A101" s="16"/>
      <c r="B101" s="16"/>
      <c r="C101" s="17" t="s">
        <v>98</v>
      </c>
      <c r="D101" s="16"/>
      <c r="E101" s="16"/>
      <c r="F101" s="16"/>
      <c r="G101" s="16"/>
      <c r="H101" s="18" t="s">
        <v>12</v>
      </c>
    </row>
    <row r="102" spans="1:8" x14ac:dyDescent="0.2">
      <c r="A102" s="16"/>
      <c r="B102" s="16"/>
      <c r="C102" s="17" t="s">
        <v>11</v>
      </c>
      <c r="D102" s="16"/>
      <c r="E102" s="16" t="s">
        <v>12</v>
      </c>
      <c r="F102" s="19" t="s">
        <v>13</v>
      </c>
      <c r="G102" s="20">
        <v>0</v>
      </c>
      <c r="H102" s="18" t="s">
        <v>12</v>
      </c>
    </row>
    <row r="103" spans="1:8" x14ac:dyDescent="0.2">
      <c r="A103" s="16"/>
      <c r="B103" s="16"/>
      <c r="C103" s="21"/>
      <c r="D103" s="16"/>
      <c r="E103" s="16"/>
      <c r="F103" s="22"/>
      <c r="G103" s="22"/>
      <c r="H103" s="18" t="s">
        <v>12</v>
      </c>
    </row>
    <row r="104" spans="1:8" x14ac:dyDescent="0.2">
      <c r="A104" s="16"/>
      <c r="B104" s="16"/>
      <c r="C104" s="17" t="s">
        <v>99</v>
      </c>
      <c r="D104" s="16"/>
      <c r="E104" s="16"/>
      <c r="F104" s="22"/>
      <c r="G104" s="22"/>
      <c r="H104" s="18" t="s">
        <v>12</v>
      </c>
    </row>
    <row r="105" spans="1:8" x14ac:dyDescent="0.2">
      <c r="A105" s="16"/>
      <c r="B105" s="16"/>
      <c r="C105" s="17" t="s">
        <v>11</v>
      </c>
      <c r="D105" s="16"/>
      <c r="E105" s="16" t="s">
        <v>12</v>
      </c>
      <c r="F105" s="19" t="s">
        <v>13</v>
      </c>
      <c r="G105" s="20">
        <v>0</v>
      </c>
      <c r="H105" s="18" t="s">
        <v>12</v>
      </c>
    </row>
    <row r="106" spans="1:8" x14ac:dyDescent="0.2">
      <c r="A106" s="16"/>
      <c r="B106" s="25"/>
      <c r="C106" s="25"/>
      <c r="D106" s="17"/>
      <c r="E106" s="16"/>
      <c r="F106" s="25"/>
      <c r="G106" s="29"/>
      <c r="H106" s="18" t="s">
        <v>12</v>
      </c>
    </row>
    <row r="107" spans="1:8" x14ac:dyDescent="0.2">
      <c r="A107" s="29"/>
      <c r="B107" s="25"/>
      <c r="C107" s="25" t="s">
        <v>100</v>
      </c>
      <c r="D107" s="25"/>
      <c r="E107" s="29"/>
      <c r="F107" s="27">
        <v>-506.86811362999998</v>
      </c>
      <c r="G107" s="28">
        <v>-8.6742299999999998E-3</v>
      </c>
      <c r="H107" s="18" t="s">
        <v>12</v>
      </c>
    </row>
    <row r="108" spans="1:8" x14ac:dyDescent="0.2">
      <c r="A108" s="21"/>
      <c r="B108" s="21"/>
      <c r="C108" s="17" t="s">
        <v>101</v>
      </c>
      <c r="D108" s="22"/>
      <c r="E108" s="22"/>
      <c r="F108" s="23">
        <v>58433.811515123001</v>
      </c>
      <c r="G108" s="30">
        <v>1.00000003</v>
      </c>
      <c r="H108" s="18" t="s">
        <v>12</v>
      </c>
    </row>
    <row r="109" spans="1:8" x14ac:dyDescent="0.2">
      <c r="A109" s="31"/>
      <c r="B109" s="31"/>
      <c r="C109" s="31"/>
      <c r="D109" s="32"/>
      <c r="E109" s="32"/>
      <c r="F109" s="32"/>
      <c r="G109" s="32"/>
    </row>
    <row r="110" spans="1:8" x14ac:dyDescent="0.2">
      <c r="A110" s="33"/>
      <c r="B110" s="126" t="s">
        <v>602</v>
      </c>
      <c r="C110" s="126"/>
      <c r="D110" s="126"/>
      <c r="E110" s="126"/>
      <c r="F110" s="126"/>
      <c r="G110" s="126"/>
      <c r="H110" s="126"/>
    </row>
    <row r="111" spans="1:8" x14ac:dyDescent="0.2">
      <c r="A111" s="33"/>
      <c r="B111" s="126" t="s">
        <v>603</v>
      </c>
      <c r="C111" s="126"/>
      <c r="D111" s="126"/>
      <c r="E111" s="126"/>
      <c r="F111" s="126"/>
      <c r="G111" s="126"/>
      <c r="H111" s="126"/>
    </row>
    <row r="112" spans="1:8" x14ac:dyDescent="0.2">
      <c r="A112" s="33"/>
      <c r="B112" s="126" t="s">
        <v>604</v>
      </c>
      <c r="C112" s="126"/>
      <c r="D112" s="126"/>
      <c r="E112" s="126"/>
      <c r="F112" s="126"/>
      <c r="G112" s="126"/>
      <c r="H112" s="126"/>
    </row>
    <row r="113" spans="1:8" x14ac:dyDescent="0.2">
      <c r="A113" s="33"/>
      <c r="B113" s="145" t="s">
        <v>723</v>
      </c>
      <c r="C113" s="126"/>
      <c r="D113" s="126"/>
      <c r="E113" s="126"/>
      <c r="F113" s="126"/>
      <c r="G113" s="126"/>
      <c r="H113" s="126"/>
    </row>
    <row r="114" spans="1:8" x14ac:dyDescent="0.2">
      <c r="A114" s="35"/>
      <c r="B114" s="35"/>
      <c r="C114" s="35"/>
      <c r="D114" s="36"/>
      <c r="E114" s="36"/>
      <c r="F114" s="36"/>
      <c r="G114" s="36"/>
    </row>
    <row r="115" spans="1:8" x14ac:dyDescent="0.2">
      <c r="A115" s="35"/>
      <c r="B115" s="129" t="s">
        <v>102</v>
      </c>
      <c r="C115" s="130"/>
      <c r="D115" s="131"/>
      <c r="E115" s="37"/>
      <c r="F115" s="36"/>
      <c r="G115" s="36"/>
    </row>
    <row r="116" spans="1:8" x14ac:dyDescent="0.2">
      <c r="A116" s="35"/>
      <c r="B116" s="132" t="s">
        <v>103</v>
      </c>
      <c r="C116" s="133"/>
      <c r="D116" s="17" t="s">
        <v>104</v>
      </c>
      <c r="E116" s="37"/>
      <c r="F116" s="36"/>
      <c r="G116" s="36"/>
    </row>
    <row r="117" spans="1:8" x14ac:dyDescent="0.2">
      <c r="A117" s="35"/>
      <c r="B117" s="132" t="s">
        <v>105</v>
      </c>
      <c r="C117" s="133"/>
      <c r="D117" s="17" t="s">
        <v>104</v>
      </c>
      <c r="E117" s="37"/>
      <c r="F117" s="36"/>
      <c r="G117" s="36"/>
    </row>
    <row r="118" spans="1:8" x14ac:dyDescent="0.2">
      <c r="A118" s="35"/>
      <c r="B118" s="132" t="s">
        <v>106</v>
      </c>
      <c r="C118" s="133"/>
      <c r="D118" s="22" t="s">
        <v>12</v>
      </c>
      <c r="E118" s="37"/>
      <c r="F118" s="36"/>
      <c r="G118" s="36"/>
    </row>
    <row r="119" spans="1:8" x14ac:dyDescent="0.2">
      <c r="A119" s="38"/>
      <c r="B119" s="39" t="s">
        <v>12</v>
      </c>
      <c r="C119" s="39" t="s">
        <v>605</v>
      </c>
      <c r="D119" s="39" t="s">
        <v>107</v>
      </c>
      <c r="E119" s="38"/>
      <c r="F119" s="38"/>
      <c r="G119" s="38"/>
      <c r="H119" s="40"/>
    </row>
    <row r="120" spans="1:8" x14ac:dyDescent="0.2">
      <c r="A120" s="41"/>
      <c r="B120" s="42" t="s">
        <v>108</v>
      </c>
      <c r="C120" s="43">
        <v>45611</v>
      </c>
      <c r="D120" s="43">
        <v>45626</v>
      </c>
      <c r="E120" s="41"/>
      <c r="F120" s="41"/>
      <c r="G120" s="41"/>
    </row>
    <row r="121" spans="1:8" x14ac:dyDescent="0.2">
      <c r="A121" s="41"/>
      <c r="B121" s="25" t="s">
        <v>109</v>
      </c>
      <c r="C121" s="44">
        <v>14.3786</v>
      </c>
      <c r="D121" s="44">
        <v>14.4183</v>
      </c>
      <c r="E121" s="41"/>
      <c r="F121" s="45"/>
      <c r="G121" s="46"/>
    </row>
    <row r="122" spans="1:8" ht="25.5" x14ac:dyDescent="0.2">
      <c r="A122" s="41"/>
      <c r="B122" s="25" t="s">
        <v>714</v>
      </c>
      <c r="C122" s="44">
        <v>11.154</v>
      </c>
      <c r="D122" s="44">
        <v>11.184799999999999</v>
      </c>
      <c r="E122" s="41"/>
      <c r="F122" s="45"/>
      <c r="G122" s="46"/>
    </row>
    <row r="123" spans="1:8" ht="25.5" x14ac:dyDescent="0.2">
      <c r="A123" s="41"/>
      <c r="B123" s="25" t="s">
        <v>715</v>
      </c>
      <c r="C123" s="44">
        <v>12.448</v>
      </c>
      <c r="D123" s="44">
        <v>12.4825</v>
      </c>
      <c r="E123" s="41"/>
      <c r="F123" s="45"/>
      <c r="G123" s="46"/>
    </row>
    <row r="124" spans="1:8" x14ac:dyDescent="0.2">
      <c r="A124" s="41"/>
      <c r="B124" s="25" t="s">
        <v>110</v>
      </c>
      <c r="C124" s="44">
        <v>14.2982</v>
      </c>
      <c r="D124" s="44">
        <v>14.337</v>
      </c>
      <c r="E124" s="41"/>
      <c r="F124" s="45"/>
      <c r="G124" s="46"/>
    </row>
    <row r="125" spans="1:8" ht="25.5" x14ac:dyDescent="0.2">
      <c r="A125" s="41"/>
      <c r="B125" s="25" t="s">
        <v>718</v>
      </c>
      <c r="C125" s="44">
        <v>11.1335</v>
      </c>
      <c r="D125" s="44">
        <v>11.1638</v>
      </c>
      <c r="E125" s="41"/>
      <c r="F125" s="45"/>
      <c r="G125" s="46"/>
    </row>
    <row r="126" spans="1:8" ht="25.5" x14ac:dyDescent="0.2">
      <c r="A126" s="41"/>
      <c r="B126" s="25" t="s">
        <v>665</v>
      </c>
      <c r="C126" s="44">
        <v>12.376799999999999</v>
      </c>
      <c r="D126" s="44">
        <v>12.410399999999999</v>
      </c>
      <c r="E126" s="41"/>
      <c r="F126" s="45"/>
      <c r="G126" s="46"/>
    </row>
    <row r="127" spans="1:8" x14ac:dyDescent="0.2">
      <c r="A127" s="41"/>
      <c r="B127" s="41"/>
      <c r="C127" s="41"/>
      <c r="D127" s="41"/>
      <c r="E127" s="41"/>
      <c r="F127" s="41"/>
      <c r="G127" s="41"/>
    </row>
    <row r="128" spans="1:8" x14ac:dyDescent="0.2">
      <c r="A128" s="41"/>
      <c r="B128" s="132" t="s">
        <v>721</v>
      </c>
      <c r="C128" s="133"/>
      <c r="D128" s="48" t="s">
        <v>104</v>
      </c>
      <c r="E128" s="41"/>
      <c r="F128" s="41"/>
      <c r="G128" s="41"/>
    </row>
    <row r="129" spans="1:16" x14ac:dyDescent="0.2">
      <c r="A129" s="41"/>
      <c r="B129" s="49"/>
      <c r="C129" s="49"/>
      <c r="D129" s="49"/>
      <c r="E129" s="41"/>
      <c r="F129" s="41"/>
      <c r="G129" s="41"/>
    </row>
    <row r="130" spans="1:16" x14ac:dyDescent="0.2">
      <c r="A130" s="38"/>
      <c r="B130" s="134" t="s">
        <v>111</v>
      </c>
      <c r="C130" s="135"/>
      <c r="D130" s="48" t="s">
        <v>104</v>
      </c>
      <c r="E130" s="50"/>
      <c r="F130" s="38"/>
      <c r="G130" s="38"/>
    </row>
    <row r="131" spans="1:16" ht="25.5" customHeight="1" x14ac:dyDescent="0.2">
      <c r="A131" s="38"/>
      <c r="B131" s="134" t="s">
        <v>112</v>
      </c>
      <c r="C131" s="135"/>
      <c r="D131" s="48" t="s">
        <v>104</v>
      </c>
      <c r="E131" s="50"/>
      <c r="F131" s="38"/>
      <c r="G131" s="38"/>
    </row>
    <row r="132" spans="1:16" ht="26.25" customHeight="1" x14ac:dyDescent="0.2">
      <c r="A132" s="38"/>
      <c r="B132" s="134" t="s">
        <v>607</v>
      </c>
      <c r="C132" s="135"/>
      <c r="D132" s="48" t="s">
        <v>104</v>
      </c>
      <c r="E132" s="50"/>
      <c r="F132" s="38"/>
      <c r="G132" s="38"/>
    </row>
    <row r="133" spans="1:16" x14ac:dyDescent="0.2">
      <c r="A133" s="49"/>
      <c r="B133" s="49"/>
      <c r="C133" s="49"/>
      <c r="D133" s="49"/>
      <c r="E133" s="49"/>
      <c r="F133" s="49"/>
      <c r="G133" s="49"/>
    </row>
    <row r="134" spans="1:16" s="52" customFormat="1" x14ac:dyDescent="0.2">
      <c r="B134" s="136" t="s">
        <v>608</v>
      </c>
      <c r="C134" s="137"/>
      <c r="D134" s="138"/>
      <c r="I134"/>
      <c r="J134" s="51"/>
      <c r="K134" s="51"/>
      <c r="L134" s="51"/>
      <c r="M134" s="51"/>
      <c r="N134" s="53"/>
    </row>
    <row r="135" spans="1:16" s="52" customFormat="1" ht="38.25" x14ac:dyDescent="0.2">
      <c r="B135" s="143" t="s">
        <v>609</v>
      </c>
      <c r="C135" s="144"/>
      <c r="D135" s="54" t="s">
        <v>136</v>
      </c>
      <c r="I135"/>
      <c r="J135" s="51"/>
      <c r="K135" s="51"/>
      <c r="L135" s="51"/>
      <c r="M135" s="51"/>
      <c r="N135" s="53"/>
    </row>
    <row r="136" spans="1:16" s="52" customFormat="1" x14ac:dyDescent="0.2">
      <c r="B136" s="140" t="s">
        <v>610</v>
      </c>
      <c r="C136" s="141"/>
      <c r="D136" s="55"/>
      <c r="I136"/>
      <c r="J136" s="51"/>
      <c r="K136" s="51"/>
      <c r="L136" s="51"/>
      <c r="M136" s="51"/>
      <c r="N136" s="53"/>
    </row>
    <row r="137" spans="1:16" s="52" customFormat="1" x14ac:dyDescent="0.2">
      <c r="B137" s="140"/>
      <c r="C137" s="141"/>
      <c r="D137" s="56"/>
      <c r="I137"/>
      <c r="J137" s="51"/>
      <c r="K137" s="51"/>
      <c r="L137" s="51"/>
      <c r="M137" s="51"/>
      <c r="N137" s="53"/>
    </row>
    <row r="138" spans="1:16" s="52" customFormat="1" x14ac:dyDescent="0.2">
      <c r="B138" s="140" t="s">
        <v>611</v>
      </c>
      <c r="C138" s="146"/>
      <c r="D138" s="57">
        <v>7.3011493268284449</v>
      </c>
      <c r="I138"/>
      <c r="J138" s="51"/>
      <c r="K138" s="51"/>
      <c r="L138" s="51"/>
      <c r="M138" s="51"/>
      <c r="N138" s="53"/>
    </row>
    <row r="139" spans="1:16" s="52" customFormat="1" x14ac:dyDescent="0.2">
      <c r="B139" s="140"/>
      <c r="C139" s="141"/>
      <c r="D139" s="56"/>
      <c r="I139"/>
      <c r="J139" s="51"/>
      <c r="K139" s="51"/>
      <c r="L139" s="51"/>
      <c r="M139" s="51"/>
      <c r="N139" s="53"/>
    </row>
    <row r="140" spans="1:16" s="52" customFormat="1" x14ac:dyDescent="0.2">
      <c r="B140" s="140" t="s">
        <v>612</v>
      </c>
      <c r="C140" s="146"/>
      <c r="D140" s="57">
        <v>0.38781984790697455</v>
      </c>
      <c r="I140"/>
      <c r="J140" s="51"/>
      <c r="K140" s="51"/>
      <c r="L140" s="51"/>
      <c r="M140" s="51"/>
      <c r="N140" s="53"/>
    </row>
    <row r="141" spans="1:16" s="52" customFormat="1" x14ac:dyDescent="0.2">
      <c r="B141" s="140" t="s">
        <v>613</v>
      </c>
      <c r="C141" s="146"/>
      <c r="D141" s="57">
        <v>0.38781984790697455</v>
      </c>
      <c r="I141"/>
      <c r="J141" s="51"/>
      <c r="K141" s="51"/>
      <c r="L141" s="51"/>
      <c r="M141" s="51"/>
      <c r="N141" s="53"/>
    </row>
    <row r="142" spans="1:16" s="52" customFormat="1" x14ac:dyDescent="0.2">
      <c r="B142" s="140"/>
      <c r="C142" s="141"/>
      <c r="D142" s="56"/>
      <c r="I142"/>
      <c r="J142" s="51"/>
      <c r="K142" s="51"/>
      <c r="L142" s="51"/>
      <c r="M142" s="51"/>
      <c r="N142" s="53"/>
    </row>
    <row r="143" spans="1:16" s="52" customFormat="1" ht="25.5" x14ac:dyDescent="0.2">
      <c r="B143" s="128" t="s">
        <v>614</v>
      </c>
      <c r="C143" s="128"/>
      <c r="D143" s="59" t="s">
        <v>687</v>
      </c>
      <c r="I143"/>
      <c r="J143" s="51"/>
      <c r="K143" s="51"/>
      <c r="L143" s="51"/>
      <c r="M143" s="51"/>
      <c r="N143" s="53"/>
    </row>
    <row r="144" spans="1:16" s="52" customFormat="1" x14ac:dyDescent="0.2">
      <c r="B144" s="140" t="s">
        <v>615</v>
      </c>
      <c r="C144" s="142"/>
      <c r="D144" s="141"/>
      <c r="I144"/>
      <c r="J144" s="51"/>
      <c r="K144" s="51"/>
      <c r="L144" s="51"/>
      <c r="M144" s="51"/>
      <c r="N144" s="53"/>
      <c r="O144"/>
      <c r="P144"/>
    </row>
    <row r="146" spans="2:4" ht="25.5" x14ac:dyDescent="0.2">
      <c r="B146" s="61" t="s">
        <v>691</v>
      </c>
    </row>
    <row r="148" spans="2:4" ht="153.75" customHeight="1" x14ac:dyDescent="0.2"/>
    <row r="151" spans="2:4" x14ac:dyDescent="0.2">
      <c r="B151" s="62" t="s">
        <v>692</v>
      </c>
      <c r="C151" s="63"/>
      <c r="D151" s="62" t="s">
        <v>694</v>
      </c>
    </row>
    <row r="152" spans="2:4" x14ac:dyDescent="0.2">
      <c r="B152" s="62" t="s">
        <v>698</v>
      </c>
      <c r="D152" s="62" t="s">
        <v>699</v>
      </c>
    </row>
    <row r="153" spans="2:4" ht="165" customHeight="1" x14ac:dyDescent="0.2"/>
  </sheetData>
  <mergeCells count="26">
    <mergeCell ref="B142:C142"/>
    <mergeCell ref="B143:C143"/>
    <mergeCell ref="B144:D144"/>
    <mergeCell ref="B137:C137"/>
    <mergeCell ref="B138:C138"/>
    <mergeCell ref="B139:C139"/>
    <mergeCell ref="B140:C140"/>
    <mergeCell ref="B141:C141"/>
    <mergeCell ref="A1:H1"/>
    <mergeCell ref="A2:H2"/>
    <mergeCell ref="A3:H3"/>
    <mergeCell ref="B110:H110"/>
    <mergeCell ref="B111:H111"/>
    <mergeCell ref="B112:H112"/>
    <mergeCell ref="B135:C135"/>
    <mergeCell ref="B136:C136"/>
    <mergeCell ref="B115:D115"/>
    <mergeCell ref="B116:C116"/>
    <mergeCell ref="B117:C117"/>
    <mergeCell ref="B118:C118"/>
    <mergeCell ref="B128:C128"/>
    <mergeCell ref="B132:C132"/>
    <mergeCell ref="B130:C130"/>
    <mergeCell ref="B131:C131"/>
    <mergeCell ref="B134:D134"/>
    <mergeCell ref="B113:H113"/>
  </mergeCells>
  <hyperlinks>
    <hyperlink ref="I1" location="Index!B2" display="Index" xr:uid="{4B395C58-0F8C-4425-AC11-9D22AD00D5A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C9CB-2EFB-4BC9-8475-83BB18F45A9B}">
  <sheetPr>
    <outlinePr summaryBelow="0" summaryRight="0"/>
  </sheetPr>
  <dimension ref="A1:T182"/>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11.5703125" customWidth="1"/>
    <col min="9" max="9" width="15.42578125" customWidth="1"/>
    <col min="10" max="10" width="16.7109375" customWidth="1"/>
  </cols>
  <sheetData>
    <row r="1" spans="1:9" ht="15" x14ac:dyDescent="0.2">
      <c r="A1" s="139" t="s">
        <v>0</v>
      </c>
      <c r="B1" s="139"/>
      <c r="C1" s="139"/>
      <c r="D1" s="139"/>
      <c r="E1" s="139"/>
      <c r="F1" s="139"/>
      <c r="G1" s="139"/>
      <c r="H1" s="139"/>
      <c r="I1" s="7" t="s">
        <v>598</v>
      </c>
    </row>
    <row r="2" spans="1:9" ht="15" x14ac:dyDescent="0.2">
      <c r="A2" s="139" t="s">
        <v>210</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599</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ht="25.5" x14ac:dyDescent="0.2">
      <c r="A28" s="24">
        <v>1</v>
      </c>
      <c r="B28" s="25" t="s">
        <v>211</v>
      </c>
      <c r="C28" s="25" t="s">
        <v>212</v>
      </c>
      <c r="D28" s="25" t="s">
        <v>23</v>
      </c>
      <c r="E28" s="26">
        <v>250</v>
      </c>
      <c r="F28" s="27">
        <v>2492.54</v>
      </c>
      <c r="G28" s="28">
        <v>5.6561489999999999E-2</v>
      </c>
      <c r="H28" s="18">
        <v>7.54</v>
      </c>
    </row>
    <row r="29" spans="1:8" x14ac:dyDescent="0.2">
      <c r="A29" s="24">
        <v>2</v>
      </c>
      <c r="B29" s="25" t="s">
        <v>213</v>
      </c>
      <c r="C29" s="25" t="s">
        <v>214</v>
      </c>
      <c r="D29" s="25" t="s">
        <v>215</v>
      </c>
      <c r="E29" s="26">
        <v>2000</v>
      </c>
      <c r="F29" s="27">
        <v>2001.34</v>
      </c>
      <c r="G29" s="28">
        <v>4.5415030000000002E-2</v>
      </c>
      <c r="H29" s="18">
        <v>7.3550000000000004</v>
      </c>
    </row>
    <row r="30" spans="1:8" x14ac:dyDescent="0.2">
      <c r="A30" s="24">
        <v>3</v>
      </c>
      <c r="B30" s="25" t="s">
        <v>216</v>
      </c>
      <c r="C30" s="25" t="s">
        <v>217</v>
      </c>
      <c r="D30" s="25" t="s">
        <v>218</v>
      </c>
      <c r="E30" s="26">
        <v>1500</v>
      </c>
      <c r="F30" s="27">
        <v>1508.3985</v>
      </c>
      <c r="G30" s="28">
        <v>3.4229049999999997E-2</v>
      </c>
      <c r="H30" s="18">
        <v>8.0299999999999994</v>
      </c>
    </row>
    <row r="31" spans="1:8" ht="25.5" x14ac:dyDescent="0.2">
      <c r="A31" s="24">
        <v>4</v>
      </c>
      <c r="B31" s="25" t="s">
        <v>219</v>
      </c>
      <c r="C31" s="25" t="s">
        <v>220</v>
      </c>
      <c r="D31" s="25" t="s">
        <v>23</v>
      </c>
      <c r="E31" s="26">
        <v>140</v>
      </c>
      <c r="F31" s="27">
        <v>1379.1610000000001</v>
      </c>
      <c r="G31" s="28">
        <v>3.1296350000000001E-2</v>
      </c>
      <c r="H31" s="18">
        <v>7.7050000000000001</v>
      </c>
    </row>
    <row r="32" spans="1:8" x14ac:dyDescent="0.2">
      <c r="A32" s="24">
        <v>5</v>
      </c>
      <c r="B32" s="25" t="s">
        <v>221</v>
      </c>
      <c r="C32" s="25" t="s">
        <v>222</v>
      </c>
      <c r="D32" s="25" t="s">
        <v>223</v>
      </c>
      <c r="E32" s="26">
        <v>1200</v>
      </c>
      <c r="F32" s="27">
        <v>1206.6659999999999</v>
      </c>
      <c r="G32" s="28">
        <v>2.738204E-2</v>
      </c>
      <c r="H32" s="18">
        <v>8.3000000000000007</v>
      </c>
    </row>
    <row r="33" spans="1:8" x14ac:dyDescent="0.2">
      <c r="A33" s="24">
        <v>6</v>
      </c>
      <c r="B33" s="25" t="s">
        <v>224</v>
      </c>
      <c r="C33" s="25" t="s">
        <v>225</v>
      </c>
      <c r="D33" s="25" t="s">
        <v>223</v>
      </c>
      <c r="E33" s="26">
        <v>1000</v>
      </c>
      <c r="F33" s="27">
        <v>1002.326</v>
      </c>
      <c r="G33" s="28">
        <v>2.2745089999999999E-2</v>
      </c>
      <c r="H33" s="18">
        <v>8.9499999999999993</v>
      </c>
    </row>
    <row r="34" spans="1:8" ht="25.5" x14ac:dyDescent="0.2">
      <c r="A34" s="24">
        <v>7</v>
      </c>
      <c r="B34" s="25" t="s">
        <v>226</v>
      </c>
      <c r="C34" s="25" t="s">
        <v>227</v>
      </c>
      <c r="D34" s="25" t="s">
        <v>218</v>
      </c>
      <c r="E34" s="26">
        <v>1000</v>
      </c>
      <c r="F34" s="27">
        <v>1000.436</v>
      </c>
      <c r="G34" s="28">
        <v>2.2702199999999999E-2</v>
      </c>
      <c r="H34" s="18">
        <v>8.1374999999999993</v>
      </c>
    </row>
    <row r="35" spans="1:8" x14ac:dyDescent="0.2">
      <c r="A35" s="24">
        <v>8</v>
      </c>
      <c r="B35" s="25" t="s">
        <v>228</v>
      </c>
      <c r="C35" s="25" t="s">
        <v>229</v>
      </c>
      <c r="D35" s="25" t="s">
        <v>23</v>
      </c>
      <c r="E35" s="26">
        <v>1000</v>
      </c>
      <c r="F35" s="27">
        <v>999.47400000000005</v>
      </c>
      <c r="G35" s="28">
        <v>2.2680369999999998E-2</v>
      </c>
      <c r="H35" s="18">
        <v>7.55</v>
      </c>
    </row>
    <row r="36" spans="1:8" ht="25.5" x14ac:dyDescent="0.2">
      <c r="A36" s="24">
        <v>9</v>
      </c>
      <c r="B36" s="25" t="s">
        <v>43</v>
      </c>
      <c r="C36" s="25" t="s">
        <v>44</v>
      </c>
      <c r="D36" s="25" t="s">
        <v>23</v>
      </c>
      <c r="E36" s="26">
        <v>1000</v>
      </c>
      <c r="F36" s="27">
        <v>997.08900000000006</v>
      </c>
      <c r="G36" s="28">
        <v>2.2626250000000001E-2</v>
      </c>
      <c r="H36" s="18">
        <v>7.4</v>
      </c>
    </row>
    <row r="37" spans="1:8" ht="25.5" x14ac:dyDescent="0.2">
      <c r="A37" s="24">
        <v>10</v>
      </c>
      <c r="B37" s="25" t="s">
        <v>230</v>
      </c>
      <c r="C37" s="25" t="s">
        <v>231</v>
      </c>
      <c r="D37" s="25" t="s">
        <v>232</v>
      </c>
      <c r="E37" s="26">
        <v>1000</v>
      </c>
      <c r="F37" s="27">
        <v>996.99199999999996</v>
      </c>
      <c r="G37" s="28">
        <v>2.262405E-2</v>
      </c>
      <c r="H37" s="18">
        <v>9.43</v>
      </c>
    </row>
    <row r="38" spans="1:8" ht="25.5" x14ac:dyDescent="0.2">
      <c r="A38" s="24">
        <v>11</v>
      </c>
      <c r="B38" s="25" t="s">
        <v>233</v>
      </c>
      <c r="C38" s="25" t="s">
        <v>234</v>
      </c>
      <c r="D38" s="25" t="s">
        <v>23</v>
      </c>
      <c r="E38" s="26">
        <v>100</v>
      </c>
      <c r="F38" s="27">
        <v>996.93899999999996</v>
      </c>
      <c r="G38" s="28">
        <v>2.262285E-2</v>
      </c>
      <c r="H38" s="18">
        <v>7.6449999999999996</v>
      </c>
    </row>
    <row r="39" spans="1:8" x14ac:dyDescent="0.2">
      <c r="A39" s="24">
        <v>12</v>
      </c>
      <c r="B39" s="25" t="s">
        <v>235</v>
      </c>
      <c r="C39" s="25" t="s">
        <v>236</v>
      </c>
      <c r="D39" s="25" t="s">
        <v>223</v>
      </c>
      <c r="E39" s="26">
        <v>100</v>
      </c>
      <c r="F39" s="27">
        <v>995.66399999999999</v>
      </c>
      <c r="G39" s="28">
        <v>2.259392E-2</v>
      </c>
      <c r="H39" s="18">
        <v>8.6999999999999993</v>
      </c>
    </row>
    <row r="40" spans="1:8" x14ac:dyDescent="0.2">
      <c r="A40" s="24">
        <v>13</v>
      </c>
      <c r="B40" s="25" t="s">
        <v>237</v>
      </c>
      <c r="C40" s="25" t="s">
        <v>238</v>
      </c>
      <c r="D40" s="25" t="s">
        <v>223</v>
      </c>
      <c r="E40" s="26">
        <v>900</v>
      </c>
      <c r="F40" s="27">
        <v>902.43179999999995</v>
      </c>
      <c r="G40" s="28">
        <v>2.0478260000000002E-2</v>
      </c>
      <c r="H40" s="18">
        <v>8.1478999999999999</v>
      </c>
    </row>
    <row r="41" spans="1:8" x14ac:dyDescent="0.2">
      <c r="A41" s="24">
        <v>14</v>
      </c>
      <c r="B41" s="25" t="s">
        <v>239</v>
      </c>
      <c r="C41" s="25" t="s">
        <v>240</v>
      </c>
      <c r="D41" s="25" t="s">
        <v>223</v>
      </c>
      <c r="E41" s="26">
        <v>500</v>
      </c>
      <c r="F41" s="27">
        <v>501.66199999999998</v>
      </c>
      <c r="G41" s="28">
        <v>1.1383870000000001E-2</v>
      </c>
      <c r="H41" s="18">
        <v>8.8849999999999998</v>
      </c>
    </row>
    <row r="42" spans="1:8" x14ac:dyDescent="0.2">
      <c r="A42" s="24">
        <v>15</v>
      </c>
      <c r="B42" s="25" t="s">
        <v>53</v>
      </c>
      <c r="C42" s="25" t="s">
        <v>54</v>
      </c>
      <c r="D42" s="25" t="s">
        <v>23</v>
      </c>
      <c r="E42" s="26">
        <v>500</v>
      </c>
      <c r="F42" s="27">
        <v>501.536</v>
      </c>
      <c r="G42" s="28">
        <v>1.138101E-2</v>
      </c>
      <c r="H42" s="18">
        <v>7.56</v>
      </c>
    </row>
    <row r="43" spans="1:8" x14ac:dyDescent="0.2">
      <c r="A43" s="24">
        <v>16</v>
      </c>
      <c r="B43" s="25" t="s">
        <v>241</v>
      </c>
      <c r="C43" s="25" t="s">
        <v>242</v>
      </c>
      <c r="D43" s="25" t="s">
        <v>36</v>
      </c>
      <c r="E43" s="26">
        <v>500</v>
      </c>
      <c r="F43" s="27">
        <v>501.06849999999997</v>
      </c>
      <c r="G43" s="28">
        <v>1.1370399999999999E-2</v>
      </c>
      <c r="H43" s="18">
        <v>7.45</v>
      </c>
    </row>
    <row r="44" spans="1:8" ht="25.5" x14ac:dyDescent="0.2">
      <c r="A44" s="24">
        <v>17</v>
      </c>
      <c r="B44" s="25" t="s">
        <v>243</v>
      </c>
      <c r="C44" s="25" t="s">
        <v>244</v>
      </c>
      <c r="D44" s="25" t="s">
        <v>245</v>
      </c>
      <c r="E44" s="26">
        <v>50</v>
      </c>
      <c r="F44" s="27">
        <v>500.92750000000001</v>
      </c>
      <c r="G44" s="28">
        <v>1.1367199999999999E-2</v>
      </c>
      <c r="H44" s="18">
        <v>8.2249999999999996</v>
      </c>
    </row>
    <row r="45" spans="1:8" ht="25.5" x14ac:dyDescent="0.2">
      <c r="A45" s="24">
        <v>18</v>
      </c>
      <c r="B45" s="25" t="s">
        <v>59</v>
      </c>
      <c r="C45" s="25" t="s">
        <v>60</v>
      </c>
      <c r="D45" s="25" t="s">
        <v>23</v>
      </c>
      <c r="E45" s="26">
        <v>500</v>
      </c>
      <c r="F45" s="27">
        <v>499.90350000000001</v>
      </c>
      <c r="G45" s="28">
        <v>1.134397E-2</v>
      </c>
      <c r="H45" s="18">
        <v>8.0399999999999991</v>
      </c>
    </row>
    <row r="46" spans="1:8" x14ac:dyDescent="0.2">
      <c r="A46" s="16"/>
      <c r="B46" s="16"/>
      <c r="C46" s="17" t="s">
        <v>11</v>
      </c>
      <c r="D46" s="16"/>
      <c r="E46" s="16" t="s">
        <v>12</v>
      </c>
      <c r="F46" s="23">
        <v>18984.554800000002</v>
      </c>
      <c r="G46" s="20">
        <v>0.4308034</v>
      </c>
      <c r="H46" s="18" t="s">
        <v>12</v>
      </c>
    </row>
    <row r="47" spans="1:8" x14ac:dyDescent="0.2">
      <c r="A47" s="16"/>
      <c r="B47" s="16"/>
      <c r="C47" s="21"/>
      <c r="D47" s="16"/>
      <c r="E47" s="16"/>
      <c r="F47" s="22"/>
      <c r="G47" s="22"/>
      <c r="H47" s="18" t="s">
        <v>12</v>
      </c>
    </row>
    <row r="48" spans="1:8" x14ac:dyDescent="0.2">
      <c r="A48" s="16"/>
      <c r="B48" s="16"/>
      <c r="C48" s="17" t="s">
        <v>67</v>
      </c>
      <c r="D48" s="16"/>
      <c r="E48" s="16"/>
      <c r="F48" s="16"/>
      <c r="G48" s="16"/>
      <c r="H48" s="18" t="s">
        <v>12</v>
      </c>
    </row>
    <row r="49" spans="1:8" x14ac:dyDescent="0.2">
      <c r="A49" s="16"/>
      <c r="B49" s="16"/>
      <c r="C49" s="17" t="s">
        <v>11</v>
      </c>
      <c r="D49" s="16"/>
      <c r="E49" s="16" t="s">
        <v>12</v>
      </c>
      <c r="F49" s="19" t="s">
        <v>13</v>
      </c>
      <c r="G49" s="20">
        <v>0</v>
      </c>
      <c r="H49" s="18" t="s">
        <v>12</v>
      </c>
    </row>
    <row r="50" spans="1:8" x14ac:dyDescent="0.2">
      <c r="A50" s="16"/>
      <c r="B50" s="16"/>
      <c r="C50" s="21"/>
      <c r="D50" s="16"/>
      <c r="E50" s="16"/>
      <c r="F50" s="22"/>
      <c r="G50" s="22"/>
      <c r="H50" s="18" t="s">
        <v>12</v>
      </c>
    </row>
    <row r="51" spans="1:8" x14ac:dyDescent="0.2">
      <c r="A51" s="16"/>
      <c r="B51" s="16"/>
      <c r="C51" s="17" t="s">
        <v>68</v>
      </c>
      <c r="D51" s="16"/>
      <c r="E51" s="16"/>
      <c r="F51" s="16"/>
      <c r="G51" s="16"/>
      <c r="H51" s="18" t="s">
        <v>12</v>
      </c>
    </row>
    <row r="52" spans="1:8" ht="25.5" x14ac:dyDescent="0.2">
      <c r="A52" s="24">
        <v>1</v>
      </c>
      <c r="B52" s="25" t="s">
        <v>246</v>
      </c>
      <c r="C52" s="25" t="s">
        <v>247</v>
      </c>
      <c r="D52" s="25" t="s">
        <v>71</v>
      </c>
      <c r="E52" s="26">
        <v>1000000</v>
      </c>
      <c r="F52" s="27">
        <v>1016.071</v>
      </c>
      <c r="G52" s="28">
        <v>2.3057000000000001E-2</v>
      </c>
      <c r="H52" s="18">
        <v>6.7938999999999998</v>
      </c>
    </row>
    <row r="53" spans="1:8" ht="25.5" x14ac:dyDescent="0.2">
      <c r="A53" s="24">
        <v>2</v>
      </c>
      <c r="B53" s="25" t="s">
        <v>248</v>
      </c>
      <c r="C53" s="25" t="s">
        <v>249</v>
      </c>
      <c r="D53" s="25" t="s">
        <v>71</v>
      </c>
      <c r="E53" s="26">
        <v>900000</v>
      </c>
      <c r="F53" s="27">
        <v>911.40390000000002</v>
      </c>
      <c r="G53" s="28">
        <v>2.068186E-2</v>
      </c>
      <c r="H53" s="18">
        <v>6.8217999999999996</v>
      </c>
    </row>
    <row r="54" spans="1:8" x14ac:dyDescent="0.2">
      <c r="A54" s="24">
        <v>3</v>
      </c>
      <c r="B54" s="25" t="s">
        <v>72</v>
      </c>
      <c r="C54" s="25" t="s">
        <v>73</v>
      </c>
      <c r="D54" s="25" t="s">
        <v>71</v>
      </c>
      <c r="E54" s="26">
        <v>500000</v>
      </c>
      <c r="F54" s="27">
        <v>513.65</v>
      </c>
      <c r="G54" s="28">
        <v>1.165591E-2</v>
      </c>
      <c r="H54" s="18">
        <v>6.8681000000000001</v>
      </c>
    </row>
    <row r="55" spans="1:8" x14ac:dyDescent="0.2">
      <c r="A55" s="16"/>
      <c r="B55" s="16"/>
      <c r="C55" s="17" t="s">
        <v>11</v>
      </c>
      <c r="D55" s="16"/>
      <c r="E55" s="16" t="s">
        <v>12</v>
      </c>
      <c r="F55" s="23">
        <v>2441.1248999999998</v>
      </c>
      <c r="G55" s="20">
        <v>5.5394770000000003E-2</v>
      </c>
      <c r="H55" s="18" t="s">
        <v>12</v>
      </c>
    </row>
    <row r="56" spans="1:8" x14ac:dyDescent="0.2">
      <c r="A56" s="16"/>
      <c r="B56" s="16"/>
      <c r="C56" s="21"/>
      <c r="D56" s="16"/>
      <c r="E56" s="16"/>
      <c r="F56" s="22"/>
      <c r="G56" s="22"/>
      <c r="H56" s="18" t="s">
        <v>12</v>
      </c>
    </row>
    <row r="57" spans="1:8" x14ac:dyDescent="0.2">
      <c r="A57" s="16"/>
      <c r="B57" s="16"/>
      <c r="C57" s="17" t="s">
        <v>84</v>
      </c>
      <c r="D57" s="16"/>
      <c r="E57" s="16"/>
      <c r="F57" s="22"/>
      <c r="G57" s="22"/>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85</v>
      </c>
      <c r="D60" s="16"/>
      <c r="E60" s="16"/>
      <c r="F60" s="23">
        <v>21425.679700000001</v>
      </c>
      <c r="G60" s="20">
        <v>0.48619816999999999</v>
      </c>
      <c r="H60" s="18" t="s">
        <v>12</v>
      </c>
    </row>
    <row r="61" spans="1:8" x14ac:dyDescent="0.2">
      <c r="A61" s="16"/>
      <c r="B61" s="16"/>
      <c r="C61" s="21"/>
      <c r="D61" s="16"/>
      <c r="E61" s="16"/>
      <c r="F61" s="22"/>
      <c r="G61" s="22"/>
      <c r="H61" s="18" t="s">
        <v>12</v>
      </c>
    </row>
    <row r="62" spans="1:8" x14ac:dyDescent="0.2">
      <c r="A62" s="16"/>
      <c r="B62" s="16"/>
      <c r="C62" s="17" t="s">
        <v>86</v>
      </c>
      <c r="D62" s="16"/>
      <c r="E62" s="16"/>
      <c r="F62" s="22"/>
      <c r="G62" s="22"/>
      <c r="H62" s="18" t="s">
        <v>12</v>
      </c>
    </row>
    <row r="63" spans="1:8" x14ac:dyDescent="0.2">
      <c r="A63" s="16"/>
      <c r="B63" s="16"/>
      <c r="C63" s="17" t="s">
        <v>87</v>
      </c>
      <c r="D63" s="16"/>
      <c r="E63" s="16"/>
      <c r="F63" s="22"/>
      <c r="G63" s="22"/>
      <c r="H63" s="18" t="s">
        <v>12</v>
      </c>
    </row>
    <row r="64" spans="1:8" x14ac:dyDescent="0.2">
      <c r="A64" s="24">
        <v>1</v>
      </c>
      <c r="B64" s="25" t="s">
        <v>250</v>
      </c>
      <c r="C64" s="25" t="s">
        <v>251</v>
      </c>
      <c r="D64" s="25" t="s">
        <v>139</v>
      </c>
      <c r="E64" s="26">
        <v>500</v>
      </c>
      <c r="F64" s="27">
        <v>2343.3724999999999</v>
      </c>
      <c r="G64" s="28">
        <v>5.3176540000000001E-2</v>
      </c>
      <c r="H64" s="18">
        <v>8.0250000000000004</v>
      </c>
    </row>
    <row r="65" spans="1:8" x14ac:dyDescent="0.2">
      <c r="A65" s="24">
        <v>2</v>
      </c>
      <c r="B65" s="25" t="s">
        <v>252</v>
      </c>
      <c r="C65" s="25" t="s">
        <v>253</v>
      </c>
      <c r="D65" s="25" t="s">
        <v>139</v>
      </c>
      <c r="E65" s="26">
        <v>400</v>
      </c>
      <c r="F65" s="27">
        <v>1961.18</v>
      </c>
      <c r="G65" s="28">
        <v>4.4503710000000002E-2</v>
      </c>
      <c r="H65" s="18">
        <v>7.2249999999999996</v>
      </c>
    </row>
    <row r="66" spans="1:8" x14ac:dyDescent="0.2">
      <c r="A66" s="24">
        <v>3</v>
      </c>
      <c r="B66" s="25" t="s">
        <v>254</v>
      </c>
      <c r="C66" s="25" t="s">
        <v>255</v>
      </c>
      <c r="D66" s="25" t="s">
        <v>146</v>
      </c>
      <c r="E66" s="26">
        <v>300</v>
      </c>
      <c r="F66" s="27">
        <v>1468.7204999999999</v>
      </c>
      <c r="G66" s="28">
        <v>3.3328660000000003E-2</v>
      </c>
      <c r="H66" s="18">
        <v>7.2648999999999999</v>
      </c>
    </row>
    <row r="67" spans="1:8" x14ac:dyDescent="0.2">
      <c r="A67" s="24">
        <v>4</v>
      </c>
      <c r="B67" s="25" t="s">
        <v>164</v>
      </c>
      <c r="C67" s="25" t="s">
        <v>165</v>
      </c>
      <c r="D67" s="25" t="s">
        <v>139</v>
      </c>
      <c r="E67" s="26">
        <v>300</v>
      </c>
      <c r="F67" s="27">
        <v>1395.1755000000001</v>
      </c>
      <c r="G67" s="28">
        <v>3.1659760000000002E-2</v>
      </c>
      <c r="H67" s="18">
        <v>7.7249999999999996</v>
      </c>
    </row>
    <row r="68" spans="1:8" x14ac:dyDescent="0.2">
      <c r="A68" s="24">
        <v>5</v>
      </c>
      <c r="B68" s="25" t="s">
        <v>172</v>
      </c>
      <c r="C68" s="25" t="s">
        <v>173</v>
      </c>
      <c r="D68" s="25" t="s">
        <v>146</v>
      </c>
      <c r="E68" s="26">
        <v>200</v>
      </c>
      <c r="F68" s="27">
        <v>988.20799999999997</v>
      </c>
      <c r="G68" s="28">
        <v>2.2424719999999999E-2</v>
      </c>
      <c r="H68" s="18">
        <v>7.14</v>
      </c>
    </row>
    <row r="69" spans="1:8" ht="25.5" x14ac:dyDescent="0.2">
      <c r="A69" s="24">
        <v>6</v>
      </c>
      <c r="B69" s="25" t="s">
        <v>256</v>
      </c>
      <c r="C69" s="25" t="s">
        <v>257</v>
      </c>
      <c r="D69" s="25" t="s">
        <v>139</v>
      </c>
      <c r="E69" s="26">
        <v>200</v>
      </c>
      <c r="F69" s="27">
        <v>986.78200000000004</v>
      </c>
      <c r="G69" s="28">
        <v>2.239236E-2</v>
      </c>
      <c r="H69" s="18">
        <v>7.19</v>
      </c>
    </row>
    <row r="70" spans="1:8" x14ac:dyDescent="0.2">
      <c r="A70" s="24">
        <v>7</v>
      </c>
      <c r="B70" s="25" t="s">
        <v>168</v>
      </c>
      <c r="C70" s="25" t="s">
        <v>169</v>
      </c>
      <c r="D70" s="25" t="s">
        <v>139</v>
      </c>
      <c r="E70" s="26">
        <v>200</v>
      </c>
      <c r="F70" s="27">
        <v>984.03899999999999</v>
      </c>
      <c r="G70" s="28">
        <v>2.2330119999999998E-2</v>
      </c>
      <c r="H70" s="18">
        <v>7.2199</v>
      </c>
    </row>
    <row r="71" spans="1:8" x14ac:dyDescent="0.2">
      <c r="A71" s="24">
        <v>8</v>
      </c>
      <c r="B71" s="25" t="s">
        <v>170</v>
      </c>
      <c r="C71" s="25" t="s">
        <v>171</v>
      </c>
      <c r="D71" s="25" t="s">
        <v>139</v>
      </c>
      <c r="E71" s="26">
        <v>200</v>
      </c>
      <c r="F71" s="27">
        <v>983.48699999999997</v>
      </c>
      <c r="G71" s="28">
        <v>2.2317590000000002E-2</v>
      </c>
      <c r="H71" s="18">
        <v>7.21</v>
      </c>
    </row>
    <row r="72" spans="1:8" ht="25.5" x14ac:dyDescent="0.2">
      <c r="A72" s="24">
        <v>9</v>
      </c>
      <c r="B72" s="25" t="s">
        <v>258</v>
      </c>
      <c r="C72" s="25" t="s">
        <v>259</v>
      </c>
      <c r="D72" s="25" t="s">
        <v>139</v>
      </c>
      <c r="E72" s="26">
        <v>200</v>
      </c>
      <c r="F72" s="27">
        <v>983.15099999999995</v>
      </c>
      <c r="G72" s="28">
        <v>2.2309969999999998E-2</v>
      </c>
      <c r="H72" s="18">
        <v>7.19</v>
      </c>
    </row>
    <row r="73" spans="1:8" x14ac:dyDescent="0.2">
      <c r="A73" s="24">
        <v>10</v>
      </c>
      <c r="B73" s="25" t="s">
        <v>156</v>
      </c>
      <c r="C73" s="25" t="s">
        <v>157</v>
      </c>
      <c r="D73" s="25" t="s">
        <v>139</v>
      </c>
      <c r="E73" s="26">
        <v>200</v>
      </c>
      <c r="F73" s="27">
        <v>978.923</v>
      </c>
      <c r="G73" s="28">
        <v>2.2214029999999999E-2</v>
      </c>
      <c r="H73" s="18">
        <v>7.2100999999999997</v>
      </c>
    </row>
    <row r="74" spans="1:8" x14ac:dyDescent="0.2">
      <c r="A74" s="24">
        <v>11</v>
      </c>
      <c r="B74" s="25" t="s">
        <v>158</v>
      </c>
      <c r="C74" s="25" t="s">
        <v>159</v>
      </c>
      <c r="D74" s="25" t="s">
        <v>139</v>
      </c>
      <c r="E74" s="26">
        <v>200</v>
      </c>
      <c r="F74" s="27">
        <v>965.93799999999999</v>
      </c>
      <c r="G74" s="28">
        <v>2.1919370000000001E-2</v>
      </c>
      <c r="H74" s="18">
        <v>7.44</v>
      </c>
    </row>
    <row r="75" spans="1:8" x14ac:dyDescent="0.2">
      <c r="A75" s="16"/>
      <c r="B75" s="16"/>
      <c r="C75" s="17" t="s">
        <v>11</v>
      </c>
      <c r="D75" s="16"/>
      <c r="E75" s="16" t="s">
        <v>12</v>
      </c>
      <c r="F75" s="23">
        <v>14038.976500000001</v>
      </c>
      <c r="G75" s="20">
        <v>0.31857682999999998</v>
      </c>
      <c r="H75" s="18" t="s">
        <v>12</v>
      </c>
    </row>
    <row r="76" spans="1:8" x14ac:dyDescent="0.2">
      <c r="A76" s="16"/>
      <c r="B76" s="16"/>
      <c r="C76" s="21"/>
      <c r="D76" s="16"/>
      <c r="E76" s="16"/>
      <c r="F76" s="22"/>
      <c r="G76" s="22"/>
      <c r="H76" s="18" t="s">
        <v>12</v>
      </c>
    </row>
    <row r="77" spans="1:8" x14ac:dyDescent="0.2">
      <c r="A77" s="16"/>
      <c r="B77" s="16"/>
      <c r="C77" s="17" t="s">
        <v>88</v>
      </c>
      <c r="D77" s="16"/>
      <c r="E77" s="16"/>
      <c r="F77" s="22"/>
      <c r="G77" s="22"/>
      <c r="H77" s="18" t="s">
        <v>12</v>
      </c>
    </row>
    <row r="78" spans="1:8" ht="25.5" x14ac:dyDescent="0.2">
      <c r="A78" s="24">
        <v>1</v>
      </c>
      <c r="B78" s="25" t="s">
        <v>260</v>
      </c>
      <c r="C78" s="25" t="s">
        <v>261</v>
      </c>
      <c r="D78" s="25" t="s">
        <v>139</v>
      </c>
      <c r="E78" s="26">
        <v>300</v>
      </c>
      <c r="F78" s="27">
        <v>1465.308</v>
      </c>
      <c r="G78" s="28">
        <v>3.3251219999999998E-2</v>
      </c>
      <c r="H78" s="18">
        <v>8.39</v>
      </c>
    </row>
    <row r="79" spans="1:8" ht="25.5" x14ac:dyDescent="0.2">
      <c r="A79" s="24">
        <v>2</v>
      </c>
      <c r="B79" s="25" t="s">
        <v>190</v>
      </c>
      <c r="C79" s="25" t="s">
        <v>191</v>
      </c>
      <c r="D79" s="25" t="s">
        <v>139</v>
      </c>
      <c r="E79" s="26">
        <v>200</v>
      </c>
      <c r="F79" s="27">
        <v>957.16399999999999</v>
      </c>
      <c r="G79" s="28">
        <v>2.1720260000000002E-2</v>
      </c>
      <c r="H79" s="18">
        <v>8.25</v>
      </c>
    </row>
    <row r="80" spans="1:8" x14ac:dyDescent="0.2">
      <c r="A80" s="16"/>
      <c r="B80" s="16"/>
      <c r="C80" s="17" t="s">
        <v>11</v>
      </c>
      <c r="D80" s="16"/>
      <c r="E80" s="16" t="s">
        <v>12</v>
      </c>
      <c r="F80" s="23">
        <v>2422.4720000000002</v>
      </c>
      <c r="G80" s="20">
        <v>5.4971480000000003E-2</v>
      </c>
      <c r="H80" s="18" t="s">
        <v>12</v>
      </c>
    </row>
    <row r="81" spans="1:18" x14ac:dyDescent="0.2">
      <c r="A81" s="16"/>
      <c r="B81" s="16"/>
      <c r="C81" s="21"/>
      <c r="D81" s="16"/>
      <c r="E81" s="16"/>
      <c r="F81" s="22"/>
      <c r="G81" s="22"/>
      <c r="H81" s="18" t="s">
        <v>12</v>
      </c>
    </row>
    <row r="82" spans="1:18" x14ac:dyDescent="0.2">
      <c r="A82" s="16"/>
      <c r="B82" s="16"/>
      <c r="C82" s="17" t="s">
        <v>89</v>
      </c>
      <c r="D82" s="16"/>
      <c r="E82" s="16"/>
      <c r="F82" s="22"/>
      <c r="G82" s="22"/>
      <c r="H82" s="18" t="s">
        <v>12</v>
      </c>
    </row>
    <row r="83" spans="1:18" x14ac:dyDescent="0.2">
      <c r="A83" s="24">
        <v>1</v>
      </c>
      <c r="B83" s="25" t="s">
        <v>204</v>
      </c>
      <c r="C83" s="25" t="s">
        <v>205</v>
      </c>
      <c r="D83" s="25" t="s">
        <v>71</v>
      </c>
      <c r="E83" s="26">
        <v>1000000</v>
      </c>
      <c r="F83" s="27">
        <v>968.64800000000002</v>
      </c>
      <c r="G83" s="28">
        <v>2.1980860000000001E-2</v>
      </c>
      <c r="H83" s="18">
        <v>6.6</v>
      </c>
    </row>
    <row r="84" spans="1:18" x14ac:dyDescent="0.2">
      <c r="A84" s="16"/>
      <c r="B84" s="16"/>
      <c r="C84" s="17" t="s">
        <v>11</v>
      </c>
      <c r="D84" s="16"/>
      <c r="E84" s="16" t="s">
        <v>12</v>
      </c>
      <c r="F84" s="23">
        <v>968.64800000000002</v>
      </c>
      <c r="G84" s="20">
        <v>2.1980860000000001E-2</v>
      </c>
      <c r="H84" s="18" t="s">
        <v>12</v>
      </c>
    </row>
    <row r="85" spans="1:18" x14ac:dyDescent="0.2">
      <c r="A85" s="16"/>
      <c r="B85" s="16"/>
      <c r="C85" s="21"/>
      <c r="D85" s="16"/>
      <c r="E85" s="16"/>
      <c r="F85" s="22"/>
      <c r="G85" s="22"/>
      <c r="H85" s="18" t="s">
        <v>12</v>
      </c>
    </row>
    <row r="86" spans="1:18" x14ac:dyDescent="0.2">
      <c r="A86" s="16"/>
      <c r="B86" s="16"/>
      <c r="C86" s="17" t="s">
        <v>90</v>
      </c>
      <c r="D86" s="16"/>
      <c r="E86" s="16"/>
      <c r="F86" s="22"/>
      <c r="G86" s="22"/>
      <c r="H86" s="18" t="s">
        <v>12</v>
      </c>
    </row>
    <row r="87" spans="1:18" x14ac:dyDescent="0.2">
      <c r="A87" s="24">
        <v>1</v>
      </c>
      <c r="B87" s="25"/>
      <c r="C87" s="25" t="s">
        <v>91</v>
      </c>
      <c r="D87" s="25"/>
      <c r="E87" s="29"/>
      <c r="F87" s="27">
        <v>4850.0710185890002</v>
      </c>
      <c r="G87" s="28">
        <v>0.11005932</v>
      </c>
      <c r="H87" s="18">
        <v>6.66</v>
      </c>
    </row>
    <row r="88" spans="1:18" x14ac:dyDescent="0.2">
      <c r="A88" s="16"/>
      <c r="B88" s="16"/>
      <c r="C88" s="17" t="s">
        <v>11</v>
      </c>
      <c r="D88" s="16"/>
      <c r="E88" s="16" t="s">
        <v>12</v>
      </c>
      <c r="F88" s="23">
        <v>4850.0710185890002</v>
      </c>
      <c r="G88" s="20">
        <v>0.11005932</v>
      </c>
      <c r="H88" s="18" t="s">
        <v>12</v>
      </c>
    </row>
    <row r="89" spans="1:18" x14ac:dyDescent="0.2">
      <c r="A89" s="16"/>
      <c r="B89" s="16"/>
      <c r="C89" s="21"/>
      <c r="D89" s="16"/>
      <c r="E89" s="16"/>
      <c r="F89" s="22"/>
      <c r="G89" s="22"/>
      <c r="H89" s="18" t="s">
        <v>12</v>
      </c>
    </row>
    <row r="90" spans="1:18" x14ac:dyDescent="0.2">
      <c r="A90" s="16"/>
      <c r="B90" s="16"/>
      <c r="C90" s="17" t="s">
        <v>92</v>
      </c>
      <c r="D90" s="16"/>
      <c r="E90" s="16"/>
      <c r="F90" s="23">
        <v>22280.167518589002</v>
      </c>
      <c r="G90" s="20">
        <v>0.50558848999999995</v>
      </c>
      <c r="H90" s="18" t="s">
        <v>12</v>
      </c>
    </row>
    <row r="91" spans="1:18" x14ac:dyDescent="0.2">
      <c r="A91" s="16"/>
      <c r="B91" s="16"/>
      <c r="C91" s="22"/>
      <c r="D91" s="16"/>
      <c r="E91" s="16"/>
      <c r="F91" s="16"/>
      <c r="G91" s="16"/>
      <c r="H91" s="18" t="s">
        <v>12</v>
      </c>
    </row>
    <row r="92" spans="1:18" x14ac:dyDescent="0.2">
      <c r="A92" s="16"/>
      <c r="B92" s="16"/>
      <c r="C92" s="17" t="s">
        <v>93</v>
      </c>
      <c r="D92" s="16"/>
      <c r="E92" s="16"/>
      <c r="F92" s="16"/>
      <c r="G92" s="16"/>
      <c r="H92" s="18" t="s">
        <v>12</v>
      </c>
    </row>
    <row r="93" spans="1:18" x14ac:dyDescent="0.2">
      <c r="A93" s="16"/>
      <c r="B93" s="16"/>
      <c r="C93" s="17" t="s">
        <v>94</v>
      </c>
      <c r="D93" s="16"/>
      <c r="E93" s="16"/>
      <c r="F93" s="16"/>
      <c r="G93" s="16"/>
      <c r="H93" s="18" t="s">
        <v>12</v>
      </c>
    </row>
    <row r="94" spans="1:18" x14ac:dyDescent="0.2">
      <c r="A94" s="16"/>
      <c r="B94" s="16"/>
      <c r="C94" s="17" t="s">
        <v>11</v>
      </c>
      <c r="D94" s="16"/>
      <c r="E94" s="16" t="s">
        <v>12</v>
      </c>
      <c r="F94" s="19" t="s">
        <v>13</v>
      </c>
      <c r="G94" s="20">
        <v>0</v>
      </c>
      <c r="H94" s="18" t="s">
        <v>12</v>
      </c>
    </row>
    <row r="95" spans="1:18" x14ac:dyDescent="0.2">
      <c r="A95" s="68"/>
      <c r="B95" s="68"/>
      <c r="C95" s="69"/>
      <c r="D95" s="68"/>
      <c r="E95" s="68"/>
      <c r="F95" s="70"/>
      <c r="G95" s="70"/>
      <c r="H95" s="18" t="s">
        <v>12</v>
      </c>
      <c r="J95" s="15"/>
    </row>
    <row r="96" spans="1:18" x14ac:dyDescent="0.2">
      <c r="A96" s="68"/>
      <c r="B96" s="68"/>
      <c r="C96" s="48" t="s">
        <v>606</v>
      </c>
      <c r="D96" s="68"/>
      <c r="E96" s="68"/>
      <c r="F96" s="70"/>
      <c r="G96" s="70"/>
      <c r="H96" s="65"/>
      <c r="J96" s="15"/>
      <c r="L96" s="51"/>
      <c r="M96" s="51"/>
      <c r="N96" s="51"/>
      <c r="O96" s="51"/>
      <c r="P96" s="71"/>
      <c r="Q96" s="71"/>
      <c r="R96" s="71"/>
    </row>
    <row r="97" spans="1:10" ht="25.5" x14ac:dyDescent="0.2">
      <c r="A97" s="72">
        <v>1</v>
      </c>
      <c r="B97" s="47" t="s">
        <v>95</v>
      </c>
      <c r="C97" s="47" t="s">
        <v>96</v>
      </c>
      <c r="D97" s="47"/>
      <c r="E97" s="73">
        <v>1043.4449999999999</v>
      </c>
      <c r="F97" s="65">
        <v>109.21722119899999</v>
      </c>
      <c r="G97" s="66">
        <v>2.47839E-3</v>
      </c>
      <c r="H97" s="18"/>
      <c r="J97" s="15"/>
    </row>
    <row r="98" spans="1:10" x14ac:dyDescent="0.2">
      <c r="A98" s="68"/>
      <c r="B98" s="68"/>
      <c r="C98" s="48" t="s">
        <v>11</v>
      </c>
      <c r="D98" s="68"/>
      <c r="E98" s="68" t="s">
        <v>12</v>
      </c>
      <c r="F98" s="74">
        <f>SUM(F97)</f>
        <v>109.21722119899999</v>
      </c>
      <c r="G98" s="75">
        <f>SUM(G97)</f>
        <v>2.47839E-3</v>
      </c>
      <c r="H98" s="18" t="s">
        <v>12</v>
      </c>
      <c r="J98" s="15"/>
    </row>
    <row r="99" spans="1:10" x14ac:dyDescent="0.2">
      <c r="A99" s="16"/>
      <c r="B99" s="16"/>
      <c r="C99" s="21"/>
      <c r="D99" s="16"/>
      <c r="E99" s="16"/>
      <c r="F99" s="22"/>
      <c r="G99" s="22"/>
      <c r="H99" s="18" t="s">
        <v>12</v>
      </c>
    </row>
    <row r="100" spans="1:10" x14ac:dyDescent="0.2">
      <c r="A100" s="16"/>
      <c r="B100" s="16"/>
      <c r="C100" s="17" t="s">
        <v>97</v>
      </c>
      <c r="D100" s="16"/>
      <c r="E100" s="16"/>
      <c r="F100" s="16"/>
      <c r="G100" s="16"/>
      <c r="H100" s="18" t="s">
        <v>12</v>
      </c>
    </row>
    <row r="101" spans="1:10" x14ac:dyDescent="0.2">
      <c r="A101" s="16"/>
      <c r="B101" s="16"/>
      <c r="C101" s="17" t="s">
        <v>98</v>
      </c>
      <c r="D101" s="16"/>
      <c r="E101" s="16"/>
      <c r="F101" s="16"/>
      <c r="G101" s="16"/>
      <c r="H101" s="18" t="s">
        <v>12</v>
      </c>
    </row>
    <row r="102" spans="1:10" x14ac:dyDescent="0.2">
      <c r="A102" s="16"/>
      <c r="B102" s="16"/>
      <c r="C102" s="17" t="s">
        <v>11</v>
      </c>
      <c r="D102" s="16"/>
      <c r="E102" s="16" t="s">
        <v>12</v>
      </c>
      <c r="F102" s="19" t="s">
        <v>13</v>
      </c>
      <c r="G102" s="20">
        <v>0</v>
      </c>
      <c r="H102" s="18" t="s">
        <v>12</v>
      </c>
    </row>
    <row r="103" spans="1:10" x14ac:dyDescent="0.2">
      <c r="A103" s="16"/>
      <c r="B103" s="16"/>
      <c r="C103" s="21"/>
      <c r="D103" s="16"/>
      <c r="E103" s="16"/>
      <c r="F103" s="22"/>
      <c r="G103" s="22"/>
      <c r="H103" s="18" t="s">
        <v>12</v>
      </c>
    </row>
    <row r="104" spans="1:10" x14ac:dyDescent="0.2">
      <c r="A104" s="16"/>
      <c r="B104" s="16"/>
      <c r="C104" s="17" t="s">
        <v>99</v>
      </c>
      <c r="D104" s="16"/>
      <c r="E104" s="16"/>
      <c r="F104" s="22"/>
      <c r="G104" s="22"/>
      <c r="H104" s="18" t="s">
        <v>12</v>
      </c>
    </row>
    <row r="105" spans="1:10" x14ac:dyDescent="0.2">
      <c r="A105" s="16"/>
      <c r="B105" s="16"/>
      <c r="C105" s="17" t="s">
        <v>11</v>
      </c>
      <c r="D105" s="16"/>
      <c r="E105" s="16" t="s">
        <v>12</v>
      </c>
      <c r="F105" s="19" t="s">
        <v>13</v>
      </c>
      <c r="G105" s="20">
        <v>0</v>
      </c>
      <c r="H105" s="18" t="s">
        <v>12</v>
      </c>
    </row>
    <row r="106" spans="1:10" x14ac:dyDescent="0.2">
      <c r="A106" s="16"/>
      <c r="B106" s="16"/>
      <c r="C106" s="21"/>
      <c r="D106" s="16"/>
      <c r="E106" s="16"/>
      <c r="F106" s="22"/>
      <c r="G106" s="22"/>
      <c r="H106" s="18" t="s">
        <v>12</v>
      </c>
    </row>
    <row r="107" spans="1:10" x14ac:dyDescent="0.2">
      <c r="A107" s="29"/>
      <c r="B107" s="25"/>
      <c r="C107" s="25" t="s">
        <v>100</v>
      </c>
      <c r="D107" s="25"/>
      <c r="E107" s="29"/>
      <c r="F107" s="27">
        <f>252.72700577+0.0000246619987487793</f>
        <v>252.72703043199874</v>
      </c>
      <c r="G107" s="28">
        <v>5.7349599999999999E-3</v>
      </c>
      <c r="H107" s="18" t="s">
        <v>12</v>
      </c>
    </row>
    <row r="108" spans="1:10" x14ac:dyDescent="0.2">
      <c r="A108" s="21"/>
      <c r="B108" s="21"/>
      <c r="C108" s="17" t="s">
        <v>101</v>
      </c>
      <c r="D108" s="22"/>
      <c r="E108" s="22"/>
      <c r="F108" s="23">
        <f>44067.791445558+0.0000246619987487793</f>
        <v>44067.79147022</v>
      </c>
      <c r="G108" s="30">
        <v>1.0000000099999999</v>
      </c>
      <c r="H108" s="18" t="s">
        <v>12</v>
      </c>
    </row>
    <row r="109" spans="1:10" x14ac:dyDescent="0.2">
      <c r="A109" s="31"/>
      <c r="B109" s="31"/>
      <c r="C109" s="31"/>
      <c r="D109" s="32"/>
      <c r="E109" s="32"/>
      <c r="F109" s="32"/>
      <c r="G109" s="32"/>
    </row>
    <row r="110" spans="1:10" x14ac:dyDescent="0.2">
      <c r="A110" s="33"/>
      <c r="B110" s="126" t="s">
        <v>602</v>
      </c>
      <c r="C110" s="126"/>
      <c r="D110" s="126"/>
      <c r="E110" s="126"/>
      <c r="F110" s="126"/>
      <c r="G110" s="126"/>
      <c r="H110" s="126"/>
      <c r="J110" s="15"/>
    </row>
    <row r="111" spans="1:10" x14ac:dyDescent="0.2">
      <c r="A111" s="33"/>
      <c r="B111" s="126" t="s">
        <v>603</v>
      </c>
      <c r="C111" s="126"/>
      <c r="D111" s="126"/>
      <c r="E111" s="126"/>
      <c r="F111" s="126"/>
      <c r="G111" s="126"/>
      <c r="H111" s="126"/>
      <c r="J111" s="15"/>
    </row>
    <row r="112" spans="1:10" x14ac:dyDescent="0.2">
      <c r="A112" s="33"/>
      <c r="B112" s="126" t="s">
        <v>604</v>
      </c>
      <c r="C112" s="126"/>
      <c r="D112" s="126"/>
      <c r="E112" s="126"/>
      <c r="F112" s="126"/>
      <c r="G112" s="126"/>
      <c r="H112" s="126"/>
      <c r="J112" s="15"/>
    </row>
    <row r="113" spans="1:10" x14ac:dyDescent="0.2">
      <c r="A113" s="35"/>
      <c r="B113" s="35"/>
      <c r="C113" s="35"/>
      <c r="D113" s="36"/>
      <c r="E113" s="36"/>
      <c r="F113" s="36"/>
      <c r="G113" s="36"/>
    </row>
    <row r="114" spans="1:10" x14ac:dyDescent="0.2">
      <c r="A114" s="35"/>
      <c r="B114" s="129" t="s">
        <v>102</v>
      </c>
      <c r="C114" s="130"/>
      <c r="D114" s="131"/>
      <c r="E114" s="37"/>
      <c r="F114" s="36"/>
      <c r="G114" s="36"/>
    </row>
    <row r="115" spans="1:10" ht="25.5" x14ac:dyDescent="0.2">
      <c r="A115" s="35"/>
      <c r="B115" s="132" t="s">
        <v>103</v>
      </c>
      <c r="C115" s="133"/>
      <c r="D115" s="48" t="s">
        <v>620</v>
      </c>
      <c r="E115" s="37"/>
      <c r="F115" s="36"/>
      <c r="G115" s="36"/>
    </row>
    <row r="116" spans="1:10" x14ac:dyDescent="0.2">
      <c r="A116" s="35"/>
      <c r="B116" s="132" t="s">
        <v>105</v>
      </c>
      <c r="C116" s="133"/>
      <c r="D116" s="17" t="s">
        <v>104</v>
      </c>
      <c r="E116" s="37"/>
      <c r="F116" s="36"/>
      <c r="G116" s="36"/>
    </row>
    <row r="117" spans="1:10" x14ac:dyDescent="0.2">
      <c r="A117" s="35"/>
      <c r="B117" s="132" t="s">
        <v>106</v>
      </c>
      <c r="C117" s="133"/>
      <c r="D117" s="22" t="s">
        <v>12</v>
      </c>
      <c r="E117" s="37"/>
      <c r="F117" s="36"/>
      <c r="G117" s="36"/>
    </row>
    <row r="118" spans="1:10" x14ac:dyDescent="0.2">
      <c r="A118" s="38"/>
      <c r="B118" s="39" t="s">
        <v>12</v>
      </c>
      <c r="C118" s="39" t="s">
        <v>605</v>
      </c>
      <c r="D118" s="39" t="s">
        <v>107</v>
      </c>
      <c r="E118" s="38"/>
      <c r="F118" s="38"/>
      <c r="G118" s="38"/>
      <c r="H118" s="40"/>
      <c r="J118" s="15"/>
    </row>
    <row r="119" spans="1:10" x14ac:dyDescent="0.2">
      <c r="A119" s="41"/>
      <c r="B119" s="42" t="s">
        <v>108</v>
      </c>
      <c r="C119" s="43">
        <v>45611</v>
      </c>
      <c r="D119" s="43">
        <v>45626</v>
      </c>
      <c r="E119" s="41"/>
      <c r="F119" s="41"/>
      <c r="G119" s="41"/>
    </row>
    <row r="120" spans="1:10" x14ac:dyDescent="0.2">
      <c r="A120" s="41"/>
      <c r="B120" s="25" t="s">
        <v>109</v>
      </c>
      <c r="C120" s="44">
        <v>3529.3856999999998</v>
      </c>
      <c r="D120" s="44">
        <v>3539.3751000000002</v>
      </c>
      <c r="E120" s="41"/>
      <c r="F120" s="45"/>
      <c r="G120" s="46"/>
    </row>
    <row r="121" spans="1:10" ht="25.5" x14ac:dyDescent="0.2">
      <c r="A121" s="41"/>
      <c r="B121" s="25" t="s">
        <v>714</v>
      </c>
      <c r="C121" s="44">
        <v>1095.1405999999999</v>
      </c>
      <c r="D121" s="44">
        <v>1098.2402</v>
      </c>
      <c r="E121" s="41"/>
      <c r="F121" s="45"/>
      <c r="G121" s="46"/>
    </row>
    <row r="122" spans="1:10" ht="25.5" x14ac:dyDescent="0.2">
      <c r="A122" s="41"/>
      <c r="B122" s="25" t="s">
        <v>715</v>
      </c>
      <c r="C122" s="44">
        <v>1228.1692</v>
      </c>
      <c r="D122" s="44">
        <v>1231.6452999999999</v>
      </c>
      <c r="E122" s="41"/>
      <c r="F122" s="45"/>
      <c r="G122" s="46"/>
    </row>
    <row r="123" spans="1:10" x14ac:dyDescent="0.2">
      <c r="A123" s="41"/>
      <c r="B123" s="25" t="s">
        <v>110</v>
      </c>
      <c r="C123" s="44">
        <v>3307.5313000000001</v>
      </c>
      <c r="D123" s="44">
        <v>3315.8845999999999</v>
      </c>
      <c r="E123" s="41"/>
      <c r="F123" s="45"/>
      <c r="G123" s="46"/>
    </row>
    <row r="124" spans="1:10" x14ac:dyDescent="0.2">
      <c r="A124" s="41"/>
      <c r="B124" s="25" t="s">
        <v>135</v>
      </c>
      <c r="C124" s="44">
        <v>1280.9160999999999</v>
      </c>
      <c r="D124" s="44">
        <v>1284.1510000000001</v>
      </c>
      <c r="E124" s="41"/>
      <c r="F124" s="45"/>
      <c r="G124" s="46"/>
    </row>
    <row r="125" spans="1:10" ht="25.5" x14ac:dyDescent="0.2">
      <c r="A125" s="41"/>
      <c r="B125" s="25" t="s">
        <v>718</v>
      </c>
      <c r="C125" s="44">
        <v>1085.4173000000001</v>
      </c>
      <c r="D125" s="44">
        <v>1088.1584</v>
      </c>
      <c r="E125" s="41"/>
      <c r="F125" s="45"/>
      <c r="G125" s="46"/>
    </row>
    <row r="126" spans="1:10" ht="25.5" x14ac:dyDescent="0.2">
      <c r="A126" s="41"/>
      <c r="B126" s="25" t="s">
        <v>665</v>
      </c>
      <c r="C126" s="44">
        <v>1190.2983999999999</v>
      </c>
      <c r="D126" s="44">
        <v>1193.3044</v>
      </c>
      <c r="E126" s="41"/>
      <c r="F126" s="45"/>
      <c r="G126" s="46"/>
    </row>
    <row r="127" spans="1:10" x14ac:dyDescent="0.2">
      <c r="A127" s="41"/>
      <c r="B127" s="41"/>
      <c r="C127" s="41"/>
      <c r="D127" s="41"/>
      <c r="E127" s="41"/>
      <c r="F127" s="41"/>
      <c r="G127" s="41"/>
    </row>
    <row r="128" spans="1:10" x14ac:dyDescent="0.2">
      <c r="A128" s="41"/>
      <c r="B128" s="132" t="s">
        <v>721</v>
      </c>
      <c r="C128" s="133"/>
      <c r="D128" s="48" t="s">
        <v>104</v>
      </c>
      <c r="E128" s="41"/>
      <c r="F128" s="41"/>
      <c r="G128" s="41"/>
    </row>
    <row r="129" spans="1:17" x14ac:dyDescent="0.2">
      <c r="A129" s="41"/>
      <c r="B129" s="49"/>
      <c r="C129" s="49"/>
      <c r="D129" s="49"/>
      <c r="E129" s="41"/>
      <c r="F129" s="41"/>
      <c r="G129" s="41"/>
    </row>
    <row r="130" spans="1:17" s="52" customFormat="1" x14ac:dyDescent="0.2">
      <c r="A130" s="87"/>
      <c r="B130" s="134" t="s">
        <v>616</v>
      </c>
      <c r="C130" s="135"/>
      <c r="D130" s="48" t="s">
        <v>104</v>
      </c>
      <c r="G130" s="87"/>
      <c r="I130"/>
      <c r="J130" s="15"/>
      <c r="K130" s="51"/>
      <c r="L130" s="51"/>
      <c r="M130" s="51"/>
      <c r="N130" s="51"/>
      <c r="O130" s="53"/>
    </row>
    <row r="131" spans="1:17" ht="25.5" customHeight="1" x14ac:dyDescent="0.2">
      <c r="A131" s="38"/>
      <c r="B131" s="134" t="s">
        <v>617</v>
      </c>
      <c r="C131" s="135"/>
      <c r="D131" s="48" t="s">
        <v>104</v>
      </c>
      <c r="E131" s="50"/>
      <c r="F131" s="38"/>
      <c r="G131" s="38"/>
      <c r="J131" s="15"/>
    </row>
    <row r="132" spans="1:17" ht="26.25" customHeight="1" x14ac:dyDescent="0.2">
      <c r="A132" s="38"/>
      <c r="B132" s="134" t="s">
        <v>618</v>
      </c>
      <c r="C132" s="135"/>
      <c r="D132" s="48" t="s">
        <v>104</v>
      </c>
      <c r="E132" s="50"/>
      <c r="F132" s="38"/>
      <c r="G132" s="38"/>
      <c r="J132" s="15"/>
    </row>
    <row r="133" spans="1:17" x14ac:dyDescent="0.2">
      <c r="A133" s="38"/>
      <c r="B133" s="134" t="s">
        <v>619</v>
      </c>
      <c r="C133" s="135"/>
      <c r="D133" s="48" t="s">
        <v>104</v>
      </c>
      <c r="E133" s="50"/>
      <c r="F133" s="38"/>
      <c r="G133" s="38"/>
      <c r="J133" s="15"/>
    </row>
    <row r="134" spans="1:17" x14ac:dyDescent="0.2">
      <c r="A134" s="38"/>
      <c r="B134" s="34"/>
      <c r="C134" s="34"/>
      <c r="D134" s="121"/>
      <c r="E134" s="38"/>
      <c r="F134" s="38"/>
      <c r="G134" s="38"/>
      <c r="J134" s="15"/>
    </row>
    <row r="135" spans="1:17" s="52" customFormat="1" x14ac:dyDescent="0.2">
      <c r="B135" s="136" t="s">
        <v>608</v>
      </c>
      <c r="C135" s="137"/>
      <c r="D135" s="138"/>
      <c r="I135"/>
      <c r="J135" s="15"/>
      <c r="K135" s="51"/>
      <c r="L135" s="51"/>
      <c r="M135" s="51"/>
      <c r="N135" s="51"/>
      <c r="O135" s="53"/>
    </row>
    <row r="136" spans="1:17" s="52" customFormat="1" ht="51" x14ac:dyDescent="0.2">
      <c r="B136" s="127" t="s">
        <v>609</v>
      </c>
      <c r="C136" s="127"/>
      <c r="D136" s="54" t="s">
        <v>210</v>
      </c>
      <c r="I136"/>
      <c r="J136" s="15"/>
      <c r="K136" s="51"/>
      <c r="L136" s="51"/>
      <c r="M136" s="51"/>
      <c r="N136" s="51"/>
      <c r="O136" s="53"/>
    </row>
    <row r="137" spans="1:17" s="52" customFormat="1" x14ac:dyDescent="0.2">
      <c r="B137" s="128" t="s">
        <v>610</v>
      </c>
      <c r="C137" s="128"/>
      <c r="D137" s="55"/>
      <c r="I137"/>
      <c r="J137" s="15"/>
      <c r="K137" s="51"/>
      <c r="L137" s="51"/>
      <c r="M137" s="51"/>
      <c r="N137" s="51"/>
      <c r="O137" s="53"/>
    </row>
    <row r="138" spans="1:17" s="52" customFormat="1" x14ac:dyDescent="0.2">
      <c r="B138" s="128"/>
      <c r="C138" s="128"/>
      <c r="D138" s="56"/>
      <c r="I138"/>
      <c r="J138" s="15"/>
      <c r="K138" s="51"/>
      <c r="L138" s="51"/>
      <c r="M138" s="51"/>
      <c r="N138" s="51"/>
      <c r="O138" s="53"/>
    </row>
    <row r="139" spans="1:17" s="52" customFormat="1" x14ac:dyDescent="0.2">
      <c r="B139" s="128" t="s">
        <v>611</v>
      </c>
      <c r="C139" s="128"/>
      <c r="D139" s="57">
        <v>7.592542299995749</v>
      </c>
      <c r="I139"/>
      <c r="J139" s="15"/>
      <c r="K139" s="51"/>
      <c r="L139" s="51"/>
      <c r="M139" s="51"/>
      <c r="N139" s="51"/>
      <c r="O139" s="53"/>
    </row>
    <row r="140" spans="1:17" s="52" customFormat="1" x14ac:dyDescent="0.2">
      <c r="B140" s="128"/>
      <c r="C140" s="128"/>
      <c r="D140" s="56"/>
      <c r="I140"/>
      <c r="J140" s="15"/>
      <c r="K140" s="51"/>
      <c r="L140" s="51"/>
      <c r="M140" s="51"/>
      <c r="N140" s="51"/>
      <c r="O140" s="53"/>
      <c r="P140"/>
      <c r="Q140"/>
    </row>
    <row r="141" spans="1:17" s="52" customFormat="1" x14ac:dyDescent="0.2">
      <c r="B141" s="128" t="s">
        <v>612</v>
      </c>
      <c r="C141" s="128"/>
      <c r="D141" s="57">
        <v>0.81997487101372846</v>
      </c>
      <c r="I141"/>
      <c r="J141" s="15"/>
      <c r="K141" s="51"/>
      <c r="L141" s="51"/>
      <c r="M141" s="51"/>
      <c r="N141" s="51"/>
      <c r="O141" s="53"/>
      <c r="P141"/>
      <c r="Q141"/>
    </row>
    <row r="142" spans="1:17" s="52" customFormat="1" x14ac:dyDescent="0.2">
      <c r="B142" s="128" t="s">
        <v>621</v>
      </c>
      <c r="C142" s="128"/>
      <c r="D142" s="57">
        <v>0.98069452183763173</v>
      </c>
      <c r="I142"/>
      <c r="J142" s="15"/>
      <c r="K142" s="51"/>
      <c r="L142" s="51"/>
      <c r="M142" s="51"/>
      <c r="N142" s="51"/>
      <c r="O142"/>
      <c r="P142"/>
      <c r="Q142"/>
    </row>
    <row r="143" spans="1:17" s="52" customFormat="1" x14ac:dyDescent="0.2">
      <c r="B143" s="128"/>
      <c r="C143" s="128"/>
      <c r="D143" s="56"/>
      <c r="I143"/>
      <c r="J143" s="15"/>
      <c r="K143" s="51"/>
      <c r="L143" s="51"/>
      <c r="M143" s="51"/>
      <c r="N143" s="51"/>
      <c r="O143"/>
      <c r="P143"/>
      <c r="Q143"/>
    </row>
    <row r="144" spans="1:17" s="52" customFormat="1" x14ac:dyDescent="0.2">
      <c r="B144" s="128" t="s">
        <v>614</v>
      </c>
      <c r="C144" s="128"/>
      <c r="D144" s="59" t="s">
        <v>687</v>
      </c>
      <c r="I144"/>
      <c r="J144" s="15"/>
      <c r="K144" s="51"/>
      <c r="L144" s="51"/>
      <c r="M144" s="51"/>
      <c r="N144" s="51"/>
      <c r="O144" s="53"/>
    </row>
    <row r="145" spans="1:20" s="52" customFormat="1" x14ac:dyDescent="0.2">
      <c r="B145" s="140" t="s">
        <v>615</v>
      </c>
      <c r="C145" s="142"/>
      <c r="D145" s="141"/>
      <c r="I145"/>
      <c r="J145" s="15"/>
      <c r="K145" s="51"/>
      <c r="L145" s="51"/>
      <c r="M145" s="51"/>
      <c r="N145" s="51"/>
      <c r="O145"/>
      <c r="P145"/>
      <c r="Q145"/>
      <c r="R145"/>
      <c r="S145"/>
      <c r="T145"/>
    </row>
    <row r="146" spans="1:20" x14ac:dyDescent="0.2">
      <c r="A146" s="49"/>
      <c r="B146" s="49"/>
      <c r="C146" s="49"/>
      <c r="D146" s="49"/>
      <c r="E146" s="49"/>
      <c r="F146" s="49"/>
      <c r="G146" s="49"/>
      <c r="J146" s="15"/>
    </row>
    <row r="147" spans="1:20" s="52" customFormat="1" x14ac:dyDescent="0.2">
      <c r="B147" s="104" t="s">
        <v>688</v>
      </c>
      <c r="C147" s="104"/>
      <c r="D147" s="104"/>
      <c r="E147" s="104"/>
      <c r="F147" s="104"/>
      <c r="G147" s="104"/>
      <c r="H147" s="104"/>
      <c r="I147"/>
      <c r="J147" s="15"/>
      <c r="K147" s="51"/>
      <c r="L147" s="51"/>
      <c r="M147" s="51"/>
      <c r="N147" s="51"/>
      <c r="O147" s="53"/>
    </row>
    <row r="148" spans="1:20" s="52" customFormat="1" x14ac:dyDescent="0.2">
      <c r="B148" s="105"/>
      <c r="C148" s="105"/>
      <c r="D148" s="105"/>
      <c r="E148" s="105"/>
      <c r="F148" s="105"/>
      <c r="G148" s="105"/>
      <c r="H148" s="105"/>
      <c r="I148"/>
      <c r="J148" s="15"/>
      <c r="K148" s="51"/>
      <c r="L148" s="51"/>
      <c r="M148" s="51"/>
      <c r="N148" s="51"/>
      <c r="O148" s="53"/>
    </row>
    <row r="149" spans="1:20" s="52" customFormat="1" ht="76.5" x14ac:dyDescent="0.2">
      <c r="A149" s="122"/>
      <c r="B149" s="107" t="s">
        <v>622</v>
      </c>
      <c r="C149" s="107" t="s">
        <v>623</v>
      </c>
      <c r="D149" s="107" t="s">
        <v>624</v>
      </c>
      <c r="E149" s="107" t="s">
        <v>625</v>
      </c>
      <c r="F149" s="107" t="s">
        <v>626</v>
      </c>
      <c r="G149" s="105"/>
      <c r="H149" s="105"/>
      <c r="I149"/>
      <c r="J149" s="15"/>
      <c r="K149" s="51"/>
      <c r="L149" s="51"/>
      <c r="M149" s="51"/>
      <c r="N149" s="51"/>
      <c r="O149" s="53"/>
    </row>
    <row r="150" spans="1:20" s="52" customFormat="1" x14ac:dyDescent="0.2">
      <c r="A150" s="123"/>
      <c r="B150" s="108" t="s">
        <v>627</v>
      </c>
      <c r="C150" s="108" t="s">
        <v>628</v>
      </c>
      <c r="D150" s="8">
        <v>0</v>
      </c>
      <c r="E150" s="9">
        <v>0</v>
      </c>
      <c r="F150" s="109">
        <v>300</v>
      </c>
      <c r="G150" s="105"/>
      <c r="H150" s="105"/>
      <c r="I150"/>
      <c r="J150" s="15"/>
      <c r="K150" s="51"/>
      <c r="L150" s="51"/>
      <c r="M150" s="51"/>
      <c r="N150" s="51"/>
      <c r="O150" s="53"/>
    </row>
    <row r="151" spans="1:20" s="52" customFormat="1" x14ac:dyDescent="0.2">
      <c r="A151" s="124"/>
      <c r="B151" s="124"/>
      <c r="C151" s="124"/>
      <c r="D151" s="124"/>
      <c r="E151" s="124"/>
      <c r="F151" s="124"/>
      <c r="G151" s="124"/>
      <c r="I151"/>
      <c r="J151" s="15"/>
      <c r="K151" s="51"/>
      <c r="L151" s="51"/>
      <c r="M151" s="51"/>
      <c r="N151" s="51"/>
      <c r="O151" s="53"/>
    </row>
    <row r="152" spans="1:20" ht="13.5" x14ac:dyDescent="0.25">
      <c r="B152" s="77" t="s">
        <v>629</v>
      </c>
      <c r="C152" s="77" t="s">
        <v>630</v>
      </c>
      <c r="D152" s="147" t="s">
        <v>624</v>
      </c>
      <c r="E152" s="147"/>
      <c r="F152" s="147"/>
      <c r="G152" s="148" t="s">
        <v>625</v>
      </c>
      <c r="H152" s="148"/>
      <c r="J152" s="15"/>
      <c r="K152" s="51"/>
      <c r="L152" s="51"/>
      <c r="M152" s="51"/>
      <c r="N152" s="51"/>
      <c r="P152" s="51"/>
    </row>
    <row r="153" spans="1:20" ht="27" x14ac:dyDescent="0.25">
      <c r="B153" s="80" t="s">
        <v>631</v>
      </c>
      <c r="C153" s="79" t="s">
        <v>632</v>
      </c>
      <c r="D153" s="149">
        <v>0</v>
      </c>
      <c r="E153" s="149"/>
      <c r="F153" s="149"/>
      <c r="G153" s="149">
        <v>0</v>
      </c>
      <c r="H153" s="149"/>
      <c r="J153" s="15"/>
      <c r="K153" s="51"/>
      <c r="L153" s="51"/>
      <c r="M153" s="51"/>
      <c r="N153" s="51"/>
      <c r="P153" s="51"/>
    </row>
    <row r="154" spans="1:20" ht="27" x14ac:dyDescent="0.25">
      <c r="B154" s="80" t="s">
        <v>633</v>
      </c>
      <c r="C154" s="79" t="s">
        <v>634</v>
      </c>
      <c r="D154" s="149">
        <v>0</v>
      </c>
      <c r="E154" s="149"/>
      <c r="F154" s="149"/>
      <c r="G154" s="149">
        <v>0</v>
      </c>
      <c r="H154" s="149"/>
      <c r="J154" s="15"/>
      <c r="K154" s="51"/>
      <c r="L154" s="51"/>
      <c r="M154" s="51"/>
      <c r="N154" s="51"/>
      <c r="P154" s="51"/>
    </row>
    <row r="155" spans="1:20" ht="27" x14ac:dyDescent="0.25">
      <c r="B155" s="80" t="s">
        <v>635</v>
      </c>
      <c r="C155" s="79" t="s">
        <v>636</v>
      </c>
      <c r="D155" s="149">
        <v>0</v>
      </c>
      <c r="E155" s="149"/>
      <c r="F155" s="149"/>
      <c r="G155" s="149">
        <v>0</v>
      </c>
      <c r="H155" s="149"/>
      <c r="J155" s="15"/>
      <c r="K155" s="51"/>
      <c r="L155" s="51"/>
      <c r="M155" s="51"/>
      <c r="N155" s="51"/>
      <c r="P155" s="51"/>
    </row>
    <row r="156" spans="1:20" ht="13.5" x14ac:dyDescent="0.25">
      <c r="B156" s="80"/>
      <c r="C156" s="80"/>
      <c r="D156" s="150"/>
      <c r="E156" s="150"/>
      <c r="F156" s="150"/>
      <c r="G156" s="150"/>
      <c r="H156" s="150"/>
      <c r="J156" s="15"/>
      <c r="K156" s="51"/>
      <c r="L156" s="51"/>
      <c r="M156" s="51"/>
      <c r="N156" s="51"/>
      <c r="P156" s="51"/>
    </row>
    <row r="157" spans="1:20" ht="13.5" x14ac:dyDescent="0.25">
      <c r="B157" s="148" t="s">
        <v>637</v>
      </c>
      <c r="C157" s="148"/>
      <c r="D157" s="148"/>
      <c r="E157" s="148"/>
      <c r="F157" s="148"/>
      <c r="G157" s="148"/>
      <c r="H157" s="148"/>
      <c r="J157" s="15"/>
      <c r="K157" s="51"/>
      <c r="L157" s="51"/>
      <c r="M157" s="51"/>
      <c r="N157" s="51"/>
      <c r="P157" s="51"/>
    </row>
    <row r="158" spans="1:20" ht="13.5" customHeight="1" x14ac:dyDescent="0.2">
      <c r="B158" s="153" t="s">
        <v>629</v>
      </c>
      <c r="C158" s="153" t="s">
        <v>630</v>
      </c>
      <c r="D158" s="153" t="s">
        <v>638</v>
      </c>
      <c r="E158" s="153"/>
      <c r="F158" s="153"/>
      <c r="G158" s="153"/>
      <c r="H158" s="154" t="s">
        <v>639</v>
      </c>
      <c r="I158" s="154" t="s">
        <v>640</v>
      </c>
      <c r="J158" s="151" t="s">
        <v>641</v>
      </c>
      <c r="K158" s="51"/>
      <c r="L158" s="51"/>
      <c r="M158" s="51"/>
      <c r="N158" s="51"/>
      <c r="O158" s="51"/>
      <c r="P158" s="51"/>
    </row>
    <row r="159" spans="1:20" ht="94.5" customHeight="1" x14ac:dyDescent="0.2">
      <c r="B159" s="153"/>
      <c r="C159" s="153"/>
      <c r="D159" s="81" t="s">
        <v>642</v>
      </c>
      <c r="E159" s="81" t="s">
        <v>643</v>
      </c>
      <c r="F159" s="81" t="s">
        <v>644</v>
      </c>
      <c r="G159" s="81" t="s">
        <v>645</v>
      </c>
      <c r="H159" s="154"/>
      <c r="I159" s="154"/>
      <c r="J159" s="152"/>
      <c r="K159" s="51"/>
      <c r="L159" s="51"/>
      <c r="M159" s="51"/>
      <c r="N159" s="51"/>
      <c r="O159" s="51"/>
      <c r="P159" s="51"/>
    </row>
    <row r="160" spans="1:20" ht="27" x14ac:dyDescent="0.25">
      <c r="B160" s="80" t="s">
        <v>631</v>
      </c>
      <c r="C160" s="79" t="s">
        <v>632</v>
      </c>
      <c r="D160" s="82">
        <v>1500</v>
      </c>
      <c r="E160" s="82">
        <v>99.850684900000005</v>
      </c>
      <c r="F160" s="113">
        <v>36.275342200000004</v>
      </c>
      <c r="G160" s="114">
        <v>1636.1260271000001</v>
      </c>
      <c r="H160" s="10">
        <v>726.67232000000001</v>
      </c>
      <c r="I160" s="10">
        <f>1250521/10^5</f>
        <v>12.50521</v>
      </c>
      <c r="J160" s="10">
        <f>H160+I160</f>
        <v>739.17753000000005</v>
      </c>
      <c r="K160" s="51"/>
      <c r="L160" s="51"/>
      <c r="M160" s="51"/>
      <c r="N160" s="51"/>
      <c r="O160" s="51"/>
      <c r="P160" s="51"/>
    </row>
    <row r="161" spans="2:16" ht="27" x14ac:dyDescent="0.25">
      <c r="B161" s="80" t="s">
        <v>633</v>
      </c>
      <c r="C161" s="79" t="s">
        <v>634</v>
      </c>
      <c r="D161" s="82">
        <v>2517.2199999999998</v>
      </c>
      <c r="E161" s="82">
        <v>183.25361600000002</v>
      </c>
      <c r="F161" s="113">
        <v>45.813405699999997</v>
      </c>
      <c r="G161" s="114">
        <v>2746.2870217</v>
      </c>
      <c r="H161" s="10">
        <v>1225.53333</v>
      </c>
      <c r="I161" s="10">
        <f>2109013/10^5</f>
        <v>21.090129999999998</v>
      </c>
      <c r="J161" s="10">
        <f>H161+I161</f>
        <v>1246.62346</v>
      </c>
      <c r="K161" s="51"/>
      <c r="L161" s="51"/>
      <c r="M161" s="51"/>
      <c r="N161" s="51"/>
      <c r="O161" s="51"/>
      <c r="P161" s="51"/>
    </row>
    <row r="162" spans="2:16" ht="27" x14ac:dyDescent="0.25">
      <c r="B162" s="80" t="s">
        <v>635</v>
      </c>
      <c r="C162" s="79" t="s">
        <v>636</v>
      </c>
      <c r="D162" s="82">
        <v>4882.25</v>
      </c>
      <c r="E162" s="82">
        <v>323.21163799999999</v>
      </c>
      <c r="F162" s="113">
        <v>117.42144879999999</v>
      </c>
      <c r="G162" s="114">
        <v>5322.8830868000005</v>
      </c>
      <c r="H162" s="10">
        <v>2364.0489899999998</v>
      </c>
      <c r="I162" s="10">
        <f>4068280/10^5</f>
        <v>40.6828</v>
      </c>
      <c r="J162" s="10">
        <f>H162+I162</f>
        <v>2404.7317899999998</v>
      </c>
      <c r="K162" s="51"/>
      <c r="L162" s="51"/>
      <c r="M162" s="51"/>
      <c r="N162" s="51"/>
      <c r="O162" s="51"/>
      <c r="P162" s="51"/>
    </row>
    <row r="163" spans="2:16" x14ac:dyDescent="0.2">
      <c r="I163" s="51"/>
      <c r="J163" s="15"/>
      <c r="K163" s="51"/>
      <c r="L163" s="51"/>
      <c r="M163" s="51"/>
      <c r="N163" s="51"/>
      <c r="O163" s="51"/>
      <c r="P163" s="51"/>
    </row>
    <row r="164" spans="2:16" x14ac:dyDescent="0.2">
      <c r="I164" s="51"/>
      <c r="J164" s="15"/>
      <c r="K164" s="51"/>
      <c r="L164" s="51"/>
      <c r="M164" s="51"/>
      <c r="N164" s="51"/>
      <c r="O164" s="51"/>
      <c r="P164" s="51"/>
    </row>
    <row r="165" spans="2:16" ht="13.5" x14ac:dyDescent="0.25">
      <c r="B165" s="85" t="s">
        <v>646</v>
      </c>
      <c r="I165" s="51"/>
      <c r="J165" s="15"/>
      <c r="K165" s="51"/>
      <c r="L165" s="51"/>
      <c r="M165" s="51"/>
      <c r="N165" s="51"/>
      <c r="O165" s="51"/>
      <c r="P165" s="51"/>
    </row>
    <row r="166" spans="2:16" x14ac:dyDescent="0.2">
      <c r="B166" s="51"/>
      <c r="C166" s="51"/>
      <c r="D166" s="51"/>
      <c r="E166" s="51"/>
      <c r="F166" s="51"/>
      <c r="G166" s="51"/>
      <c r="H166" s="51"/>
      <c r="I166" s="51"/>
      <c r="J166" s="15"/>
      <c r="K166" s="51"/>
      <c r="L166" s="51"/>
      <c r="M166" s="51"/>
      <c r="N166" s="51"/>
      <c r="O166" s="51"/>
      <c r="P166" s="51"/>
    </row>
    <row r="167" spans="2:16" x14ac:dyDescent="0.2">
      <c r="B167" s="86" t="s">
        <v>647</v>
      </c>
      <c r="C167" s="51"/>
      <c r="D167" s="51"/>
      <c r="E167" s="51"/>
      <c r="F167" s="51"/>
      <c r="G167" s="51"/>
      <c r="H167" s="51"/>
      <c r="I167" s="51"/>
      <c r="J167" s="15"/>
      <c r="K167" s="51"/>
      <c r="L167" s="51"/>
      <c r="M167" s="51"/>
      <c r="N167" s="51"/>
      <c r="O167" s="51"/>
      <c r="P167" s="51"/>
    </row>
    <row r="168" spans="2:16" x14ac:dyDescent="0.2">
      <c r="B168" s="51"/>
      <c r="C168" s="51"/>
      <c r="D168" s="51"/>
      <c r="E168" s="51"/>
      <c r="F168" s="51"/>
      <c r="G168" s="51"/>
      <c r="H168" s="51"/>
      <c r="I168" s="51"/>
      <c r="J168" s="15"/>
      <c r="K168" s="51"/>
      <c r="L168" s="51"/>
      <c r="M168" s="51"/>
      <c r="N168" s="51"/>
      <c r="O168" s="51"/>
      <c r="P168" s="51"/>
    </row>
    <row r="169" spans="2:16" x14ac:dyDescent="0.2">
      <c r="B169" s="86" t="s">
        <v>648</v>
      </c>
      <c r="C169" s="51"/>
      <c r="D169" s="51"/>
      <c r="E169" s="51"/>
      <c r="F169" s="51"/>
      <c r="G169" s="51"/>
      <c r="H169" s="51"/>
      <c r="I169" s="51"/>
      <c r="J169" s="15"/>
      <c r="K169" s="51"/>
      <c r="L169" s="51"/>
      <c r="M169" s="51"/>
      <c r="N169" s="51"/>
      <c r="O169" s="51"/>
      <c r="P169" s="51"/>
    </row>
    <row r="170" spans="2:16" x14ac:dyDescent="0.2">
      <c r="J170" s="15"/>
    </row>
    <row r="171" spans="2:16" x14ac:dyDescent="0.2">
      <c r="B171" s="86" t="s">
        <v>649</v>
      </c>
      <c r="J171" s="15"/>
      <c r="K171" s="51"/>
      <c r="L171" s="51"/>
      <c r="M171" s="51"/>
      <c r="N171" s="51"/>
      <c r="O171" s="51"/>
    </row>
    <row r="172" spans="2:16" x14ac:dyDescent="0.2">
      <c r="J172" s="15"/>
    </row>
    <row r="173" spans="2:16" ht="25.5" x14ac:dyDescent="0.2">
      <c r="B173" s="61" t="s">
        <v>691</v>
      </c>
    </row>
    <row r="175" spans="2:16" ht="153.75" customHeight="1" x14ac:dyDescent="0.2"/>
    <row r="178" spans="2:10" x14ac:dyDescent="0.2">
      <c r="B178" s="62" t="s">
        <v>692</v>
      </c>
      <c r="C178" s="63"/>
      <c r="D178" s="62" t="s">
        <v>694</v>
      </c>
    </row>
    <row r="179" spans="2:10" x14ac:dyDescent="0.2">
      <c r="B179" s="62" t="s">
        <v>700</v>
      </c>
      <c r="D179" s="62" t="s">
        <v>701</v>
      </c>
    </row>
    <row r="180" spans="2:10" ht="165" customHeight="1" x14ac:dyDescent="0.2"/>
    <row r="182" spans="2:10" x14ac:dyDescent="0.2">
      <c r="J182" s="15"/>
    </row>
  </sheetData>
  <mergeCells count="43">
    <mergeCell ref="J158:J159"/>
    <mergeCell ref="B158:B159"/>
    <mergeCell ref="C158:C159"/>
    <mergeCell ref="D158:G158"/>
    <mergeCell ref="H158:H159"/>
    <mergeCell ref="I158:I159"/>
    <mergeCell ref="D155:F155"/>
    <mergeCell ref="G155:H155"/>
    <mergeCell ref="D156:F156"/>
    <mergeCell ref="G156:H156"/>
    <mergeCell ref="B157:H157"/>
    <mergeCell ref="G152:H152"/>
    <mergeCell ref="D153:F153"/>
    <mergeCell ref="G153:H153"/>
    <mergeCell ref="D154:F154"/>
    <mergeCell ref="G154:H154"/>
    <mergeCell ref="B142:C142"/>
    <mergeCell ref="B143:C143"/>
    <mergeCell ref="B144:C144"/>
    <mergeCell ref="B145:D145"/>
    <mergeCell ref="D152:F152"/>
    <mergeCell ref="B137:C137"/>
    <mergeCell ref="B138:C138"/>
    <mergeCell ref="B139:C139"/>
    <mergeCell ref="B140:C140"/>
    <mergeCell ref="B141:C141"/>
    <mergeCell ref="A1:H1"/>
    <mergeCell ref="A2:H2"/>
    <mergeCell ref="A3:H3"/>
    <mergeCell ref="B110:H110"/>
    <mergeCell ref="B111:H111"/>
    <mergeCell ref="B112:H112"/>
    <mergeCell ref="B133:C133"/>
    <mergeCell ref="B136:C136"/>
    <mergeCell ref="B114:D114"/>
    <mergeCell ref="B115:C115"/>
    <mergeCell ref="B116:C116"/>
    <mergeCell ref="B117:C117"/>
    <mergeCell ref="B128:C128"/>
    <mergeCell ref="B132:C132"/>
    <mergeCell ref="B130:C130"/>
    <mergeCell ref="B131:C131"/>
    <mergeCell ref="B135:D135"/>
  </mergeCells>
  <hyperlinks>
    <hyperlink ref="I1" location="Index!B2" display="Index" xr:uid="{99C6A6F0-63AE-4CE0-9613-38F9464BBE30}"/>
    <hyperlink ref="B167" r:id="rId1" xr:uid="{48B67C8D-D314-4AE7-A2F9-B3F6F65F6DD1}"/>
    <hyperlink ref="B169" r:id="rId2" xr:uid="{EDD12983-CE71-4526-B2E8-4B93F55F7909}"/>
    <hyperlink ref="B171" r:id="rId3" xr:uid="{54BADAC9-EC50-4368-B7A9-5397CE58BCD5}"/>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1116D-6946-411B-9D3C-AFB1CCEB9212}">
  <sheetPr>
    <outlinePr summaryBelow="0" summaryRight="0"/>
  </sheetPr>
  <dimension ref="A1:R217"/>
  <sheetViews>
    <sheetView showGridLines="0" workbookViewId="0">
      <selection activeCell="B168" sqref="B168"/>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10.42578125" bestFit="1" customWidth="1"/>
    <col min="6" max="6" width="10.140625" bestFit="1" customWidth="1"/>
    <col min="7" max="7" width="14" bestFit="1" customWidth="1"/>
    <col min="8" max="8" width="8.85546875" bestFit="1" customWidth="1"/>
    <col min="9" max="9" width="8" customWidth="1"/>
  </cols>
  <sheetData>
    <row r="1" spans="1:9" ht="15" x14ac:dyDescent="0.2">
      <c r="A1" s="139" t="s">
        <v>0</v>
      </c>
      <c r="B1" s="139"/>
      <c r="C1" s="139"/>
      <c r="D1" s="139"/>
      <c r="E1" s="139"/>
      <c r="F1" s="139"/>
      <c r="G1" s="139"/>
      <c r="H1" s="139"/>
      <c r="I1" s="7" t="s">
        <v>598</v>
      </c>
    </row>
    <row r="2" spans="1:9" ht="15" x14ac:dyDescent="0.2">
      <c r="A2" s="139" t="s">
        <v>262</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601</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263</v>
      </c>
      <c r="C28" s="25" t="s">
        <v>264</v>
      </c>
      <c r="D28" s="25" t="s">
        <v>23</v>
      </c>
      <c r="E28" s="26">
        <v>1000</v>
      </c>
      <c r="F28" s="27">
        <v>9998.0300000000007</v>
      </c>
      <c r="G28" s="28">
        <v>1.5290410000000001E-2</v>
      </c>
      <c r="H28" s="18">
        <v>7.0049999999999999</v>
      </c>
    </row>
    <row r="29" spans="1:8" ht="25.5" x14ac:dyDescent="0.2">
      <c r="A29" s="24">
        <v>2</v>
      </c>
      <c r="B29" s="25" t="s">
        <v>265</v>
      </c>
      <c r="C29" s="25" t="s">
        <v>266</v>
      </c>
      <c r="D29" s="25" t="s">
        <v>23</v>
      </c>
      <c r="E29" s="26">
        <v>1000</v>
      </c>
      <c r="F29" s="27">
        <v>9989.3700000000008</v>
      </c>
      <c r="G29" s="28">
        <v>1.527716E-2</v>
      </c>
      <c r="H29" s="18">
        <v>7.21</v>
      </c>
    </row>
    <row r="30" spans="1:8" ht="25.5" x14ac:dyDescent="0.2">
      <c r="A30" s="24">
        <v>3</v>
      </c>
      <c r="B30" s="25" t="s">
        <v>267</v>
      </c>
      <c r="C30" s="25" t="s">
        <v>268</v>
      </c>
      <c r="D30" s="25" t="s">
        <v>223</v>
      </c>
      <c r="E30" s="26">
        <v>8000</v>
      </c>
      <c r="F30" s="27">
        <v>8006.32</v>
      </c>
      <c r="G30" s="28">
        <v>1.2244400000000001E-2</v>
      </c>
      <c r="H30" s="18">
        <v>7.5149999999999997</v>
      </c>
    </row>
    <row r="31" spans="1:8" x14ac:dyDescent="0.2">
      <c r="A31" s="24">
        <v>4</v>
      </c>
      <c r="B31" s="25" t="s">
        <v>269</v>
      </c>
      <c r="C31" s="25" t="s">
        <v>270</v>
      </c>
      <c r="D31" s="25" t="s">
        <v>23</v>
      </c>
      <c r="E31" s="26">
        <v>750</v>
      </c>
      <c r="F31" s="27">
        <v>7485.21</v>
      </c>
      <c r="G31" s="28">
        <v>1.144745E-2</v>
      </c>
      <c r="H31" s="18">
        <v>7.35</v>
      </c>
    </row>
    <row r="32" spans="1:8" x14ac:dyDescent="0.2">
      <c r="A32" s="24">
        <v>5</v>
      </c>
      <c r="B32" s="25" t="s">
        <v>271</v>
      </c>
      <c r="C32" s="25" t="s">
        <v>272</v>
      </c>
      <c r="D32" s="25" t="s">
        <v>23</v>
      </c>
      <c r="E32" s="26">
        <v>1000</v>
      </c>
      <c r="F32" s="27">
        <v>5002.3599999999997</v>
      </c>
      <c r="G32" s="28">
        <v>7.6503200000000004E-3</v>
      </c>
      <c r="H32" s="18">
        <v>7.53</v>
      </c>
    </row>
    <row r="33" spans="1:8" ht="25.5" x14ac:dyDescent="0.2">
      <c r="A33" s="24">
        <v>6</v>
      </c>
      <c r="B33" s="25" t="s">
        <v>273</v>
      </c>
      <c r="C33" s="25" t="s">
        <v>274</v>
      </c>
      <c r="D33" s="25" t="s">
        <v>36</v>
      </c>
      <c r="E33" s="26">
        <v>500</v>
      </c>
      <c r="F33" s="27">
        <v>4980.79</v>
      </c>
      <c r="G33" s="28">
        <v>7.6173300000000003E-3</v>
      </c>
      <c r="H33" s="18">
        <v>7.2474999999999996</v>
      </c>
    </row>
    <row r="34" spans="1:8" x14ac:dyDescent="0.2">
      <c r="A34" s="16"/>
      <c r="B34" s="16"/>
      <c r="C34" s="17" t="s">
        <v>11</v>
      </c>
      <c r="D34" s="16"/>
      <c r="E34" s="16" t="s">
        <v>12</v>
      </c>
      <c r="F34" s="23">
        <v>45462.080000000002</v>
      </c>
      <c r="G34" s="20">
        <v>6.9527069999999996E-2</v>
      </c>
      <c r="H34" s="18" t="s">
        <v>12</v>
      </c>
    </row>
    <row r="35" spans="1:8" x14ac:dyDescent="0.2">
      <c r="A35" s="16"/>
      <c r="B35" s="16"/>
      <c r="C35" s="21"/>
      <c r="D35" s="16"/>
      <c r="E35" s="16"/>
      <c r="F35" s="22"/>
      <c r="G35" s="22"/>
      <c r="H35" s="18" t="s">
        <v>12</v>
      </c>
    </row>
    <row r="36" spans="1:8" x14ac:dyDescent="0.2">
      <c r="A36" s="16"/>
      <c r="B36" s="16"/>
      <c r="C36" s="17" t="s">
        <v>67</v>
      </c>
      <c r="D36" s="16"/>
      <c r="E36" s="16"/>
      <c r="F36" s="16"/>
      <c r="G36" s="16"/>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68</v>
      </c>
      <c r="D39" s="16"/>
      <c r="E39" s="16"/>
      <c r="F39" s="16"/>
      <c r="G39" s="16"/>
      <c r="H39" s="18" t="s">
        <v>12</v>
      </c>
    </row>
    <row r="40" spans="1:8" x14ac:dyDescent="0.2">
      <c r="A40" s="16"/>
      <c r="B40" s="16"/>
      <c r="C40" s="17" t="s">
        <v>11</v>
      </c>
      <c r="D40" s="16"/>
      <c r="E40" s="16" t="s">
        <v>12</v>
      </c>
      <c r="F40" s="19" t="s">
        <v>13</v>
      </c>
      <c r="G40" s="20">
        <v>0</v>
      </c>
      <c r="H40" s="18" t="s">
        <v>12</v>
      </c>
    </row>
    <row r="41" spans="1:8" x14ac:dyDescent="0.2">
      <c r="A41" s="16"/>
      <c r="B41" s="16"/>
      <c r="C41" s="21"/>
      <c r="D41" s="16"/>
      <c r="E41" s="16"/>
      <c r="F41" s="22"/>
      <c r="G41" s="22"/>
      <c r="H41" s="18" t="s">
        <v>12</v>
      </c>
    </row>
    <row r="42" spans="1:8" x14ac:dyDescent="0.2">
      <c r="A42" s="16"/>
      <c r="B42" s="16"/>
      <c r="C42" s="17" t="s">
        <v>84</v>
      </c>
      <c r="D42" s="16"/>
      <c r="E42" s="16"/>
      <c r="F42" s="22"/>
      <c r="G42" s="22"/>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85</v>
      </c>
      <c r="D45" s="16"/>
      <c r="E45" s="16"/>
      <c r="F45" s="23">
        <v>45462.080000000002</v>
      </c>
      <c r="G45" s="20">
        <v>6.9527069999999996E-2</v>
      </c>
      <c r="H45" s="18" t="s">
        <v>12</v>
      </c>
    </row>
    <row r="46" spans="1:8" x14ac:dyDescent="0.2">
      <c r="A46" s="16"/>
      <c r="B46" s="16"/>
      <c r="C46" s="21"/>
      <c r="D46" s="16"/>
      <c r="E46" s="16"/>
      <c r="F46" s="22"/>
      <c r="G46" s="22"/>
      <c r="H46" s="18" t="s">
        <v>12</v>
      </c>
    </row>
    <row r="47" spans="1:8" x14ac:dyDescent="0.2">
      <c r="A47" s="16"/>
      <c r="B47" s="16"/>
      <c r="C47" s="17" t="s">
        <v>86</v>
      </c>
      <c r="D47" s="16"/>
      <c r="E47" s="16"/>
      <c r="F47" s="22"/>
      <c r="G47" s="22"/>
      <c r="H47" s="18" t="s">
        <v>12</v>
      </c>
    </row>
    <row r="48" spans="1:8" x14ac:dyDescent="0.2">
      <c r="A48" s="16"/>
      <c r="B48" s="16"/>
      <c r="C48" s="17" t="s">
        <v>87</v>
      </c>
      <c r="D48" s="16"/>
      <c r="E48" s="16"/>
      <c r="F48" s="22"/>
      <c r="G48" s="22"/>
      <c r="H48" s="18" t="s">
        <v>12</v>
      </c>
    </row>
    <row r="49" spans="1:8" x14ac:dyDescent="0.2">
      <c r="A49" s="24">
        <v>1</v>
      </c>
      <c r="B49" s="25" t="s">
        <v>275</v>
      </c>
      <c r="C49" s="25" t="s">
        <v>276</v>
      </c>
      <c r="D49" s="25" t="s">
        <v>149</v>
      </c>
      <c r="E49" s="26">
        <v>3000</v>
      </c>
      <c r="F49" s="27">
        <v>14985.84</v>
      </c>
      <c r="G49" s="28">
        <v>2.2918480000000001E-2</v>
      </c>
      <c r="H49" s="18">
        <v>6.8998999999999997</v>
      </c>
    </row>
    <row r="50" spans="1:8" x14ac:dyDescent="0.2">
      <c r="A50" s="24">
        <v>2</v>
      </c>
      <c r="B50" s="25" t="s">
        <v>277</v>
      </c>
      <c r="C50" s="25" t="s">
        <v>278</v>
      </c>
      <c r="D50" s="25" t="s">
        <v>139</v>
      </c>
      <c r="E50" s="26">
        <v>3000</v>
      </c>
      <c r="F50" s="27">
        <v>14968.725</v>
      </c>
      <c r="G50" s="28">
        <v>2.2892300000000001E-2</v>
      </c>
      <c r="H50" s="18">
        <v>6.9349999999999996</v>
      </c>
    </row>
    <row r="51" spans="1:8" x14ac:dyDescent="0.2">
      <c r="A51" s="24">
        <v>3</v>
      </c>
      <c r="B51" s="25" t="s">
        <v>279</v>
      </c>
      <c r="C51" s="25" t="s">
        <v>280</v>
      </c>
      <c r="D51" s="25" t="s">
        <v>149</v>
      </c>
      <c r="E51" s="26">
        <v>3000</v>
      </c>
      <c r="F51" s="27">
        <v>14926.635</v>
      </c>
      <c r="G51" s="28">
        <v>2.282793E-2</v>
      </c>
      <c r="H51" s="18">
        <v>6.9005000000000001</v>
      </c>
    </row>
    <row r="52" spans="1:8" x14ac:dyDescent="0.2">
      <c r="A52" s="24">
        <v>4</v>
      </c>
      <c r="B52" s="25" t="s">
        <v>281</v>
      </c>
      <c r="C52" s="25" t="s">
        <v>282</v>
      </c>
      <c r="D52" s="25" t="s">
        <v>139</v>
      </c>
      <c r="E52" s="26">
        <v>2000</v>
      </c>
      <c r="F52" s="27">
        <v>9984.9</v>
      </c>
      <c r="G52" s="28">
        <v>1.527033E-2</v>
      </c>
      <c r="H52" s="18">
        <v>6.9005999999999998</v>
      </c>
    </row>
    <row r="53" spans="1:8" x14ac:dyDescent="0.2">
      <c r="A53" s="24">
        <v>5</v>
      </c>
      <c r="B53" s="25" t="s">
        <v>283</v>
      </c>
      <c r="C53" s="25" t="s">
        <v>284</v>
      </c>
      <c r="D53" s="25" t="s">
        <v>146</v>
      </c>
      <c r="E53" s="26">
        <v>2000</v>
      </c>
      <c r="F53" s="27">
        <v>9981.08</v>
      </c>
      <c r="G53" s="28">
        <v>1.526449E-2</v>
      </c>
      <c r="H53" s="18">
        <v>6.9196999999999997</v>
      </c>
    </row>
    <row r="54" spans="1:8" ht="25.5" x14ac:dyDescent="0.2">
      <c r="A54" s="24">
        <v>6</v>
      </c>
      <c r="B54" s="25" t="s">
        <v>285</v>
      </c>
      <c r="C54" s="25" t="s">
        <v>286</v>
      </c>
      <c r="D54" s="25" t="s">
        <v>139</v>
      </c>
      <c r="E54" s="26">
        <v>2000</v>
      </c>
      <c r="F54" s="27">
        <v>9981.0499999999993</v>
      </c>
      <c r="G54" s="28">
        <v>1.5264440000000001E-2</v>
      </c>
      <c r="H54" s="18">
        <v>6.93</v>
      </c>
    </row>
    <row r="55" spans="1:8" x14ac:dyDescent="0.2">
      <c r="A55" s="24">
        <v>7</v>
      </c>
      <c r="B55" s="25" t="s">
        <v>287</v>
      </c>
      <c r="C55" s="25" t="s">
        <v>288</v>
      </c>
      <c r="D55" s="25" t="s">
        <v>139</v>
      </c>
      <c r="E55" s="26">
        <v>2000</v>
      </c>
      <c r="F55" s="27">
        <v>9958.43</v>
      </c>
      <c r="G55" s="28">
        <v>1.522985E-2</v>
      </c>
      <c r="H55" s="18">
        <v>6.9253999999999998</v>
      </c>
    </row>
    <row r="56" spans="1:8" x14ac:dyDescent="0.2">
      <c r="A56" s="24">
        <v>8</v>
      </c>
      <c r="B56" s="25" t="s">
        <v>289</v>
      </c>
      <c r="C56" s="25" t="s">
        <v>290</v>
      </c>
      <c r="D56" s="25" t="s">
        <v>139</v>
      </c>
      <c r="E56" s="26">
        <v>2000</v>
      </c>
      <c r="F56" s="27">
        <v>9956.4</v>
      </c>
      <c r="G56" s="28">
        <v>1.5226740000000001E-2</v>
      </c>
      <c r="H56" s="18">
        <v>6.9499000000000004</v>
      </c>
    </row>
    <row r="57" spans="1:8" x14ac:dyDescent="0.2">
      <c r="A57" s="24">
        <v>9</v>
      </c>
      <c r="B57" s="25" t="s">
        <v>291</v>
      </c>
      <c r="C57" s="25" t="s">
        <v>292</v>
      </c>
      <c r="D57" s="25" t="s">
        <v>139</v>
      </c>
      <c r="E57" s="26">
        <v>2000</v>
      </c>
      <c r="F57" s="27">
        <v>9922.36</v>
      </c>
      <c r="G57" s="28">
        <v>1.5174679999999999E-2</v>
      </c>
      <c r="H57" s="18">
        <v>7.14</v>
      </c>
    </row>
    <row r="58" spans="1:8" x14ac:dyDescent="0.2">
      <c r="A58" s="24">
        <v>10</v>
      </c>
      <c r="B58" s="25" t="s">
        <v>293</v>
      </c>
      <c r="C58" s="25" t="s">
        <v>294</v>
      </c>
      <c r="D58" s="25" t="s">
        <v>139</v>
      </c>
      <c r="E58" s="26">
        <v>2000</v>
      </c>
      <c r="F58" s="27">
        <v>9910.64</v>
      </c>
      <c r="G58" s="28">
        <v>1.515676E-2</v>
      </c>
      <c r="H58" s="18">
        <v>7.1550000000000002</v>
      </c>
    </row>
    <row r="59" spans="1:8" x14ac:dyDescent="0.2">
      <c r="A59" s="24">
        <v>11</v>
      </c>
      <c r="B59" s="25" t="s">
        <v>295</v>
      </c>
      <c r="C59" s="25" t="s">
        <v>296</v>
      </c>
      <c r="D59" s="25" t="s">
        <v>139</v>
      </c>
      <c r="E59" s="26">
        <v>2000</v>
      </c>
      <c r="F59" s="27">
        <v>9876.08</v>
      </c>
      <c r="G59" s="28">
        <v>1.51039E-2</v>
      </c>
      <c r="H59" s="18">
        <v>7.1562999999999999</v>
      </c>
    </row>
    <row r="60" spans="1:8" x14ac:dyDescent="0.2">
      <c r="A60" s="24">
        <v>12</v>
      </c>
      <c r="B60" s="25" t="s">
        <v>297</v>
      </c>
      <c r="C60" s="25" t="s">
        <v>298</v>
      </c>
      <c r="D60" s="25" t="s">
        <v>139</v>
      </c>
      <c r="E60" s="26">
        <v>2000</v>
      </c>
      <c r="F60" s="27">
        <v>9875.7099999999991</v>
      </c>
      <c r="G60" s="28">
        <v>1.510334E-2</v>
      </c>
      <c r="H60" s="18">
        <v>7.1775000000000002</v>
      </c>
    </row>
    <row r="61" spans="1:8" x14ac:dyDescent="0.2">
      <c r="A61" s="24">
        <v>13</v>
      </c>
      <c r="B61" s="25" t="s">
        <v>299</v>
      </c>
      <c r="C61" s="25" t="s">
        <v>300</v>
      </c>
      <c r="D61" s="25" t="s">
        <v>139</v>
      </c>
      <c r="E61" s="26">
        <v>2000</v>
      </c>
      <c r="F61" s="27">
        <v>9872.7999999999993</v>
      </c>
      <c r="G61" s="28">
        <v>1.509889E-2</v>
      </c>
      <c r="H61" s="18">
        <v>7.2350000000000003</v>
      </c>
    </row>
    <row r="62" spans="1:8" x14ac:dyDescent="0.2">
      <c r="A62" s="24">
        <v>14</v>
      </c>
      <c r="B62" s="25" t="s">
        <v>301</v>
      </c>
      <c r="C62" s="25" t="s">
        <v>302</v>
      </c>
      <c r="D62" s="25" t="s">
        <v>149</v>
      </c>
      <c r="E62" s="26">
        <v>2000</v>
      </c>
      <c r="F62" s="27">
        <v>9868.6200000000008</v>
      </c>
      <c r="G62" s="28">
        <v>1.50925E-2</v>
      </c>
      <c r="H62" s="18">
        <v>7.1463000000000001</v>
      </c>
    </row>
    <row r="63" spans="1:8" x14ac:dyDescent="0.2">
      <c r="A63" s="24">
        <v>15</v>
      </c>
      <c r="B63" s="25" t="s">
        <v>303</v>
      </c>
      <c r="C63" s="25" t="s">
        <v>304</v>
      </c>
      <c r="D63" s="25" t="s">
        <v>139</v>
      </c>
      <c r="E63" s="26">
        <v>2000</v>
      </c>
      <c r="F63" s="27">
        <v>9829.73</v>
      </c>
      <c r="G63" s="28">
        <v>1.5033019999999999E-2</v>
      </c>
      <c r="H63" s="18">
        <v>7.1849999999999996</v>
      </c>
    </row>
    <row r="64" spans="1:8" x14ac:dyDescent="0.2">
      <c r="A64" s="24">
        <v>16</v>
      </c>
      <c r="B64" s="25" t="s">
        <v>305</v>
      </c>
      <c r="C64" s="25" t="s">
        <v>306</v>
      </c>
      <c r="D64" s="25" t="s">
        <v>139</v>
      </c>
      <c r="E64" s="26">
        <v>1500</v>
      </c>
      <c r="F64" s="27">
        <v>7488.6750000000002</v>
      </c>
      <c r="G64" s="28">
        <v>1.1452749999999999E-2</v>
      </c>
      <c r="H64" s="18">
        <v>6.9</v>
      </c>
    </row>
    <row r="65" spans="1:8" x14ac:dyDescent="0.2">
      <c r="A65" s="24">
        <v>17</v>
      </c>
      <c r="B65" s="25" t="s">
        <v>307</v>
      </c>
      <c r="C65" s="25" t="s">
        <v>308</v>
      </c>
      <c r="D65" s="25" t="s">
        <v>149</v>
      </c>
      <c r="E65" s="26">
        <v>1500</v>
      </c>
      <c r="F65" s="27">
        <v>7485.8474999999999</v>
      </c>
      <c r="G65" s="28">
        <v>1.1448420000000001E-2</v>
      </c>
      <c r="H65" s="18">
        <v>6.8998999999999997</v>
      </c>
    </row>
    <row r="66" spans="1:8" x14ac:dyDescent="0.2">
      <c r="A66" s="24">
        <v>18</v>
      </c>
      <c r="B66" s="25" t="s">
        <v>309</v>
      </c>
      <c r="C66" s="25" t="s">
        <v>310</v>
      </c>
      <c r="D66" s="25" t="s">
        <v>139</v>
      </c>
      <c r="E66" s="26">
        <v>1500</v>
      </c>
      <c r="F66" s="27">
        <v>7484.415</v>
      </c>
      <c r="G66" s="28">
        <v>1.144623E-2</v>
      </c>
      <c r="H66" s="18">
        <v>6.9103000000000003</v>
      </c>
    </row>
    <row r="67" spans="1:8" x14ac:dyDescent="0.2">
      <c r="A67" s="24">
        <v>19</v>
      </c>
      <c r="B67" s="25" t="s">
        <v>311</v>
      </c>
      <c r="C67" s="25" t="s">
        <v>312</v>
      </c>
      <c r="D67" s="25" t="s">
        <v>139</v>
      </c>
      <c r="E67" s="26">
        <v>1500</v>
      </c>
      <c r="F67" s="27">
        <v>7473.06</v>
      </c>
      <c r="G67" s="28">
        <v>1.1428870000000001E-2</v>
      </c>
      <c r="H67" s="18">
        <v>6.9253999999999998</v>
      </c>
    </row>
    <row r="68" spans="1:8" x14ac:dyDescent="0.2">
      <c r="A68" s="24">
        <v>20</v>
      </c>
      <c r="B68" s="25" t="s">
        <v>313</v>
      </c>
      <c r="C68" s="25" t="s">
        <v>314</v>
      </c>
      <c r="D68" s="25" t="s">
        <v>139</v>
      </c>
      <c r="E68" s="26">
        <v>1000</v>
      </c>
      <c r="F68" s="27">
        <v>4996.17</v>
      </c>
      <c r="G68" s="28">
        <v>7.6408500000000002E-3</v>
      </c>
      <c r="H68" s="18">
        <v>6.9977999999999998</v>
      </c>
    </row>
    <row r="69" spans="1:8" x14ac:dyDescent="0.2">
      <c r="A69" s="24">
        <v>21</v>
      </c>
      <c r="B69" s="25" t="s">
        <v>315</v>
      </c>
      <c r="C69" s="25" t="s">
        <v>316</v>
      </c>
      <c r="D69" s="25" t="s">
        <v>146</v>
      </c>
      <c r="E69" s="26">
        <v>1000</v>
      </c>
      <c r="F69" s="27">
        <v>4995.2849999999999</v>
      </c>
      <c r="G69" s="28">
        <v>7.6394999999999996E-3</v>
      </c>
      <c r="H69" s="18">
        <v>6.89</v>
      </c>
    </row>
    <row r="70" spans="1:8" x14ac:dyDescent="0.2">
      <c r="A70" s="24">
        <v>22</v>
      </c>
      <c r="B70" s="25" t="s">
        <v>317</v>
      </c>
      <c r="C70" s="25" t="s">
        <v>318</v>
      </c>
      <c r="D70" s="25" t="s">
        <v>146</v>
      </c>
      <c r="E70" s="26">
        <v>1000</v>
      </c>
      <c r="F70" s="27">
        <v>4991.4849999999997</v>
      </c>
      <c r="G70" s="28">
        <v>7.6336900000000003E-3</v>
      </c>
      <c r="H70" s="18">
        <v>6.9196999999999997</v>
      </c>
    </row>
    <row r="71" spans="1:8" x14ac:dyDescent="0.2">
      <c r="A71" s="24">
        <v>23</v>
      </c>
      <c r="B71" s="25" t="s">
        <v>319</v>
      </c>
      <c r="C71" s="25" t="s">
        <v>320</v>
      </c>
      <c r="D71" s="25" t="s">
        <v>139</v>
      </c>
      <c r="E71" s="26">
        <v>1000</v>
      </c>
      <c r="F71" s="27">
        <v>4989.4449999999997</v>
      </c>
      <c r="G71" s="28">
        <v>7.6305699999999997E-3</v>
      </c>
      <c r="H71" s="18">
        <v>7.0202</v>
      </c>
    </row>
    <row r="72" spans="1:8" x14ac:dyDescent="0.2">
      <c r="A72" s="24">
        <v>24</v>
      </c>
      <c r="B72" s="25" t="s">
        <v>321</v>
      </c>
      <c r="C72" s="25" t="s">
        <v>322</v>
      </c>
      <c r="D72" s="25" t="s">
        <v>139</v>
      </c>
      <c r="E72" s="26">
        <v>1000</v>
      </c>
      <c r="F72" s="27">
        <v>4988.665</v>
      </c>
      <c r="G72" s="28">
        <v>7.6293799999999998E-3</v>
      </c>
      <c r="H72" s="18">
        <v>6.9103000000000003</v>
      </c>
    </row>
    <row r="73" spans="1:8" x14ac:dyDescent="0.2">
      <c r="A73" s="24">
        <v>25</v>
      </c>
      <c r="B73" s="25" t="s">
        <v>323</v>
      </c>
      <c r="C73" s="25" t="s">
        <v>324</v>
      </c>
      <c r="D73" s="25" t="s">
        <v>139</v>
      </c>
      <c r="E73" s="26">
        <v>1000</v>
      </c>
      <c r="F73" s="27">
        <v>4985.76</v>
      </c>
      <c r="G73" s="28">
        <v>7.6249300000000002E-3</v>
      </c>
      <c r="H73" s="18">
        <v>6.9509999999999996</v>
      </c>
    </row>
    <row r="74" spans="1:8" x14ac:dyDescent="0.2">
      <c r="A74" s="24">
        <v>26</v>
      </c>
      <c r="B74" s="25" t="s">
        <v>325</v>
      </c>
      <c r="C74" s="25" t="s">
        <v>326</v>
      </c>
      <c r="D74" s="25" t="s">
        <v>139</v>
      </c>
      <c r="E74" s="26">
        <v>1000</v>
      </c>
      <c r="F74" s="27">
        <v>4978.17</v>
      </c>
      <c r="G74" s="28">
        <v>7.6133299999999998E-3</v>
      </c>
      <c r="H74" s="18">
        <v>6.9603999999999999</v>
      </c>
    </row>
    <row r="75" spans="1:8" x14ac:dyDescent="0.2">
      <c r="A75" s="24">
        <v>27</v>
      </c>
      <c r="B75" s="25" t="s">
        <v>327</v>
      </c>
      <c r="C75" s="25" t="s">
        <v>328</v>
      </c>
      <c r="D75" s="25" t="s">
        <v>139</v>
      </c>
      <c r="E75" s="26">
        <v>1000</v>
      </c>
      <c r="F75" s="27">
        <v>4976.3100000000004</v>
      </c>
      <c r="G75" s="28">
        <v>7.6104800000000002E-3</v>
      </c>
      <c r="H75" s="18">
        <v>6.9504999999999999</v>
      </c>
    </row>
    <row r="76" spans="1:8" x14ac:dyDescent="0.2">
      <c r="A76" s="24">
        <v>28</v>
      </c>
      <c r="B76" s="25" t="s">
        <v>329</v>
      </c>
      <c r="C76" s="25" t="s">
        <v>330</v>
      </c>
      <c r="D76" s="25" t="s">
        <v>139</v>
      </c>
      <c r="E76" s="26">
        <v>1000</v>
      </c>
      <c r="F76" s="27">
        <v>4975.4250000000002</v>
      </c>
      <c r="G76" s="28">
        <v>7.6091300000000004E-3</v>
      </c>
      <c r="H76" s="18">
        <v>6.9349999999999996</v>
      </c>
    </row>
    <row r="77" spans="1:8" ht="25.5" x14ac:dyDescent="0.2">
      <c r="A77" s="24">
        <v>29</v>
      </c>
      <c r="B77" s="25" t="s">
        <v>331</v>
      </c>
      <c r="C77" s="25" t="s">
        <v>332</v>
      </c>
      <c r="D77" s="25" t="s">
        <v>139</v>
      </c>
      <c r="E77" s="26">
        <v>1000</v>
      </c>
      <c r="F77" s="27">
        <v>4961.21</v>
      </c>
      <c r="G77" s="28">
        <v>7.5873900000000003E-3</v>
      </c>
      <c r="H77" s="18">
        <v>7.1351000000000004</v>
      </c>
    </row>
    <row r="78" spans="1:8" x14ac:dyDescent="0.2">
      <c r="A78" s="24">
        <v>30</v>
      </c>
      <c r="B78" s="25" t="s">
        <v>333</v>
      </c>
      <c r="C78" s="25" t="s">
        <v>334</v>
      </c>
      <c r="D78" s="25" t="s">
        <v>139</v>
      </c>
      <c r="E78" s="26">
        <v>1000</v>
      </c>
      <c r="F78" s="27">
        <v>4954.01</v>
      </c>
      <c r="G78" s="28">
        <v>7.5763799999999997E-3</v>
      </c>
      <c r="H78" s="18">
        <v>7.2099000000000002</v>
      </c>
    </row>
    <row r="79" spans="1:8" x14ac:dyDescent="0.2">
      <c r="A79" s="24">
        <v>31</v>
      </c>
      <c r="B79" s="25" t="s">
        <v>335</v>
      </c>
      <c r="C79" s="25" t="s">
        <v>336</v>
      </c>
      <c r="D79" s="25" t="s">
        <v>149</v>
      </c>
      <c r="E79" s="26">
        <v>1000</v>
      </c>
      <c r="F79" s="27">
        <v>4937.17</v>
      </c>
      <c r="G79" s="28">
        <v>7.5506200000000001E-3</v>
      </c>
      <c r="H79" s="18">
        <v>7.1463000000000001</v>
      </c>
    </row>
    <row r="80" spans="1:8" x14ac:dyDescent="0.2">
      <c r="A80" s="24">
        <v>32</v>
      </c>
      <c r="B80" s="25" t="s">
        <v>337</v>
      </c>
      <c r="C80" s="25" t="s">
        <v>338</v>
      </c>
      <c r="D80" s="25" t="s">
        <v>139</v>
      </c>
      <c r="E80" s="26">
        <v>1000</v>
      </c>
      <c r="F80" s="27">
        <v>4936.0950000000003</v>
      </c>
      <c r="G80" s="28">
        <v>7.5489800000000003E-3</v>
      </c>
      <c r="H80" s="18">
        <v>7.16</v>
      </c>
    </row>
    <row r="81" spans="1:8" x14ac:dyDescent="0.2">
      <c r="A81" s="24">
        <v>33</v>
      </c>
      <c r="B81" s="25" t="s">
        <v>339</v>
      </c>
      <c r="C81" s="25" t="s">
        <v>340</v>
      </c>
      <c r="D81" s="25" t="s">
        <v>139</v>
      </c>
      <c r="E81" s="26">
        <v>1000</v>
      </c>
      <c r="F81" s="27">
        <v>4929.96</v>
      </c>
      <c r="G81" s="28">
        <v>7.5395999999999996E-3</v>
      </c>
      <c r="H81" s="18">
        <v>7.2020999999999997</v>
      </c>
    </row>
    <row r="82" spans="1:8" x14ac:dyDescent="0.2">
      <c r="A82" s="24">
        <v>34</v>
      </c>
      <c r="B82" s="25" t="s">
        <v>341</v>
      </c>
      <c r="C82" s="25" t="s">
        <v>342</v>
      </c>
      <c r="D82" s="25" t="s">
        <v>149</v>
      </c>
      <c r="E82" s="26">
        <v>1000</v>
      </c>
      <c r="F82" s="27">
        <v>4921.58</v>
      </c>
      <c r="G82" s="28">
        <v>7.5267800000000003E-3</v>
      </c>
      <c r="H82" s="18">
        <v>7.1801000000000004</v>
      </c>
    </row>
    <row r="83" spans="1:8" x14ac:dyDescent="0.2">
      <c r="A83" s="24">
        <v>35</v>
      </c>
      <c r="B83" s="25" t="s">
        <v>343</v>
      </c>
      <c r="C83" s="25" t="s">
        <v>344</v>
      </c>
      <c r="D83" s="25" t="s">
        <v>139</v>
      </c>
      <c r="E83" s="26">
        <v>1000</v>
      </c>
      <c r="F83" s="27">
        <v>4921.2550000000001</v>
      </c>
      <c r="G83" s="28">
        <v>7.5262799999999998E-3</v>
      </c>
      <c r="H83" s="18">
        <v>7.2100999999999997</v>
      </c>
    </row>
    <row r="84" spans="1:8" x14ac:dyDescent="0.2">
      <c r="A84" s="24">
        <v>36</v>
      </c>
      <c r="B84" s="25" t="s">
        <v>345</v>
      </c>
      <c r="C84" s="25" t="s">
        <v>346</v>
      </c>
      <c r="D84" s="25" t="s">
        <v>139</v>
      </c>
      <c r="E84" s="26">
        <v>1000</v>
      </c>
      <c r="F84" s="27">
        <v>4920.3050000000003</v>
      </c>
      <c r="G84" s="28">
        <v>7.5248299999999997E-3</v>
      </c>
      <c r="H84" s="18">
        <v>7.21</v>
      </c>
    </row>
    <row r="85" spans="1:8" x14ac:dyDescent="0.2">
      <c r="A85" s="24">
        <v>37</v>
      </c>
      <c r="B85" s="25" t="s">
        <v>347</v>
      </c>
      <c r="C85" s="25" t="s">
        <v>348</v>
      </c>
      <c r="D85" s="25" t="s">
        <v>139</v>
      </c>
      <c r="E85" s="26">
        <v>500</v>
      </c>
      <c r="F85" s="27">
        <v>2491.0349999999999</v>
      </c>
      <c r="G85" s="28">
        <v>3.8096499999999999E-3</v>
      </c>
      <c r="H85" s="18">
        <v>6.915</v>
      </c>
    </row>
    <row r="86" spans="1:8" x14ac:dyDescent="0.2">
      <c r="A86" s="24">
        <v>38</v>
      </c>
      <c r="B86" s="25" t="s">
        <v>349</v>
      </c>
      <c r="C86" s="25" t="s">
        <v>350</v>
      </c>
      <c r="D86" s="25" t="s">
        <v>139</v>
      </c>
      <c r="E86" s="26">
        <v>500</v>
      </c>
      <c r="F86" s="27">
        <v>2488.1374999999998</v>
      </c>
      <c r="G86" s="28">
        <v>3.8052099999999998E-3</v>
      </c>
      <c r="H86" s="18">
        <v>6.9603999999999999</v>
      </c>
    </row>
    <row r="87" spans="1:8" ht="25.5" x14ac:dyDescent="0.2">
      <c r="A87" s="24">
        <v>39</v>
      </c>
      <c r="B87" s="25" t="s">
        <v>351</v>
      </c>
      <c r="C87" s="25" t="s">
        <v>352</v>
      </c>
      <c r="D87" s="25" t="s">
        <v>139</v>
      </c>
      <c r="E87" s="26">
        <v>500</v>
      </c>
      <c r="F87" s="27">
        <v>2477.13</v>
      </c>
      <c r="G87" s="28">
        <v>3.78838E-3</v>
      </c>
      <c r="H87" s="18">
        <v>7.17</v>
      </c>
    </row>
    <row r="88" spans="1:8" x14ac:dyDescent="0.2">
      <c r="A88" s="16"/>
      <c r="B88" s="16"/>
      <c r="C88" s="17" t="s">
        <v>11</v>
      </c>
      <c r="D88" s="16"/>
      <c r="E88" s="16" t="s">
        <v>12</v>
      </c>
      <c r="F88" s="23">
        <v>285645.59999999998</v>
      </c>
      <c r="G88" s="20">
        <v>0.43684988000000002</v>
      </c>
      <c r="H88" s="18" t="s">
        <v>12</v>
      </c>
    </row>
    <row r="89" spans="1:8" x14ac:dyDescent="0.2">
      <c r="A89" s="16"/>
      <c r="B89" s="16"/>
      <c r="C89" s="21"/>
      <c r="D89" s="16"/>
      <c r="E89" s="16"/>
      <c r="F89" s="22"/>
      <c r="G89" s="22"/>
      <c r="H89" s="18" t="s">
        <v>12</v>
      </c>
    </row>
    <row r="90" spans="1:8" x14ac:dyDescent="0.2">
      <c r="A90" s="16"/>
      <c r="B90" s="16"/>
      <c r="C90" s="17" t="s">
        <v>88</v>
      </c>
      <c r="D90" s="16"/>
      <c r="E90" s="16"/>
      <c r="F90" s="22"/>
      <c r="G90" s="22"/>
      <c r="H90" s="18" t="s">
        <v>12</v>
      </c>
    </row>
    <row r="91" spans="1:8" ht="25.5" x14ac:dyDescent="0.2">
      <c r="A91" s="24">
        <v>1</v>
      </c>
      <c r="B91" s="25" t="s">
        <v>353</v>
      </c>
      <c r="C91" s="25" t="s">
        <v>354</v>
      </c>
      <c r="D91" s="25" t="s">
        <v>139</v>
      </c>
      <c r="E91" s="26">
        <v>2500</v>
      </c>
      <c r="F91" s="27">
        <v>12471.3</v>
      </c>
      <c r="G91" s="28">
        <v>1.907288E-2</v>
      </c>
      <c r="H91" s="18">
        <v>7.0007000000000001</v>
      </c>
    </row>
    <row r="92" spans="1:8" ht="25.5" x14ac:dyDescent="0.2">
      <c r="A92" s="24">
        <v>2</v>
      </c>
      <c r="B92" s="25" t="s">
        <v>355</v>
      </c>
      <c r="C92" s="25" t="s">
        <v>356</v>
      </c>
      <c r="D92" s="25" t="s">
        <v>139</v>
      </c>
      <c r="E92" s="26">
        <v>2500</v>
      </c>
      <c r="F92" s="27">
        <v>12386.15</v>
      </c>
      <c r="G92" s="28">
        <v>1.894266E-2</v>
      </c>
      <c r="H92" s="18">
        <v>7.625</v>
      </c>
    </row>
    <row r="93" spans="1:8" x14ac:dyDescent="0.2">
      <c r="A93" s="24">
        <v>3</v>
      </c>
      <c r="B93" s="25" t="s">
        <v>357</v>
      </c>
      <c r="C93" s="25" t="s">
        <v>358</v>
      </c>
      <c r="D93" s="25" t="s">
        <v>139</v>
      </c>
      <c r="E93" s="26">
        <v>2500</v>
      </c>
      <c r="F93" s="27">
        <v>12317.112499999999</v>
      </c>
      <c r="G93" s="28">
        <v>1.8837079999999999E-2</v>
      </c>
      <c r="H93" s="18">
        <v>7.5274999999999999</v>
      </c>
    </row>
    <row r="94" spans="1:8" x14ac:dyDescent="0.2">
      <c r="A94" s="24">
        <v>4</v>
      </c>
      <c r="B94" s="25" t="s">
        <v>359</v>
      </c>
      <c r="C94" s="25" t="s">
        <v>360</v>
      </c>
      <c r="D94" s="25" t="s">
        <v>146</v>
      </c>
      <c r="E94" s="26">
        <v>2000</v>
      </c>
      <c r="F94" s="27">
        <v>9984.59</v>
      </c>
      <c r="G94" s="28">
        <v>1.526985E-2</v>
      </c>
      <c r="H94" s="18">
        <v>7.0431999999999997</v>
      </c>
    </row>
    <row r="95" spans="1:8" ht="25.5" x14ac:dyDescent="0.2">
      <c r="A95" s="24">
        <v>5</v>
      </c>
      <c r="B95" s="25" t="s">
        <v>361</v>
      </c>
      <c r="C95" s="25" t="s">
        <v>362</v>
      </c>
      <c r="D95" s="25" t="s">
        <v>139</v>
      </c>
      <c r="E95" s="26">
        <v>2000</v>
      </c>
      <c r="F95" s="27">
        <v>9979.66</v>
      </c>
      <c r="G95" s="28">
        <v>1.5262309999999999E-2</v>
      </c>
      <c r="H95" s="18">
        <v>7.44</v>
      </c>
    </row>
    <row r="96" spans="1:8" ht="25.5" x14ac:dyDescent="0.2">
      <c r="A96" s="24">
        <v>6</v>
      </c>
      <c r="B96" s="25" t="s">
        <v>363</v>
      </c>
      <c r="C96" s="25" t="s">
        <v>364</v>
      </c>
      <c r="D96" s="25" t="s">
        <v>139</v>
      </c>
      <c r="E96" s="26">
        <v>2000</v>
      </c>
      <c r="F96" s="27">
        <v>9978.7099999999991</v>
      </c>
      <c r="G96" s="28">
        <v>1.5260859999999999E-2</v>
      </c>
      <c r="H96" s="18">
        <v>7.08</v>
      </c>
    </row>
    <row r="97" spans="1:8" x14ac:dyDescent="0.2">
      <c r="A97" s="24">
        <v>7</v>
      </c>
      <c r="B97" s="25" t="s">
        <v>365</v>
      </c>
      <c r="C97" s="25" t="s">
        <v>366</v>
      </c>
      <c r="D97" s="25" t="s">
        <v>139</v>
      </c>
      <c r="E97" s="26">
        <v>2000</v>
      </c>
      <c r="F97" s="27">
        <v>9977.48</v>
      </c>
      <c r="G97" s="28">
        <v>1.525898E-2</v>
      </c>
      <c r="H97" s="18">
        <v>7.49</v>
      </c>
    </row>
    <row r="98" spans="1:8" x14ac:dyDescent="0.2">
      <c r="A98" s="24">
        <v>8</v>
      </c>
      <c r="B98" s="25" t="s">
        <v>367</v>
      </c>
      <c r="C98" s="25" t="s">
        <v>368</v>
      </c>
      <c r="D98" s="25" t="s">
        <v>149</v>
      </c>
      <c r="E98" s="26">
        <v>2000</v>
      </c>
      <c r="F98" s="27">
        <v>9977.48</v>
      </c>
      <c r="G98" s="28">
        <v>1.525898E-2</v>
      </c>
      <c r="H98" s="18">
        <v>7.49</v>
      </c>
    </row>
    <row r="99" spans="1:8" x14ac:dyDescent="0.2">
      <c r="A99" s="24">
        <v>9</v>
      </c>
      <c r="B99" s="25" t="s">
        <v>369</v>
      </c>
      <c r="C99" s="25" t="s">
        <v>370</v>
      </c>
      <c r="D99" s="25" t="s">
        <v>139</v>
      </c>
      <c r="E99" s="26">
        <v>2000</v>
      </c>
      <c r="F99" s="27">
        <v>9969</v>
      </c>
      <c r="G99" s="28">
        <v>1.5246010000000001E-2</v>
      </c>
      <c r="H99" s="18">
        <v>7.0949999999999998</v>
      </c>
    </row>
    <row r="100" spans="1:8" x14ac:dyDescent="0.2">
      <c r="A100" s="24">
        <v>10</v>
      </c>
      <c r="B100" s="25" t="s">
        <v>371</v>
      </c>
      <c r="C100" s="25" t="s">
        <v>372</v>
      </c>
      <c r="D100" s="25" t="s">
        <v>139</v>
      </c>
      <c r="E100" s="26">
        <v>2000</v>
      </c>
      <c r="F100" s="27">
        <v>9954.2099999999991</v>
      </c>
      <c r="G100" s="28">
        <v>1.522339E-2</v>
      </c>
      <c r="H100" s="18">
        <v>7.3</v>
      </c>
    </row>
    <row r="101" spans="1:8" x14ac:dyDescent="0.2">
      <c r="A101" s="24">
        <v>11</v>
      </c>
      <c r="B101" s="25" t="s">
        <v>373</v>
      </c>
      <c r="C101" s="25" t="s">
        <v>374</v>
      </c>
      <c r="D101" s="25" t="s">
        <v>139</v>
      </c>
      <c r="E101" s="26">
        <v>2000</v>
      </c>
      <c r="F101" s="27">
        <v>9947.32</v>
      </c>
      <c r="G101" s="28">
        <v>1.521286E-2</v>
      </c>
      <c r="H101" s="18">
        <v>7.4345999999999997</v>
      </c>
    </row>
    <row r="102" spans="1:8" x14ac:dyDescent="0.2">
      <c r="A102" s="24">
        <v>12</v>
      </c>
      <c r="B102" s="25" t="s">
        <v>375</v>
      </c>
      <c r="C102" s="25" t="s">
        <v>376</v>
      </c>
      <c r="D102" s="25" t="s">
        <v>139</v>
      </c>
      <c r="E102" s="26">
        <v>2000</v>
      </c>
      <c r="F102" s="27">
        <v>9895.11</v>
      </c>
      <c r="G102" s="28">
        <v>1.5133010000000001E-2</v>
      </c>
      <c r="H102" s="18">
        <v>7.165</v>
      </c>
    </row>
    <row r="103" spans="1:8" x14ac:dyDescent="0.2">
      <c r="A103" s="24">
        <v>13</v>
      </c>
      <c r="B103" s="25" t="s">
        <v>377</v>
      </c>
      <c r="C103" s="25" t="s">
        <v>378</v>
      </c>
      <c r="D103" s="25" t="s">
        <v>139</v>
      </c>
      <c r="E103" s="26">
        <v>2000</v>
      </c>
      <c r="F103" s="27">
        <v>9853.61</v>
      </c>
      <c r="G103" s="28">
        <v>1.5069539999999999E-2</v>
      </c>
      <c r="H103" s="18">
        <v>7.23</v>
      </c>
    </row>
    <row r="104" spans="1:8" x14ac:dyDescent="0.2">
      <c r="A104" s="24">
        <v>14</v>
      </c>
      <c r="B104" s="25" t="s">
        <v>379</v>
      </c>
      <c r="C104" s="25" t="s">
        <v>380</v>
      </c>
      <c r="D104" s="25" t="s">
        <v>139</v>
      </c>
      <c r="E104" s="26">
        <v>2000</v>
      </c>
      <c r="F104" s="27">
        <v>9845.41</v>
      </c>
      <c r="G104" s="28">
        <v>1.5056999999999999E-2</v>
      </c>
      <c r="H104" s="18">
        <v>7.2549999999999999</v>
      </c>
    </row>
    <row r="105" spans="1:8" x14ac:dyDescent="0.2">
      <c r="A105" s="24">
        <v>15</v>
      </c>
      <c r="B105" s="25" t="s">
        <v>381</v>
      </c>
      <c r="C105" s="25" t="s">
        <v>382</v>
      </c>
      <c r="D105" s="25" t="s">
        <v>139</v>
      </c>
      <c r="E105" s="26">
        <v>2000</v>
      </c>
      <c r="F105" s="27">
        <v>9827.98</v>
      </c>
      <c r="G105" s="28">
        <v>1.503034E-2</v>
      </c>
      <c r="H105" s="18">
        <v>7.26</v>
      </c>
    </row>
    <row r="106" spans="1:8" x14ac:dyDescent="0.2">
      <c r="A106" s="24">
        <v>16</v>
      </c>
      <c r="B106" s="25" t="s">
        <v>383</v>
      </c>
      <c r="C106" s="25" t="s">
        <v>384</v>
      </c>
      <c r="D106" s="25" t="s">
        <v>139</v>
      </c>
      <c r="E106" s="26">
        <v>1500</v>
      </c>
      <c r="F106" s="27">
        <v>7497</v>
      </c>
      <c r="G106" s="28">
        <v>1.146548E-2</v>
      </c>
      <c r="H106" s="18">
        <v>7.2967000000000004</v>
      </c>
    </row>
    <row r="107" spans="1:8" x14ac:dyDescent="0.2">
      <c r="A107" s="24">
        <v>17</v>
      </c>
      <c r="B107" s="25" t="s">
        <v>385</v>
      </c>
      <c r="C107" s="25" t="s">
        <v>386</v>
      </c>
      <c r="D107" s="25" t="s">
        <v>139</v>
      </c>
      <c r="E107" s="26">
        <v>1500</v>
      </c>
      <c r="F107" s="27">
        <v>7482.7349999999997</v>
      </c>
      <c r="G107" s="28">
        <v>1.144366E-2</v>
      </c>
      <c r="H107" s="18">
        <v>7.02</v>
      </c>
    </row>
    <row r="108" spans="1:8" ht="25.5" x14ac:dyDescent="0.2">
      <c r="A108" s="24">
        <v>18</v>
      </c>
      <c r="B108" s="25" t="s">
        <v>387</v>
      </c>
      <c r="C108" s="25" t="s">
        <v>388</v>
      </c>
      <c r="D108" s="25" t="s">
        <v>139</v>
      </c>
      <c r="E108" s="26">
        <v>1500</v>
      </c>
      <c r="F108" s="27">
        <v>7455.1949999999997</v>
      </c>
      <c r="G108" s="28">
        <v>1.140154E-2</v>
      </c>
      <c r="H108" s="18">
        <v>7.5650000000000004</v>
      </c>
    </row>
    <row r="109" spans="1:8" ht="25.5" x14ac:dyDescent="0.2">
      <c r="A109" s="24">
        <v>19</v>
      </c>
      <c r="B109" s="25" t="s">
        <v>389</v>
      </c>
      <c r="C109" s="25" t="s">
        <v>390</v>
      </c>
      <c r="D109" s="25" t="s">
        <v>139</v>
      </c>
      <c r="E109" s="26">
        <v>1500</v>
      </c>
      <c r="F109" s="27">
        <v>7408.6875</v>
      </c>
      <c r="G109" s="28">
        <v>1.1330420000000001E-2</v>
      </c>
      <c r="H109" s="18">
        <v>7.625</v>
      </c>
    </row>
    <row r="110" spans="1:8" x14ac:dyDescent="0.2">
      <c r="A110" s="24">
        <v>20</v>
      </c>
      <c r="B110" s="25" t="s">
        <v>391</v>
      </c>
      <c r="C110" s="25" t="s">
        <v>392</v>
      </c>
      <c r="D110" s="25" t="s">
        <v>139</v>
      </c>
      <c r="E110" s="26">
        <v>1500</v>
      </c>
      <c r="F110" s="27">
        <v>7365.75</v>
      </c>
      <c r="G110" s="28">
        <v>1.126475E-2</v>
      </c>
      <c r="H110" s="18">
        <v>7.5598999999999998</v>
      </c>
    </row>
    <row r="111" spans="1:8" x14ac:dyDescent="0.2">
      <c r="A111" s="24">
        <v>21</v>
      </c>
      <c r="B111" s="25" t="s">
        <v>393</v>
      </c>
      <c r="C111" s="25" t="s">
        <v>394</v>
      </c>
      <c r="D111" s="25" t="s">
        <v>139</v>
      </c>
      <c r="E111" s="26">
        <v>1000</v>
      </c>
      <c r="F111" s="27">
        <v>4999</v>
      </c>
      <c r="G111" s="28">
        <v>7.6451799999999997E-3</v>
      </c>
      <c r="H111" s="18">
        <v>7.3150000000000004</v>
      </c>
    </row>
    <row r="112" spans="1:8" x14ac:dyDescent="0.2">
      <c r="A112" s="24">
        <v>22</v>
      </c>
      <c r="B112" s="25" t="s">
        <v>395</v>
      </c>
      <c r="C112" s="25" t="s">
        <v>396</v>
      </c>
      <c r="D112" s="25" t="s">
        <v>139</v>
      </c>
      <c r="E112" s="26">
        <v>1000</v>
      </c>
      <c r="F112" s="27">
        <v>4995.1450000000004</v>
      </c>
      <c r="G112" s="28">
        <v>7.63929E-3</v>
      </c>
      <c r="H112" s="18">
        <v>7.0960000000000001</v>
      </c>
    </row>
    <row r="113" spans="1:8" x14ac:dyDescent="0.2">
      <c r="A113" s="24">
        <v>23</v>
      </c>
      <c r="B113" s="25" t="s">
        <v>397</v>
      </c>
      <c r="C113" s="25" t="s">
        <v>398</v>
      </c>
      <c r="D113" s="25" t="s">
        <v>139</v>
      </c>
      <c r="E113" s="26">
        <v>1000</v>
      </c>
      <c r="F113" s="27">
        <v>4994.7700000000004</v>
      </c>
      <c r="G113" s="28">
        <v>7.6387099999999999E-3</v>
      </c>
      <c r="H113" s="18">
        <v>7.6451000000000002</v>
      </c>
    </row>
    <row r="114" spans="1:8" ht="25.5" x14ac:dyDescent="0.2">
      <c r="A114" s="24">
        <v>24</v>
      </c>
      <c r="B114" s="25" t="s">
        <v>399</v>
      </c>
      <c r="C114" s="25" t="s">
        <v>400</v>
      </c>
      <c r="D114" s="25" t="s">
        <v>146</v>
      </c>
      <c r="E114" s="26">
        <v>1000</v>
      </c>
      <c r="F114" s="27">
        <v>4988.5249999999996</v>
      </c>
      <c r="G114" s="28">
        <v>7.6291600000000003E-3</v>
      </c>
      <c r="H114" s="18">
        <v>6.9991000000000003</v>
      </c>
    </row>
    <row r="115" spans="1:8" ht="25.5" x14ac:dyDescent="0.2">
      <c r="A115" s="24">
        <v>25</v>
      </c>
      <c r="B115" s="25" t="s">
        <v>401</v>
      </c>
      <c r="C115" s="25" t="s">
        <v>402</v>
      </c>
      <c r="D115" s="25" t="s">
        <v>139</v>
      </c>
      <c r="E115" s="26">
        <v>1000</v>
      </c>
      <c r="F115" s="27">
        <v>4931.5</v>
      </c>
      <c r="G115" s="28">
        <v>7.5419500000000004E-3</v>
      </c>
      <c r="H115" s="18">
        <v>7.8</v>
      </c>
    </row>
    <row r="116" spans="1:8" x14ac:dyDescent="0.2">
      <c r="A116" s="24">
        <v>26</v>
      </c>
      <c r="B116" s="25" t="s">
        <v>403</v>
      </c>
      <c r="C116" s="25" t="s">
        <v>404</v>
      </c>
      <c r="D116" s="25" t="s">
        <v>139</v>
      </c>
      <c r="E116" s="26">
        <v>1000</v>
      </c>
      <c r="F116" s="27">
        <v>4929.4549999999999</v>
      </c>
      <c r="G116" s="28">
        <v>7.5388199999999999E-3</v>
      </c>
      <c r="H116" s="18">
        <v>7.2549999999999999</v>
      </c>
    </row>
    <row r="117" spans="1:8" x14ac:dyDescent="0.2">
      <c r="A117" s="24">
        <v>27</v>
      </c>
      <c r="B117" s="25" t="s">
        <v>405</v>
      </c>
      <c r="C117" s="25" t="s">
        <v>406</v>
      </c>
      <c r="D117" s="25" t="s">
        <v>139</v>
      </c>
      <c r="E117" s="26">
        <v>1000</v>
      </c>
      <c r="F117" s="27">
        <v>4925.53</v>
      </c>
      <c r="G117" s="28">
        <v>7.53282E-3</v>
      </c>
      <c r="H117" s="18">
        <v>7.5598999999999998</v>
      </c>
    </row>
    <row r="118" spans="1:8" x14ac:dyDescent="0.2">
      <c r="A118" s="24">
        <v>28</v>
      </c>
      <c r="B118" s="25" t="s">
        <v>407</v>
      </c>
      <c r="C118" s="25" t="s">
        <v>408</v>
      </c>
      <c r="D118" s="25" t="s">
        <v>139</v>
      </c>
      <c r="E118" s="26">
        <v>1000</v>
      </c>
      <c r="F118" s="27">
        <v>4925.3100000000004</v>
      </c>
      <c r="G118" s="28">
        <v>7.5324800000000003E-3</v>
      </c>
      <c r="H118" s="18">
        <v>7.4798999999999998</v>
      </c>
    </row>
    <row r="119" spans="1:8" x14ac:dyDescent="0.2">
      <c r="A119" s="24">
        <v>29</v>
      </c>
      <c r="B119" s="25" t="s">
        <v>409</v>
      </c>
      <c r="C119" s="25" t="s">
        <v>410</v>
      </c>
      <c r="D119" s="25" t="s">
        <v>139</v>
      </c>
      <c r="E119" s="26">
        <v>1000</v>
      </c>
      <c r="F119" s="27">
        <v>4913.5600000000004</v>
      </c>
      <c r="G119" s="28">
        <v>7.5145100000000003E-3</v>
      </c>
      <c r="H119" s="18">
        <v>7.2149999999999999</v>
      </c>
    </row>
    <row r="120" spans="1:8" x14ac:dyDescent="0.2">
      <c r="A120" s="24">
        <v>30</v>
      </c>
      <c r="B120" s="25" t="s">
        <v>411</v>
      </c>
      <c r="C120" s="25" t="s">
        <v>412</v>
      </c>
      <c r="D120" s="25" t="s">
        <v>139</v>
      </c>
      <c r="E120" s="26">
        <v>1000</v>
      </c>
      <c r="F120" s="27">
        <v>4913.18</v>
      </c>
      <c r="G120" s="28">
        <v>7.5139300000000003E-3</v>
      </c>
      <c r="H120" s="18">
        <v>7.5</v>
      </c>
    </row>
    <row r="121" spans="1:8" ht="25.5" x14ac:dyDescent="0.2">
      <c r="A121" s="24">
        <v>31</v>
      </c>
      <c r="B121" s="25" t="s">
        <v>413</v>
      </c>
      <c r="C121" s="25" t="s">
        <v>414</v>
      </c>
      <c r="D121" s="25" t="s">
        <v>139</v>
      </c>
      <c r="E121" s="26">
        <v>600</v>
      </c>
      <c r="F121" s="27">
        <v>2952.3449999999998</v>
      </c>
      <c r="G121" s="28">
        <v>4.5151499999999999E-3</v>
      </c>
      <c r="H121" s="18">
        <v>7.1851000000000003</v>
      </c>
    </row>
    <row r="122" spans="1:8" x14ac:dyDescent="0.2">
      <c r="A122" s="24">
        <v>32</v>
      </c>
      <c r="B122" s="25" t="s">
        <v>415</v>
      </c>
      <c r="C122" s="25" t="s">
        <v>416</v>
      </c>
      <c r="D122" s="25" t="s">
        <v>139</v>
      </c>
      <c r="E122" s="26">
        <v>500</v>
      </c>
      <c r="F122" s="27">
        <v>2487.2925</v>
      </c>
      <c r="G122" s="28">
        <v>3.8039200000000001E-3</v>
      </c>
      <c r="H122" s="18">
        <v>7.4596999999999998</v>
      </c>
    </row>
    <row r="123" spans="1:8" x14ac:dyDescent="0.2">
      <c r="A123" s="24">
        <v>33</v>
      </c>
      <c r="B123" s="25" t="s">
        <v>417</v>
      </c>
      <c r="C123" s="25" t="s">
        <v>418</v>
      </c>
      <c r="D123" s="25" t="s">
        <v>139</v>
      </c>
      <c r="E123" s="26">
        <v>500</v>
      </c>
      <c r="F123" s="27">
        <v>2470.83</v>
      </c>
      <c r="G123" s="28">
        <v>3.7787400000000001E-3</v>
      </c>
      <c r="H123" s="18">
        <v>7.56</v>
      </c>
    </row>
    <row r="124" spans="1:8" x14ac:dyDescent="0.2">
      <c r="A124" s="24">
        <v>34</v>
      </c>
      <c r="B124" s="25" t="s">
        <v>419</v>
      </c>
      <c r="C124" s="25" t="s">
        <v>420</v>
      </c>
      <c r="D124" s="25" t="s">
        <v>139</v>
      </c>
      <c r="E124" s="26">
        <v>500</v>
      </c>
      <c r="F124" s="27">
        <v>2465.5374999999999</v>
      </c>
      <c r="G124" s="28">
        <v>3.77065E-3</v>
      </c>
      <c r="H124" s="18">
        <v>7.73</v>
      </c>
    </row>
    <row r="125" spans="1:8" x14ac:dyDescent="0.2">
      <c r="A125" s="24">
        <v>35</v>
      </c>
      <c r="B125" s="25" t="s">
        <v>421</v>
      </c>
      <c r="C125" s="25" t="s">
        <v>422</v>
      </c>
      <c r="D125" s="25" t="s">
        <v>139</v>
      </c>
      <c r="E125" s="26">
        <v>500</v>
      </c>
      <c r="F125" s="27">
        <v>2455.3375000000001</v>
      </c>
      <c r="G125" s="28">
        <v>3.7550499999999998E-3</v>
      </c>
      <c r="H125" s="18">
        <v>7.5449000000000002</v>
      </c>
    </row>
    <row r="126" spans="1:8" x14ac:dyDescent="0.2">
      <c r="A126" s="16"/>
      <c r="B126" s="16"/>
      <c r="C126" s="17" t="s">
        <v>11</v>
      </c>
      <c r="D126" s="16"/>
      <c r="E126" s="16" t="s">
        <v>12</v>
      </c>
      <c r="F126" s="23">
        <v>255921.8075</v>
      </c>
      <c r="G126" s="20">
        <v>0.39139195999999998</v>
      </c>
      <c r="H126" s="18" t="s">
        <v>12</v>
      </c>
    </row>
    <row r="127" spans="1:8" x14ac:dyDescent="0.2">
      <c r="A127" s="16"/>
      <c r="B127" s="16"/>
      <c r="C127" s="21"/>
      <c r="D127" s="16"/>
      <c r="E127" s="16"/>
      <c r="F127" s="22"/>
      <c r="G127" s="22"/>
      <c r="H127" s="18" t="s">
        <v>12</v>
      </c>
    </row>
    <row r="128" spans="1:8" x14ac:dyDescent="0.2">
      <c r="A128" s="16"/>
      <c r="B128" s="16"/>
      <c r="C128" s="17" t="s">
        <v>89</v>
      </c>
      <c r="D128" s="16"/>
      <c r="E128" s="16"/>
      <c r="F128" s="22"/>
      <c r="G128" s="22"/>
      <c r="H128" s="18" t="s">
        <v>12</v>
      </c>
    </row>
    <row r="129" spans="1:8" x14ac:dyDescent="0.2">
      <c r="A129" s="24">
        <v>1</v>
      </c>
      <c r="B129" s="25" t="s">
        <v>423</v>
      </c>
      <c r="C129" s="25" t="s">
        <v>424</v>
      </c>
      <c r="D129" s="25" t="s">
        <v>71</v>
      </c>
      <c r="E129" s="26">
        <v>15000000</v>
      </c>
      <c r="F129" s="27">
        <v>14860.5</v>
      </c>
      <c r="G129" s="28">
        <v>2.272679E-2</v>
      </c>
      <c r="H129" s="18">
        <v>6.4649999999999999</v>
      </c>
    </row>
    <row r="130" spans="1:8" x14ac:dyDescent="0.2">
      <c r="A130" s="24">
        <v>2</v>
      </c>
      <c r="B130" s="25" t="s">
        <v>425</v>
      </c>
      <c r="C130" s="25" t="s">
        <v>426</v>
      </c>
      <c r="D130" s="25" t="s">
        <v>71</v>
      </c>
      <c r="E130" s="26">
        <v>10000000</v>
      </c>
      <c r="F130" s="27">
        <v>9955.93</v>
      </c>
      <c r="G130" s="28">
        <v>1.522602E-2</v>
      </c>
      <c r="H130" s="18">
        <v>6.4623999999999997</v>
      </c>
    </row>
    <row r="131" spans="1:8" x14ac:dyDescent="0.2">
      <c r="A131" s="24">
        <v>3</v>
      </c>
      <c r="B131" s="25" t="s">
        <v>427</v>
      </c>
      <c r="C131" s="25" t="s">
        <v>428</v>
      </c>
      <c r="D131" s="25" t="s">
        <v>71</v>
      </c>
      <c r="E131" s="26">
        <v>10000000</v>
      </c>
      <c r="F131" s="27">
        <v>9931.48</v>
      </c>
      <c r="G131" s="28">
        <v>1.518863E-2</v>
      </c>
      <c r="H131" s="18">
        <v>6.4569000000000001</v>
      </c>
    </row>
    <row r="132" spans="1:8" x14ac:dyDescent="0.2">
      <c r="A132" s="24">
        <v>4</v>
      </c>
      <c r="B132" s="25" t="s">
        <v>429</v>
      </c>
      <c r="C132" s="25" t="s">
        <v>430</v>
      </c>
      <c r="D132" s="25" t="s">
        <v>71</v>
      </c>
      <c r="E132" s="26">
        <v>10000000</v>
      </c>
      <c r="F132" s="27">
        <v>9894.84</v>
      </c>
      <c r="G132" s="28">
        <v>1.51326E-2</v>
      </c>
      <c r="H132" s="18">
        <v>6.4649999999999999</v>
      </c>
    </row>
    <row r="133" spans="1:8" x14ac:dyDescent="0.2">
      <c r="A133" s="24">
        <v>5</v>
      </c>
      <c r="B133" s="25" t="s">
        <v>431</v>
      </c>
      <c r="C133" s="25" t="s">
        <v>432</v>
      </c>
      <c r="D133" s="25" t="s">
        <v>71</v>
      </c>
      <c r="E133" s="26">
        <v>10000000</v>
      </c>
      <c r="F133" s="27">
        <v>9894.84</v>
      </c>
      <c r="G133" s="28">
        <v>1.51326E-2</v>
      </c>
      <c r="H133" s="18">
        <v>6.4649999999999999</v>
      </c>
    </row>
    <row r="134" spans="1:8" x14ac:dyDescent="0.2">
      <c r="A134" s="24">
        <v>6</v>
      </c>
      <c r="B134" s="25" t="s">
        <v>433</v>
      </c>
      <c r="C134" s="25" t="s">
        <v>434</v>
      </c>
      <c r="D134" s="25" t="s">
        <v>71</v>
      </c>
      <c r="E134" s="26">
        <v>10000000</v>
      </c>
      <c r="F134" s="27">
        <v>9882.99</v>
      </c>
      <c r="G134" s="28">
        <v>1.511447E-2</v>
      </c>
      <c r="H134" s="18">
        <v>6.45</v>
      </c>
    </row>
    <row r="135" spans="1:8" x14ac:dyDescent="0.2">
      <c r="A135" s="24">
        <v>7</v>
      </c>
      <c r="B135" s="25" t="s">
        <v>435</v>
      </c>
      <c r="C135" s="25" t="s">
        <v>436</v>
      </c>
      <c r="D135" s="25" t="s">
        <v>71</v>
      </c>
      <c r="E135" s="26">
        <v>7000000</v>
      </c>
      <c r="F135" s="27">
        <v>6986.14</v>
      </c>
      <c r="G135" s="28">
        <v>1.06842E-2</v>
      </c>
      <c r="H135" s="18">
        <v>6.5854999999999997</v>
      </c>
    </row>
    <row r="136" spans="1:8" x14ac:dyDescent="0.2">
      <c r="A136" s="24">
        <v>8</v>
      </c>
      <c r="B136" s="25" t="s">
        <v>437</v>
      </c>
      <c r="C136" s="25" t="s">
        <v>438</v>
      </c>
      <c r="D136" s="25" t="s">
        <v>71</v>
      </c>
      <c r="E136" s="26">
        <v>5000000</v>
      </c>
      <c r="F136" s="27">
        <v>4996.3999999999996</v>
      </c>
      <c r="G136" s="28">
        <v>7.6412099999999998E-3</v>
      </c>
      <c r="H136" s="18">
        <v>6.5709</v>
      </c>
    </row>
    <row r="137" spans="1:8" x14ac:dyDescent="0.2">
      <c r="A137" s="24">
        <v>9</v>
      </c>
      <c r="B137" s="25" t="s">
        <v>439</v>
      </c>
      <c r="C137" s="25" t="s">
        <v>440</v>
      </c>
      <c r="D137" s="25" t="s">
        <v>71</v>
      </c>
      <c r="E137" s="26">
        <v>2000000</v>
      </c>
      <c r="F137" s="27">
        <v>1986.296</v>
      </c>
      <c r="G137" s="28">
        <v>3.0377300000000002E-3</v>
      </c>
      <c r="H137" s="18">
        <v>6.4569000000000001</v>
      </c>
    </row>
    <row r="138" spans="1:8" x14ac:dyDescent="0.2">
      <c r="A138" s="16"/>
      <c r="B138" s="16"/>
      <c r="C138" s="17" t="s">
        <v>11</v>
      </c>
      <c r="D138" s="16"/>
      <c r="E138" s="16" t="s">
        <v>12</v>
      </c>
      <c r="F138" s="23">
        <v>78389.415999999997</v>
      </c>
      <c r="G138" s="20">
        <v>0.11988425</v>
      </c>
      <c r="H138" s="18" t="s">
        <v>12</v>
      </c>
    </row>
    <row r="139" spans="1:8" x14ac:dyDescent="0.2">
      <c r="A139" s="16"/>
      <c r="B139" s="16"/>
      <c r="C139" s="21"/>
      <c r="D139" s="16"/>
      <c r="E139" s="16"/>
      <c r="F139" s="22"/>
      <c r="G139" s="22"/>
      <c r="H139" s="18" t="s">
        <v>12</v>
      </c>
    </row>
    <row r="140" spans="1:8" x14ac:dyDescent="0.2">
      <c r="A140" s="16"/>
      <c r="B140" s="16"/>
      <c r="C140" s="17" t="s">
        <v>90</v>
      </c>
      <c r="D140" s="16"/>
      <c r="E140" s="16"/>
      <c r="F140" s="22"/>
      <c r="G140" s="22"/>
      <c r="H140" s="18" t="s">
        <v>12</v>
      </c>
    </row>
    <row r="141" spans="1:8" x14ac:dyDescent="0.2">
      <c r="A141" s="24">
        <v>1</v>
      </c>
      <c r="B141" s="25"/>
      <c r="C141" s="25" t="s">
        <v>91</v>
      </c>
      <c r="D141" s="25"/>
      <c r="E141" s="29"/>
      <c r="F141" s="27">
        <v>0.1158449</v>
      </c>
      <c r="G141" s="28">
        <v>1.8E-7</v>
      </c>
      <c r="H141" s="18">
        <v>6.66</v>
      </c>
    </row>
    <row r="142" spans="1:8" x14ac:dyDescent="0.2">
      <c r="A142" s="16"/>
      <c r="B142" s="16"/>
      <c r="C142" s="17" t="s">
        <v>11</v>
      </c>
      <c r="D142" s="16"/>
      <c r="E142" s="16" t="s">
        <v>12</v>
      </c>
      <c r="F142" s="23">
        <v>0.1158449</v>
      </c>
      <c r="G142" s="20">
        <v>1.8E-7</v>
      </c>
      <c r="H142" s="18" t="s">
        <v>12</v>
      </c>
    </row>
    <row r="143" spans="1:8" x14ac:dyDescent="0.2">
      <c r="A143" s="16"/>
      <c r="B143" s="16"/>
      <c r="C143" s="21"/>
      <c r="D143" s="16"/>
      <c r="E143" s="16"/>
      <c r="F143" s="22"/>
      <c r="G143" s="22"/>
      <c r="H143" s="18" t="s">
        <v>12</v>
      </c>
    </row>
    <row r="144" spans="1:8" x14ac:dyDescent="0.2">
      <c r="A144" s="16"/>
      <c r="B144" s="16"/>
      <c r="C144" s="17" t="s">
        <v>92</v>
      </c>
      <c r="D144" s="16"/>
      <c r="E144" s="16"/>
      <c r="F144" s="23">
        <v>619956.93934489996</v>
      </c>
      <c r="G144" s="20">
        <v>0.94812627000000005</v>
      </c>
      <c r="H144" s="18" t="s">
        <v>12</v>
      </c>
    </row>
    <row r="145" spans="1:18" x14ac:dyDescent="0.2">
      <c r="A145" s="16"/>
      <c r="B145" s="16"/>
      <c r="C145" s="22"/>
      <c r="D145" s="16"/>
      <c r="E145" s="16"/>
      <c r="F145" s="16"/>
      <c r="G145" s="16"/>
      <c r="H145" s="18" t="s">
        <v>12</v>
      </c>
    </row>
    <row r="146" spans="1:18" x14ac:dyDescent="0.2">
      <c r="A146" s="16"/>
      <c r="B146" s="16"/>
      <c r="C146" s="17" t="s">
        <v>93</v>
      </c>
      <c r="D146" s="16"/>
      <c r="E146" s="16"/>
      <c r="F146" s="16"/>
      <c r="G146" s="16"/>
      <c r="H146" s="18" t="s">
        <v>12</v>
      </c>
    </row>
    <row r="147" spans="1:18" x14ac:dyDescent="0.2">
      <c r="A147" s="16"/>
      <c r="B147" s="16"/>
      <c r="C147" s="17" t="s">
        <v>94</v>
      </c>
      <c r="D147" s="16"/>
      <c r="E147" s="16"/>
      <c r="F147" s="16"/>
      <c r="G147" s="16"/>
      <c r="H147" s="18" t="s">
        <v>12</v>
      </c>
    </row>
    <row r="148" spans="1:18" x14ac:dyDescent="0.2">
      <c r="A148" s="16"/>
      <c r="B148" s="16"/>
      <c r="C148" s="17" t="s">
        <v>11</v>
      </c>
      <c r="D148" s="16"/>
      <c r="E148" s="16" t="s">
        <v>12</v>
      </c>
      <c r="F148" s="19" t="s">
        <v>13</v>
      </c>
      <c r="G148" s="20">
        <v>0</v>
      </c>
      <c r="H148" s="18" t="s">
        <v>12</v>
      </c>
    </row>
    <row r="149" spans="1:18" x14ac:dyDescent="0.2">
      <c r="A149" s="68"/>
      <c r="B149" s="68"/>
      <c r="C149" s="69"/>
      <c r="D149" s="68"/>
      <c r="E149" s="68"/>
      <c r="F149" s="70"/>
      <c r="G149" s="70"/>
      <c r="H149" s="18" t="s">
        <v>12</v>
      </c>
      <c r="J149" s="15"/>
    </row>
    <row r="150" spans="1:18" x14ac:dyDescent="0.2">
      <c r="A150" s="68"/>
      <c r="B150" s="68"/>
      <c r="C150" s="48" t="s">
        <v>606</v>
      </c>
      <c r="D150" s="68"/>
      <c r="E150" s="68"/>
      <c r="F150" s="70"/>
      <c r="G150" s="70"/>
      <c r="H150" s="65"/>
      <c r="J150" s="15"/>
      <c r="L150" s="51"/>
      <c r="M150" s="51"/>
      <c r="N150" s="51"/>
      <c r="O150" s="51"/>
      <c r="P150" s="71"/>
      <c r="Q150" s="71"/>
      <c r="R150" s="71"/>
    </row>
    <row r="151" spans="1:18" ht="25.5" x14ac:dyDescent="0.2">
      <c r="A151" s="72">
        <v>1</v>
      </c>
      <c r="B151" s="47" t="s">
        <v>95</v>
      </c>
      <c r="C151" s="47" t="s">
        <v>96</v>
      </c>
      <c r="D151" s="47"/>
      <c r="E151" s="73">
        <v>13479.374400000001</v>
      </c>
      <c r="F151" s="65">
        <v>1410.883961748</v>
      </c>
      <c r="G151" s="66">
        <v>2.1577200000000001E-3</v>
      </c>
      <c r="H151" s="18"/>
      <c r="J151" s="15"/>
    </row>
    <row r="152" spans="1:18" x14ac:dyDescent="0.2">
      <c r="A152" s="68"/>
      <c r="B152" s="68"/>
      <c r="C152" s="48" t="s">
        <v>11</v>
      </c>
      <c r="D152" s="68"/>
      <c r="E152" s="68" t="s">
        <v>12</v>
      </c>
      <c r="F152" s="74">
        <f>SUM(F151)</f>
        <v>1410.883961748</v>
      </c>
      <c r="G152" s="75">
        <f>SUM(G151)</f>
        <v>2.1577200000000001E-3</v>
      </c>
      <c r="H152" s="18" t="s">
        <v>12</v>
      </c>
      <c r="J152" s="15"/>
    </row>
    <row r="153" spans="1:18" x14ac:dyDescent="0.2">
      <c r="A153" s="16"/>
      <c r="B153" s="16"/>
      <c r="C153" s="21"/>
      <c r="D153" s="16"/>
      <c r="E153" s="16"/>
      <c r="F153" s="22"/>
      <c r="G153" s="22"/>
      <c r="H153" s="18" t="s">
        <v>12</v>
      </c>
    </row>
    <row r="154" spans="1:18" x14ac:dyDescent="0.2">
      <c r="A154" s="16"/>
      <c r="B154" s="16"/>
      <c r="C154" s="17" t="s">
        <v>97</v>
      </c>
      <c r="D154" s="16"/>
      <c r="E154" s="16"/>
      <c r="F154" s="16"/>
      <c r="G154" s="16"/>
      <c r="H154" s="18" t="s">
        <v>12</v>
      </c>
    </row>
    <row r="155" spans="1:18" x14ac:dyDescent="0.2">
      <c r="A155" s="16"/>
      <c r="B155" s="16"/>
      <c r="C155" s="17" t="s">
        <v>98</v>
      </c>
      <c r="D155" s="16"/>
      <c r="E155" s="16"/>
      <c r="F155" s="16"/>
      <c r="G155" s="16"/>
      <c r="H155" s="18" t="s">
        <v>12</v>
      </c>
    </row>
    <row r="156" spans="1:18" x14ac:dyDescent="0.2">
      <c r="A156" s="16"/>
      <c r="B156" s="16"/>
      <c r="C156" s="17" t="s">
        <v>11</v>
      </c>
      <c r="D156" s="16"/>
      <c r="E156" s="16" t="s">
        <v>12</v>
      </c>
      <c r="F156" s="19" t="s">
        <v>13</v>
      </c>
      <c r="G156" s="20">
        <v>0</v>
      </c>
      <c r="H156" s="18" t="s">
        <v>12</v>
      </c>
    </row>
    <row r="157" spans="1:18" x14ac:dyDescent="0.2">
      <c r="A157" s="16"/>
      <c r="B157" s="16"/>
      <c r="C157" s="21"/>
      <c r="D157" s="16"/>
      <c r="E157" s="16"/>
      <c r="F157" s="22"/>
      <c r="G157" s="22"/>
      <c r="H157" s="18" t="s">
        <v>12</v>
      </c>
    </row>
    <row r="158" spans="1:18" x14ac:dyDescent="0.2">
      <c r="A158" s="16"/>
      <c r="B158" s="16"/>
      <c r="C158" s="17" t="s">
        <v>99</v>
      </c>
      <c r="D158" s="16"/>
      <c r="E158" s="16"/>
      <c r="F158" s="22"/>
      <c r="G158" s="22"/>
      <c r="H158" s="18" t="s">
        <v>12</v>
      </c>
    </row>
    <row r="159" spans="1:18" x14ac:dyDescent="0.2">
      <c r="A159" s="16"/>
      <c r="B159" s="16"/>
      <c r="C159" s="17" t="s">
        <v>11</v>
      </c>
      <c r="D159" s="16"/>
      <c r="E159" s="16" t="s">
        <v>12</v>
      </c>
      <c r="F159" s="19" t="s">
        <v>13</v>
      </c>
      <c r="G159" s="20">
        <v>0</v>
      </c>
      <c r="H159" s="18" t="s">
        <v>12</v>
      </c>
    </row>
    <row r="160" spans="1:18" x14ac:dyDescent="0.2">
      <c r="A160" s="16"/>
      <c r="B160" s="16"/>
      <c r="C160" s="21"/>
      <c r="D160" s="16"/>
      <c r="E160" s="16"/>
      <c r="F160" s="22"/>
      <c r="G160" s="22"/>
      <c r="H160" s="18" t="s">
        <v>12</v>
      </c>
    </row>
    <row r="161" spans="1:10" x14ac:dyDescent="0.2">
      <c r="A161" s="29"/>
      <c r="B161" s="25"/>
      <c r="C161" s="25" t="s">
        <v>100</v>
      </c>
      <c r="D161" s="25"/>
      <c r="E161" s="29"/>
      <c r="F161" s="27">
        <f>-12953.93720732-0.000803338012695312</f>
        <v>-12953.938010658012</v>
      </c>
      <c r="G161" s="28">
        <v>-1.9810999999999999E-2</v>
      </c>
      <c r="H161" s="18" t="s">
        <v>12</v>
      </c>
    </row>
    <row r="162" spans="1:10" x14ac:dyDescent="0.2">
      <c r="A162" s="21"/>
      <c r="B162" s="21"/>
      <c r="C162" s="17" t="s">
        <v>101</v>
      </c>
      <c r="D162" s="22"/>
      <c r="E162" s="22"/>
      <c r="F162" s="23">
        <f>653875.966099328-0.000803338012695312</f>
        <v>653875.96529599</v>
      </c>
      <c r="G162" s="30">
        <v>1.0000000600000001</v>
      </c>
      <c r="H162" s="18" t="s">
        <v>12</v>
      </c>
    </row>
    <row r="163" spans="1:10" x14ac:dyDescent="0.2">
      <c r="A163" s="31"/>
      <c r="B163" s="31"/>
      <c r="C163" s="31"/>
      <c r="D163" s="32"/>
      <c r="E163" s="32"/>
      <c r="F163" s="32"/>
      <c r="G163" s="32"/>
    </row>
    <row r="164" spans="1:10" x14ac:dyDescent="0.2">
      <c r="A164" s="33"/>
      <c r="B164" s="126" t="s">
        <v>602</v>
      </c>
      <c r="C164" s="126"/>
      <c r="D164" s="126"/>
      <c r="E164" s="126"/>
      <c r="F164" s="126"/>
      <c r="G164" s="126"/>
      <c r="H164" s="126"/>
      <c r="J164" s="15"/>
    </row>
    <row r="165" spans="1:10" x14ac:dyDescent="0.2">
      <c r="A165" s="33"/>
      <c r="B165" s="126" t="s">
        <v>603</v>
      </c>
      <c r="C165" s="126"/>
      <c r="D165" s="126"/>
      <c r="E165" s="126"/>
      <c r="F165" s="126"/>
      <c r="G165" s="126"/>
      <c r="H165" s="126"/>
      <c r="J165" s="15"/>
    </row>
    <row r="166" spans="1:10" x14ac:dyDescent="0.2">
      <c r="A166" s="33"/>
      <c r="B166" s="126" t="s">
        <v>604</v>
      </c>
      <c r="C166" s="126"/>
      <c r="D166" s="126"/>
      <c r="E166" s="126"/>
      <c r="F166" s="126"/>
      <c r="G166" s="126"/>
      <c r="H166" s="126"/>
      <c r="J166" s="15"/>
    </row>
    <row r="167" spans="1:10" x14ac:dyDescent="0.2">
      <c r="A167" s="33"/>
      <c r="B167" s="145" t="s">
        <v>722</v>
      </c>
      <c r="C167" s="126"/>
      <c r="D167" s="126"/>
      <c r="E167" s="126"/>
      <c r="F167" s="126"/>
      <c r="G167" s="126"/>
      <c r="H167" s="126"/>
      <c r="J167" s="15"/>
    </row>
    <row r="168" spans="1:10" x14ac:dyDescent="0.2">
      <c r="A168" s="35"/>
      <c r="B168" s="35"/>
      <c r="C168" s="35"/>
      <c r="D168" s="36"/>
      <c r="E168" s="36"/>
      <c r="F168" s="36"/>
      <c r="G168" s="36"/>
    </row>
    <row r="169" spans="1:10" x14ac:dyDescent="0.2">
      <c r="A169" s="35"/>
      <c r="B169" s="129" t="s">
        <v>102</v>
      </c>
      <c r="C169" s="130"/>
      <c r="D169" s="131"/>
      <c r="E169" s="37"/>
      <c r="F169" s="36"/>
      <c r="G169" s="36"/>
    </row>
    <row r="170" spans="1:10" ht="25.5" x14ac:dyDescent="0.2">
      <c r="A170" s="35"/>
      <c r="B170" s="132" t="s">
        <v>103</v>
      </c>
      <c r="C170" s="133"/>
      <c r="D170" s="48" t="s">
        <v>620</v>
      </c>
      <c r="E170" s="37"/>
      <c r="F170" s="36"/>
      <c r="G170" s="36"/>
    </row>
    <row r="171" spans="1:10" x14ac:dyDescent="0.2">
      <c r="A171" s="35"/>
      <c r="B171" s="132" t="s">
        <v>105</v>
      </c>
      <c r="C171" s="133"/>
      <c r="D171" s="17" t="s">
        <v>104</v>
      </c>
      <c r="E171" s="37"/>
      <c r="F171" s="36"/>
      <c r="G171" s="36"/>
    </row>
    <row r="172" spans="1:10" x14ac:dyDescent="0.2">
      <c r="A172" s="35"/>
      <c r="B172" s="132" t="s">
        <v>106</v>
      </c>
      <c r="C172" s="133"/>
      <c r="D172" s="22" t="s">
        <v>12</v>
      </c>
      <c r="E172" s="37"/>
      <c r="F172" s="36"/>
      <c r="G172" s="36"/>
    </row>
    <row r="173" spans="1:10" x14ac:dyDescent="0.2">
      <c r="A173" s="38"/>
      <c r="B173" s="39" t="s">
        <v>12</v>
      </c>
      <c r="C173" s="39" t="s">
        <v>605</v>
      </c>
      <c r="D173" s="39" t="s">
        <v>107</v>
      </c>
      <c r="E173" s="38"/>
      <c r="F173" s="38"/>
      <c r="G173" s="38"/>
      <c r="H173" s="40"/>
      <c r="J173" s="15"/>
    </row>
    <row r="174" spans="1:10" x14ac:dyDescent="0.2">
      <c r="A174" s="41"/>
      <c r="B174" s="42" t="s">
        <v>108</v>
      </c>
      <c r="C174" s="43">
        <v>45611</v>
      </c>
      <c r="D174" s="43">
        <v>45626</v>
      </c>
      <c r="E174" s="41"/>
      <c r="F174" s="41"/>
      <c r="G174" s="41"/>
    </row>
    <row r="175" spans="1:10" x14ac:dyDescent="0.2">
      <c r="A175" s="41"/>
      <c r="B175" s="25" t="s">
        <v>109</v>
      </c>
      <c r="C175" s="44">
        <v>2230.2157000000002</v>
      </c>
      <c r="D175" s="44">
        <v>2236.4142000000002</v>
      </c>
      <c r="E175" s="41"/>
      <c r="F175" s="45"/>
      <c r="G175" s="46"/>
    </row>
    <row r="176" spans="1:10" x14ac:dyDescent="0.2">
      <c r="A176" s="41"/>
      <c r="B176" s="25" t="s">
        <v>134</v>
      </c>
      <c r="C176" s="44">
        <v>1226.4118000000001</v>
      </c>
      <c r="D176" s="44">
        <v>1229.8197</v>
      </c>
      <c r="E176" s="41"/>
      <c r="F176" s="45"/>
      <c r="G176" s="46"/>
    </row>
    <row r="177" spans="1:17" ht="25.5" x14ac:dyDescent="0.2">
      <c r="A177" s="41"/>
      <c r="B177" s="25" t="s">
        <v>714</v>
      </c>
      <c r="C177" s="44">
        <v>1024.3688</v>
      </c>
      <c r="D177" s="44">
        <v>1027.2156</v>
      </c>
      <c r="E177" s="41"/>
      <c r="F177" s="45"/>
      <c r="G177" s="46"/>
    </row>
    <row r="178" spans="1:17" ht="25.5" x14ac:dyDescent="0.2">
      <c r="A178" s="41"/>
      <c r="B178" s="25" t="s">
        <v>715</v>
      </c>
      <c r="C178" s="44">
        <v>1135.3318999999999</v>
      </c>
      <c r="D178" s="44">
        <v>1138.4840999999999</v>
      </c>
      <c r="E178" s="41"/>
      <c r="F178" s="45"/>
      <c r="G178" s="46"/>
    </row>
    <row r="179" spans="1:17" x14ac:dyDescent="0.2">
      <c r="A179" s="41"/>
      <c r="B179" s="25" t="s">
        <v>110</v>
      </c>
      <c r="C179" s="44">
        <v>2207.3768</v>
      </c>
      <c r="D179" s="44">
        <v>2213.3389000000002</v>
      </c>
      <c r="E179" s="41"/>
      <c r="F179" s="45"/>
      <c r="G179" s="46"/>
    </row>
    <row r="180" spans="1:17" x14ac:dyDescent="0.2">
      <c r="A180" s="41"/>
      <c r="B180" s="25" t="s">
        <v>135</v>
      </c>
      <c r="C180" s="44">
        <v>1221.8498999999999</v>
      </c>
      <c r="D180" s="44">
        <v>1225.1502</v>
      </c>
      <c r="E180" s="41"/>
      <c r="F180" s="45"/>
      <c r="G180" s="46"/>
    </row>
    <row r="181" spans="1:17" ht="25.5" x14ac:dyDescent="0.2">
      <c r="A181" s="41"/>
      <c r="B181" s="25" t="s">
        <v>718</v>
      </c>
      <c r="C181" s="44">
        <v>1024.308</v>
      </c>
      <c r="D181" s="44">
        <v>1027.0745999999999</v>
      </c>
      <c r="E181" s="41"/>
      <c r="F181" s="45"/>
      <c r="G181" s="46"/>
    </row>
    <row r="182" spans="1:17" ht="25.5" x14ac:dyDescent="0.2">
      <c r="A182" s="41"/>
      <c r="B182" s="25" t="s">
        <v>665</v>
      </c>
      <c r="C182" s="44">
        <v>1131.3404</v>
      </c>
      <c r="D182" s="44">
        <v>1134.3961999999999</v>
      </c>
      <c r="E182" s="41"/>
      <c r="F182" s="45"/>
      <c r="G182" s="46"/>
    </row>
    <row r="183" spans="1:17" x14ac:dyDescent="0.2">
      <c r="A183" s="41"/>
      <c r="B183" s="41"/>
      <c r="C183" s="41"/>
      <c r="D183" s="41"/>
      <c r="E183" s="41"/>
      <c r="F183" s="41"/>
      <c r="G183" s="41"/>
    </row>
    <row r="184" spans="1:17" x14ac:dyDescent="0.2">
      <c r="A184" s="41"/>
      <c r="B184" s="132" t="s">
        <v>721</v>
      </c>
      <c r="C184" s="133"/>
      <c r="D184" s="48" t="s">
        <v>104</v>
      </c>
      <c r="E184" s="41"/>
      <c r="F184" s="41"/>
      <c r="G184" s="41"/>
    </row>
    <row r="185" spans="1:17" x14ac:dyDescent="0.2">
      <c r="A185" s="41"/>
      <c r="B185" s="49"/>
      <c r="C185" s="49"/>
      <c r="D185" s="49"/>
      <c r="E185" s="41"/>
      <c r="F185" s="41"/>
      <c r="G185" s="41"/>
    </row>
    <row r="186" spans="1:17" s="52" customFormat="1" x14ac:dyDescent="0.2">
      <c r="A186" s="87"/>
      <c r="B186" s="134" t="s">
        <v>616</v>
      </c>
      <c r="C186" s="135"/>
      <c r="D186" s="48" t="s">
        <v>104</v>
      </c>
      <c r="E186" s="87"/>
      <c r="F186" s="87"/>
      <c r="G186" s="87"/>
      <c r="I186"/>
      <c r="J186" s="15"/>
      <c r="K186" s="51"/>
      <c r="L186" s="51"/>
      <c r="M186" s="51"/>
      <c r="N186" s="51"/>
      <c r="O186" s="53"/>
      <c r="P186"/>
      <c r="Q186"/>
    </row>
    <row r="187" spans="1:17" ht="27.75" customHeight="1" x14ac:dyDescent="0.2">
      <c r="A187" s="38"/>
      <c r="B187" s="134" t="s">
        <v>617</v>
      </c>
      <c r="C187" s="135"/>
      <c r="D187" s="48" t="s">
        <v>104</v>
      </c>
      <c r="E187" s="50"/>
      <c r="F187" s="38"/>
      <c r="G187" s="38"/>
      <c r="J187" s="15"/>
    </row>
    <row r="188" spans="1:17" ht="26.25" customHeight="1" x14ac:dyDescent="0.2">
      <c r="A188" s="38"/>
      <c r="B188" s="134" t="s">
        <v>618</v>
      </c>
      <c r="C188" s="135"/>
      <c r="D188" s="48" t="s">
        <v>104</v>
      </c>
      <c r="E188" s="50"/>
      <c r="F188" s="38"/>
      <c r="G188" s="38"/>
      <c r="J188" s="15"/>
    </row>
    <row r="189" spans="1:17" x14ac:dyDescent="0.2">
      <c r="A189" s="38"/>
      <c r="B189" s="134" t="s">
        <v>619</v>
      </c>
      <c r="C189" s="135"/>
      <c r="D189" s="48" t="s">
        <v>104</v>
      </c>
      <c r="E189" s="50"/>
      <c r="F189" s="38"/>
      <c r="G189" s="38"/>
      <c r="J189" s="15"/>
    </row>
    <row r="190" spans="1:17" x14ac:dyDescent="0.2">
      <c r="A190" s="49"/>
      <c r="B190" s="49"/>
      <c r="C190" s="49"/>
      <c r="D190" s="49"/>
      <c r="E190" s="49"/>
      <c r="F190" s="49"/>
      <c r="G190" s="49"/>
      <c r="J190" s="15"/>
    </row>
    <row r="191" spans="1:17" s="52" customFormat="1" x14ac:dyDescent="0.2">
      <c r="B191" s="104" t="s">
        <v>688</v>
      </c>
      <c r="C191" s="104"/>
      <c r="D191" s="104"/>
      <c r="E191" s="104"/>
      <c r="F191" s="104"/>
      <c r="G191" s="104"/>
      <c r="I191"/>
      <c r="J191" s="15"/>
      <c r="K191" s="51"/>
      <c r="L191" s="51"/>
      <c r="M191" s="51"/>
      <c r="N191" s="51"/>
      <c r="O191"/>
    </row>
    <row r="192" spans="1:17" s="52" customFormat="1" x14ac:dyDescent="0.2">
      <c r="B192" s="104"/>
      <c r="C192" s="104"/>
      <c r="D192" s="104"/>
      <c r="E192" s="104"/>
      <c r="F192" s="104"/>
      <c r="G192" s="104"/>
      <c r="I192"/>
      <c r="J192" s="15"/>
      <c r="K192" s="51"/>
      <c r="L192" s="51"/>
      <c r="M192" s="51"/>
      <c r="N192" s="51"/>
      <c r="O192"/>
    </row>
    <row r="193" spans="2:18" s="52" customFormat="1" ht="63.75" x14ac:dyDescent="0.2">
      <c r="B193" s="107" t="s">
        <v>623</v>
      </c>
      <c r="C193" s="107" t="s">
        <v>622</v>
      </c>
      <c r="D193" s="107" t="s">
        <v>650</v>
      </c>
      <c r="E193" s="107" t="s">
        <v>651</v>
      </c>
      <c r="F193" s="107" t="s">
        <v>626</v>
      </c>
      <c r="I193"/>
      <c r="J193" s="15"/>
      <c r="K193" s="51"/>
      <c r="L193" s="51"/>
      <c r="M193" s="51"/>
      <c r="N193" s="51"/>
      <c r="O193"/>
    </row>
    <row r="194" spans="2:18" s="52" customFormat="1" ht="38.25" x14ac:dyDescent="0.2">
      <c r="B194" s="55" t="s">
        <v>628</v>
      </c>
      <c r="C194" s="108" t="s">
        <v>627</v>
      </c>
      <c r="D194" s="120">
        <v>0</v>
      </c>
      <c r="E194" s="11">
        <v>0</v>
      </c>
      <c r="F194" s="109">
        <v>5650</v>
      </c>
      <c r="I194"/>
      <c r="J194" s="15"/>
      <c r="K194" s="51"/>
      <c r="L194" s="51"/>
      <c r="M194" s="51"/>
      <c r="N194" s="51"/>
      <c r="O194"/>
      <c r="R194"/>
    </row>
    <row r="195" spans="2:18" s="52" customFormat="1" x14ac:dyDescent="0.2">
      <c r="I195"/>
      <c r="J195" s="15"/>
      <c r="K195" s="51"/>
      <c r="L195" s="51"/>
      <c r="M195" s="51"/>
      <c r="N195" s="51"/>
      <c r="O195"/>
      <c r="R195"/>
    </row>
    <row r="196" spans="2:18" s="52" customFormat="1" x14ac:dyDescent="0.2">
      <c r="B196" s="136" t="s">
        <v>608</v>
      </c>
      <c r="C196" s="137"/>
      <c r="D196" s="138"/>
      <c r="I196"/>
      <c r="J196" s="15"/>
      <c r="K196" s="51"/>
      <c r="L196" s="51"/>
      <c r="M196" s="51"/>
      <c r="N196" s="51"/>
      <c r="O196"/>
      <c r="R196"/>
    </row>
    <row r="197" spans="2:18" s="52" customFormat="1" ht="25.5" x14ac:dyDescent="0.2">
      <c r="B197" s="127" t="s">
        <v>609</v>
      </c>
      <c r="C197" s="127"/>
      <c r="D197" s="54" t="s">
        <v>262</v>
      </c>
      <c r="I197"/>
      <c r="J197" s="15"/>
      <c r="K197" s="51"/>
      <c r="L197" s="51"/>
      <c r="M197" s="51"/>
      <c r="N197" s="51"/>
      <c r="O197"/>
      <c r="R197"/>
    </row>
    <row r="198" spans="2:18" s="52" customFormat="1" x14ac:dyDescent="0.2">
      <c r="B198" s="128" t="s">
        <v>610</v>
      </c>
      <c r="C198" s="128"/>
      <c r="D198" s="55"/>
      <c r="I198"/>
      <c r="J198" s="15"/>
      <c r="K198" s="51"/>
      <c r="L198" s="51"/>
      <c r="M198" s="51"/>
      <c r="N198" s="51"/>
      <c r="O198"/>
      <c r="R198"/>
    </row>
    <row r="199" spans="2:18" s="52" customFormat="1" x14ac:dyDescent="0.2">
      <c r="B199" s="128"/>
      <c r="C199" s="128"/>
      <c r="D199" s="56"/>
      <c r="I199"/>
      <c r="J199" s="15"/>
      <c r="K199" s="51"/>
      <c r="L199" s="51"/>
      <c r="M199" s="51"/>
      <c r="N199" s="51"/>
      <c r="O199"/>
      <c r="R199"/>
    </row>
    <row r="200" spans="2:18" s="52" customFormat="1" x14ac:dyDescent="0.2">
      <c r="B200" s="128" t="s">
        <v>611</v>
      </c>
      <c r="C200" s="128"/>
      <c r="D200" s="57">
        <v>7.1097054498605017</v>
      </c>
      <c r="I200"/>
      <c r="J200" s="15"/>
      <c r="K200" s="51"/>
      <c r="L200" s="51"/>
      <c r="M200" s="51"/>
      <c r="N200" s="51"/>
      <c r="O200"/>
      <c r="R200"/>
    </row>
    <row r="201" spans="2:18" s="52" customFormat="1" x14ac:dyDescent="0.2">
      <c r="B201" s="128"/>
      <c r="C201" s="128"/>
      <c r="D201" s="56"/>
      <c r="I201"/>
      <c r="J201" s="15"/>
      <c r="K201" s="51"/>
      <c r="L201" s="51"/>
      <c r="M201" s="51"/>
      <c r="N201" s="51"/>
      <c r="O201"/>
      <c r="R201"/>
    </row>
    <row r="202" spans="2:18" s="52" customFormat="1" x14ac:dyDescent="0.2">
      <c r="B202" s="128" t="s">
        <v>612</v>
      </c>
      <c r="C202" s="128"/>
      <c r="D202" s="57">
        <v>0.10654937990039871</v>
      </c>
      <c r="I202"/>
      <c r="J202" s="15"/>
      <c r="K202" s="51"/>
      <c r="L202" s="51"/>
      <c r="M202" s="51"/>
      <c r="N202" s="51"/>
      <c r="O202"/>
      <c r="R202"/>
    </row>
    <row r="203" spans="2:18" s="52" customFormat="1" x14ac:dyDescent="0.2">
      <c r="B203" s="128" t="s">
        <v>613</v>
      </c>
      <c r="C203" s="128"/>
      <c r="D203" s="57">
        <v>0.10654937990039871</v>
      </c>
      <c r="I203"/>
      <c r="J203" s="15"/>
      <c r="K203" s="51"/>
      <c r="L203" s="51"/>
      <c r="M203" s="51"/>
      <c r="N203" s="51"/>
      <c r="O203"/>
      <c r="R203"/>
    </row>
    <row r="204" spans="2:18" s="52" customFormat="1" x14ac:dyDescent="0.2">
      <c r="B204" s="128"/>
      <c r="C204" s="128"/>
      <c r="D204" s="56"/>
      <c r="I204"/>
      <c r="J204" s="15"/>
      <c r="K204" s="51"/>
      <c r="L204" s="51"/>
      <c r="M204" s="51"/>
      <c r="N204" s="51"/>
      <c r="O204"/>
      <c r="P204"/>
      <c r="Q204"/>
      <c r="R204"/>
    </row>
    <row r="205" spans="2:18" s="52" customFormat="1" x14ac:dyDescent="0.2">
      <c r="B205" s="128" t="s">
        <v>614</v>
      </c>
      <c r="C205" s="128"/>
      <c r="D205" s="59" t="s">
        <v>687</v>
      </c>
      <c r="I205"/>
      <c r="J205" s="15"/>
      <c r="K205" s="51"/>
      <c r="L205" s="51"/>
      <c r="M205" s="51"/>
      <c r="N205" s="51"/>
      <c r="O205" s="53"/>
    </row>
    <row r="206" spans="2:18" s="52" customFormat="1" x14ac:dyDescent="0.2">
      <c r="B206" s="140" t="s">
        <v>615</v>
      </c>
      <c r="C206" s="142"/>
      <c r="D206" s="141"/>
      <c r="I206"/>
      <c r="J206" s="15"/>
      <c r="K206" s="51"/>
      <c r="L206" s="51"/>
      <c r="M206" s="51"/>
      <c r="N206" s="51"/>
      <c r="O206"/>
      <c r="P206"/>
      <c r="Q206"/>
      <c r="R206"/>
    </row>
    <row r="207" spans="2:18" x14ac:dyDescent="0.2">
      <c r="J207" s="15"/>
    </row>
    <row r="208" spans="2:18" ht="25.5" x14ac:dyDescent="0.2">
      <c r="B208" s="61" t="s">
        <v>691</v>
      </c>
    </row>
    <row r="210" spans="2:10" ht="153.75" customHeight="1" x14ac:dyDescent="0.2"/>
    <row r="213" spans="2:10" x14ac:dyDescent="0.2">
      <c r="B213" s="62" t="s">
        <v>692</v>
      </c>
      <c r="C213" s="63"/>
      <c r="D213" s="62" t="s">
        <v>694</v>
      </c>
    </row>
    <row r="214" spans="2:10" x14ac:dyDescent="0.2">
      <c r="B214" s="62" t="s">
        <v>702</v>
      </c>
      <c r="D214" s="62" t="s">
        <v>703</v>
      </c>
    </row>
    <row r="215" spans="2:10" ht="165" customHeight="1" x14ac:dyDescent="0.2"/>
    <row r="217" spans="2:10" x14ac:dyDescent="0.2">
      <c r="J217" s="15"/>
    </row>
  </sheetData>
  <mergeCells count="27">
    <mergeCell ref="B206:D206"/>
    <mergeCell ref="B201:C201"/>
    <mergeCell ref="B202:C202"/>
    <mergeCell ref="B203:C203"/>
    <mergeCell ref="B204:C204"/>
    <mergeCell ref="B205:C205"/>
    <mergeCell ref="B196:D196"/>
    <mergeCell ref="B197:C197"/>
    <mergeCell ref="B198:C198"/>
    <mergeCell ref="B199:C199"/>
    <mergeCell ref="B200:C200"/>
    <mergeCell ref="A1:H1"/>
    <mergeCell ref="A2:H2"/>
    <mergeCell ref="A3:H3"/>
    <mergeCell ref="B164:H164"/>
    <mergeCell ref="B165:H165"/>
    <mergeCell ref="B166:H166"/>
    <mergeCell ref="B167:H167"/>
    <mergeCell ref="B189:C189"/>
    <mergeCell ref="B169:D169"/>
    <mergeCell ref="B170:C170"/>
    <mergeCell ref="B171:C171"/>
    <mergeCell ref="B172:C172"/>
    <mergeCell ref="B184:C184"/>
    <mergeCell ref="B188:C188"/>
    <mergeCell ref="B186:C186"/>
    <mergeCell ref="B187:C187"/>
  </mergeCells>
  <hyperlinks>
    <hyperlink ref="I1" location="Index!B2" display="Index" xr:uid="{77C33E37-DFC7-4328-9053-5F7BDC850F3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A611-4AAB-4974-B44C-B717E6FD15AF}">
  <sheetPr>
    <outlinePr summaryBelow="0" summaryRight="0"/>
  </sheetPr>
  <dimension ref="A1:S177"/>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8.7109375" bestFit="1" customWidth="1"/>
    <col min="6" max="6" width="10.140625" bestFit="1" customWidth="1"/>
    <col min="7" max="7" width="14" bestFit="1" customWidth="1"/>
    <col min="8" max="8" width="8.140625" customWidth="1"/>
    <col min="9" max="9" width="8.28515625" customWidth="1"/>
    <col min="10" max="10" width="10" customWidth="1"/>
  </cols>
  <sheetData>
    <row r="1" spans="1:9" ht="15" x14ac:dyDescent="0.2">
      <c r="A1" s="139" t="s">
        <v>0</v>
      </c>
      <c r="B1" s="139"/>
      <c r="C1" s="139"/>
      <c r="D1" s="139"/>
      <c r="E1" s="139"/>
      <c r="F1" s="139"/>
      <c r="G1" s="139"/>
      <c r="H1" s="139"/>
      <c r="I1" s="7" t="s">
        <v>598</v>
      </c>
    </row>
    <row r="2" spans="1:9" ht="15" x14ac:dyDescent="0.2">
      <c r="A2" s="139" t="s">
        <v>441</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599</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221</v>
      </c>
      <c r="C28" s="25" t="s">
        <v>222</v>
      </c>
      <c r="D28" s="25" t="s">
        <v>223</v>
      </c>
      <c r="E28" s="26">
        <v>1100</v>
      </c>
      <c r="F28" s="27">
        <v>1106.1105</v>
      </c>
      <c r="G28" s="28">
        <v>4.7074159999999997E-2</v>
      </c>
      <c r="H28" s="18">
        <v>8.3000000000000007</v>
      </c>
    </row>
    <row r="29" spans="1:8" ht="25.5" x14ac:dyDescent="0.2">
      <c r="A29" s="24">
        <v>2</v>
      </c>
      <c r="B29" s="25" t="s">
        <v>442</v>
      </c>
      <c r="C29" s="25" t="s">
        <v>443</v>
      </c>
      <c r="D29" s="25" t="s">
        <v>23</v>
      </c>
      <c r="E29" s="26">
        <v>1000</v>
      </c>
      <c r="F29" s="27">
        <v>1010.308</v>
      </c>
      <c r="G29" s="28">
        <v>4.2996970000000002E-2</v>
      </c>
      <c r="H29" s="18">
        <v>7.3949999999999996</v>
      </c>
    </row>
    <row r="30" spans="1:8" ht="25.5" x14ac:dyDescent="0.2">
      <c r="A30" s="24">
        <v>3</v>
      </c>
      <c r="B30" s="25" t="s">
        <v>37</v>
      </c>
      <c r="C30" s="25" t="s">
        <v>38</v>
      </c>
      <c r="D30" s="25" t="s">
        <v>23</v>
      </c>
      <c r="E30" s="26">
        <v>1000</v>
      </c>
      <c r="F30" s="27">
        <v>1004.45</v>
      </c>
      <c r="G30" s="28">
        <v>4.274766E-2</v>
      </c>
      <c r="H30" s="18">
        <v>7.48</v>
      </c>
    </row>
    <row r="31" spans="1:8" ht="25.5" x14ac:dyDescent="0.2">
      <c r="A31" s="24">
        <v>4</v>
      </c>
      <c r="B31" s="25" t="s">
        <v>226</v>
      </c>
      <c r="C31" s="25" t="s">
        <v>227</v>
      </c>
      <c r="D31" s="25" t="s">
        <v>218</v>
      </c>
      <c r="E31" s="26">
        <v>1000</v>
      </c>
      <c r="F31" s="27">
        <v>1000.436</v>
      </c>
      <c r="G31" s="28">
        <v>4.2576830000000003E-2</v>
      </c>
      <c r="H31" s="18">
        <v>8.1374999999999993</v>
      </c>
    </row>
    <row r="32" spans="1:8" ht="25.5" x14ac:dyDescent="0.2">
      <c r="A32" s="24">
        <v>5</v>
      </c>
      <c r="B32" s="25" t="s">
        <v>132</v>
      </c>
      <c r="C32" s="25" t="s">
        <v>133</v>
      </c>
      <c r="D32" s="25" t="s">
        <v>36</v>
      </c>
      <c r="E32" s="26">
        <v>100</v>
      </c>
      <c r="F32" s="27">
        <v>997.44100000000003</v>
      </c>
      <c r="G32" s="28">
        <v>4.244937E-2</v>
      </c>
      <c r="H32" s="18">
        <v>7.7450000000000001</v>
      </c>
    </row>
    <row r="33" spans="1:8" x14ac:dyDescent="0.2">
      <c r="A33" s="24">
        <v>6</v>
      </c>
      <c r="B33" s="25" t="s">
        <v>57</v>
      </c>
      <c r="C33" s="25" t="s">
        <v>58</v>
      </c>
      <c r="D33" s="25" t="s">
        <v>23</v>
      </c>
      <c r="E33" s="26">
        <v>50</v>
      </c>
      <c r="F33" s="27">
        <v>504.28699999999998</v>
      </c>
      <c r="G33" s="28">
        <v>2.1461589999999999E-2</v>
      </c>
      <c r="H33" s="18">
        <v>7.62</v>
      </c>
    </row>
    <row r="34" spans="1:8" ht="25.5" x14ac:dyDescent="0.2">
      <c r="A34" s="24">
        <v>7</v>
      </c>
      <c r="B34" s="25" t="s">
        <v>444</v>
      </c>
      <c r="C34" s="25" t="s">
        <v>445</v>
      </c>
      <c r="D34" s="25" t="s">
        <v>245</v>
      </c>
      <c r="E34" s="26">
        <v>500</v>
      </c>
      <c r="F34" s="27">
        <v>503.85250000000002</v>
      </c>
      <c r="G34" s="28">
        <v>2.14431E-2</v>
      </c>
      <c r="H34" s="18">
        <v>8.3000000000000007</v>
      </c>
    </row>
    <row r="35" spans="1:8" ht="25.5" x14ac:dyDescent="0.2">
      <c r="A35" s="24">
        <v>8</v>
      </c>
      <c r="B35" s="25" t="s">
        <v>446</v>
      </c>
      <c r="C35" s="25" t="s">
        <v>447</v>
      </c>
      <c r="D35" s="25" t="s">
        <v>36</v>
      </c>
      <c r="E35" s="26">
        <v>500</v>
      </c>
      <c r="F35" s="27">
        <v>502.45049999999998</v>
      </c>
      <c r="G35" s="28">
        <v>2.1383429999999998E-2</v>
      </c>
      <c r="H35" s="18">
        <v>7.53</v>
      </c>
    </row>
    <row r="36" spans="1:8" x14ac:dyDescent="0.2">
      <c r="A36" s="24">
        <v>9</v>
      </c>
      <c r="B36" s="25" t="s">
        <v>118</v>
      </c>
      <c r="C36" s="25" t="s">
        <v>119</v>
      </c>
      <c r="D36" s="25" t="s">
        <v>23</v>
      </c>
      <c r="E36" s="26">
        <v>500</v>
      </c>
      <c r="F36" s="27">
        <v>502.20049999999998</v>
      </c>
      <c r="G36" s="28">
        <v>2.1372789999999999E-2</v>
      </c>
      <c r="H36" s="18">
        <v>7.38</v>
      </c>
    </row>
    <row r="37" spans="1:8" x14ac:dyDescent="0.2">
      <c r="A37" s="24">
        <v>10</v>
      </c>
      <c r="B37" s="25" t="s">
        <v>213</v>
      </c>
      <c r="C37" s="25" t="s">
        <v>214</v>
      </c>
      <c r="D37" s="25" t="s">
        <v>215</v>
      </c>
      <c r="E37" s="26">
        <v>500</v>
      </c>
      <c r="F37" s="27">
        <v>500.33499999999998</v>
      </c>
      <c r="G37" s="28">
        <v>2.1293400000000001E-2</v>
      </c>
      <c r="H37" s="18">
        <v>7.3550000000000004</v>
      </c>
    </row>
    <row r="38" spans="1:8" ht="25.5" x14ac:dyDescent="0.2">
      <c r="A38" s="24">
        <v>11</v>
      </c>
      <c r="B38" s="25" t="s">
        <v>59</v>
      </c>
      <c r="C38" s="25" t="s">
        <v>60</v>
      </c>
      <c r="D38" s="25" t="s">
        <v>23</v>
      </c>
      <c r="E38" s="26">
        <v>500</v>
      </c>
      <c r="F38" s="27">
        <v>499.90350000000001</v>
      </c>
      <c r="G38" s="28">
        <v>2.127503E-2</v>
      </c>
      <c r="H38" s="18">
        <v>8.0399999999999991</v>
      </c>
    </row>
    <row r="39" spans="1:8" x14ac:dyDescent="0.2">
      <c r="A39" s="24">
        <v>12</v>
      </c>
      <c r="B39" s="25" t="s">
        <v>448</v>
      </c>
      <c r="C39" s="25" t="s">
        <v>449</v>
      </c>
      <c r="D39" s="25" t="s">
        <v>23</v>
      </c>
      <c r="E39" s="26">
        <v>500</v>
      </c>
      <c r="F39" s="27">
        <v>499.31799999999998</v>
      </c>
      <c r="G39" s="28">
        <v>2.1250109999999999E-2</v>
      </c>
      <c r="H39" s="18">
        <v>7.56</v>
      </c>
    </row>
    <row r="40" spans="1:8" ht="25.5" x14ac:dyDescent="0.2">
      <c r="A40" s="24">
        <v>13</v>
      </c>
      <c r="B40" s="25" t="s">
        <v>450</v>
      </c>
      <c r="C40" s="25" t="s">
        <v>451</v>
      </c>
      <c r="D40" s="25" t="s">
        <v>23</v>
      </c>
      <c r="E40" s="26">
        <v>50</v>
      </c>
      <c r="F40" s="27">
        <v>496.53699999999998</v>
      </c>
      <c r="G40" s="28">
        <v>2.1131759999999999E-2</v>
      </c>
      <c r="H40" s="18">
        <v>7.5812999999999997</v>
      </c>
    </row>
    <row r="41" spans="1:8" x14ac:dyDescent="0.2">
      <c r="A41" s="24">
        <v>14</v>
      </c>
      <c r="B41" s="25" t="s">
        <v>452</v>
      </c>
      <c r="C41" s="25" t="s">
        <v>453</v>
      </c>
      <c r="D41" s="25" t="s">
        <v>23</v>
      </c>
      <c r="E41" s="26">
        <v>50</v>
      </c>
      <c r="F41" s="27">
        <v>487.38249999999999</v>
      </c>
      <c r="G41" s="28">
        <v>2.0742159999999999E-2</v>
      </c>
      <c r="H41" s="18">
        <v>7.7350000000000003</v>
      </c>
    </row>
    <row r="42" spans="1:8" x14ac:dyDescent="0.2">
      <c r="A42" s="24">
        <v>15</v>
      </c>
      <c r="B42" s="25" t="s">
        <v>216</v>
      </c>
      <c r="C42" s="25" t="s">
        <v>217</v>
      </c>
      <c r="D42" s="25" t="s">
        <v>218</v>
      </c>
      <c r="E42" s="26">
        <v>300</v>
      </c>
      <c r="F42" s="27">
        <v>301.67970000000003</v>
      </c>
      <c r="G42" s="28">
        <v>1.283897E-2</v>
      </c>
      <c r="H42" s="18">
        <v>8.0299999999999994</v>
      </c>
    </row>
    <row r="43" spans="1:8" x14ac:dyDescent="0.2">
      <c r="A43" s="16"/>
      <c r="B43" s="16"/>
      <c r="C43" s="17" t="s">
        <v>11</v>
      </c>
      <c r="D43" s="16"/>
      <c r="E43" s="16" t="s">
        <v>12</v>
      </c>
      <c r="F43" s="23">
        <v>9916.6916999999994</v>
      </c>
      <c r="G43" s="20">
        <v>0.42203732999999999</v>
      </c>
      <c r="H43" s="18" t="s">
        <v>12</v>
      </c>
    </row>
    <row r="44" spans="1:8" x14ac:dyDescent="0.2">
      <c r="A44" s="16"/>
      <c r="B44" s="16"/>
      <c r="C44" s="21"/>
      <c r="D44" s="16"/>
      <c r="E44" s="16"/>
      <c r="F44" s="22"/>
      <c r="G44" s="22"/>
      <c r="H44" s="18" t="s">
        <v>12</v>
      </c>
    </row>
    <row r="45" spans="1:8" x14ac:dyDescent="0.2">
      <c r="A45" s="16"/>
      <c r="B45" s="16"/>
      <c r="C45" s="17" t="s">
        <v>67</v>
      </c>
      <c r="D45" s="16"/>
      <c r="E45" s="16"/>
      <c r="F45" s="16"/>
      <c r="G45" s="16"/>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68</v>
      </c>
      <c r="D48" s="16"/>
      <c r="E48" s="16"/>
      <c r="F48" s="16"/>
      <c r="G48" s="16"/>
      <c r="H48" s="18" t="s">
        <v>12</v>
      </c>
    </row>
    <row r="49" spans="1:8" ht="25.5" x14ac:dyDescent="0.2">
      <c r="A49" s="24">
        <v>1</v>
      </c>
      <c r="B49" s="25" t="s">
        <v>69</v>
      </c>
      <c r="C49" s="25" t="s">
        <v>70</v>
      </c>
      <c r="D49" s="25" t="s">
        <v>71</v>
      </c>
      <c r="E49" s="26">
        <v>3100000</v>
      </c>
      <c r="F49" s="27">
        <v>3167.4218999999998</v>
      </c>
      <c r="G49" s="28">
        <v>0.13480001999999999</v>
      </c>
      <c r="H49" s="18">
        <v>6.8952999999999998</v>
      </c>
    </row>
    <row r="50" spans="1:8" x14ac:dyDescent="0.2">
      <c r="A50" s="24">
        <v>2</v>
      </c>
      <c r="B50" s="25" t="s">
        <v>78</v>
      </c>
      <c r="C50" s="25" t="s">
        <v>79</v>
      </c>
      <c r="D50" s="25" t="s">
        <v>71</v>
      </c>
      <c r="E50" s="26">
        <v>1500000</v>
      </c>
      <c r="F50" s="27">
        <v>1533.2745</v>
      </c>
      <c r="G50" s="28">
        <v>6.5253519999999995E-2</v>
      </c>
      <c r="H50" s="18">
        <v>6.8228999999999997</v>
      </c>
    </row>
    <row r="51" spans="1:8" ht="25.5" x14ac:dyDescent="0.2">
      <c r="A51" s="24">
        <v>3</v>
      </c>
      <c r="B51" s="25" t="s">
        <v>246</v>
      </c>
      <c r="C51" s="25" t="s">
        <v>247</v>
      </c>
      <c r="D51" s="25" t="s">
        <v>71</v>
      </c>
      <c r="E51" s="26">
        <v>1000000</v>
      </c>
      <c r="F51" s="27">
        <v>1016.071</v>
      </c>
      <c r="G51" s="28">
        <v>4.324223E-2</v>
      </c>
      <c r="H51" s="18">
        <v>6.7938999999999998</v>
      </c>
    </row>
    <row r="52" spans="1:8" x14ac:dyDescent="0.2">
      <c r="A52" s="24">
        <v>4</v>
      </c>
      <c r="B52" s="25" t="s">
        <v>82</v>
      </c>
      <c r="C52" s="25" t="s">
        <v>83</v>
      </c>
      <c r="D52" s="25" t="s">
        <v>71</v>
      </c>
      <c r="E52" s="26">
        <v>500000</v>
      </c>
      <c r="F52" s="27">
        <v>512.77350000000001</v>
      </c>
      <c r="G52" s="28">
        <v>2.182276E-2</v>
      </c>
      <c r="H52" s="18">
        <v>6.9909999999999997</v>
      </c>
    </row>
    <row r="53" spans="1:8" ht="25.5" x14ac:dyDescent="0.2">
      <c r="A53" s="24">
        <v>5</v>
      </c>
      <c r="B53" s="25" t="s">
        <v>454</v>
      </c>
      <c r="C53" s="25" t="s">
        <v>455</v>
      </c>
      <c r="D53" s="25" t="s">
        <v>71</v>
      </c>
      <c r="E53" s="26">
        <v>500000</v>
      </c>
      <c r="F53" s="27">
        <v>509.61349999999999</v>
      </c>
      <c r="G53" s="28">
        <v>2.1688269999999999E-2</v>
      </c>
      <c r="H53" s="18">
        <v>7.2789999999999999</v>
      </c>
    </row>
    <row r="54" spans="1:8" ht="25.5" x14ac:dyDescent="0.2">
      <c r="A54" s="24">
        <v>6</v>
      </c>
      <c r="B54" s="25" t="s">
        <v>456</v>
      </c>
      <c r="C54" s="25" t="s">
        <v>652</v>
      </c>
      <c r="D54" s="25" t="s">
        <v>71</v>
      </c>
      <c r="E54" s="26">
        <v>500000</v>
      </c>
      <c r="F54" s="27">
        <v>503.541</v>
      </c>
      <c r="G54" s="28">
        <v>2.1429839999999999E-2</v>
      </c>
      <c r="H54" s="18">
        <v>7.1664156239641006</v>
      </c>
    </row>
    <row r="55" spans="1:8" x14ac:dyDescent="0.2">
      <c r="A55" s="16"/>
      <c r="B55" s="16"/>
      <c r="C55" s="17" t="s">
        <v>11</v>
      </c>
      <c r="D55" s="16"/>
      <c r="E55" s="16" t="s">
        <v>12</v>
      </c>
      <c r="F55" s="23">
        <v>7242.6953999999996</v>
      </c>
      <c r="G55" s="20">
        <v>0.30823664000000001</v>
      </c>
      <c r="H55" s="18" t="s">
        <v>12</v>
      </c>
    </row>
    <row r="56" spans="1:8" x14ac:dyDescent="0.2">
      <c r="A56" s="16"/>
      <c r="B56" s="16"/>
      <c r="C56" s="21"/>
      <c r="D56" s="16"/>
      <c r="E56" s="16"/>
      <c r="F56" s="22"/>
      <c r="G56" s="22"/>
      <c r="H56" s="18" t="s">
        <v>12</v>
      </c>
    </row>
    <row r="57" spans="1:8" x14ac:dyDescent="0.2">
      <c r="A57" s="16"/>
      <c r="B57" s="16"/>
      <c r="C57" s="17" t="s">
        <v>84</v>
      </c>
      <c r="D57" s="16"/>
      <c r="E57" s="16"/>
      <c r="F57" s="22"/>
      <c r="G57" s="22"/>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85</v>
      </c>
      <c r="D60" s="16"/>
      <c r="E60" s="16"/>
      <c r="F60" s="23">
        <v>17159.3871</v>
      </c>
      <c r="G60" s="20">
        <v>0.73027397000000005</v>
      </c>
      <c r="H60" s="18" t="s">
        <v>12</v>
      </c>
    </row>
    <row r="61" spans="1:8" x14ac:dyDescent="0.2">
      <c r="A61" s="16"/>
      <c r="B61" s="16"/>
      <c r="C61" s="21"/>
      <c r="D61" s="16"/>
      <c r="E61" s="16"/>
      <c r="F61" s="22"/>
      <c r="G61" s="22"/>
      <c r="H61" s="18" t="s">
        <v>12</v>
      </c>
    </row>
    <row r="62" spans="1:8" x14ac:dyDescent="0.2">
      <c r="A62" s="16"/>
      <c r="B62" s="16"/>
      <c r="C62" s="17" t="s">
        <v>86</v>
      </c>
      <c r="D62" s="16"/>
      <c r="E62" s="16"/>
      <c r="F62" s="22"/>
      <c r="G62" s="22"/>
      <c r="H62" s="18" t="s">
        <v>12</v>
      </c>
    </row>
    <row r="63" spans="1:8" x14ac:dyDescent="0.2">
      <c r="A63" s="16"/>
      <c r="B63" s="16"/>
      <c r="C63" s="17" t="s">
        <v>87</v>
      </c>
      <c r="D63" s="16"/>
      <c r="E63" s="16"/>
      <c r="F63" s="22"/>
      <c r="G63" s="22"/>
      <c r="H63" s="18" t="s">
        <v>12</v>
      </c>
    </row>
    <row r="64" spans="1:8" x14ac:dyDescent="0.2">
      <c r="A64" s="24">
        <v>1</v>
      </c>
      <c r="B64" s="25" t="s">
        <v>172</v>
      </c>
      <c r="C64" s="25" t="s">
        <v>173</v>
      </c>
      <c r="D64" s="25" t="s">
        <v>146</v>
      </c>
      <c r="E64" s="26">
        <v>100</v>
      </c>
      <c r="F64" s="27">
        <v>494.10399999999998</v>
      </c>
      <c r="G64" s="28">
        <v>2.102822E-2</v>
      </c>
      <c r="H64" s="18">
        <v>7.14</v>
      </c>
    </row>
    <row r="65" spans="1:8" x14ac:dyDescent="0.2">
      <c r="A65" s="24">
        <v>2</v>
      </c>
      <c r="B65" s="25" t="s">
        <v>176</v>
      </c>
      <c r="C65" s="25" t="s">
        <v>177</v>
      </c>
      <c r="D65" s="25" t="s">
        <v>146</v>
      </c>
      <c r="E65" s="26">
        <v>100</v>
      </c>
      <c r="F65" s="27">
        <v>491.49099999999999</v>
      </c>
      <c r="G65" s="28">
        <v>2.091701E-2</v>
      </c>
      <c r="H65" s="18">
        <v>7.1811999999999996</v>
      </c>
    </row>
    <row r="66" spans="1:8" x14ac:dyDescent="0.2">
      <c r="A66" s="24">
        <v>3</v>
      </c>
      <c r="B66" s="25" t="s">
        <v>252</v>
      </c>
      <c r="C66" s="25" t="s">
        <v>253</v>
      </c>
      <c r="D66" s="25" t="s">
        <v>139</v>
      </c>
      <c r="E66" s="26">
        <v>100</v>
      </c>
      <c r="F66" s="27">
        <v>490.29500000000002</v>
      </c>
      <c r="G66" s="28">
        <v>2.086611E-2</v>
      </c>
      <c r="H66" s="18">
        <v>7.2249999999999996</v>
      </c>
    </row>
    <row r="67" spans="1:8" x14ac:dyDescent="0.2">
      <c r="A67" s="24">
        <v>4</v>
      </c>
      <c r="B67" s="25" t="s">
        <v>154</v>
      </c>
      <c r="C67" s="25" t="s">
        <v>155</v>
      </c>
      <c r="D67" s="25" t="s">
        <v>139</v>
      </c>
      <c r="E67" s="26">
        <v>100</v>
      </c>
      <c r="F67" s="27">
        <v>482.28949999999998</v>
      </c>
      <c r="G67" s="28">
        <v>2.0525410000000001E-2</v>
      </c>
      <c r="H67" s="18">
        <v>7.5301</v>
      </c>
    </row>
    <row r="68" spans="1:8" x14ac:dyDescent="0.2">
      <c r="A68" s="16"/>
      <c r="B68" s="16"/>
      <c r="C68" s="17" t="s">
        <v>11</v>
      </c>
      <c r="D68" s="16"/>
      <c r="E68" s="16" t="s">
        <v>12</v>
      </c>
      <c r="F68" s="23">
        <v>1958.1795</v>
      </c>
      <c r="G68" s="20">
        <v>8.3336750000000001E-2</v>
      </c>
      <c r="H68" s="18" t="s">
        <v>12</v>
      </c>
    </row>
    <row r="69" spans="1:8" x14ac:dyDescent="0.2">
      <c r="A69" s="16"/>
      <c r="B69" s="16"/>
      <c r="C69" s="21"/>
      <c r="D69" s="16"/>
      <c r="E69" s="16"/>
      <c r="F69" s="22"/>
      <c r="G69" s="22"/>
      <c r="H69" s="18" t="s">
        <v>12</v>
      </c>
    </row>
    <row r="70" spans="1:8" x14ac:dyDescent="0.2">
      <c r="A70" s="16"/>
      <c r="B70" s="16"/>
      <c r="C70" s="17" t="s">
        <v>88</v>
      </c>
      <c r="D70" s="16"/>
      <c r="E70" s="16"/>
      <c r="F70" s="22"/>
      <c r="G70" s="22"/>
      <c r="H70" s="18" t="s">
        <v>12</v>
      </c>
    </row>
    <row r="71" spans="1:8" x14ac:dyDescent="0.2">
      <c r="A71" s="16"/>
      <c r="B71" s="16"/>
      <c r="C71" s="17" t="s">
        <v>11</v>
      </c>
      <c r="D71" s="16"/>
      <c r="E71" s="16" t="s">
        <v>12</v>
      </c>
      <c r="F71" s="19" t="s">
        <v>13</v>
      </c>
      <c r="G71" s="20">
        <v>0</v>
      </c>
      <c r="H71" s="18" t="s">
        <v>12</v>
      </c>
    </row>
    <row r="72" spans="1:8" x14ac:dyDescent="0.2">
      <c r="A72" s="16"/>
      <c r="B72" s="16"/>
      <c r="C72" s="21"/>
      <c r="D72" s="16"/>
      <c r="E72" s="16"/>
      <c r="F72" s="22"/>
      <c r="G72" s="22"/>
      <c r="H72" s="18" t="s">
        <v>12</v>
      </c>
    </row>
    <row r="73" spans="1:8" x14ac:dyDescent="0.2">
      <c r="A73" s="16"/>
      <c r="B73" s="16"/>
      <c r="C73" s="17" t="s">
        <v>89</v>
      </c>
      <c r="D73" s="16"/>
      <c r="E73" s="16"/>
      <c r="F73" s="22"/>
      <c r="G73" s="22"/>
      <c r="H73" s="18" t="s">
        <v>12</v>
      </c>
    </row>
    <row r="74" spans="1:8" x14ac:dyDescent="0.2">
      <c r="A74" s="16"/>
      <c r="B74" s="16"/>
      <c r="C74" s="17" t="s">
        <v>11</v>
      </c>
      <c r="D74" s="16"/>
      <c r="E74" s="16" t="s">
        <v>12</v>
      </c>
      <c r="F74" s="19" t="s">
        <v>13</v>
      </c>
      <c r="G74" s="20">
        <v>0</v>
      </c>
      <c r="H74" s="18" t="s">
        <v>12</v>
      </c>
    </row>
    <row r="75" spans="1:8" x14ac:dyDescent="0.2">
      <c r="A75" s="16"/>
      <c r="B75" s="16"/>
      <c r="C75" s="21"/>
      <c r="D75" s="16"/>
      <c r="E75" s="16"/>
      <c r="F75" s="22"/>
      <c r="G75" s="22"/>
      <c r="H75" s="18" t="s">
        <v>12</v>
      </c>
    </row>
    <row r="76" spans="1:8" x14ac:dyDescent="0.2">
      <c r="A76" s="16"/>
      <c r="B76" s="16"/>
      <c r="C76" s="17" t="s">
        <v>90</v>
      </c>
      <c r="D76" s="16"/>
      <c r="E76" s="16"/>
      <c r="F76" s="22"/>
      <c r="G76" s="22"/>
      <c r="H76" s="18" t="s">
        <v>12</v>
      </c>
    </row>
    <row r="77" spans="1:8" x14ac:dyDescent="0.2">
      <c r="A77" s="24">
        <v>1</v>
      </c>
      <c r="B77" s="25"/>
      <c r="C77" s="25" t="s">
        <v>91</v>
      </c>
      <c r="D77" s="25"/>
      <c r="E77" s="29"/>
      <c r="F77" s="27">
        <v>3864.1163463950002</v>
      </c>
      <c r="G77" s="28">
        <v>0.16445013999999999</v>
      </c>
      <c r="H77" s="18">
        <v>6.66</v>
      </c>
    </row>
    <row r="78" spans="1:8" x14ac:dyDescent="0.2">
      <c r="A78" s="16"/>
      <c r="B78" s="16"/>
      <c r="C78" s="17" t="s">
        <v>11</v>
      </c>
      <c r="D78" s="16"/>
      <c r="E78" s="16" t="s">
        <v>12</v>
      </c>
      <c r="F78" s="23">
        <v>3864.1163463950002</v>
      </c>
      <c r="G78" s="20">
        <v>0.16445013999999999</v>
      </c>
      <c r="H78" s="18" t="s">
        <v>12</v>
      </c>
    </row>
    <row r="79" spans="1:8" x14ac:dyDescent="0.2">
      <c r="A79" s="16"/>
      <c r="B79" s="16"/>
      <c r="C79" s="21"/>
      <c r="D79" s="16"/>
      <c r="E79" s="16"/>
      <c r="F79" s="22"/>
      <c r="G79" s="22"/>
      <c r="H79" s="18" t="s">
        <v>12</v>
      </c>
    </row>
    <row r="80" spans="1:8" x14ac:dyDescent="0.2">
      <c r="A80" s="16"/>
      <c r="B80" s="16"/>
      <c r="C80" s="17" t="s">
        <v>92</v>
      </c>
      <c r="D80" s="16"/>
      <c r="E80" s="16"/>
      <c r="F80" s="23">
        <v>5822.2958463949999</v>
      </c>
      <c r="G80" s="20">
        <v>0.24778689000000001</v>
      </c>
      <c r="H80" s="18" t="s">
        <v>12</v>
      </c>
    </row>
    <row r="81" spans="1:18" x14ac:dyDescent="0.2">
      <c r="A81" s="16"/>
      <c r="B81" s="16"/>
      <c r="C81" s="22"/>
      <c r="D81" s="16"/>
      <c r="E81" s="16"/>
      <c r="F81" s="16"/>
      <c r="G81" s="16"/>
      <c r="H81" s="18" t="s">
        <v>12</v>
      </c>
    </row>
    <row r="82" spans="1:18" x14ac:dyDescent="0.2">
      <c r="A82" s="16"/>
      <c r="B82" s="16"/>
      <c r="C82" s="17" t="s">
        <v>93</v>
      </c>
      <c r="D82" s="16"/>
      <c r="E82" s="16"/>
      <c r="F82" s="16"/>
      <c r="G82" s="16"/>
      <c r="H82" s="18" t="s">
        <v>12</v>
      </c>
    </row>
    <row r="83" spans="1:18" x14ac:dyDescent="0.2">
      <c r="A83" s="16"/>
      <c r="B83" s="16"/>
      <c r="C83" s="17" t="s">
        <v>94</v>
      </c>
      <c r="D83" s="16"/>
      <c r="E83" s="16"/>
      <c r="F83" s="16"/>
      <c r="G83" s="16"/>
      <c r="H83" s="18" t="s">
        <v>12</v>
      </c>
    </row>
    <row r="84" spans="1:18" x14ac:dyDescent="0.2">
      <c r="A84" s="16"/>
      <c r="B84" s="16"/>
      <c r="C84" s="17" t="s">
        <v>11</v>
      </c>
      <c r="D84" s="16"/>
      <c r="E84" s="16" t="s">
        <v>12</v>
      </c>
      <c r="F84" s="19" t="s">
        <v>13</v>
      </c>
      <c r="G84" s="20">
        <v>0</v>
      </c>
      <c r="H84" s="18" t="s">
        <v>12</v>
      </c>
    </row>
    <row r="85" spans="1:18" x14ac:dyDescent="0.2">
      <c r="A85" s="68"/>
      <c r="B85" s="68"/>
      <c r="C85" s="69"/>
      <c r="D85" s="68"/>
      <c r="E85" s="68"/>
      <c r="F85" s="70"/>
      <c r="G85" s="70"/>
      <c r="H85" s="18" t="s">
        <v>12</v>
      </c>
      <c r="J85" s="15"/>
    </row>
    <row r="86" spans="1:18" x14ac:dyDescent="0.2">
      <c r="A86" s="68"/>
      <c r="B86" s="68"/>
      <c r="C86" s="48" t="s">
        <v>606</v>
      </c>
      <c r="D86" s="68"/>
      <c r="E86" s="68"/>
      <c r="F86" s="70"/>
      <c r="G86" s="70"/>
      <c r="H86" s="65"/>
      <c r="J86" s="15"/>
      <c r="L86" s="51"/>
      <c r="M86" s="51"/>
      <c r="N86" s="51"/>
      <c r="O86" s="51"/>
      <c r="P86" s="71"/>
      <c r="Q86" s="71"/>
      <c r="R86" s="71"/>
    </row>
    <row r="87" spans="1:18" ht="25.5" x14ac:dyDescent="0.2">
      <c r="A87" s="72">
        <v>1</v>
      </c>
      <c r="B87" s="47" t="s">
        <v>95</v>
      </c>
      <c r="C87" s="47" t="s">
        <v>96</v>
      </c>
      <c r="D87" s="47"/>
      <c r="E87" s="73">
        <v>511.47399999999999</v>
      </c>
      <c r="F87" s="65">
        <v>53.535901744</v>
      </c>
      <c r="G87" s="66">
        <v>2.2783999999999999E-3</v>
      </c>
      <c r="H87" s="18"/>
      <c r="J87" s="15"/>
    </row>
    <row r="88" spans="1:18" x14ac:dyDescent="0.2">
      <c r="A88" s="68"/>
      <c r="B88" s="68"/>
      <c r="C88" s="48" t="s">
        <v>11</v>
      </c>
      <c r="D88" s="68"/>
      <c r="E88" s="68" t="s">
        <v>12</v>
      </c>
      <c r="F88" s="74">
        <f>SUM(F87)</f>
        <v>53.535901744</v>
      </c>
      <c r="G88" s="75">
        <f>SUM(G87)</f>
        <v>2.2783999999999999E-3</v>
      </c>
      <c r="H88" s="18" t="s">
        <v>12</v>
      </c>
      <c r="J88" s="15"/>
    </row>
    <row r="89" spans="1:18" x14ac:dyDescent="0.2">
      <c r="A89" s="16"/>
      <c r="B89" s="16"/>
      <c r="C89" s="21"/>
      <c r="D89" s="16"/>
      <c r="E89" s="16"/>
      <c r="F89" s="22"/>
      <c r="G89" s="22"/>
      <c r="H89" s="18" t="s">
        <v>12</v>
      </c>
    </row>
    <row r="90" spans="1:18" x14ac:dyDescent="0.2">
      <c r="A90" s="16"/>
      <c r="B90" s="16"/>
      <c r="C90" s="17" t="s">
        <v>97</v>
      </c>
      <c r="D90" s="16"/>
      <c r="E90" s="16"/>
      <c r="F90" s="16"/>
      <c r="G90" s="16"/>
      <c r="H90" s="18" t="s">
        <v>12</v>
      </c>
    </row>
    <row r="91" spans="1:18" x14ac:dyDescent="0.2">
      <c r="A91" s="16"/>
      <c r="B91" s="16"/>
      <c r="C91" s="17" t="s">
        <v>98</v>
      </c>
      <c r="D91" s="16"/>
      <c r="E91" s="16"/>
      <c r="F91" s="16"/>
      <c r="G91" s="16"/>
      <c r="H91" s="18" t="s">
        <v>12</v>
      </c>
    </row>
    <row r="92" spans="1:18" x14ac:dyDescent="0.2">
      <c r="A92" s="16"/>
      <c r="B92" s="16"/>
      <c r="C92" s="17" t="s">
        <v>11</v>
      </c>
      <c r="D92" s="16"/>
      <c r="E92" s="16" t="s">
        <v>12</v>
      </c>
      <c r="F92" s="19" t="s">
        <v>13</v>
      </c>
      <c r="G92" s="20">
        <v>0</v>
      </c>
      <c r="H92" s="18" t="s">
        <v>12</v>
      </c>
    </row>
    <row r="93" spans="1:18" x14ac:dyDescent="0.2">
      <c r="A93" s="16"/>
      <c r="B93" s="16"/>
      <c r="C93" s="21"/>
      <c r="D93" s="16"/>
      <c r="E93" s="16"/>
      <c r="F93" s="22"/>
      <c r="G93" s="22"/>
      <c r="H93" s="18" t="s">
        <v>12</v>
      </c>
    </row>
    <row r="94" spans="1:18" x14ac:dyDescent="0.2">
      <c r="A94" s="16"/>
      <c r="B94" s="16"/>
      <c r="C94" s="17" t="s">
        <v>99</v>
      </c>
      <c r="D94" s="16"/>
      <c r="E94" s="16"/>
      <c r="F94" s="22"/>
      <c r="G94" s="22"/>
      <c r="H94" s="18" t="s">
        <v>12</v>
      </c>
    </row>
    <row r="95" spans="1:18" x14ac:dyDescent="0.2">
      <c r="A95" s="16"/>
      <c r="B95" s="16"/>
      <c r="C95" s="17" t="s">
        <v>11</v>
      </c>
      <c r="D95" s="16"/>
      <c r="E95" s="16" t="s">
        <v>12</v>
      </c>
      <c r="F95" s="19" t="s">
        <v>13</v>
      </c>
      <c r="G95" s="20">
        <v>0</v>
      </c>
      <c r="H95" s="18" t="s">
        <v>12</v>
      </c>
    </row>
    <row r="96" spans="1:18" x14ac:dyDescent="0.2">
      <c r="A96" s="16"/>
      <c r="B96" s="16"/>
      <c r="C96" s="21"/>
      <c r="D96" s="16"/>
      <c r="E96" s="16"/>
      <c r="F96" s="22"/>
      <c r="G96" s="22"/>
      <c r="H96" s="18" t="s">
        <v>12</v>
      </c>
    </row>
    <row r="97" spans="1:10" x14ac:dyDescent="0.2">
      <c r="A97" s="29"/>
      <c r="B97" s="25"/>
      <c r="C97" s="25" t="s">
        <v>100</v>
      </c>
      <c r="D97" s="25"/>
      <c r="E97" s="29"/>
      <c r="F97" s="27">
        <f>461.97231444+0.0000491309976577759</f>
        <v>461.97236357099763</v>
      </c>
      <c r="G97" s="28">
        <v>1.9660750000000001E-2</v>
      </c>
      <c r="H97" s="18" t="s">
        <v>12</v>
      </c>
    </row>
    <row r="98" spans="1:10" x14ac:dyDescent="0.2">
      <c r="A98" s="21"/>
      <c r="B98" s="21"/>
      <c r="C98" s="17" t="s">
        <v>101</v>
      </c>
      <c r="D98" s="22"/>
      <c r="E98" s="22"/>
      <c r="F98" s="23">
        <f>23497.191162579+0.0000491309976577759</f>
        <v>23497.19121171</v>
      </c>
      <c r="G98" s="30">
        <v>1.0000000099999999</v>
      </c>
      <c r="H98" s="18" t="s">
        <v>12</v>
      </c>
    </row>
    <row r="99" spans="1:10" x14ac:dyDescent="0.2">
      <c r="A99" s="31"/>
      <c r="B99" s="31"/>
      <c r="C99" s="31"/>
      <c r="D99" s="32"/>
      <c r="E99" s="32"/>
      <c r="F99" s="32"/>
      <c r="G99" s="32"/>
    </row>
    <row r="100" spans="1:10" x14ac:dyDescent="0.2">
      <c r="A100" s="33"/>
      <c r="B100" s="126" t="s">
        <v>602</v>
      </c>
      <c r="C100" s="126"/>
      <c r="D100" s="126"/>
      <c r="E100" s="126"/>
      <c r="F100" s="126"/>
      <c r="G100" s="126"/>
      <c r="H100" s="126"/>
      <c r="J100" s="15"/>
    </row>
    <row r="101" spans="1:10" x14ac:dyDescent="0.2">
      <c r="A101" s="33"/>
      <c r="B101" s="126" t="s">
        <v>603</v>
      </c>
      <c r="C101" s="126"/>
      <c r="D101" s="126"/>
      <c r="E101" s="126"/>
      <c r="F101" s="126"/>
      <c r="G101" s="126"/>
      <c r="H101" s="126"/>
      <c r="J101" s="15"/>
    </row>
    <row r="102" spans="1:10" x14ac:dyDescent="0.2">
      <c r="A102" s="33"/>
      <c r="B102" s="126" t="s">
        <v>604</v>
      </c>
      <c r="C102" s="126"/>
      <c r="D102" s="126"/>
      <c r="E102" s="126"/>
      <c r="F102" s="126"/>
      <c r="G102" s="126"/>
      <c r="H102" s="126"/>
      <c r="J102" s="15"/>
    </row>
    <row r="103" spans="1:10" s="111" customFormat="1" ht="67.5" customHeight="1" x14ac:dyDescent="0.2">
      <c r="A103" s="110"/>
      <c r="B103" s="155" t="s">
        <v>653</v>
      </c>
      <c r="C103" s="155"/>
      <c r="D103" s="155"/>
      <c r="E103" s="155"/>
      <c r="F103" s="155"/>
      <c r="G103" s="155"/>
      <c r="H103" s="155"/>
      <c r="I103"/>
      <c r="J103"/>
    </row>
    <row r="104" spans="1:10" x14ac:dyDescent="0.2">
      <c r="A104" s="35"/>
      <c r="B104" s="35"/>
      <c r="C104" s="35"/>
      <c r="D104" s="36"/>
      <c r="E104" s="36"/>
      <c r="F104" s="36"/>
      <c r="G104" s="36"/>
    </row>
    <row r="105" spans="1:10" x14ac:dyDescent="0.2">
      <c r="A105" s="35"/>
      <c r="B105" s="129" t="s">
        <v>102</v>
      </c>
      <c r="C105" s="130"/>
      <c r="D105" s="131"/>
      <c r="E105" s="37"/>
      <c r="F105" s="36"/>
      <c r="G105" s="36"/>
    </row>
    <row r="106" spans="1:10" ht="25.5" x14ac:dyDescent="0.2">
      <c r="A106" s="35"/>
      <c r="B106" s="132" t="s">
        <v>103</v>
      </c>
      <c r="C106" s="133"/>
      <c r="D106" s="48" t="s">
        <v>620</v>
      </c>
      <c r="E106" s="37"/>
      <c r="F106" s="36"/>
      <c r="G106" s="36"/>
    </row>
    <row r="107" spans="1:10" x14ac:dyDescent="0.2">
      <c r="A107" s="35"/>
      <c r="B107" s="132" t="s">
        <v>105</v>
      </c>
      <c r="C107" s="133"/>
      <c r="D107" s="17" t="s">
        <v>104</v>
      </c>
      <c r="E107" s="37"/>
      <c r="F107" s="36"/>
      <c r="G107" s="36"/>
    </row>
    <row r="108" spans="1:10" x14ac:dyDescent="0.2">
      <c r="A108" s="35"/>
      <c r="B108" s="132" t="s">
        <v>106</v>
      </c>
      <c r="C108" s="133"/>
      <c r="D108" s="22" t="s">
        <v>12</v>
      </c>
      <c r="E108" s="37"/>
      <c r="F108" s="36"/>
      <c r="G108" s="36"/>
    </row>
    <row r="109" spans="1:10" x14ac:dyDescent="0.2">
      <c r="A109" s="38"/>
      <c r="B109" s="39" t="s">
        <v>12</v>
      </c>
      <c r="C109" s="39" t="s">
        <v>605</v>
      </c>
      <c r="D109" s="39" t="s">
        <v>107</v>
      </c>
      <c r="E109" s="38"/>
      <c r="F109" s="38"/>
      <c r="G109" s="38"/>
      <c r="H109" s="40"/>
      <c r="J109" s="15"/>
    </row>
    <row r="110" spans="1:10" x14ac:dyDescent="0.2">
      <c r="A110" s="41"/>
      <c r="B110" s="42" t="s">
        <v>108</v>
      </c>
      <c r="C110" s="43">
        <v>45611</v>
      </c>
      <c r="D110" s="43">
        <v>45626</v>
      </c>
      <c r="E110" s="41"/>
      <c r="F110" s="41"/>
      <c r="G110" s="41"/>
    </row>
    <row r="111" spans="1:10" x14ac:dyDescent="0.2">
      <c r="A111" s="41"/>
      <c r="B111" s="25" t="s">
        <v>109</v>
      </c>
      <c r="C111" s="44">
        <v>45.350499999999997</v>
      </c>
      <c r="D111" s="44">
        <v>45.521900000000002</v>
      </c>
      <c r="E111" s="41"/>
      <c r="F111" s="45"/>
      <c r="G111" s="46"/>
    </row>
    <row r="112" spans="1:10" ht="25.5" x14ac:dyDescent="0.2">
      <c r="A112" s="41"/>
      <c r="B112" s="25" t="s">
        <v>714</v>
      </c>
      <c r="C112" s="44">
        <v>12.885400000000001</v>
      </c>
      <c r="D112" s="44">
        <v>12.934100000000001</v>
      </c>
      <c r="E112" s="41"/>
      <c r="F112" s="45"/>
      <c r="G112" s="46"/>
    </row>
    <row r="113" spans="1:17" ht="25.5" x14ac:dyDescent="0.2">
      <c r="A113" s="41"/>
      <c r="B113" s="25" t="s">
        <v>715</v>
      </c>
      <c r="C113" s="44">
        <v>14.6595</v>
      </c>
      <c r="D113" s="44">
        <v>14.7149</v>
      </c>
      <c r="E113" s="41"/>
      <c r="F113" s="45"/>
      <c r="G113" s="46"/>
    </row>
    <row r="114" spans="1:17" ht="25.5" x14ac:dyDescent="0.2">
      <c r="A114" s="41"/>
      <c r="B114" s="25" t="s">
        <v>716</v>
      </c>
      <c r="C114" s="44">
        <v>14.4893</v>
      </c>
      <c r="D114" s="44">
        <v>14.5441</v>
      </c>
      <c r="E114" s="41"/>
      <c r="F114" s="45"/>
      <c r="G114" s="46"/>
    </row>
    <row r="115" spans="1:17" ht="25.5" x14ac:dyDescent="0.2">
      <c r="A115" s="41"/>
      <c r="B115" s="25" t="s">
        <v>717</v>
      </c>
      <c r="C115" s="44">
        <v>14.491099999999999</v>
      </c>
      <c r="D115" s="44">
        <v>14.5459</v>
      </c>
      <c r="E115" s="41"/>
      <c r="F115" s="45"/>
      <c r="G115" s="46"/>
    </row>
    <row r="116" spans="1:17" x14ac:dyDescent="0.2">
      <c r="A116" s="41"/>
      <c r="B116" s="25" t="s">
        <v>110</v>
      </c>
      <c r="C116" s="44">
        <v>42.070599999999999</v>
      </c>
      <c r="D116" s="44">
        <v>42.220199999999998</v>
      </c>
      <c r="E116" s="41"/>
      <c r="F116" s="45"/>
      <c r="G116" s="46"/>
    </row>
    <row r="117" spans="1:17" x14ac:dyDescent="0.2">
      <c r="A117" s="41"/>
      <c r="B117" s="25" t="s">
        <v>135</v>
      </c>
      <c r="C117" s="44">
        <v>15.196999999999999</v>
      </c>
      <c r="D117" s="44">
        <v>15.250999999999999</v>
      </c>
      <c r="E117" s="41"/>
      <c r="F117" s="45"/>
      <c r="G117" s="46"/>
    </row>
    <row r="118" spans="1:17" ht="25.5" x14ac:dyDescent="0.2">
      <c r="A118" s="41"/>
      <c r="B118" s="25" t="s">
        <v>718</v>
      </c>
      <c r="C118" s="44">
        <v>12.8505</v>
      </c>
      <c r="D118" s="44">
        <v>12.8962</v>
      </c>
      <c r="E118" s="41"/>
      <c r="F118" s="45"/>
      <c r="G118" s="46"/>
    </row>
    <row r="119" spans="1:17" ht="25.5" x14ac:dyDescent="0.2">
      <c r="A119" s="41"/>
      <c r="B119" s="25" t="s">
        <v>665</v>
      </c>
      <c r="C119" s="44">
        <v>14.3744</v>
      </c>
      <c r="D119" s="44">
        <v>14.4255</v>
      </c>
      <c r="E119" s="41"/>
      <c r="F119" s="45"/>
      <c r="G119" s="46"/>
    </row>
    <row r="120" spans="1:17" ht="25.5" x14ac:dyDescent="0.2">
      <c r="A120" s="41"/>
      <c r="B120" s="25" t="s">
        <v>719</v>
      </c>
      <c r="C120" s="44">
        <v>14.204599999999999</v>
      </c>
      <c r="D120" s="44">
        <v>14.255100000000001</v>
      </c>
      <c r="E120" s="41"/>
      <c r="F120" s="45"/>
      <c r="G120" s="46"/>
    </row>
    <row r="121" spans="1:17" ht="25.5" x14ac:dyDescent="0.2">
      <c r="A121" s="41"/>
      <c r="B121" s="25" t="s">
        <v>720</v>
      </c>
      <c r="C121" s="44">
        <v>14.204499999999999</v>
      </c>
      <c r="D121" s="44">
        <v>14.255000000000001</v>
      </c>
      <c r="E121" s="41"/>
      <c r="F121" s="45"/>
      <c r="G121" s="46"/>
    </row>
    <row r="122" spans="1:17" x14ac:dyDescent="0.2">
      <c r="A122" s="41"/>
      <c r="B122" s="41"/>
      <c r="C122" s="41"/>
      <c r="D122" s="41"/>
      <c r="E122" s="41"/>
      <c r="F122" s="41"/>
      <c r="G122" s="41"/>
    </row>
    <row r="123" spans="1:17" x14ac:dyDescent="0.2">
      <c r="A123" s="41"/>
      <c r="B123" s="132" t="s">
        <v>721</v>
      </c>
      <c r="C123" s="133"/>
      <c r="D123" s="48" t="s">
        <v>104</v>
      </c>
      <c r="E123" s="41"/>
      <c r="F123" s="41"/>
      <c r="G123" s="41"/>
    </row>
    <row r="124" spans="1:17" x14ac:dyDescent="0.2">
      <c r="A124" s="41"/>
      <c r="B124" s="49"/>
      <c r="C124" s="49"/>
      <c r="D124" s="49"/>
      <c r="E124" s="41"/>
      <c r="F124" s="41"/>
      <c r="G124" s="41"/>
    </row>
    <row r="125" spans="1:17" s="52" customFormat="1" x14ac:dyDescent="0.2">
      <c r="A125" s="87"/>
      <c r="B125" s="134" t="s">
        <v>616</v>
      </c>
      <c r="C125" s="135"/>
      <c r="D125" s="48" t="s">
        <v>104</v>
      </c>
      <c r="E125" s="87"/>
      <c r="F125" s="87"/>
      <c r="G125" s="87"/>
      <c r="I125"/>
      <c r="J125" s="15"/>
      <c r="K125"/>
      <c r="L125" s="51"/>
      <c r="M125" s="51"/>
      <c r="N125" s="51"/>
      <c r="O125" s="53"/>
      <c r="P125"/>
      <c r="Q125"/>
    </row>
    <row r="126" spans="1:17" ht="25.5" customHeight="1" x14ac:dyDescent="0.2">
      <c r="A126" s="38"/>
      <c r="B126" s="134" t="s">
        <v>617</v>
      </c>
      <c r="C126" s="135"/>
      <c r="D126" s="48" t="s">
        <v>104</v>
      </c>
      <c r="E126" s="50"/>
      <c r="F126" s="38"/>
      <c r="G126" s="38"/>
      <c r="J126" s="15"/>
    </row>
    <row r="127" spans="1:17" ht="24.75" customHeight="1" x14ac:dyDescent="0.2">
      <c r="A127" s="38"/>
      <c r="B127" s="134" t="s">
        <v>618</v>
      </c>
      <c r="C127" s="135"/>
      <c r="D127" s="48" t="s">
        <v>104</v>
      </c>
      <c r="E127" s="50"/>
      <c r="F127" s="38"/>
      <c r="G127" s="38"/>
      <c r="J127" s="15"/>
    </row>
    <row r="128" spans="1:17" x14ac:dyDescent="0.2">
      <c r="A128" s="38"/>
      <c r="B128" s="134" t="s">
        <v>619</v>
      </c>
      <c r="C128" s="135"/>
      <c r="D128" s="48" t="s">
        <v>104</v>
      </c>
      <c r="E128" s="50"/>
      <c r="F128" s="38"/>
      <c r="G128" s="38"/>
      <c r="J128" s="15"/>
    </row>
    <row r="129" spans="1:19" x14ac:dyDescent="0.2">
      <c r="A129" s="49"/>
      <c r="B129" s="49"/>
      <c r="C129" s="49"/>
      <c r="D129" s="49"/>
      <c r="E129" s="49"/>
      <c r="F129" s="49"/>
      <c r="G129" s="49"/>
      <c r="J129" s="15"/>
    </row>
    <row r="130" spans="1:19" s="52" customFormat="1" x14ac:dyDescent="0.2">
      <c r="B130" s="136" t="s">
        <v>608</v>
      </c>
      <c r="C130" s="137"/>
      <c r="D130" s="138"/>
      <c r="I130"/>
      <c r="J130" s="15"/>
      <c r="K130"/>
      <c r="L130" s="51"/>
      <c r="M130" s="51"/>
      <c r="N130" s="51"/>
      <c r="O130" s="53"/>
      <c r="R130"/>
      <c r="S130"/>
    </row>
    <row r="131" spans="1:19" s="52" customFormat="1" ht="51" customHeight="1" x14ac:dyDescent="0.2">
      <c r="B131" s="127" t="s">
        <v>609</v>
      </c>
      <c r="C131" s="127"/>
      <c r="D131" s="54" t="s">
        <v>441</v>
      </c>
      <c r="I131"/>
      <c r="J131" s="15"/>
      <c r="K131"/>
      <c r="L131" s="51"/>
      <c r="M131" s="51"/>
      <c r="N131" s="51"/>
      <c r="O131" s="53"/>
      <c r="R131"/>
      <c r="S131"/>
    </row>
    <row r="132" spans="1:19" s="52" customFormat="1" x14ac:dyDescent="0.2">
      <c r="B132" s="128" t="s">
        <v>610</v>
      </c>
      <c r="C132" s="128"/>
      <c r="D132" s="55"/>
      <c r="I132"/>
      <c r="J132" s="15"/>
      <c r="K132"/>
      <c r="L132" s="51"/>
      <c r="M132" s="51"/>
      <c r="N132" s="51"/>
      <c r="O132" s="53"/>
      <c r="R132"/>
      <c r="S132"/>
    </row>
    <row r="133" spans="1:19" s="52" customFormat="1" x14ac:dyDescent="0.2">
      <c r="B133" s="128"/>
      <c r="C133" s="128"/>
      <c r="D133" s="56"/>
      <c r="I133"/>
      <c r="J133" s="15"/>
      <c r="K133"/>
      <c r="L133" s="51"/>
      <c r="M133" s="51"/>
      <c r="N133" s="51"/>
      <c r="O133" s="53"/>
      <c r="R133"/>
      <c r="S133"/>
    </row>
    <row r="134" spans="1:19" s="52" customFormat="1" x14ac:dyDescent="0.2">
      <c r="B134" s="128" t="s">
        <v>611</v>
      </c>
      <c r="C134" s="128"/>
      <c r="D134" s="57">
        <v>7.2871064317791712</v>
      </c>
      <c r="I134"/>
      <c r="J134" s="15"/>
      <c r="K134"/>
      <c r="L134" s="51"/>
      <c r="M134" s="51"/>
      <c r="N134" s="51"/>
      <c r="O134" s="53"/>
    </row>
    <row r="135" spans="1:19" s="52" customFormat="1" x14ac:dyDescent="0.2">
      <c r="B135" s="128"/>
      <c r="C135" s="128"/>
      <c r="D135" s="56"/>
      <c r="I135"/>
      <c r="J135" s="15"/>
      <c r="K135"/>
      <c r="L135" s="51"/>
      <c r="M135" s="51"/>
      <c r="N135" s="51"/>
      <c r="O135" s="53"/>
    </row>
    <row r="136" spans="1:19" s="52" customFormat="1" x14ac:dyDescent="0.2">
      <c r="B136" s="128" t="s">
        <v>612</v>
      </c>
      <c r="C136" s="128"/>
      <c r="D136" s="57">
        <v>2.5319318817209151</v>
      </c>
      <c r="I136"/>
      <c r="J136" s="15"/>
      <c r="K136"/>
      <c r="L136" s="51"/>
      <c r="M136" s="51"/>
      <c r="N136" s="51"/>
      <c r="O136" s="53"/>
    </row>
    <row r="137" spans="1:19" s="52" customFormat="1" x14ac:dyDescent="0.2">
      <c r="B137" s="128" t="s">
        <v>621</v>
      </c>
      <c r="C137" s="128"/>
      <c r="D137" s="57">
        <v>3.2816680492225698</v>
      </c>
      <c r="I137"/>
      <c r="J137" s="15"/>
      <c r="K137"/>
      <c r="L137" s="51"/>
      <c r="M137" s="51"/>
      <c r="N137" s="51"/>
      <c r="O137" s="53"/>
    </row>
    <row r="138" spans="1:19" s="52" customFormat="1" x14ac:dyDescent="0.2">
      <c r="B138" s="128"/>
      <c r="C138" s="128"/>
      <c r="D138" s="56"/>
      <c r="I138"/>
      <c r="J138" s="15"/>
      <c r="K138"/>
      <c r="L138" s="51"/>
      <c r="M138" s="51"/>
      <c r="N138" s="51"/>
      <c r="O138" s="53"/>
    </row>
    <row r="139" spans="1:19" s="52" customFormat="1" x14ac:dyDescent="0.2">
      <c r="B139" s="128" t="s">
        <v>614</v>
      </c>
      <c r="C139" s="128"/>
      <c r="D139" s="59" t="s">
        <v>687</v>
      </c>
      <c r="I139"/>
      <c r="J139" s="15"/>
      <c r="K139" s="51"/>
      <c r="L139" s="51"/>
      <c r="M139" s="51"/>
      <c r="N139" s="51"/>
      <c r="O139" s="53"/>
    </row>
    <row r="140" spans="1:19" s="52" customFormat="1" x14ac:dyDescent="0.2">
      <c r="B140" s="140" t="s">
        <v>615</v>
      </c>
      <c r="C140" s="142"/>
      <c r="D140" s="141"/>
      <c r="I140"/>
      <c r="J140" s="15"/>
      <c r="K140"/>
      <c r="L140" s="51"/>
      <c r="M140" s="51"/>
      <c r="N140" s="51"/>
      <c r="O140" s="53"/>
    </row>
    <row r="141" spans="1:19" x14ac:dyDescent="0.2">
      <c r="J141" s="15"/>
    </row>
    <row r="142" spans="1:19" ht="13.5" x14ac:dyDescent="0.2">
      <c r="B142" s="156" t="s">
        <v>688</v>
      </c>
      <c r="C142" s="156"/>
      <c r="D142" s="156"/>
      <c r="E142" s="156"/>
      <c r="F142" s="156"/>
      <c r="G142" s="156"/>
      <c r="H142" s="156"/>
    </row>
    <row r="143" spans="1:19" ht="13.5" x14ac:dyDescent="0.2">
      <c r="B143" s="112"/>
      <c r="C143" s="112"/>
      <c r="D143" s="112"/>
      <c r="E143" s="112"/>
      <c r="F143" s="112"/>
      <c r="G143" s="112"/>
      <c r="H143" s="112"/>
      <c r="J143" s="51"/>
      <c r="K143" s="51"/>
      <c r="L143" s="51"/>
      <c r="M143" s="51"/>
      <c r="N143" s="51"/>
      <c r="O143" s="51"/>
    </row>
    <row r="144" spans="1:19" ht="13.5" x14ac:dyDescent="0.25">
      <c r="B144" s="77" t="s">
        <v>629</v>
      </c>
      <c r="C144" s="77" t="s">
        <v>630</v>
      </c>
      <c r="D144" s="157" t="s">
        <v>624</v>
      </c>
      <c r="E144" s="158"/>
      <c r="F144" s="159"/>
      <c r="G144" s="160" t="s">
        <v>625</v>
      </c>
      <c r="H144" s="161"/>
      <c r="J144" s="51"/>
      <c r="K144" s="51"/>
      <c r="L144" s="51"/>
      <c r="M144" s="51"/>
      <c r="N144" s="51"/>
      <c r="O144" s="51"/>
    </row>
    <row r="145" spans="2:15" ht="27" x14ac:dyDescent="0.25">
      <c r="B145" s="80" t="s">
        <v>635</v>
      </c>
      <c r="C145" s="79" t="s">
        <v>654</v>
      </c>
      <c r="D145" s="162">
        <v>0</v>
      </c>
      <c r="E145" s="163"/>
      <c r="F145" s="164"/>
      <c r="G145" s="162">
        <v>0</v>
      </c>
      <c r="H145" s="164"/>
      <c r="J145" s="51"/>
      <c r="K145" s="51"/>
      <c r="L145" s="51"/>
      <c r="M145" s="51"/>
      <c r="N145" s="51"/>
      <c r="O145" s="51"/>
    </row>
    <row r="146" spans="2:15" ht="27" x14ac:dyDescent="0.25">
      <c r="B146" s="80" t="s">
        <v>631</v>
      </c>
      <c r="C146" s="79" t="s">
        <v>655</v>
      </c>
      <c r="D146" s="162">
        <v>0</v>
      </c>
      <c r="E146" s="163"/>
      <c r="F146" s="164"/>
      <c r="G146" s="162">
        <v>0</v>
      </c>
      <c r="H146" s="164"/>
      <c r="J146" s="51"/>
      <c r="K146" s="51"/>
      <c r="L146" s="51"/>
      <c r="M146" s="51"/>
      <c r="N146" s="51"/>
      <c r="O146" s="51"/>
    </row>
    <row r="147" spans="2:15" ht="27" x14ac:dyDescent="0.25">
      <c r="B147" s="80" t="s">
        <v>656</v>
      </c>
      <c r="C147" s="79" t="s">
        <v>657</v>
      </c>
      <c r="D147" s="162">
        <v>0</v>
      </c>
      <c r="E147" s="163"/>
      <c r="F147" s="164"/>
      <c r="G147" s="162">
        <v>0</v>
      </c>
      <c r="H147" s="164"/>
      <c r="J147" s="51"/>
      <c r="K147" s="51"/>
      <c r="L147" s="51"/>
      <c r="M147" s="51"/>
      <c r="N147" s="51"/>
      <c r="O147" s="51"/>
    </row>
    <row r="148" spans="2:15" ht="27" x14ac:dyDescent="0.25">
      <c r="B148" s="80" t="s">
        <v>633</v>
      </c>
      <c r="C148" s="79" t="s">
        <v>658</v>
      </c>
      <c r="D148" s="162">
        <v>0</v>
      </c>
      <c r="E148" s="163"/>
      <c r="F148" s="164"/>
      <c r="G148" s="162">
        <v>0</v>
      </c>
      <c r="H148" s="164"/>
      <c r="J148" s="51"/>
      <c r="K148" s="51"/>
      <c r="L148" s="51"/>
      <c r="M148" s="51"/>
      <c r="N148" s="51"/>
      <c r="O148" s="51"/>
    </row>
    <row r="149" spans="2:15" ht="13.5" x14ac:dyDescent="0.25">
      <c r="B149" s="80"/>
      <c r="C149" s="80"/>
      <c r="D149" s="150"/>
      <c r="E149" s="150"/>
      <c r="F149" s="150"/>
      <c r="G149" s="150"/>
      <c r="H149" s="150"/>
      <c r="J149" s="51"/>
      <c r="K149" s="51"/>
      <c r="L149" s="51"/>
      <c r="M149" s="51"/>
      <c r="N149" s="51"/>
      <c r="O149" s="51"/>
    </row>
    <row r="150" spans="2:15" ht="13.5" x14ac:dyDescent="0.25">
      <c r="B150" s="148" t="s">
        <v>637</v>
      </c>
      <c r="C150" s="148"/>
      <c r="D150" s="148"/>
      <c r="E150" s="148"/>
      <c r="F150" s="148"/>
      <c r="G150" s="148"/>
      <c r="H150" s="148"/>
      <c r="J150" s="51"/>
      <c r="K150" s="51"/>
      <c r="L150" s="51"/>
      <c r="M150" s="51"/>
      <c r="N150" s="51"/>
      <c r="O150" s="51"/>
    </row>
    <row r="151" spans="2:15" ht="13.5" customHeight="1" x14ac:dyDescent="0.2">
      <c r="B151" s="153" t="s">
        <v>629</v>
      </c>
      <c r="C151" s="153" t="s">
        <v>630</v>
      </c>
      <c r="D151" s="153" t="s">
        <v>638</v>
      </c>
      <c r="E151" s="153"/>
      <c r="F151" s="153"/>
      <c r="G151" s="153"/>
      <c r="H151" s="154" t="s">
        <v>639</v>
      </c>
      <c r="I151" s="154" t="s">
        <v>659</v>
      </c>
      <c r="J151" s="154" t="s">
        <v>641</v>
      </c>
      <c r="K151" s="51"/>
      <c r="L151" s="51"/>
      <c r="M151" s="51"/>
      <c r="N151" s="51"/>
      <c r="O151" s="51"/>
    </row>
    <row r="152" spans="2:15" ht="135" x14ac:dyDescent="0.2">
      <c r="B152" s="153"/>
      <c r="C152" s="153"/>
      <c r="D152" s="81" t="s">
        <v>642</v>
      </c>
      <c r="E152" s="81" t="s">
        <v>643</v>
      </c>
      <c r="F152" s="81" t="s">
        <v>644</v>
      </c>
      <c r="G152" s="81" t="s">
        <v>660</v>
      </c>
      <c r="H152" s="154"/>
      <c r="I152" s="154"/>
      <c r="J152" s="154"/>
      <c r="K152" s="51"/>
      <c r="L152" s="51"/>
      <c r="M152" s="51"/>
      <c r="N152" s="51"/>
      <c r="O152" s="51"/>
    </row>
    <row r="153" spans="2:15" ht="27" x14ac:dyDescent="0.25">
      <c r="B153" s="80" t="s">
        <v>635</v>
      </c>
      <c r="C153" s="79" t="s">
        <v>654</v>
      </c>
      <c r="D153" s="82">
        <v>3000</v>
      </c>
      <c r="E153" s="82">
        <v>198.60410960000002</v>
      </c>
      <c r="F153" s="113">
        <v>72.152053199999997</v>
      </c>
      <c r="G153" s="114">
        <v>3270.7561627999999</v>
      </c>
      <c r="H153" s="10">
        <v>1452.6372699999999</v>
      </c>
      <c r="I153" s="10">
        <f>2499839/10^5</f>
        <v>24.998390000000001</v>
      </c>
      <c r="J153" s="10">
        <f>H153+I153</f>
        <v>1477.6356599999999</v>
      </c>
      <c r="K153" s="51"/>
      <c r="L153" s="51"/>
      <c r="M153" s="51"/>
      <c r="N153" s="51"/>
      <c r="O153" s="51"/>
    </row>
    <row r="154" spans="2:15" ht="27" x14ac:dyDescent="0.25">
      <c r="B154" s="80" t="s">
        <v>631</v>
      </c>
      <c r="C154" s="79" t="s">
        <v>655</v>
      </c>
      <c r="D154" s="82">
        <v>500</v>
      </c>
      <c r="E154" s="82">
        <v>33.283561599999999</v>
      </c>
      <c r="F154" s="113">
        <v>12.091777499999999</v>
      </c>
      <c r="G154" s="114">
        <f>D154+E154+F154</f>
        <v>545.37533910000002</v>
      </c>
      <c r="H154" s="10">
        <v>242.22076999999999</v>
      </c>
      <c r="I154" s="10">
        <f>416840/10^5</f>
        <v>4.1684000000000001</v>
      </c>
      <c r="J154" s="10">
        <f>H154+I154</f>
        <v>246.38916999999998</v>
      </c>
      <c r="K154" s="51"/>
      <c r="L154" s="51"/>
      <c r="M154" s="51"/>
      <c r="N154" s="51"/>
      <c r="O154" s="51"/>
    </row>
    <row r="155" spans="2:15" ht="27" x14ac:dyDescent="0.25">
      <c r="B155" s="80" t="s">
        <v>656</v>
      </c>
      <c r="C155" s="79" t="s">
        <v>661</v>
      </c>
      <c r="D155" s="82">
        <v>2000</v>
      </c>
      <c r="E155" s="82">
        <v>39.762295099999996</v>
      </c>
      <c r="F155" s="113">
        <v>64.029485721917808</v>
      </c>
      <c r="G155" s="114">
        <v>2103.7917808219199</v>
      </c>
      <c r="H155" s="10">
        <v>933.64715000000001</v>
      </c>
      <c r="I155" s="10">
        <f>1606686/10^5</f>
        <v>16.066859999999998</v>
      </c>
      <c r="J155" s="10">
        <f>H155+I155</f>
        <v>949.71401000000003</v>
      </c>
      <c r="K155" s="51"/>
      <c r="L155" s="51"/>
      <c r="M155" s="51"/>
      <c r="N155" s="51"/>
      <c r="O155" s="51"/>
    </row>
    <row r="156" spans="2:15" ht="27" x14ac:dyDescent="0.25">
      <c r="B156" s="80" t="s">
        <v>633</v>
      </c>
      <c r="C156" s="79" t="s">
        <v>658</v>
      </c>
      <c r="D156" s="82">
        <v>1882.78</v>
      </c>
      <c r="E156" s="82">
        <v>137.066384</v>
      </c>
      <c r="F156" s="113">
        <v>34.266601500000007</v>
      </c>
      <c r="G156" s="114">
        <v>2054.1129854999999</v>
      </c>
      <c r="H156" s="10">
        <v>916.65184999999997</v>
      </c>
      <c r="I156" s="10">
        <f>1577458/10^5</f>
        <v>15.77458</v>
      </c>
      <c r="J156" s="10">
        <f>H156+I156</f>
        <v>932.42642999999998</v>
      </c>
      <c r="K156" s="51"/>
      <c r="L156" s="51"/>
      <c r="M156" s="51"/>
      <c r="N156" s="51"/>
      <c r="O156" s="51"/>
    </row>
    <row r="157" spans="2:15" ht="13.5" x14ac:dyDescent="0.25">
      <c r="B157" s="115"/>
      <c r="C157" s="116"/>
      <c r="D157" s="117"/>
      <c r="E157" s="117"/>
      <c r="F157" s="118"/>
      <c r="G157" s="119"/>
      <c r="H157" s="12"/>
      <c r="J157" s="15"/>
      <c r="K157" s="51"/>
      <c r="L157" s="51"/>
      <c r="M157" s="51"/>
      <c r="N157" s="51"/>
      <c r="O157" s="51"/>
    </row>
    <row r="158" spans="2:15" ht="39.75" customHeight="1" x14ac:dyDescent="0.2">
      <c r="B158" s="165" t="s">
        <v>662</v>
      </c>
      <c r="C158" s="165"/>
      <c r="D158" s="165"/>
      <c r="E158" s="165"/>
      <c r="F158" s="165"/>
      <c r="G158" s="165"/>
      <c r="H158" s="165"/>
      <c r="I158" s="165"/>
      <c r="J158" s="15"/>
      <c r="K158" s="51"/>
      <c r="L158" s="51"/>
      <c r="M158" s="51"/>
      <c r="N158" s="51"/>
      <c r="O158" s="51"/>
    </row>
    <row r="159" spans="2:15" x14ac:dyDescent="0.2">
      <c r="B159" s="51"/>
      <c r="C159" s="51"/>
      <c r="D159" s="51"/>
      <c r="E159" s="51"/>
      <c r="F159" s="51"/>
      <c r="G159" s="51"/>
      <c r="H159" s="51"/>
      <c r="J159" s="15"/>
      <c r="K159" s="51"/>
      <c r="L159" s="51"/>
      <c r="M159" s="51"/>
      <c r="N159" s="51"/>
      <c r="O159" s="51"/>
    </row>
    <row r="160" spans="2:15" ht="13.5" x14ac:dyDescent="0.25">
      <c r="B160" s="85" t="s">
        <v>646</v>
      </c>
      <c r="C160" s="51"/>
      <c r="D160" s="51"/>
      <c r="E160" s="51"/>
      <c r="F160" s="51"/>
      <c r="G160" s="51"/>
      <c r="H160" s="51"/>
      <c r="J160" s="15"/>
      <c r="K160" s="51"/>
      <c r="L160" s="51"/>
      <c r="M160" s="51"/>
      <c r="N160" s="51"/>
      <c r="O160" s="51"/>
    </row>
    <row r="161" spans="2:15" x14ac:dyDescent="0.2">
      <c r="B161" s="51"/>
      <c r="C161" s="51"/>
      <c r="D161" s="51"/>
      <c r="E161" s="51"/>
      <c r="F161" s="51"/>
      <c r="G161" s="51"/>
      <c r="H161" s="51"/>
      <c r="I161" s="51"/>
      <c r="J161" s="15"/>
      <c r="K161" s="51"/>
      <c r="L161" s="51"/>
      <c r="M161" s="51"/>
      <c r="N161" s="51"/>
      <c r="O161" s="51"/>
    </row>
    <row r="162" spans="2:15" x14ac:dyDescent="0.2">
      <c r="B162" s="86" t="s">
        <v>647</v>
      </c>
      <c r="C162" s="51"/>
      <c r="D162" s="51"/>
      <c r="E162" s="51"/>
      <c r="F162" s="51"/>
      <c r="G162" s="51"/>
      <c r="H162" s="51"/>
      <c r="I162" s="51"/>
      <c r="J162" s="15"/>
      <c r="K162" s="51"/>
      <c r="L162" s="51"/>
      <c r="M162" s="51"/>
      <c r="N162" s="51"/>
      <c r="O162" s="51"/>
    </row>
    <row r="163" spans="2:15" x14ac:dyDescent="0.2">
      <c r="B163" s="51"/>
      <c r="C163" s="51"/>
      <c r="D163" s="51"/>
      <c r="E163" s="51"/>
      <c r="F163" s="51"/>
      <c r="G163" s="51"/>
      <c r="H163" s="51"/>
      <c r="I163" s="51"/>
      <c r="J163" s="15"/>
      <c r="K163" s="51"/>
      <c r="L163" s="51"/>
      <c r="M163" s="51"/>
      <c r="N163" s="51"/>
      <c r="O163" s="51"/>
    </row>
    <row r="164" spans="2:15" x14ac:dyDescent="0.2">
      <c r="B164" s="86" t="s">
        <v>648</v>
      </c>
      <c r="C164" s="51"/>
      <c r="D164" s="51"/>
      <c r="E164" s="51"/>
      <c r="F164" s="51"/>
      <c r="G164" s="51"/>
      <c r="H164" s="51"/>
      <c r="I164" s="51"/>
      <c r="J164" s="15"/>
      <c r="K164" s="51"/>
      <c r="L164" s="51"/>
      <c r="M164" s="51"/>
      <c r="N164" s="51"/>
      <c r="O164" s="51"/>
    </row>
    <row r="165" spans="2:15" x14ac:dyDescent="0.2">
      <c r="I165" s="51"/>
      <c r="J165" s="15"/>
      <c r="K165" s="51"/>
      <c r="L165" s="51"/>
      <c r="M165" s="51"/>
      <c r="N165" s="51"/>
      <c r="O165" s="51"/>
    </row>
    <row r="166" spans="2:15" x14ac:dyDescent="0.2">
      <c r="B166" s="86" t="s">
        <v>649</v>
      </c>
      <c r="J166" s="15"/>
      <c r="K166" s="51"/>
      <c r="L166" s="51"/>
      <c r="M166" s="51"/>
      <c r="N166" s="51"/>
      <c r="O166" s="51"/>
    </row>
    <row r="167" spans="2:15" x14ac:dyDescent="0.2">
      <c r="I167" s="51"/>
      <c r="J167" s="15"/>
      <c r="K167" s="51"/>
      <c r="L167" s="51"/>
      <c r="M167" s="51"/>
      <c r="N167" s="51"/>
      <c r="O167" s="51"/>
    </row>
    <row r="168" spans="2:15" ht="25.5" x14ac:dyDescent="0.2">
      <c r="B168" s="61" t="s">
        <v>691</v>
      </c>
    </row>
    <row r="170" spans="2:15" ht="153.75" customHeight="1" x14ac:dyDescent="0.2"/>
    <row r="173" spans="2:15" x14ac:dyDescent="0.2">
      <c r="B173" s="62" t="s">
        <v>692</v>
      </c>
      <c r="C173" s="63"/>
      <c r="D173" s="62" t="s">
        <v>694</v>
      </c>
    </row>
    <row r="174" spans="2:15" x14ac:dyDescent="0.2">
      <c r="B174" s="62" t="s">
        <v>704</v>
      </c>
      <c r="D174" s="62" t="s">
        <v>705</v>
      </c>
    </row>
    <row r="175" spans="2:15" ht="165" customHeight="1" x14ac:dyDescent="0.2"/>
    <row r="177" spans="10:10" x14ac:dyDescent="0.2">
      <c r="J177" s="15"/>
    </row>
  </sheetData>
  <mergeCells count="48">
    <mergeCell ref="I151:I152"/>
    <mergeCell ref="J151:J152"/>
    <mergeCell ref="B158:I158"/>
    <mergeCell ref="B150:H150"/>
    <mergeCell ref="B151:B152"/>
    <mergeCell ref="C151:C152"/>
    <mergeCell ref="D151:G151"/>
    <mergeCell ref="H151:H152"/>
    <mergeCell ref="D147:F147"/>
    <mergeCell ref="G147:H147"/>
    <mergeCell ref="D148:F148"/>
    <mergeCell ref="G148:H148"/>
    <mergeCell ref="D149:F149"/>
    <mergeCell ref="G149:H149"/>
    <mergeCell ref="D144:F144"/>
    <mergeCell ref="G144:H144"/>
    <mergeCell ref="D145:F145"/>
    <mergeCell ref="G145:H145"/>
    <mergeCell ref="D146:F146"/>
    <mergeCell ref="G146:H146"/>
    <mergeCell ref="B137:C137"/>
    <mergeCell ref="B138:C138"/>
    <mergeCell ref="B139:C139"/>
    <mergeCell ref="B140:D140"/>
    <mergeCell ref="B142:H142"/>
    <mergeCell ref="B132:C132"/>
    <mergeCell ref="B133:C133"/>
    <mergeCell ref="B134:C134"/>
    <mergeCell ref="B135:C135"/>
    <mergeCell ref="B136:C136"/>
    <mergeCell ref="A1:H1"/>
    <mergeCell ref="A2:H2"/>
    <mergeCell ref="A3:H3"/>
    <mergeCell ref="B100:H100"/>
    <mergeCell ref="B101:H101"/>
    <mergeCell ref="B102:H102"/>
    <mergeCell ref="B103:H103"/>
    <mergeCell ref="B128:C128"/>
    <mergeCell ref="B131:C131"/>
    <mergeCell ref="B105:D105"/>
    <mergeCell ref="B106:C106"/>
    <mergeCell ref="B107:C107"/>
    <mergeCell ref="B108:C108"/>
    <mergeCell ref="B123:C123"/>
    <mergeCell ref="B127:C127"/>
    <mergeCell ref="B125:C125"/>
    <mergeCell ref="B126:C126"/>
    <mergeCell ref="B130:D130"/>
  </mergeCells>
  <hyperlinks>
    <hyperlink ref="I1" location="Index!B2" display="Index" xr:uid="{EF6BAAC6-32D0-4E5D-876F-ABD66DC6BD6F}"/>
    <hyperlink ref="B162" r:id="rId1" xr:uid="{96F254CE-A32F-4F1F-8E7F-91229F2E54A8}"/>
    <hyperlink ref="B164" r:id="rId2" xr:uid="{4AE654F7-A6F2-415F-AB85-0E792C504FAF}"/>
    <hyperlink ref="B166" r:id="rId3" xr:uid="{3C8BA2AD-7A0B-4336-9436-A94867B08FA5}"/>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1396-57DD-4ED3-B943-0308AFAF79F7}">
  <sheetPr>
    <outlinePr summaryBelow="0" summaryRight="0"/>
  </sheetPr>
  <dimension ref="A1:R19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8.85546875" bestFit="1" customWidth="1"/>
    <col min="9" max="9" width="7.28515625" customWidth="1"/>
  </cols>
  <sheetData>
    <row r="1" spans="1:9" ht="15" x14ac:dyDescent="0.2">
      <c r="A1" s="139" t="s">
        <v>0</v>
      </c>
      <c r="B1" s="139"/>
      <c r="C1" s="139"/>
      <c r="D1" s="139"/>
      <c r="E1" s="139"/>
      <c r="F1" s="139"/>
      <c r="G1" s="139"/>
      <c r="H1" s="139"/>
      <c r="I1" s="7" t="s">
        <v>598</v>
      </c>
    </row>
    <row r="2" spans="1:9" ht="15" x14ac:dyDescent="0.2">
      <c r="A2" s="139" t="s">
        <v>457</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601</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458</v>
      </c>
      <c r="C28" s="25" t="s">
        <v>459</v>
      </c>
      <c r="D28" s="25" t="s">
        <v>218</v>
      </c>
      <c r="E28" s="26">
        <v>750</v>
      </c>
      <c r="F28" s="27">
        <v>7496.5424999999996</v>
      </c>
      <c r="G28" s="28">
        <v>3.6155199999999998E-2</v>
      </c>
      <c r="H28" s="18">
        <v>7.4550000000000001</v>
      </c>
    </row>
    <row r="29" spans="1:8" x14ac:dyDescent="0.2">
      <c r="A29" s="24">
        <v>2</v>
      </c>
      <c r="B29" s="25" t="s">
        <v>221</v>
      </c>
      <c r="C29" s="25" t="s">
        <v>222</v>
      </c>
      <c r="D29" s="25" t="s">
        <v>223</v>
      </c>
      <c r="E29" s="26">
        <v>7000</v>
      </c>
      <c r="F29" s="27">
        <v>7038.8850000000002</v>
      </c>
      <c r="G29" s="28">
        <v>3.3947949999999998E-2</v>
      </c>
      <c r="H29" s="18">
        <v>8.3000000000000007</v>
      </c>
    </row>
    <row r="30" spans="1:8" ht="25.5" x14ac:dyDescent="0.2">
      <c r="A30" s="24">
        <v>3</v>
      </c>
      <c r="B30" s="25" t="s">
        <v>460</v>
      </c>
      <c r="C30" s="25" t="s">
        <v>461</v>
      </c>
      <c r="D30" s="25" t="s">
        <v>23</v>
      </c>
      <c r="E30" s="26">
        <v>300</v>
      </c>
      <c r="F30" s="27">
        <v>2986.0410000000002</v>
      </c>
      <c r="G30" s="28">
        <v>1.440143E-2</v>
      </c>
      <c r="H30" s="18">
        <v>7.39</v>
      </c>
    </row>
    <row r="31" spans="1:8" ht="25.5" x14ac:dyDescent="0.2">
      <c r="A31" s="24">
        <v>4</v>
      </c>
      <c r="B31" s="25" t="s">
        <v>462</v>
      </c>
      <c r="C31" s="25" t="s">
        <v>463</v>
      </c>
      <c r="D31" s="25" t="s">
        <v>245</v>
      </c>
      <c r="E31" s="26">
        <v>2500</v>
      </c>
      <c r="F31" s="27">
        <v>2501.42</v>
      </c>
      <c r="G31" s="28">
        <v>1.2064139999999999E-2</v>
      </c>
      <c r="H31" s="18">
        <v>7.7549999999999999</v>
      </c>
    </row>
    <row r="32" spans="1:8" ht="25.5" x14ac:dyDescent="0.2">
      <c r="A32" s="24">
        <v>5</v>
      </c>
      <c r="B32" s="25" t="s">
        <v>464</v>
      </c>
      <c r="C32" s="25" t="s">
        <v>465</v>
      </c>
      <c r="D32" s="25" t="s">
        <v>245</v>
      </c>
      <c r="E32" s="26">
        <v>250000</v>
      </c>
      <c r="F32" s="27">
        <v>2499.8325</v>
      </c>
      <c r="G32" s="28">
        <v>1.205648E-2</v>
      </c>
      <c r="H32" s="18">
        <v>7.9</v>
      </c>
    </row>
    <row r="33" spans="1:8" ht="25.5" x14ac:dyDescent="0.2">
      <c r="A33" s="24">
        <v>6</v>
      </c>
      <c r="B33" s="25" t="s">
        <v>55</v>
      </c>
      <c r="C33" s="25" t="s">
        <v>56</v>
      </c>
      <c r="D33" s="25" t="s">
        <v>23</v>
      </c>
      <c r="E33" s="26">
        <v>2500</v>
      </c>
      <c r="F33" s="27">
        <v>2497.9475000000002</v>
      </c>
      <c r="G33" s="28">
        <v>1.204739E-2</v>
      </c>
      <c r="H33" s="18">
        <v>7.5934999999999997</v>
      </c>
    </row>
    <row r="34" spans="1:8" ht="25.5" x14ac:dyDescent="0.2">
      <c r="A34" s="24">
        <v>7</v>
      </c>
      <c r="B34" s="25" t="s">
        <v>466</v>
      </c>
      <c r="C34" s="25" t="s">
        <v>467</v>
      </c>
      <c r="D34" s="25" t="s">
        <v>23</v>
      </c>
      <c r="E34" s="26">
        <v>250</v>
      </c>
      <c r="F34" s="27">
        <v>2488.1550000000002</v>
      </c>
      <c r="G34" s="28">
        <v>1.2000159999999999E-2</v>
      </c>
      <c r="H34" s="18">
        <v>8.0088000000000008</v>
      </c>
    </row>
    <row r="35" spans="1:8" ht="25.5" x14ac:dyDescent="0.2">
      <c r="A35" s="24">
        <v>8</v>
      </c>
      <c r="B35" s="25" t="s">
        <v>468</v>
      </c>
      <c r="C35" s="25" t="s">
        <v>469</v>
      </c>
      <c r="D35" s="25" t="s">
        <v>23</v>
      </c>
      <c r="E35" s="26">
        <v>250</v>
      </c>
      <c r="F35" s="27">
        <v>2467</v>
      </c>
      <c r="G35" s="28">
        <v>1.189813E-2</v>
      </c>
      <c r="H35" s="18">
        <v>7.6449999999999996</v>
      </c>
    </row>
    <row r="36" spans="1:8" x14ac:dyDescent="0.2">
      <c r="A36" s="24">
        <v>9</v>
      </c>
      <c r="B36" s="25" t="s">
        <v>224</v>
      </c>
      <c r="C36" s="25" t="s">
        <v>225</v>
      </c>
      <c r="D36" s="25" t="s">
        <v>223</v>
      </c>
      <c r="E36" s="26">
        <v>2000</v>
      </c>
      <c r="F36" s="27">
        <v>2004.652</v>
      </c>
      <c r="G36" s="28">
        <v>9.6682699999999996E-3</v>
      </c>
      <c r="H36" s="18">
        <v>8.9499999999999993</v>
      </c>
    </row>
    <row r="37" spans="1:8" ht="25.5" x14ac:dyDescent="0.2">
      <c r="A37" s="24">
        <v>10</v>
      </c>
      <c r="B37" s="25" t="s">
        <v>243</v>
      </c>
      <c r="C37" s="25" t="s">
        <v>244</v>
      </c>
      <c r="D37" s="25" t="s">
        <v>245</v>
      </c>
      <c r="E37" s="26">
        <v>200</v>
      </c>
      <c r="F37" s="27">
        <v>2003.71</v>
      </c>
      <c r="G37" s="28">
        <v>9.6637300000000006E-3</v>
      </c>
      <c r="H37" s="18">
        <v>8.2249999999999996</v>
      </c>
    </row>
    <row r="38" spans="1:8" x14ac:dyDescent="0.2">
      <c r="A38" s="24">
        <v>11</v>
      </c>
      <c r="B38" s="25" t="s">
        <v>216</v>
      </c>
      <c r="C38" s="25" t="s">
        <v>217</v>
      </c>
      <c r="D38" s="25" t="s">
        <v>218</v>
      </c>
      <c r="E38" s="26">
        <v>1600</v>
      </c>
      <c r="F38" s="27">
        <v>1608.9584</v>
      </c>
      <c r="G38" s="28">
        <v>7.7598700000000003E-3</v>
      </c>
      <c r="H38" s="18">
        <v>8.0299999999999994</v>
      </c>
    </row>
    <row r="39" spans="1:8" ht="25.5" x14ac:dyDescent="0.2">
      <c r="A39" s="24">
        <v>12</v>
      </c>
      <c r="B39" s="25" t="s">
        <v>59</v>
      </c>
      <c r="C39" s="25" t="s">
        <v>60</v>
      </c>
      <c r="D39" s="25" t="s">
        <v>23</v>
      </c>
      <c r="E39" s="26">
        <v>1500</v>
      </c>
      <c r="F39" s="27">
        <v>1499.7104999999999</v>
      </c>
      <c r="G39" s="28">
        <v>7.23298E-3</v>
      </c>
      <c r="H39" s="18">
        <v>8.0399999999999991</v>
      </c>
    </row>
    <row r="40" spans="1:8" x14ac:dyDescent="0.2">
      <c r="A40" s="24">
        <v>13</v>
      </c>
      <c r="B40" s="25" t="s">
        <v>228</v>
      </c>
      <c r="C40" s="25" t="s">
        <v>229</v>
      </c>
      <c r="D40" s="25" t="s">
        <v>23</v>
      </c>
      <c r="E40" s="26">
        <v>1500</v>
      </c>
      <c r="F40" s="27">
        <v>1499.211</v>
      </c>
      <c r="G40" s="28">
        <v>7.2305700000000004E-3</v>
      </c>
      <c r="H40" s="18">
        <v>7.55</v>
      </c>
    </row>
    <row r="41" spans="1:8" x14ac:dyDescent="0.2">
      <c r="A41" s="24">
        <v>14</v>
      </c>
      <c r="B41" s="25" t="s">
        <v>239</v>
      </c>
      <c r="C41" s="25" t="s">
        <v>240</v>
      </c>
      <c r="D41" s="25" t="s">
        <v>223</v>
      </c>
      <c r="E41" s="26">
        <v>1000</v>
      </c>
      <c r="F41" s="27">
        <v>1003.324</v>
      </c>
      <c r="G41" s="28">
        <v>4.8389499999999998E-3</v>
      </c>
      <c r="H41" s="18">
        <v>8.8849999999999998</v>
      </c>
    </row>
    <row r="42" spans="1:8" x14ac:dyDescent="0.2">
      <c r="A42" s="16"/>
      <c r="B42" s="16"/>
      <c r="C42" s="17" t="s">
        <v>11</v>
      </c>
      <c r="D42" s="16"/>
      <c r="E42" s="16" t="s">
        <v>12</v>
      </c>
      <c r="F42" s="23">
        <v>39595.3894</v>
      </c>
      <c r="G42" s="20">
        <v>0.19096525</v>
      </c>
      <c r="H42" s="18" t="s">
        <v>12</v>
      </c>
    </row>
    <row r="43" spans="1:8" x14ac:dyDescent="0.2">
      <c r="A43" s="16"/>
      <c r="B43" s="16"/>
      <c r="C43" s="21"/>
      <c r="D43" s="16"/>
      <c r="E43" s="16"/>
      <c r="F43" s="22"/>
      <c r="G43" s="22"/>
      <c r="H43" s="18" t="s">
        <v>12</v>
      </c>
    </row>
    <row r="44" spans="1:8" x14ac:dyDescent="0.2">
      <c r="A44" s="16"/>
      <c r="B44" s="16"/>
      <c r="C44" s="17" t="s">
        <v>67</v>
      </c>
      <c r="D44" s="16"/>
      <c r="E44" s="16"/>
      <c r="F44" s="16"/>
      <c r="G44" s="16"/>
      <c r="H44" s="18" t="s">
        <v>12</v>
      </c>
    </row>
    <row r="45" spans="1:8" x14ac:dyDescent="0.2">
      <c r="A45" s="16"/>
      <c r="B45" s="16"/>
      <c r="C45" s="17" t="s">
        <v>11</v>
      </c>
      <c r="D45" s="16"/>
      <c r="E45" s="16" t="s">
        <v>12</v>
      </c>
      <c r="F45" s="19" t="s">
        <v>13</v>
      </c>
      <c r="G45" s="20">
        <v>0</v>
      </c>
      <c r="H45" s="18" t="s">
        <v>12</v>
      </c>
    </row>
    <row r="46" spans="1:8" x14ac:dyDescent="0.2">
      <c r="A46" s="16"/>
      <c r="B46" s="16"/>
      <c r="C46" s="21"/>
      <c r="D46" s="16"/>
      <c r="E46" s="16"/>
      <c r="F46" s="22"/>
      <c r="G46" s="22"/>
      <c r="H46" s="18" t="s">
        <v>12</v>
      </c>
    </row>
    <row r="47" spans="1:8" x14ac:dyDescent="0.2">
      <c r="A47" s="16"/>
      <c r="B47" s="16"/>
      <c r="C47" s="17" t="s">
        <v>68</v>
      </c>
      <c r="D47" s="16"/>
      <c r="E47" s="16"/>
      <c r="F47" s="16"/>
      <c r="G47" s="16"/>
      <c r="H47" s="18" t="s">
        <v>12</v>
      </c>
    </row>
    <row r="48" spans="1:8" x14ac:dyDescent="0.2">
      <c r="A48" s="16"/>
      <c r="B48" s="16"/>
      <c r="C48" s="17" t="s">
        <v>11</v>
      </c>
      <c r="D48" s="16"/>
      <c r="E48" s="16" t="s">
        <v>12</v>
      </c>
      <c r="F48" s="19" t="s">
        <v>13</v>
      </c>
      <c r="G48" s="20">
        <v>0</v>
      </c>
      <c r="H48" s="18" t="s">
        <v>12</v>
      </c>
    </row>
    <row r="49" spans="1:8" x14ac:dyDescent="0.2">
      <c r="A49" s="16"/>
      <c r="B49" s="16"/>
      <c r="C49" s="21"/>
      <c r="D49" s="16"/>
      <c r="E49" s="16"/>
      <c r="F49" s="22"/>
      <c r="G49" s="22"/>
      <c r="H49" s="18" t="s">
        <v>12</v>
      </c>
    </row>
    <row r="50" spans="1:8" x14ac:dyDescent="0.2">
      <c r="A50" s="16"/>
      <c r="B50" s="16"/>
      <c r="C50" s="17" t="s">
        <v>84</v>
      </c>
      <c r="D50" s="16"/>
      <c r="E50" s="16"/>
      <c r="F50" s="22"/>
      <c r="G50" s="22"/>
      <c r="H50" s="18" t="s">
        <v>12</v>
      </c>
    </row>
    <row r="51" spans="1:8" x14ac:dyDescent="0.2">
      <c r="A51" s="16"/>
      <c r="B51" s="16"/>
      <c r="C51" s="17" t="s">
        <v>11</v>
      </c>
      <c r="D51" s="16"/>
      <c r="E51" s="16" t="s">
        <v>12</v>
      </c>
      <c r="F51" s="19" t="s">
        <v>13</v>
      </c>
      <c r="G51" s="20">
        <v>0</v>
      </c>
      <c r="H51" s="18" t="s">
        <v>12</v>
      </c>
    </row>
    <row r="52" spans="1:8" x14ac:dyDescent="0.2">
      <c r="A52" s="16"/>
      <c r="B52" s="16"/>
      <c r="C52" s="21"/>
      <c r="D52" s="16"/>
      <c r="E52" s="16"/>
      <c r="F52" s="22"/>
      <c r="G52" s="22"/>
      <c r="H52" s="18" t="s">
        <v>12</v>
      </c>
    </row>
    <row r="53" spans="1:8" x14ac:dyDescent="0.2">
      <c r="A53" s="16"/>
      <c r="B53" s="16"/>
      <c r="C53" s="17" t="s">
        <v>85</v>
      </c>
      <c r="D53" s="16"/>
      <c r="E53" s="16"/>
      <c r="F53" s="23">
        <v>39595.3894</v>
      </c>
      <c r="G53" s="20">
        <v>0.19096525</v>
      </c>
      <c r="H53" s="18" t="s">
        <v>12</v>
      </c>
    </row>
    <row r="54" spans="1:8" x14ac:dyDescent="0.2">
      <c r="A54" s="16"/>
      <c r="B54" s="16"/>
      <c r="C54" s="21"/>
      <c r="D54" s="16"/>
      <c r="E54" s="16"/>
      <c r="F54" s="22"/>
      <c r="G54" s="22"/>
      <c r="H54" s="18" t="s">
        <v>12</v>
      </c>
    </row>
    <row r="55" spans="1:8" x14ac:dyDescent="0.2">
      <c r="A55" s="16"/>
      <c r="B55" s="16"/>
      <c r="C55" s="17" t="s">
        <v>86</v>
      </c>
      <c r="D55" s="16"/>
      <c r="E55" s="16"/>
      <c r="F55" s="22"/>
      <c r="G55" s="22"/>
      <c r="H55" s="18" t="s">
        <v>12</v>
      </c>
    </row>
    <row r="56" spans="1:8" x14ac:dyDescent="0.2">
      <c r="A56" s="16"/>
      <c r="B56" s="16"/>
      <c r="C56" s="17" t="s">
        <v>87</v>
      </c>
      <c r="D56" s="16"/>
      <c r="E56" s="16"/>
      <c r="F56" s="22"/>
      <c r="G56" s="22"/>
      <c r="H56" s="18" t="s">
        <v>12</v>
      </c>
    </row>
    <row r="57" spans="1:8" x14ac:dyDescent="0.2">
      <c r="A57" s="24">
        <v>1</v>
      </c>
      <c r="B57" s="25" t="s">
        <v>252</v>
      </c>
      <c r="C57" s="25" t="s">
        <v>253</v>
      </c>
      <c r="D57" s="25" t="s">
        <v>139</v>
      </c>
      <c r="E57" s="26">
        <v>1500</v>
      </c>
      <c r="F57" s="27">
        <v>7354.4250000000002</v>
      </c>
      <c r="G57" s="28">
        <v>3.5469779999999999E-2</v>
      </c>
      <c r="H57" s="18">
        <v>7.2249999999999996</v>
      </c>
    </row>
    <row r="58" spans="1:8" x14ac:dyDescent="0.2">
      <c r="A58" s="24">
        <v>2</v>
      </c>
      <c r="B58" s="25" t="s">
        <v>315</v>
      </c>
      <c r="C58" s="25" t="s">
        <v>316</v>
      </c>
      <c r="D58" s="25" t="s">
        <v>146</v>
      </c>
      <c r="E58" s="26">
        <v>1000</v>
      </c>
      <c r="F58" s="27">
        <v>4995.2849999999999</v>
      </c>
      <c r="G58" s="28">
        <v>2.409184E-2</v>
      </c>
      <c r="H58" s="18">
        <v>6.89</v>
      </c>
    </row>
    <row r="59" spans="1:8" x14ac:dyDescent="0.2">
      <c r="A59" s="24">
        <v>3</v>
      </c>
      <c r="B59" s="25" t="s">
        <v>470</v>
      </c>
      <c r="C59" s="25" t="s">
        <v>471</v>
      </c>
      <c r="D59" s="25" t="s">
        <v>139</v>
      </c>
      <c r="E59" s="26">
        <v>1000</v>
      </c>
      <c r="F59" s="27">
        <v>4988.66</v>
      </c>
      <c r="G59" s="28">
        <v>2.405989E-2</v>
      </c>
      <c r="H59" s="18">
        <v>6.915</v>
      </c>
    </row>
    <row r="60" spans="1:8" x14ac:dyDescent="0.2">
      <c r="A60" s="24">
        <v>4</v>
      </c>
      <c r="B60" s="25" t="s">
        <v>472</v>
      </c>
      <c r="C60" s="25" t="s">
        <v>473</v>
      </c>
      <c r="D60" s="25" t="s">
        <v>139</v>
      </c>
      <c r="E60" s="26">
        <v>1000</v>
      </c>
      <c r="F60" s="27">
        <v>4914.6850000000004</v>
      </c>
      <c r="G60" s="28">
        <v>2.3703109999999999E-2</v>
      </c>
      <c r="H60" s="18">
        <v>7.2</v>
      </c>
    </row>
    <row r="61" spans="1:8" x14ac:dyDescent="0.2">
      <c r="A61" s="24">
        <v>5</v>
      </c>
      <c r="B61" s="25" t="s">
        <v>178</v>
      </c>
      <c r="C61" s="25" t="s">
        <v>179</v>
      </c>
      <c r="D61" s="25" t="s">
        <v>149</v>
      </c>
      <c r="E61" s="26">
        <v>900</v>
      </c>
      <c r="F61" s="27">
        <v>4362.5384999999997</v>
      </c>
      <c r="G61" s="28">
        <v>2.1040159999999999E-2</v>
      </c>
      <c r="H61" s="18">
        <v>7.42</v>
      </c>
    </row>
    <row r="62" spans="1:8" x14ac:dyDescent="0.2">
      <c r="A62" s="24">
        <v>6</v>
      </c>
      <c r="B62" s="25" t="s">
        <v>180</v>
      </c>
      <c r="C62" s="25" t="s">
        <v>181</v>
      </c>
      <c r="D62" s="25" t="s">
        <v>139</v>
      </c>
      <c r="E62" s="26">
        <v>900</v>
      </c>
      <c r="F62" s="27">
        <v>4349.9520000000002</v>
      </c>
      <c r="G62" s="28">
        <v>2.097945E-2</v>
      </c>
      <c r="H62" s="18">
        <v>7.45</v>
      </c>
    </row>
    <row r="63" spans="1:8" x14ac:dyDescent="0.2">
      <c r="A63" s="24">
        <v>7</v>
      </c>
      <c r="B63" s="25" t="s">
        <v>166</v>
      </c>
      <c r="C63" s="25" t="s">
        <v>167</v>
      </c>
      <c r="D63" s="25" t="s">
        <v>146</v>
      </c>
      <c r="E63" s="26">
        <v>840</v>
      </c>
      <c r="F63" s="27">
        <v>4005.9978000000001</v>
      </c>
      <c r="G63" s="28">
        <v>1.9320589999999999E-2</v>
      </c>
      <c r="H63" s="18">
        <v>7.49</v>
      </c>
    </row>
    <row r="64" spans="1:8" ht="25.5" x14ac:dyDescent="0.2">
      <c r="A64" s="24">
        <v>8</v>
      </c>
      <c r="B64" s="25" t="s">
        <v>256</v>
      </c>
      <c r="C64" s="25" t="s">
        <v>257</v>
      </c>
      <c r="D64" s="25" t="s">
        <v>139</v>
      </c>
      <c r="E64" s="26">
        <v>800</v>
      </c>
      <c r="F64" s="27">
        <v>3947.1280000000002</v>
      </c>
      <c r="G64" s="28">
        <v>1.9036669999999999E-2</v>
      </c>
      <c r="H64" s="18">
        <v>7.19</v>
      </c>
    </row>
    <row r="65" spans="1:8" x14ac:dyDescent="0.2">
      <c r="A65" s="24">
        <v>9</v>
      </c>
      <c r="B65" s="25" t="s">
        <v>176</v>
      </c>
      <c r="C65" s="25" t="s">
        <v>177</v>
      </c>
      <c r="D65" s="25" t="s">
        <v>146</v>
      </c>
      <c r="E65" s="26">
        <v>800</v>
      </c>
      <c r="F65" s="27">
        <v>3931.9279999999999</v>
      </c>
      <c r="G65" s="28">
        <v>1.8963359999999999E-2</v>
      </c>
      <c r="H65" s="18">
        <v>7.1811999999999996</v>
      </c>
    </row>
    <row r="66" spans="1:8" x14ac:dyDescent="0.2">
      <c r="A66" s="24">
        <v>10</v>
      </c>
      <c r="B66" s="25" t="s">
        <v>254</v>
      </c>
      <c r="C66" s="25" t="s">
        <v>255</v>
      </c>
      <c r="D66" s="25" t="s">
        <v>146</v>
      </c>
      <c r="E66" s="26">
        <v>700</v>
      </c>
      <c r="F66" s="27">
        <v>3427.0145000000002</v>
      </c>
      <c r="G66" s="28">
        <v>1.65282E-2</v>
      </c>
      <c r="H66" s="18">
        <v>7.2648999999999999</v>
      </c>
    </row>
    <row r="67" spans="1:8" x14ac:dyDescent="0.2">
      <c r="A67" s="24">
        <v>11</v>
      </c>
      <c r="B67" s="25" t="s">
        <v>168</v>
      </c>
      <c r="C67" s="25" t="s">
        <v>169</v>
      </c>
      <c r="D67" s="25" t="s">
        <v>139</v>
      </c>
      <c r="E67" s="26">
        <v>660</v>
      </c>
      <c r="F67" s="27">
        <v>3247.3287</v>
      </c>
      <c r="G67" s="28">
        <v>1.566159E-2</v>
      </c>
      <c r="H67" s="18">
        <v>7.2199</v>
      </c>
    </row>
    <row r="68" spans="1:8" x14ac:dyDescent="0.2">
      <c r="A68" s="24">
        <v>12</v>
      </c>
      <c r="B68" s="25" t="s">
        <v>170</v>
      </c>
      <c r="C68" s="25" t="s">
        <v>171</v>
      </c>
      <c r="D68" s="25" t="s">
        <v>139</v>
      </c>
      <c r="E68" s="26">
        <v>660</v>
      </c>
      <c r="F68" s="27">
        <v>3245.5070999999998</v>
      </c>
      <c r="G68" s="28">
        <v>1.565281E-2</v>
      </c>
      <c r="H68" s="18">
        <v>7.21</v>
      </c>
    </row>
    <row r="69" spans="1:8" x14ac:dyDescent="0.2">
      <c r="A69" s="24">
        <v>13</v>
      </c>
      <c r="B69" s="25" t="s">
        <v>172</v>
      </c>
      <c r="C69" s="25" t="s">
        <v>173</v>
      </c>
      <c r="D69" s="25" t="s">
        <v>146</v>
      </c>
      <c r="E69" s="26">
        <v>600</v>
      </c>
      <c r="F69" s="27">
        <v>2964.6239999999998</v>
      </c>
      <c r="G69" s="28">
        <v>1.4298129999999999E-2</v>
      </c>
      <c r="H69" s="18">
        <v>7.14</v>
      </c>
    </row>
    <row r="70" spans="1:8" x14ac:dyDescent="0.2">
      <c r="A70" s="24">
        <v>14</v>
      </c>
      <c r="B70" s="25" t="s">
        <v>474</v>
      </c>
      <c r="C70" s="25" t="s">
        <v>475</v>
      </c>
      <c r="D70" s="25" t="s">
        <v>139</v>
      </c>
      <c r="E70" s="26">
        <v>500</v>
      </c>
      <c r="F70" s="27">
        <v>2467.9575</v>
      </c>
      <c r="G70" s="28">
        <v>1.190275E-2</v>
      </c>
      <c r="H70" s="18">
        <v>7.1801000000000004</v>
      </c>
    </row>
    <row r="71" spans="1:8" ht="25.5" x14ac:dyDescent="0.2">
      <c r="A71" s="24">
        <v>15</v>
      </c>
      <c r="B71" s="25" t="s">
        <v>476</v>
      </c>
      <c r="C71" s="25" t="s">
        <v>477</v>
      </c>
      <c r="D71" s="25" t="s">
        <v>139</v>
      </c>
      <c r="E71" s="26">
        <v>500</v>
      </c>
      <c r="F71" s="27">
        <v>2466.9549999999999</v>
      </c>
      <c r="G71" s="28">
        <v>1.1897919999999999E-2</v>
      </c>
      <c r="H71" s="18">
        <v>7.1901000000000002</v>
      </c>
    </row>
    <row r="72" spans="1:8" x14ac:dyDescent="0.2">
      <c r="A72" s="24">
        <v>16</v>
      </c>
      <c r="B72" s="25" t="s">
        <v>478</v>
      </c>
      <c r="C72" s="25" t="s">
        <v>479</v>
      </c>
      <c r="D72" s="25" t="s">
        <v>139</v>
      </c>
      <c r="E72" s="26">
        <v>500</v>
      </c>
      <c r="F72" s="27">
        <v>2466.9</v>
      </c>
      <c r="G72" s="28">
        <v>1.1897649999999999E-2</v>
      </c>
      <c r="H72" s="18">
        <v>7.2020999999999997</v>
      </c>
    </row>
    <row r="73" spans="1:8" x14ac:dyDescent="0.2">
      <c r="A73" s="24">
        <v>17</v>
      </c>
      <c r="B73" s="25" t="s">
        <v>480</v>
      </c>
      <c r="C73" s="25" t="s">
        <v>481</v>
      </c>
      <c r="D73" s="25" t="s">
        <v>149</v>
      </c>
      <c r="E73" s="26">
        <v>500</v>
      </c>
      <c r="F73" s="27">
        <v>2451.9825000000001</v>
      </c>
      <c r="G73" s="28">
        <v>1.182571E-2</v>
      </c>
      <c r="H73" s="18">
        <v>7.2202000000000002</v>
      </c>
    </row>
    <row r="74" spans="1:8" x14ac:dyDescent="0.2">
      <c r="A74" s="24">
        <v>18</v>
      </c>
      <c r="B74" s="25" t="s">
        <v>482</v>
      </c>
      <c r="C74" s="25" t="s">
        <v>483</v>
      </c>
      <c r="D74" s="25" t="s">
        <v>139</v>
      </c>
      <c r="E74" s="26">
        <v>500</v>
      </c>
      <c r="F74" s="27">
        <v>2451.5725000000002</v>
      </c>
      <c r="G74" s="28">
        <v>1.1823729999999999E-2</v>
      </c>
      <c r="H74" s="18">
        <v>7.2100999999999997</v>
      </c>
    </row>
    <row r="75" spans="1:8" x14ac:dyDescent="0.2">
      <c r="A75" s="24">
        <v>19</v>
      </c>
      <c r="B75" s="25" t="s">
        <v>144</v>
      </c>
      <c r="C75" s="25" t="s">
        <v>145</v>
      </c>
      <c r="D75" s="25" t="s">
        <v>146</v>
      </c>
      <c r="E75" s="26">
        <v>500</v>
      </c>
      <c r="F75" s="27">
        <v>2448.8325</v>
      </c>
      <c r="G75" s="28">
        <v>1.181051E-2</v>
      </c>
      <c r="H75" s="18">
        <v>7.1950000000000003</v>
      </c>
    </row>
    <row r="76" spans="1:8" x14ac:dyDescent="0.2">
      <c r="A76" s="24">
        <v>20</v>
      </c>
      <c r="B76" s="25" t="s">
        <v>158</v>
      </c>
      <c r="C76" s="25" t="s">
        <v>159</v>
      </c>
      <c r="D76" s="25" t="s">
        <v>139</v>
      </c>
      <c r="E76" s="26">
        <v>500</v>
      </c>
      <c r="F76" s="27">
        <v>2414.8449999999998</v>
      </c>
      <c r="G76" s="28">
        <v>1.16466E-2</v>
      </c>
      <c r="H76" s="18">
        <v>7.44</v>
      </c>
    </row>
    <row r="77" spans="1:8" x14ac:dyDescent="0.2">
      <c r="A77" s="24">
        <v>21</v>
      </c>
      <c r="B77" s="25" t="s">
        <v>484</v>
      </c>
      <c r="C77" s="25" t="s">
        <v>485</v>
      </c>
      <c r="D77" s="25" t="s">
        <v>139</v>
      </c>
      <c r="E77" s="26">
        <v>500</v>
      </c>
      <c r="F77" s="27">
        <v>2411.7874999999999</v>
      </c>
      <c r="G77" s="28">
        <v>1.1631849999999999E-2</v>
      </c>
      <c r="H77" s="18">
        <v>7.5</v>
      </c>
    </row>
    <row r="78" spans="1:8" x14ac:dyDescent="0.2">
      <c r="A78" s="24">
        <v>22</v>
      </c>
      <c r="B78" s="25" t="s">
        <v>486</v>
      </c>
      <c r="C78" s="25" t="s">
        <v>487</v>
      </c>
      <c r="D78" s="25" t="s">
        <v>139</v>
      </c>
      <c r="E78" s="26">
        <v>500</v>
      </c>
      <c r="F78" s="27">
        <v>2370.3850000000002</v>
      </c>
      <c r="G78" s="28">
        <v>1.143217E-2</v>
      </c>
      <c r="H78" s="18">
        <v>7.5601000000000003</v>
      </c>
    </row>
    <row r="79" spans="1:8" x14ac:dyDescent="0.2">
      <c r="A79" s="24">
        <v>23</v>
      </c>
      <c r="B79" s="25" t="s">
        <v>488</v>
      </c>
      <c r="C79" s="25" t="s">
        <v>489</v>
      </c>
      <c r="D79" s="25" t="s">
        <v>139</v>
      </c>
      <c r="E79" s="26">
        <v>500</v>
      </c>
      <c r="F79" s="27">
        <v>2369.6950000000002</v>
      </c>
      <c r="G79" s="28">
        <v>1.1428839999999999E-2</v>
      </c>
      <c r="H79" s="18">
        <v>7.69</v>
      </c>
    </row>
    <row r="80" spans="1:8" x14ac:dyDescent="0.2">
      <c r="A80" s="24">
        <v>24</v>
      </c>
      <c r="B80" s="25" t="s">
        <v>164</v>
      </c>
      <c r="C80" s="25" t="s">
        <v>165</v>
      </c>
      <c r="D80" s="25" t="s">
        <v>139</v>
      </c>
      <c r="E80" s="26">
        <v>500</v>
      </c>
      <c r="F80" s="27">
        <v>2325.2925</v>
      </c>
      <c r="G80" s="28">
        <v>1.1214689999999999E-2</v>
      </c>
      <c r="H80" s="18">
        <v>7.7249999999999996</v>
      </c>
    </row>
    <row r="81" spans="1:8" x14ac:dyDescent="0.2">
      <c r="A81" s="24">
        <v>25</v>
      </c>
      <c r="B81" s="25" t="s">
        <v>152</v>
      </c>
      <c r="C81" s="25" t="s">
        <v>153</v>
      </c>
      <c r="D81" s="25" t="s">
        <v>139</v>
      </c>
      <c r="E81" s="26">
        <v>500</v>
      </c>
      <c r="F81" s="27">
        <v>2323.9124999999999</v>
      </c>
      <c r="G81" s="28">
        <v>1.1208040000000001E-2</v>
      </c>
      <c r="H81" s="18">
        <v>7.64</v>
      </c>
    </row>
    <row r="82" spans="1:8" x14ac:dyDescent="0.2">
      <c r="A82" s="24">
        <v>26</v>
      </c>
      <c r="B82" s="25" t="s">
        <v>174</v>
      </c>
      <c r="C82" s="25" t="s">
        <v>175</v>
      </c>
      <c r="D82" s="25" t="s">
        <v>139</v>
      </c>
      <c r="E82" s="26">
        <v>400</v>
      </c>
      <c r="F82" s="27">
        <v>1974.68</v>
      </c>
      <c r="G82" s="28">
        <v>9.5237199999999994E-3</v>
      </c>
      <c r="H82" s="18">
        <v>7.2</v>
      </c>
    </row>
    <row r="83" spans="1:8" x14ac:dyDescent="0.2">
      <c r="A83" s="24">
        <v>27</v>
      </c>
      <c r="B83" s="25" t="s">
        <v>160</v>
      </c>
      <c r="C83" s="25" t="s">
        <v>161</v>
      </c>
      <c r="D83" s="25" t="s">
        <v>139</v>
      </c>
      <c r="E83" s="26">
        <v>300</v>
      </c>
      <c r="F83" s="27">
        <v>1476.4829999999999</v>
      </c>
      <c r="G83" s="28">
        <v>7.12095E-3</v>
      </c>
      <c r="H83" s="18">
        <v>7.1775000000000002</v>
      </c>
    </row>
    <row r="84" spans="1:8" ht="25.5" x14ac:dyDescent="0.2">
      <c r="A84" s="24">
        <v>28</v>
      </c>
      <c r="B84" s="25" t="s">
        <v>258</v>
      </c>
      <c r="C84" s="25" t="s">
        <v>259</v>
      </c>
      <c r="D84" s="25" t="s">
        <v>139</v>
      </c>
      <c r="E84" s="26">
        <v>300</v>
      </c>
      <c r="F84" s="27">
        <v>1474.7265</v>
      </c>
      <c r="G84" s="28">
        <v>7.11248E-3</v>
      </c>
      <c r="H84" s="18">
        <v>7.19</v>
      </c>
    </row>
    <row r="85" spans="1:8" x14ac:dyDescent="0.2">
      <c r="A85" s="24">
        <v>29</v>
      </c>
      <c r="B85" s="25" t="s">
        <v>162</v>
      </c>
      <c r="C85" s="25" t="s">
        <v>163</v>
      </c>
      <c r="D85" s="25" t="s">
        <v>139</v>
      </c>
      <c r="E85" s="26">
        <v>300</v>
      </c>
      <c r="F85" s="27">
        <v>1471.7429999999999</v>
      </c>
      <c r="G85" s="28">
        <v>7.0980899999999996E-3</v>
      </c>
      <c r="H85" s="18">
        <v>7.3002000000000002</v>
      </c>
    </row>
    <row r="86" spans="1:8" x14ac:dyDescent="0.2">
      <c r="A86" s="24">
        <v>30</v>
      </c>
      <c r="B86" s="25" t="s">
        <v>137</v>
      </c>
      <c r="C86" s="25" t="s">
        <v>138</v>
      </c>
      <c r="D86" s="25" t="s">
        <v>139</v>
      </c>
      <c r="E86" s="26">
        <v>100</v>
      </c>
      <c r="F86" s="27">
        <v>491.65899999999999</v>
      </c>
      <c r="G86" s="28">
        <v>2.3712300000000002E-3</v>
      </c>
      <c r="H86" s="18">
        <v>7.2000999999999999</v>
      </c>
    </row>
    <row r="87" spans="1:8" x14ac:dyDescent="0.2">
      <c r="A87" s="16"/>
      <c r="B87" s="16"/>
      <c r="C87" s="17" t="s">
        <v>11</v>
      </c>
      <c r="D87" s="16"/>
      <c r="E87" s="16" t="s">
        <v>12</v>
      </c>
      <c r="F87" s="23">
        <v>91594.482600000003</v>
      </c>
      <c r="G87" s="20">
        <v>0.44175250999999999</v>
      </c>
      <c r="H87" s="18" t="s">
        <v>12</v>
      </c>
    </row>
    <row r="88" spans="1:8" x14ac:dyDescent="0.2">
      <c r="A88" s="16"/>
      <c r="B88" s="16"/>
      <c r="C88" s="21"/>
      <c r="D88" s="16"/>
      <c r="E88" s="16"/>
      <c r="F88" s="22"/>
      <c r="G88" s="22"/>
      <c r="H88" s="18" t="s">
        <v>12</v>
      </c>
    </row>
    <row r="89" spans="1:8" x14ac:dyDescent="0.2">
      <c r="A89" s="16"/>
      <c r="B89" s="16"/>
      <c r="C89" s="17" t="s">
        <v>88</v>
      </c>
      <c r="D89" s="16"/>
      <c r="E89" s="16"/>
      <c r="F89" s="22"/>
      <c r="G89" s="22"/>
      <c r="H89" s="18" t="s">
        <v>12</v>
      </c>
    </row>
    <row r="90" spans="1:8" ht="25.5" x14ac:dyDescent="0.2">
      <c r="A90" s="24">
        <v>1</v>
      </c>
      <c r="B90" s="25" t="s">
        <v>490</v>
      </c>
      <c r="C90" s="25" t="s">
        <v>491</v>
      </c>
      <c r="D90" s="25" t="s">
        <v>139</v>
      </c>
      <c r="E90" s="26">
        <v>1000</v>
      </c>
      <c r="F90" s="27">
        <v>4998.1049999999996</v>
      </c>
      <c r="G90" s="28">
        <v>2.4105439999999999E-2</v>
      </c>
      <c r="H90" s="18">
        <v>6.9215999999999998</v>
      </c>
    </row>
    <row r="91" spans="1:8" ht="25.5" x14ac:dyDescent="0.2">
      <c r="A91" s="24">
        <v>2</v>
      </c>
      <c r="B91" s="25" t="s">
        <v>492</v>
      </c>
      <c r="C91" s="25" t="s">
        <v>493</v>
      </c>
      <c r="D91" s="25" t="s">
        <v>139</v>
      </c>
      <c r="E91" s="26">
        <v>1000</v>
      </c>
      <c r="F91" s="27">
        <v>4913.7349999999997</v>
      </c>
      <c r="G91" s="28">
        <v>2.3698529999999999E-2</v>
      </c>
      <c r="H91" s="18">
        <v>7.2</v>
      </c>
    </row>
    <row r="92" spans="1:8" x14ac:dyDescent="0.2">
      <c r="A92" s="24">
        <v>3</v>
      </c>
      <c r="B92" s="25" t="s">
        <v>494</v>
      </c>
      <c r="C92" s="25" t="s">
        <v>495</v>
      </c>
      <c r="D92" s="25" t="s">
        <v>139</v>
      </c>
      <c r="E92" s="26">
        <v>1000</v>
      </c>
      <c r="F92" s="27">
        <v>4911.1899999999996</v>
      </c>
      <c r="G92" s="28">
        <v>2.3686260000000001E-2</v>
      </c>
      <c r="H92" s="18">
        <v>7.6749999999999998</v>
      </c>
    </row>
    <row r="93" spans="1:8" x14ac:dyDescent="0.2">
      <c r="A93" s="24">
        <v>4</v>
      </c>
      <c r="B93" s="25" t="s">
        <v>496</v>
      </c>
      <c r="C93" s="25" t="s">
        <v>497</v>
      </c>
      <c r="D93" s="25" t="s">
        <v>139</v>
      </c>
      <c r="E93" s="26">
        <v>1000</v>
      </c>
      <c r="F93" s="27">
        <v>4897.2950000000001</v>
      </c>
      <c r="G93" s="28">
        <v>2.361924E-2</v>
      </c>
      <c r="H93" s="18">
        <v>7.6550000000000002</v>
      </c>
    </row>
    <row r="94" spans="1:8" x14ac:dyDescent="0.2">
      <c r="A94" s="24">
        <v>5</v>
      </c>
      <c r="B94" s="25" t="s">
        <v>192</v>
      </c>
      <c r="C94" s="25" t="s">
        <v>193</v>
      </c>
      <c r="D94" s="25" t="s">
        <v>139</v>
      </c>
      <c r="E94" s="26">
        <v>700</v>
      </c>
      <c r="F94" s="27">
        <v>3291.4665</v>
      </c>
      <c r="G94" s="28">
        <v>1.5874470000000002E-2</v>
      </c>
      <c r="H94" s="18">
        <v>7.76</v>
      </c>
    </row>
    <row r="95" spans="1:8" ht="25.5" x14ac:dyDescent="0.2">
      <c r="A95" s="24">
        <v>6</v>
      </c>
      <c r="B95" s="25" t="s">
        <v>498</v>
      </c>
      <c r="C95" s="25" t="s">
        <v>499</v>
      </c>
      <c r="D95" s="25" t="s">
        <v>139</v>
      </c>
      <c r="E95" s="26">
        <v>500</v>
      </c>
      <c r="F95" s="27">
        <v>2495.895</v>
      </c>
      <c r="G95" s="28">
        <v>1.203749E-2</v>
      </c>
      <c r="H95" s="18">
        <v>7.5049999999999999</v>
      </c>
    </row>
    <row r="96" spans="1:8" ht="25.5" x14ac:dyDescent="0.2">
      <c r="A96" s="24">
        <v>7</v>
      </c>
      <c r="B96" s="25" t="s">
        <v>500</v>
      </c>
      <c r="C96" s="25" t="s">
        <v>501</v>
      </c>
      <c r="D96" s="25" t="s">
        <v>139</v>
      </c>
      <c r="E96" s="26">
        <v>500</v>
      </c>
      <c r="F96" s="27">
        <v>2488.1875</v>
      </c>
      <c r="G96" s="28">
        <v>1.200032E-2</v>
      </c>
      <c r="H96" s="18">
        <v>7.5350999999999999</v>
      </c>
    </row>
    <row r="97" spans="1:8" x14ac:dyDescent="0.2">
      <c r="A97" s="24">
        <v>8</v>
      </c>
      <c r="B97" s="25" t="s">
        <v>502</v>
      </c>
      <c r="C97" s="25" t="s">
        <v>503</v>
      </c>
      <c r="D97" s="25" t="s">
        <v>139</v>
      </c>
      <c r="E97" s="26">
        <v>500</v>
      </c>
      <c r="F97" s="27">
        <v>2454.4724999999999</v>
      </c>
      <c r="G97" s="28">
        <v>1.1837719999999999E-2</v>
      </c>
      <c r="H97" s="18">
        <v>7.28</v>
      </c>
    </row>
    <row r="98" spans="1:8" ht="25.5" x14ac:dyDescent="0.2">
      <c r="A98" s="24">
        <v>9</v>
      </c>
      <c r="B98" s="25" t="s">
        <v>504</v>
      </c>
      <c r="C98" s="25" t="s">
        <v>505</v>
      </c>
      <c r="D98" s="25" t="s">
        <v>139</v>
      </c>
      <c r="E98" s="26">
        <v>500</v>
      </c>
      <c r="F98" s="27">
        <v>2442.4025000000001</v>
      </c>
      <c r="G98" s="28">
        <v>1.17795E-2</v>
      </c>
      <c r="H98" s="18">
        <v>7.8250000000000002</v>
      </c>
    </row>
    <row r="99" spans="1:8" ht="25.5" x14ac:dyDescent="0.2">
      <c r="A99" s="24">
        <v>10</v>
      </c>
      <c r="B99" s="25" t="s">
        <v>190</v>
      </c>
      <c r="C99" s="25" t="s">
        <v>191</v>
      </c>
      <c r="D99" s="25" t="s">
        <v>139</v>
      </c>
      <c r="E99" s="26">
        <v>500</v>
      </c>
      <c r="F99" s="27">
        <v>2392.91</v>
      </c>
      <c r="G99" s="28">
        <v>1.15408E-2</v>
      </c>
      <c r="H99" s="18">
        <v>8.25</v>
      </c>
    </row>
    <row r="100" spans="1:8" x14ac:dyDescent="0.2">
      <c r="A100" s="24">
        <v>11</v>
      </c>
      <c r="B100" s="25" t="s">
        <v>369</v>
      </c>
      <c r="C100" s="25" t="s">
        <v>370</v>
      </c>
      <c r="D100" s="25" t="s">
        <v>139</v>
      </c>
      <c r="E100" s="26">
        <v>400</v>
      </c>
      <c r="F100" s="27">
        <v>1993.8</v>
      </c>
      <c r="G100" s="28">
        <v>9.61593E-3</v>
      </c>
      <c r="H100" s="18">
        <v>7.0949999999999998</v>
      </c>
    </row>
    <row r="101" spans="1:8" x14ac:dyDescent="0.2">
      <c r="A101" s="24">
        <v>12</v>
      </c>
      <c r="B101" s="25" t="s">
        <v>194</v>
      </c>
      <c r="C101" s="25" t="s">
        <v>195</v>
      </c>
      <c r="D101" s="25" t="s">
        <v>139</v>
      </c>
      <c r="E101" s="26">
        <v>300</v>
      </c>
      <c r="F101" s="27">
        <v>1475.0564999999999</v>
      </c>
      <c r="G101" s="28">
        <v>7.1140700000000001E-3</v>
      </c>
      <c r="H101" s="18">
        <v>7.5274999999999999</v>
      </c>
    </row>
    <row r="102" spans="1:8" ht="25.5" x14ac:dyDescent="0.2">
      <c r="A102" s="24">
        <v>13</v>
      </c>
      <c r="B102" s="25" t="s">
        <v>198</v>
      </c>
      <c r="C102" s="25" t="s">
        <v>199</v>
      </c>
      <c r="D102" s="25" t="s">
        <v>139</v>
      </c>
      <c r="E102" s="26">
        <v>300</v>
      </c>
      <c r="F102" s="27">
        <v>1447.2255</v>
      </c>
      <c r="G102" s="28">
        <v>6.9798500000000001E-3</v>
      </c>
      <c r="H102" s="18">
        <v>7.4775</v>
      </c>
    </row>
    <row r="103" spans="1:8" x14ac:dyDescent="0.2">
      <c r="A103" s="24">
        <v>14</v>
      </c>
      <c r="B103" s="25" t="s">
        <v>506</v>
      </c>
      <c r="C103" s="25" t="s">
        <v>507</v>
      </c>
      <c r="D103" s="25" t="s">
        <v>139</v>
      </c>
      <c r="E103" s="26">
        <v>200</v>
      </c>
      <c r="F103" s="27">
        <v>979.79</v>
      </c>
      <c r="G103" s="28">
        <v>4.72545E-3</v>
      </c>
      <c r="H103" s="18">
        <v>7.6050000000000004</v>
      </c>
    </row>
    <row r="104" spans="1:8" x14ac:dyDescent="0.2">
      <c r="A104" s="16"/>
      <c r="B104" s="16"/>
      <c r="C104" s="17" t="s">
        <v>11</v>
      </c>
      <c r="D104" s="16"/>
      <c r="E104" s="16" t="s">
        <v>12</v>
      </c>
      <c r="F104" s="23">
        <v>41181.531000000003</v>
      </c>
      <c r="G104" s="20">
        <v>0.19861507</v>
      </c>
      <c r="H104" s="18" t="s">
        <v>12</v>
      </c>
    </row>
    <row r="105" spans="1:8" x14ac:dyDescent="0.2">
      <c r="A105" s="16"/>
      <c r="B105" s="16"/>
      <c r="C105" s="21"/>
      <c r="D105" s="16"/>
      <c r="E105" s="16"/>
      <c r="F105" s="22"/>
      <c r="G105" s="22"/>
      <c r="H105" s="18" t="s">
        <v>12</v>
      </c>
    </row>
    <row r="106" spans="1:8" x14ac:dyDescent="0.2">
      <c r="A106" s="16"/>
      <c r="B106" s="16"/>
      <c r="C106" s="17" t="s">
        <v>89</v>
      </c>
      <c r="D106" s="16"/>
      <c r="E106" s="16"/>
      <c r="F106" s="22"/>
      <c r="G106" s="22"/>
      <c r="H106" s="18" t="s">
        <v>12</v>
      </c>
    </row>
    <row r="107" spans="1:8" x14ac:dyDescent="0.2">
      <c r="A107" s="24">
        <v>1</v>
      </c>
      <c r="B107" s="25" t="s">
        <v>206</v>
      </c>
      <c r="C107" s="25" t="s">
        <v>207</v>
      </c>
      <c r="D107" s="25" t="s">
        <v>71</v>
      </c>
      <c r="E107" s="26">
        <v>6500000</v>
      </c>
      <c r="F107" s="27">
        <v>6384.3909999999996</v>
      </c>
      <c r="G107" s="28">
        <v>3.079138E-2</v>
      </c>
      <c r="H107" s="18">
        <v>6.48</v>
      </c>
    </row>
    <row r="108" spans="1:8" x14ac:dyDescent="0.2">
      <c r="A108" s="24">
        <v>2</v>
      </c>
      <c r="B108" s="25" t="s">
        <v>202</v>
      </c>
      <c r="C108" s="25" t="s">
        <v>203</v>
      </c>
      <c r="D108" s="25" t="s">
        <v>71</v>
      </c>
      <c r="E108" s="26">
        <v>4000000</v>
      </c>
      <c r="F108" s="27">
        <v>3878.6680000000001</v>
      </c>
      <c r="G108" s="28">
        <v>1.8706489999999999E-2</v>
      </c>
      <c r="H108" s="18">
        <v>6.6</v>
      </c>
    </row>
    <row r="109" spans="1:8" x14ac:dyDescent="0.2">
      <c r="A109" s="24">
        <v>3</v>
      </c>
      <c r="B109" s="25" t="s">
        <v>508</v>
      </c>
      <c r="C109" s="25" t="s">
        <v>509</v>
      </c>
      <c r="D109" s="25" t="s">
        <v>71</v>
      </c>
      <c r="E109" s="26">
        <v>2500000</v>
      </c>
      <c r="F109" s="27">
        <v>2458.5974999999999</v>
      </c>
      <c r="G109" s="28">
        <v>1.1857609999999999E-2</v>
      </c>
      <c r="H109" s="18">
        <v>6.47</v>
      </c>
    </row>
    <row r="110" spans="1:8" x14ac:dyDescent="0.2">
      <c r="A110" s="24">
        <v>4</v>
      </c>
      <c r="B110" s="25" t="s">
        <v>200</v>
      </c>
      <c r="C110" s="25" t="s">
        <v>201</v>
      </c>
      <c r="D110" s="25" t="s">
        <v>71</v>
      </c>
      <c r="E110" s="26">
        <v>2500000</v>
      </c>
      <c r="F110" s="27">
        <v>2433.5549999999998</v>
      </c>
      <c r="G110" s="28">
        <v>1.173683E-2</v>
      </c>
      <c r="H110" s="18">
        <v>6.6</v>
      </c>
    </row>
    <row r="111" spans="1:8" x14ac:dyDescent="0.2">
      <c r="A111" s="24">
        <v>5</v>
      </c>
      <c r="B111" s="25" t="s">
        <v>204</v>
      </c>
      <c r="C111" s="25" t="s">
        <v>205</v>
      </c>
      <c r="D111" s="25" t="s">
        <v>71</v>
      </c>
      <c r="E111" s="26">
        <v>2500000</v>
      </c>
      <c r="F111" s="27">
        <v>2421.62</v>
      </c>
      <c r="G111" s="28">
        <v>1.167927E-2</v>
      </c>
      <c r="H111" s="18">
        <v>6.6</v>
      </c>
    </row>
    <row r="112" spans="1:8" x14ac:dyDescent="0.2">
      <c r="A112" s="16"/>
      <c r="B112" s="16"/>
      <c r="C112" s="17" t="s">
        <v>11</v>
      </c>
      <c r="D112" s="16"/>
      <c r="E112" s="16" t="s">
        <v>12</v>
      </c>
      <c r="F112" s="23">
        <v>17576.8315</v>
      </c>
      <c r="G112" s="20">
        <v>8.4771579999999999E-2</v>
      </c>
      <c r="H112" s="18" t="s">
        <v>12</v>
      </c>
    </row>
    <row r="113" spans="1:18" x14ac:dyDescent="0.2">
      <c r="A113" s="16"/>
      <c r="B113" s="16"/>
      <c r="C113" s="21"/>
      <c r="D113" s="16"/>
      <c r="E113" s="16"/>
      <c r="F113" s="22"/>
      <c r="G113" s="22"/>
      <c r="H113" s="18" t="s">
        <v>12</v>
      </c>
    </row>
    <row r="114" spans="1:18" x14ac:dyDescent="0.2">
      <c r="A114" s="16"/>
      <c r="B114" s="16"/>
      <c r="C114" s="17" t="s">
        <v>90</v>
      </c>
      <c r="D114" s="16"/>
      <c r="E114" s="16"/>
      <c r="F114" s="22"/>
      <c r="G114" s="22"/>
      <c r="H114" s="18" t="s">
        <v>12</v>
      </c>
    </row>
    <row r="115" spans="1:18" x14ac:dyDescent="0.2">
      <c r="A115" s="24">
        <v>1</v>
      </c>
      <c r="B115" s="25"/>
      <c r="C115" s="25" t="s">
        <v>91</v>
      </c>
      <c r="D115" s="25"/>
      <c r="E115" s="29"/>
      <c r="F115" s="27">
        <v>15193.726055948</v>
      </c>
      <c r="G115" s="28">
        <v>7.3278070000000001E-2</v>
      </c>
      <c r="H115" s="18">
        <v>6.55</v>
      </c>
    </row>
    <row r="116" spans="1:18" x14ac:dyDescent="0.2">
      <c r="A116" s="16"/>
      <c r="B116" s="16"/>
      <c r="C116" s="17" t="s">
        <v>11</v>
      </c>
      <c r="D116" s="16"/>
      <c r="E116" s="16" t="s">
        <v>12</v>
      </c>
      <c r="F116" s="23">
        <v>15193.726055948</v>
      </c>
      <c r="G116" s="20">
        <v>7.3278070000000001E-2</v>
      </c>
      <c r="H116" s="18" t="s">
        <v>12</v>
      </c>
    </row>
    <row r="117" spans="1:18" x14ac:dyDescent="0.2">
      <c r="A117" s="16"/>
      <c r="B117" s="16"/>
      <c r="C117" s="21"/>
      <c r="D117" s="16"/>
      <c r="E117" s="16"/>
      <c r="F117" s="22"/>
      <c r="G117" s="22"/>
      <c r="H117" s="18" t="s">
        <v>12</v>
      </c>
    </row>
    <row r="118" spans="1:18" x14ac:dyDescent="0.2">
      <c r="A118" s="16"/>
      <c r="B118" s="16"/>
      <c r="C118" s="17" t="s">
        <v>92</v>
      </c>
      <c r="D118" s="16"/>
      <c r="E118" s="16"/>
      <c r="F118" s="23">
        <v>165546.57115594801</v>
      </c>
      <c r="G118" s="20">
        <v>0.79841722999999998</v>
      </c>
      <c r="H118" s="18" t="s">
        <v>12</v>
      </c>
    </row>
    <row r="119" spans="1:18" x14ac:dyDescent="0.2">
      <c r="A119" s="16"/>
      <c r="B119" s="16"/>
      <c r="C119" s="22"/>
      <c r="D119" s="16"/>
      <c r="E119" s="16"/>
      <c r="F119" s="16"/>
      <c r="G119" s="16"/>
      <c r="H119" s="18" t="s">
        <v>12</v>
      </c>
    </row>
    <row r="120" spans="1:18" x14ac:dyDescent="0.2">
      <c r="A120" s="16"/>
      <c r="B120" s="16"/>
      <c r="C120" s="17" t="s">
        <v>93</v>
      </c>
      <c r="D120" s="16"/>
      <c r="E120" s="16"/>
      <c r="F120" s="16"/>
      <c r="G120" s="16"/>
      <c r="H120" s="18" t="s">
        <v>12</v>
      </c>
    </row>
    <row r="121" spans="1:18" x14ac:dyDescent="0.2">
      <c r="A121" s="16"/>
      <c r="B121" s="16"/>
      <c r="C121" s="17" t="s">
        <v>94</v>
      </c>
      <c r="D121" s="16"/>
      <c r="E121" s="16"/>
      <c r="F121" s="16"/>
      <c r="G121" s="16"/>
      <c r="H121" s="18" t="s">
        <v>12</v>
      </c>
    </row>
    <row r="122" spans="1:18" x14ac:dyDescent="0.2">
      <c r="A122" s="16"/>
      <c r="B122" s="16"/>
      <c r="C122" s="17" t="s">
        <v>11</v>
      </c>
      <c r="D122" s="16"/>
      <c r="E122" s="16" t="s">
        <v>12</v>
      </c>
      <c r="F122" s="19" t="s">
        <v>13</v>
      </c>
      <c r="G122" s="20">
        <v>0</v>
      </c>
      <c r="H122" s="18" t="s">
        <v>12</v>
      </c>
    </row>
    <row r="123" spans="1:18" x14ac:dyDescent="0.2">
      <c r="A123" s="68"/>
      <c r="B123" s="68"/>
      <c r="C123" s="69"/>
      <c r="D123" s="68"/>
      <c r="E123" s="68"/>
      <c r="F123" s="70"/>
      <c r="G123" s="70"/>
      <c r="H123" s="18" t="s">
        <v>12</v>
      </c>
      <c r="J123" s="15"/>
    </row>
    <row r="124" spans="1:18" x14ac:dyDescent="0.2">
      <c r="A124" s="68"/>
      <c r="B124" s="68"/>
      <c r="C124" s="48" t="s">
        <v>606</v>
      </c>
      <c r="D124" s="68"/>
      <c r="E124" s="68"/>
      <c r="F124" s="70"/>
      <c r="G124" s="70"/>
      <c r="H124" s="65"/>
      <c r="J124" s="15"/>
      <c r="L124" s="51"/>
      <c r="M124" s="51"/>
      <c r="N124" s="51"/>
      <c r="O124" s="51"/>
      <c r="P124" s="71"/>
      <c r="Q124" s="71"/>
      <c r="R124" s="71"/>
    </row>
    <row r="125" spans="1:18" ht="25.5" x14ac:dyDescent="0.2">
      <c r="A125" s="72">
        <v>1</v>
      </c>
      <c r="B125" s="47" t="s">
        <v>95</v>
      </c>
      <c r="C125" s="47" t="s">
        <v>96</v>
      </c>
      <c r="D125" s="47"/>
      <c r="E125" s="73">
        <v>4528.5039999999999</v>
      </c>
      <c r="F125" s="65">
        <v>473.997789119</v>
      </c>
      <c r="G125" s="66">
        <v>2.28605E-3</v>
      </c>
      <c r="H125" s="18"/>
      <c r="J125" s="15"/>
    </row>
    <row r="126" spans="1:18" x14ac:dyDescent="0.2">
      <c r="A126" s="68"/>
      <c r="B126" s="68"/>
      <c r="C126" s="48" t="s">
        <v>11</v>
      </c>
      <c r="D126" s="68"/>
      <c r="E126" s="68" t="s">
        <v>12</v>
      </c>
      <c r="F126" s="74">
        <f>SUM(F125)</f>
        <v>473.997789119</v>
      </c>
      <c r="G126" s="75">
        <f>SUM(G125)</f>
        <v>2.28605E-3</v>
      </c>
      <c r="H126" s="18" t="s">
        <v>12</v>
      </c>
      <c r="J126" s="15"/>
    </row>
    <row r="127" spans="1:18" x14ac:dyDescent="0.2">
      <c r="A127" s="16"/>
      <c r="B127" s="16"/>
      <c r="C127" s="21"/>
      <c r="D127" s="16"/>
      <c r="E127" s="16"/>
      <c r="F127" s="22"/>
      <c r="G127" s="22"/>
      <c r="H127" s="18" t="s">
        <v>12</v>
      </c>
    </row>
    <row r="128" spans="1:18" x14ac:dyDescent="0.2">
      <c r="A128" s="16"/>
      <c r="B128" s="16"/>
      <c r="C128" s="17" t="s">
        <v>97</v>
      </c>
      <c r="D128" s="16"/>
      <c r="E128" s="16"/>
      <c r="F128" s="16"/>
      <c r="G128" s="16"/>
      <c r="H128" s="18" t="s">
        <v>12</v>
      </c>
    </row>
    <row r="129" spans="1:10" x14ac:dyDescent="0.2">
      <c r="A129" s="16"/>
      <c r="B129" s="16"/>
      <c r="C129" s="17" t="s">
        <v>98</v>
      </c>
      <c r="D129" s="16"/>
      <c r="E129" s="16"/>
      <c r="F129" s="16"/>
      <c r="G129" s="16"/>
      <c r="H129" s="18" t="s">
        <v>12</v>
      </c>
    </row>
    <row r="130" spans="1:10" x14ac:dyDescent="0.2">
      <c r="A130" s="16"/>
      <c r="B130" s="16"/>
      <c r="C130" s="17" t="s">
        <v>11</v>
      </c>
      <c r="D130" s="16"/>
      <c r="E130" s="16" t="s">
        <v>12</v>
      </c>
      <c r="F130" s="19" t="s">
        <v>13</v>
      </c>
      <c r="G130" s="20">
        <v>0</v>
      </c>
      <c r="H130" s="18" t="s">
        <v>12</v>
      </c>
    </row>
    <row r="131" spans="1:10" x14ac:dyDescent="0.2">
      <c r="A131" s="16"/>
      <c r="B131" s="16"/>
      <c r="C131" s="21"/>
      <c r="D131" s="16"/>
      <c r="E131" s="16"/>
      <c r="F131" s="22"/>
      <c r="G131" s="22"/>
      <c r="H131" s="18" t="s">
        <v>12</v>
      </c>
    </row>
    <row r="132" spans="1:10" x14ac:dyDescent="0.2">
      <c r="A132" s="16"/>
      <c r="B132" s="16"/>
      <c r="C132" s="17" t="s">
        <v>99</v>
      </c>
      <c r="D132" s="16"/>
      <c r="E132" s="16"/>
      <c r="F132" s="22"/>
      <c r="G132" s="22"/>
      <c r="H132" s="18" t="s">
        <v>12</v>
      </c>
    </row>
    <row r="133" spans="1:10" x14ac:dyDescent="0.2">
      <c r="A133" s="16"/>
      <c r="B133" s="16"/>
      <c r="C133" s="17" t="s">
        <v>11</v>
      </c>
      <c r="D133" s="16"/>
      <c r="E133" s="16" t="s">
        <v>12</v>
      </c>
      <c r="F133" s="19" t="s">
        <v>13</v>
      </c>
      <c r="G133" s="20">
        <v>0</v>
      </c>
      <c r="H133" s="18" t="s">
        <v>12</v>
      </c>
    </row>
    <row r="134" spans="1:10" x14ac:dyDescent="0.2">
      <c r="A134" s="16"/>
      <c r="B134" s="16"/>
      <c r="C134" s="21"/>
      <c r="D134" s="16"/>
      <c r="E134" s="16"/>
      <c r="F134" s="22"/>
      <c r="G134" s="22"/>
      <c r="H134" s="18" t="s">
        <v>12</v>
      </c>
    </row>
    <row r="135" spans="1:10" x14ac:dyDescent="0.2">
      <c r="A135" s="29"/>
      <c r="B135" s="25"/>
      <c r="C135" s="25" t="s">
        <v>100</v>
      </c>
      <c r="D135" s="25"/>
      <c r="E135" s="29"/>
      <c r="F135" s="27">
        <f>1727.47626624+0.0000158629608154297</f>
        <v>1727.4762821029608</v>
      </c>
      <c r="G135" s="28">
        <v>8.3314700000000005E-3</v>
      </c>
      <c r="H135" s="18" t="s">
        <v>12</v>
      </c>
    </row>
    <row r="136" spans="1:10" x14ac:dyDescent="0.2">
      <c r="A136" s="21"/>
      <c r="B136" s="21"/>
      <c r="C136" s="17" t="s">
        <v>101</v>
      </c>
      <c r="D136" s="22"/>
      <c r="E136" s="22"/>
      <c r="F136" s="23">
        <f>207343.434611307+0.0000158629608154297</f>
        <v>207343.43462716995</v>
      </c>
      <c r="G136" s="30">
        <v>1</v>
      </c>
      <c r="H136" s="18" t="s">
        <v>12</v>
      </c>
    </row>
    <row r="137" spans="1:10" x14ac:dyDescent="0.2">
      <c r="A137" s="31"/>
      <c r="B137" s="31"/>
      <c r="C137" s="31"/>
      <c r="D137" s="32"/>
      <c r="E137" s="32"/>
      <c r="F137" s="32"/>
      <c r="G137" s="32"/>
    </row>
    <row r="138" spans="1:10" x14ac:dyDescent="0.2">
      <c r="A138" s="33"/>
      <c r="B138" s="126" t="s">
        <v>602</v>
      </c>
      <c r="C138" s="126"/>
      <c r="D138" s="126"/>
      <c r="E138" s="126"/>
      <c r="F138" s="126"/>
      <c r="G138" s="126"/>
      <c r="H138" s="126"/>
      <c r="J138" s="15"/>
    </row>
    <row r="139" spans="1:10" x14ac:dyDescent="0.2">
      <c r="A139" s="33"/>
      <c r="B139" s="126" t="s">
        <v>603</v>
      </c>
      <c r="C139" s="126"/>
      <c r="D139" s="126"/>
      <c r="E139" s="126"/>
      <c r="F139" s="126"/>
      <c r="G139" s="126"/>
      <c r="H139" s="126"/>
      <c r="J139" s="15"/>
    </row>
    <row r="140" spans="1:10" x14ac:dyDescent="0.2">
      <c r="A140" s="33"/>
      <c r="B140" s="126" t="s">
        <v>604</v>
      </c>
      <c r="C140" s="126"/>
      <c r="D140" s="126"/>
      <c r="E140" s="126"/>
      <c r="F140" s="126"/>
      <c r="G140" s="126"/>
      <c r="H140" s="126"/>
      <c r="J140" s="15"/>
    </row>
    <row r="141" spans="1:10" x14ac:dyDescent="0.2">
      <c r="A141" s="35"/>
      <c r="B141" s="35"/>
      <c r="C141" s="35"/>
      <c r="D141" s="36"/>
      <c r="E141" s="36"/>
      <c r="F141" s="36"/>
      <c r="G141" s="36"/>
    </row>
    <row r="142" spans="1:10" x14ac:dyDescent="0.2">
      <c r="A142" s="35"/>
      <c r="B142" s="129" t="s">
        <v>102</v>
      </c>
      <c r="C142" s="130"/>
      <c r="D142" s="131"/>
      <c r="E142" s="37"/>
      <c r="F142" s="36"/>
      <c r="G142" s="36"/>
    </row>
    <row r="143" spans="1:10" ht="25.5" x14ac:dyDescent="0.2">
      <c r="A143" s="35"/>
      <c r="B143" s="132" t="s">
        <v>103</v>
      </c>
      <c r="C143" s="133"/>
      <c r="D143" s="48" t="s">
        <v>663</v>
      </c>
      <c r="E143" s="37"/>
      <c r="F143" s="36"/>
      <c r="G143" s="36"/>
    </row>
    <row r="144" spans="1:10" x14ac:dyDescent="0.2">
      <c r="A144" s="35"/>
      <c r="B144" s="132" t="s">
        <v>105</v>
      </c>
      <c r="C144" s="133"/>
      <c r="D144" s="17" t="s">
        <v>104</v>
      </c>
      <c r="E144" s="37"/>
      <c r="F144" s="36"/>
      <c r="G144" s="36"/>
    </row>
    <row r="145" spans="1:10" x14ac:dyDescent="0.2">
      <c r="A145" s="35"/>
      <c r="B145" s="132" t="s">
        <v>106</v>
      </c>
      <c r="C145" s="133"/>
      <c r="D145" s="22" t="s">
        <v>12</v>
      </c>
      <c r="E145" s="37"/>
      <c r="F145" s="36"/>
      <c r="G145" s="36"/>
    </row>
    <row r="146" spans="1:10" x14ac:dyDescent="0.2">
      <c r="A146" s="38"/>
      <c r="B146" s="39" t="s">
        <v>12</v>
      </c>
      <c r="C146" s="39" t="s">
        <v>605</v>
      </c>
      <c r="D146" s="39" t="s">
        <v>107</v>
      </c>
      <c r="E146" s="38"/>
      <c r="F146" s="38"/>
      <c r="G146" s="38"/>
      <c r="H146" s="40"/>
      <c r="J146" s="15"/>
    </row>
    <row r="147" spans="1:10" x14ac:dyDescent="0.2">
      <c r="A147" s="41"/>
      <c r="B147" s="42" t="s">
        <v>108</v>
      </c>
      <c r="C147" s="43">
        <v>45611</v>
      </c>
      <c r="D147" s="43">
        <v>45626</v>
      </c>
      <c r="E147" s="41"/>
      <c r="F147" s="41"/>
      <c r="G147" s="41"/>
    </row>
    <row r="148" spans="1:10" x14ac:dyDescent="0.2">
      <c r="A148" s="41"/>
      <c r="B148" s="25" t="s">
        <v>109</v>
      </c>
      <c r="C148" s="44">
        <v>2793.0014000000001</v>
      </c>
      <c r="D148" s="44">
        <v>2801.0311999999999</v>
      </c>
      <c r="E148" s="41"/>
      <c r="F148" s="45"/>
      <c r="G148" s="46"/>
    </row>
    <row r="149" spans="1:10" ht="25.5" x14ac:dyDescent="0.2">
      <c r="A149" s="41"/>
      <c r="B149" s="25" t="s">
        <v>714</v>
      </c>
      <c r="C149" s="44">
        <v>1060.5822000000001</v>
      </c>
      <c r="D149" s="44">
        <v>1063.6302000000001</v>
      </c>
      <c r="E149" s="41"/>
      <c r="F149" s="45"/>
      <c r="G149" s="46"/>
    </row>
    <row r="150" spans="1:10" ht="25.5" x14ac:dyDescent="0.2">
      <c r="A150" s="41"/>
      <c r="B150" s="25" t="s">
        <v>715</v>
      </c>
      <c r="C150" s="44">
        <v>1184.6579999999999</v>
      </c>
      <c r="D150" s="44">
        <v>1188.0969</v>
      </c>
      <c r="E150" s="41"/>
      <c r="F150" s="45"/>
      <c r="G150" s="46"/>
    </row>
    <row r="151" spans="1:10" x14ac:dyDescent="0.2">
      <c r="A151" s="41"/>
      <c r="B151" s="25" t="s">
        <v>110</v>
      </c>
      <c r="C151" s="44">
        <v>2580.7797</v>
      </c>
      <c r="D151" s="44">
        <v>2586.8809000000001</v>
      </c>
      <c r="E151" s="41"/>
      <c r="F151" s="45"/>
      <c r="G151" s="46"/>
    </row>
    <row r="152" spans="1:10" ht="25.5" x14ac:dyDescent="0.2">
      <c r="A152" s="41"/>
      <c r="B152" s="25" t="s">
        <v>718</v>
      </c>
      <c r="C152" s="44">
        <v>1060.1513</v>
      </c>
      <c r="D152" s="44">
        <v>1062.6575</v>
      </c>
      <c r="E152" s="41"/>
      <c r="F152" s="45"/>
      <c r="G152" s="46"/>
    </row>
    <row r="153" spans="1:10" ht="25.5" x14ac:dyDescent="0.2">
      <c r="A153" s="41"/>
      <c r="B153" s="25" t="s">
        <v>665</v>
      </c>
      <c r="C153" s="44">
        <v>1141.9019000000001</v>
      </c>
      <c r="D153" s="44">
        <v>1144.6014</v>
      </c>
      <c r="E153" s="41"/>
      <c r="F153" s="45"/>
      <c r="G153" s="46"/>
    </row>
    <row r="154" spans="1:10" x14ac:dyDescent="0.2">
      <c r="A154" s="41"/>
      <c r="B154" s="41"/>
      <c r="C154" s="41"/>
      <c r="D154" s="41"/>
      <c r="E154" s="41"/>
      <c r="F154" s="41"/>
      <c r="G154" s="41"/>
    </row>
    <row r="155" spans="1:10" x14ac:dyDescent="0.2">
      <c r="A155" s="41"/>
      <c r="B155" s="132" t="s">
        <v>721</v>
      </c>
      <c r="C155" s="133"/>
      <c r="D155" s="48" t="s">
        <v>104</v>
      </c>
      <c r="E155" s="41"/>
      <c r="F155" s="41"/>
      <c r="G155" s="41"/>
    </row>
    <row r="156" spans="1:10" x14ac:dyDescent="0.2">
      <c r="A156" s="41"/>
      <c r="B156" s="49"/>
      <c r="C156" s="49"/>
      <c r="D156" s="49"/>
      <c r="E156" s="41"/>
      <c r="F156" s="41"/>
      <c r="G156" s="41"/>
    </row>
    <row r="157" spans="1:10" ht="27.75" customHeight="1" x14ac:dyDescent="0.2">
      <c r="A157" s="38"/>
      <c r="B157" s="134" t="s">
        <v>111</v>
      </c>
      <c r="C157" s="135"/>
      <c r="D157" s="48" t="s">
        <v>104</v>
      </c>
      <c r="E157" s="50"/>
      <c r="F157" s="38"/>
      <c r="G157" s="38"/>
      <c r="J157" s="15"/>
    </row>
    <row r="158" spans="1:10" ht="26.25" customHeight="1" x14ac:dyDescent="0.2">
      <c r="A158" s="38"/>
      <c r="B158" s="134" t="s">
        <v>112</v>
      </c>
      <c r="C158" s="135"/>
      <c r="D158" s="48" t="s">
        <v>104</v>
      </c>
      <c r="E158" s="50"/>
      <c r="F158" s="38"/>
      <c r="G158" s="38"/>
      <c r="J158" s="15"/>
    </row>
    <row r="159" spans="1:10" x14ac:dyDescent="0.2">
      <c r="A159" s="38"/>
      <c r="B159" s="134" t="s">
        <v>607</v>
      </c>
      <c r="C159" s="135"/>
      <c r="D159" s="48" t="s">
        <v>104</v>
      </c>
      <c r="E159" s="50"/>
      <c r="F159" s="38"/>
      <c r="G159" s="38"/>
      <c r="J159" s="15"/>
    </row>
    <row r="160" spans="1:10" x14ac:dyDescent="0.2">
      <c r="A160" s="49"/>
      <c r="B160" s="49"/>
      <c r="C160" s="49"/>
      <c r="D160" s="49"/>
      <c r="E160" s="49"/>
      <c r="F160" s="49"/>
      <c r="G160" s="49"/>
      <c r="J160" s="15"/>
    </row>
    <row r="161" spans="2:17" s="52" customFormat="1" x14ac:dyDescent="0.2">
      <c r="B161" s="104" t="s">
        <v>689</v>
      </c>
      <c r="C161" s="104"/>
      <c r="D161" s="104"/>
      <c r="E161" s="104"/>
      <c r="F161" s="104"/>
      <c r="G161" s="104"/>
      <c r="I161"/>
      <c r="J161" s="15"/>
      <c r="K161" s="51"/>
      <c r="L161" s="51"/>
      <c r="M161" s="51"/>
      <c r="N161" s="51"/>
      <c r="O161" s="53"/>
    </row>
    <row r="162" spans="2:17" s="52" customFormat="1" x14ac:dyDescent="0.2">
      <c r="B162" s="105"/>
      <c r="C162" s="105"/>
      <c r="D162" s="105"/>
      <c r="E162" s="105"/>
      <c r="F162" s="105"/>
      <c r="G162" s="105"/>
      <c r="I162"/>
      <c r="J162" s="15"/>
      <c r="K162" s="51"/>
      <c r="L162" s="51"/>
      <c r="M162" s="51"/>
      <c r="N162" s="51"/>
      <c r="O162" s="53"/>
    </row>
    <row r="163" spans="2:17" s="52" customFormat="1" ht="76.5" x14ac:dyDescent="0.2">
      <c r="B163" s="106" t="s">
        <v>622</v>
      </c>
      <c r="C163" s="106" t="s">
        <v>623</v>
      </c>
      <c r="D163" s="107" t="s">
        <v>624</v>
      </c>
      <c r="E163" s="106" t="s">
        <v>625</v>
      </c>
      <c r="F163" s="107" t="s">
        <v>664</v>
      </c>
      <c r="G163" s="105"/>
      <c r="I163"/>
      <c r="J163" s="15"/>
      <c r="K163" s="51"/>
      <c r="L163" s="51"/>
      <c r="M163" s="51"/>
      <c r="N163" s="51"/>
      <c r="O163" s="53"/>
    </row>
    <row r="164" spans="2:17" s="52" customFormat="1" x14ac:dyDescent="0.2">
      <c r="B164" s="108" t="s">
        <v>627</v>
      </c>
      <c r="C164" s="108" t="s">
        <v>628</v>
      </c>
      <c r="D164" s="8">
        <v>0</v>
      </c>
      <c r="E164" s="9">
        <v>0</v>
      </c>
      <c r="F164" s="109">
        <v>500</v>
      </c>
      <c r="G164" s="105"/>
      <c r="I164"/>
      <c r="J164" s="15"/>
      <c r="K164" s="51"/>
      <c r="L164" s="51"/>
      <c r="M164" s="51"/>
      <c r="N164" s="51"/>
      <c r="O164" s="53"/>
    </row>
    <row r="165" spans="2:17" s="52" customFormat="1" x14ac:dyDescent="0.2">
      <c r="I165"/>
      <c r="J165" s="15"/>
      <c r="K165" s="51"/>
      <c r="L165" s="51"/>
      <c r="M165" s="51"/>
      <c r="N165" s="51"/>
      <c r="O165" s="53"/>
    </row>
    <row r="166" spans="2:17" s="52" customFormat="1" x14ac:dyDescent="0.2">
      <c r="B166" s="136" t="s">
        <v>608</v>
      </c>
      <c r="C166" s="137"/>
      <c r="D166" s="138"/>
      <c r="I166"/>
      <c r="J166" s="15"/>
      <c r="K166" s="51"/>
      <c r="L166" s="51"/>
      <c r="M166" s="51"/>
      <c r="N166" s="51"/>
      <c r="O166" s="53"/>
    </row>
    <row r="167" spans="2:17" s="52" customFormat="1" ht="51" x14ac:dyDescent="0.2">
      <c r="B167" s="127" t="s">
        <v>609</v>
      </c>
      <c r="C167" s="127"/>
      <c r="D167" s="54" t="s">
        <v>457</v>
      </c>
      <c r="I167"/>
      <c r="J167" s="15"/>
      <c r="K167" s="51"/>
      <c r="L167" s="51"/>
      <c r="M167" s="51"/>
      <c r="N167" s="51"/>
      <c r="O167" s="53"/>
    </row>
    <row r="168" spans="2:17" s="52" customFormat="1" x14ac:dyDescent="0.2">
      <c r="B168" s="128" t="s">
        <v>610</v>
      </c>
      <c r="C168" s="128"/>
      <c r="D168" s="55"/>
      <c r="I168"/>
      <c r="J168" s="15"/>
      <c r="K168" s="51"/>
      <c r="L168" s="51"/>
      <c r="M168" s="51"/>
      <c r="N168" s="51"/>
      <c r="O168" s="53"/>
    </row>
    <row r="169" spans="2:17" s="52" customFormat="1" x14ac:dyDescent="0.2">
      <c r="B169" s="128"/>
      <c r="C169" s="128"/>
      <c r="D169" s="56"/>
      <c r="I169"/>
      <c r="J169" s="15"/>
      <c r="K169" s="51"/>
      <c r="L169" s="51"/>
      <c r="M169" s="51"/>
      <c r="N169" s="51"/>
      <c r="O169" s="53"/>
    </row>
    <row r="170" spans="2:17" s="52" customFormat="1" x14ac:dyDescent="0.2">
      <c r="B170" s="128" t="s">
        <v>611</v>
      </c>
      <c r="C170" s="128"/>
      <c r="D170" s="57">
        <v>7.3342574039257009</v>
      </c>
      <c r="I170"/>
      <c r="J170" s="15"/>
      <c r="K170" s="51"/>
      <c r="L170" s="51"/>
      <c r="M170" s="51"/>
      <c r="N170" s="51"/>
      <c r="O170" s="53"/>
    </row>
    <row r="171" spans="2:17" s="52" customFormat="1" x14ac:dyDescent="0.2">
      <c r="B171" s="128"/>
      <c r="C171" s="128"/>
      <c r="D171" s="56"/>
      <c r="I171"/>
      <c r="J171" s="15"/>
      <c r="K171" s="51"/>
      <c r="L171" s="51"/>
      <c r="M171" s="51"/>
      <c r="N171" s="51"/>
      <c r="O171" s="53"/>
    </row>
    <row r="172" spans="2:17" s="52" customFormat="1" x14ac:dyDescent="0.2">
      <c r="B172" s="128" t="s">
        <v>612</v>
      </c>
      <c r="C172" s="128"/>
      <c r="D172" s="57">
        <v>0.37827669458438384</v>
      </c>
      <c r="I172"/>
      <c r="J172" s="15"/>
      <c r="K172" s="51"/>
      <c r="L172" s="51"/>
      <c r="M172" s="51"/>
      <c r="N172" s="51"/>
      <c r="O172" s="53"/>
    </row>
    <row r="173" spans="2:17" s="52" customFormat="1" x14ac:dyDescent="0.2">
      <c r="B173" s="128" t="s">
        <v>613</v>
      </c>
      <c r="C173" s="128"/>
      <c r="D173" s="57">
        <v>0.38543719817858008</v>
      </c>
      <c r="I173"/>
      <c r="J173" s="15"/>
      <c r="K173" s="51"/>
      <c r="L173" s="51"/>
      <c r="M173" s="51"/>
      <c r="N173" s="51"/>
      <c r="O173" s="53"/>
    </row>
    <row r="174" spans="2:17" s="52" customFormat="1" x14ac:dyDescent="0.2">
      <c r="B174" s="128"/>
      <c r="C174" s="128"/>
      <c r="D174" s="56"/>
      <c r="I174"/>
      <c r="J174" s="15"/>
      <c r="K174" s="51"/>
      <c r="L174" s="51"/>
      <c r="M174" s="51"/>
      <c r="N174" s="51"/>
      <c r="O174" s="53"/>
    </row>
    <row r="175" spans="2:17" s="52" customFormat="1" x14ac:dyDescent="0.2">
      <c r="B175" s="128" t="s">
        <v>614</v>
      </c>
      <c r="C175" s="128"/>
      <c r="D175" s="59" t="s">
        <v>687</v>
      </c>
      <c r="I175"/>
      <c r="J175" s="15"/>
      <c r="K175" s="51"/>
      <c r="L175" s="51"/>
      <c r="M175" s="51"/>
      <c r="N175" s="51"/>
      <c r="O175" s="53"/>
    </row>
    <row r="176" spans="2:17" s="52" customFormat="1" x14ac:dyDescent="0.2">
      <c r="B176" s="140" t="s">
        <v>615</v>
      </c>
      <c r="C176" s="142"/>
      <c r="D176" s="141"/>
      <c r="I176"/>
      <c r="J176" s="15"/>
      <c r="K176" s="51"/>
      <c r="L176" s="51"/>
      <c r="M176" s="51"/>
      <c r="N176" s="51"/>
      <c r="O176" s="53"/>
      <c r="P176"/>
      <c r="Q176"/>
    </row>
    <row r="177" spans="2:10" x14ac:dyDescent="0.2">
      <c r="J177" s="15"/>
    </row>
    <row r="178" spans="2:10" ht="25.5" x14ac:dyDescent="0.2">
      <c r="B178" s="61" t="s">
        <v>691</v>
      </c>
    </row>
    <row r="180" spans="2:10" ht="153.75" customHeight="1" x14ac:dyDescent="0.2"/>
    <row r="183" spans="2:10" x14ac:dyDescent="0.2">
      <c r="B183" s="62" t="s">
        <v>692</v>
      </c>
      <c r="C183" s="63"/>
      <c r="D183" s="62" t="s">
        <v>694</v>
      </c>
    </row>
    <row r="184" spans="2:10" x14ac:dyDescent="0.2">
      <c r="B184" s="62" t="s">
        <v>706</v>
      </c>
      <c r="D184" s="62" t="s">
        <v>707</v>
      </c>
    </row>
    <row r="185" spans="2:10" ht="165" customHeight="1" x14ac:dyDescent="0.2"/>
    <row r="187" spans="2:10" x14ac:dyDescent="0.2">
      <c r="J187" s="15"/>
    </row>
    <row r="191" spans="2:10" x14ac:dyDescent="0.2">
      <c r="J191" s="15"/>
    </row>
  </sheetData>
  <mergeCells count="25">
    <mergeCell ref="B176:D176"/>
    <mergeCell ref="B171:C171"/>
    <mergeCell ref="B172:C172"/>
    <mergeCell ref="B173:C173"/>
    <mergeCell ref="B174:C174"/>
    <mergeCell ref="B175:C175"/>
    <mergeCell ref="B166:D166"/>
    <mergeCell ref="B167:C167"/>
    <mergeCell ref="B168:C168"/>
    <mergeCell ref="B169:C169"/>
    <mergeCell ref="B170:C170"/>
    <mergeCell ref="A1:H1"/>
    <mergeCell ref="A2:H2"/>
    <mergeCell ref="A3:H3"/>
    <mergeCell ref="B138:H138"/>
    <mergeCell ref="B139:H139"/>
    <mergeCell ref="B155:C155"/>
    <mergeCell ref="B159:C159"/>
    <mergeCell ref="B157:C157"/>
    <mergeCell ref="B158:C158"/>
    <mergeCell ref="B140:H140"/>
    <mergeCell ref="B142:D142"/>
    <mergeCell ref="B143:C143"/>
    <mergeCell ref="B144:C144"/>
    <mergeCell ref="B145:C145"/>
  </mergeCells>
  <hyperlinks>
    <hyperlink ref="I1" location="Index!B2" display="Index" xr:uid="{DDEB5EFC-3BA4-458A-BA2D-46B5E0FCA7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7357-3F0C-4C89-A10C-305980FC8252}">
  <sheetPr>
    <outlinePr summaryBelow="0" summaryRight="0"/>
  </sheetPr>
  <dimension ref="A1:Q139"/>
  <sheetViews>
    <sheetView showGridLines="0" workbookViewId="0">
      <selection sqref="A1:H1"/>
    </sheetView>
  </sheetViews>
  <sheetFormatPr defaultRowHeight="12.75" x14ac:dyDescent="0.2"/>
  <cols>
    <col min="1" max="1" width="5.85546875" bestFit="1" customWidth="1"/>
    <col min="2" max="2" width="21" customWidth="1"/>
    <col min="3" max="3" width="42" customWidth="1"/>
    <col min="4" max="4" width="11.28515625" bestFit="1" customWidth="1"/>
    <col min="5" max="5" width="8.7109375" bestFit="1" customWidth="1"/>
    <col min="6" max="6" width="10.140625" bestFit="1" customWidth="1"/>
    <col min="7" max="7" width="14" bestFit="1" customWidth="1"/>
    <col min="8" max="8" width="8.85546875" customWidth="1"/>
    <col min="9" max="9" width="5.7109375" bestFit="1" customWidth="1"/>
  </cols>
  <sheetData>
    <row r="1" spans="1:9" ht="15" x14ac:dyDescent="0.2">
      <c r="A1" s="139" t="s">
        <v>0</v>
      </c>
      <c r="B1" s="139"/>
      <c r="C1" s="139"/>
      <c r="D1" s="139"/>
      <c r="E1" s="139"/>
      <c r="F1" s="139"/>
      <c r="G1" s="139"/>
      <c r="H1" s="139"/>
      <c r="I1" s="7" t="s">
        <v>598</v>
      </c>
    </row>
    <row r="2" spans="1:9" ht="15" x14ac:dyDescent="0.2">
      <c r="A2" s="139" t="s">
        <v>510</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599</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221</v>
      </c>
      <c r="C28" s="25" t="s">
        <v>222</v>
      </c>
      <c r="D28" s="25" t="s">
        <v>223</v>
      </c>
      <c r="E28" s="26">
        <v>200</v>
      </c>
      <c r="F28" s="27">
        <v>201.11099999999999</v>
      </c>
      <c r="G28" s="28">
        <v>4.5260960000000003E-2</v>
      </c>
      <c r="H28" s="18">
        <v>8.3000000000000007</v>
      </c>
    </row>
    <row r="29" spans="1:8" x14ac:dyDescent="0.2">
      <c r="A29" s="24">
        <v>2</v>
      </c>
      <c r="B29" s="25" t="s">
        <v>216</v>
      </c>
      <c r="C29" s="25" t="s">
        <v>217</v>
      </c>
      <c r="D29" s="25" t="s">
        <v>218</v>
      </c>
      <c r="E29" s="26">
        <v>100</v>
      </c>
      <c r="F29" s="27">
        <v>100.5599</v>
      </c>
      <c r="G29" s="28">
        <v>2.2631470000000001E-2</v>
      </c>
      <c r="H29" s="18">
        <v>8.0299999999999994</v>
      </c>
    </row>
    <row r="30" spans="1:8" x14ac:dyDescent="0.2">
      <c r="A30" s="24">
        <v>3</v>
      </c>
      <c r="B30" s="25" t="s">
        <v>237</v>
      </c>
      <c r="C30" s="25" t="s">
        <v>238</v>
      </c>
      <c r="D30" s="25" t="s">
        <v>223</v>
      </c>
      <c r="E30" s="26">
        <v>100</v>
      </c>
      <c r="F30" s="27">
        <v>100.2702</v>
      </c>
      <c r="G30" s="28">
        <v>2.2566269999999999E-2</v>
      </c>
      <c r="H30" s="18">
        <v>8.1478999999999999</v>
      </c>
    </row>
    <row r="31" spans="1:8" x14ac:dyDescent="0.2">
      <c r="A31" s="24">
        <v>4</v>
      </c>
      <c r="B31" s="25" t="s">
        <v>219</v>
      </c>
      <c r="C31" s="25" t="s">
        <v>220</v>
      </c>
      <c r="D31" s="25" t="s">
        <v>23</v>
      </c>
      <c r="E31" s="26">
        <v>10</v>
      </c>
      <c r="F31" s="27">
        <v>98.511499999999998</v>
      </c>
      <c r="G31" s="28">
        <v>2.2170470000000001E-2</v>
      </c>
      <c r="H31" s="18">
        <v>7.7050000000000001</v>
      </c>
    </row>
    <row r="32" spans="1:8" x14ac:dyDescent="0.2">
      <c r="A32" s="16"/>
      <c r="B32" s="16"/>
      <c r="C32" s="17" t="s">
        <v>11</v>
      </c>
      <c r="D32" s="16"/>
      <c r="E32" s="16" t="s">
        <v>12</v>
      </c>
      <c r="F32" s="23">
        <v>500.45260000000002</v>
      </c>
      <c r="G32" s="20">
        <v>0.11262917</v>
      </c>
      <c r="H32" s="18" t="s">
        <v>12</v>
      </c>
    </row>
    <row r="33" spans="1:8" x14ac:dyDescent="0.2">
      <c r="A33" s="16"/>
      <c r="B33" s="16"/>
      <c r="C33" s="21"/>
      <c r="D33" s="16"/>
      <c r="E33" s="16"/>
      <c r="F33" s="22"/>
      <c r="G33" s="22"/>
      <c r="H33" s="18" t="s">
        <v>12</v>
      </c>
    </row>
    <row r="34" spans="1:8" x14ac:dyDescent="0.2">
      <c r="A34" s="16"/>
      <c r="B34" s="16"/>
      <c r="C34" s="17" t="s">
        <v>67</v>
      </c>
      <c r="D34" s="16"/>
      <c r="E34" s="16"/>
      <c r="F34" s="16"/>
      <c r="G34" s="16"/>
      <c r="H34" s="18" t="s">
        <v>12</v>
      </c>
    </row>
    <row r="35" spans="1:8" x14ac:dyDescent="0.2">
      <c r="A35" s="16"/>
      <c r="B35" s="16"/>
      <c r="C35" s="17" t="s">
        <v>11</v>
      </c>
      <c r="D35" s="16"/>
      <c r="E35" s="16" t="s">
        <v>12</v>
      </c>
      <c r="F35" s="19" t="s">
        <v>13</v>
      </c>
      <c r="G35" s="20">
        <v>0</v>
      </c>
      <c r="H35" s="18" t="s">
        <v>12</v>
      </c>
    </row>
    <row r="36" spans="1:8" x14ac:dyDescent="0.2">
      <c r="A36" s="16"/>
      <c r="B36" s="16"/>
      <c r="C36" s="21"/>
      <c r="D36" s="16"/>
      <c r="E36" s="16"/>
      <c r="F36" s="22"/>
      <c r="G36" s="22"/>
      <c r="H36" s="18" t="s">
        <v>12</v>
      </c>
    </row>
    <row r="37" spans="1:8" x14ac:dyDescent="0.2">
      <c r="A37" s="16"/>
      <c r="B37" s="16"/>
      <c r="C37" s="17" t="s">
        <v>68</v>
      </c>
      <c r="D37" s="16"/>
      <c r="E37" s="16"/>
      <c r="F37" s="16"/>
      <c r="G37" s="16"/>
      <c r="H37" s="18" t="s">
        <v>12</v>
      </c>
    </row>
    <row r="38" spans="1:8" x14ac:dyDescent="0.2">
      <c r="A38" s="24">
        <v>1</v>
      </c>
      <c r="B38" s="25" t="s">
        <v>69</v>
      </c>
      <c r="C38" s="25" t="s">
        <v>70</v>
      </c>
      <c r="D38" s="25" t="s">
        <v>71</v>
      </c>
      <c r="E38" s="26">
        <v>1500000</v>
      </c>
      <c r="F38" s="27">
        <v>1532.6234999999999</v>
      </c>
      <c r="G38" s="28">
        <v>0.34492397000000002</v>
      </c>
      <c r="H38" s="18">
        <v>6.8952999999999998</v>
      </c>
    </row>
    <row r="39" spans="1:8" x14ac:dyDescent="0.2">
      <c r="A39" s="24">
        <v>2</v>
      </c>
      <c r="B39" s="25" t="s">
        <v>511</v>
      </c>
      <c r="C39" s="25" t="s">
        <v>512</v>
      </c>
      <c r="D39" s="25" t="s">
        <v>71</v>
      </c>
      <c r="E39" s="26">
        <v>1000000</v>
      </c>
      <c r="F39" s="27">
        <v>982.62900000000002</v>
      </c>
      <c r="G39" s="28">
        <v>0.22114518</v>
      </c>
      <c r="H39" s="18">
        <v>6.8125999999999998</v>
      </c>
    </row>
    <row r="40" spans="1:8" x14ac:dyDescent="0.2">
      <c r="A40" s="24">
        <v>3</v>
      </c>
      <c r="B40" s="25" t="s">
        <v>78</v>
      </c>
      <c r="C40" s="25" t="s">
        <v>79</v>
      </c>
      <c r="D40" s="25" t="s">
        <v>71</v>
      </c>
      <c r="E40" s="26">
        <v>500000</v>
      </c>
      <c r="F40" s="27">
        <v>511.0915</v>
      </c>
      <c r="G40" s="28">
        <v>0.11502349000000001</v>
      </c>
      <c r="H40" s="18">
        <v>6.8228999999999997</v>
      </c>
    </row>
    <row r="41" spans="1:8" ht="25.5" x14ac:dyDescent="0.2">
      <c r="A41" s="24">
        <v>4</v>
      </c>
      <c r="B41" s="25" t="s">
        <v>454</v>
      </c>
      <c r="C41" s="25" t="s">
        <v>455</v>
      </c>
      <c r="D41" s="25" t="s">
        <v>71</v>
      </c>
      <c r="E41" s="26">
        <v>230000</v>
      </c>
      <c r="F41" s="27">
        <v>234.42221000000001</v>
      </c>
      <c r="G41" s="28">
        <v>5.2757800000000001E-2</v>
      </c>
      <c r="H41" s="18">
        <v>7.2789999999999999</v>
      </c>
    </row>
    <row r="42" spans="1:8" x14ac:dyDescent="0.2">
      <c r="A42" s="24">
        <v>5</v>
      </c>
      <c r="B42" s="25" t="s">
        <v>248</v>
      </c>
      <c r="C42" s="25" t="s">
        <v>249</v>
      </c>
      <c r="D42" s="25" t="s">
        <v>71</v>
      </c>
      <c r="E42" s="26">
        <v>100000</v>
      </c>
      <c r="F42" s="27">
        <v>101.2671</v>
      </c>
      <c r="G42" s="28">
        <v>2.2790629999999999E-2</v>
      </c>
      <c r="H42" s="18">
        <v>6.8217999999999996</v>
      </c>
    </row>
    <row r="43" spans="1:8" x14ac:dyDescent="0.2">
      <c r="A43" s="16"/>
      <c r="B43" s="16"/>
      <c r="C43" s="17" t="s">
        <v>11</v>
      </c>
      <c r="D43" s="16"/>
      <c r="E43" s="16" t="s">
        <v>12</v>
      </c>
      <c r="F43" s="23">
        <v>3362.0333099999998</v>
      </c>
      <c r="G43" s="20">
        <v>0.75664107000000003</v>
      </c>
      <c r="H43" s="18" t="s">
        <v>12</v>
      </c>
    </row>
    <row r="44" spans="1:8" x14ac:dyDescent="0.2">
      <c r="A44" s="16"/>
      <c r="B44" s="16"/>
      <c r="C44" s="21"/>
      <c r="D44" s="16"/>
      <c r="E44" s="16"/>
      <c r="F44" s="22"/>
      <c r="G44" s="22"/>
      <c r="H44" s="18" t="s">
        <v>12</v>
      </c>
    </row>
    <row r="45" spans="1:8" x14ac:dyDescent="0.2">
      <c r="A45" s="16"/>
      <c r="B45" s="16"/>
      <c r="C45" s="17" t="s">
        <v>84</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85</v>
      </c>
      <c r="D48" s="16"/>
      <c r="E48" s="16"/>
      <c r="F48" s="23">
        <v>3862.4859099999999</v>
      </c>
      <c r="G48" s="20">
        <v>0.86927023999999997</v>
      </c>
      <c r="H48" s="18" t="s">
        <v>12</v>
      </c>
    </row>
    <row r="49" spans="1:8" x14ac:dyDescent="0.2">
      <c r="A49" s="16"/>
      <c r="B49" s="16"/>
      <c r="C49" s="21"/>
      <c r="D49" s="16"/>
      <c r="E49" s="16"/>
      <c r="F49" s="22"/>
      <c r="G49" s="22"/>
      <c r="H49" s="18" t="s">
        <v>12</v>
      </c>
    </row>
    <row r="50" spans="1:8" x14ac:dyDescent="0.2">
      <c r="A50" s="16"/>
      <c r="B50" s="16"/>
      <c r="C50" s="17" t="s">
        <v>86</v>
      </c>
      <c r="D50" s="16"/>
      <c r="E50" s="16"/>
      <c r="F50" s="22"/>
      <c r="G50" s="22"/>
      <c r="H50" s="18" t="s">
        <v>12</v>
      </c>
    </row>
    <row r="51" spans="1:8" x14ac:dyDescent="0.2">
      <c r="A51" s="16"/>
      <c r="B51" s="16"/>
      <c r="C51" s="17" t="s">
        <v>87</v>
      </c>
      <c r="D51" s="16"/>
      <c r="E51" s="16"/>
      <c r="F51" s="22"/>
      <c r="G51" s="22"/>
      <c r="H51" s="18" t="s">
        <v>12</v>
      </c>
    </row>
    <row r="52" spans="1:8" x14ac:dyDescent="0.2">
      <c r="A52" s="16"/>
      <c r="B52" s="16"/>
      <c r="C52" s="17" t="s">
        <v>11</v>
      </c>
      <c r="D52" s="16"/>
      <c r="E52" s="16" t="s">
        <v>12</v>
      </c>
      <c r="F52" s="19" t="s">
        <v>13</v>
      </c>
      <c r="G52" s="20">
        <v>0</v>
      </c>
      <c r="H52" s="18" t="s">
        <v>12</v>
      </c>
    </row>
    <row r="53" spans="1:8" x14ac:dyDescent="0.2">
      <c r="A53" s="16"/>
      <c r="B53" s="16"/>
      <c r="C53" s="21"/>
      <c r="D53" s="16"/>
      <c r="E53" s="16"/>
      <c r="F53" s="22"/>
      <c r="G53" s="22"/>
      <c r="H53" s="18" t="s">
        <v>12</v>
      </c>
    </row>
    <row r="54" spans="1:8" x14ac:dyDescent="0.2">
      <c r="A54" s="16"/>
      <c r="B54" s="16"/>
      <c r="C54" s="17" t="s">
        <v>88</v>
      </c>
      <c r="D54" s="16"/>
      <c r="E54" s="16"/>
      <c r="F54" s="22"/>
      <c r="G54" s="22"/>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89</v>
      </c>
      <c r="D57" s="16"/>
      <c r="E57" s="16"/>
      <c r="F57" s="22"/>
      <c r="G57" s="22"/>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90</v>
      </c>
      <c r="D60" s="16"/>
      <c r="E60" s="16"/>
      <c r="F60" s="22"/>
      <c r="G60" s="22"/>
      <c r="H60" s="18" t="s">
        <v>12</v>
      </c>
    </row>
    <row r="61" spans="1:8" x14ac:dyDescent="0.2">
      <c r="A61" s="24">
        <v>1</v>
      </c>
      <c r="B61" s="25"/>
      <c r="C61" s="25" t="s">
        <v>91</v>
      </c>
      <c r="D61" s="25"/>
      <c r="E61" s="29"/>
      <c r="F61" s="27">
        <v>514.85631239999998</v>
      </c>
      <c r="G61" s="28">
        <v>0.11587078000000001</v>
      </c>
      <c r="H61" s="18">
        <v>6.66</v>
      </c>
    </row>
    <row r="62" spans="1:8" x14ac:dyDescent="0.2">
      <c r="A62" s="16"/>
      <c r="B62" s="16"/>
      <c r="C62" s="17" t="s">
        <v>11</v>
      </c>
      <c r="D62" s="16"/>
      <c r="E62" s="16" t="s">
        <v>12</v>
      </c>
      <c r="F62" s="23">
        <v>514.85631239999998</v>
      </c>
      <c r="G62" s="20">
        <v>0.11587078000000001</v>
      </c>
      <c r="H62" s="18" t="s">
        <v>12</v>
      </c>
    </row>
    <row r="63" spans="1:8" x14ac:dyDescent="0.2">
      <c r="A63" s="16"/>
      <c r="B63" s="16"/>
      <c r="C63" s="21"/>
      <c r="D63" s="16"/>
      <c r="E63" s="16"/>
      <c r="F63" s="22"/>
      <c r="G63" s="22"/>
      <c r="H63" s="18" t="s">
        <v>12</v>
      </c>
    </row>
    <row r="64" spans="1:8" x14ac:dyDescent="0.2">
      <c r="A64" s="16"/>
      <c r="B64" s="16"/>
      <c r="C64" s="17" t="s">
        <v>92</v>
      </c>
      <c r="D64" s="16"/>
      <c r="E64" s="16"/>
      <c r="F64" s="23">
        <v>514.85631239999998</v>
      </c>
      <c r="G64" s="20">
        <v>0.11587078000000001</v>
      </c>
      <c r="H64" s="18" t="s">
        <v>12</v>
      </c>
    </row>
    <row r="65" spans="1:17" x14ac:dyDescent="0.2">
      <c r="A65" s="16"/>
      <c r="B65" s="16"/>
      <c r="C65" s="22"/>
      <c r="D65" s="16"/>
      <c r="E65" s="16"/>
      <c r="F65" s="16"/>
      <c r="G65" s="16"/>
      <c r="H65" s="18" t="s">
        <v>12</v>
      </c>
    </row>
    <row r="66" spans="1:17" x14ac:dyDescent="0.2">
      <c r="A66" s="16"/>
      <c r="B66" s="16"/>
      <c r="C66" s="17" t="s">
        <v>93</v>
      </c>
      <c r="D66" s="16"/>
      <c r="E66" s="16"/>
      <c r="F66" s="16"/>
      <c r="G66" s="16"/>
      <c r="H66" s="18" t="s">
        <v>12</v>
      </c>
    </row>
    <row r="67" spans="1:17" x14ac:dyDescent="0.2">
      <c r="A67" s="16"/>
      <c r="B67" s="16"/>
      <c r="C67" s="17" t="s">
        <v>94</v>
      </c>
      <c r="D67" s="16"/>
      <c r="E67" s="16"/>
      <c r="F67" s="16"/>
      <c r="G67" s="16"/>
      <c r="H67" s="18" t="s">
        <v>12</v>
      </c>
    </row>
    <row r="68" spans="1:17" x14ac:dyDescent="0.2">
      <c r="A68" s="16"/>
      <c r="B68" s="16"/>
      <c r="C68" s="17" t="s">
        <v>11</v>
      </c>
      <c r="D68" s="16"/>
      <c r="E68" s="16" t="s">
        <v>12</v>
      </c>
      <c r="F68" s="19" t="s">
        <v>13</v>
      </c>
      <c r="G68" s="20">
        <v>0</v>
      </c>
      <c r="H68" s="18" t="s">
        <v>12</v>
      </c>
    </row>
    <row r="69" spans="1:17" x14ac:dyDescent="0.2">
      <c r="A69" s="68"/>
      <c r="B69" s="68"/>
      <c r="C69" s="69"/>
      <c r="D69" s="68"/>
      <c r="E69" s="68"/>
      <c r="F69" s="70"/>
      <c r="G69" s="70"/>
      <c r="H69" s="18" t="s">
        <v>12</v>
      </c>
    </row>
    <row r="70" spans="1:17" x14ac:dyDescent="0.2">
      <c r="A70" s="68"/>
      <c r="B70" s="68"/>
      <c r="C70" s="48" t="s">
        <v>606</v>
      </c>
      <c r="D70" s="68"/>
      <c r="E70" s="68"/>
      <c r="F70" s="70"/>
      <c r="G70" s="70"/>
      <c r="H70" s="65"/>
      <c r="K70" s="51"/>
      <c r="L70" s="51"/>
      <c r="M70" s="51"/>
      <c r="N70" s="51"/>
      <c r="O70" s="71"/>
      <c r="P70" s="71"/>
      <c r="Q70" s="71"/>
    </row>
    <row r="71" spans="1:17" ht="25.5" x14ac:dyDescent="0.2">
      <c r="A71" s="72">
        <v>1</v>
      </c>
      <c r="B71" s="47" t="s">
        <v>95</v>
      </c>
      <c r="C71" s="47" t="s">
        <v>96</v>
      </c>
      <c r="D71" s="47"/>
      <c r="E71" s="73">
        <v>112.994</v>
      </c>
      <c r="F71" s="65">
        <v>11.827063901000001</v>
      </c>
      <c r="G71" s="66">
        <v>2.6617400000000001E-3</v>
      </c>
      <c r="H71" s="18"/>
    </row>
    <row r="72" spans="1:17" x14ac:dyDescent="0.2">
      <c r="A72" s="68"/>
      <c r="B72" s="68"/>
      <c r="C72" s="48" t="s">
        <v>11</v>
      </c>
      <c r="D72" s="68"/>
      <c r="E72" s="68" t="s">
        <v>12</v>
      </c>
      <c r="F72" s="74">
        <f>SUM(F71)</f>
        <v>11.827063901000001</v>
      </c>
      <c r="G72" s="75">
        <f>SUM(G71)</f>
        <v>2.6617400000000001E-3</v>
      </c>
      <c r="H72" s="18" t="s">
        <v>12</v>
      </c>
    </row>
    <row r="73" spans="1:17" x14ac:dyDescent="0.2">
      <c r="A73" s="16"/>
      <c r="B73" s="16"/>
      <c r="C73" s="21"/>
      <c r="D73" s="16"/>
      <c r="E73" s="16"/>
      <c r="F73" s="22"/>
      <c r="G73" s="22"/>
      <c r="H73" s="18" t="s">
        <v>12</v>
      </c>
    </row>
    <row r="74" spans="1:17" x14ac:dyDescent="0.2">
      <c r="A74" s="16"/>
      <c r="B74" s="16"/>
      <c r="C74" s="17" t="s">
        <v>97</v>
      </c>
      <c r="D74" s="16"/>
      <c r="E74" s="16"/>
      <c r="F74" s="16"/>
      <c r="G74" s="16"/>
      <c r="H74" s="18" t="s">
        <v>12</v>
      </c>
    </row>
    <row r="75" spans="1:17" x14ac:dyDescent="0.2">
      <c r="A75" s="16"/>
      <c r="B75" s="16"/>
      <c r="C75" s="17" t="s">
        <v>98</v>
      </c>
      <c r="D75" s="16"/>
      <c r="E75" s="16"/>
      <c r="F75" s="16"/>
      <c r="G75" s="16"/>
      <c r="H75" s="18" t="s">
        <v>12</v>
      </c>
    </row>
    <row r="76" spans="1:17" x14ac:dyDescent="0.2">
      <c r="A76" s="16"/>
      <c r="B76" s="16"/>
      <c r="C76" s="17" t="s">
        <v>11</v>
      </c>
      <c r="D76" s="16"/>
      <c r="E76" s="16" t="s">
        <v>12</v>
      </c>
      <c r="F76" s="19" t="s">
        <v>13</v>
      </c>
      <c r="G76" s="20">
        <v>0</v>
      </c>
      <c r="H76" s="18" t="s">
        <v>12</v>
      </c>
    </row>
    <row r="77" spans="1:17" x14ac:dyDescent="0.2">
      <c r="A77" s="16"/>
      <c r="B77" s="16"/>
      <c r="C77" s="21"/>
      <c r="D77" s="16"/>
      <c r="E77" s="16"/>
      <c r="F77" s="22"/>
      <c r="G77" s="22"/>
      <c r="H77" s="18" t="s">
        <v>12</v>
      </c>
    </row>
    <row r="78" spans="1:17" x14ac:dyDescent="0.2">
      <c r="A78" s="16"/>
      <c r="B78" s="16"/>
      <c r="C78" s="17" t="s">
        <v>99</v>
      </c>
      <c r="D78" s="16"/>
      <c r="E78" s="16"/>
      <c r="F78" s="22"/>
      <c r="G78" s="22"/>
      <c r="H78" s="18" t="s">
        <v>12</v>
      </c>
    </row>
    <row r="79" spans="1:17" x14ac:dyDescent="0.2">
      <c r="A79" s="16"/>
      <c r="B79" s="16"/>
      <c r="C79" s="17" t="s">
        <v>11</v>
      </c>
      <c r="D79" s="16"/>
      <c r="E79" s="16" t="s">
        <v>12</v>
      </c>
      <c r="F79" s="19" t="s">
        <v>13</v>
      </c>
      <c r="G79" s="20">
        <v>0</v>
      </c>
      <c r="H79" s="18" t="s">
        <v>12</v>
      </c>
    </row>
    <row r="80" spans="1:17" x14ac:dyDescent="0.2">
      <c r="A80" s="16"/>
      <c r="B80" s="16"/>
      <c r="C80" s="21"/>
      <c r="D80" s="16"/>
      <c r="E80" s="16"/>
      <c r="F80" s="22"/>
      <c r="G80" s="22"/>
      <c r="H80" s="18" t="s">
        <v>12</v>
      </c>
    </row>
    <row r="81" spans="1:8" x14ac:dyDescent="0.2">
      <c r="A81" s="29"/>
      <c r="B81" s="25"/>
      <c r="C81" s="25" t="s">
        <v>100</v>
      </c>
      <c r="D81" s="25"/>
      <c r="E81" s="29"/>
      <c r="F81" s="27">
        <f>54.19686047+0.000544739000201225</f>
        <v>54.197405209000202</v>
      </c>
      <c r="G81" s="28">
        <v>1.219725E-2</v>
      </c>
      <c r="H81" s="18" t="s">
        <v>12</v>
      </c>
    </row>
    <row r="82" spans="1:8" x14ac:dyDescent="0.2">
      <c r="A82" s="21"/>
      <c r="B82" s="21"/>
      <c r="C82" s="17" t="s">
        <v>101</v>
      </c>
      <c r="D82" s="22"/>
      <c r="E82" s="22"/>
      <c r="F82" s="23">
        <f>4443.366146771+0.000544739000201225</f>
        <v>4443.3666915100002</v>
      </c>
      <c r="G82" s="30">
        <v>1.0000000099999999</v>
      </c>
      <c r="H82" s="18" t="s">
        <v>12</v>
      </c>
    </row>
    <row r="83" spans="1:8" x14ac:dyDescent="0.2">
      <c r="A83" s="31"/>
      <c r="B83" s="31"/>
      <c r="C83" s="31"/>
      <c r="D83" s="32"/>
      <c r="E83" s="32"/>
      <c r="F83" s="32"/>
      <c r="G83" s="32"/>
    </row>
    <row r="84" spans="1:8" x14ac:dyDescent="0.2">
      <c r="A84" s="33"/>
      <c r="B84" s="126" t="s">
        <v>602</v>
      </c>
      <c r="C84" s="126"/>
      <c r="D84" s="126"/>
      <c r="E84" s="126"/>
      <c r="F84" s="126"/>
      <c r="G84" s="126"/>
      <c r="H84" s="126"/>
    </row>
    <row r="85" spans="1:8" x14ac:dyDescent="0.2">
      <c r="A85" s="33"/>
      <c r="B85" s="126" t="s">
        <v>603</v>
      </c>
      <c r="C85" s="126"/>
      <c r="D85" s="126"/>
      <c r="E85" s="126"/>
      <c r="F85" s="126"/>
      <c r="G85" s="126"/>
      <c r="H85" s="126"/>
    </row>
    <row r="86" spans="1:8" x14ac:dyDescent="0.2">
      <c r="A86" s="33"/>
      <c r="B86" s="126" t="s">
        <v>604</v>
      </c>
      <c r="C86" s="126"/>
      <c r="D86" s="126"/>
      <c r="E86" s="126"/>
      <c r="F86" s="126"/>
      <c r="G86" s="126"/>
      <c r="H86" s="126"/>
    </row>
    <row r="87" spans="1:8" x14ac:dyDescent="0.2">
      <c r="A87" s="35"/>
      <c r="B87" s="35"/>
      <c r="C87" s="35"/>
      <c r="D87" s="36"/>
      <c r="E87" s="36"/>
      <c r="F87" s="36"/>
      <c r="G87" s="36"/>
    </row>
    <row r="88" spans="1:8" x14ac:dyDescent="0.2">
      <c r="A88" s="35"/>
      <c r="B88" s="129" t="s">
        <v>102</v>
      </c>
      <c r="C88" s="130"/>
      <c r="D88" s="131"/>
      <c r="E88" s="37"/>
      <c r="F88" s="36"/>
      <c r="G88" s="36"/>
    </row>
    <row r="89" spans="1:8" ht="25.5" x14ac:dyDescent="0.2">
      <c r="A89" s="35"/>
      <c r="B89" s="132" t="s">
        <v>103</v>
      </c>
      <c r="C89" s="133"/>
      <c r="D89" s="48" t="s">
        <v>620</v>
      </c>
      <c r="E89" s="37"/>
      <c r="F89" s="36"/>
      <c r="G89" s="36"/>
    </row>
    <row r="90" spans="1:8" x14ac:dyDescent="0.2">
      <c r="A90" s="35"/>
      <c r="B90" s="132" t="s">
        <v>105</v>
      </c>
      <c r="C90" s="133"/>
      <c r="D90" s="17" t="s">
        <v>104</v>
      </c>
      <c r="E90" s="37"/>
      <c r="F90" s="36"/>
      <c r="G90" s="36"/>
    </row>
    <row r="91" spans="1:8" x14ac:dyDescent="0.2">
      <c r="A91" s="35"/>
      <c r="B91" s="132" t="s">
        <v>106</v>
      </c>
      <c r="C91" s="133"/>
      <c r="D91" s="22" t="s">
        <v>12</v>
      </c>
      <c r="E91" s="37"/>
      <c r="F91" s="36"/>
      <c r="G91" s="36"/>
    </row>
    <row r="92" spans="1:8" x14ac:dyDescent="0.2">
      <c r="A92" s="38"/>
      <c r="B92" s="39" t="s">
        <v>12</v>
      </c>
      <c r="C92" s="39" t="s">
        <v>605</v>
      </c>
      <c r="D92" s="39" t="s">
        <v>107</v>
      </c>
      <c r="E92" s="38"/>
      <c r="F92" s="38"/>
      <c r="G92" s="38"/>
      <c r="H92" s="40"/>
    </row>
    <row r="93" spans="1:8" x14ac:dyDescent="0.2">
      <c r="A93" s="41"/>
      <c r="B93" s="42" t="s">
        <v>108</v>
      </c>
      <c r="C93" s="43">
        <v>45611</v>
      </c>
      <c r="D93" s="43">
        <v>45626</v>
      </c>
      <c r="E93" s="41"/>
      <c r="F93" s="41"/>
      <c r="G93" s="41"/>
    </row>
    <row r="94" spans="1:8" x14ac:dyDescent="0.2">
      <c r="A94" s="41"/>
      <c r="B94" s="25" t="s">
        <v>109</v>
      </c>
      <c r="C94" s="44">
        <v>73.273099999999999</v>
      </c>
      <c r="D94" s="44">
        <v>73.607500000000002</v>
      </c>
      <c r="E94" s="41"/>
      <c r="F94" s="45"/>
      <c r="G94" s="46"/>
    </row>
    <row r="95" spans="1:8" ht="25.5" x14ac:dyDescent="0.2">
      <c r="A95" s="41"/>
      <c r="B95" s="25" t="s">
        <v>715</v>
      </c>
      <c r="C95" s="44">
        <v>26.3018</v>
      </c>
      <c r="D95" s="44">
        <v>26.421800000000001</v>
      </c>
      <c r="E95" s="41"/>
      <c r="F95" s="45"/>
      <c r="G95" s="46"/>
    </row>
    <row r="96" spans="1:8" ht="25.5" x14ac:dyDescent="0.2">
      <c r="A96" s="41"/>
      <c r="B96" s="25" t="s">
        <v>717</v>
      </c>
      <c r="C96" s="44">
        <v>14.8049</v>
      </c>
      <c r="D96" s="44">
        <v>14.872400000000001</v>
      </c>
      <c r="E96" s="41"/>
      <c r="F96" s="45"/>
      <c r="G96" s="46"/>
    </row>
    <row r="97" spans="1:14" ht="25.5" x14ac:dyDescent="0.2">
      <c r="A97" s="41"/>
      <c r="B97" s="25" t="s">
        <v>513</v>
      </c>
      <c r="C97" s="44">
        <v>74.543700000000001</v>
      </c>
      <c r="D97" s="44">
        <v>74.857799999999997</v>
      </c>
      <c r="E97" s="41"/>
      <c r="F97" s="45"/>
      <c r="G97" s="46"/>
    </row>
    <row r="98" spans="1:14" x14ac:dyDescent="0.2">
      <c r="A98" s="41"/>
      <c r="B98" s="25" t="s">
        <v>110</v>
      </c>
      <c r="C98" s="44">
        <v>65.967399999999998</v>
      </c>
      <c r="D98" s="44">
        <v>66.245599999999996</v>
      </c>
      <c r="E98" s="41"/>
      <c r="F98" s="45"/>
      <c r="G98" s="46"/>
    </row>
    <row r="99" spans="1:14" x14ac:dyDescent="0.2">
      <c r="A99" s="41"/>
      <c r="B99" s="25" t="s">
        <v>135</v>
      </c>
      <c r="C99" s="44">
        <v>22.531500000000001</v>
      </c>
      <c r="D99" s="44">
        <v>22.6265</v>
      </c>
      <c r="E99" s="41"/>
      <c r="F99" s="45"/>
      <c r="G99" s="46"/>
    </row>
    <row r="100" spans="1:14" ht="25.5" x14ac:dyDescent="0.2">
      <c r="A100" s="41"/>
      <c r="B100" s="47" t="s">
        <v>665</v>
      </c>
      <c r="C100" s="44">
        <v>13.0738</v>
      </c>
      <c r="D100" s="44">
        <v>13.129</v>
      </c>
      <c r="E100" s="41"/>
      <c r="F100" s="45"/>
      <c r="G100" s="46"/>
    </row>
    <row r="101" spans="1:14" ht="25.5" x14ac:dyDescent="0.2">
      <c r="A101" s="41"/>
      <c r="B101" s="25" t="s">
        <v>719</v>
      </c>
      <c r="C101" s="44">
        <v>13.3622</v>
      </c>
      <c r="D101" s="44">
        <v>13.4186</v>
      </c>
      <c r="E101" s="41"/>
      <c r="F101" s="45"/>
      <c r="G101" s="46"/>
    </row>
    <row r="102" spans="1:14" ht="25.5" x14ac:dyDescent="0.2">
      <c r="A102" s="41"/>
      <c r="B102" s="25" t="s">
        <v>720</v>
      </c>
      <c r="C102" s="44">
        <v>13.106999999999999</v>
      </c>
      <c r="D102" s="44">
        <v>13.1623</v>
      </c>
      <c r="E102" s="41"/>
      <c r="F102" s="45"/>
      <c r="G102" s="46"/>
    </row>
    <row r="103" spans="1:14" x14ac:dyDescent="0.2">
      <c r="A103" s="41"/>
      <c r="B103" s="41"/>
      <c r="C103" s="41"/>
      <c r="D103" s="41"/>
      <c r="E103" s="41"/>
      <c r="F103" s="41"/>
      <c r="G103" s="41"/>
    </row>
    <row r="104" spans="1:14" x14ac:dyDescent="0.2">
      <c r="A104" s="41"/>
      <c r="B104" s="132" t="s">
        <v>721</v>
      </c>
      <c r="C104" s="133"/>
      <c r="D104" s="48" t="s">
        <v>104</v>
      </c>
      <c r="E104" s="41"/>
      <c r="F104" s="41"/>
      <c r="G104" s="41"/>
    </row>
    <row r="105" spans="1:14" x14ac:dyDescent="0.2">
      <c r="A105" s="41"/>
      <c r="B105" s="49"/>
      <c r="C105" s="49"/>
      <c r="D105" s="49"/>
      <c r="E105" s="41"/>
      <c r="F105" s="41"/>
      <c r="G105" s="41"/>
    </row>
    <row r="106" spans="1:14" s="52" customFormat="1" ht="15" x14ac:dyDescent="0.25">
      <c r="A106" s="87"/>
      <c r="B106" s="134" t="s">
        <v>616</v>
      </c>
      <c r="C106" s="135"/>
      <c r="D106" s="48" t="s">
        <v>104</v>
      </c>
      <c r="E106" s="87"/>
      <c r="F106" s="34"/>
      <c r="G106" s="87"/>
      <c r="I106" s="88"/>
      <c r="J106" s="89"/>
      <c r="K106" s="89"/>
      <c r="L106" s="89"/>
      <c r="M106" s="89"/>
      <c r="N106"/>
    </row>
    <row r="107" spans="1:14" ht="15" x14ac:dyDescent="0.25">
      <c r="A107" s="38"/>
      <c r="B107" s="134" t="s">
        <v>617</v>
      </c>
      <c r="C107" s="135"/>
      <c r="D107" s="48" t="s">
        <v>104</v>
      </c>
      <c r="E107" s="50"/>
      <c r="F107" s="38"/>
      <c r="G107" s="38"/>
      <c r="I107" s="90"/>
    </row>
    <row r="108" spans="1:14" ht="15" x14ac:dyDescent="0.25">
      <c r="A108" s="38"/>
      <c r="B108" s="134" t="s">
        <v>618</v>
      </c>
      <c r="C108" s="135"/>
      <c r="D108" s="48" t="s">
        <v>104</v>
      </c>
      <c r="E108" s="50"/>
      <c r="F108" s="38"/>
      <c r="G108" s="38"/>
      <c r="I108" s="91"/>
    </row>
    <row r="109" spans="1:14" x14ac:dyDescent="0.2">
      <c r="A109" s="38"/>
      <c r="B109" s="134" t="s">
        <v>619</v>
      </c>
      <c r="C109" s="135"/>
      <c r="D109" s="48" t="s">
        <v>104</v>
      </c>
      <c r="E109" s="50"/>
      <c r="F109" s="38"/>
      <c r="G109" s="38"/>
    </row>
    <row r="110" spans="1:14" x14ac:dyDescent="0.2">
      <c r="A110" s="49"/>
      <c r="B110" s="49"/>
      <c r="C110" s="49"/>
      <c r="D110" s="49"/>
      <c r="E110" s="49"/>
      <c r="F110" s="49"/>
      <c r="G110" s="49"/>
    </row>
    <row r="111" spans="1:14" s="52" customFormat="1" ht="15" x14ac:dyDescent="0.25">
      <c r="B111" s="166" t="s">
        <v>688</v>
      </c>
      <c r="C111" s="167"/>
      <c r="D111" s="167"/>
      <c r="E111" s="167"/>
      <c r="F111" s="167"/>
      <c r="G111" s="168"/>
      <c r="I111"/>
      <c r="J111" s="89"/>
      <c r="K111" s="89"/>
      <c r="L111" s="89"/>
      <c r="M111" s="89"/>
      <c r="N111"/>
    </row>
    <row r="112" spans="1:14" s="52" customFormat="1" ht="48" customHeight="1" x14ac:dyDescent="0.25">
      <c r="B112" s="92" t="s">
        <v>629</v>
      </c>
      <c r="C112" s="92" t="s">
        <v>630</v>
      </c>
      <c r="D112" s="169" t="s">
        <v>624</v>
      </c>
      <c r="E112" s="170"/>
      <c r="F112" s="171" t="s">
        <v>625</v>
      </c>
      <c r="G112" s="171"/>
      <c r="H112" s="93"/>
      <c r="I112"/>
      <c r="J112" s="89"/>
      <c r="K112" s="89"/>
      <c r="L112" s="89"/>
      <c r="M112" s="89"/>
      <c r="N112"/>
    </row>
    <row r="113" spans="2:14" s="52" customFormat="1" ht="25.5" x14ac:dyDescent="0.25">
      <c r="B113" s="94" t="s">
        <v>666</v>
      </c>
      <c r="C113" s="95" t="s">
        <v>667</v>
      </c>
      <c r="D113" s="172">
        <v>0</v>
      </c>
      <c r="E113" s="173"/>
      <c r="F113" s="172">
        <v>0</v>
      </c>
      <c r="G113" s="173"/>
      <c r="H113" s="96"/>
      <c r="I113"/>
      <c r="J113" s="89"/>
      <c r="K113" s="89"/>
      <c r="L113" s="89"/>
      <c r="M113" s="89"/>
      <c r="N113"/>
    </row>
    <row r="114" spans="2:14" s="52" customFormat="1" ht="15" x14ac:dyDescent="0.25">
      <c r="B114" s="174" t="s">
        <v>668</v>
      </c>
      <c r="C114" s="175"/>
      <c r="D114" s="175"/>
      <c r="E114" s="175"/>
      <c r="F114" s="175"/>
      <c r="G114" s="176"/>
      <c r="H114" s="96"/>
      <c r="I114"/>
      <c r="J114" s="91"/>
      <c r="K114" s="91"/>
      <c r="L114" s="91"/>
      <c r="M114" s="89"/>
      <c r="N114"/>
    </row>
    <row r="115" spans="2:14" s="52" customFormat="1" ht="15" x14ac:dyDescent="0.25">
      <c r="B115" s="171" t="s">
        <v>629</v>
      </c>
      <c r="C115" s="171" t="s">
        <v>630</v>
      </c>
      <c r="D115" s="174" t="s">
        <v>638</v>
      </c>
      <c r="E115" s="175"/>
      <c r="F115" s="176"/>
      <c r="G115" s="94"/>
      <c r="H115" s="96"/>
      <c r="I115"/>
      <c r="J115" s="91"/>
      <c r="K115" s="91"/>
      <c r="L115" s="91"/>
      <c r="M115" s="89"/>
      <c r="N115"/>
    </row>
    <row r="116" spans="2:14" s="52" customFormat="1" ht="76.5" x14ac:dyDescent="0.25">
      <c r="B116" s="171"/>
      <c r="C116" s="171"/>
      <c r="D116" s="97" t="s">
        <v>642</v>
      </c>
      <c r="E116" s="97" t="s">
        <v>669</v>
      </c>
      <c r="F116" s="97" t="s">
        <v>645</v>
      </c>
      <c r="G116" s="97" t="s">
        <v>690</v>
      </c>
      <c r="H116" s="98"/>
      <c r="I116"/>
      <c r="J116" s="91"/>
      <c r="K116" s="91"/>
      <c r="L116" s="91"/>
      <c r="M116" s="89"/>
      <c r="N116"/>
    </row>
    <row r="117" spans="2:14" s="52" customFormat="1" ht="25.5" x14ac:dyDescent="0.2">
      <c r="B117" s="99" t="s">
        <v>666</v>
      </c>
      <c r="C117" s="95" t="s">
        <v>667</v>
      </c>
      <c r="D117" s="100">
        <v>200</v>
      </c>
      <c r="E117" s="100">
        <v>6.8852450999999997</v>
      </c>
      <c r="F117" s="100">
        <v>206.88524509999999</v>
      </c>
      <c r="G117" s="101">
        <f>F117/F82</f>
        <v>4.6560470801407947E-2</v>
      </c>
      <c r="H117" s="102"/>
      <c r="I117"/>
      <c r="J117"/>
      <c r="K117"/>
      <c r="L117"/>
      <c r="M117"/>
      <c r="N117"/>
    </row>
    <row r="118" spans="2:14" s="52" customFormat="1" ht="33.75" customHeight="1" x14ac:dyDescent="0.2">
      <c r="B118" s="177" t="s">
        <v>670</v>
      </c>
      <c r="C118" s="178"/>
      <c r="D118" s="178"/>
      <c r="E118" s="178"/>
      <c r="F118" s="178"/>
      <c r="G118" s="179"/>
      <c r="H118" s="103"/>
      <c r="I118"/>
      <c r="J118"/>
      <c r="K118"/>
      <c r="L118"/>
      <c r="M118"/>
      <c r="N118"/>
    </row>
    <row r="119" spans="2:14" s="52" customFormat="1" x14ac:dyDescent="0.2">
      <c r="H119" s="103"/>
      <c r="I119"/>
      <c r="J119"/>
      <c r="K119"/>
      <c r="L119"/>
      <c r="M119"/>
      <c r="N119"/>
    </row>
    <row r="120" spans="2:14" s="52" customFormat="1" x14ac:dyDescent="0.2">
      <c r="B120" s="136" t="s">
        <v>608</v>
      </c>
      <c r="C120" s="137"/>
      <c r="D120" s="138"/>
      <c r="I120"/>
      <c r="J120"/>
      <c r="K120"/>
      <c r="L120"/>
      <c r="M120"/>
      <c r="N120"/>
    </row>
    <row r="121" spans="2:14" s="52" customFormat="1" ht="51" x14ac:dyDescent="0.2">
      <c r="B121" s="127" t="s">
        <v>609</v>
      </c>
      <c r="C121" s="127"/>
      <c r="D121" s="54" t="s">
        <v>510</v>
      </c>
      <c r="I121"/>
      <c r="J121"/>
      <c r="K121"/>
      <c r="L121"/>
      <c r="M121"/>
      <c r="N121"/>
    </row>
    <row r="122" spans="2:14" s="52" customFormat="1" x14ac:dyDescent="0.2">
      <c r="B122" s="128" t="s">
        <v>610</v>
      </c>
      <c r="C122" s="128"/>
      <c r="D122" s="55"/>
      <c r="I122"/>
      <c r="J122"/>
      <c r="K122"/>
      <c r="L122"/>
      <c r="M122"/>
      <c r="N122"/>
    </row>
    <row r="123" spans="2:14" s="52" customFormat="1" x14ac:dyDescent="0.2">
      <c r="B123" s="128"/>
      <c r="C123" s="128"/>
      <c r="D123" s="56"/>
      <c r="I123"/>
      <c r="J123"/>
      <c r="K123"/>
      <c r="L123"/>
      <c r="M123"/>
      <c r="N123"/>
    </row>
    <row r="124" spans="2:14" s="52" customFormat="1" x14ac:dyDescent="0.2">
      <c r="B124" s="128" t="s">
        <v>611</v>
      </c>
      <c r="C124" s="128"/>
      <c r="D124" s="57">
        <v>7.0052167433783001</v>
      </c>
      <c r="I124"/>
      <c r="J124"/>
      <c r="K124"/>
      <c r="L124"/>
      <c r="M124"/>
      <c r="N124"/>
    </row>
    <row r="125" spans="2:14" s="52" customFormat="1" x14ac:dyDescent="0.2">
      <c r="B125" s="128"/>
      <c r="C125" s="128"/>
      <c r="D125" s="56"/>
      <c r="I125"/>
      <c r="J125"/>
      <c r="K125"/>
      <c r="L125"/>
      <c r="M125"/>
      <c r="N125"/>
    </row>
    <row r="126" spans="2:14" s="52" customFormat="1" x14ac:dyDescent="0.2">
      <c r="B126" s="128" t="s">
        <v>612</v>
      </c>
      <c r="C126" s="128"/>
      <c r="D126" s="57">
        <v>3.8345127267252059</v>
      </c>
      <c r="I126"/>
      <c r="J126"/>
      <c r="K126"/>
      <c r="L126"/>
      <c r="M126"/>
      <c r="N126"/>
    </row>
    <row r="127" spans="2:14" s="52" customFormat="1" x14ac:dyDescent="0.2">
      <c r="B127" s="128" t="s">
        <v>613</v>
      </c>
      <c r="C127" s="128"/>
      <c r="D127" s="57">
        <v>4.9089496773224983</v>
      </c>
      <c r="I127"/>
      <c r="J127"/>
      <c r="K127"/>
      <c r="L127"/>
      <c r="M127"/>
      <c r="N127"/>
    </row>
    <row r="128" spans="2:14" s="52" customFormat="1" x14ac:dyDescent="0.2">
      <c r="B128" s="128"/>
      <c r="C128" s="128"/>
      <c r="D128" s="56"/>
      <c r="I128"/>
      <c r="J128"/>
      <c r="K128"/>
      <c r="L128"/>
      <c r="M128"/>
      <c r="N128"/>
    </row>
    <row r="129" spans="2:16" s="52" customFormat="1" x14ac:dyDescent="0.2">
      <c r="B129" s="128" t="s">
        <v>614</v>
      </c>
      <c r="C129" s="128"/>
      <c r="D129" s="59" t="s">
        <v>687</v>
      </c>
      <c r="I129"/>
      <c r="J129" s="51"/>
      <c r="K129" s="51"/>
      <c r="L129" s="51"/>
      <c r="M129" s="51"/>
      <c r="N129" s="53"/>
    </row>
    <row r="130" spans="2:16" s="52" customFormat="1" x14ac:dyDescent="0.2">
      <c r="B130" s="140" t="s">
        <v>615</v>
      </c>
      <c r="C130" s="142"/>
      <c r="D130" s="141"/>
      <c r="I130"/>
      <c r="J130"/>
      <c r="K130"/>
      <c r="L130"/>
      <c r="M130"/>
      <c r="N130"/>
      <c r="O130"/>
      <c r="P130"/>
    </row>
    <row r="132" spans="2:16" x14ac:dyDescent="0.2">
      <c r="B132" s="61" t="s">
        <v>691</v>
      </c>
    </row>
    <row r="134" spans="2:16" ht="153.75" customHeight="1" x14ac:dyDescent="0.2"/>
    <row r="137" spans="2:16" x14ac:dyDescent="0.2">
      <c r="B137" s="62" t="s">
        <v>692</v>
      </c>
      <c r="C137" s="63"/>
      <c r="D137" s="62" t="s">
        <v>694</v>
      </c>
    </row>
    <row r="138" spans="2:16" x14ac:dyDescent="0.2">
      <c r="B138" s="62" t="s">
        <v>708</v>
      </c>
      <c r="D138" s="62" t="s">
        <v>709</v>
      </c>
    </row>
    <row r="139" spans="2:16" ht="165" customHeight="1" x14ac:dyDescent="0.2"/>
  </sheetData>
  <mergeCells count="36">
    <mergeCell ref="B130:D130"/>
    <mergeCell ref="B125:C125"/>
    <mergeCell ref="B126:C126"/>
    <mergeCell ref="B127:C127"/>
    <mergeCell ref="B128:C128"/>
    <mergeCell ref="B129:C129"/>
    <mergeCell ref="B120:D120"/>
    <mergeCell ref="B121:C121"/>
    <mergeCell ref="B122:C122"/>
    <mergeCell ref="B123:C123"/>
    <mergeCell ref="B124:C124"/>
    <mergeCell ref="B114:G114"/>
    <mergeCell ref="B115:B116"/>
    <mergeCell ref="C115:C116"/>
    <mergeCell ref="D115:F115"/>
    <mergeCell ref="B118:G118"/>
    <mergeCell ref="B108:C108"/>
    <mergeCell ref="A1:H1"/>
    <mergeCell ref="A2:H2"/>
    <mergeCell ref="A3:H3"/>
    <mergeCell ref="B84:H84"/>
    <mergeCell ref="B85:H85"/>
    <mergeCell ref="B86:H86"/>
    <mergeCell ref="B106:C106"/>
    <mergeCell ref="B107:C107"/>
    <mergeCell ref="B88:D88"/>
    <mergeCell ref="B89:C89"/>
    <mergeCell ref="B90:C90"/>
    <mergeCell ref="B91:C91"/>
    <mergeCell ref="B104:C104"/>
    <mergeCell ref="B109:C109"/>
    <mergeCell ref="B111:G111"/>
    <mergeCell ref="D112:E112"/>
    <mergeCell ref="F112:G112"/>
    <mergeCell ref="D113:E113"/>
    <mergeCell ref="F113:G113"/>
  </mergeCells>
  <hyperlinks>
    <hyperlink ref="I1" location="Index!B2" display="Index" xr:uid="{782A371A-BA4B-4A55-8964-E174E7FADFE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CBF1D-5376-45AB-AECC-642D63A8434C}">
  <sheetPr>
    <outlinePr summaryBelow="0" summaryRight="0"/>
  </sheetPr>
  <dimension ref="A1:R179"/>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6.5703125" bestFit="1" customWidth="1"/>
    <col min="5" max="5" width="8.7109375" bestFit="1" customWidth="1"/>
    <col min="6" max="6" width="10.140625" bestFit="1" customWidth="1"/>
    <col min="7" max="7" width="14" bestFit="1" customWidth="1"/>
    <col min="8" max="8" width="8.5703125" customWidth="1"/>
    <col min="9" max="9" width="7.7109375" customWidth="1"/>
    <col min="10" max="10" width="10.140625" customWidth="1"/>
  </cols>
  <sheetData>
    <row r="1" spans="1:10" ht="15" x14ac:dyDescent="0.2">
      <c r="A1" s="139" t="s">
        <v>0</v>
      </c>
      <c r="B1" s="139"/>
      <c r="C1" s="139"/>
      <c r="D1" s="139"/>
      <c r="E1" s="139"/>
      <c r="F1" s="139"/>
      <c r="G1" s="139"/>
      <c r="H1" s="139"/>
      <c r="I1" s="7" t="s">
        <v>598</v>
      </c>
    </row>
    <row r="2" spans="1:10" ht="15" x14ac:dyDescent="0.2">
      <c r="A2" s="139" t="s">
        <v>514</v>
      </c>
      <c r="B2" s="139"/>
      <c r="C2" s="139"/>
      <c r="D2" s="139"/>
      <c r="E2" s="139"/>
      <c r="F2" s="139"/>
      <c r="G2" s="139"/>
      <c r="H2" s="139"/>
    </row>
    <row r="3" spans="1:10" ht="15" x14ac:dyDescent="0.2">
      <c r="A3" s="139" t="s">
        <v>600</v>
      </c>
      <c r="B3" s="139"/>
      <c r="C3" s="139"/>
      <c r="D3" s="139"/>
      <c r="E3" s="139"/>
      <c r="F3" s="139"/>
      <c r="G3" s="139"/>
      <c r="H3" s="139"/>
    </row>
    <row r="4" spans="1:10" s="15" customFormat="1" ht="30" x14ac:dyDescent="0.2">
      <c r="A4" s="13" t="s">
        <v>2</v>
      </c>
      <c r="B4" s="13" t="s">
        <v>3</v>
      </c>
      <c r="C4" s="13" t="s">
        <v>4</v>
      </c>
      <c r="D4" s="13" t="s">
        <v>5</v>
      </c>
      <c r="E4" s="13" t="s">
        <v>6</v>
      </c>
      <c r="F4" s="13" t="s">
        <v>7</v>
      </c>
      <c r="G4" s="13" t="s">
        <v>8</v>
      </c>
      <c r="H4" s="14" t="s">
        <v>599</v>
      </c>
    </row>
    <row r="5" spans="1:10" x14ac:dyDescent="0.2">
      <c r="A5" s="16"/>
      <c r="B5" s="16"/>
      <c r="C5" s="17" t="s">
        <v>9</v>
      </c>
      <c r="D5" s="16"/>
      <c r="E5" s="16"/>
      <c r="F5" s="16"/>
      <c r="G5" s="16"/>
      <c r="H5" s="18" t="s">
        <v>12</v>
      </c>
    </row>
    <row r="6" spans="1:10" x14ac:dyDescent="0.2">
      <c r="A6" s="16"/>
      <c r="B6" s="16"/>
      <c r="C6" s="17" t="s">
        <v>10</v>
      </c>
      <c r="D6" s="16"/>
      <c r="E6" s="16"/>
      <c r="F6" s="16"/>
      <c r="G6" s="16"/>
      <c r="H6" s="18" t="s">
        <v>12</v>
      </c>
    </row>
    <row r="7" spans="1:10" x14ac:dyDescent="0.2">
      <c r="A7" s="24">
        <v>1</v>
      </c>
      <c r="B7" s="25" t="s">
        <v>515</v>
      </c>
      <c r="C7" s="25" t="s">
        <v>516</v>
      </c>
      <c r="D7" s="25" t="s">
        <v>517</v>
      </c>
      <c r="E7" s="26">
        <v>4250</v>
      </c>
      <c r="F7" s="27">
        <v>76.332125000000005</v>
      </c>
      <c r="G7" s="28">
        <v>2.7777820000000002E-2</v>
      </c>
      <c r="H7" s="18" t="s">
        <v>12</v>
      </c>
    </row>
    <row r="8" spans="1:10" x14ac:dyDescent="0.2">
      <c r="A8" s="24">
        <v>2</v>
      </c>
      <c r="B8" s="25" t="s">
        <v>518</v>
      </c>
      <c r="C8" s="25" t="s">
        <v>519</v>
      </c>
      <c r="D8" s="25" t="s">
        <v>517</v>
      </c>
      <c r="E8" s="26">
        <v>4200</v>
      </c>
      <c r="F8" s="27">
        <v>54.604199999999999</v>
      </c>
      <c r="G8" s="28">
        <v>1.9870869999999999E-2</v>
      </c>
      <c r="H8" s="18" t="s">
        <v>12</v>
      </c>
    </row>
    <row r="9" spans="1:10" x14ac:dyDescent="0.2">
      <c r="A9" s="24">
        <v>3</v>
      </c>
      <c r="B9" s="25" t="s">
        <v>520</v>
      </c>
      <c r="C9" s="25" t="s">
        <v>521</v>
      </c>
      <c r="D9" s="25" t="s">
        <v>522</v>
      </c>
      <c r="E9" s="26">
        <v>2500</v>
      </c>
      <c r="F9" s="27">
        <v>40.678750000000001</v>
      </c>
      <c r="G9" s="28">
        <v>1.48033E-2</v>
      </c>
      <c r="H9" s="18" t="s">
        <v>12</v>
      </c>
    </row>
    <row r="10" spans="1:10" x14ac:dyDescent="0.2">
      <c r="A10" s="24">
        <v>4</v>
      </c>
      <c r="B10" s="25" t="s">
        <v>523</v>
      </c>
      <c r="C10" s="25" t="s">
        <v>524</v>
      </c>
      <c r="D10" s="25" t="s">
        <v>525</v>
      </c>
      <c r="E10" s="26">
        <v>3000</v>
      </c>
      <c r="F10" s="27">
        <v>38.765999999999998</v>
      </c>
      <c r="G10" s="28">
        <v>1.410723E-2</v>
      </c>
      <c r="H10" s="18" t="s">
        <v>12</v>
      </c>
    </row>
    <row r="11" spans="1:10" x14ac:dyDescent="0.2">
      <c r="A11" s="24">
        <v>5</v>
      </c>
      <c r="B11" s="25" t="s">
        <v>526</v>
      </c>
      <c r="C11" s="25" t="s">
        <v>527</v>
      </c>
      <c r="D11" s="25" t="s">
        <v>528</v>
      </c>
      <c r="E11" s="26">
        <v>1848</v>
      </c>
      <c r="F11" s="27">
        <v>34.151964</v>
      </c>
      <c r="G11" s="28">
        <v>1.2428150000000001E-2</v>
      </c>
      <c r="H11" s="18" t="s">
        <v>12</v>
      </c>
    </row>
    <row r="12" spans="1:10" x14ac:dyDescent="0.2">
      <c r="A12" s="24">
        <v>6</v>
      </c>
      <c r="B12" s="25" t="s">
        <v>529</v>
      </c>
      <c r="C12" s="25" t="s">
        <v>530</v>
      </c>
      <c r="D12" s="25" t="s">
        <v>528</v>
      </c>
      <c r="E12" s="26">
        <v>1750</v>
      </c>
      <c r="F12" s="27">
        <v>32.512374999999999</v>
      </c>
      <c r="G12" s="28">
        <v>1.183149E-2</v>
      </c>
      <c r="H12" s="18" t="s">
        <v>12</v>
      </c>
    </row>
    <row r="13" spans="1:10" ht="25.5" x14ac:dyDescent="0.2">
      <c r="A13" s="24">
        <v>7</v>
      </c>
      <c r="B13" s="47" t="s">
        <v>671</v>
      </c>
      <c r="C13" s="47" t="s">
        <v>672</v>
      </c>
      <c r="D13" s="47" t="s">
        <v>673</v>
      </c>
      <c r="E13" s="64">
        <v>30000</v>
      </c>
      <c r="F13" s="65">
        <v>25.985999999999997</v>
      </c>
      <c r="G13" s="66">
        <f>F13/F102</f>
        <v>9.4564966645650714E-3</v>
      </c>
      <c r="H13" s="18" t="s">
        <v>12</v>
      </c>
      <c r="J13" s="67"/>
    </row>
    <row r="14" spans="1:10" x14ac:dyDescent="0.2">
      <c r="A14" s="24">
        <v>8</v>
      </c>
      <c r="B14" s="25" t="s">
        <v>531</v>
      </c>
      <c r="C14" s="25" t="s">
        <v>532</v>
      </c>
      <c r="D14" s="25" t="s">
        <v>517</v>
      </c>
      <c r="E14" s="26">
        <v>2000</v>
      </c>
      <c r="F14" s="27">
        <v>22.725999999999999</v>
      </c>
      <c r="G14" s="28">
        <v>8.2701600000000004E-3</v>
      </c>
      <c r="H14" s="18" t="s">
        <v>12</v>
      </c>
    </row>
    <row r="15" spans="1:10" x14ac:dyDescent="0.2">
      <c r="A15" s="24">
        <v>9</v>
      </c>
      <c r="B15" s="25" t="s">
        <v>533</v>
      </c>
      <c r="C15" s="25" t="s">
        <v>534</v>
      </c>
      <c r="D15" s="25" t="s">
        <v>535</v>
      </c>
      <c r="E15" s="26">
        <v>600</v>
      </c>
      <c r="F15" s="27">
        <v>22.348800000000001</v>
      </c>
      <c r="G15" s="28">
        <v>8.1328900000000003E-3</v>
      </c>
      <c r="H15" s="18" t="s">
        <v>12</v>
      </c>
    </row>
    <row r="16" spans="1:10" x14ac:dyDescent="0.2">
      <c r="A16" s="24">
        <v>10</v>
      </c>
      <c r="B16" s="25" t="s">
        <v>536</v>
      </c>
      <c r="C16" s="25" t="s">
        <v>537</v>
      </c>
      <c r="D16" s="25" t="s">
        <v>517</v>
      </c>
      <c r="E16" s="26">
        <v>2600</v>
      </c>
      <c r="F16" s="27">
        <v>21.8127</v>
      </c>
      <c r="G16" s="28">
        <v>7.9378000000000001E-3</v>
      </c>
      <c r="H16" s="18" t="s">
        <v>12</v>
      </c>
    </row>
    <row r="17" spans="1:8" x14ac:dyDescent="0.2">
      <c r="A17" s="24">
        <v>11</v>
      </c>
      <c r="B17" s="25" t="s">
        <v>538</v>
      </c>
      <c r="C17" s="25" t="s">
        <v>539</v>
      </c>
      <c r="D17" s="25" t="s">
        <v>540</v>
      </c>
      <c r="E17" s="26">
        <v>4000</v>
      </c>
      <c r="F17" s="27">
        <v>19.07</v>
      </c>
      <c r="G17" s="28">
        <v>6.93971E-3</v>
      </c>
      <c r="H17" s="18" t="s">
        <v>12</v>
      </c>
    </row>
    <row r="18" spans="1:8" ht="25.5" x14ac:dyDescent="0.2">
      <c r="A18" s="24">
        <v>12</v>
      </c>
      <c r="B18" s="25" t="s">
        <v>541</v>
      </c>
      <c r="C18" s="25" t="s">
        <v>542</v>
      </c>
      <c r="D18" s="25" t="s">
        <v>543</v>
      </c>
      <c r="E18" s="26">
        <v>1000</v>
      </c>
      <c r="F18" s="27">
        <v>17.809000000000001</v>
      </c>
      <c r="G18" s="28">
        <v>6.4808299999999999E-3</v>
      </c>
      <c r="H18" s="18" t="s">
        <v>12</v>
      </c>
    </row>
    <row r="19" spans="1:8" x14ac:dyDescent="0.2">
      <c r="A19" s="24">
        <v>13</v>
      </c>
      <c r="B19" s="25" t="s">
        <v>544</v>
      </c>
      <c r="C19" s="25" t="s">
        <v>545</v>
      </c>
      <c r="D19" s="25" t="s">
        <v>546</v>
      </c>
      <c r="E19" s="26">
        <v>2500</v>
      </c>
      <c r="F19" s="27">
        <v>15.53</v>
      </c>
      <c r="G19" s="28">
        <v>5.6514800000000004E-3</v>
      </c>
      <c r="H19" s="18" t="s">
        <v>12</v>
      </c>
    </row>
    <row r="20" spans="1:8" x14ac:dyDescent="0.2">
      <c r="A20" s="24">
        <v>14</v>
      </c>
      <c r="B20" s="25" t="s">
        <v>547</v>
      </c>
      <c r="C20" s="25" t="s">
        <v>548</v>
      </c>
      <c r="D20" s="25" t="s">
        <v>525</v>
      </c>
      <c r="E20" s="26">
        <v>5000</v>
      </c>
      <c r="F20" s="27">
        <v>14.605</v>
      </c>
      <c r="G20" s="28">
        <v>5.3148700000000002E-3</v>
      </c>
      <c r="H20" s="18" t="s">
        <v>12</v>
      </c>
    </row>
    <row r="21" spans="1:8" x14ac:dyDescent="0.2">
      <c r="A21" s="24">
        <v>15</v>
      </c>
      <c r="B21" s="25" t="s">
        <v>549</v>
      </c>
      <c r="C21" s="25" t="s">
        <v>550</v>
      </c>
      <c r="D21" s="25" t="s">
        <v>551</v>
      </c>
      <c r="E21" s="26">
        <v>160</v>
      </c>
      <c r="F21" s="27">
        <v>14.45384</v>
      </c>
      <c r="G21" s="28">
        <v>5.2598599999999999E-3</v>
      </c>
      <c r="H21" s="18" t="s">
        <v>12</v>
      </c>
    </row>
    <row r="22" spans="1:8" ht="25.5" x14ac:dyDescent="0.2">
      <c r="A22" s="24">
        <v>16</v>
      </c>
      <c r="B22" s="25" t="s">
        <v>552</v>
      </c>
      <c r="C22" s="25" t="s">
        <v>553</v>
      </c>
      <c r="D22" s="25" t="s">
        <v>543</v>
      </c>
      <c r="E22" s="26">
        <v>250</v>
      </c>
      <c r="F22" s="27">
        <v>14.106125</v>
      </c>
      <c r="G22" s="28">
        <v>5.1333200000000002E-3</v>
      </c>
      <c r="H22" s="18" t="s">
        <v>12</v>
      </c>
    </row>
    <row r="23" spans="1:8" ht="25.5" x14ac:dyDescent="0.2">
      <c r="A23" s="24">
        <v>17</v>
      </c>
      <c r="B23" s="25" t="s">
        <v>554</v>
      </c>
      <c r="C23" s="25" t="s">
        <v>555</v>
      </c>
      <c r="D23" s="25" t="s">
        <v>556</v>
      </c>
      <c r="E23" s="26">
        <v>125</v>
      </c>
      <c r="F23" s="27">
        <v>14.0026875</v>
      </c>
      <c r="G23" s="28">
        <v>5.09568E-3</v>
      </c>
      <c r="H23" s="18" t="s">
        <v>12</v>
      </c>
    </row>
    <row r="24" spans="1:8" x14ac:dyDescent="0.2">
      <c r="A24" s="24">
        <v>18</v>
      </c>
      <c r="B24" s="25" t="s">
        <v>557</v>
      </c>
      <c r="C24" s="25" t="s">
        <v>558</v>
      </c>
      <c r="D24" s="25" t="s">
        <v>559</v>
      </c>
      <c r="E24" s="26">
        <v>2000</v>
      </c>
      <c r="F24" s="27">
        <v>13.993</v>
      </c>
      <c r="G24" s="28">
        <v>5.0921600000000001E-3</v>
      </c>
      <c r="H24" s="18" t="s">
        <v>12</v>
      </c>
    </row>
    <row r="25" spans="1:8" x14ac:dyDescent="0.2">
      <c r="A25" s="24">
        <v>19</v>
      </c>
      <c r="B25" s="25" t="s">
        <v>560</v>
      </c>
      <c r="C25" s="25" t="s">
        <v>561</v>
      </c>
      <c r="D25" s="25" t="s">
        <v>546</v>
      </c>
      <c r="E25" s="26">
        <v>900</v>
      </c>
      <c r="F25" s="27">
        <v>13.761900000000001</v>
      </c>
      <c r="G25" s="28">
        <v>5.0080599999999999E-3</v>
      </c>
      <c r="H25" s="18" t="s">
        <v>12</v>
      </c>
    </row>
    <row r="26" spans="1:8" ht="25.5" x14ac:dyDescent="0.2">
      <c r="A26" s="24">
        <v>20</v>
      </c>
      <c r="B26" s="25" t="s">
        <v>562</v>
      </c>
      <c r="C26" s="25" t="s">
        <v>563</v>
      </c>
      <c r="D26" s="25" t="s">
        <v>564</v>
      </c>
      <c r="E26" s="26">
        <v>320</v>
      </c>
      <c r="F26" s="27">
        <v>13.009600000000001</v>
      </c>
      <c r="G26" s="28">
        <v>4.7342900000000004E-3</v>
      </c>
      <c r="H26" s="18" t="s">
        <v>12</v>
      </c>
    </row>
    <row r="27" spans="1:8" ht="25.5" x14ac:dyDescent="0.2">
      <c r="A27" s="24">
        <v>21</v>
      </c>
      <c r="B27" s="25" t="s">
        <v>565</v>
      </c>
      <c r="C27" s="25" t="s">
        <v>566</v>
      </c>
      <c r="D27" s="25" t="s">
        <v>567</v>
      </c>
      <c r="E27" s="26">
        <v>2000</v>
      </c>
      <c r="F27" s="27">
        <v>12.898999999999999</v>
      </c>
      <c r="G27" s="28">
        <v>4.69404E-3</v>
      </c>
      <c r="H27" s="18" t="s">
        <v>12</v>
      </c>
    </row>
    <row r="28" spans="1:8" x14ac:dyDescent="0.2">
      <c r="A28" s="24">
        <v>22</v>
      </c>
      <c r="B28" s="25" t="s">
        <v>568</v>
      </c>
      <c r="C28" s="25" t="s">
        <v>569</v>
      </c>
      <c r="D28" s="25" t="s">
        <v>570</v>
      </c>
      <c r="E28" s="26">
        <v>2000</v>
      </c>
      <c r="F28" s="27">
        <v>12.891</v>
      </c>
      <c r="G28" s="28">
        <v>4.69113E-3</v>
      </c>
      <c r="H28" s="18" t="s">
        <v>12</v>
      </c>
    </row>
    <row r="29" spans="1:8" ht="25.5" x14ac:dyDescent="0.2">
      <c r="A29" s="24">
        <v>23</v>
      </c>
      <c r="B29" s="25" t="s">
        <v>571</v>
      </c>
      <c r="C29" s="25" t="s">
        <v>572</v>
      </c>
      <c r="D29" s="25" t="s">
        <v>556</v>
      </c>
      <c r="E29" s="26">
        <v>450</v>
      </c>
      <c r="F29" s="27">
        <v>11.728125</v>
      </c>
      <c r="G29" s="28">
        <v>4.2679500000000004E-3</v>
      </c>
      <c r="H29" s="18" t="s">
        <v>12</v>
      </c>
    </row>
    <row r="30" spans="1:8" x14ac:dyDescent="0.2">
      <c r="A30" s="24">
        <v>24</v>
      </c>
      <c r="B30" s="25" t="s">
        <v>573</v>
      </c>
      <c r="C30" s="25" t="s">
        <v>574</v>
      </c>
      <c r="D30" s="25" t="s">
        <v>551</v>
      </c>
      <c r="E30" s="26">
        <v>100</v>
      </c>
      <c r="F30" s="27">
        <v>11.074199999999999</v>
      </c>
      <c r="G30" s="28">
        <v>4.0299799999999998E-3</v>
      </c>
      <c r="H30" s="18" t="s">
        <v>12</v>
      </c>
    </row>
    <row r="31" spans="1:8" x14ac:dyDescent="0.2">
      <c r="A31" s="24">
        <v>25</v>
      </c>
      <c r="B31" s="25" t="s">
        <v>575</v>
      </c>
      <c r="C31" s="25" t="s">
        <v>576</v>
      </c>
      <c r="D31" s="25" t="s">
        <v>577</v>
      </c>
      <c r="E31" s="26">
        <v>2000</v>
      </c>
      <c r="F31" s="27">
        <v>10.193</v>
      </c>
      <c r="G31" s="28">
        <v>3.70931E-3</v>
      </c>
      <c r="H31" s="18" t="s">
        <v>12</v>
      </c>
    </row>
    <row r="32" spans="1:8" x14ac:dyDescent="0.2">
      <c r="A32" s="24">
        <v>26</v>
      </c>
      <c r="B32" s="25" t="s">
        <v>578</v>
      </c>
      <c r="C32" s="25" t="s">
        <v>579</v>
      </c>
      <c r="D32" s="25" t="s">
        <v>517</v>
      </c>
      <c r="E32" s="26">
        <v>4000</v>
      </c>
      <c r="F32" s="27">
        <v>9.8559999999999999</v>
      </c>
      <c r="G32" s="28">
        <v>3.5866700000000001E-3</v>
      </c>
      <c r="H32" s="18" t="s">
        <v>12</v>
      </c>
    </row>
    <row r="33" spans="1:8" x14ac:dyDescent="0.2">
      <c r="A33" s="24">
        <v>27</v>
      </c>
      <c r="B33" s="25" t="s">
        <v>580</v>
      </c>
      <c r="C33" s="47" t="s">
        <v>674</v>
      </c>
      <c r="D33" s="25" t="s">
        <v>522</v>
      </c>
      <c r="E33" s="26">
        <v>218</v>
      </c>
      <c r="F33" s="27">
        <v>2.6504439999999998</v>
      </c>
      <c r="G33" s="28">
        <v>9.6451999999999996E-4</v>
      </c>
      <c r="H33" s="18" t="s">
        <v>12</v>
      </c>
    </row>
    <row r="34" spans="1:8" x14ac:dyDescent="0.2">
      <c r="A34" s="16"/>
      <c r="B34" s="16"/>
      <c r="C34" s="17" t="s">
        <v>11</v>
      </c>
      <c r="D34" s="16"/>
      <c r="E34" s="16" t="s">
        <v>12</v>
      </c>
      <c r="F34" s="23">
        <f>SUM(F7:F33)</f>
        <v>591.55183549999992</v>
      </c>
      <c r="G34" s="20">
        <f>SUM(G7:G33)</f>
        <v>0.21527006666456502</v>
      </c>
      <c r="H34" s="18" t="s">
        <v>12</v>
      </c>
    </row>
    <row r="35" spans="1:8" x14ac:dyDescent="0.2">
      <c r="A35" s="16"/>
      <c r="B35" s="16"/>
      <c r="C35" s="21"/>
      <c r="D35" s="16"/>
      <c r="E35" s="16"/>
      <c r="F35" s="22"/>
      <c r="G35" s="22"/>
      <c r="H35" s="18" t="s">
        <v>12</v>
      </c>
    </row>
    <row r="36" spans="1:8" x14ac:dyDescent="0.2">
      <c r="A36" s="16"/>
      <c r="B36" s="16"/>
      <c r="C36" s="17" t="s">
        <v>14</v>
      </c>
      <c r="D36" s="16"/>
      <c r="E36" s="16"/>
      <c r="F36" s="16"/>
      <c r="G36" s="16"/>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15</v>
      </c>
      <c r="D39" s="16"/>
      <c r="E39" s="16"/>
      <c r="F39" s="16"/>
      <c r="G39" s="16"/>
      <c r="H39" s="18" t="s">
        <v>12</v>
      </c>
    </row>
    <row r="40" spans="1:8" x14ac:dyDescent="0.2">
      <c r="A40" s="16"/>
      <c r="B40" s="16"/>
      <c r="C40" s="17" t="s">
        <v>11</v>
      </c>
      <c r="D40" s="16"/>
      <c r="E40" s="16" t="s">
        <v>12</v>
      </c>
      <c r="F40" s="19" t="s">
        <v>13</v>
      </c>
      <c r="G40" s="20">
        <v>0</v>
      </c>
      <c r="H40" s="18" t="s">
        <v>12</v>
      </c>
    </row>
    <row r="41" spans="1:8" x14ac:dyDescent="0.2">
      <c r="A41" s="16"/>
      <c r="B41" s="16"/>
      <c r="C41" s="21"/>
      <c r="D41" s="16"/>
      <c r="E41" s="16"/>
      <c r="F41" s="22"/>
      <c r="G41" s="22"/>
      <c r="H41" s="18" t="s">
        <v>12</v>
      </c>
    </row>
    <row r="42" spans="1:8" x14ac:dyDescent="0.2">
      <c r="A42" s="16"/>
      <c r="B42" s="16"/>
      <c r="C42" s="17" t="s">
        <v>16</v>
      </c>
      <c r="D42" s="16"/>
      <c r="E42" s="16"/>
      <c r="F42" s="16"/>
      <c r="G42" s="16"/>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17</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18</v>
      </c>
      <c r="D48" s="16"/>
      <c r="E48" s="16"/>
      <c r="F48" s="22"/>
      <c r="G48" s="22"/>
      <c r="H48" s="18" t="s">
        <v>12</v>
      </c>
    </row>
    <row r="49" spans="1:8" x14ac:dyDescent="0.2">
      <c r="A49" s="16"/>
      <c r="B49" s="16"/>
      <c r="C49" s="17" t="s">
        <v>11</v>
      </c>
      <c r="D49" s="16"/>
      <c r="E49" s="16" t="s">
        <v>12</v>
      </c>
      <c r="F49" s="19" t="s">
        <v>13</v>
      </c>
      <c r="G49" s="20">
        <v>0</v>
      </c>
      <c r="H49" s="18" t="s">
        <v>12</v>
      </c>
    </row>
    <row r="50" spans="1:8" x14ac:dyDescent="0.2">
      <c r="A50" s="16"/>
      <c r="B50" s="16"/>
      <c r="C50" s="21"/>
      <c r="D50" s="16"/>
      <c r="E50" s="16"/>
      <c r="F50" s="22"/>
      <c r="G50" s="22"/>
      <c r="H50" s="18" t="s">
        <v>12</v>
      </c>
    </row>
    <row r="51" spans="1:8" x14ac:dyDescent="0.2">
      <c r="A51" s="16"/>
      <c r="B51" s="16"/>
      <c r="C51" s="17" t="s">
        <v>19</v>
      </c>
      <c r="D51" s="16"/>
      <c r="E51" s="16"/>
      <c r="F51" s="23">
        <f>F34</f>
        <v>591.55183549999992</v>
      </c>
      <c r="G51" s="20">
        <f>G34</f>
        <v>0.21527006666456502</v>
      </c>
      <c r="H51" s="18" t="s">
        <v>12</v>
      </c>
    </row>
    <row r="52" spans="1:8" x14ac:dyDescent="0.2">
      <c r="A52" s="16"/>
      <c r="B52" s="16"/>
      <c r="C52" s="21"/>
      <c r="D52" s="16"/>
      <c r="E52" s="16"/>
      <c r="F52" s="22"/>
      <c r="G52" s="22"/>
      <c r="H52" s="18" t="s">
        <v>12</v>
      </c>
    </row>
    <row r="53" spans="1:8" x14ac:dyDescent="0.2">
      <c r="A53" s="16"/>
      <c r="B53" s="16"/>
      <c r="C53" s="17" t="s">
        <v>20</v>
      </c>
      <c r="D53" s="16"/>
      <c r="E53" s="16"/>
      <c r="F53" s="22"/>
      <c r="G53" s="22"/>
      <c r="H53" s="18" t="s">
        <v>12</v>
      </c>
    </row>
    <row r="54" spans="1:8" x14ac:dyDescent="0.2">
      <c r="A54" s="16"/>
      <c r="B54" s="16"/>
      <c r="C54" s="17" t="s">
        <v>10</v>
      </c>
      <c r="D54" s="16"/>
      <c r="E54" s="16"/>
      <c r="F54" s="22"/>
      <c r="G54" s="22"/>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67</v>
      </c>
      <c r="D57" s="16"/>
      <c r="E57" s="16"/>
      <c r="F57" s="16"/>
      <c r="G57" s="16"/>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68</v>
      </c>
      <c r="D60" s="16"/>
      <c r="E60" s="16"/>
      <c r="F60" s="16"/>
      <c r="G60" s="16"/>
      <c r="H60" s="18" t="s">
        <v>12</v>
      </c>
    </row>
    <row r="61" spans="1:8" ht="25.5" x14ac:dyDescent="0.2">
      <c r="A61" s="24">
        <v>1</v>
      </c>
      <c r="B61" s="25" t="s">
        <v>69</v>
      </c>
      <c r="C61" s="25" t="s">
        <v>70</v>
      </c>
      <c r="D61" s="25" t="s">
        <v>71</v>
      </c>
      <c r="E61" s="26">
        <v>600000</v>
      </c>
      <c r="F61" s="27">
        <v>613.04939999999999</v>
      </c>
      <c r="G61" s="28">
        <v>0.22309319</v>
      </c>
      <c r="H61" s="18">
        <v>6.8952999999999998</v>
      </c>
    </row>
    <row r="62" spans="1:8" x14ac:dyDescent="0.2">
      <c r="A62" s="24">
        <v>2</v>
      </c>
      <c r="B62" s="25" t="s">
        <v>74</v>
      </c>
      <c r="C62" s="25" t="s">
        <v>75</v>
      </c>
      <c r="D62" s="25" t="s">
        <v>71</v>
      </c>
      <c r="E62" s="26">
        <v>500000</v>
      </c>
      <c r="F62" s="27">
        <v>517.8895</v>
      </c>
      <c r="G62" s="28">
        <v>0.18846379999999999</v>
      </c>
      <c r="H62" s="18">
        <v>7.1307999999999998</v>
      </c>
    </row>
    <row r="63" spans="1:8" x14ac:dyDescent="0.2">
      <c r="A63" s="16"/>
      <c r="B63" s="16"/>
      <c r="C63" s="17" t="s">
        <v>11</v>
      </c>
      <c r="D63" s="16"/>
      <c r="E63" s="16" t="s">
        <v>12</v>
      </c>
      <c r="F63" s="23">
        <v>1130.9389000000001</v>
      </c>
      <c r="G63" s="20">
        <v>0.41155699000000001</v>
      </c>
      <c r="H63" s="18" t="s">
        <v>12</v>
      </c>
    </row>
    <row r="64" spans="1:8" x14ac:dyDescent="0.2">
      <c r="A64" s="16"/>
      <c r="B64" s="16"/>
      <c r="C64" s="21"/>
      <c r="D64" s="16"/>
      <c r="E64" s="16"/>
      <c r="F64" s="22"/>
      <c r="G64" s="22"/>
      <c r="H64" s="18" t="s">
        <v>12</v>
      </c>
    </row>
    <row r="65" spans="1:8" x14ac:dyDescent="0.2">
      <c r="A65" s="16"/>
      <c r="B65" s="16"/>
      <c r="C65" s="17" t="s">
        <v>84</v>
      </c>
      <c r="D65" s="16"/>
      <c r="E65" s="16"/>
      <c r="F65" s="22"/>
      <c r="G65" s="22"/>
      <c r="H65" s="18" t="s">
        <v>12</v>
      </c>
    </row>
    <row r="66" spans="1:8" x14ac:dyDescent="0.2">
      <c r="A66" s="16"/>
      <c r="B66" s="16"/>
      <c r="C66" s="17" t="s">
        <v>11</v>
      </c>
      <c r="D66" s="16"/>
      <c r="E66" s="16" t="s">
        <v>12</v>
      </c>
      <c r="F66" s="19" t="s">
        <v>13</v>
      </c>
      <c r="G66" s="20">
        <v>0</v>
      </c>
      <c r="H66" s="18" t="s">
        <v>12</v>
      </c>
    </row>
    <row r="67" spans="1:8" x14ac:dyDescent="0.2">
      <c r="A67" s="16"/>
      <c r="B67" s="16"/>
      <c r="C67" s="21"/>
      <c r="D67" s="16"/>
      <c r="E67" s="16"/>
      <c r="F67" s="22"/>
      <c r="G67" s="22"/>
      <c r="H67" s="18" t="s">
        <v>12</v>
      </c>
    </row>
    <row r="68" spans="1:8" x14ac:dyDescent="0.2">
      <c r="A68" s="16"/>
      <c r="B68" s="16"/>
      <c r="C68" s="17" t="s">
        <v>85</v>
      </c>
      <c r="D68" s="16"/>
      <c r="E68" s="16"/>
      <c r="F68" s="23">
        <v>1130.9389000000001</v>
      </c>
      <c r="G68" s="20">
        <v>0.41155699000000001</v>
      </c>
      <c r="H68" s="18" t="s">
        <v>12</v>
      </c>
    </row>
    <row r="69" spans="1:8" x14ac:dyDescent="0.2">
      <c r="A69" s="16"/>
      <c r="B69" s="16"/>
      <c r="C69" s="21"/>
      <c r="D69" s="16"/>
      <c r="E69" s="16"/>
      <c r="F69" s="22"/>
      <c r="G69" s="22"/>
      <c r="H69" s="18" t="s">
        <v>12</v>
      </c>
    </row>
    <row r="70" spans="1:8" x14ac:dyDescent="0.2">
      <c r="A70" s="16"/>
      <c r="B70" s="16"/>
      <c r="C70" s="17" t="s">
        <v>86</v>
      </c>
      <c r="D70" s="16"/>
      <c r="E70" s="16"/>
      <c r="F70" s="22"/>
      <c r="G70" s="22"/>
      <c r="H70" s="18" t="s">
        <v>12</v>
      </c>
    </row>
    <row r="71" spans="1:8" x14ac:dyDescent="0.2">
      <c r="A71" s="16"/>
      <c r="B71" s="16"/>
      <c r="C71" s="17" t="s">
        <v>87</v>
      </c>
      <c r="D71" s="16"/>
      <c r="E71" s="16"/>
      <c r="F71" s="22"/>
      <c r="G71" s="22"/>
      <c r="H71" s="18" t="s">
        <v>12</v>
      </c>
    </row>
    <row r="72" spans="1:8" x14ac:dyDescent="0.2">
      <c r="A72" s="16"/>
      <c r="B72" s="16"/>
      <c r="C72" s="17" t="s">
        <v>11</v>
      </c>
      <c r="D72" s="16"/>
      <c r="E72" s="16" t="s">
        <v>12</v>
      </c>
      <c r="F72" s="19" t="s">
        <v>13</v>
      </c>
      <c r="G72" s="20">
        <v>0</v>
      </c>
      <c r="H72" s="18" t="s">
        <v>12</v>
      </c>
    </row>
    <row r="73" spans="1:8" x14ac:dyDescent="0.2">
      <c r="A73" s="16"/>
      <c r="B73" s="16"/>
      <c r="C73" s="21"/>
      <c r="D73" s="16"/>
      <c r="E73" s="16"/>
      <c r="F73" s="22"/>
      <c r="G73" s="22"/>
      <c r="H73" s="18" t="s">
        <v>12</v>
      </c>
    </row>
    <row r="74" spans="1:8" x14ac:dyDescent="0.2">
      <c r="A74" s="16"/>
      <c r="B74" s="16"/>
      <c r="C74" s="17" t="s">
        <v>88</v>
      </c>
      <c r="D74" s="16"/>
      <c r="E74" s="16"/>
      <c r="F74" s="22"/>
      <c r="G74" s="22"/>
      <c r="H74" s="18" t="s">
        <v>12</v>
      </c>
    </row>
    <row r="75" spans="1:8" x14ac:dyDescent="0.2">
      <c r="A75" s="16"/>
      <c r="B75" s="16"/>
      <c r="C75" s="17" t="s">
        <v>11</v>
      </c>
      <c r="D75" s="16"/>
      <c r="E75" s="16" t="s">
        <v>12</v>
      </c>
      <c r="F75" s="19" t="s">
        <v>13</v>
      </c>
      <c r="G75" s="20">
        <v>0</v>
      </c>
      <c r="H75" s="18" t="s">
        <v>12</v>
      </c>
    </row>
    <row r="76" spans="1:8" x14ac:dyDescent="0.2">
      <c r="A76" s="16"/>
      <c r="B76" s="16"/>
      <c r="C76" s="21"/>
      <c r="D76" s="16"/>
      <c r="E76" s="16"/>
      <c r="F76" s="22"/>
      <c r="G76" s="22"/>
      <c r="H76" s="18" t="s">
        <v>12</v>
      </c>
    </row>
    <row r="77" spans="1:8" x14ac:dyDescent="0.2">
      <c r="A77" s="16"/>
      <c r="B77" s="16"/>
      <c r="C77" s="17" t="s">
        <v>89</v>
      </c>
      <c r="D77" s="16"/>
      <c r="E77" s="16"/>
      <c r="F77" s="22"/>
      <c r="G77" s="22"/>
      <c r="H77" s="18" t="s">
        <v>12</v>
      </c>
    </row>
    <row r="78" spans="1:8" x14ac:dyDescent="0.2">
      <c r="A78" s="16"/>
      <c r="B78" s="16"/>
      <c r="C78" s="17" t="s">
        <v>11</v>
      </c>
      <c r="D78" s="16"/>
      <c r="E78" s="16" t="s">
        <v>12</v>
      </c>
      <c r="F78" s="19" t="s">
        <v>13</v>
      </c>
      <c r="G78" s="20">
        <v>0</v>
      </c>
      <c r="H78" s="18" t="s">
        <v>12</v>
      </c>
    </row>
    <row r="79" spans="1:8" x14ac:dyDescent="0.2">
      <c r="A79" s="16"/>
      <c r="B79" s="16"/>
      <c r="C79" s="21"/>
      <c r="D79" s="16"/>
      <c r="E79" s="16"/>
      <c r="F79" s="22"/>
      <c r="G79" s="22"/>
      <c r="H79" s="18" t="s">
        <v>12</v>
      </c>
    </row>
    <row r="80" spans="1:8" x14ac:dyDescent="0.2">
      <c r="A80" s="16"/>
      <c r="B80" s="16"/>
      <c r="C80" s="17" t="s">
        <v>90</v>
      </c>
      <c r="D80" s="16"/>
      <c r="E80" s="16"/>
      <c r="F80" s="22"/>
      <c r="G80" s="22"/>
      <c r="H80" s="18" t="s">
        <v>12</v>
      </c>
    </row>
    <row r="81" spans="1:18" x14ac:dyDescent="0.2">
      <c r="A81" s="24">
        <v>1</v>
      </c>
      <c r="B81" s="25"/>
      <c r="C81" s="25" t="s">
        <v>91</v>
      </c>
      <c r="D81" s="25"/>
      <c r="E81" s="29"/>
      <c r="F81" s="27">
        <v>979.19875030200001</v>
      </c>
      <c r="G81" s="28">
        <v>0.35633763000000002</v>
      </c>
      <c r="H81" s="18">
        <v>6.66</v>
      </c>
    </row>
    <row r="82" spans="1:18" x14ac:dyDescent="0.2">
      <c r="A82" s="16"/>
      <c r="B82" s="16"/>
      <c r="C82" s="17" t="s">
        <v>11</v>
      </c>
      <c r="D82" s="16"/>
      <c r="E82" s="16" t="s">
        <v>12</v>
      </c>
      <c r="F82" s="23">
        <v>979.19875030200001</v>
      </c>
      <c r="G82" s="20">
        <v>0.35633763000000002</v>
      </c>
      <c r="H82" s="18" t="s">
        <v>12</v>
      </c>
    </row>
    <row r="83" spans="1:18" x14ac:dyDescent="0.2">
      <c r="A83" s="16"/>
      <c r="B83" s="16"/>
      <c r="C83" s="21"/>
      <c r="D83" s="16"/>
      <c r="E83" s="16"/>
      <c r="F83" s="22"/>
      <c r="G83" s="22"/>
      <c r="H83" s="18" t="s">
        <v>12</v>
      </c>
    </row>
    <row r="84" spans="1:18" x14ac:dyDescent="0.2">
      <c r="A84" s="16"/>
      <c r="B84" s="16"/>
      <c r="C84" s="17" t="s">
        <v>92</v>
      </c>
      <c r="D84" s="16"/>
      <c r="E84" s="16"/>
      <c r="F84" s="23">
        <v>979.19875030200001</v>
      </c>
      <c r="G84" s="20">
        <v>0.35633763000000002</v>
      </c>
      <c r="H84" s="18" t="s">
        <v>12</v>
      </c>
    </row>
    <row r="85" spans="1:18" x14ac:dyDescent="0.2">
      <c r="A85" s="16"/>
      <c r="B85" s="16"/>
      <c r="C85" s="22"/>
      <c r="D85" s="16"/>
      <c r="E85" s="16"/>
      <c r="F85" s="16"/>
      <c r="G85" s="16"/>
      <c r="H85" s="18" t="s">
        <v>12</v>
      </c>
    </row>
    <row r="86" spans="1:18" x14ac:dyDescent="0.2">
      <c r="A86" s="16"/>
      <c r="B86" s="16"/>
      <c r="C86" s="17" t="s">
        <v>93</v>
      </c>
      <c r="D86" s="16"/>
      <c r="E86" s="16"/>
      <c r="F86" s="16"/>
      <c r="G86" s="16"/>
      <c r="H86" s="18" t="s">
        <v>12</v>
      </c>
    </row>
    <row r="87" spans="1:18" x14ac:dyDescent="0.2">
      <c r="A87" s="16"/>
      <c r="B87" s="16"/>
      <c r="C87" s="17" t="s">
        <v>94</v>
      </c>
      <c r="D87" s="16"/>
      <c r="E87" s="16"/>
      <c r="F87" s="16"/>
      <c r="G87" s="16"/>
      <c r="H87" s="18" t="s">
        <v>12</v>
      </c>
    </row>
    <row r="88" spans="1:18" x14ac:dyDescent="0.2">
      <c r="A88" s="16"/>
      <c r="B88" s="16"/>
      <c r="C88" s="17" t="s">
        <v>11</v>
      </c>
      <c r="D88" s="16"/>
      <c r="E88" s="16" t="s">
        <v>12</v>
      </c>
      <c r="F88" s="19" t="s">
        <v>13</v>
      </c>
      <c r="G88" s="20">
        <v>0</v>
      </c>
      <c r="H88" s="18" t="s">
        <v>12</v>
      </c>
    </row>
    <row r="89" spans="1:18" x14ac:dyDescent="0.2">
      <c r="A89" s="68"/>
      <c r="B89" s="68"/>
      <c r="C89" s="69"/>
      <c r="D89" s="68"/>
      <c r="E89" s="68"/>
      <c r="F89" s="70"/>
      <c r="G89" s="70"/>
      <c r="H89" s="18" t="s">
        <v>12</v>
      </c>
      <c r="J89" s="15"/>
    </row>
    <row r="90" spans="1:18" x14ac:dyDescent="0.2">
      <c r="A90" s="68"/>
      <c r="B90" s="68"/>
      <c r="C90" s="48" t="s">
        <v>606</v>
      </c>
      <c r="D90" s="68"/>
      <c r="E90" s="68"/>
      <c r="F90" s="70"/>
      <c r="G90" s="70"/>
      <c r="H90" s="65"/>
      <c r="J90" s="15"/>
      <c r="L90" s="51"/>
      <c r="M90" s="51"/>
      <c r="N90" s="51"/>
      <c r="O90" s="51"/>
      <c r="P90" s="71"/>
      <c r="Q90" s="71"/>
      <c r="R90" s="71"/>
    </row>
    <row r="91" spans="1:18" ht="25.5" x14ac:dyDescent="0.2">
      <c r="A91" s="72">
        <v>1</v>
      </c>
      <c r="B91" s="47" t="s">
        <v>95</v>
      </c>
      <c r="C91" s="47" t="s">
        <v>96</v>
      </c>
      <c r="D91" s="47"/>
      <c r="E91" s="73">
        <v>76.796000000000006</v>
      </c>
      <c r="F91" s="65">
        <v>8.0382250329999998</v>
      </c>
      <c r="G91" s="66">
        <v>2.9251699999999999E-3</v>
      </c>
      <c r="H91" s="18"/>
      <c r="J91" s="15"/>
    </row>
    <row r="92" spans="1:18" x14ac:dyDescent="0.2">
      <c r="A92" s="68"/>
      <c r="B92" s="68"/>
      <c r="C92" s="48" t="s">
        <v>11</v>
      </c>
      <c r="D92" s="68"/>
      <c r="E92" s="68" t="s">
        <v>12</v>
      </c>
      <c r="F92" s="74">
        <f>SUM(F91)</f>
        <v>8.0382250329999998</v>
      </c>
      <c r="G92" s="75">
        <f>SUM(G91)</f>
        <v>2.9251699999999999E-3</v>
      </c>
      <c r="H92" s="18" t="s">
        <v>12</v>
      </c>
      <c r="J92" s="15"/>
    </row>
    <row r="93" spans="1:18" x14ac:dyDescent="0.2">
      <c r="A93" s="16"/>
      <c r="B93" s="16"/>
      <c r="C93" s="21"/>
      <c r="D93" s="16"/>
      <c r="E93" s="16"/>
      <c r="F93" s="22"/>
      <c r="G93" s="22"/>
      <c r="H93" s="18" t="s">
        <v>12</v>
      </c>
    </row>
    <row r="94" spans="1:18" x14ac:dyDescent="0.2">
      <c r="A94" s="16"/>
      <c r="B94" s="16"/>
      <c r="C94" s="17" t="s">
        <v>97</v>
      </c>
      <c r="D94" s="16"/>
      <c r="E94" s="16"/>
      <c r="F94" s="16"/>
      <c r="G94" s="16"/>
      <c r="H94" s="18" t="s">
        <v>12</v>
      </c>
    </row>
    <row r="95" spans="1:18" x14ac:dyDescent="0.2">
      <c r="A95" s="16"/>
      <c r="B95" s="16"/>
      <c r="C95" s="17" t="s">
        <v>98</v>
      </c>
      <c r="D95" s="16"/>
      <c r="E95" s="16"/>
      <c r="F95" s="16"/>
      <c r="G95" s="16"/>
      <c r="H95" s="18" t="s">
        <v>12</v>
      </c>
    </row>
    <row r="96" spans="1:18" x14ac:dyDescent="0.2">
      <c r="A96" s="16"/>
      <c r="B96" s="16"/>
      <c r="C96" s="17" t="s">
        <v>11</v>
      </c>
      <c r="D96" s="16"/>
      <c r="E96" s="16" t="s">
        <v>12</v>
      </c>
      <c r="F96" s="19" t="s">
        <v>13</v>
      </c>
      <c r="G96" s="20">
        <v>0</v>
      </c>
      <c r="H96" s="18" t="s">
        <v>12</v>
      </c>
    </row>
    <row r="97" spans="1:10" x14ac:dyDescent="0.2">
      <c r="A97" s="16"/>
      <c r="B97" s="16"/>
      <c r="C97" s="21"/>
      <c r="D97" s="16"/>
      <c r="E97" s="16"/>
      <c r="F97" s="22"/>
      <c r="G97" s="22"/>
      <c r="H97" s="18" t="s">
        <v>12</v>
      </c>
    </row>
    <row r="98" spans="1:10" x14ac:dyDescent="0.2">
      <c r="A98" s="16"/>
      <c r="B98" s="16"/>
      <c r="C98" s="17" t="s">
        <v>99</v>
      </c>
      <c r="D98" s="16"/>
      <c r="E98" s="16"/>
      <c r="F98" s="22"/>
      <c r="G98" s="22"/>
      <c r="H98" s="18" t="s">
        <v>12</v>
      </c>
    </row>
    <row r="99" spans="1:10" x14ac:dyDescent="0.2">
      <c r="A99" s="16"/>
      <c r="B99" s="16"/>
      <c r="C99" s="17" t="s">
        <v>11</v>
      </c>
      <c r="D99" s="16"/>
      <c r="E99" s="16" t="s">
        <v>12</v>
      </c>
      <c r="F99" s="19" t="s">
        <v>13</v>
      </c>
      <c r="G99" s="20">
        <v>0</v>
      </c>
      <c r="H99" s="18" t="s">
        <v>12</v>
      </c>
    </row>
    <row r="100" spans="1:10" x14ac:dyDescent="0.2">
      <c r="A100" s="16"/>
      <c r="B100" s="16"/>
      <c r="C100" s="21"/>
      <c r="D100" s="16"/>
      <c r="E100" s="16"/>
      <c r="F100" s="22"/>
      <c r="G100" s="22"/>
      <c r="H100" s="18" t="s">
        <v>12</v>
      </c>
    </row>
    <row r="101" spans="1:10" x14ac:dyDescent="0.2">
      <c r="A101" s="29"/>
      <c r="B101" s="25"/>
      <c r="C101" s="25" t="s">
        <v>100</v>
      </c>
      <c r="D101" s="25"/>
      <c r="E101" s="29"/>
      <c r="F101" s="27">
        <v>38.224403119999998</v>
      </c>
      <c r="G101" s="28">
        <v>1.391014E-2</v>
      </c>
      <c r="H101" s="18" t="s">
        <v>12</v>
      </c>
    </row>
    <row r="102" spans="1:10" x14ac:dyDescent="0.2">
      <c r="A102" s="21"/>
      <c r="B102" s="21"/>
      <c r="C102" s="17" t="s">
        <v>101</v>
      </c>
      <c r="D102" s="22"/>
      <c r="E102" s="22"/>
      <c r="F102" s="23">
        <f>F101+F92+F84+F68+F51</f>
        <v>2747.9521139550002</v>
      </c>
      <c r="G102" s="30">
        <f>G101+G92+G84+G68+G51</f>
        <v>0.99999999666456507</v>
      </c>
      <c r="H102" s="18" t="s">
        <v>12</v>
      </c>
    </row>
    <row r="103" spans="1:10" x14ac:dyDescent="0.2">
      <c r="A103" s="31"/>
      <c r="B103" s="31"/>
      <c r="C103" s="31"/>
      <c r="D103" s="32"/>
      <c r="E103" s="32"/>
      <c r="F103" s="32"/>
      <c r="G103" s="32"/>
    </row>
    <row r="104" spans="1:10" x14ac:dyDescent="0.2">
      <c r="A104" s="33"/>
      <c r="B104" s="126" t="s">
        <v>602</v>
      </c>
      <c r="C104" s="126"/>
      <c r="D104" s="126"/>
      <c r="E104" s="126"/>
      <c r="F104" s="126"/>
      <c r="G104" s="126"/>
      <c r="H104" s="126"/>
      <c r="J104" s="15"/>
    </row>
    <row r="105" spans="1:10" x14ac:dyDescent="0.2">
      <c r="A105" s="33"/>
      <c r="B105" s="126" t="s">
        <v>603</v>
      </c>
      <c r="C105" s="126"/>
      <c r="D105" s="126"/>
      <c r="E105" s="126"/>
      <c r="F105" s="126"/>
      <c r="G105" s="126"/>
      <c r="H105" s="126"/>
      <c r="J105" s="15"/>
    </row>
    <row r="106" spans="1:10" x14ac:dyDescent="0.2">
      <c r="A106" s="33"/>
      <c r="B106" s="126" t="s">
        <v>604</v>
      </c>
      <c r="C106" s="126"/>
      <c r="D106" s="126"/>
      <c r="E106" s="126"/>
      <c r="F106" s="126"/>
      <c r="G106" s="126"/>
      <c r="H106" s="126"/>
      <c r="J106" s="15"/>
    </row>
    <row r="107" spans="1:10" x14ac:dyDescent="0.2">
      <c r="A107" s="35"/>
      <c r="B107" s="35"/>
      <c r="C107" s="35"/>
      <c r="D107" s="36"/>
      <c r="E107" s="36"/>
      <c r="F107" s="36"/>
      <c r="G107" s="36"/>
    </row>
    <row r="108" spans="1:10" x14ac:dyDescent="0.2">
      <c r="A108" s="35"/>
      <c r="B108" s="129" t="s">
        <v>102</v>
      </c>
      <c r="C108" s="130"/>
      <c r="D108" s="131"/>
      <c r="E108" s="37"/>
      <c r="F108" s="36"/>
      <c r="G108" s="36"/>
    </row>
    <row r="109" spans="1:10" ht="25.5" x14ac:dyDescent="0.2">
      <c r="A109" s="35"/>
      <c r="B109" s="132" t="s">
        <v>103</v>
      </c>
      <c r="C109" s="133"/>
      <c r="D109" s="48" t="s">
        <v>663</v>
      </c>
      <c r="E109" s="37"/>
      <c r="F109" s="36"/>
      <c r="G109" s="36"/>
    </row>
    <row r="110" spans="1:10" x14ac:dyDescent="0.2">
      <c r="A110" s="35"/>
      <c r="B110" s="132" t="s">
        <v>105</v>
      </c>
      <c r="C110" s="133"/>
      <c r="D110" s="17" t="s">
        <v>104</v>
      </c>
      <c r="E110" s="37"/>
      <c r="F110" s="36"/>
      <c r="G110" s="36"/>
    </row>
    <row r="111" spans="1:10" x14ac:dyDescent="0.2">
      <c r="A111" s="35"/>
      <c r="B111" s="132" t="s">
        <v>106</v>
      </c>
      <c r="C111" s="133"/>
      <c r="D111" s="22" t="s">
        <v>12</v>
      </c>
      <c r="E111" s="37"/>
      <c r="F111" s="36"/>
      <c r="G111" s="36"/>
    </row>
    <row r="112" spans="1:10" x14ac:dyDescent="0.2">
      <c r="A112" s="38"/>
      <c r="B112" s="39" t="s">
        <v>12</v>
      </c>
      <c r="C112" s="39" t="s">
        <v>605</v>
      </c>
      <c r="D112" s="39" t="s">
        <v>107</v>
      </c>
      <c r="E112" s="38"/>
      <c r="F112" s="38"/>
      <c r="G112" s="38"/>
      <c r="H112" s="40"/>
      <c r="J112" s="15"/>
    </row>
    <row r="113" spans="1:10" x14ac:dyDescent="0.2">
      <c r="A113" s="41"/>
      <c r="B113" s="42" t="s">
        <v>108</v>
      </c>
      <c r="C113" s="43">
        <v>45611</v>
      </c>
      <c r="D113" s="43">
        <v>45626</v>
      </c>
      <c r="E113" s="41"/>
      <c r="F113" s="41"/>
      <c r="G113" s="41"/>
    </row>
    <row r="114" spans="1:10" x14ac:dyDescent="0.2">
      <c r="A114" s="41"/>
      <c r="B114" s="25" t="s">
        <v>109</v>
      </c>
      <c r="C114" s="44">
        <v>31.249300000000002</v>
      </c>
      <c r="D114" s="44">
        <v>31.5337</v>
      </c>
      <c r="E114" s="41"/>
      <c r="F114" s="45"/>
      <c r="G114" s="46"/>
    </row>
    <row r="115" spans="1:10" ht="25.5" x14ac:dyDescent="0.2">
      <c r="A115" s="41"/>
      <c r="B115" s="25" t="s">
        <v>714</v>
      </c>
      <c r="C115" s="44">
        <v>13.363200000000001</v>
      </c>
      <c r="D115" s="44">
        <v>13.4849</v>
      </c>
      <c r="E115" s="41"/>
      <c r="F115" s="45"/>
      <c r="G115" s="46"/>
    </row>
    <row r="116" spans="1:10" ht="25.5" x14ac:dyDescent="0.2">
      <c r="A116" s="41"/>
      <c r="B116" s="25" t="s">
        <v>715</v>
      </c>
      <c r="C116" s="44">
        <v>20.57</v>
      </c>
      <c r="D116" s="44">
        <v>20.757300000000001</v>
      </c>
      <c r="E116" s="41"/>
      <c r="F116" s="45"/>
      <c r="G116" s="46"/>
    </row>
    <row r="117" spans="1:10" ht="25.5" x14ac:dyDescent="0.2">
      <c r="A117" s="41"/>
      <c r="B117" s="25" t="s">
        <v>716</v>
      </c>
      <c r="C117" s="44">
        <v>20.4787</v>
      </c>
      <c r="D117" s="44">
        <v>20.665199999999999</v>
      </c>
      <c r="E117" s="41"/>
      <c r="F117" s="45"/>
      <c r="G117" s="46"/>
    </row>
    <row r="118" spans="1:10" x14ac:dyDescent="0.2">
      <c r="A118" s="41"/>
      <c r="B118" s="25" t="s">
        <v>110</v>
      </c>
      <c r="C118" s="44">
        <v>28.510300000000001</v>
      </c>
      <c r="D118" s="44">
        <v>28.758199999999999</v>
      </c>
      <c r="E118" s="41"/>
      <c r="F118" s="45"/>
      <c r="G118" s="46"/>
    </row>
    <row r="119" spans="1:10" ht="25.5" x14ac:dyDescent="0.2">
      <c r="A119" s="41"/>
      <c r="B119" s="25" t="s">
        <v>718</v>
      </c>
      <c r="C119" s="44">
        <v>13.2415</v>
      </c>
      <c r="D119" s="44">
        <v>13.3567</v>
      </c>
      <c r="E119" s="41"/>
      <c r="F119" s="45"/>
      <c r="G119" s="46"/>
    </row>
    <row r="120" spans="1:10" ht="25.5" x14ac:dyDescent="0.2">
      <c r="A120" s="41"/>
      <c r="B120" s="25" t="s">
        <v>665</v>
      </c>
      <c r="C120" s="44">
        <v>18.6572</v>
      </c>
      <c r="D120" s="44">
        <v>18.819500000000001</v>
      </c>
      <c r="E120" s="41"/>
      <c r="F120" s="45"/>
      <c r="G120" s="46"/>
    </row>
    <row r="121" spans="1:10" ht="25.5" x14ac:dyDescent="0.2">
      <c r="A121" s="41"/>
      <c r="B121" s="25" t="s">
        <v>719</v>
      </c>
      <c r="C121" s="44">
        <v>18.4956</v>
      </c>
      <c r="D121" s="44">
        <v>18.656500000000001</v>
      </c>
      <c r="E121" s="41"/>
      <c r="F121" s="45"/>
      <c r="G121" s="46"/>
    </row>
    <row r="122" spans="1:10" x14ac:dyDescent="0.2">
      <c r="A122" s="41"/>
      <c r="B122" s="41"/>
      <c r="C122" s="41"/>
      <c r="D122" s="41"/>
      <c r="E122" s="41"/>
      <c r="F122" s="41"/>
      <c r="G122" s="41"/>
    </row>
    <row r="123" spans="1:10" x14ac:dyDescent="0.2">
      <c r="A123" s="41"/>
      <c r="B123" s="132" t="s">
        <v>721</v>
      </c>
      <c r="C123" s="133"/>
      <c r="D123" s="48" t="s">
        <v>104</v>
      </c>
      <c r="E123" s="41"/>
      <c r="F123" s="41"/>
      <c r="G123" s="41"/>
    </row>
    <row r="124" spans="1:10" x14ac:dyDescent="0.2">
      <c r="A124" s="41"/>
      <c r="B124" s="49"/>
      <c r="C124" s="49"/>
      <c r="D124" s="49"/>
      <c r="E124" s="41"/>
      <c r="F124" s="41"/>
      <c r="G124" s="41"/>
    </row>
    <row r="125" spans="1:10" ht="24.75" customHeight="1" x14ac:dyDescent="0.2">
      <c r="A125" s="38"/>
      <c r="B125" s="134" t="s">
        <v>111</v>
      </c>
      <c r="C125" s="135"/>
      <c r="D125" s="48" t="s">
        <v>104</v>
      </c>
      <c r="E125" s="50"/>
      <c r="F125" s="38"/>
      <c r="G125" s="38"/>
      <c r="J125" s="15"/>
    </row>
    <row r="126" spans="1:10" ht="24" customHeight="1" x14ac:dyDescent="0.2">
      <c r="A126" s="38"/>
      <c r="B126" s="134" t="s">
        <v>112</v>
      </c>
      <c r="C126" s="135"/>
      <c r="D126" s="48" t="s">
        <v>104</v>
      </c>
      <c r="E126" s="50"/>
      <c r="F126" s="38"/>
      <c r="G126" s="38"/>
      <c r="J126" s="15"/>
    </row>
    <row r="127" spans="1:10" x14ac:dyDescent="0.2">
      <c r="A127" s="38"/>
      <c r="B127" s="134" t="s">
        <v>607</v>
      </c>
      <c r="C127" s="135"/>
      <c r="D127" s="48" t="s">
        <v>104</v>
      </c>
      <c r="E127" s="50"/>
      <c r="F127" s="38"/>
      <c r="G127" s="38"/>
      <c r="J127" s="15"/>
    </row>
    <row r="128" spans="1:10" x14ac:dyDescent="0.2">
      <c r="A128" s="49"/>
      <c r="B128" s="49"/>
      <c r="C128" s="49"/>
      <c r="D128" s="49"/>
      <c r="E128" s="49"/>
      <c r="F128" s="49"/>
      <c r="G128" s="49"/>
      <c r="J128" s="15"/>
    </row>
    <row r="129" spans="2:18" s="52" customFormat="1" x14ac:dyDescent="0.2">
      <c r="B129" s="136" t="s">
        <v>608</v>
      </c>
      <c r="C129" s="137"/>
      <c r="D129" s="138"/>
      <c r="I129"/>
      <c r="J129" s="15"/>
      <c r="K129" s="51"/>
      <c r="L129" s="51"/>
      <c r="M129" s="51"/>
      <c r="N129" s="51"/>
      <c r="O129"/>
      <c r="R129"/>
    </row>
    <row r="130" spans="2:18" s="52" customFormat="1" ht="38.25" x14ac:dyDescent="0.2">
      <c r="B130" s="127" t="s">
        <v>609</v>
      </c>
      <c r="C130" s="127"/>
      <c r="D130" s="54" t="s">
        <v>514</v>
      </c>
      <c r="I130"/>
      <c r="J130" s="15"/>
      <c r="K130" s="51"/>
      <c r="L130" s="51"/>
      <c r="M130" s="51"/>
      <c r="N130" s="51"/>
      <c r="O130"/>
      <c r="R130"/>
    </row>
    <row r="131" spans="2:18" s="52" customFormat="1" x14ac:dyDescent="0.2">
      <c r="B131" s="128" t="s">
        <v>610</v>
      </c>
      <c r="C131" s="128"/>
      <c r="D131" s="55"/>
      <c r="I131"/>
      <c r="J131" s="15"/>
      <c r="K131" s="51"/>
      <c r="L131" s="51"/>
      <c r="M131" s="51"/>
      <c r="N131" s="51"/>
      <c r="O131"/>
      <c r="R131"/>
    </row>
    <row r="132" spans="2:18" s="52" customFormat="1" x14ac:dyDescent="0.2">
      <c r="B132" s="128"/>
      <c r="C132" s="128"/>
      <c r="D132" s="56"/>
      <c r="I132"/>
      <c r="J132" s="15"/>
      <c r="K132" s="51"/>
      <c r="L132" s="51"/>
      <c r="M132" s="51"/>
      <c r="N132" s="51"/>
      <c r="O132"/>
    </row>
    <row r="133" spans="2:18" s="52" customFormat="1" x14ac:dyDescent="0.2">
      <c r="B133" s="128" t="s">
        <v>611</v>
      </c>
      <c r="C133" s="128"/>
      <c r="D133" s="57">
        <v>6.8495164012961167</v>
      </c>
      <c r="I133"/>
      <c r="J133" s="15"/>
      <c r="K133" s="51"/>
      <c r="L133" s="51"/>
      <c r="M133" s="51"/>
      <c r="N133" s="51"/>
      <c r="O133"/>
    </row>
    <row r="134" spans="2:18" s="52" customFormat="1" x14ac:dyDescent="0.2">
      <c r="B134" s="128"/>
      <c r="C134" s="128"/>
      <c r="D134" s="56"/>
      <c r="I134"/>
      <c r="J134" s="15"/>
      <c r="K134" s="51"/>
      <c r="L134" s="51"/>
      <c r="M134" s="51"/>
      <c r="N134" s="51"/>
      <c r="O134"/>
    </row>
    <row r="135" spans="2:18" s="52" customFormat="1" x14ac:dyDescent="0.2">
      <c r="B135" s="128" t="s">
        <v>675</v>
      </c>
      <c r="C135" s="128"/>
      <c r="D135" s="57">
        <v>5.0447568225195223</v>
      </c>
      <c r="I135"/>
      <c r="J135" s="15"/>
      <c r="K135" s="51"/>
      <c r="L135" s="51"/>
      <c r="M135" s="51"/>
      <c r="N135" s="51"/>
      <c r="O135"/>
    </row>
    <row r="136" spans="2:18" s="52" customFormat="1" x14ac:dyDescent="0.2">
      <c r="B136" s="128" t="s">
        <v>676</v>
      </c>
      <c r="C136" s="128"/>
      <c r="D136" s="57">
        <v>9.8038458722443576</v>
      </c>
      <c r="I136"/>
      <c r="J136" s="15"/>
      <c r="K136" s="51"/>
      <c r="L136" s="51"/>
      <c r="M136" s="51"/>
      <c r="N136" s="51"/>
      <c r="O136"/>
    </row>
    <row r="137" spans="2:18" s="52" customFormat="1" x14ac:dyDescent="0.2">
      <c r="B137" s="128"/>
      <c r="C137" s="128"/>
      <c r="D137" s="56"/>
      <c r="I137"/>
      <c r="J137" s="15"/>
      <c r="K137" s="51"/>
      <c r="L137" s="51"/>
      <c r="M137" s="51"/>
      <c r="N137" s="51"/>
      <c r="O137"/>
    </row>
    <row r="138" spans="2:18" s="52" customFormat="1" x14ac:dyDescent="0.2">
      <c r="B138" s="128" t="s">
        <v>614</v>
      </c>
      <c r="C138" s="128"/>
      <c r="D138" s="76" t="s">
        <v>687</v>
      </c>
      <c r="I138"/>
      <c r="J138" s="15"/>
      <c r="K138" s="51"/>
      <c r="L138" s="51"/>
      <c r="M138" s="51"/>
      <c r="N138" s="51"/>
      <c r="O138"/>
    </row>
    <row r="139" spans="2:18" s="52" customFormat="1" x14ac:dyDescent="0.2">
      <c r="B139" s="140" t="s">
        <v>615</v>
      </c>
      <c r="C139" s="142"/>
      <c r="D139" s="141"/>
      <c r="I139"/>
      <c r="J139" s="15"/>
      <c r="K139" s="51"/>
      <c r="L139" s="51"/>
      <c r="M139" s="51"/>
      <c r="N139" s="51"/>
      <c r="O139"/>
    </row>
    <row r="140" spans="2:18" x14ac:dyDescent="0.2">
      <c r="J140" s="15"/>
    </row>
    <row r="141" spans="2:18" ht="13.5" x14ac:dyDescent="0.2">
      <c r="B141" s="180" t="s">
        <v>689</v>
      </c>
      <c r="C141" s="180"/>
      <c r="D141" s="180"/>
      <c r="E141" s="180"/>
      <c r="F141" s="180"/>
      <c r="G141" s="180"/>
      <c r="H141" s="180"/>
      <c r="I141" s="51"/>
      <c r="J141" s="15"/>
      <c r="K141" s="51"/>
      <c r="L141" s="51"/>
      <c r="M141" s="51"/>
      <c r="N141" s="51"/>
      <c r="O141" s="51"/>
      <c r="P141" s="51"/>
    </row>
    <row r="142" spans="2:18" ht="13.5" x14ac:dyDescent="0.25">
      <c r="B142" s="77" t="s">
        <v>629</v>
      </c>
      <c r="C142" s="77" t="s">
        <v>630</v>
      </c>
      <c r="D142" s="147" t="s">
        <v>624</v>
      </c>
      <c r="E142" s="147"/>
      <c r="F142" s="147"/>
      <c r="G142" s="148" t="s">
        <v>625</v>
      </c>
      <c r="H142" s="148"/>
      <c r="J142" s="15"/>
      <c r="K142" s="51"/>
      <c r="L142" s="51"/>
      <c r="M142" s="51"/>
      <c r="N142" s="51"/>
      <c r="O142" s="51"/>
      <c r="P142" s="51"/>
    </row>
    <row r="143" spans="2:18" ht="27" x14ac:dyDescent="0.25">
      <c r="B143" s="78" t="s">
        <v>656</v>
      </c>
      <c r="C143" s="79" t="s">
        <v>677</v>
      </c>
      <c r="D143" s="149">
        <v>0</v>
      </c>
      <c r="E143" s="149"/>
      <c r="F143" s="149"/>
      <c r="G143" s="149">
        <v>0</v>
      </c>
      <c r="H143" s="149"/>
      <c r="J143" s="15"/>
      <c r="K143" s="51"/>
      <c r="L143" s="51"/>
      <c r="M143" s="51"/>
      <c r="N143" s="51"/>
      <c r="O143" s="51"/>
      <c r="P143" s="51"/>
    </row>
    <row r="144" spans="2:18" ht="13.5" x14ac:dyDescent="0.25">
      <c r="B144" s="80"/>
      <c r="C144" s="80"/>
      <c r="D144" s="150"/>
      <c r="E144" s="150"/>
      <c r="F144" s="150"/>
      <c r="G144" s="150"/>
      <c r="H144" s="150"/>
      <c r="J144" s="15"/>
      <c r="K144" s="51"/>
      <c r="L144" s="51"/>
      <c r="M144" s="51"/>
      <c r="N144" s="51"/>
      <c r="O144" s="51"/>
      <c r="P144" s="51"/>
    </row>
    <row r="145" spans="2:16" ht="13.5" x14ac:dyDescent="0.25">
      <c r="B145" s="148" t="s">
        <v>637</v>
      </c>
      <c r="C145" s="148"/>
      <c r="D145" s="148"/>
      <c r="E145" s="148"/>
      <c r="F145" s="148"/>
      <c r="G145" s="148"/>
      <c r="H145" s="148"/>
      <c r="J145" s="15"/>
      <c r="K145" s="51"/>
      <c r="L145" s="51"/>
      <c r="M145" s="51"/>
      <c r="N145" s="51"/>
      <c r="O145" s="51"/>
      <c r="P145" s="51"/>
    </row>
    <row r="146" spans="2:16" ht="13.5" customHeight="1" x14ac:dyDescent="0.2">
      <c r="B146" s="153" t="s">
        <v>629</v>
      </c>
      <c r="C146" s="153" t="s">
        <v>630</v>
      </c>
      <c r="D146" s="153" t="s">
        <v>638</v>
      </c>
      <c r="E146" s="153"/>
      <c r="F146" s="153"/>
      <c r="G146" s="153"/>
      <c r="H146" s="154" t="s">
        <v>678</v>
      </c>
      <c r="I146" s="154" t="s">
        <v>679</v>
      </c>
      <c r="J146" s="154" t="s">
        <v>641</v>
      </c>
      <c r="K146" s="51"/>
      <c r="L146" s="51"/>
      <c r="M146" s="51"/>
      <c r="N146" s="51"/>
      <c r="O146" s="51"/>
      <c r="P146" s="51"/>
    </row>
    <row r="147" spans="2:16" ht="135" x14ac:dyDescent="0.2">
      <c r="B147" s="153"/>
      <c r="C147" s="153"/>
      <c r="D147" s="81" t="s">
        <v>642</v>
      </c>
      <c r="E147" s="81" t="s">
        <v>643</v>
      </c>
      <c r="F147" s="81" t="s">
        <v>644</v>
      </c>
      <c r="G147" s="81" t="s">
        <v>645</v>
      </c>
      <c r="H147" s="154"/>
      <c r="I147" s="154"/>
      <c r="J147" s="154"/>
      <c r="K147" s="51"/>
      <c r="L147" s="51"/>
      <c r="M147" s="51"/>
      <c r="N147" s="51"/>
      <c r="O147" s="51"/>
    </row>
    <row r="148" spans="2:16" ht="27" x14ac:dyDescent="0.25">
      <c r="B148" s="80" t="s">
        <v>656</v>
      </c>
      <c r="C148" s="79" t="s">
        <v>680</v>
      </c>
      <c r="D148" s="82">
        <v>500</v>
      </c>
      <c r="E148" s="82">
        <v>9.9405737999999992</v>
      </c>
      <c r="F148" s="83">
        <v>16.00737140547945</v>
      </c>
      <c r="G148" s="82">
        <v>525.94794520547941</v>
      </c>
      <c r="H148" s="10">
        <v>233.40679</v>
      </c>
      <c r="I148" s="10">
        <v>4.01</v>
      </c>
      <c r="J148" s="84">
        <f>H148+I148</f>
        <v>237.41678999999999</v>
      </c>
      <c r="K148" s="51"/>
      <c r="L148" s="51"/>
      <c r="M148" s="51"/>
      <c r="N148" s="51"/>
      <c r="O148" s="51"/>
      <c r="P148" s="51"/>
    </row>
    <row r="149" spans="2:16" x14ac:dyDescent="0.2">
      <c r="J149" s="15"/>
      <c r="P149" s="51"/>
    </row>
    <row r="150" spans="2:16" x14ac:dyDescent="0.2">
      <c r="J150" s="15"/>
      <c r="K150" s="51"/>
      <c r="L150" s="51"/>
      <c r="M150" s="51"/>
      <c r="N150" s="51"/>
      <c r="O150" s="51"/>
      <c r="P150" s="51"/>
    </row>
    <row r="151" spans="2:16" ht="13.5" x14ac:dyDescent="0.25">
      <c r="B151" s="85" t="s">
        <v>646</v>
      </c>
      <c r="J151" s="15"/>
      <c r="K151" s="51"/>
      <c r="L151" s="51"/>
      <c r="M151" s="51"/>
      <c r="N151" s="51"/>
      <c r="O151" s="51"/>
      <c r="P151" s="51"/>
    </row>
    <row r="152" spans="2:16" x14ac:dyDescent="0.2">
      <c r="B152" s="51"/>
      <c r="C152" s="51"/>
      <c r="D152" s="51"/>
      <c r="E152" s="51"/>
      <c r="F152" s="51"/>
      <c r="G152" s="51"/>
      <c r="H152" s="51"/>
      <c r="J152" s="15"/>
      <c r="K152" s="51"/>
      <c r="L152" s="51"/>
      <c r="M152" s="51"/>
      <c r="N152" s="51"/>
      <c r="O152" s="51"/>
      <c r="P152" s="51"/>
    </row>
    <row r="153" spans="2:16" x14ac:dyDescent="0.2">
      <c r="B153" s="86" t="s">
        <v>647</v>
      </c>
      <c r="C153" s="51"/>
      <c r="D153" s="51"/>
      <c r="E153" s="51"/>
      <c r="F153" s="51"/>
      <c r="G153" s="51"/>
      <c r="H153" s="51"/>
      <c r="J153" s="15"/>
      <c r="K153" s="51"/>
      <c r="L153" s="51"/>
      <c r="M153" s="51"/>
      <c r="N153" s="51"/>
      <c r="O153" s="51"/>
      <c r="P153" s="51"/>
    </row>
    <row r="154" spans="2:16" x14ac:dyDescent="0.2">
      <c r="B154" s="51"/>
      <c r="C154" s="51"/>
      <c r="D154" s="51"/>
      <c r="E154" s="51"/>
      <c r="F154" s="51"/>
      <c r="G154" s="51"/>
      <c r="H154" s="51"/>
      <c r="J154" s="15"/>
      <c r="K154" s="51"/>
      <c r="L154" s="51"/>
      <c r="M154" s="51"/>
      <c r="N154" s="51"/>
      <c r="O154" s="51"/>
      <c r="P154" s="51"/>
    </row>
    <row r="155" spans="2:16" x14ac:dyDescent="0.2">
      <c r="B155" s="86" t="s">
        <v>648</v>
      </c>
      <c r="C155" s="51"/>
      <c r="D155" s="51"/>
      <c r="E155" s="51"/>
      <c r="F155" s="51"/>
      <c r="G155" s="51"/>
      <c r="H155" s="51"/>
      <c r="J155" s="15"/>
      <c r="K155" s="51"/>
      <c r="L155" s="51"/>
      <c r="M155" s="51"/>
      <c r="N155" s="51"/>
      <c r="O155" s="51"/>
      <c r="P155" s="51"/>
    </row>
    <row r="156" spans="2:16" x14ac:dyDescent="0.2">
      <c r="J156" s="15"/>
      <c r="K156" s="51"/>
      <c r="L156" s="51"/>
      <c r="M156" s="51"/>
      <c r="N156" s="51"/>
      <c r="O156" s="51"/>
    </row>
    <row r="157" spans="2:16" x14ac:dyDescent="0.2">
      <c r="B157" s="86" t="s">
        <v>649</v>
      </c>
      <c r="J157" s="15"/>
      <c r="K157" s="51"/>
      <c r="L157" s="51"/>
      <c r="M157" s="51"/>
      <c r="N157" s="51"/>
      <c r="O157" s="51"/>
    </row>
    <row r="158" spans="2:16" x14ac:dyDescent="0.2">
      <c r="J158" s="15"/>
    </row>
    <row r="159" spans="2:16" ht="25.5" x14ac:dyDescent="0.2">
      <c r="B159" s="61" t="s">
        <v>691</v>
      </c>
    </row>
    <row r="161" spans="2:10" ht="153.75" customHeight="1" x14ac:dyDescent="0.2"/>
    <row r="164" spans="2:10" x14ac:dyDescent="0.2">
      <c r="B164" s="62" t="s">
        <v>710</v>
      </c>
      <c r="C164" s="63"/>
      <c r="D164" s="62"/>
    </row>
    <row r="165" spans="2:10" x14ac:dyDescent="0.2">
      <c r="B165" s="62" t="s">
        <v>711</v>
      </c>
      <c r="D165" s="62"/>
    </row>
    <row r="166" spans="2:10" ht="165" customHeight="1" x14ac:dyDescent="0.2"/>
    <row r="168" spans="2:10" x14ac:dyDescent="0.2">
      <c r="J168" s="15"/>
    </row>
    <row r="169" spans="2:10" x14ac:dyDescent="0.2">
      <c r="J169" s="15"/>
    </row>
    <row r="170" spans="2:10" x14ac:dyDescent="0.2">
      <c r="J170" s="15"/>
    </row>
    <row r="171" spans="2:10" x14ac:dyDescent="0.2">
      <c r="J171" s="15"/>
    </row>
    <row r="172" spans="2:10" x14ac:dyDescent="0.2">
      <c r="J172" s="15"/>
    </row>
    <row r="173" spans="2:10" x14ac:dyDescent="0.2">
      <c r="J173" s="15"/>
    </row>
    <row r="174" spans="2:10" x14ac:dyDescent="0.2">
      <c r="J174" s="15"/>
    </row>
    <row r="175" spans="2:10" x14ac:dyDescent="0.2">
      <c r="J175" s="15"/>
    </row>
    <row r="176" spans="2:10" x14ac:dyDescent="0.2">
      <c r="J176" s="15"/>
    </row>
    <row r="177" spans="10:10" x14ac:dyDescent="0.2">
      <c r="J177" s="15"/>
    </row>
    <row r="178" spans="10:10" x14ac:dyDescent="0.2">
      <c r="J178" s="15"/>
    </row>
    <row r="179" spans="10:10" x14ac:dyDescent="0.2">
      <c r="J179" s="15"/>
    </row>
  </sheetData>
  <mergeCells count="39">
    <mergeCell ref="J146:J147"/>
    <mergeCell ref="B146:B147"/>
    <mergeCell ref="C146:C147"/>
    <mergeCell ref="D146:G146"/>
    <mergeCell ref="H146:H147"/>
    <mergeCell ref="I146:I147"/>
    <mergeCell ref="D143:F143"/>
    <mergeCell ref="G143:H143"/>
    <mergeCell ref="D144:F144"/>
    <mergeCell ref="G144:H144"/>
    <mergeCell ref="B145:H145"/>
    <mergeCell ref="B137:C137"/>
    <mergeCell ref="B138:C138"/>
    <mergeCell ref="B139:D139"/>
    <mergeCell ref="B141:H141"/>
    <mergeCell ref="D142:F142"/>
    <mergeCell ref="G142:H142"/>
    <mergeCell ref="B132:C132"/>
    <mergeCell ref="B133:C133"/>
    <mergeCell ref="B134:C134"/>
    <mergeCell ref="B135:C135"/>
    <mergeCell ref="B136:C136"/>
    <mergeCell ref="A1:H1"/>
    <mergeCell ref="A2:H2"/>
    <mergeCell ref="A3:H3"/>
    <mergeCell ref="B104:H104"/>
    <mergeCell ref="B105:H105"/>
    <mergeCell ref="B106:H106"/>
    <mergeCell ref="B130:C130"/>
    <mergeCell ref="B131:C131"/>
    <mergeCell ref="B108:D108"/>
    <mergeCell ref="B109:C109"/>
    <mergeCell ref="B110:C110"/>
    <mergeCell ref="B111:C111"/>
    <mergeCell ref="B123:C123"/>
    <mergeCell ref="B127:C127"/>
    <mergeCell ref="B125:C125"/>
    <mergeCell ref="B126:C126"/>
    <mergeCell ref="B129:D129"/>
  </mergeCells>
  <hyperlinks>
    <hyperlink ref="I1" location="Index!B2" display="Index" xr:uid="{C388D4C6-B65A-47DD-9806-C05FF7B0D552}"/>
    <hyperlink ref="B153" r:id="rId1" xr:uid="{9AB2B4B8-F1C9-4EE2-8745-9242C206D76B}"/>
    <hyperlink ref="B155" r:id="rId2" xr:uid="{7C6498FB-C8A9-41D3-A0FB-AB16E09BE7A3}"/>
    <hyperlink ref="B157" r:id="rId3" xr:uid="{2C43FF35-9782-4109-B003-D56B1F3D69C0}"/>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55868-F956-48B2-AC00-121F40530965}">
  <sheetPr>
    <outlinePr summaryBelow="0" summaryRight="0"/>
  </sheetPr>
  <dimension ref="A1:U121"/>
  <sheetViews>
    <sheetView showGridLines="0" workbookViewId="0">
      <selection activeCell="F92" sqref="F92"/>
    </sheetView>
  </sheetViews>
  <sheetFormatPr defaultRowHeight="12.75" x14ac:dyDescent="0.2"/>
  <cols>
    <col min="1" max="1" width="5.85546875" bestFit="1" customWidth="1"/>
    <col min="2" max="2" width="20.5703125" customWidth="1"/>
    <col min="3" max="3" width="39.140625" bestFit="1" customWidth="1"/>
    <col min="4" max="4" width="11.28515625" bestFit="1" customWidth="1"/>
    <col min="5" max="5" width="8.7109375" bestFit="1" customWidth="1"/>
    <col min="6" max="6" width="10.140625" bestFit="1" customWidth="1"/>
    <col min="7" max="7" width="14" bestFit="1" customWidth="1"/>
    <col min="8" max="8" width="7.5703125" customWidth="1"/>
    <col min="9" max="9" width="5.7109375" bestFit="1" customWidth="1"/>
  </cols>
  <sheetData>
    <row r="1" spans="1:9" ht="15" x14ac:dyDescent="0.2">
      <c r="A1" s="139" t="s">
        <v>0</v>
      </c>
      <c r="B1" s="139"/>
      <c r="C1" s="139"/>
      <c r="D1" s="139"/>
      <c r="E1" s="139"/>
      <c r="F1" s="139"/>
      <c r="G1" s="139"/>
      <c r="H1" s="139"/>
      <c r="I1" s="7" t="s">
        <v>598</v>
      </c>
    </row>
    <row r="2" spans="1:9" ht="15" x14ac:dyDescent="0.2">
      <c r="A2" s="139" t="s">
        <v>581</v>
      </c>
      <c r="B2" s="139"/>
      <c r="C2" s="139"/>
      <c r="D2" s="139"/>
      <c r="E2" s="139"/>
      <c r="F2" s="139"/>
      <c r="G2" s="139"/>
      <c r="H2" s="139"/>
    </row>
    <row r="3" spans="1:9" ht="15" x14ac:dyDescent="0.2">
      <c r="A3" s="139" t="s">
        <v>600</v>
      </c>
      <c r="B3" s="139"/>
      <c r="C3" s="139"/>
      <c r="D3" s="139"/>
      <c r="E3" s="139"/>
      <c r="F3" s="139"/>
      <c r="G3" s="139"/>
      <c r="H3" s="139"/>
    </row>
    <row r="4" spans="1:9" s="15" customFormat="1" ht="30" x14ac:dyDescent="0.2">
      <c r="A4" s="13" t="s">
        <v>2</v>
      </c>
      <c r="B4" s="13" t="s">
        <v>3</v>
      </c>
      <c r="C4" s="13" t="s">
        <v>4</v>
      </c>
      <c r="D4" s="13" t="s">
        <v>5</v>
      </c>
      <c r="E4" s="13" t="s">
        <v>6</v>
      </c>
      <c r="F4" s="13" t="s">
        <v>7</v>
      </c>
      <c r="G4" s="13" t="s">
        <v>8</v>
      </c>
      <c r="H4" s="14" t="s">
        <v>601</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67</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68</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84</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85</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86</v>
      </c>
      <c r="D41" s="16"/>
      <c r="E41" s="16"/>
      <c r="F41" s="22"/>
      <c r="G41" s="22"/>
      <c r="H41" s="18" t="s">
        <v>12</v>
      </c>
    </row>
    <row r="42" spans="1:8" x14ac:dyDescent="0.2">
      <c r="A42" s="16"/>
      <c r="B42" s="16"/>
      <c r="C42" s="17" t="s">
        <v>87</v>
      </c>
      <c r="D42" s="16"/>
      <c r="E42" s="16"/>
      <c r="F42" s="22"/>
      <c r="G42" s="22"/>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88</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89</v>
      </c>
      <c r="D48" s="16"/>
      <c r="E48" s="16"/>
      <c r="F48" s="22"/>
      <c r="G48" s="22"/>
      <c r="H48" s="18" t="s">
        <v>12</v>
      </c>
    </row>
    <row r="49" spans="1:8" x14ac:dyDescent="0.2">
      <c r="A49" s="24">
        <v>1</v>
      </c>
      <c r="B49" s="25" t="s">
        <v>437</v>
      </c>
      <c r="C49" s="25" t="s">
        <v>438</v>
      </c>
      <c r="D49" s="25" t="s">
        <v>71</v>
      </c>
      <c r="E49" s="26">
        <v>1500000</v>
      </c>
      <c r="F49" s="27">
        <v>1498.92</v>
      </c>
      <c r="G49" s="28">
        <v>1.7152270000000001E-2</v>
      </c>
      <c r="H49" s="18">
        <v>6.5709</v>
      </c>
    </row>
    <row r="50" spans="1:8" x14ac:dyDescent="0.2">
      <c r="A50" s="24">
        <v>2</v>
      </c>
      <c r="B50" s="25" t="s">
        <v>582</v>
      </c>
      <c r="C50" s="25" t="s">
        <v>583</v>
      </c>
      <c r="D50" s="25" t="s">
        <v>71</v>
      </c>
      <c r="E50" s="26">
        <v>1000000</v>
      </c>
      <c r="F50" s="27">
        <v>998.02</v>
      </c>
      <c r="G50" s="28">
        <v>1.1420430000000001E-2</v>
      </c>
      <c r="H50" s="18">
        <v>6.5854999999999997</v>
      </c>
    </row>
    <row r="51" spans="1:8" x14ac:dyDescent="0.2">
      <c r="A51" s="24">
        <v>3</v>
      </c>
      <c r="B51" s="25" t="s">
        <v>425</v>
      </c>
      <c r="C51" s="25" t="s">
        <v>426</v>
      </c>
      <c r="D51" s="25" t="s">
        <v>71</v>
      </c>
      <c r="E51" s="26">
        <v>1000000</v>
      </c>
      <c r="F51" s="27">
        <v>995.59299999999996</v>
      </c>
      <c r="G51" s="28">
        <v>1.1392660000000001E-2</v>
      </c>
      <c r="H51" s="18">
        <v>6.4623999999999997</v>
      </c>
    </row>
    <row r="52" spans="1:8" x14ac:dyDescent="0.2">
      <c r="A52" s="16"/>
      <c r="B52" s="16"/>
      <c r="C52" s="17" t="s">
        <v>11</v>
      </c>
      <c r="D52" s="16"/>
      <c r="E52" s="16" t="s">
        <v>12</v>
      </c>
      <c r="F52" s="23">
        <v>3492.5329999999999</v>
      </c>
      <c r="G52" s="20">
        <v>3.9965359999999998E-2</v>
      </c>
      <c r="H52" s="18" t="s">
        <v>12</v>
      </c>
    </row>
    <row r="53" spans="1:8" x14ac:dyDescent="0.2">
      <c r="A53" s="16"/>
      <c r="B53" s="16"/>
      <c r="C53" s="21"/>
      <c r="D53" s="16"/>
      <c r="E53" s="16"/>
      <c r="F53" s="22"/>
      <c r="G53" s="22"/>
      <c r="H53" s="18" t="s">
        <v>12</v>
      </c>
    </row>
    <row r="54" spans="1:8" x14ac:dyDescent="0.2">
      <c r="A54" s="16"/>
      <c r="B54" s="16"/>
      <c r="C54" s="17" t="s">
        <v>90</v>
      </c>
      <c r="D54" s="16"/>
      <c r="E54" s="16"/>
      <c r="F54" s="22"/>
      <c r="G54" s="22"/>
      <c r="H54" s="18" t="s">
        <v>12</v>
      </c>
    </row>
    <row r="55" spans="1:8" x14ac:dyDescent="0.2">
      <c r="A55" s="24">
        <v>1</v>
      </c>
      <c r="B55" s="25"/>
      <c r="C55" s="25" t="s">
        <v>584</v>
      </c>
      <c r="D55" s="25"/>
      <c r="E55" s="29"/>
      <c r="F55" s="27">
        <v>49998.993722200001</v>
      </c>
      <c r="G55" s="28">
        <v>0.57214282999999999</v>
      </c>
      <c r="H55" s="18">
        <v>6.75</v>
      </c>
    </row>
    <row r="56" spans="1:8" x14ac:dyDescent="0.2">
      <c r="A56" s="24">
        <v>2</v>
      </c>
      <c r="B56" s="25"/>
      <c r="C56" s="25" t="s">
        <v>91</v>
      </c>
      <c r="D56" s="25"/>
      <c r="E56" s="29"/>
      <c r="F56" s="27">
        <v>33660.121543633002</v>
      </c>
      <c r="G56" s="28">
        <v>0.38517569000000002</v>
      </c>
      <c r="H56" s="18">
        <v>6.66</v>
      </c>
    </row>
    <row r="57" spans="1:8" x14ac:dyDescent="0.2">
      <c r="A57" s="16"/>
      <c r="B57" s="16"/>
      <c r="C57" s="17" t="s">
        <v>11</v>
      </c>
      <c r="D57" s="16"/>
      <c r="E57" s="16" t="s">
        <v>12</v>
      </c>
      <c r="F57" s="23">
        <v>83659.115265832996</v>
      </c>
      <c r="G57" s="20">
        <v>0.95731851999999995</v>
      </c>
      <c r="H57" s="18" t="s">
        <v>12</v>
      </c>
    </row>
    <row r="58" spans="1:8" x14ac:dyDescent="0.2">
      <c r="A58" s="16"/>
      <c r="B58" s="16"/>
      <c r="C58" s="21"/>
      <c r="D58" s="16"/>
      <c r="E58" s="16"/>
      <c r="F58" s="22"/>
      <c r="G58" s="22"/>
      <c r="H58" s="18" t="s">
        <v>12</v>
      </c>
    </row>
    <row r="59" spans="1:8" x14ac:dyDescent="0.2">
      <c r="A59" s="16"/>
      <c r="B59" s="16"/>
      <c r="C59" s="17" t="s">
        <v>92</v>
      </c>
      <c r="D59" s="16"/>
      <c r="E59" s="16"/>
      <c r="F59" s="23">
        <v>87151.648265833006</v>
      </c>
      <c r="G59" s="20">
        <v>0.99728388000000001</v>
      </c>
      <c r="H59" s="18" t="s">
        <v>12</v>
      </c>
    </row>
    <row r="60" spans="1:8" x14ac:dyDescent="0.2">
      <c r="A60" s="16"/>
      <c r="B60" s="16"/>
      <c r="C60" s="22"/>
      <c r="D60" s="16"/>
      <c r="E60" s="16"/>
      <c r="F60" s="16"/>
      <c r="G60" s="16"/>
      <c r="H60" s="18" t="s">
        <v>12</v>
      </c>
    </row>
    <row r="61" spans="1:8" x14ac:dyDescent="0.2">
      <c r="A61" s="16"/>
      <c r="B61" s="16"/>
      <c r="C61" s="17" t="s">
        <v>93</v>
      </c>
      <c r="D61" s="16"/>
      <c r="E61" s="16"/>
      <c r="F61" s="16"/>
      <c r="G61" s="16"/>
      <c r="H61" s="18" t="s">
        <v>12</v>
      </c>
    </row>
    <row r="62" spans="1:8" x14ac:dyDescent="0.2">
      <c r="A62" s="16"/>
      <c r="B62" s="16"/>
      <c r="C62" s="17" t="s">
        <v>94</v>
      </c>
      <c r="D62" s="16"/>
      <c r="E62" s="16"/>
      <c r="F62" s="16"/>
      <c r="G62" s="16"/>
      <c r="H62" s="18" t="s">
        <v>12</v>
      </c>
    </row>
    <row r="63" spans="1:8" x14ac:dyDescent="0.2">
      <c r="A63" s="16"/>
      <c r="B63" s="16"/>
      <c r="C63" s="17" t="s">
        <v>11</v>
      </c>
      <c r="D63" s="16"/>
      <c r="E63" s="16" t="s">
        <v>12</v>
      </c>
      <c r="F63" s="19" t="s">
        <v>13</v>
      </c>
      <c r="G63" s="20">
        <v>0</v>
      </c>
      <c r="H63" s="18" t="s">
        <v>12</v>
      </c>
    </row>
    <row r="64" spans="1:8" x14ac:dyDescent="0.2">
      <c r="A64" s="16"/>
      <c r="B64" s="16"/>
      <c r="C64" s="21"/>
      <c r="D64" s="16"/>
      <c r="E64" s="16"/>
      <c r="F64" s="22"/>
      <c r="G64" s="22"/>
      <c r="H64" s="18" t="s">
        <v>12</v>
      </c>
    </row>
    <row r="65" spans="1:10" x14ac:dyDescent="0.2">
      <c r="A65" s="16"/>
      <c r="B65" s="16"/>
      <c r="C65" s="17" t="s">
        <v>97</v>
      </c>
      <c r="D65" s="16"/>
      <c r="E65" s="16"/>
      <c r="F65" s="16"/>
      <c r="G65" s="16"/>
      <c r="H65" s="18" t="s">
        <v>12</v>
      </c>
    </row>
    <row r="66" spans="1:10" x14ac:dyDescent="0.2">
      <c r="A66" s="16"/>
      <c r="B66" s="16"/>
      <c r="C66" s="17" t="s">
        <v>98</v>
      </c>
      <c r="D66" s="16"/>
      <c r="E66" s="16"/>
      <c r="F66" s="16"/>
      <c r="G66" s="16"/>
      <c r="H66" s="18" t="s">
        <v>12</v>
      </c>
    </row>
    <row r="67" spans="1:10" x14ac:dyDescent="0.2">
      <c r="A67" s="16"/>
      <c r="B67" s="16"/>
      <c r="C67" s="17" t="s">
        <v>11</v>
      </c>
      <c r="D67" s="16"/>
      <c r="E67" s="16" t="s">
        <v>12</v>
      </c>
      <c r="F67" s="19" t="s">
        <v>13</v>
      </c>
      <c r="G67" s="20">
        <v>0</v>
      </c>
      <c r="H67" s="18" t="s">
        <v>12</v>
      </c>
    </row>
    <row r="68" spans="1:10" x14ac:dyDescent="0.2">
      <c r="A68" s="16"/>
      <c r="B68" s="16"/>
      <c r="C68" s="21"/>
      <c r="D68" s="16"/>
      <c r="E68" s="16"/>
      <c r="F68" s="22"/>
      <c r="G68" s="22"/>
      <c r="H68" s="18" t="s">
        <v>12</v>
      </c>
    </row>
    <row r="69" spans="1:10" x14ac:dyDescent="0.2">
      <c r="A69" s="16"/>
      <c r="B69" s="16"/>
      <c r="C69" s="17" t="s">
        <v>99</v>
      </c>
      <c r="D69" s="16"/>
      <c r="E69" s="16"/>
      <c r="F69" s="22"/>
      <c r="G69" s="22"/>
      <c r="H69" s="18" t="s">
        <v>12</v>
      </c>
    </row>
    <row r="70" spans="1:10" x14ac:dyDescent="0.2">
      <c r="A70" s="16"/>
      <c r="B70" s="16"/>
      <c r="C70" s="17" t="s">
        <v>11</v>
      </c>
      <c r="D70" s="16"/>
      <c r="E70" s="16" t="s">
        <v>12</v>
      </c>
      <c r="F70" s="19" t="s">
        <v>13</v>
      </c>
      <c r="G70" s="20">
        <v>0</v>
      </c>
      <c r="H70" s="18" t="s">
        <v>12</v>
      </c>
    </row>
    <row r="71" spans="1:10" x14ac:dyDescent="0.2">
      <c r="A71" s="16"/>
      <c r="B71" s="16"/>
      <c r="C71" s="21"/>
      <c r="D71" s="16"/>
      <c r="E71" s="16"/>
      <c r="F71" s="22"/>
      <c r="G71" s="22"/>
      <c r="H71" s="18" t="s">
        <v>12</v>
      </c>
    </row>
    <row r="72" spans="1:10" x14ac:dyDescent="0.2">
      <c r="A72" s="29"/>
      <c r="B72" s="25"/>
      <c r="C72" s="25" t="s">
        <v>100</v>
      </c>
      <c r="D72" s="25"/>
      <c r="E72" s="29"/>
      <c r="F72" s="27">
        <f>237.35927317+0.0000296870040893555</f>
        <v>237.35930285700408</v>
      </c>
      <c r="G72" s="28">
        <v>2.7161199999999998E-3</v>
      </c>
      <c r="H72" s="18" t="s">
        <v>12</v>
      </c>
    </row>
    <row r="73" spans="1:10" x14ac:dyDescent="0.2">
      <c r="A73" s="21"/>
      <c r="B73" s="21"/>
      <c r="C73" s="17" t="s">
        <v>101</v>
      </c>
      <c r="D73" s="22"/>
      <c r="E73" s="22"/>
      <c r="F73" s="23">
        <f>87389.007539003+0.0000296870040893555</f>
        <v>87389.007568689995</v>
      </c>
      <c r="G73" s="30">
        <v>1</v>
      </c>
      <c r="H73" s="18" t="s">
        <v>12</v>
      </c>
    </row>
    <row r="74" spans="1:10" x14ac:dyDescent="0.2">
      <c r="A74" s="31"/>
      <c r="B74" s="31"/>
      <c r="C74" s="31"/>
      <c r="D74" s="32"/>
      <c r="E74" s="32"/>
      <c r="F74" s="32"/>
      <c r="G74" s="32"/>
    </row>
    <row r="75" spans="1:10" x14ac:dyDescent="0.2">
      <c r="A75" s="33"/>
      <c r="B75" s="126" t="s">
        <v>602</v>
      </c>
      <c r="C75" s="126"/>
      <c r="D75" s="126"/>
      <c r="E75" s="126"/>
      <c r="F75" s="126"/>
      <c r="G75" s="126"/>
      <c r="H75" s="126"/>
      <c r="J75" s="15"/>
    </row>
    <row r="76" spans="1:10" x14ac:dyDescent="0.2">
      <c r="A76" s="33"/>
      <c r="B76" s="126" t="s">
        <v>603</v>
      </c>
      <c r="C76" s="126"/>
      <c r="D76" s="126"/>
      <c r="E76" s="126"/>
      <c r="F76" s="126"/>
      <c r="G76" s="126"/>
      <c r="H76" s="126"/>
      <c r="J76" s="15"/>
    </row>
    <row r="77" spans="1:10" x14ac:dyDescent="0.2">
      <c r="A77" s="33"/>
      <c r="B77" s="126" t="s">
        <v>604</v>
      </c>
      <c r="C77" s="126"/>
      <c r="D77" s="126"/>
      <c r="E77" s="126"/>
      <c r="F77" s="126"/>
      <c r="G77" s="126"/>
      <c r="H77" s="126"/>
      <c r="J77" s="15"/>
    </row>
    <row r="78" spans="1:10" x14ac:dyDescent="0.2">
      <c r="A78" s="35"/>
      <c r="B78" s="35"/>
      <c r="C78" s="35"/>
      <c r="D78" s="36"/>
      <c r="E78" s="36"/>
      <c r="F78" s="36"/>
      <c r="G78" s="36"/>
    </row>
    <row r="79" spans="1:10" x14ac:dyDescent="0.2">
      <c r="A79" s="35"/>
      <c r="B79" s="129" t="s">
        <v>102</v>
      </c>
      <c r="C79" s="130"/>
      <c r="D79" s="131"/>
      <c r="E79" s="37"/>
      <c r="F79" s="36"/>
      <c r="G79" s="36"/>
    </row>
    <row r="80" spans="1:10" x14ac:dyDescent="0.2">
      <c r="A80" s="35"/>
      <c r="B80" s="132" t="s">
        <v>103</v>
      </c>
      <c r="C80" s="133"/>
      <c r="D80" s="17" t="s">
        <v>104</v>
      </c>
      <c r="E80" s="37"/>
      <c r="F80" s="36"/>
      <c r="G80" s="36"/>
    </row>
    <row r="81" spans="1:10" x14ac:dyDescent="0.2">
      <c r="A81" s="35"/>
      <c r="B81" s="132" t="s">
        <v>105</v>
      </c>
      <c r="C81" s="133"/>
      <c r="D81" s="17" t="s">
        <v>104</v>
      </c>
      <c r="E81" s="37"/>
      <c r="F81" s="36"/>
      <c r="G81" s="36"/>
    </row>
    <row r="82" spans="1:10" x14ac:dyDescent="0.2">
      <c r="A82" s="35"/>
      <c r="B82" s="132" t="s">
        <v>106</v>
      </c>
      <c r="C82" s="133"/>
      <c r="D82" s="22" t="s">
        <v>12</v>
      </c>
      <c r="E82" s="37"/>
      <c r="F82" s="36"/>
      <c r="G82" s="36"/>
    </row>
    <row r="83" spans="1:10" x14ac:dyDescent="0.2">
      <c r="A83" s="38"/>
      <c r="B83" s="39" t="s">
        <v>12</v>
      </c>
      <c r="C83" s="39" t="s">
        <v>605</v>
      </c>
      <c r="D83" s="39" t="s">
        <v>107</v>
      </c>
      <c r="E83" s="38"/>
      <c r="F83" s="38"/>
      <c r="G83" s="38"/>
      <c r="H83" s="40"/>
      <c r="J83" s="15"/>
    </row>
    <row r="84" spans="1:10" x14ac:dyDescent="0.2">
      <c r="A84" s="41"/>
      <c r="B84" s="42" t="s">
        <v>108</v>
      </c>
      <c r="C84" s="43">
        <v>45611</v>
      </c>
      <c r="D84" s="43">
        <v>45626</v>
      </c>
      <c r="E84" s="41"/>
      <c r="F84" s="41"/>
      <c r="G84" s="41"/>
    </row>
    <row r="85" spans="1:10" x14ac:dyDescent="0.2">
      <c r="A85" s="41"/>
      <c r="B85" s="25" t="s">
        <v>109</v>
      </c>
      <c r="C85" s="44">
        <v>1324.5405000000001</v>
      </c>
      <c r="D85" s="44">
        <v>1328.0815</v>
      </c>
      <c r="E85" s="41"/>
      <c r="F85" s="45"/>
      <c r="G85" s="46"/>
    </row>
    <row r="86" spans="1:10" ht="25.5" x14ac:dyDescent="0.2">
      <c r="A86" s="41"/>
      <c r="B86" s="25" t="s">
        <v>714</v>
      </c>
      <c r="C86" s="44">
        <v>1042.4935</v>
      </c>
      <c r="D86" s="44">
        <v>1045.2802999999999</v>
      </c>
      <c r="E86" s="41"/>
      <c r="F86" s="45"/>
      <c r="G86" s="46"/>
    </row>
    <row r="87" spans="1:10" x14ac:dyDescent="0.2">
      <c r="A87" s="41"/>
      <c r="B87" s="25" t="s">
        <v>110</v>
      </c>
      <c r="C87" s="44">
        <v>1317.0755999999999</v>
      </c>
      <c r="D87" s="44">
        <v>1320.5371</v>
      </c>
      <c r="E87" s="41"/>
      <c r="F87" s="45"/>
      <c r="G87" s="46"/>
    </row>
    <row r="88" spans="1:10" ht="25.5" x14ac:dyDescent="0.2">
      <c r="A88" s="41"/>
      <c r="B88" s="25" t="s">
        <v>718</v>
      </c>
      <c r="C88" s="44">
        <v>1038.808</v>
      </c>
      <c r="D88" s="44">
        <v>1041.5382999999999</v>
      </c>
      <c r="E88" s="41"/>
      <c r="F88" s="45"/>
      <c r="G88" s="46"/>
    </row>
    <row r="89" spans="1:10" ht="25.5" x14ac:dyDescent="0.2">
      <c r="A89" s="41"/>
      <c r="B89" s="47" t="s">
        <v>681</v>
      </c>
      <c r="C89" s="44">
        <v>1000</v>
      </c>
      <c r="D89" s="125" t="s">
        <v>724</v>
      </c>
      <c r="E89" s="41"/>
      <c r="F89" s="45"/>
      <c r="G89" s="46"/>
    </row>
    <row r="90" spans="1:10" ht="25.5" x14ac:dyDescent="0.2">
      <c r="A90" s="41"/>
      <c r="B90" s="47" t="s">
        <v>682</v>
      </c>
      <c r="C90" s="44">
        <v>1179.7735</v>
      </c>
      <c r="D90" s="125" t="s">
        <v>724</v>
      </c>
      <c r="E90" s="41"/>
      <c r="F90" s="45"/>
      <c r="G90" s="46"/>
    </row>
    <row r="91" spans="1:10" ht="38.25" x14ac:dyDescent="0.2">
      <c r="A91" s="41"/>
      <c r="B91" s="47" t="s">
        <v>683</v>
      </c>
      <c r="C91" s="44">
        <v>1179.7573</v>
      </c>
      <c r="D91" s="125" t="s">
        <v>724</v>
      </c>
      <c r="E91" s="41"/>
      <c r="F91" s="45"/>
      <c r="G91" s="46"/>
    </row>
    <row r="92" spans="1:10" ht="38.25" x14ac:dyDescent="0.2">
      <c r="A92" s="41"/>
      <c r="B92" s="47" t="s">
        <v>684</v>
      </c>
      <c r="C92" s="44">
        <v>1000</v>
      </c>
      <c r="D92" s="125" t="s">
        <v>724</v>
      </c>
      <c r="E92" s="41"/>
      <c r="F92" s="45"/>
      <c r="G92" s="46"/>
    </row>
    <row r="93" spans="1:10" x14ac:dyDescent="0.2">
      <c r="A93" s="41"/>
      <c r="B93" s="41"/>
      <c r="C93" s="41"/>
      <c r="D93" s="41"/>
      <c r="E93" s="41"/>
      <c r="F93" s="41"/>
      <c r="G93" s="41"/>
    </row>
    <row r="94" spans="1:10" x14ac:dyDescent="0.2">
      <c r="A94" s="41"/>
      <c r="B94" s="132" t="s">
        <v>721</v>
      </c>
      <c r="C94" s="133"/>
      <c r="D94" s="48" t="s">
        <v>104</v>
      </c>
      <c r="E94" s="41"/>
      <c r="F94" s="41"/>
      <c r="G94" s="41"/>
    </row>
    <row r="95" spans="1:10" x14ac:dyDescent="0.2">
      <c r="A95" s="41"/>
      <c r="B95" s="49"/>
      <c r="C95" s="49"/>
      <c r="D95" s="49"/>
      <c r="E95" s="41"/>
      <c r="F95" s="41"/>
      <c r="G95" s="41"/>
    </row>
    <row r="96" spans="1:10" x14ac:dyDescent="0.2">
      <c r="A96" s="38"/>
      <c r="B96" s="134" t="s">
        <v>111</v>
      </c>
      <c r="C96" s="135"/>
      <c r="D96" s="48" t="s">
        <v>104</v>
      </c>
      <c r="E96" s="50"/>
      <c r="F96" s="38"/>
      <c r="G96" s="38"/>
    </row>
    <row r="97" spans="1:21" x14ac:dyDescent="0.2">
      <c r="A97" s="38"/>
      <c r="B97" s="134" t="s">
        <v>112</v>
      </c>
      <c r="C97" s="135"/>
      <c r="D97" s="48" t="s">
        <v>104</v>
      </c>
      <c r="E97" s="50"/>
      <c r="F97" s="38"/>
      <c r="G97" s="38"/>
    </row>
    <row r="98" spans="1:21" x14ac:dyDescent="0.2">
      <c r="A98" s="38"/>
      <c r="B98" s="134" t="s">
        <v>607</v>
      </c>
      <c r="C98" s="135"/>
      <c r="D98" s="48" t="s">
        <v>104</v>
      </c>
      <c r="E98" s="50"/>
      <c r="F98" s="38"/>
      <c r="G98" s="38"/>
      <c r="I98" s="51"/>
    </row>
    <row r="99" spans="1:21" x14ac:dyDescent="0.2">
      <c r="A99" s="49"/>
      <c r="B99" s="49"/>
      <c r="C99" s="49"/>
      <c r="D99" s="49"/>
      <c r="E99" s="49"/>
      <c r="F99" s="49"/>
      <c r="G99" s="49"/>
      <c r="I99" s="51"/>
    </row>
    <row r="100" spans="1:21" s="52" customFormat="1" x14ac:dyDescent="0.2">
      <c r="B100" s="136" t="s">
        <v>608</v>
      </c>
      <c r="C100" s="137"/>
      <c r="D100" s="138"/>
      <c r="I100" s="51"/>
      <c r="J100"/>
      <c r="K100" s="51"/>
      <c r="L100" s="51"/>
      <c r="M100" s="51"/>
      <c r="N100" s="53"/>
      <c r="Q100"/>
      <c r="R100"/>
      <c r="S100"/>
      <c r="T100"/>
      <c r="U100"/>
    </row>
    <row r="101" spans="1:21" s="52" customFormat="1" ht="38.25" x14ac:dyDescent="0.2">
      <c r="B101" s="127" t="s">
        <v>609</v>
      </c>
      <c r="C101" s="127"/>
      <c r="D101" s="54" t="s">
        <v>581</v>
      </c>
      <c r="I101" s="51"/>
      <c r="J101"/>
      <c r="K101" s="51"/>
      <c r="L101" s="51"/>
      <c r="M101" s="51"/>
      <c r="N101" s="53"/>
      <c r="Q101"/>
      <c r="R101"/>
      <c r="S101"/>
      <c r="T101"/>
      <c r="U101"/>
    </row>
    <row r="102" spans="1:21" s="52" customFormat="1" x14ac:dyDescent="0.2">
      <c r="B102" s="128" t="s">
        <v>610</v>
      </c>
      <c r="C102" s="128"/>
      <c r="D102" s="55"/>
      <c r="I102" s="51"/>
      <c r="J102"/>
      <c r="K102" s="51"/>
      <c r="L102" s="51"/>
      <c r="M102" s="51"/>
      <c r="N102" s="53"/>
    </row>
    <row r="103" spans="1:21" s="52" customFormat="1" x14ac:dyDescent="0.2">
      <c r="B103" s="128"/>
      <c r="C103" s="128"/>
      <c r="D103" s="56"/>
      <c r="I103"/>
      <c r="J103"/>
      <c r="K103" s="51"/>
      <c r="L103" s="51"/>
      <c r="M103" s="51"/>
      <c r="N103" s="53"/>
    </row>
    <row r="104" spans="1:21" s="52" customFormat="1" x14ac:dyDescent="0.2">
      <c r="B104" s="128" t="s">
        <v>611</v>
      </c>
      <c r="C104" s="128"/>
      <c r="D104" s="57">
        <v>6.6649729363409413</v>
      </c>
      <c r="I104"/>
      <c r="J104"/>
      <c r="K104" s="51"/>
      <c r="L104" s="51"/>
      <c r="M104" s="51"/>
      <c r="N104" s="53"/>
    </row>
    <row r="105" spans="1:21" s="52" customFormat="1" x14ac:dyDescent="0.2">
      <c r="B105" s="128"/>
      <c r="C105" s="128"/>
      <c r="D105" s="56"/>
      <c r="I105"/>
      <c r="J105"/>
      <c r="K105" s="51"/>
      <c r="L105" s="51"/>
      <c r="M105" s="51"/>
      <c r="N105" s="53"/>
    </row>
    <row r="106" spans="1:21" s="52" customFormat="1" x14ac:dyDescent="0.2">
      <c r="B106" s="128" t="s">
        <v>685</v>
      </c>
      <c r="C106" s="128"/>
      <c r="D106" s="58">
        <v>2</v>
      </c>
      <c r="I106"/>
      <c r="J106"/>
      <c r="K106" s="51"/>
      <c r="L106" s="51"/>
      <c r="M106" s="51"/>
      <c r="N106" s="53"/>
    </row>
    <row r="107" spans="1:21" s="52" customFormat="1" x14ac:dyDescent="0.2">
      <c r="B107" s="128" t="s">
        <v>686</v>
      </c>
      <c r="C107" s="128"/>
      <c r="D107" s="58">
        <v>2</v>
      </c>
      <c r="I107"/>
      <c r="J107"/>
      <c r="K107" s="51"/>
      <c r="L107" s="51"/>
      <c r="M107" s="51"/>
      <c r="N107" s="53"/>
    </row>
    <row r="108" spans="1:21" s="52" customFormat="1" x14ac:dyDescent="0.2">
      <c r="B108" s="128"/>
      <c r="C108" s="128"/>
      <c r="D108" s="56"/>
      <c r="I108"/>
      <c r="J108"/>
      <c r="K108" s="51"/>
      <c r="L108" s="51"/>
      <c r="M108" s="51"/>
      <c r="N108" s="53"/>
    </row>
    <row r="109" spans="1:21" s="52" customFormat="1" x14ac:dyDescent="0.2">
      <c r="B109" s="128" t="s">
        <v>614</v>
      </c>
      <c r="C109" s="128"/>
      <c r="D109" s="59" t="s">
        <v>687</v>
      </c>
      <c r="I109"/>
      <c r="J109"/>
      <c r="K109" s="51"/>
      <c r="L109" s="51"/>
      <c r="M109" s="51"/>
      <c r="N109" s="53"/>
    </row>
    <row r="110" spans="1:21" s="52" customFormat="1" x14ac:dyDescent="0.2">
      <c r="B110" s="140" t="s">
        <v>615</v>
      </c>
      <c r="C110" s="142"/>
      <c r="D110" s="141"/>
      <c r="I110"/>
      <c r="J110"/>
      <c r="K110" s="51"/>
      <c r="L110" s="51"/>
      <c r="M110" s="51"/>
      <c r="N110" s="53"/>
    </row>
    <row r="111" spans="1:21" x14ac:dyDescent="0.2">
      <c r="H111" s="60"/>
    </row>
    <row r="112" spans="1:21" x14ac:dyDescent="0.2">
      <c r="B112" s="61" t="s">
        <v>691</v>
      </c>
    </row>
    <row r="114" spans="2:10" ht="153.75" customHeight="1" x14ac:dyDescent="0.2"/>
    <row r="117" spans="2:10" x14ac:dyDescent="0.2">
      <c r="B117" s="62" t="s">
        <v>692</v>
      </c>
      <c r="C117" s="63"/>
      <c r="D117" s="62" t="s">
        <v>694</v>
      </c>
    </row>
    <row r="118" spans="2:10" x14ac:dyDescent="0.2">
      <c r="B118" s="62" t="s">
        <v>713</v>
      </c>
      <c r="D118" s="62" t="s">
        <v>712</v>
      </c>
    </row>
    <row r="119" spans="2:10" ht="165" customHeight="1" x14ac:dyDescent="0.2"/>
    <row r="121" spans="2:10" x14ac:dyDescent="0.2">
      <c r="J121" s="15"/>
    </row>
  </sheetData>
  <mergeCells count="25">
    <mergeCell ref="B108:C108"/>
    <mergeCell ref="B109:C109"/>
    <mergeCell ref="B110:D110"/>
    <mergeCell ref="B103:C103"/>
    <mergeCell ref="B104:C104"/>
    <mergeCell ref="B105:C105"/>
    <mergeCell ref="B106:C106"/>
    <mergeCell ref="B107:C107"/>
    <mergeCell ref="A1:H1"/>
    <mergeCell ref="A2:H2"/>
    <mergeCell ref="A3:H3"/>
    <mergeCell ref="B75:H75"/>
    <mergeCell ref="B76:H76"/>
    <mergeCell ref="B77:H77"/>
    <mergeCell ref="B101:C101"/>
    <mergeCell ref="B102:C102"/>
    <mergeCell ref="B79:D79"/>
    <mergeCell ref="B80:C80"/>
    <mergeCell ref="B81:C81"/>
    <mergeCell ref="B82:C82"/>
    <mergeCell ref="B94:C94"/>
    <mergeCell ref="B98:C98"/>
    <mergeCell ref="B96:C96"/>
    <mergeCell ref="B97:C97"/>
    <mergeCell ref="B100:D100"/>
  </mergeCells>
  <hyperlinks>
    <hyperlink ref="I1" location="Index!B2" display="Index" xr:uid="{6C6FBB49-9CE7-44E6-BA94-3A761B5F8426}"/>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2024-12-02T09:25:00Z</dcterms:created>
  <dcterms:modified xsi:type="dcterms:W3CDTF">2024-12-04T10:35:23Z</dcterms:modified>
</cp:coreProperties>
</file>