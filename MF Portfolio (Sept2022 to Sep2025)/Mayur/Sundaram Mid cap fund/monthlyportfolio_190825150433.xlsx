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Z:\MCR Report\2025-2026\05. Aug 2025\Fortnightly Portfolio Statement as on 15.08.2025 &amp; 31.08.2025\15.08.2025\"/>
    </mc:Choice>
  </mc:AlternateContent>
  <xr:revisionPtr revIDLastSave="0" documentId="13_ncr:1_{337A7DF4-A6C6-4F63-AB93-B58D8AEF7F5D}" xr6:coauthVersionLast="47" xr6:coauthVersionMax="47" xr10:uidLastSave="{00000000-0000-0000-0000-000000000000}"/>
  <bookViews>
    <workbookView xWindow="-120" yWindow="-120" windowWidth="29040" windowHeight="15720" tabRatio="751" xr2:uid="{C2F7318D-1420-4FE4-AE15-B1C450C4EA73}"/>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9" i="6" l="1"/>
  <c r="F100" i="6"/>
  <c r="F160" i="5"/>
  <c r="F161" i="5"/>
  <c r="F107" i="4"/>
  <c r="J139" i="9" l="1"/>
  <c r="F11" i="9"/>
  <c r="F28" i="9" s="1"/>
  <c r="F45" i="9" s="1"/>
  <c r="G115" i="8"/>
  <c r="I176" i="7"/>
  <c r="F176" i="7"/>
  <c r="F138" i="7"/>
  <c r="F137" i="7"/>
  <c r="F136" i="7"/>
  <c r="F135" i="7"/>
  <c r="F8" i="7"/>
  <c r="F25" i="7" s="1"/>
  <c r="F140" i="7" s="1"/>
  <c r="I149" i="6"/>
  <c r="J149" i="6" s="1"/>
  <c r="I148" i="6"/>
  <c r="J148" i="6" s="1"/>
  <c r="I147" i="6"/>
  <c r="J147" i="6" s="1"/>
  <c r="G147" i="6"/>
  <c r="I146" i="6"/>
  <c r="J146" i="6" s="1"/>
  <c r="I189" i="5"/>
  <c r="F189" i="5"/>
  <c r="F8" i="5"/>
  <c r="F25" i="5" s="1"/>
  <c r="I159" i="4"/>
  <c r="F159" i="4"/>
  <c r="I154" i="4"/>
  <c r="J154" i="4" s="1"/>
  <c r="I153" i="4"/>
  <c r="J153" i="4" s="1"/>
  <c r="I152" i="4"/>
  <c r="J152" i="4" s="1"/>
  <c r="F8" i="4"/>
  <c r="F25" i="4" s="1"/>
  <c r="G87" i="9"/>
  <c r="F87" i="9"/>
  <c r="G76" i="8"/>
  <c r="F76" i="8"/>
  <c r="G125" i="7"/>
  <c r="F125" i="7"/>
  <c r="G90" i="6"/>
  <c r="F90" i="6"/>
  <c r="G151" i="5"/>
  <c r="F151" i="5"/>
  <c r="G97" i="4"/>
  <c r="F97" i="4"/>
  <c r="G124" i="3"/>
  <c r="F124" i="3"/>
  <c r="G101" i="2"/>
  <c r="F101" i="2"/>
  <c r="G102" i="1"/>
  <c r="F102" i="1"/>
  <c r="F106" i="4" l="1"/>
  <c r="G106" i="4" s="1"/>
  <c r="F97" i="9"/>
  <c r="G11" i="9"/>
  <c r="G28" i="9" s="1"/>
  <c r="G45" i="9" s="1"/>
  <c r="G97" i="9" s="1"/>
  <c r="F141" i="7"/>
  <c r="G140" i="7" l="1"/>
  <c r="G141" i="7" s="1"/>
  <c r="H168" i="7"/>
  <c r="H170" i="7"/>
  <c r="H167" i="7"/>
  <c r="H169" i="7"/>
</calcChain>
</file>

<file path=xl/sharedStrings.xml><?xml version="1.0" encoding="utf-8"?>
<sst xmlns="http://schemas.openxmlformats.org/spreadsheetml/2006/main" count="3382" uniqueCount="781">
  <si>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</si>
  <si>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</si>
  <si>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</si>
  <si>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</si>
  <si>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</si>
  <si>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</si>
  <si>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</si>
  <si>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</si>
  <si>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</si>
  <si>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</si>
  <si>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</si>
  <si>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</si>
  <si>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</si>
  <si>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</si>
  <si>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</si>
  <si>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</si>
  <si>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</si>
  <si>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</si>
  <si>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</si>
  <si>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</si>
  <si>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</si>
  <si>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</si>
  <si>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</si>
  <si>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</si>
  <si>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</si>
  <si>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</si>
  <si>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ICRA AAA</t>
  </si>
  <si>
    <t>INE557F08FR8</t>
  </si>
  <si>
    <t>National Housing Bank - 7.22% - 23/07/2026**</t>
  </si>
  <si>
    <t>INE115A07QJ2</t>
  </si>
  <si>
    <t>LIC Housing Finance Ltd - 7.7% - 16/05/2028**</t>
  </si>
  <si>
    <t>INE261F08EJ7</t>
  </si>
  <si>
    <t>National Bank for Agriculture &amp; Rural Development - 7.64% - 06/12/2029**</t>
  </si>
  <si>
    <t>INE040A08930</t>
  </si>
  <si>
    <t>HDFC Bank Ltd (Prev HDFC Ltd) - 7.65% - 25/05/2033**</t>
  </si>
  <si>
    <t>INE261F08EH1</t>
  </si>
  <si>
    <t>National Bank for Agriculture &amp; Rural Development - 7.62% - 10/05/2029**</t>
  </si>
  <si>
    <t>INE020B08EK4</t>
  </si>
  <si>
    <t>REC LTD - 7.46% - 30/06/2028**</t>
  </si>
  <si>
    <t>INE115A07QY1</t>
  </si>
  <si>
    <t>LIC Housing Finance Ltd - 7.57% - 18/10/2029**</t>
  </si>
  <si>
    <t>INE053F08304</t>
  </si>
  <si>
    <t>Indian Railway Finance Corporation Ltd - 7.23% - 15/10/2026**</t>
  </si>
  <si>
    <t>INE041007167</t>
  </si>
  <si>
    <t>Embassy Office Parks REIT - 7.21% - 17/03/2028**</t>
  </si>
  <si>
    <t>INE020B08FX4</t>
  </si>
  <si>
    <t>REC LTD - 6.37% - 31/03/2027**</t>
  </si>
  <si>
    <t>INE134E08MX3</t>
  </si>
  <si>
    <t>Power Finance Corporation Ltd - 7.6% - 13/04/2029**</t>
  </si>
  <si>
    <t>INE242A08544</t>
  </si>
  <si>
    <t>Indian Oil Corporation Ltd - 7.44% - 25/11/2027**</t>
  </si>
  <si>
    <t>INE296A07SV1</t>
  </si>
  <si>
    <t>Bajaj Finance Ltd - 7.82% - 31/01/2034</t>
  </si>
  <si>
    <t>INE756I07FB6</t>
  </si>
  <si>
    <t>HDB Financial Services Ltd - 7.9611% - 05/01/2028</t>
  </si>
  <si>
    <t>INE557F08FS6</t>
  </si>
  <si>
    <t>National Housing Bank - 7.4% - 16/07/2026**</t>
  </si>
  <si>
    <t>INE296A07TJ4</t>
  </si>
  <si>
    <t>Bajaj Finance Ltd - 7.3763% - 26/06/2028**</t>
  </si>
  <si>
    <t>INE261F08EO7</t>
  </si>
  <si>
    <t>National Bank for Agriculture &amp; Rural Development - 7.48% - 15/09/2028**</t>
  </si>
  <si>
    <t>INE020B08EP3</t>
  </si>
  <si>
    <t>REC LTD - 7.77% - 30/09/2026**</t>
  </si>
  <si>
    <t>INE134E08IO0</t>
  </si>
  <si>
    <t>Power Finance Corporation Ltd - 7.23% - 05/01/2027**</t>
  </si>
  <si>
    <t>INE752E08783</t>
  </si>
  <si>
    <t>Power Grid Corporation of India Ltd - 6.94% - 15/04/2035**</t>
  </si>
  <si>
    <t>INE756I07FG5</t>
  </si>
  <si>
    <t>HDB Financial Services Ltd - 7.4091% - 05/06/2028**</t>
  </si>
  <si>
    <t>INE134E08NS1</t>
  </si>
  <si>
    <t>Power Finance Corporation Ltd - 6.61% - 15/07/2028**</t>
  </si>
  <si>
    <t>INE115A07MW4</t>
  </si>
  <si>
    <t>LIC Housing Finance Ltd - 7.95% - 29/01/2028**</t>
  </si>
  <si>
    <t>INE756I07EX3</t>
  </si>
  <si>
    <t>HDB Financial Services Ltd - 8.2378% - 06/04/2027**</t>
  </si>
  <si>
    <t>INE556F08KH1</t>
  </si>
  <si>
    <t>Small Industries Development Bank of India - 7.43% - 31/08/2026</t>
  </si>
  <si>
    <t>INE296A07SU3</t>
  </si>
  <si>
    <t>Bajaj Finance Ltd - 7.87% - 08/02/2034**</t>
  </si>
  <si>
    <t>INE556F08KP4</t>
  </si>
  <si>
    <t>Small Industries Development Bank of India - 7.68% - 10/08/2027**</t>
  </si>
  <si>
    <t>(b) Privately Placed / Unlisted</t>
  </si>
  <si>
    <t>(c) Govt Security</t>
  </si>
  <si>
    <t>IN0020250026</t>
  </si>
  <si>
    <t>6.33% Central Government Securities 05/05/2035</t>
  </si>
  <si>
    <t>Sovereign</t>
  </si>
  <si>
    <t>IN0020240126</t>
  </si>
  <si>
    <t>6.79% Central Government Securities 07/10/2034</t>
  </si>
  <si>
    <t>IN3120240400</t>
  </si>
  <si>
    <t>6.96% Tamil Nadu State Government Securities - 04/12/2028</t>
  </si>
  <si>
    <t>IN0020230135</t>
  </si>
  <si>
    <t>7.32% Government Securities-13/11/2030</t>
  </si>
  <si>
    <t>IN0020230051</t>
  </si>
  <si>
    <t>7.30% Government Securities - 19/06/2053</t>
  </si>
  <si>
    <t>IN0020250042</t>
  </si>
  <si>
    <t>6.68% Central Government Securities 07/07/2040</t>
  </si>
  <si>
    <t>IN0020230077</t>
  </si>
  <si>
    <t>7.18%  Government Securities - 24/07/2037</t>
  </si>
  <si>
    <t>IN0020250018</t>
  </si>
  <si>
    <t>6.90% Central Government Securities 15/04/2065</t>
  </si>
  <si>
    <t>(d) Securitized Debt Instruments</t>
  </si>
  <si>
    <t>Total for Debt Instruments</t>
  </si>
  <si>
    <t>C) Money Market Instruments</t>
  </si>
  <si>
    <t>(a) Certificate of Deposits</t>
  </si>
  <si>
    <t>INE692A16II0</t>
  </si>
  <si>
    <t>Union Bank of India - 18/12/2025**</t>
  </si>
  <si>
    <t>ICRA A1+</t>
  </si>
  <si>
    <t>INE562A16NQ8</t>
  </si>
  <si>
    <t>Indian Bank - 04/12/2025**</t>
  </si>
  <si>
    <t>CRISIL A1+</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</si>
  <si>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</si>
  <si>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</si>
  <si>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</si>
  <si>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</si>
  <si>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</si>
  <si>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</si>
  <si>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</si>
  <si>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</si>
  <si>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</si>
  <si>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</si>
  <si>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</si>
  <si>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</si>
  <si>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</si>
  <si>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</si>
  <si>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</si>
  <si>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</si>
  <si>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</si>
  <si>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</si>
  <si>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</si>
  <si>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</si>
  <si>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</si>
  <si>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</si>
  <si>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</si>
  <si>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</si>
  <si>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</si>
  <si>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</si>
  <si>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</si>
  <si>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</si>
  <si>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</si>
  <si>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</si>
  <si>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</si>
  <si>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</si>
  <si>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</si>
  <si>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</si>
  <si>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</si>
  <si>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</si>
  <si>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</si>
  <si>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</si>
  <si>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</si>
  <si>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</si>
  <si>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</si>
  <si>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</si>
  <si>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</si>
  <si>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</si>
  <si>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INE296A07TM8</t>
  </si>
  <si>
    <t>Bajaj Finance Ltd - 7.11% - 10/07/2028**</t>
  </si>
  <si>
    <t>INE261F08EF5</t>
  </si>
  <si>
    <t>National Bank for Agriculture &amp; Rural Development - 7.8% - 15/03/2027**</t>
  </si>
  <si>
    <t>INE053F08338</t>
  </si>
  <si>
    <t>Indian Railway Finance Corporation Ltd - 7.68% - 24/11/2026**</t>
  </si>
  <si>
    <t>INE020B08FL9</t>
  </si>
  <si>
    <t>REC LTD - 7.34% - 30/04/2030**</t>
  </si>
  <si>
    <t>IN0020240027</t>
  </si>
  <si>
    <t>7.23% Central Government Securities 15/04/2039</t>
  </si>
  <si>
    <t>IN0020240050</t>
  </si>
  <si>
    <t>7.04% Central Government Securities 03/06/2029</t>
  </si>
  <si>
    <t>INE562A16ON3</t>
  </si>
  <si>
    <t>Indian Bank - 25/03/2026**</t>
  </si>
  <si>
    <t>INE514E16CJ9</t>
  </si>
  <si>
    <t>Export Import Bank of India - 04/03/2026**</t>
  </si>
  <si>
    <t>INE040A16GE5</t>
  </si>
  <si>
    <t>HDFC Bank Ltd - 04/02/2026**</t>
  </si>
  <si>
    <t>INE514E16CK7</t>
  </si>
  <si>
    <t>Export Import Bank of India - 20/03/2026**</t>
  </si>
  <si>
    <t>Sundaram Money Market Fund</t>
  </si>
  <si>
    <t>IN3120160053</t>
  </si>
  <si>
    <t>8.07% Tamil Nadu State Development Loan - 15/06/2026</t>
  </si>
  <si>
    <t>IN3120150187</t>
  </si>
  <si>
    <t>8.38% Tamil Nadu State Development Loan - 27/01/2026</t>
  </si>
  <si>
    <t>IN1520160038</t>
  </si>
  <si>
    <t>7.98% Gujarat State Development Loan - 11/05/2026</t>
  </si>
  <si>
    <t>INE238AD6AN0</t>
  </si>
  <si>
    <t>Axis Bank Ltd - 04/03/2026**</t>
  </si>
  <si>
    <t>INE160A16RK5</t>
  </si>
  <si>
    <t>Punjab National Bank - 18/03/2026**</t>
  </si>
  <si>
    <t>INE040A16GS5</t>
  </si>
  <si>
    <t>HDFC Bank Ltd - 24/03/2026</t>
  </si>
  <si>
    <t>INE160A16QM3</t>
  </si>
  <si>
    <t>Punjab National Bank - 05/12/2025**</t>
  </si>
  <si>
    <t>INE028A16HY6</t>
  </si>
  <si>
    <t>Bank of Baroda - 12/12/2025**</t>
  </si>
  <si>
    <t>IND A1+</t>
  </si>
  <si>
    <t>INE084A16DC4</t>
  </si>
  <si>
    <t>Bank of India - 06/02/2026**</t>
  </si>
  <si>
    <t>INE562A16OG7</t>
  </si>
  <si>
    <t>Indian Bank - 06/03/2026**</t>
  </si>
  <si>
    <t>INE261F16975</t>
  </si>
  <si>
    <t>National Bank for Agriculture &amp; Rural Development - 10/03/2026**</t>
  </si>
  <si>
    <t>INE562A16OI3</t>
  </si>
  <si>
    <t>Indian Bank - 12/03/2026**</t>
  </si>
  <si>
    <t>INE237A168Z9</t>
  </si>
  <si>
    <t>Kotak Mahindra Bank Ltd - 19/03/2026**</t>
  </si>
  <si>
    <t>INE476A16B64</t>
  </si>
  <si>
    <t>Canara Bank - 18/03/2026**</t>
  </si>
  <si>
    <t>INE238AD6BC1</t>
  </si>
  <si>
    <t>Axis Bank Ltd - 10/08/2026**</t>
  </si>
  <si>
    <t>INE556F16BG5</t>
  </si>
  <si>
    <t>Small Industries Development Bank of India - 26/03/2026**</t>
  </si>
  <si>
    <t>INE261F16967</t>
  </si>
  <si>
    <t>National Bank for Agriculture &amp; Rural Development - 27/02/2026**</t>
  </si>
  <si>
    <t>INE556F16BB6</t>
  </si>
  <si>
    <t>Small Industries Development Bank of India - 27/02/2026**</t>
  </si>
  <si>
    <t>INE238AD6AM2</t>
  </si>
  <si>
    <t>Axis Bank Ltd - 04/02/2026**</t>
  </si>
  <si>
    <t>INE949L16CY1</t>
  </si>
  <si>
    <t>AU Small Finance Bank Ltd - 28/10/2025**</t>
  </si>
  <si>
    <t>INE095A16X85</t>
  </si>
  <si>
    <t>IndusInd Bank Ltd - 05/12/2025**</t>
  </si>
  <si>
    <t>INE238AD6AX9</t>
  </si>
  <si>
    <t>Axis Bank Ltd - 16/12/2025</t>
  </si>
  <si>
    <t>INE562A16OA0</t>
  </si>
  <si>
    <t>Indian Bank - 04/02/2026</t>
  </si>
  <si>
    <t>INE261F16934</t>
  </si>
  <si>
    <t>National Bank for Agriculture &amp; Rural Development - 05/02/2026**</t>
  </si>
  <si>
    <t>INE237A165Z5</t>
  </si>
  <si>
    <t>Kotak Mahindra Bank Ltd - 18/02/2026**</t>
  </si>
  <si>
    <t>INE261F16959</t>
  </si>
  <si>
    <t>National Bank for Agriculture &amp; Rural Development - 17/02/2026**</t>
  </si>
  <si>
    <t>INE237A166Z3</t>
  </si>
  <si>
    <t>Kotak Mahindra Bank Ltd - 27/02/2026**</t>
  </si>
  <si>
    <t>INE008A16X99</t>
  </si>
  <si>
    <t>IDBI Bank Ltd - 23/02/2026**</t>
  </si>
  <si>
    <t>INE237A167Z1</t>
  </si>
  <si>
    <t>Kotak Mahindra Bank Ltd - 13/03/2026**</t>
  </si>
  <si>
    <t>INE476A16B31</t>
  </si>
  <si>
    <t>Canara Bank - 13/03/2026**</t>
  </si>
  <si>
    <t>INE040A16GW7</t>
  </si>
  <si>
    <t>HDFC Bank Ltd - 19/05/2026**</t>
  </si>
  <si>
    <t>INE238AD6AT7</t>
  </si>
  <si>
    <t>Axis Bank Ltd - 11/06/2026**</t>
  </si>
  <si>
    <t>INE040A16HB9</t>
  </si>
  <si>
    <t>HDFC Bank Ltd - 24/06/2026**</t>
  </si>
  <si>
    <t>INE476A16ZT9</t>
  </si>
  <si>
    <t>Canara Bank - 18/12/2025**</t>
  </si>
  <si>
    <t>INE092T16XX1</t>
  </si>
  <si>
    <t>IDFC First Bank Ltd - 23/01/2026**</t>
  </si>
  <si>
    <t>INE476A16A65</t>
  </si>
  <si>
    <t>Canara Bank - 24/02/2026**</t>
  </si>
  <si>
    <t>INE556F16BA8</t>
  </si>
  <si>
    <t>Small Industries Development Bank of India - 06/02/2026**</t>
  </si>
  <si>
    <t>INE849D14HW8</t>
  </si>
  <si>
    <t>ICICI Securities Primary Dealership Ltd - 10/02/2026**</t>
  </si>
  <si>
    <t>INE756I14FC0</t>
  </si>
  <si>
    <t>HDB Financial Services Ltd - 04/03/2026**</t>
  </si>
  <si>
    <t>INE041014064</t>
  </si>
  <si>
    <t>Embassy Office Parks REIT - 20/03/2026**</t>
  </si>
  <si>
    <t>INE763G14XJ8</t>
  </si>
  <si>
    <t>ICICI Securities Ltd - 03/03/2026**</t>
  </si>
  <si>
    <t>INE144H14HG8</t>
  </si>
  <si>
    <t>Deutsche Investments India Private Ltd - 22/12/2025**</t>
  </si>
  <si>
    <t>INE144H14HQ7</t>
  </si>
  <si>
    <t>Deutsche Investments India Private Ltd - 27/02/2026**</t>
  </si>
  <si>
    <t>INE121A14XO2</t>
  </si>
  <si>
    <t>Cholamandalam Investment and Finance Company Ltd - 26/05/2026**</t>
  </si>
  <si>
    <t>INE115A14FJ1</t>
  </si>
  <si>
    <t>LIC Housing Finance Ltd - 18/02/2026**</t>
  </si>
  <si>
    <t>INE763G14XI0</t>
  </si>
  <si>
    <t>ICICI Securities Ltd - 27/02/2026**</t>
  </si>
  <si>
    <t>INE338I14JI6</t>
  </si>
  <si>
    <t>Motilal Oswal Financial Services Ltd - 25/02/2026**</t>
  </si>
  <si>
    <t>INE763G14YJ6</t>
  </si>
  <si>
    <t>ICICI Securities Ltd - 15/05/2026**</t>
  </si>
  <si>
    <t>INE09OL14HG3</t>
  </si>
  <si>
    <t>Birla Group Holdings Pvt Ltd - 22/05/2026**</t>
  </si>
  <si>
    <t>INE790I14GC7</t>
  </si>
  <si>
    <t>HSBC InvestDirect Financial Services India Limited - 13/02/2026**</t>
  </si>
  <si>
    <t>INE121A14XG8</t>
  </si>
  <si>
    <t>Cholamandalam Investment and Finance Company Ltd - 14/11/2025**</t>
  </si>
  <si>
    <t>INE007N14EB3</t>
  </si>
  <si>
    <t>Fedbank Financial Services Ltd - 05/12/2025**</t>
  </si>
  <si>
    <t>INE338I14JF2</t>
  </si>
  <si>
    <t>Motilal Oswal Financial Services Ltd - 06/02/2026**</t>
  </si>
  <si>
    <t>INE121A14XK0</t>
  </si>
  <si>
    <t>Cholamandalam Investment and Finance Company Ltd - 22/05/2026**</t>
  </si>
  <si>
    <t>IN002025Y198</t>
  </si>
  <si>
    <t>182 Days - T Bill - 05/02/2026</t>
  </si>
  <si>
    <t>IN002024Y464</t>
  </si>
  <si>
    <t>182 Days - T Bill - 29/08/2025</t>
  </si>
  <si>
    <t>IN002024Z453</t>
  </si>
  <si>
    <t>364 Days - T Bill - 20/02/2026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</si>
  <si>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</si>
  <si>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</si>
  <si>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</si>
  <si>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</si>
  <si>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</si>
  <si>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</si>
  <si>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</si>
  <si>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</si>
  <si>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</si>
  <si>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</si>
  <si>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</si>
  <si>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</si>
  <si>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</si>
  <si>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CARE AA+</t>
  </si>
  <si>
    <t>INE414G07II5</t>
  </si>
  <si>
    <t>Muthoot Finance Ltd - 8.4% - 28/08/2028</t>
  </si>
  <si>
    <t>ICRA AA+</t>
  </si>
  <si>
    <t>INE134E08IE1</t>
  </si>
  <si>
    <t>Power Finance Corporation Ltd - 8.03% - 02/05/2026**</t>
  </si>
  <si>
    <t>INE523H07CB9</t>
  </si>
  <si>
    <t>JM Financial Products Ltd - 8.92% - 16/11/2026**</t>
  </si>
  <si>
    <t>CRISIL AA</t>
  </si>
  <si>
    <t>INE233A08121</t>
  </si>
  <si>
    <t>Godrej Industries Ltd - 8.36% - 28/08/2026**</t>
  </si>
  <si>
    <t>INE477A07415</t>
  </si>
  <si>
    <t>Can Fin Homes Ltd - 8.09% - 04/01/2027**</t>
  </si>
  <si>
    <t>INE020B08FF1</t>
  </si>
  <si>
    <t>REC LTD - 7.56% - 31/08/2027</t>
  </si>
  <si>
    <t>INE121A07QT9</t>
  </si>
  <si>
    <t>Cholamandalam Investment and Finance Company Ltd - 8.45% - 21/11/2025**</t>
  </si>
  <si>
    <t>INE414G07JL7</t>
  </si>
  <si>
    <t>Muthoot Finance Ltd - 8.65% - 31/01/2028**</t>
  </si>
  <si>
    <t>IN0020220037</t>
  </si>
  <si>
    <t>7.38% Central Government Securities 20/06/2027</t>
  </si>
  <si>
    <t>INE476A16ZQ5</t>
  </si>
  <si>
    <t>Canara Bank - 12/12/2025**</t>
  </si>
  <si>
    <t>INE092T16YI0</t>
  </si>
  <si>
    <t>IDFC First Bank Ltd - 25/05/2026**</t>
  </si>
  <si>
    <t>INE040A16GF2</t>
  </si>
  <si>
    <t>HDFC Bank Ltd - 06/02/2026</t>
  </si>
  <si>
    <t>INE261F16983</t>
  </si>
  <si>
    <t>National Bank for Agriculture &amp; Rural Development - 13/03/2026**</t>
  </si>
  <si>
    <t>INE261F16AA7</t>
  </si>
  <si>
    <t>National Bank for Agriculture &amp; Rural Development - 25/03/2026**</t>
  </si>
  <si>
    <t>Sundaram Liquid Fund</t>
  </si>
  <si>
    <t>INE115A07PZ0</t>
  </si>
  <si>
    <t>INE414G07HT4</t>
  </si>
  <si>
    <t>INE476A16B98</t>
  </si>
  <si>
    <t>INE092T16YM2</t>
  </si>
  <si>
    <t>INE562A16PC3</t>
  </si>
  <si>
    <t>INE565A16BD4</t>
  </si>
  <si>
    <t>CARE A1+</t>
  </si>
  <si>
    <t>INE040A16FM0</t>
  </si>
  <si>
    <t>INE562A16NM7</t>
  </si>
  <si>
    <t>INE028A16IY4</t>
  </si>
  <si>
    <t>INE238AD6900</t>
  </si>
  <si>
    <t>INE028A16GQ4</t>
  </si>
  <si>
    <t>INE476A16C71</t>
  </si>
  <si>
    <t>INE028A16JB0</t>
  </si>
  <si>
    <t>INE556F16AW4</t>
  </si>
  <si>
    <t>INE237A162Y5</t>
  </si>
  <si>
    <t>INE476A16C06</t>
  </si>
  <si>
    <t>INE040A16FJ6</t>
  </si>
  <si>
    <t>INE237AD6018</t>
  </si>
  <si>
    <t>INE160A16SE6</t>
  </si>
  <si>
    <t>INE084A16DT8</t>
  </si>
  <si>
    <t>INE562A16NH7</t>
  </si>
  <si>
    <t>INE476A16C22</t>
  </si>
  <si>
    <t>INE238AD6942</t>
  </si>
  <si>
    <t>INE261F14NZ2</t>
  </si>
  <si>
    <t>National Bank for Agriculture &amp; Rural Development - 17/09/2025</t>
  </si>
  <si>
    <t>INE331A14NZ4</t>
  </si>
  <si>
    <t>The Ramco Cements Ltd - 01/09/2025**</t>
  </si>
  <si>
    <t>INE929O14DQ6</t>
  </si>
  <si>
    <t>Reliance Retail Ventures Ltd - 19/09/2025**</t>
  </si>
  <si>
    <t>INE763G14ZG9</t>
  </si>
  <si>
    <t>ICICI Securities Ltd - 24/09/2025**</t>
  </si>
  <si>
    <t>INE242A14YG0</t>
  </si>
  <si>
    <t>Indian Oil Corporation Ltd - 07/11/2025**</t>
  </si>
  <si>
    <t>INE514E14SI2</t>
  </si>
  <si>
    <t>Export Import Bank of India - 10/11/2025**</t>
  </si>
  <si>
    <t>INE289B14JR7</t>
  </si>
  <si>
    <t>GIC Housing Finance Ltd - 26/08/2025**</t>
  </si>
  <si>
    <t>INE790I14FZ0</t>
  </si>
  <si>
    <t>HSBC InvestDirect Financial Services India Limited - 26/08/2025**</t>
  </si>
  <si>
    <t>INE110L14TY9</t>
  </si>
  <si>
    <t>Reliance Jio Infocomm Ltd - 29/08/2025</t>
  </si>
  <si>
    <t>INE556F14LF1</t>
  </si>
  <si>
    <t>Small Industries Development Bank of India - 08/09/2025**</t>
  </si>
  <si>
    <t>INE110L14TU7</t>
  </si>
  <si>
    <t>Reliance Jio Infocomm Ltd - 12/09/2025**</t>
  </si>
  <si>
    <t>INE982D14BF5</t>
  </si>
  <si>
    <t>Godrej &amp; Boyce Mfg Co Ltd - 16/09/2025**</t>
  </si>
  <si>
    <t>INE242A14YA3</t>
  </si>
  <si>
    <t>Indian Oil Corporation Ltd - 19/09/2025**</t>
  </si>
  <si>
    <t>INE09OL14HQ2</t>
  </si>
  <si>
    <t>Birla Group Holdings Pvt Ltd - 22/09/2025**</t>
  </si>
  <si>
    <t>INE556F14LH7</t>
  </si>
  <si>
    <t>Small Industries Development Bank of India - 24/10/2025**</t>
  </si>
  <si>
    <t>INE929O14DU8</t>
  </si>
  <si>
    <t>Reliance Retail Ventures Ltd - 13/11/2025**</t>
  </si>
  <si>
    <t>INE02FN14598</t>
  </si>
  <si>
    <t>IGH Holdings Private Limited - 12/11/2025**</t>
  </si>
  <si>
    <t>INE912E14MD2</t>
  </si>
  <si>
    <t>SBI FACTORS LTD - 20/08/2025**</t>
  </si>
  <si>
    <t>INE870H14VF1</t>
  </si>
  <si>
    <t>Network18 Media &amp; Investments Ltd - 28/08/2025**</t>
  </si>
  <si>
    <t>INE912E14MF7</t>
  </si>
  <si>
    <t>SBI FACTORS LTD - 28/08/2025**</t>
  </si>
  <si>
    <t>INE763G14YW9</t>
  </si>
  <si>
    <t>ICICI Securities Ltd - 04/09/2025**</t>
  </si>
  <si>
    <t>INE233A142N4</t>
  </si>
  <si>
    <t>Godrej Industries Ltd - 16/09/2025**</t>
  </si>
  <si>
    <t>INE245A14JY7</t>
  </si>
  <si>
    <t>TATA Power Company Ltd - 18/09/2025**</t>
  </si>
  <si>
    <t>INE071G14GY0</t>
  </si>
  <si>
    <t>ICICI Home Finance Company Ltd - 24/10/2025**</t>
  </si>
  <si>
    <t>INE572E14JZ3</t>
  </si>
  <si>
    <t>INE338I14KU9</t>
  </si>
  <si>
    <t>Motilal Oswal Financial Services Ltd - 13/11/2025**</t>
  </si>
  <si>
    <t>INE572E14JU4</t>
  </si>
  <si>
    <t>PNB Housing Finance Ltd - 18/08/2025</t>
  </si>
  <si>
    <t>INE144H14HO2</t>
  </si>
  <si>
    <t>Deutsche Investments India Private Ltd - 19/08/2025**</t>
  </si>
  <si>
    <t>INE261F14NT5</t>
  </si>
  <si>
    <t>National Bank for Agriculture &amp; Rural Development - 22/08/2025**</t>
  </si>
  <si>
    <t>INE865C14NT0</t>
  </si>
  <si>
    <t>Aditya Birla Money Ltd - 25/08/2025**</t>
  </si>
  <si>
    <t>INE556F14LD6</t>
  </si>
  <si>
    <t>Small Industries Development Bank of India - 26/08/2025</t>
  </si>
  <si>
    <t>INE850D14TZ4</t>
  </si>
  <si>
    <t>Godrej Agrovet Ltd - 26/08/2025**</t>
  </si>
  <si>
    <t>INE975F14A50</t>
  </si>
  <si>
    <t>Kotak Mahindra Investments Ltd - 29/08/2025**</t>
  </si>
  <si>
    <t>INE242A14XX7</t>
  </si>
  <si>
    <t>Indian Oil Corporation Ltd - 04/09/2025**</t>
  </si>
  <si>
    <t>INE929O14DN3</t>
  </si>
  <si>
    <t>Reliance Retail Ventures Ltd - 04/09/2025**</t>
  </si>
  <si>
    <t>INE870H14VI5</t>
  </si>
  <si>
    <t>Network18 Media &amp; Investments Ltd - 04/09/2025**</t>
  </si>
  <si>
    <t>INE700G14OQ4</t>
  </si>
  <si>
    <t>HDFC Securities Ltd - 08/09/2025**</t>
  </si>
  <si>
    <t>INE831R14FA6</t>
  </si>
  <si>
    <t>Aditya Birla Housing Finance Ltd - 18/09/2025**</t>
  </si>
  <si>
    <t>INE115A14FO1</t>
  </si>
  <si>
    <t>LIC Housing Finance Ltd - 19/09/2025**</t>
  </si>
  <si>
    <t>INE027214852</t>
  </si>
  <si>
    <t>BOBCARD Ltd - 18/09/2025**</t>
  </si>
  <si>
    <t>INE242A14YD7</t>
  </si>
  <si>
    <t>Indian Oil Corporation Ltd - 22/09/2025**</t>
  </si>
  <si>
    <t>INE002A14LK7</t>
  </si>
  <si>
    <t>Reliance Industries Ltd - 23/09/2025**</t>
  </si>
  <si>
    <t>INE071G14GZ7</t>
  </si>
  <si>
    <t>ICICI Home Finance Company Ltd - 06/11/2025**</t>
  </si>
  <si>
    <t>INE700G14PJ6</t>
  </si>
  <si>
    <t>HDFC Securities Ltd - 11/11/2025**</t>
  </si>
  <si>
    <t>INE028E14SE2</t>
  </si>
  <si>
    <t>Kotak Securities Ltd - 13/11/2025**</t>
  </si>
  <si>
    <t>INE700G14PH0</t>
  </si>
  <si>
    <t>HDFC Securities Ltd - 13/11/2025**</t>
  </si>
  <si>
    <t>INE01C314CJ2</t>
  </si>
  <si>
    <t>Bajaj Financial Securities Ltd - 13/11/2025**</t>
  </si>
  <si>
    <t>INE865C14OF7</t>
  </si>
  <si>
    <t>Aditya Birla Money Ltd - 12/11/2025**</t>
  </si>
  <si>
    <t>INE417C14959</t>
  </si>
  <si>
    <t>Pilani Investment and Industries Corporation Ltd. - 22/08/2025**</t>
  </si>
  <si>
    <t>INE975F14B34</t>
  </si>
  <si>
    <t>Kotak Mahindra Investments Ltd - 08/09/2025**</t>
  </si>
  <si>
    <t>INE879F14JV8</t>
  </si>
  <si>
    <t>Infina Finance Pvt Ltd - 22/09/2025**</t>
  </si>
  <si>
    <t>IN002024Y498</t>
  </si>
  <si>
    <t>182 Days - T Bill - 18/09/2025</t>
  </si>
  <si>
    <t>IN002024Y506</t>
  </si>
  <si>
    <t>182 Days - T Bill - 25/09/2025</t>
  </si>
  <si>
    <t>IN002025X117</t>
  </si>
  <si>
    <t>91 Days - T Bill - 11/09/2025</t>
  </si>
  <si>
    <t>IN002025X166</t>
  </si>
  <si>
    <t>91 Days - T Bill - 16/10/2025</t>
  </si>
  <si>
    <t>IN002025X190</t>
  </si>
  <si>
    <t>91 Days - T Bill - 06/11/2025</t>
  </si>
  <si>
    <t>IN002025X208</t>
  </si>
  <si>
    <t>91 Days - T Bill - 13/11/2025</t>
  </si>
  <si>
    <t>IN002024Y472</t>
  </si>
  <si>
    <t>182 Days - T Bill - 04/09/2025</t>
  </si>
  <si>
    <t>IN002025X158</t>
  </si>
  <si>
    <t>91 Days - T Bill - 09/10/2025</t>
  </si>
  <si>
    <t>IN002025X174</t>
  </si>
  <si>
    <t>91 Days - T Bill - 23/10/2025</t>
  </si>
  <si>
    <t>IN002024Z214</t>
  </si>
  <si>
    <t>364 Days - T Bill - 21/08/2025</t>
  </si>
  <si>
    <t>IN002025Y040</t>
  </si>
  <si>
    <t>182 Days - T Bill - 23/10/2025</t>
  </si>
  <si>
    <t>Reverse Repo</t>
  </si>
  <si>
    <t>Sundaram Short Duration Fund</t>
  </si>
  <si>
    <t>INE134E08MJ2</t>
  </si>
  <si>
    <t>Power Finance Corporation Ltd - 7.77% - 15/04/2028**</t>
  </si>
  <si>
    <t>INE121A07RZ4</t>
  </si>
  <si>
    <t>Cholamandalam Investment and Finance Company Ltd - 8.54% - 12/04/2029**</t>
  </si>
  <si>
    <t>INE020B08EI8</t>
  </si>
  <si>
    <t>REC LTD - 7.51% - 31/07/2026**</t>
  </si>
  <si>
    <t>INE146O07557</t>
  </si>
  <si>
    <t>INE134E08LP1</t>
  </si>
  <si>
    <t>INE115A07PI6</t>
  </si>
  <si>
    <t>LIC Housing Finance Ltd - 6.17% - 03/09/2026**</t>
  </si>
  <si>
    <t>IN0020240019</t>
  </si>
  <si>
    <t>7.10% Central Government Securities 08/04/2034</t>
  </si>
  <si>
    <t>IN0020230101</t>
  </si>
  <si>
    <t>7.37% Government Securities-23/10/2028</t>
  </si>
  <si>
    <t>IN3120230484</t>
  </si>
  <si>
    <t>7.44% Tamil Nadu State Government Securities -20/03/2034</t>
  </si>
  <si>
    <t>Sundaram Ultra Short Duration Fund</t>
  </si>
  <si>
    <t>INE261F08DX0</t>
  </si>
  <si>
    <t>National Bank for Agriculture &amp; Rural Development - 7.58% - 31/07/2026**</t>
  </si>
  <si>
    <t>INE071G07637</t>
  </si>
  <si>
    <t>INE556F08KJ7</t>
  </si>
  <si>
    <t>INE756I07EJ2</t>
  </si>
  <si>
    <t>HDB Financial Services Ltd - 7.65% - 10/09/2027</t>
  </si>
  <si>
    <t>INE756I07EN4</t>
  </si>
  <si>
    <t>HDB Financial Services Ltd - 7.84% - 14/07/2026**</t>
  </si>
  <si>
    <t>INE121A07SN8</t>
  </si>
  <si>
    <t>Cholamandalam Investment and Finance Company Ltd - 7.38% - 28/05/2027**</t>
  </si>
  <si>
    <t>INE556F16AX2</t>
  </si>
  <si>
    <t>INE171A16MM9</t>
  </si>
  <si>
    <t>INE238AD6983</t>
  </si>
  <si>
    <t>Axis Bank Ltd - 13/11/2025</t>
  </si>
  <si>
    <t>INE692A16IC3</t>
  </si>
  <si>
    <t>INE476A16A24</t>
  </si>
  <si>
    <t>INE095A16Y50</t>
  </si>
  <si>
    <t>INE171A16MK3</t>
  </si>
  <si>
    <t>INE040A16FY5</t>
  </si>
  <si>
    <t>HDFC Bank Ltd - 04/12/2025</t>
  </si>
  <si>
    <t>INE556F16AY0</t>
  </si>
  <si>
    <t>Small Industries Development Bank of India - 13/01/2026</t>
  </si>
  <si>
    <t>INE556F16BD2</t>
  </si>
  <si>
    <t>INE498L14EE2</t>
  </si>
  <si>
    <t>INE121A14XQ7</t>
  </si>
  <si>
    <t>IN002025X182</t>
  </si>
  <si>
    <t>91 Days - T Bill - 30/10/2025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</si>
  <si>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</si>
  <si>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</si>
  <si>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</si>
  <si>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</si>
  <si>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</si>
  <si>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</si>
  <si>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</si>
  <si>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</si>
  <si>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</si>
  <si>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</si>
  <si>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</si>
  <si>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</si>
  <si>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</si>
  <si>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</si>
  <si>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</si>
  <si>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</si>
  <si>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</si>
  <si>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</si>
  <si>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INE062A01020</t>
  </si>
  <si>
    <t>State Bank of India</t>
  </si>
  <si>
    <t>INE860A01027</t>
  </si>
  <si>
    <t>HCL Technologies Ltd</t>
  </si>
  <si>
    <t>INE481G01011</t>
  </si>
  <si>
    <t>Ultratech Cement Ltd</t>
  </si>
  <si>
    <t>Cement &amp; Cement Products</t>
  </si>
  <si>
    <t>INE540L01014</t>
  </si>
  <si>
    <t>Alkem Laboratories Ltd</t>
  </si>
  <si>
    <t>Pharmaceuticals &amp; Biotechnology</t>
  </si>
  <si>
    <t>INE237A01028</t>
  </si>
  <si>
    <t>Kotak Mahindra Bank Ltd</t>
  </si>
  <si>
    <t>INE917I01010</t>
  </si>
  <si>
    <t>Bajaj Auto Ltd</t>
  </si>
  <si>
    <t>Automobiles</t>
  </si>
  <si>
    <t>INE585B01010</t>
  </si>
  <si>
    <t>Maruti Suzuki India Ltd</t>
  </si>
  <si>
    <t>INE029A01011</t>
  </si>
  <si>
    <t>Bharat Petroleum Corporation Ltd</t>
  </si>
  <si>
    <t>INE797F01020</t>
  </si>
  <si>
    <t>Jubilant Foodworks Ltd</t>
  </si>
  <si>
    <t>Leisure Services</t>
  </si>
  <si>
    <t>INE047A01021</t>
  </si>
  <si>
    <t>Grasim Industries Ltd</t>
  </si>
  <si>
    <t>INE603J01030</t>
  </si>
  <si>
    <t>PI Industries Ltd</t>
  </si>
  <si>
    <t>Fertilizers &amp; Agrochemicals</t>
  </si>
  <si>
    <t>INE196A01026</t>
  </si>
  <si>
    <t>Marico Ltd</t>
  </si>
  <si>
    <t>Agricultural Food &amp; Other Products</t>
  </si>
  <si>
    <t>INE154A01025</t>
  </si>
  <si>
    <t>ITC Ltd</t>
  </si>
  <si>
    <t>Diversified Fmcg</t>
  </si>
  <si>
    <t>INE018A01030</t>
  </si>
  <si>
    <t>Larsen &amp; Toubro Ltd</t>
  </si>
  <si>
    <t>Construction</t>
  </si>
  <si>
    <t>INE238A01034</t>
  </si>
  <si>
    <t>Axis Bank Ltd</t>
  </si>
  <si>
    <t>IN0020250075</t>
  </si>
  <si>
    <t>7.24% Central Government Securities 18/08/2055</t>
  </si>
  <si>
    <t>Sundaram Overnight Fund</t>
  </si>
  <si>
    <t>IN002025X083</t>
  </si>
  <si>
    <t>91 Days - T Bill - 21/08/2025</t>
  </si>
  <si>
    <t>IN002025X109</t>
  </si>
  <si>
    <t>91 Days - T Bill - 04/09/2025</t>
  </si>
  <si>
    <t>YTM (%)*</t>
  </si>
  <si>
    <t>Index</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</si>
  <si>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</si>
  <si>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</si>
  <si>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</si>
  <si>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</si>
  <si>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</si>
  <si>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</si>
  <si>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</si>
  <si>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</si>
  <si>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</si>
  <si>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</si>
  <si>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</si>
  <si>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</si>
  <si>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</si>
  <si>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</si>
  <si>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</si>
  <si>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</si>
  <si>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</si>
  <si>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</si>
  <si>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 xml:space="preserve">           NIFTY Banking and PSU Debt Index A-II</t>
  </si>
  <si>
    <t>++ Aggregate Investments by Other schemes of Sundaram Mutual Fund - Rs.17,298.00 Lakhs</t>
  </si>
  <si>
    <t xml:space="preserve">                    NIFTY Money Market Index A-I</t>
  </si>
  <si>
    <t>INE0JEI23010</t>
  </si>
  <si>
    <t>Roadstar Infra Investment Trust (InvIT)</t>
  </si>
  <si>
    <t>Services</t>
  </si>
  <si>
    <t>#</t>
  </si>
  <si>
    <t>Refer below point h)</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</si>
  <si>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</si>
  <si>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</si>
  <si>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</si>
  <si>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</si>
  <si>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</si>
  <si>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</si>
  <si>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</si>
  <si>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</si>
  <si>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</si>
  <si>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</si>
  <si>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</si>
  <si>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</si>
  <si>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</si>
  <si>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</si>
  <si>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</si>
  <si>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</si>
  <si>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</si>
  <si>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</si>
  <si>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</si>
  <si>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</si>
  <si>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</si>
  <si>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</si>
  <si>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</si>
  <si>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</si>
  <si>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</si>
  <si>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</si>
  <si>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</si>
  <si>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</si>
  <si>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</si>
  <si>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</si>
  <si>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</si>
  <si>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</si>
  <si>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</si>
  <si>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</si>
  <si>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</si>
  <si>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</si>
  <si>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</si>
  <si>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6,356.03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</si>
  <si>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</si>
  <si>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</si>
  <si>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</si>
  <si>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</si>
  <si>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</si>
  <si>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</si>
  <si>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</si>
  <si>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</si>
  <si>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</si>
  <si>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</si>
  <si>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</si>
  <si>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</si>
  <si>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</si>
  <si>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</si>
  <si>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</si>
  <si>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</si>
  <si>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</si>
  <si>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</si>
  <si>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</si>
  <si>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</si>
  <si>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</si>
  <si>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</si>
  <si>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Interest Rate Swaps Pay Fix Receive Floating (26/05/2026)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</si>
  <si>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</si>
  <si>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i)</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</si>
  <si>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</si>
  <si>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</si>
  <si>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</si>
  <si>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</si>
  <si>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</si>
  <si>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</si>
  <si>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</si>
  <si>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</si>
  <si>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</si>
  <si>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</si>
  <si>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</si>
  <si>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</si>
  <si>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</si>
  <si>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</si>
  <si>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</si>
  <si>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</si>
  <si>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</si>
  <si>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</si>
  <si>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</si>
  <si>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</si>
  <si>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</si>
  <si>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</si>
  <si>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</si>
  <si>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</si>
  <si>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</si>
  <si>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</si>
  <si>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</si>
  <si>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</si>
  <si>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</si>
  <si>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</si>
  <si>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</si>
  <si>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</si>
  <si>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</si>
  <si>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</si>
  <si>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15-Aug-2025</t>
  </si>
  <si>
    <t>h) Exposure to securities classified as below investment grade or default as on 15-Aug-2025:-</t>
  </si>
  <si>
    <t>h)  Hedging Positions through Swaps as on 15-Aug-2025:-</t>
  </si>
  <si>
    <t>i) Exposure to securities classified as below investment grade or default as on 15-Aug-2025:-</t>
  </si>
  <si>
    <t>% to AUM as on  15-Aug-2025</t>
  </si>
  <si>
    <t>S. No.</t>
  </si>
  <si>
    <t>ACRONYM</t>
  </si>
  <si>
    <t>SCHEME NAME</t>
  </si>
  <si>
    <t>SFRLTP</t>
  </si>
  <si>
    <t>SFRSTP</t>
  </si>
  <si>
    <t>SMMF</t>
  </si>
  <si>
    <t>SPLDF</t>
  </si>
  <si>
    <t>SPMON</t>
  </si>
  <si>
    <t>SPSDF</t>
  </si>
  <si>
    <t>SPUSDF</t>
  </si>
  <si>
    <t>SUNBDS</t>
  </si>
  <si>
    <t>SUNMIA</t>
  </si>
  <si>
    <t>SUNONF</t>
  </si>
  <si>
    <t>YTM (%)</t>
  </si>
  <si>
    <t>Direct Plan - Quarterly IDCW</t>
  </si>
  <si>
    <t>Regular Plan - Quarterly IDCW</t>
  </si>
  <si>
    <t>Direct Plan - Monthly IDCW</t>
  </si>
  <si>
    <t>Regular Plan - Monthly IDCW</t>
  </si>
  <si>
    <t>Regular Plan - IDCW</t>
  </si>
  <si>
    <t>Fortnightly Portfolio Statement as on 15 August 2025</t>
  </si>
  <si>
    <t>CRISIL-A1+</t>
  </si>
  <si>
    <t>INE071G14HB6</t>
  </si>
  <si>
    <t>ICICI Home Finance Company Ltd - 18/11/2025**</t>
  </si>
  <si>
    <t>PNB Housing Finance Ltd - 17/11/2025**</t>
  </si>
  <si>
    <t>Canara Bank - 20/08/2025**</t>
  </si>
  <si>
    <t>Axis Bank Ltd - 10/10/2025**</t>
  </si>
  <si>
    <t>IDFC First Bank Ltd - 23/09/2025**</t>
  </si>
  <si>
    <t>Indian Bank - 16/10/2025**</t>
  </si>
  <si>
    <t>Indian Overseas Bank - 09/09/2025**</t>
  </si>
  <si>
    <t>HDFC Bank Ltd - 19/09/2025**</t>
  </si>
  <si>
    <t>Indian Bank - 06/11/2025**</t>
  </si>
  <si>
    <t>Bank of Baroda - 04/09/2025**</t>
  </si>
  <si>
    <t>Bank of Baroda - 12/09/2025**</t>
  </si>
  <si>
    <t>Canara Bank - 18/09/2025**</t>
  </si>
  <si>
    <t>Bank of Baroda - 18/09/2025**</t>
  </si>
  <si>
    <t>Kotak Mahindra Bank Ltd - 22/08/2025**</t>
  </si>
  <si>
    <t>Canara Bank - 22/08/2025**</t>
  </si>
  <si>
    <t>HDFC Bank Ltd - 22/08/2025**</t>
  </si>
  <si>
    <t>Kotak Mahindra Bank Ltd - 26/08/2025**</t>
  </si>
  <si>
    <t>Punjab National Bank - 04/09/2025**</t>
  </si>
  <si>
    <t>Bank of India - 10/09/2025**</t>
  </si>
  <si>
    <t>Indian Bank - 20/08/2025**</t>
  </si>
  <si>
    <t>Canara Bank - 26/08/2025**</t>
  </si>
  <si>
    <t>Hinduja Leyland Finance Ltd - 8.4% - 06/05/2027**</t>
  </si>
  <si>
    <t>Power Finance Corporation Ltd - 7.13% - 15/07/2026**</t>
  </si>
  <si>
    <t>Cholamandalam Investment and Finance Company Ltd - 28/05/2026**</t>
  </si>
  <si>
    <t>L &amp; T Finance Ltd - 09/06/2026**</t>
  </si>
  <si>
    <t>Small Industries Development Bank of India - 11/03/2026**</t>
  </si>
  <si>
    <t>The Federal Bank Ltd - 25/11/2025**</t>
  </si>
  <si>
    <t>IndusInd Bank Ltd - 04/02/2026**</t>
  </si>
  <si>
    <t>Canara Bank - 03/02/2026**</t>
  </si>
  <si>
    <t>Union Bank of India - 04/12/2025**</t>
  </si>
  <si>
    <t>The Federal Bank Ltd - 28/11/2025**</t>
  </si>
  <si>
    <t>Small Industries Development Bank of India - 05/12/2025**</t>
  </si>
  <si>
    <t>LIC Housing Finance Ltd - 7.38% - 18/08/2025**</t>
  </si>
  <si>
    <t>Muthoot Finance Ltd - 8.6% - 25/08/2025**</t>
  </si>
  <si>
    <t>Axis Bank Ltd - 04/09/2025</t>
  </si>
  <si>
    <t>Small Industries Development Bank of India - 07/11/2025</t>
  </si>
  <si>
    <t>ICICI Home Finance Company Ltd - 8.061% - 25/03/2026**</t>
  </si>
  <si>
    <t>Small Industries Development Bank of India - 7.55% - 22/09/2026**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</si>
</sst>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dd/mmm/yyyy"/>
  </numFmts>
  <fonts count="35"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charset val="1"/>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b/>
      <sz val="10"/>
      <color theme="1"/>
      <name val="Calibri"/>
      <family val="2"/>
    </font>
    <font>
      <sz val="10"/>
      <color theme="1"/>
      <name val="Calibri"/>
      <family val="2"/>
    </font>
    <font>
      <sz val="11"/>
      <name val="Aptos Narrow"/>
      <family val="2"/>
      <scheme val="minor"/>
    </font>
    <font>
      <b/>
      <sz val="11"/>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s>
  <fills count="2">
    <fill>
      <patternFill patternType="none"/>
    </fill>
    <fill>
      <patternFill patternType="gray125"/>
    </fill>
  </fills>
  <borders count="2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2">
    <xf numFmtId="0" fontId="0" fillId="0" borderId="0">
      <alignment wrapText="1"/>
    </xf>
    <xf numFmtId="9" fontId="5" fillId="0" borderId="0" applyFont="0" applyFill="0" applyBorder="0" applyAlignment="0" applyProtection="0"/>
    <xf numFmtId="164" fontId="6" fillId="0" borderId="0" applyFont="0" applyFill="0" applyBorder="0" applyAlignment="0" applyProtection="0"/>
    <xf numFmtId="0" fontId="8" fillId="0" borderId="0" applyNumberFormat="0" applyFill="0" applyBorder="0" applyAlignment="0" applyProtection="0">
      <alignment wrapText="1"/>
    </xf>
    <xf numFmtId="0" fontId="6" fillId="0" borderId="0">
      <alignment wrapText="1"/>
    </xf>
    <xf numFmtId="0" fontId="1" fillId="0" borderId="0"/>
    <xf numFmtId="164" fontId="6" fillId="0" borderId="0" applyFont="0" applyFill="0" applyBorder="0" applyAlignment="0" applyProtection="0"/>
    <xf numFmtId="9" fontId="18" fillId="0" borderId="0" applyFont="0" applyFill="0" applyBorder="0" applyAlignment="0" applyProtection="0"/>
    <xf numFmtId="164" fontId="6" fillId="0" borderId="0" applyFont="0" applyFill="0" applyBorder="0" applyAlignment="0" applyProtection="0"/>
    <xf numFmtId="0" fontId="1" fillId="0" borderId="0"/>
    <xf numFmtId="0" fontId="1" fillId="0" borderId="0"/>
    <xf numFmtId="0" fontId="1" fillId="0" borderId="0"/>
  </cellStyleXfs>
  <cellXfs count="214">
    <xf numFmtId="0" fontId="0" fillId="0" borderId="0" xfId="0">
      <alignment wrapText="1"/>
    </xf>
    <xf numFmtId="0" fontId="9" fillId="0" borderId="0" xfId="3" applyFont="1" applyFill="1" applyBorder="1" applyAlignment="1">
      <alignment horizontal="center" vertical="center" wrapText="1"/>
    </xf>
    <xf numFmtId="4" fontId="17" fillId="0" borderId="10" xfId="7" applyNumberFormat="1" applyFont="1" applyFill="1" applyBorder="1"/>
    <xf numFmtId="4" fontId="17" fillId="0" borderId="0" xfId="7" applyNumberFormat="1" applyFont="1" applyFill="1" applyBorder="1"/>
    <xf numFmtId="164" fontId="17" fillId="0" borderId="10" xfId="8" applyFont="1" applyFill="1" applyBorder="1"/>
    <xf numFmtId="164" fontId="17" fillId="0" borderId="0" xfId="6" applyFont="1" applyFill="1" applyBorder="1"/>
    <xf numFmtId="0" fontId="30" fillId="0" borderId="10" xfId="5" applyFont="1" applyBorder="1" applyAlignment="1">
      <alignment horizontal="center"/>
    </xf>
    <xf numFmtId="0" fontId="31" fillId="0" borderId="10" xfId="5" applyFont="1" applyBorder="1" applyAlignment="1">
      <alignment horizontal="center" vertical="center"/>
    </xf>
    <xf numFmtId="0" fontId="32" fillId="0" borderId="0" xfId="11" applyFont="1"/>
    <xf numFmtId="0" fontId="32" fillId="0" borderId="10" xfId="5" applyFont="1" applyBorder="1" applyAlignment="1">
      <alignment horizontal="center"/>
    </xf>
    <xf numFmtId="0" fontId="33" fillId="0" borderId="10" xfId="3" applyFont="1" applyFill="1" applyBorder="1" applyAlignment="1">
      <alignment vertical="center"/>
    </xf>
    <xf numFmtId="0" fontId="34" fillId="0" borderId="10" xfId="5" applyFont="1" applyBorder="1" applyAlignment="1">
      <alignment vertical="top"/>
    </xf>
    <xf numFmtId="0" fontId="7" fillId="0" borderId="7" xfId="0" applyFont="1" applyBorder="1" applyAlignment="1">
      <alignment horizontal="center" vertical="center" wrapText="1" readingOrder="1"/>
    </xf>
    <xf numFmtId="164" fontId="7" fillId="0" borderId="7" xfId="2" applyFont="1" applyFill="1" applyBorder="1" applyAlignment="1">
      <alignment horizontal="center" vertical="center" wrapText="1" readingOrder="1"/>
    </xf>
    <xf numFmtId="0" fontId="0" fillId="0" borderId="0" xfId="0" applyAlignment="1">
      <alignment horizontal="center" vertical="center" wrapText="1"/>
    </xf>
    <xf numFmtId="0" fontId="10" fillId="0" borderId="4" xfId="0" applyFont="1" applyBorder="1" applyAlignment="1">
      <alignment horizontal="right" vertical="top" wrapText="1" readingOrder="1"/>
    </xf>
    <xf numFmtId="0" fontId="11" fillId="0" borderId="4" xfId="0" applyFont="1" applyBorder="1" applyAlignment="1">
      <alignment horizontal="left" vertical="center" wrapText="1" readingOrder="1"/>
    </xf>
    <xf numFmtId="166" fontId="10" fillId="0" borderId="8" xfId="0" applyNumberFormat="1" applyFont="1" applyBorder="1" applyAlignment="1">
      <alignment horizontal="right"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0" fontId="12" fillId="0" borderId="4" xfId="0" applyFont="1" applyBorder="1" applyAlignment="1">
      <alignment horizontal="left" vertical="center" wrapText="1" readingOrder="1"/>
    </xf>
    <xf numFmtId="0" fontId="12" fillId="0" borderId="4" xfId="0" applyFont="1" applyBorder="1" applyAlignment="1">
      <alignment horizontal="right" vertical="center" wrapText="1" readingOrder="1"/>
    </xf>
    <xf numFmtId="0" fontId="6" fillId="0" borderId="0" xfId="4">
      <alignment wrapText="1"/>
    </xf>
    <xf numFmtId="0" fontId="13" fillId="0" borderId="0" xfId="0" applyFont="1">
      <alignment wrapText="1"/>
    </xf>
    <xf numFmtId="167" fontId="10"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169" fontId="10"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2" fillId="0" borderId="0" xfId="0" applyFont="1" applyAlignment="1">
      <alignment horizontal="left" vertical="center" wrapText="1" readingOrder="1"/>
    </xf>
    <xf numFmtId="0" fontId="10" fillId="0" borderId="0" xfId="0" applyFont="1" applyAlignment="1">
      <alignment horizontal="left" vertical="center" wrapText="1" readingOrder="1"/>
    </xf>
    <xf numFmtId="0" fontId="12" fillId="0" borderId="0" xfId="0" applyFont="1" applyAlignment="1">
      <alignment horizontal="right" vertical="center" wrapText="1" readingOrder="1"/>
    </xf>
    <xf numFmtId="0" fontId="12" fillId="0" borderId="6" xfId="0" applyFont="1" applyBorder="1" applyAlignment="1">
      <alignment horizontal="right" vertical="center" wrapText="1" readingOrder="1"/>
    </xf>
    <xf numFmtId="0" fontId="10" fillId="0" borderId="0" xfId="0" applyFont="1" applyAlignment="1">
      <alignment horizontal="right" vertical="top" wrapText="1" readingOrder="1"/>
    </xf>
    <xf numFmtId="0" fontId="11" fillId="0" borderId="9" xfId="0" applyFont="1" applyBorder="1" applyAlignment="1">
      <alignment horizontal="right" vertical="top" wrapText="1" readingOrder="1"/>
    </xf>
    <xf numFmtId="0" fontId="2" fillId="0" borderId="0" xfId="0" applyFont="1" applyAlignment="1">
      <alignment horizontal="right" vertical="top" wrapText="1" readingOrder="1"/>
    </xf>
    <xf numFmtId="0" fontId="11" fillId="0" borderId="4" xfId="0" applyFont="1" applyBorder="1" applyAlignment="1">
      <alignment horizontal="left" vertical="top" wrapText="1" readingOrder="1"/>
    </xf>
    <xf numFmtId="173" fontId="11" fillId="0" borderId="4" xfId="0" applyNumberFormat="1" applyFont="1" applyBorder="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10" fillId="0" borderId="5" xfId="0" applyFont="1" applyBorder="1" applyAlignment="1">
      <alignment horizontal="left" vertical="center" wrapText="1" readingOrder="1"/>
    </xf>
    <xf numFmtId="0" fontId="11" fillId="0" borderId="5" xfId="0" applyFont="1" applyBorder="1" applyAlignment="1">
      <alignment horizontal="left" vertical="center" wrapText="1" readingOrder="1"/>
    </xf>
    <xf numFmtId="0" fontId="10" fillId="0" borderId="0" xfId="0" applyFont="1" applyAlignment="1">
      <alignment horizontal="right" vertical="center" wrapText="1" readingOrder="1"/>
    </xf>
    <xf numFmtId="0" fontId="10" fillId="0" borderId="6" xfId="0" applyFont="1" applyBorder="1" applyAlignment="1">
      <alignment horizontal="right" vertical="top" wrapText="1" readingOrder="1"/>
    </xf>
    <xf numFmtId="0" fontId="0" fillId="0" borderId="0" xfId="0" applyAlignment="1">
      <alignment horizontal="center" vertical="top" readingOrder="1"/>
    </xf>
    <xf numFmtId="0" fontId="13" fillId="0" borderId="0" xfId="0" applyFont="1" applyAlignment="1">
      <alignment vertical="center" wrapText="1"/>
    </xf>
    <xf numFmtId="0" fontId="14" fillId="0" borderId="10" xfId="0" applyFont="1" applyBorder="1" applyAlignment="1">
      <alignment horizontal="center" vertical="center" wrapText="1"/>
    </xf>
    <xf numFmtId="0" fontId="13" fillId="0" borderId="10" xfId="0" applyFont="1" applyBorder="1" applyAlignment="1">
      <alignment vertical="center" wrapText="1"/>
    </xf>
    <xf numFmtId="0" fontId="13" fillId="0" borderId="10" xfId="0" applyFont="1" applyBorder="1" applyAlignment="1">
      <alignment horizontal="justify" vertical="center" wrapText="1"/>
    </xf>
    <xf numFmtId="172" fontId="11" fillId="0" borderId="4" xfId="0" applyNumberFormat="1" applyFont="1" applyBorder="1" applyAlignment="1">
      <alignment horizontal="left" vertical="center" wrapText="1" readingOrder="1"/>
    </xf>
    <xf numFmtId="174" fontId="11" fillId="0" borderId="4" xfId="0" quotePrefix="1" applyNumberFormat="1" applyFont="1" applyBorder="1" applyAlignment="1">
      <alignment horizontal="left" vertical="center" wrapText="1" readingOrder="1"/>
    </xf>
    <xf numFmtId="0" fontId="0" fillId="0" borderId="0" xfId="0" applyAlignment="1">
      <alignment vertical="center" wrapText="1"/>
    </xf>
    <xf numFmtId="0" fontId="15" fillId="0" borderId="0" xfId="0" applyFont="1">
      <alignment wrapText="1"/>
    </xf>
    <xf numFmtId="0" fontId="15" fillId="0" borderId="0" xfId="0" applyFont="1" applyAlignment="1"/>
    <xf numFmtId="0" fontId="0" fillId="0" borderId="0" xfId="0" applyAlignment="1"/>
    <xf numFmtId="0" fontId="11" fillId="0" borderId="10" xfId="0" applyFont="1" applyBorder="1" applyAlignment="1">
      <alignment horizontal="left" vertical="center" wrapText="1" readingOrder="1"/>
    </xf>
    <xf numFmtId="0" fontId="11" fillId="0" borderId="21" xfId="0" applyFont="1" applyBorder="1" applyAlignment="1">
      <alignment horizontal="left" vertical="center" wrapText="1" readingOrder="1"/>
    </xf>
    <xf numFmtId="174" fontId="11" fillId="0" borderId="4" xfId="0" applyNumberFormat="1" applyFont="1" applyBorder="1" applyAlignment="1">
      <alignment horizontal="left" vertical="center" wrapText="1" readingOrder="1"/>
    </xf>
    <xf numFmtId="164" fontId="0" fillId="0" borderId="0" xfId="6" applyFont="1" applyFill="1" applyAlignment="1">
      <alignment wrapText="1"/>
    </xf>
    <xf numFmtId="168" fontId="10" fillId="0" borderId="4" xfId="0" applyNumberFormat="1" applyFont="1" applyBorder="1" applyAlignment="1">
      <alignment horizontal="right" vertical="center" wrapText="1" readingOrder="1"/>
    </xf>
    <xf numFmtId="0" fontId="15" fillId="0" borderId="0" xfId="0" applyFont="1" applyAlignment="1">
      <alignment horizontal="center" vertical="center" wrapText="1"/>
    </xf>
    <xf numFmtId="14" fontId="13" fillId="0" borderId="10" xfId="0" quotePrefix="1" applyNumberFormat="1" applyFont="1" applyBorder="1" applyAlignment="1">
      <alignment horizontal="justify" vertical="center" wrapText="1"/>
    </xf>
    <xf numFmtId="0" fontId="16" fillId="0" borderId="10" xfId="5" applyFont="1" applyBorder="1" applyAlignment="1">
      <alignment horizontal="center" vertical="center"/>
    </xf>
    <xf numFmtId="0" fontId="16" fillId="0" borderId="10" xfId="5" applyFont="1" applyBorder="1" applyAlignment="1">
      <alignment horizontal="center" vertical="center" wrapText="1"/>
    </xf>
    <xf numFmtId="0" fontId="6" fillId="0" borderId="0" xfId="4" applyAlignment="1">
      <alignment vertical="center" wrapText="1"/>
    </xf>
    <xf numFmtId="0" fontId="17" fillId="0" borderId="10" xfId="5" applyFont="1" applyBorder="1" applyAlignment="1">
      <alignment vertical="center"/>
    </xf>
    <xf numFmtId="0" fontId="17" fillId="0" borderId="10" xfId="5" applyFont="1" applyBorder="1" applyAlignment="1">
      <alignment wrapText="1"/>
    </xf>
    <xf numFmtId="0" fontId="17" fillId="0" borderId="10" xfId="5" applyFont="1" applyBorder="1"/>
    <xf numFmtId="0" fontId="16" fillId="0" borderId="10" xfId="5" applyFont="1" applyBorder="1" applyAlignment="1">
      <alignment horizontal="center"/>
    </xf>
    <xf numFmtId="4" fontId="17" fillId="0" borderId="10" xfId="5" applyNumberFormat="1" applyFont="1" applyBorder="1"/>
    <xf numFmtId="2" fontId="17" fillId="0" borderId="10" xfId="5" applyNumberFormat="1" applyFont="1" applyBorder="1"/>
    <xf numFmtId="4" fontId="6" fillId="0" borderId="10" xfId="4" applyNumberFormat="1" applyBorder="1">
      <alignment wrapText="1"/>
    </xf>
    <xf numFmtId="0" fontId="19" fillId="0" borderId="0" xfId="0" applyFont="1" applyAlignment="1"/>
    <xf numFmtId="0" fontId="8" fillId="0" borderId="0" xfId="3" applyFill="1" applyAlignment="1"/>
    <xf numFmtId="0" fontId="1" fillId="0" borderId="0" xfId="10" applyAlignment="1">
      <alignment wrapText="1"/>
    </xf>
    <xf numFmtId="0" fontId="26" fillId="0" borderId="10" xfId="10" applyFont="1" applyBorder="1" applyAlignment="1">
      <alignment horizontal="center" vertical="center"/>
    </xf>
    <xf numFmtId="0" fontId="26" fillId="0" borderId="0" xfId="10" applyFont="1" applyAlignment="1">
      <alignment horizontal="center" vertical="center"/>
    </xf>
    <xf numFmtId="0" fontId="27" fillId="0" borderId="10" xfId="10" applyFont="1" applyBorder="1" applyAlignment="1">
      <alignment vertical="center"/>
    </xf>
    <xf numFmtId="0" fontId="27" fillId="0" borderId="10" xfId="10" applyFont="1" applyBorder="1" applyAlignment="1">
      <alignment vertical="center" wrapText="1"/>
    </xf>
    <xf numFmtId="0" fontId="27" fillId="0" borderId="0" xfId="10" applyFont="1" applyAlignment="1">
      <alignment horizontal="center" vertical="center"/>
    </xf>
    <xf numFmtId="0" fontId="28" fillId="0" borderId="0" xfId="10" applyFont="1" applyAlignment="1">
      <alignment wrapText="1"/>
    </xf>
    <xf numFmtId="0" fontId="26" fillId="0" borderId="10" xfId="10" applyFont="1" applyBorder="1" applyAlignment="1">
      <alignment horizontal="center" vertical="center" wrapText="1"/>
    </xf>
    <xf numFmtId="0" fontId="29" fillId="0" borderId="0" xfId="10" applyFont="1" applyAlignment="1">
      <alignment horizontal="center" vertical="center"/>
    </xf>
    <xf numFmtId="0" fontId="27" fillId="0" borderId="10" xfId="10" applyFont="1" applyBorder="1" applyAlignment="1">
      <alignment horizontal="left" vertical="center"/>
    </xf>
    <xf numFmtId="4" fontId="27" fillId="0" borderId="10" xfId="10" applyNumberFormat="1" applyFont="1" applyBorder="1" applyAlignment="1">
      <alignment horizontal="right" vertical="center"/>
    </xf>
    <xf numFmtId="10" fontId="27" fillId="0" borderId="10" xfId="7" applyNumberFormat="1" applyFont="1" applyFill="1" applyBorder="1" applyAlignment="1">
      <alignment vertical="center"/>
    </xf>
    <xf numFmtId="164" fontId="28" fillId="0" borderId="0" xfId="6" applyFont="1" applyFill="1" applyAlignment="1">
      <alignment vertical="center"/>
    </xf>
    <xf numFmtId="164" fontId="27" fillId="0" borderId="0" xfId="6" applyFont="1" applyFill="1" applyAlignment="1">
      <alignment horizontal="center" vertical="center"/>
    </xf>
    <xf numFmtId="165" fontId="13" fillId="0" borderId="4" xfId="0" applyNumberFormat="1" applyFont="1" applyBorder="1" applyAlignment="1">
      <alignment horizontal="right" vertical="center" wrapText="1" readingOrder="1"/>
    </xf>
    <xf numFmtId="166" fontId="10" fillId="0" borderId="10" xfId="0" applyNumberFormat="1" applyFont="1" applyBorder="1" applyAlignment="1">
      <alignment horizontal="right" vertical="center" wrapText="1" readingOrder="1"/>
    </xf>
    <xf numFmtId="10" fontId="0" fillId="0" borderId="0" xfId="1" applyNumberFormat="1" applyFont="1" applyFill="1" applyAlignment="1">
      <alignment wrapText="1"/>
    </xf>
    <xf numFmtId="0" fontId="12" fillId="0" borderId="10" xfId="0" applyFont="1" applyBorder="1" applyAlignment="1">
      <alignment horizontal="left" vertical="center" wrapText="1" readingOrder="1"/>
    </xf>
    <xf numFmtId="0" fontId="20" fillId="0" borderId="10" xfId="0" applyFont="1" applyBorder="1">
      <alignment wrapText="1"/>
    </xf>
    <xf numFmtId="0" fontId="12" fillId="0" borderId="10" xfId="0" applyFont="1" applyBorder="1" applyAlignment="1">
      <alignment horizontal="right" vertical="center" wrapText="1" readingOrder="1"/>
    </xf>
    <xf numFmtId="0" fontId="0" fillId="0" borderId="10" xfId="0" applyBorder="1">
      <alignment wrapText="1"/>
    </xf>
    <xf numFmtId="0" fontId="10" fillId="0" borderId="4" xfId="0" applyFont="1" applyBorder="1" applyAlignment="1">
      <alignment horizontal="right" vertical="center" wrapText="1" readingOrder="1"/>
    </xf>
    <xf numFmtId="0" fontId="11" fillId="0" borderId="4" xfId="0" applyFont="1" applyBorder="1" applyAlignment="1">
      <alignment horizontal="center" vertical="center" wrapText="1" readingOrder="1"/>
    </xf>
    <xf numFmtId="0" fontId="19" fillId="0" borderId="0" xfId="9" applyFont="1"/>
    <xf numFmtId="0" fontId="0" fillId="0" borderId="0" xfId="0" applyAlignment="1">
      <alignment horizontal="center" vertical="center"/>
    </xf>
    <xf numFmtId="0" fontId="21" fillId="0" borderId="7" xfId="0" applyFont="1" applyBorder="1" applyAlignment="1">
      <alignment horizontal="center" vertical="center" wrapText="1"/>
    </xf>
    <xf numFmtId="0" fontId="22" fillId="0" borderId="7" xfId="0" applyFont="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Alignment="1">
      <alignment vertical="center"/>
    </xf>
    <xf numFmtId="0" fontId="23" fillId="0" borderId="7" xfId="0" applyFont="1" applyBorder="1" applyAlignment="1">
      <alignment vertical="center"/>
    </xf>
    <xf numFmtId="0" fontId="24" fillId="0" borderId="7" xfId="0" applyFont="1" applyBorder="1" applyAlignment="1">
      <alignment vertical="center" wrapText="1"/>
    </xf>
    <xf numFmtId="0" fontId="24" fillId="0" borderId="7" xfId="0" applyFont="1" applyBorder="1" applyAlignment="1">
      <alignment vertical="center"/>
    </xf>
    <xf numFmtId="164" fontId="23" fillId="0" borderId="7" xfId="6" applyFont="1" applyFill="1" applyBorder="1" applyAlignment="1">
      <alignment vertical="center"/>
    </xf>
    <xf numFmtId="175" fontId="23" fillId="0" borderId="7" xfId="0" applyNumberFormat="1" applyFont="1" applyBorder="1" applyAlignment="1">
      <alignment vertical="center"/>
    </xf>
    <xf numFmtId="10" fontId="0" fillId="0" borderId="0" xfId="1" applyNumberFormat="1" applyFont="1" applyFill="1" applyAlignment="1">
      <alignment vertical="center" wrapText="1"/>
    </xf>
    <xf numFmtId="10" fontId="25" fillId="0" borderId="0" xfId="1" applyNumberFormat="1" applyFont="1" applyFill="1" applyAlignment="1"/>
    <xf numFmtId="0" fontId="25" fillId="0" borderId="0" xfId="0" applyFont="1" applyAlignment="1"/>
    <xf numFmtId="0" fontId="14" fillId="0" borderId="0" xfId="0" applyFont="1" applyAlignment="1">
      <alignment vertical="center" readingOrder="1"/>
    </xf>
    <xf numFmtId="4" fontId="13" fillId="0" borderId="10" xfId="0" applyNumberFormat="1" applyFont="1" applyBorder="1" applyAlignment="1">
      <alignment vertical="center"/>
    </xf>
    <xf numFmtId="43" fontId="17" fillId="0" borderId="10" xfId="5" applyNumberFormat="1" applyFont="1" applyBorder="1"/>
    <xf numFmtId="0" fontId="17" fillId="0" borderId="0" xfId="5" applyFont="1"/>
    <xf numFmtId="0" fontId="17" fillId="0" borderId="0" xfId="5" applyFont="1" applyAlignment="1">
      <alignment wrapText="1"/>
    </xf>
    <xf numFmtId="4" fontId="13" fillId="0" borderId="0" xfId="0" applyNumberFormat="1" applyFont="1" applyAlignment="1">
      <alignment vertical="center"/>
    </xf>
    <xf numFmtId="43" fontId="17" fillId="0" borderId="0" xfId="5" applyNumberFormat="1" applyFont="1"/>
    <xf numFmtId="0" fontId="17" fillId="0" borderId="0" xfId="5" applyFont="1" applyAlignment="1">
      <alignment vertical="center" wrapText="1"/>
    </xf>
    <xf numFmtId="0" fontId="19" fillId="0" borderId="0" xfId="0" applyFont="1" applyAlignment="1">
      <alignment horizontal="left" vertical="top" readingOrder="1"/>
    </xf>
    <xf numFmtId="164" fontId="17" fillId="0" borderId="10" xfId="6" applyFont="1" applyFill="1" applyBorder="1"/>
    <xf numFmtId="4" fontId="17" fillId="0" borderId="0" xfId="5" applyNumberFormat="1" applyFont="1"/>
    <xf numFmtId="0" fontId="11" fillId="0" borderId="0" xfId="0" applyFont="1" applyAlignment="1">
      <alignment horizontal="left" vertical="center" wrapText="1" readingOrder="1"/>
    </xf>
    <xf numFmtId="0" fontId="12" fillId="0" borderId="0" xfId="4" applyFont="1" applyAlignment="1">
      <alignment horizontal="left" vertical="center" wrapText="1" readingOrder="1"/>
    </xf>
    <xf numFmtId="0" fontId="11" fillId="0" borderId="10" xfId="0" applyFont="1" applyBorder="1" applyAlignment="1">
      <alignment horizontal="center" vertical="center" wrapText="1" readingOrder="1"/>
    </xf>
    <xf numFmtId="0" fontId="10" fillId="0" borderId="10" xfId="0" applyFont="1" applyBorder="1" applyAlignment="1">
      <alignment horizontal="left"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13" xfId="0" applyFont="1" applyBorder="1" applyAlignment="1">
      <alignment horizontal="center" vertical="center"/>
    </xf>
    <xf numFmtId="0" fontId="10" fillId="0" borderId="0" xfId="0" applyFont="1" applyAlignment="1">
      <alignment horizontal="left" vertical="center" wrapText="1" readingOrder="1"/>
    </xf>
    <xf numFmtId="0" fontId="11" fillId="0" borderId="1" xfId="0" applyFont="1" applyBorder="1" applyAlignment="1">
      <alignment horizontal="left" vertical="center" wrapText="1" readingOrder="1"/>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10" fillId="0" borderId="11" xfId="0" applyFont="1" applyBorder="1" applyAlignment="1">
      <alignment horizontal="left" vertical="center" wrapText="1" readingOrder="1"/>
    </xf>
    <xf numFmtId="0" fontId="10" fillId="0" borderId="13" xfId="0" applyFont="1" applyBorder="1" applyAlignment="1">
      <alignment horizontal="left" vertical="center" wrapText="1" readingOrder="1"/>
    </xf>
    <xf numFmtId="0" fontId="10" fillId="0" borderId="12" xfId="0" applyFont="1" applyBorder="1" applyAlignment="1">
      <alignment horizontal="left" vertical="center" wrapText="1" readingOrder="1"/>
    </xf>
    <xf numFmtId="0" fontId="11" fillId="0" borderId="11"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10" fillId="0" borderId="0" xfId="4" quotePrefix="1" applyFont="1" applyAlignment="1">
      <alignment horizontal="left" vertical="center" wrapText="1" readingOrder="1"/>
    </xf>
    <xf numFmtId="0" fontId="10" fillId="0" borderId="0" xfId="4" applyFont="1" applyAlignment="1">
      <alignment horizontal="left" vertical="center" wrapText="1" readingOrder="1"/>
    </xf>
    <xf numFmtId="0" fontId="10" fillId="0" borderId="14" xfId="0" applyFont="1" applyBorder="1" applyAlignment="1">
      <alignment horizontal="left" vertical="center" wrapText="1" readingOrder="1"/>
    </xf>
    <xf numFmtId="0" fontId="16" fillId="0" borderId="10" xfId="5" applyFont="1" applyBorder="1" applyAlignment="1">
      <alignment horizontal="center" wrapText="1"/>
    </xf>
    <xf numFmtId="0" fontId="16" fillId="0" borderId="10" xfId="5" applyFont="1" applyBorder="1" applyAlignment="1">
      <alignment horizontal="center"/>
    </xf>
    <xf numFmtId="164" fontId="17" fillId="0" borderId="10" xfId="6" applyFont="1" applyFill="1" applyBorder="1" applyAlignment="1">
      <alignment horizontal="center"/>
    </xf>
    <xf numFmtId="0" fontId="17" fillId="0" borderId="10" xfId="5" applyFont="1" applyBorder="1" applyAlignment="1">
      <alignment horizontal="center"/>
    </xf>
    <xf numFmtId="0" fontId="16" fillId="0" borderId="10" xfId="5" applyFont="1" applyBorder="1" applyAlignment="1">
      <alignment horizontal="center" vertical="center"/>
    </xf>
    <xf numFmtId="0" fontId="16" fillId="0" borderId="10" xfId="5" applyFont="1" applyBorder="1" applyAlignment="1">
      <alignment horizontal="center" vertical="center" wrapText="1"/>
    </xf>
    <xf numFmtId="0" fontId="17" fillId="0" borderId="0" xfId="5" applyFont="1" applyAlignment="1">
      <alignment horizontal="justify" vertical="center" wrapText="1"/>
    </xf>
    <xf numFmtId="0" fontId="16" fillId="0" borderId="15" xfId="5" applyFont="1" applyBorder="1" applyAlignment="1">
      <alignment horizontal="center" vertical="center" wrapText="1"/>
    </xf>
    <xf numFmtId="0" fontId="16" fillId="0" borderId="8" xfId="5" applyFont="1" applyBorder="1" applyAlignment="1">
      <alignment horizontal="center" vertical="center" wrapText="1"/>
    </xf>
    <xf numFmtId="0" fontId="16" fillId="0" borderId="15" xfId="5" applyFont="1" applyBorder="1" applyAlignment="1">
      <alignment horizontal="center" vertical="center"/>
    </xf>
    <xf numFmtId="0" fontId="16" fillId="0" borderId="16" xfId="5" applyFont="1" applyBorder="1" applyAlignment="1">
      <alignment horizontal="center" vertical="center"/>
    </xf>
    <xf numFmtId="0" fontId="16" fillId="0" borderId="8" xfId="5" applyFont="1" applyBorder="1" applyAlignment="1">
      <alignment horizontal="center" vertical="center"/>
    </xf>
    <xf numFmtId="0" fontId="16" fillId="0" borderId="11" xfId="5" applyFont="1" applyBorder="1" applyAlignment="1">
      <alignment horizontal="center" vertical="center"/>
    </xf>
    <xf numFmtId="0" fontId="16" fillId="0" borderId="12" xfId="5" applyFont="1" applyBorder="1" applyAlignment="1">
      <alignment horizontal="center" vertical="center"/>
    </xf>
    <xf numFmtId="0" fontId="16" fillId="0" borderId="13" xfId="5" applyFont="1" applyBorder="1" applyAlignment="1">
      <alignment horizontal="center" vertical="center"/>
    </xf>
    <xf numFmtId="0" fontId="16" fillId="0" borderId="11" xfId="5" applyFont="1" applyBorder="1" applyAlignment="1">
      <alignment horizontal="center" vertical="center" wrapText="1"/>
    </xf>
    <xf numFmtId="0" fontId="16" fillId="0" borderId="12" xfId="5" applyFont="1" applyBorder="1" applyAlignment="1">
      <alignment horizontal="center" vertical="center" wrapText="1"/>
    </xf>
    <xf numFmtId="0" fontId="16" fillId="0" borderId="13" xfId="5" applyFont="1" applyBorder="1" applyAlignment="1">
      <alignment horizontal="center" vertical="center" wrapText="1"/>
    </xf>
    <xf numFmtId="0" fontId="16" fillId="0" borderId="17" xfId="5" applyFont="1" applyBorder="1" applyAlignment="1">
      <alignment horizontal="center" vertical="center" wrapText="1"/>
    </xf>
    <xf numFmtId="0" fontId="16" fillId="0" borderId="18" xfId="5" applyFont="1" applyBorder="1" applyAlignment="1">
      <alignment horizontal="center" vertical="center" wrapText="1"/>
    </xf>
    <xf numFmtId="0" fontId="10" fillId="0" borderId="0" xfId="0" quotePrefix="1" applyFont="1" applyAlignment="1">
      <alignment horizontal="left" vertical="center" wrapText="1" readingOrder="1"/>
    </xf>
    <xf numFmtId="0" fontId="19" fillId="0" borderId="0" xfId="0" applyFont="1" applyAlignment="1">
      <alignment horizontal="left" vertical="top" readingOrder="1"/>
    </xf>
    <xf numFmtId="0" fontId="16" fillId="0" borderId="11" xfId="5" applyFont="1" applyBorder="1" applyAlignment="1">
      <alignment horizontal="center" wrapText="1"/>
    </xf>
    <xf numFmtId="0" fontId="16" fillId="0" borderId="12" xfId="5" applyFont="1" applyBorder="1" applyAlignment="1">
      <alignment horizontal="center" wrapText="1"/>
    </xf>
    <xf numFmtId="0" fontId="16" fillId="0" borderId="13" xfId="5" applyFont="1" applyBorder="1" applyAlignment="1">
      <alignment horizontal="center" wrapText="1"/>
    </xf>
    <xf numFmtId="0" fontId="16" fillId="0" borderId="11" xfId="5" applyFont="1" applyBorder="1" applyAlignment="1">
      <alignment horizontal="center"/>
    </xf>
    <xf numFmtId="0" fontId="16" fillId="0" borderId="13" xfId="5" applyFont="1" applyBorder="1" applyAlignment="1">
      <alignment horizontal="center"/>
    </xf>
    <xf numFmtId="164" fontId="17" fillId="0" borderId="11" xfId="6" applyFont="1" applyFill="1" applyBorder="1" applyAlignment="1">
      <alignment horizontal="center"/>
    </xf>
    <xf numFmtId="164" fontId="17" fillId="0" borderId="12" xfId="6" applyFont="1" applyFill="1" applyBorder="1" applyAlignment="1">
      <alignment horizontal="center"/>
    </xf>
    <xf numFmtId="164" fontId="17" fillId="0" borderId="13" xfId="6" applyFont="1" applyFill="1" applyBorder="1" applyAlignment="1">
      <alignment horizontal="center"/>
    </xf>
    <xf numFmtId="0" fontId="17" fillId="0" borderId="0" xfId="5" applyFont="1" applyAlignment="1">
      <alignment horizontal="center"/>
    </xf>
    <xf numFmtId="0" fontId="16" fillId="0" borderId="0" xfId="5" applyFont="1" applyAlignment="1">
      <alignment horizontal="center"/>
    </xf>
    <xf numFmtId="0" fontId="17" fillId="0" borderId="0" xfId="5" applyFont="1" applyAlignment="1">
      <alignment horizontal="left" vertical="center" wrapText="1"/>
    </xf>
    <xf numFmtId="0" fontId="10" fillId="0" borderId="0" xfId="0" applyFont="1" applyAlignment="1">
      <alignment horizontal="justify" vertical="top" wrapText="1" readingOrder="1"/>
    </xf>
    <xf numFmtId="0" fontId="27" fillId="0" borderId="11" xfId="10" applyFont="1" applyBorder="1" applyAlignment="1">
      <alignment horizontal="left" vertical="center" wrapText="1"/>
    </xf>
    <xf numFmtId="0" fontId="27" fillId="0" borderId="12" xfId="10" applyFont="1" applyBorder="1" applyAlignment="1">
      <alignment horizontal="left" vertical="center" wrapText="1"/>
    </xf>
    <xf numFmtId="0" fontId="27" fillId="0" borderId="13" xfId="10" applyFont="1" applyBorder="1" applyAlignment="1">
      <alignment horizontal="left" vertical="center" wrapText="1"/>
    </xf>
    <xf numFmtId="0" fontId="26" fillId="0" borderId="11" xfId="10" applyFont="1" applyBorder="1" applyAlignment="1">
      <alignment horizontal="center" vertical="center"/>
    </xf>
    <xf numFmtId="0" fontId="26" fillId="0" borderId="12" xfId="10" applyFont="1" applyBorder="1" applyAlignment="1">
      <alignment horizontal="center" vertical="center"/>
    </xf>
    <xf numFmtId="0" fontId="26" fillId="0" borderId="13" xfId="10" applyFont="1" applyBorder="1" applyAlignment="1">
      <alignment horizontal="center" vertical="center"/>
    </xf>
    <xf numFmtId="0" fontId="26" fillId="0" borderId="10" xfId="10" applyFont="1" applyBorder="1" applyAlignment="1">
      <alignment horizontal="center" vertical="center"/>
    </xf>
    <xf numFmtId="0" fontId="14" fillId="0" borderId="11" xfId="0" applyFont="1" applyBorder="1" applyAlignment="1">
      <alignment horizontal="left" vertical="center" readingOrder="1"/>
    </xf>
    <xf numFmtId="0" fontId="14" fillId="0" borderId="12" xfId="0" applyFont="1" applyBorder="1" applyAlignment="1">
      <alignment horizontal="left" vertical="center" readingOrder="1"/>
    </xf>
    <xf numFmtId="0" fontId="14" fillId="0" borderId="13" xfId="0" applyFont="1" applyBorder="1" applyAlignment="1">
      <alignment horizontal="left" vertical="center" readingOrder="1"/>
    </xf>
    <xf numFmtId="0" fontId="26" fillId="0" borderId="11" xfId="10" applyFont="1" applyBorder="1" applyAlignment="1">
      <alignment horizontal="center" vertical="center" wrapText="1"/>
    </xf>
    <xf numFmtId="0" fontId="26" fillId="0" borderId="13" xfId="10" applyFont="1" applyBorder="1" applyAlignment="1">
      <alignment horizontal="center" vertical="center" wrapText="1"/>
    </xf>
    <xf numFmtId="164" fontId="27" fillId="0" borderId="11" xfId="6" applyFont="1" applyFill="1" applyBorder="1" applyAlignment="1">
      <alignment horizontal="center" vertical="center"/>
    </xf>
    <xf numFmtId="164" fontId="27" fillId="0" borderId="13" xfId="6" applyFont="1" applyFill="1" applyBorder="1" applyAlignment="1">
      <alignment horizontal="center" vertical="center"/>
    </xf>
    <xf numFmtId="0" fontId="19" fillId="0" borderId="10" xfId="0" applyFont="1" applyBorder="1" applyAlignment="1">
      <alignment horizontal="left" vertical="top" readingOrder="1"/>
    </xf>
    <xf numFmtId="0" fontId="10" fillId="0" borderId="19" xfId="0" applyFont="1" applyBorder="1" applyAlignment="1">
      <alignment horizontal="left" vertical="center" wrapText="1" readingOrder="1"/>
    </xf>
    <xf numFmtId="0" fontId="10" fillId="0" borderId="20" xfId="0" applyFont="1" applyBorder="1" applyAlignment="1">
      <alignment horizontal="left" vertical="center" wrapText="1" readingOrder="1"/>
    </xf>
  </cellXfs>
  <cellStyles count="12">
    <cellStyle name="Comma 2" xfId="6" xr:uid="{3ADB146F-F823-4231-A5C0-4A570936D9A9}"/>
    <cellStyle name="Comma 2 2" xfId="8" xr:uid="{3048D3D8-7525-48D9-B962-6F736932593C}"/>
    <cellStyle name="Comma 3" xfId="2" xr:uid="{0B464943-0870-4871-ABE2-B73D925C9DAD}"/>
    <cellStyle name="Hyperlink 2" xfId="3" xr:uid="{CCEBC08D-9F86-4E84-B1AE-5E13CD1164D7}"/>
    <cellStyle name="Normal" xfId="0" builtinId="0"/>
    <cellStyle name="Normal 2 2 2" xfId="5" xr:uid="{E1C3341B-8C7A-4F35-84D6-C9E82368F442}"/>
    <cellStyle name="Normal 2 2 3" xfId="10" xr:uid="{F46FB3C2-361A-4E41-BC75-D605DF4BA1CE}"/>
    <cellStyle name="Normal 2 3" xfId="11" xr:uid="{C460C82B-4482-4A84-81FE-B3CBD04A7D1A}"/>
    <cellStyle name="Normal 3" xfId="4" xr:uid="{8EF232E9-D4B1-4A39-A386-14A8077FC2FB}"/>
    <cellStyle name="Normal 4" xfId="9" xr:uid="{34D81E39-5C5D-4A57-9379-1293374EDE60}"/>
    <cellStyle name="Percent" xfId="1" builtinId="5"/>
    <cellStyle name="Percent 2" xfId="7" xr:uid="{A0233A22-8BE8-4DF8-89A2-A50775FDAE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0</xdr:colOff>
      <xdr:row>148</xdr:row>
      <xdr:rowOff>0</xdr:rowOff>
    </xdr:from>
    <xdr:to>
      <xdr:col>2</xdr:col>
      <xdr:colOff>2095500</xdr:colOff>
      <xdr:row>149</xdr:row>
      <xdr:rowOff>27375</xdr:rowOff>
    </xdr:to>
    <xdr:pic>
      <xdr:nvPicPr>
        <xdr:cNvPr id="2" name="Picture 1">
          <a:extLst>
            <a:ext uri="{FF2B5EF4-FFF2-40B4-BE49-F238E27FC236}">
              <a16:creationId xmlns:a16="http://schemas.microsoft.com/office/drawing/2014/main" id="{45DF552E-E0A0-40F3-B6FB-E220F01C26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041475"/>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153</xdr:row>
      <xdr:rowOff>0</xdr:rowOff>
    </xdr:from>
    <xdr:to>
      <xdr:col>2</xdr:col>
      <xdr:colOff>2047873</xdr:colOff>
      <xdr:row>153</xdr:row>
      <xdr:rowOff>1980000</xdr:rowOff>
    </xdr:to>
    <xdr:pic>
      <xdr:nvPicPr>
        <xdr:cNvPr id="4" name="Picture 3">
          <a:extLst>
            <a:ext uri="{FF2B5EF4-FFF2-40B4-BE49-F238E27FC236}">
              <a16:creationId xmlns:a16="http://schemas.microsoft.com/office/drawing/2014/main" id="{D00362CD-FAB9-4AB2-92AF-B698D5D14D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289500"/>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153</xdr:row>
      <xdr:rowOff>0</xdr:rowOff>
    </xdr:from>
    <xdr:to>
      <xdr:col>2</xdr:col>
      <xdr:colOff>1809751</xdr:colOff>
      <xdr:row>165</xdr:row>
      <xdr:rowOff>36900</xdr:rowOff>
    </xdr:to>
    <xdr:pic>
      <xdr:nvPicPr>
        <xdr:cNvPr id="2" name="Picture 1">
          <a:extLst>
            <a:ext uri="{FF2B5EF4-FFF2-40B4-BE49-F238E27FC236}">
              <a16:creationId xmlns:a16="http://schemas.microsoft.com/office/drawing/2014/main" id="{659FC1F0-E404-4D38-81ED-4A64ADAEA5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29889450"/>
          <a:ext cx="30956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148</xdr:row>
      <xdr:rowOff>0</xdr:rowOff>
    </xdr:from>
    <xdr:to>
      <xdr:col>2</xdr:col>
      <xdr:colOff>1790700</xdr:colOff>
      <xdr:row>148</xdr:row>
      <xdr:rowOff>1980000</xdr:rowOff>
    </xdr:to>
    <xdr:pic>
      <xdr:nvPicPr>
        <xdr:cNvPr id="3" name="Picture 2">
          <a:extLst>
            <a:ext uri="{FF2B5EF4-FFF2-40B4-BE49-F238E27FC236}">
              <a16:creationId xmlns:a16="http://schemas.microsoft.com/office/drawing/2014/main" id="{FA8EC39D-22AA-4410-8BDD-9CE21DBA0AA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108150"/>
          <a:ext cx="30765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172</xdr:row>
      <xdr:rowOff>0</xdr:rowOff>
    </xdr:from>
    <xdr:to>
      <xdr:col>2</xdr:col>
      <xdr:colOff>2100764</xdr:colOff>
      <xdr:row>173</xdr:row>
      <xdr:rowOff>27375</xdr:rowOff>
    </xdr:to>
    <xdr:pic>
      <xdr:nvPicPr>
        <xdr:cNvPr id="2" name="Picture 1">
          <a:extLst>
            <a:ext uri="{FF2B5EF4-FFF2-40B4-BE49-F238E27FC236}">
              <a16:creationId xmlns:a16="http://schemas.microsoft.com/office/drawing/2014/main" id="{291B2F9D-EFD0-49F9-9A56-5AA905A607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9276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178</xdr:row>
      <xdr:rowOff>0</xdr:rowOff>
    </xdr:from>
    <xdr:to>
      <xdr:col>2</xdr:col>
      <xdr:colOff>2100764</xdr:colOff>
      <xdr:row>178</xdr:row>
      <xdr:rowOff>1980000</xdr:rowOff>
    </xdr:to>
    <xdr:pic>
      <xdr:nvPicPr>
        <xdr:cNvPr id="3" name="Picture 2">
          <a:extLst>
            <a:ext uri="{FF2B5EF4-FFF2-40B4-BE49-F238E27FC236}">
              <a16:creationId xmlns:a16="http://schemas.microsoft.com/office/drawing/2014/main" id="{A9F7DB9C-09D9-48F8-B5FC-93251157CD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6899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178</xdr:row>
      <xdr:rowOff>200025</xdr:rowOff>
    </xdr:from>
    <xdr:to>
      <xdr:col>2</xdr:col>
      <xdr:colOff>2305050</xdr:colOff>
      <xdr:row>178</xdr:row>
      <xdr:rowOff>2180025</xdr:rowOff>
    </xdr:to>
    <xdr:pic>
      <xdr:nvPicPr>
        <xdr:cNvPr id="2" name="Picture 1">
          <a:extLst>
            <a:ext uri="{FF2B5EF4-FFF2-40B4-BE49-F238E27FC236}">
              <a16:creationId xmlns:a16="http://schemas.microsoft.com/office/drawing/2014/main" id="{6622FEAD-593B-4D8A-88F8-CBF730F146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880800"/>
          <a:ext cx="359092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173</xdr:row>
      <xdr:rowOff>0</xdr:rowOff>
    </xdr:from>
    <xdr:to>
      <xdr:col>2</xdr:col>
      <xdr:colOff>2286000</xdr:colOff>
      <xdr:row>174</xdr:row>
      <xdr:rowOff>151200</xdr:rowOff>
    </xdr:to>
    <xdr:pic>
      <xdr:nvPicPr>
        <xdr:cNvPr id="3" name="Picture 2">
          <a:extLst>
            <a:ext uri="{FF2B5EF4-FFF2-40B4-BE49-F238E27FC236}">
              <a16:creationId xmlns:a16="http://schemas.microsoft.com/office/drawing/2014/main" id="{89B9486E-C995-4A1D-A821-3881001F2E4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6725" y="3408045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214</xdr:row>
      <xdr:rowOff>0</xdr:rowOff>
    </xdr:from>
    <xdr:to>
      <xdr:col>2</xdr:col>
      <xdr:colOff>2100764</xdr:colOff>
      <xdr:row>214</xdr:row>
      <xdr:rowOff>1980000</xdr:rowOff>
    </xdr:to>
    <xdr:pic>
      <xdr:nvPicPr>
        <xdr:cNvPr id="3" name="Picture 2">
          <a:extLst>
            <a:ext uri="{FF2B5EF4-FFF2-40B4-BE49-F238E27FC236}">
              <a16:creationId xmlns:a16="http://schemas.microsoft.com/office/drawing/2014/main" id="{3263F7C8-79EE-40F9-9C6B-DBE049D845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576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209</xdr:row>
      <xdr:rowOff>0</xdr:rowOff>
    </xdr:from>
    <xdr:to>
      <xdr:col>2</xdr:col>
      <xdr:colOff>2095500</xdr:colOff>
      <xdr:row>210</xdr:row>
      <xdr:rowOff>27375</xdr:rowOff>
    </xdr:to>
    <xdr:pic>
      <xdr:nvPicPr>
        <xdr:cNvPr id="4" name="Picture 3">
          <a:extLst>
            <a:ext uri="{FF2B5EF4-FFF2-40B4-BE49-F238E27FC236}">
              <a16:creationId xmlns:a16="http://schemas.microsoft.com/office/drawing/2014/main" id="{AF830C2A-5671-4ED5-8B69-44D6B30818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4046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162</xdr:row>
      <xdr:rowOff>0</xdr:rowOff>
    </xdr:from>
    <xdr:to>
      <xdr:col>2</xdr:col>
      <xdr:colOff>2095500</xdr:colOff>
      <xdr:row>163</xdr:row>
      <xdr:rowOff>27375</xdr:rowOff>
    </xdr:to>
    <xdr:pic>
      <xdr:nvPicPr>
        <xdr:cNvPr id="2" name="Picture 1">
          <a:extLst>
            <a:ext uri="{FF2B5EF4-FFF2-40B4-BE49-F238E27FC236}">
              <a16:creationId xmlns:a16="http://schemas.microsoft.com/office/drawing/2014/main" id="{2249633F-312A-4C6F-9676-7D4CD2F3C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89922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167</xdr:row>
      <xdr:rowOff>0</xdr:rowOff>
    </xdr:from>
    <xdr:to>
      <xdr:col>2</xdr:col>
      <xdr:colOff>2100765</xdr:colOff>
      <xdr:row>167</xdr:row>
      <xdr:rowOff>1980000</xdr:rowOff>
    </xdr:to>
    <xdr:pic>
      <xdr:nvPicPr>
        <xdr:cNvPr id="3" name="Picture 2">
          <a:extLst>
            <a:ext uri="{FF2B5EF4-FFF2-40B4-BE49-F238E27FC236}">
              <a16:creationId xmlns:a16="http://schemas.microsoft.com/office/drawing/2014/main" id="{D00E5FAB-A8DB-4AB3-BFD3-9E54E12CB2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44995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202</xdr:row>
      <xdr:rowOff>0</xdr:rowOff>
    </xdr:from>
    <xdr:to>
      <xdr:col>2</xdr:col>
      <xdr:colOff>2100764</xdr:colOff>
      <xdr:row>202</xdr:row>
      <xdr:rowOff>1980000</xdr:rowOff>
    </xdr:to>
    <xdr:pic>
      <xdr:nvPicPr>
        <xdr:cNvPr id="2" name="Picture 1">
          <a:extLst>
            <a:ext uri="{FF2B5EF4-FFF2-40B4-BE49-F238E27FC236}">
              <a16:creationId xmlns:a16="http://schemas.microsoft.com/office/drawing/2014/main" id="{0BA41CD5-C952-4AAD-B816-62E80BB05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5672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196</xdr:row>
      <xdr:rowOff>0</xdr:rowOff>
    </xdr:from>
    <xdr:to>
      <xdr:col>2</xdr:col>
      <xdr:colOff>2100764</xdr:colOff>
      <xdr:row>197</xdr:row>
      <xdr:rowOff>27375</xdr:rowOff>
    </xdr:to>
    <xdr:pic>
      <xdr:nvPicPr>
        <xdr:cNvPr id="3" name="Picture 2">
          <a:extLst>
            <a:ext uri="{FF2B5EF4-FFF2-40B4-BE49-F238E27FC236}">
              <a16:creationId xmlns:a16="http://schemas.microsoft.com/office/drawing/2014/main" id="{219F7CA0-5AED-4B3D-9923-E55A5054841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643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130</xdr:row>
      <xdr:rowOff>0</xdr:rowOff>
    </xdr:from>
    <xdr:to>
      <xdr:col>2</xdr:col>
      <xdr:colOff>2133599</xdr:colOff>
      <xdr:row>131</xdr:row>
      <xdr:rowOff>27375</xdr:rowOff>
    </xdr:to>
    <xdr:pic>
      <xdr:nvPicPr>
        <xdr:cNvPr id="2" name="Picture 1">
          <a:extLst>
            <a:ext uri="{FF2B5EF4-FFF2-40B4-BE49-F238E27FC236}">
              <a16:creationId xmlns:a16="http://schemas.microsoft.com/office/drawing/2014/main" id="{9CD1AAB7-346A-4B59-B80A-42A0B7D949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55545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9526</xdr:colOff>
      <xdr:row>135</xdr:row>
      <xdr:rowOff>38101</xdr:rowOff>
    </xdr:from>
    <xdr:to>
      <xdr:col>2</xdr:col>
      <xdr:colOff>2095499</xdr:colOff>
      <xdr:row>135</xdr:row>
      <xdr:rowOff>2018101</xdr:rowOff>
    </xdr:to>
    <xdr:pic>
      <xdr:nvPicPr>
        <xdr:cNvPr id="3" name="Picture 2">
          <a:extLst>
            <a:ext uri="{FF2B5EF4-FFF2-40B4-BE49-F238E27FC236}">
              <a16:creationId xmlns:a16="http://schemas.microsoft.com/office/drawing/2014/main" id="{A8CF9FE6-A65F-44D2-8554-5BFBF6A24DE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719387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156</xdr:row>
      <xdr:rowOff>123825</xdr:rowOff>
    </xdr:from>
    <xdr:to>
      <xdr:col>2</xdr:col>
      <xdr:colOff>2047873</xdr:colOff>
      <xdr:row>157</xdr:row>
      <xdr:rowOff>8325</xdr:rowOff>
    </xdr:to>
    <xdr:pic>
      <xdr:nvPicPr>
        <xdr:cNvPr id="3" name="Picture 2">
          <a:extLst>
            <a:ext uri="{FF2B5EF4-FFF2-40B4-BE49-F238E27FC236}">
              <a16:creationId xmlns:a16="http://schemas.microsoft.com/office/drawing/2014/main" id="{D973945B-21BE-4EBB-8D2E-5AB2CBCE8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080075"/>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151</xdr:row>
      <xdr:rowOff>0</xdr:rowOff>
    </xdr:from>
    <xdr:to>
      <xdr:col>2</xdr:col>
      <xdr:colOff>2095499</xdr:colOff>
      <xdr:row>152</xdr:row>
      <xdr:rowOff>27375</xdr:rowOff>
    </xdr:to>
    <xdr:pic>
      <xdr:nvPicPr>
        <xdr:cNvPr id="4" name="Picture 3">
          <a:extLst>
            <a:ext uri="{FF2B5EF4-FFF2-40B4-BE49-F238E27FC236}">
              <a16:creationId xmlns:a16="http://schemas.microsoft.com/office/drawing/2014/main" id="{DFC6106F-EDD7-412D-8DD3-993F5D350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51785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111</xdr:row>
      <xdr:rowOff>161924</xdr:rowOff>
    </xdr:from>
    <xdr:to>
      <xdr:col>2</xdr:col>
      <xdr:colOff>2179348</xdr:colOff>
      <xdr:row>124</xdr:row>
      <xdr:rowOff>36899</xdr:rowOff>
    </xdr:to>
    <xdr:pic>
      <xdr:nvPicPr>
        <xdr:cNvPr id="2" name="Picture 1">
          <a:extLst>
            <a:ext uri="{FF2B5EF4-FFF2-40B4-BE49-F238E27FC236}">
              <a16:creationId xmlns:a16="http://schemas.microsoft.com/office/drawing/2014/main" id="{15D90CA6-A1AE-4E6F-920B-BFAAAF1678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545549"/>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107</xdr:row>
      <xdr:rowOff>0</xdr:rowOff>
    </xdr:from>
    <xdr:to>
      <xdr:col>2</xdr:col>
      <xdr:colOff>2101725</xdr:colOff>
      <xdr:row>108</xdr:row>
      <xdr:rowOff>25899</xdr:rowOff>
    </xdr:to>
    <xdr:pic>
      <xdr:nvPicPr>
        <xdr:cNvPr id="3" name="Picture 2">
          <a:extLst>
            <a:ext uri="{FF2B5EF4-FFF2-40B4-BE49-F238E27FC236}">
              <a16:creationId xmlns:a16="http://schemas.microsoft.com/office/drawing/2014/main" id="{2B33002E-72F2-48E8-98BE-918E2FE221A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894522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3BBB6-73E1-49EC-B0B4-7D3257C5130D}">
  <dimension ref="A1:C11"/>
  <sheetViews>
    <sheetView tabSelected="1" workbookViewId="0"/>
  </sheetViews>
  <sheetFormatPr defaultColWidth="8.85546875" defaultRowHeight="15" x14ac:dyDescent="0.25"/>
  <cols>
    <col min="1" max="1" width="6.140625" style="8" bestFit="1" customWidth="1"/>
    <col min="2" max="2" width="10.85546875" style="8" bestFit="1" customWidth="1"/>
    <col min="3" max="3" width="35" style="8" bestFit="1" customWidth="1"/>
    <col min="4" max="16384" width="8.85546875" style="8"/>
  </cols>
  <sheetData>
    <row r="1" spans="1:3" x14ac:dyDescent="0.25">
      <c r="A1" s="6" t="s">
        <v>721</v>
      </c>
      <c r="B1" s="7" t="s">
        <v>722</v>
      </c>
      <c r="C1" s="7" t="s">
        <v>723</v>
      </c>
    </row>
    <row r="2" spans="1:3" x14ac:dyDescent="0.25">
      <c r="A2" s="9">
        <v>1</v>
      </c>
      <c r="B2" s="10" t="s">
        <v>724</v>
      </c>
      <c r="C2" s="11" t="s">
        <v>1</v>
      </c>
    </row>
    <row r="3" spans="1:3" x14ac:dyDescent="0.25">
      <c r="A3" s="9">
        <v>2</v>
      </c>
      <c r="B3" s="10" t="s">
        <v>725</v>
      </c>
      <c r="C3" s="11" t="s">
        <v>135</v>
      </c>
    </row>
    <row r="4" spans="1:3" x14ac:dyDescent="0.25">
      <c r="A4" s="9">
        <v>3</v>
      </c>
      <c r="B4" s="10" t="s">
        <v>726</v>
      </c>
      <c r="C4" s="11" t="s">
        <v>174</v>
      </c>
    </row>
    <row r="5" spans="1:3" x14ac:dyDescent="0.25">
      <c r="A5" s="9">
        <v>4</v>
      </c>
      <c r="B5" s="10" t="s">
        <v>727</v>
      </c>
      <c r="C5" s="11" t="s">
        <v>290</v>
      </c>
    </row>
    <row r="6" spans="1:3" x14ac:dyDescent="0.25">
      <c r="A6" s="9">
        <v>5</v>
      </c>
      <c r="B6" s="10" t="s">
        <v>728</v>
      </c>
      <c r="C6" s="11" t="s">
        <v>334</v>
      </c>
    </row>
    <row r="7" spans="1:3" x14ac:dyDescent="0.25">
      <c r="A7" s="9">
        <v>6</v>
      </c>
      <c r="B7" s="10" t="s">
        <v>729</v>
      </c>
      <c r="C7" s="11" t="s">
        <v>483</v>
      </c>
    </row>
    <row r="8" spans="1:3" x14ac:dyDescent="0.25">
      <c r="A8" s="9">
        <v>7</v>
      </c>
      <c r="B8" s="10" t="s">
        <v>730</v>
      </c>
      <c r="C8" s="11" t="s">
        <v>500</v>
      </c>
    </row>
    <row r="9" spans="1:3" x14ac:dyDescent="0.25">
      <c r="A9" s="9">
        <v>8</v>
      </c>
      <c r="B9" s="10" t="s">
        <v>731</v>
      </c>
      <c r="C9" s="11" t="s">
        <v>528</v>
      </c>
    </row>
    <row r="10" spans="1:3" x14ac:dyDescent="0.25">
      <c r="A10" s="9">
        <v>9</v>
      </c>
      <c r="B10" s="10" t="s">
        <v>732</v>
      </c>
      <c r="C10" s="11" t="s">
        <v>531</v>
      </c>
    </row>
    <row r="11" spans="1:3" x14ac:dyDescent="0.25">
      <c r="A11" s="9">
        <v>10</v>
      </c>
      <c r="B11" s="10" t="s">
        <v>733</v>
      </c>
      <c r="C11" s="11" t="s">
        <v>586</v>
      </c>
    </row>
  </sheetData>
  <hyperlinks>
    <hyperlink ref="B3" location="SFRSTP!A1" display="SFRSTP" xr:uid="{8103042D-5768-423B-9CC6-423F6DEAB3E1}"/>
    <hyperlink ref="B4" location="SMMF!A1" display="SMMF" xr:uid="{A62FAE9C-25C8-4DF5-A5DA-9789606FE9C2}"/>
    <hyperlink ref="B5" location="SPLDF!A1" display="SPLDF" xr:uid="{3F8F9DB6-FA3E-44D2-828A-4379E27A9965}"/>
    <hyperlink ref="B6" location="SPMON!A1" display="SPMON" xr:uid="{8E9868E3-329D-43D2-88AC-44B56112D2E7}"/>
    <hyperlink ref="B7" location="SPSDF!A1" display="SPSDF" xr:uid="{7C00042D-4FB1-4AE1-AAD6-5674B7F1DCA1}"/>
    <hyperlink ref="B8" location="SPUSDF!A1" display="SPUSDF" xr:uid="{B4F62185-B518-4CB8-A0E4-D05974218184}"/>
    <hyperlink ref="B9" location="SUNBDS!A1" display="SUNBDS" xr:uid="{1FE8F8BF-BF13-4F5D-9780-BE7CA5F0932A}"/>
    <hyperlink ref="B10" location="SUNMIA!A1" display="SUNMIA" xr:uid="{D9BF376D-D9C3-4ECD-96D7-210BD022C296}"/>
    <hyperlink ref="B11" location="SUNONF!A1" display="SUNONF" xr:uid="{C5FB40C0-7331-4822-9E62-8BB4243C8418}"/>
    <hyperlink ref="B2" location="SFRLTP!A1" display="SFRLTP" xr:uid="{D2B7933A-C75C-4B05-B409-8580EE316AA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3F30E-3BE0-43CA-8BA8-0F4D388A6B1A}">
  <sheetPr>
    <outlinePr summaryBelow="0" summaryRight="0"/>
  </sheetPr>
  <dimension ref="A1:Q154"/>
  <sheetViews>
    <sheetView showGridLines="0" workbookViewId="0">
      <selection activeCell="C19" sqref="C19"/>
    </sheetView>
  </sheetViews>
  <sheetFormatPr defaultColWidth="9.140625" defaultRowHeight="12.75" x14ac:dyDescent="0.2"/>
  <cols>
    <col min="1" max="1" width="5.85546875" bestFit="1" customWidth="1"/>
    <col min="2" max="2" width="20.28515625" bestFit="1" customWidth="1"/>
    <col min="3" max="3" width="43.5703125" customWidth="1"/>
    <col min="4" max="4" width="11.140625" bestFit="1" customWidth="1"/>
    <col min="5" max="5" width="9.42578125" bestFit="1" customWidth="1"/>
    <col min="6" max="6" width="10.140625" bestFit="1" customWidth="1"/>
    <col min="7" max="7" width="14" bestFit="1" customWidth="1"/>
    <col min="8" max="8" width="10.85546875" customWidth="1"/>
    <col min="9" max="9" width="5.7109375" bestFit="1" customWidth="1"/>
  </cols>
  <sheetData>
    <row r="1" spans="1:9" ht="15" x14ac:dyDescent="0.2">
      <c r="A1" s="154" t="s">
        <v>0</v>
      </c>
      <c r="B1" s="154"/>
      <c r="C1" s="154"/>
      <c r="D1" s="154"/>
      <c r="E1" s="154"/>
      <c r="F1" s="154"/>
      <c r="G1" s="154"/>
      <c r="H1" s="154"/>
      <c r="I1" s="1" t="s">
        <v>592</v>
      </c>
    </row>
    <row r="2" spans="1:9" ht="15" x14ac:dyDescent="0.2">
      <c r="A2" s="154" t="s">
        <v>1</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591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21</v>
      </c>
      <c r="C28" s="26" t="s">
        <v>22</v>
      </c>
      <c r="D28" s="26" t="s">
        <v>23</v>
      </c>
      <c r="E28" s="27">
        <v>5000</v>
      </c>
      <c r="F28" s="28">
        <v>5139.8100000000004</v>
      </c>
      <c r="G28" s="29">
        <v>6.4324510000000001E-2</v>
      </c>
      <c r="H28" s="17">
        <v>6.83</v>
      </c>
    </row>
    <row r="29" spans="1:8" ht="25.5" x14ac:dyDescent="0.2">
      <c r="A29" s="25">
        <v>2</v>
      </c>
      <c r="B29" s="26" t="s">
        <v>24</v>
      </c>
      <c r="C29" s="26" t="s">
        <v>25</v>
      </c>
      <c r="D29" s="26" t="s">
        <v>26</v>
      </c>
      <c r="E29" s="27">
        <v>4000</v>
      </c>
      <c r="F29" s="28">
        <v>4080.3240000000001</v>
      </c>
      <c r="G29" s="29">
        <v>5.1065079999999999E-2</v>
      </c>
      <c r="H29" s="17">
        <v>6.77</v>
      </c>
    </row>
    <row r="30" spans="1:8" x14ac:dyDescent="0.2">
      <c r="A30" s="25">
        <v>3</v>
      </c>
      <c r="B30" s="26" t="s">
        <v>27</v>
      </c>
      <c r="C30" s="26" t="s">
        <v>28</v>
      </c>
      <c r="D30" s="26" t="s">
        <v>23</v>
      </c>
      <c r="E30" s="27">
        <v>4000</v>
      </c>
      <c r="F30" s="28">
        <v>4027.96</v>
      </c>
      <c r="G30" s="29">
        <v>5.0409750000000003E-2</v>
      </c>
      <c r="H30" s="17">
        <v>6.4131999999999998</v>
      </c>
    </row>
    <row r="31" spans="1:8" x14ac:dyDescent="0.2">
      <c r="A31" s="25">
        <v>4</v>
      </c>
      <c r="B31" s="26" t="s">
        <v>29</v>
      </c>
      <c r="C31" s="26" t="s">
        <v>30</v>
      </c>
      <c r="D31" s="26" t="s">
        <v>23</v>
      </c>
      <c r="E31" s="27">
        <v>300</v>
      </c>
      <c r="F31" s="28">
        <v>3054.9780000000001</v>
      </c>
      <c r="G31" s="29">
        <v>3.8232919999999997E-2</v>
      </c>
      <c r="H31" s="17">
        <v>6.9249999999999998</v>
      </c>
    </row>
    <row r="32" spans="1:8" ht="25.5" x14ac:dyDescent="0.2">
      <c r="A32" s="25">
        <v>5</v>
      </c>
      <c r="B32" s="26" t="s">
        <v>31</v>
      </c>
      <c r="C32" s="26" t="s">
        <v>32</v>
      </c>
      <c r="D32" s="26" t="s">
        <v>26</v>
      </c>
      <c r="E32" s="27">
        <v>2500</v>
      </c>
      <c r="F32" s="28">
        <v>2570.69</v>
      </c>
      <c r="G32" s="29">
        <v>3.2172079999999999E-2</v>
      </c>
      <c r="H32" s="17">
        <v>6.8449999999999998</v>
      </c>
    </row>
    <row r="33" spans="1:8" ht="25.5" x14ac:dyDescent="0.2">
      <c r="A33" s="25">
        <v>6</v>
      </c>
      <c r="B33" s="26" t="s">
        <v>33</v>
      </c>
      <c r="C33" s="26" t="s">
        <v>34</v>
      </c>
      <c r="D33" s="26" t="s">
        <v>26</v>
      </c>
      <c r="E33" s="27">
        <v>2500</v>
      </c>
      <c r="F33" s="28">
        <v>2561.86</v>
      </c>
      <c r="G33" s="29">
        <v>3.2061569999999998E-2</v>
      </c>
      <c r="H33" s="17">
        <v>7.2149999999999999</v>
      </c>
    </row>
    <row r="34" spans="1:8" ht="25.5" x14ac:dyDescent="0.2">
      <c r="A34" s="25">
        <v>7</v>
      </c>
      <c r="B34" s="26" t="s">
        <v>35</v>
      </c>
      <c r="C34" s="26" t="s">
        <v>36</v>
      </c>
      <c r="D34" s="26" t="s">
        <v>23</v>
      </c>
      <c r="E34" s="27">
        <v>2500</v>
      </c>
      <c r="F34" s="28">
        <v>2560.7325000000001</v>
      </c>
      <c r="G34" s="29">
        <v>3.204746E-2</v>
      </c>
      <c r="H34" s="17">
        <v>6.8449999999999998</v>
      </c>
    </row>
    <row r="35" spans="1:8" x14ac:dyDescent="0.2">
      <c r="A35" s="25">
        <v>8</v>
      </c>
      <c r="B35" s="26" t="s">
        <v>37</v>
      </c>
      <c r="C35" s="26" t="s">
        <v>38</v>
      </c>
      <c r="D35" s="26" t="s">
        <v>26</v>
      </c>
      <c r="E35" s="27">
        <v>2500</v>
      </c>
      <c r="F35" s="28">
        <v>2546.12</v>
      </c>
      <c r="G35" s="29">
        <v>3.1864589999999998E-2</v>
      </c>
      <c r="H35" s="17">
        <v>6.7215999999999996</v>
      </c>
    </row>
    <row r="36" spans="1:8" x14ac:dyDescent="0.2">
      <c r="A36" s="25">
        <v>9</v>
      </c>
      <c r="B36" s="26" t="s">
        <v>39</v>
      </c>
      <c r="C36" s="26" t="s">
        <v>40</v>
      </c>
      <c r="D36" s="26" t="s">
        <v>23</v>
      </c>
      <c r="E36" s="27">
        <v>2500</v>
      </c>
      <c r="F36" s="28">
        <v>2542.0349999999999</v>
      </c>
      <c r="G36" s="29">
        <v>3.1813460000000002E-2</v>
      </c>
      <c r="H36" s="17">
        <v>7.08</v>
      </c>
    </row>
    <row r="37" spans="1:8" ht="25.5" x14ac:dyDescent="0.2">
      <c r="A37" s="25">
        <v>10</v>
      </c>
      <c r="B37" s="26" t="s">
        <v>41</v>
      </c>
      <c r="C37" s="26" t="s">
        <v>42</v>
      </c>
      <c r="D37" s="26" t="s">
        <v>26</v>
      </c>
      <c r="E37" s="27">
        <v>2500</v>
      </c>
      <c r="F37" s="28">
        <v>2521.5524999999998</v>
      </c>
      <c r="G37" s="29">
        <v>3.1557120000000001E-2</v>
      </c>
      <c r="H37" s="17">
        <v>6.44</v>
      </c>
    </row>
    <row r="38" spans="1:8" x14ac:dyDescent="0.2">
      <c r="A38" s="25">
        <v>11</v>
      </c>
      <c r="B38" s="26" t="s">
        <v>43</v>
      </c>
      <c r="C38" s="26" t="s">
        <v>44</v>
      </c>
      <c r="D38" s="26" t="s">
        <v>23</v>
      </c>
      <c r="E38" s="27">
        <v>2500</v>
      </c>
      <c r="F38" s="28">
        <v>2515.0650000000001</v>
      </c>
      <c r="G38" s="29">
        <v>3.1475929999999999E-2</v>
      </c>
      <c r="H38" s="17">
        <v>7.13</v>
      </c>
    </row>
    <row r="39" spans="1:8" x14ac:dyDescent="0.2">
      <c r="A39" s="25">
        <v>12</v>
      </c>
      <c r="B39" s="26" t="s">
        <v>45</v>
      </c>
      <c r="C39" s="26" t="s">
        <v>46</v>
      </c>
      <c r="D39" s="26" t="s">
        <v>26</v>
      </c>
      <c r="E39" s="27">
        <v>2500</v>
      </c>
      <c r="F39" s="28">
        <v>2493.5349999999999</v>
      </c>
      <c r="G39" s="29">
        <v>3.120649E-2</v>
      </c>
      <c r="H39" s="17">
        <v>6.5449999999999999</v>
      </c>
    </row>
    <row r="40" spans="1:8" ht="25.5" x14ac:dyDescent="0.2">
      <c r="A40" s="25">
        <v>13</v>
      </c>
      <c r="B40" s="26" t="s">
        <v>47</v>
      </c>
      <c r="C40" s="26" t="s">
        <v>48</v>
      </c>
      <c r="D40" s="26" t="s">
        <v>26</v>
      </c>
      <c r="E40" s="27">
        <v>2000</v>
      </c>
      <c r="F40" s="28">
        <v>2046.6559999999999</v>
      </c>
      <c r="G40" s="29">
        <v>2.5613810000000001E-2</v>
      </c>
      <c r="H40" s="17">
        <v>6.8449999999999998</v>
      </c>
    </row>
    <row r="41" spans="1:8" x14ac:dyDescent="0.2">
      <c r="A41" s="25">
        <v>14</v>
      </c>
      <c r="B41" s="26" t="s">
        <v>49</v>
      </c>
      <c r="C41" s="26" t="s">
        <v>50</v>
      </c>
      <c r="D41" s="26" t="s">
        <v>26</v>
      </c>
      <c r="E41" s="27">
        <v>200</v>
      </c>
      <c r="F41" s="28">
        <v>2038.528</v>
      </c>
      <c r="G41" s="29">
        <v>2.5512090000000001E-2</v>
      </c>
      <c r="H41" s="17">
        <v>6.48</v>
      </c>
    </row>
    <row r="42" spans="1:8" x14ac:dyDescent="0.2">
      <c r="A42" s="25">
        <v>15</v>
      </c>
      <c r="B42" s="26" t="s">
        <v>51</v>
      </c>
      <c r="C42" s="26" t="s">
        <v>52</v>
      </c>
      <c r="D42" s="26" t="s">
        <v>23</v>
      </c>
      <c r="E42" s="27">
        <v>2000</v>
      </c>
      <c r="F42" s="28">
        <v>2034.308</v>
      </c>
      <c r="G42" s="29">
        <v>2.5459280000000001E-2</v>
      </c>
      <c r="H42" s="17">
        <v>7.5274999999999999</v>
      </c>
    </row>
    <row r="43" spans="1:8" x14ac:dyDescent="0.2">
      <c r="A43" s="25">
        <v>16</v>
      </c>
      <c r="B43" s="26" t="s">
        <v>53</v>
      </c>
      <c r="C43" s="26" t="s">
        <v>54</v>
      </c>
      <c r="D43" s="26" t="s">
        <v>23</v>
      </c>
      <c r="E43" s="27">
        <v>2000</v>
      </c>
      <c r="F43" s="28">
        <v>2032.3320000000001</v>
      </c>
      <c r="G43" s="29">
        <v>2.543455E-2</v>
      </c>
      <c r="H43" s="17">
        <v>7.17</v>
      </c>
    </row>
    <row r="44" spans="1:8" x14ac:dyDescent="0.2">
      <c r="A44" s="25">
        <v>17</v>
      </c>
      <c r="B44" s="26" t="s">
        <v>55</v>
      </c>
      <c r="C44" s="26" t="s">
        <v>56</v>
      </c>
      <c r="D44" s="26" t="s">
        <v>23</v>
      </c>
      <c r="E44" s="27">
        <v>2000</v>
      </c>
      <c r="F44" s="28">
        <v>2016.69</v>
      </c>
      <c r="G44" s="29">
        <v>2.5238790000000001E-2</v>
      </c>
      <c r="H44" s="17">
        <v>6.4131999999999998</v>
      </c>
    </row>
    <row r="45" spans="1:8" x14ac:dyDescent="0.2">
      <c r="A45" s="25">
        <v>18</v>
      </c>
      <c r="B45" s="26" t="s">
        <v>57</v>
      </c>
      <c r="C45" s="26" t="s">
        <v>58</v>
      </c>
      <c r="D45" s="26" t="s">
        <v>23</v>
      </c>
      <c r="E45" s="27">
        <v>2000</v>
      </c>
      <c r="F45" s="28">
        <v>2009.1079999999999</v>
      </c>
      <c r="G45" s="29">
        <v>2.51439E-2</v>
      </c>
      <c r="H45" s="17">
        <v>7.15</v>
      </c>
    </row>
    <row r="46" spans="1:8" ht="25.5" x14ac:dyDescent="0.2">
      <c r="A46" s="25">
        <v>19</v>
      </c>
      <c r="B46" s="26" t="s">
        <v>59</v>
      </c>
      <c r="C46" s="26" t="s">
        <v>60</v>
      </c>
      <c r="D46" s="26" t="s">
        <v>23</v>
      </c>
      <c r="E46" s="27">
        <v>1500</v>
      </c>
      <c r="F46" s="28">
        <v>1527.1485</v>
      </c>
      <c r="G46" s="29">
        <v>1.9112199999999999E-2</v>
      </c>
      <c r="H46" s="17">
        <v>6.81</v>
      </c>
    </row>
    <row r="47" spans="1:8" x14ac:dyDescent="0.2">
      <c r="A47" s="25">
        <v>20</v>
      </c>
      <c r="B47" s="26" t="s">
        <v>61</v>
      </c>
      <c r="C47" s="26" t="s">
        <v>62</v>
      </c>
      <c r="D47" s="26" t="s">
        <v>26</v>
      </c>
      <c r="E47" s="27">
        <v>1500</v>
      </c>
      <c r="F47" s="28">
        <v>1519.6155000000001</v>
      </c>
      <c r="G47" s="29">
        <v>1.9017920000000001E-2</v>
      </c>
      <c r="H47" s="17">
        <v>6.5</v>
      </c>
    </row>
    <row r="48" spans="1:8" ht="25.5" x14ac:dyDescent="0.2">
      <c r="A48" s="25">
        <v>21</v>
      </c>
      <c r="B48" s="26" t="s">
        <v>63</v>
      </c>
      <c r="C48" s="26" t="s">
        <v>64</v>
      </c>
      <c r="D48" s="26" t="s">
        <v>26</v>
      </c>
      <c r="E48" s="27">
        <v>150</v>
      </c>
      <c r="F48" s="28">
        <v>1511.6205</v>
      </c>
      <c r="G48" s="29">
        <v>1.891787E-2</v>
      </c>
      <c r="H48" s="17">
        <v>6.5914999999999999</v>
      </c>
    </row>
    <row r="49" spans="1:8" ht="25.5" x14ac:dyDescent="0.2">
      <c r="A49" s="25">
        <v>22</v>
      </c>
      <c r="B49" s="26" t="s">
        <v>65</v>
      </c>
      <c r="C49" s="26" t="s">
        <v>66</v>
      </c>
      <c r="D49" s="26" t="s">
        <v>26</v>
      </c>
      <c r="E49" s="27">
        <v>1500</v>
      </c>
      <c r="F49" s="28">
        <v>1495.7085</v>
      </c>
      <c r="G49" s="29">
        <v>1.8718729999999999E-2</v>
      </c>
      <c r="H49" s="17">
        <v>6.9771000000000001</v>
      </c>
    </row>
    <row r="50" spans="1:8" x14ac:dyDescent="0.2">
      <c r="A50" s="25">
        <v>23</v>
      </c>
      <c r="B50" s="26" t="s">
        <v>67</v>
      </c>
      <c r="C50" s="26" t="s">
        <v>68</v>
      </c>
      <c r="D50" s="26" t="s">
        <v>23</v>
      </c>
      <c r="E50" s="27">
        <v>1400</v>
      </c>
      <c r="F50" s="28">
        <v>1407.3444</v>
      </c>
      <c r="G50" s="29">
        <v>1.7612860000000001E-2</v>
      </c>
      <c r="H50" s="17">
        <v>7.1749999999999998</v>
      </c>
    </row>
    <row r="51" spans="1:8" ht="25.5" x14ac:dyDescent="0.2">
      <c r="A51" s="25">
        <v>24</v>
      </c>
      <c r="B51" s="26" t="s">
        <v>69</v>
      </c>
      <c r="C51" s="26" t="s">
        <v>70</v>
      </c>
      <c r="D51" s="26" t="s">
        <v>26</v>
      </c>
      <c r="E51" s="27">
        <v>1300</v>
      </c>
      <c r="F51" s="28">
        <v>1294.0226</v>
      </c>
      <c r="G51" s="29">
        <v>1.619464E-2</v>
      </c>
      <c r="H51" s="17">
        <v>6.7828999999999997</v>
      </c>
    </row>
    <row r="52" spans="1:8" x14ac:dyDescent="0.2">
      <c r="A52" s="25">
        <v>25</v>
      </c>
      <c r="B52" s="26" t="s">
        <v>71</v>
      </c>
      <c r="C52" s="26" t="s">
        <v>72</v>
      </c>
      <c r="D52" s="26" t="s">
        <v>23</v>
      </c>
      <c r="E52" s="27">
        <v>100</v>
      </c>
      <c r="F52" s="28">
        <v>1021.775</v>
      </c>
      <c r="G52" s="29">
        <v>1.278747E-2</v>
      </c>
      <c r="H52" s="17">
        <v>6.9249999999999998</v>
      </c>
    </row>
    <row r="53" spans="1:8" x14ac:dyDescent="0.2">
      <c r="A53" s="25">
        <v>26</v>
      </c>
      <c r="B53" s="26" t="s">
        <v>73</v>
      </c>
      <c r="C53" s="26" t="s">
        <v>74</v>
      </c>
      <c r="D53" s="26" t="s">
        <v>23</v>
      </c>
      <c r="E53" s="27">
        <v>1000</v>
      </c>
      <c r="F53" s="28">
        <v>1015.926</v>
      </c>
      <c r="G53" s="29">
        <v>1.271427E-2</v>
      </c>
      <c r="H53" s="17">
        <v>7.13</v>
      </c>
    </row>
    <row r="54" spans="1:8" ht="25.5" x14ac:dyDescent="0.2">
      <c r="A54" s="25">
        <v>27</v>
      </c>
      <c r="B54" s="26" t="s">
        <v>75</v>
      </c>
      <c r="C54" s="26" t="s">
        <v>76</v>
      </c>
      <c r="D54" s="26" t="s">
        <v>23</v>
      </c>
      <c r="E54" s="27">
        <v>1000</v>
      </c>
      <c r="F54" s="28">
        <v>1008.494</v>
      </c>
      <c r="G54" s="29">
        <v>1.262126E-2</v>
      </c>
      <c r="H54" s="17">
        <v>6.55</v>
      </c>
    </row>
    <row r="55" spans="1:8" x14ac:dyDescent="0.2">
      <c r="A55" s="25">
        <v>28</v>
      </c>
      <c r="B55" s="26" t="s">
        <v>77</v>
      </c>
      <c r="C55" s="26" t="s">
        <v>78</v>
      </c>
      <c r="D55" s="26" t="s">
        <v>23</v>
      </c>
      <c r="E55" s="27">
        <v>500</v>
      </c>
      <c r="F55" s="28">
        <v>510.101</v>
      </c>
      <c r="G55" s="29">
        <v>6.3838899999999997E-3</v>
      </c>
      <c r="H55" s="17">
        <v>7.5274999999999999</v>
      </c>
    </row>
    <row r="56" spans="1:8" ht="25.5" x14ac:dyDescent="0.2">
      <c r="A56" s="25">
        <v>29</v>
      </c>
      <c r="B56" s="26" t="s">
        <v>79</v>
      </c>
      <c r="C56" s="26" t="s">
        <v>80</v>
      </c>
      <c r="D56" s="26" t="s">
        <v>23</v>
      </c>
      <c r="E56" s="27">
        <v>500</v>
      </c>
      <c r="F56" s="28">
        <v>508.65100000000001</v>
      </c>
      <c r="G56" s="29">
        <v>6.3657499999999999E-3</v>
      </c>
      <c r="H56" s="17">
        <v>6.7149999999999999</v>
      </c>
    </row>
    <row r="57" spans="1:8" x14ac:dyDescent="0.2">
      <c r="A57" s="18"/>
      <c r="B57" s="18"/>
      <c r="C57" s="19" t="s">
        <v>11</v>
      </c>
      <c r="D57" s="18"/>
      <c r="E57" s="18" t="s">
        <v>12</v>
      </c>
      <c r="F57" s="24">
        <v>61612.690999999999</v>
      </c>
      <c r="G57" s="21">
        <v>0.77108023999999997</v>
      </c>
      <c r="H57" s="17" t="s">
        <v>12</v>
      </c>
    </row>
    <row r="58" spans="1:8" x14ac:dyDescent="0.2">
      <c r="A58" s="18"/>
      <c r="B58" s="18"/>
      <c r="C58" s="22"/>
      <c r="D58" s="18"/>
      <c r="E58" s="18"/>
      <c r="F58" s="23"/>
      <c r="G58" s="23"/>
      <c r="H58" s="17" t="s">
        <v>12</v>
      </c>
    </row>
    <row r="59" spans="1:8" x14ac:dyDescent="0.2">
      <c r="A59" s="18"/>
      <c r="B59" s="18"/>
      <c r="C59" s="19" t="s">
        <v>81</v>
      </c>
      <c r="D59" s="18"/>
      <c r="E59" s="18"/>
      <c r="F59" s="18"/>
      <c r="G59" s="18"/>
      <c r="H59" s="17" t="s">
        <v>12</v>
      </c>
    </row>
    <row r="60" spans="1:8" x14ac:dyDescent="0.2">
      <c r="A60" s="18"/>
      <c r="B60" s="18"/>
      <c r="C60" s="19" t="s">
        <v>11</v>
      </c>
      <c r="D60" s="18"/>
      <c r="E60" s="18" t="s">
        <v>12</v>
      </c>
      <c r="F60" s="20" t="s">
        <v>13</v>
      </c>
      <c r="G60" s="21">
        <v>0</v>
      </c>
      <c r="H60" s="17" t="s">
        <v>12</v>
      </c>
    </row>
    <row r="61" spans="1:8" x14ac:dyDescent="0.2">
      <c r="A61" s="18"/>
      <c r="B61" s="18"/>
      <c r="C61" s="22"/>
      <c r="D61" s="18"/>
      <c r="E61" s="18"/>
      <c r="F61" s="23"/>
      <c r="G61" s="23"/>
      <c r="H61" s="17" t="s">
        <v>12</v>
      </c>
    </row>
    <row r="62" spans="1:8" x14ac:dyDescent="0.2">
      <c r="A62" s="18"/>
      <c r="B62" s="18"/>
      <c r="C62" s="19" t="s">
        <v>82</v>
      </c>
      <c r="D62" s="18"/>
      <c r="E62" s="18"/>
      <c r="F62" s="18"/>
      <c r="G62" s="18"/>
      <c r="H62" s="17" t="s">
        <v>12</v>
      </c>
    </row>
    <row r="63" spans="1:8" x14ac:dyDescent="0.2">
      <c r="A63" s="25">
        <v>1</v>
      </c>
      <c r="B63" s="26" t="s">
        <v>83</v>
      </c>
      <c r="C63" s="26" t="s">
        <v>84</v>
      </c>
      <c r="D63" s="26" t="s">
        <v>85</v>
      </c>
      <c r="E63" s="27">
        <v>3000000</v>
      </c>
      <c r="F63" s="28">
        <v>2984.1179999999999</v>
      </c>
      <c r="G63" s="29">
        <v>3.7346110000000002E-2</v>
      </c>
      <c r="H63" s="17">
        <v>6.5048000000000004</v>
      </c>
    </row>
    <row r="64" spans="1:8" x14ac:dyDescent="0.2">
      <c r="A64" s="25">
        <v>2</v>
      </c>
      <c r="B64" s="26" t="s">
        <v>86</v>
      </c>
      <c r="C64" s="26" t="s">
        <v>87</v>
      </c>
      <c r="D64" s="26" t="s">
        <v>85</v>
      </c>
      <c r="E64" s="27">
        <v>2500000</v>
      </c>
      <c r="F64" s="28">
        <v>2552.335</v>
      </c>
      <c r="G64" s="29">
        <v>3.1942369999999998E-2</v>
      </c>
      <c r="H64" s="17">
        <v>6.5862999999999996</v>
      </c>
    </row>
    <row r="65" spans="1:8" ht="25.5" x14ac:dyDescent="0.2">
      <c r="A65" s="25">
        <v>3</v>
      </c>
      <c r="B65" s="26" t="s">
        <v>88</v>
      </c>
      <c r="C65" s="26" t="s">
        <v>89</v>
      </c>
      <c r="D65" s="26" t="s">
        <v>85</v>
      </c>
      <c r="E65" s="27">
        <v>1500000</v>
      </c>
      <c r="F65" s="28">
        <v>1530.0119999999999</v>
      </c>
      <c r="G65" s="29">
        <v>1.9148040000000002E-2</v>
      </c>
      <c r="H65" s="17">
        <v>6.3734999999999999</v>
      </c>
    </row>
    <row r="66" spans="1:8" x14ac:dyDescent="0.2">
      <c r="A66" s="25">
        <v>4</v>
      </c>
      <c r="B66" s="26" t="s">
        <v>90</v>
      </c>
      <c r="C66" s="26" t="s">
        <v>91</v>
      </c>
      <c r="D66" s="26" t="s">
        <v>85</v>
      </c>
      <c r="E66" s="27">
        <v>1000000</v>
      </c>
      <c r="F66" s="28">
        <v>1047.0409999999999</v>
      </c>
      <c r="G66" s="29">
        <v>1.310367E-2</v>
      </c>
      <c r="H66" s="17">
        <v>6.3482000000000003</v>
      </c>
    </row>
    <row r="67" spans="1:8" x14ac:dyDescent="0.2">
      <c r="A67" s="25">
        <v>5</v>
      </c>
      <c r="B67" s="26" t="s">
        <v>92</v>
      </c>
      <c r="C67" s="26" t="s">
        <v>93</v>
      </c>
      <c r="D67" s="26" t="s">
        <v>85</v>
      </c>
      <c r="E67" s="27">
        <v>1000000</v>
      </c>
      <c r="F67" s="28">
        <v>1010.912</v>
      </c>
      <c r="G67" s="29">
        <v>1.2651519999999999E-2</v>
      </c>
      <c r="H67" s="17">
        <v>7.3372999999999999</v>
      </c>
    </row>
    <row r="68" spans="1:8" x14ac:dyDescent="0.2">
      <c r="A68" s="25">
        <v>6</v>
      </c>
      <c r="B68" s="26" t="s">
        <v>94</v>
      </c>
      <c r="C68" s="26" t="s">
        <v>95</v>
      </c>
      <c r="D68" s="26" t="s">
        <v>85</v>
      </c>
      <c r="E68" s="27">
        <v>600000</v>
      </c>
      <c r="F68" s="28">
        <v>594.18539999999996</v>
      </c>
      <c r="G68" s="29">
        <v>7.4362100000000004E-3</v>
      </c>
      <c r="H68" s="17">
        <v>6.8983999999999996</v>
      </c>
    </row>
    <row r="69" spans="1:8" x14ac:dyDescent="0.2">
      <c r="A69" s="25">
        <v>7</v>
      </c>
      <c r="B69" s="26" t="s">
        <v>96</v>
      </c>
      <c r="C69" s="26" t="s">
        <v>97</v>
      </c>
      <c r="D69" s="26" t="s">
        <v>85</v>
      </c>
      <c r="E69" s="27">
        <v>500000</v>
      </c>
      <c r="F69" s="28">
        <v>517.3845</v>
      </c>
      <c r="G69" s="29">
        <v>6.4750500000000004E-3</v>
      </c>
      <c r="H69" s="17">
        <v>6.8643000000000001</v>
      </c>
    </row>
    <row r="70" spans="1:8" x14ac:dyDescent="0.2">
      <c r="A70" s="25">
        <v>8</v>
      </c>
      <c r="B70" s="26" t="s">
        <v>98</v>
      </c>
      <c r="C70" s="26" t="s">
        <v>99</v>
      </c>
      <c r="D70" s="26" t="s">
        <v>85</v>
      </c>
      <c r="E70" s="27">
        <v>500000</v>
      </c>
      <c r="F70" s="28">
        <v>480.58699999999999</v>
      </c>
      <c r="G70" s="29">
        <v>6.0145299999999997E-3</v>
      </c>
      <c r="H70" s="17">
        <v>7.3258999999999999</v>
      </c>
    </row>
    <row r="71" spans="1:8" x14ac:dyDescent="0.2">
      <c r="A71" s="18"/>
      <c r="B71" s="18"/>
      <c r="C71" s="19" t="s">
        <v>11</v>
      </c>
      <c r="D71" s="18"/>
      <c r="E71" s="18" t="s">
        <v>12</v>
      </c>
      <c r="F71" s="24">
        <v>10716.5749</v>
      </c>
      <c r="G71" s="21">
        <v>0.1341175</v>
      </c>
      <c r="H71" s="17" t="s">
        <v>12</v>
      </c>
    </row>
    <row r="72" spans="1:8" x14ac:dyDescent="0.2">
      <c r="A72" s="18"/>
      <c r="B72" s="18"/>
      <c r="C72" s="22"/>
      <c r="D72" s="18"/>
      <c r="E72" s="18"/>
      <c r="F72" s="23"/>
      <c r="G72" s="23"/>
      <c r="H72" s="17" t="s">
        <v>12</v>
      </c>
    </row>
    <row r="73" spans="1:8" x14ac:dyDescent="0.2">
      <c r="A73" s="18"/>
      <c r="B73" s="18"/>
      <c r="C73" s="19" t="s">
        <v>100</v>
      </c>
      <c r="D73" s="18"/>
      <c r="E73" s="18"/>
      <c r="F73" s="23"/>
      <c r="G73" s="23"/>
      <c r="H73" s="17" t="s">
        <v>12</v>
      </c>
    </row>
    <row r="74" spans="1:8" x14ac:dyDescent="0.2">
      <c r="A74" s="18"/>
      <c r="B74" s="18"/>
      <c r="C74" s="19" t="s">
        <v>11</v>
      </c>
      <c r="D74" s="18"/>
      <c r="E74" s="18" t="s">
        <v>12</v>
      </c>
      <c r="F74" s="20" t="s">
        <v>13</v>
      </c>
      <c r="G74" s="21">
        <v>0</v>
      </c>
      <c r="H74" s="17" t="s">
        <v>12</v>
      </c>
    </row>
    <row r="75" spans="1:8" x14ac:dyDescent="0.2">
      <c r="A75" s="18"/>
      <c r="B75" s="18"/>
      <c r="C75" s="22"/>
      <c r="D75" s="18"/>
      <c r="E75" s="18"/>
      <c r="F75" s="23"/>
      <c r="G75" s="23"/>
      <c r="H75" s="17" t="s">
        <v>12</v>
      </c>
    </row>
    <row r="76" spans="1:8" x14ac:dyDescent="0.2">
      <c r="A76" s="18"/>
      <c r="B76" s="18"/>
      <c r="C76" s="19" t="s">
        <v>101</v>
      </c>
      <c r="D76" s="18"/>
      <c r="E76" s="18"/>
      <c r="F76" s="24">
        <v>72329.265899999999</v>
      </c>
      <c r="G76" s="21">
        <v>0.90519773999999997</v>
      </c>
      <c r="H76" s="17" t="s">
        <v>12</v>
      </c>
    </row>
    <row r="77" spans="1:8" x14ac:dyDescent="0.2">
      <c r="A77" s="18"/>
      <c r="B77" s="18"/>
      <c r="C77" s="22"/>
      <c r="D77" s="18"/>
      <c r="E77" s="18"/>
      <c r="F77" s="23"/>
      <c r="G77" s="23"/>
      <c r="H77" s="17" t="s">
        <v>12</v>
      </c>
    </row>
    <row r="78" spans="1:8" x14ac:dyDescent="0.2">
      <c r="A78" s="18"/>
      <c r="B78" s="18"/>
      <c r="C78" s="19" t="s">
        <v>102</v>
      </c>
      <c r="D78" s="18"/>
      <c r="E78" s="18"/>
      <c r="F78" s="23"/>
      <c r="G78" s="23"/>
      <c r="H78" s="17" t="s">
        <v>12</v>
      </c>
    </row>
    <row r="79" spans="1:8" x14ac:dyDescent="0.2">
      <c r="A79" s="18"/>
      <c r="B79" s="18"/>
      <c r="C79" s="19" t="s">
        <v>103</v>
      </c>
      <c r="D79" s="18"/>
      <c r="E79" s="18"/>
      <c r="F79" s="23"/>
      <c r="G79" s="23"/>
      <c r="H79" s="17" t="s">
        <v>12</v>
      </c>
    </row>
    <row r="80" spans="1:8" x14ac:dyDescent="0.2">
      <c r="A80" s="25">
        <v>1</v>
      </c>
      <c r="B80" s="26" t="s">
        <v>104</v>
      </c>
      <c r="C80" s="26" t="s">
        <v>105</v>
      </c>
      <c r="D80" s="26" t="s">
        <v>106</v>
      </c>
      <c r="E80" s="27">
        <v>500</v>
      </c>
      <c r="F80" s="28">
        <v>2450.1824999999999</v>
      </c>
      <c r="G80" s="29">
        <v>3.0663929999999999E-2</v>
      </c>
      <c r="H80" s="17">
        <v>5.9851000000000001</v>
      </c>
    </row>
    <row r="81" spans="1:8" x14ac:dyDescent="0.2">
      <c r="A81" s="25">
        <v>2</v>
      </c>
      <c r="B81" s="26" t="s">
        <v>107</v>
      </c>
      <c r="C81" s="26" t="s">
        <v>108</v>
      </c>
      <c r="D81" s="26" t="s">
        <v>109</v>
      </c>
      <c r="E81" s="27">
        <v>200</v>
      </c>
      <c r="F81" s="28">
        <v>982.27499999999998</v>
      </c>
      <c r="G81" s="29">
        <v>1.2293129999999999E-2</v>
      </c>
      <c r="H81" s="17">
        <v>5.9875999999999996</v>
      </c>
    </row>
    <row r="82" spans="1:8" x14ac:dyDescent="0.2">
      <c r="A82" s="18"/>
      <c r="B82" s="18"/>
      <c r="C82" s="19" t="s">
        <v>11</v>
      </c>
      <c r="D82" s="18"/>
      <c r="E82" s="18" t="s">
        <v>12</v>
      </c>
      <c r="F82" s="24">
        <v>3432.4575</v>
      </c>
      <c r="G82" s="21">
        <v>4.2957059999999998E-2</v>
      </c>
      <c r="H82" s="17" t="s">
        <v>12</v>
      </c>
    </row>
    <row r="83" spans="1:8" x14ac:dyDescent="0.2">
      <c r="A83" s="18"/>
      <c r="B83" s="18"/>
      <c r="C83" s="22"/>
      <c r="D83" s="18"/>
      <c r="E83" s="18"/>
      <c r="F83" s="23"/>
      <c r="G83" s="23"/>
      <c r="H83" s="17" t="s">
        <v>12</v>
      </c>
    </row>
    <row r="84" spans="1:8" x14ac:dyDescent="0.2">
      <c r="A84" s="18"/>
      <c r="B84" s="18"/>
      <c r="C84" s="19" t="s">
        <v>110</v>
      </c>
      <c r="D84" s="18"/>
      <c r="E84" s="18"/>
      <c r="F84" s="23"/>
      <c r="G84" s="23"/>
      <c r="H84" s="17" t="s">
        <v>12</v>
      </c>
    </row>
    <row r="85" spans="1:8" x14ac:dyDescent="0.2">
      <c r="A85" s="18"/>
      <c r="B85" s="18"/>
      <c r="C85" s="19" t="s">
        <v>11</v>
      </c>
      <c r="D85" s="18"/>
      <c r="E85" s="18" t="s">
        <v>12</v>
      </c>
      <c r="F85" s="20" t="s">
        <v>13</v>
      </c>
      <c r="G85" s="21">
        <v>0</v>
      </c>
      <c r="H85" s="17" t="s">
        <v>12</v>
      </c>
    </row>
    <row r="86" spans="1:8" x14ac:dyDescent="0.2">
      <c r="A86" s="18"/>
      <c r="B86" s="18"/>
      <c r="C86" s="22"/>
      <c r="D86" s="18"/>
      <c r="E86" s="18"/>
      <c r="F86" s="23"/>
      <c r="G86" s="23"/>
      <c r="H86" s="17" t="s">
        <v>12</v>
      </c>
    </row>
    <row r="87" spans="1:8" x14ac:dyDescent="0.2">
      <c r="A87" s="18"/>
      <c r="B87" s="18"/>
      <c r="C87" s="19" t="s">
        <v>111</v>
      </c>
      <c r="D87" s="18"/>
      <c r="E87" s="18"/>
      <c r="F87" s="23"/>
      <c r="G87" s="23"/>
      <c r="H87" s="17" t="s">
        <v>12</v>
      </c>
    </row>
    <row r="88" spans="1:8" x14ac:dyDescent="0.2">
      <c r="A88" s="18"/>
      <c r="B88" s="18"/>
      <c r="C88" s="19" t="s">
        <v>11</v>
      </c>
      <c r="D88" s="18"/>
      <c r="E88" s="18" t="s">
        <v>12</v>
      </c>
      <c r="F88" s="20" t="s">
        <v>13</v>
      </c>
      <c r="G88" s="21">
        <v>0</v>
      </c>
      <c r="H88" s="17" t="s">
        <v>12</v>
      </c>
    </row>
    <row r="89" spans="1:8" x14ac:dyDescent="0.2">
      <c r="A89" s="18"/>
      <c r="B89" s="18"/>
      <c r="C89" s="22"/>
      <c r="D89" s="18"/>
      <c r="E89" s="18"/>
      <c r="F89" s="23"/>
      <c r="G89" s="23"/>
      <c r="H89" s="17" t="s">
        <v>12</v>
      </c>
    </row>
    <row r="90" spans="1:8" x14ac:dyDescent="0.2">
      <c r="A90" s="18"/>
      <c r="B90" s="18"/>
      <c r="C90" s="19" t="s">
        <v>112</v>
      </c>
      <c r="D90" s="18"/>
      <c r="E90" s="18"/>
      <c r="F90" s="23"/>
      <c r="G90" s="23"/>
      <c r="H90" s="17" t="s">
        <v>12</v>
      </c>
    </row>
    <row r="91" spans="1:8" x14ac:dyDescent="0.2">
      <c r="A91" s="25">
        <v>1</v>
      </c>
      <c r="B91" s="26"/>
      <c r="C91" s="26" t="s">
        <v>113</v>
      </c>
      <c r="D91" s="26"/>
      <c r="E91" s="30"/>
      <c r="F91" s="28">
        <v>1748.8349936059999</v>
      </c>
      <c r="G91" s="29">
        <v>2.1886599999999999E-2</v>
      </c>
      <c r="H91" s="17">
        <v>5.39</v>
      </c>
    </row>
    <row r="92" spans="1:8" x14ac:dyDescent="0.2">
      <c r="A92" s="18"/>
      <c r="B92" s="18"/>
      <c r="C92" s="19" t="s">
        <v>11</v>
      </c>
      <c r="D92" s="18"/>
      <c r="E92" s="18" t="s">
        <v>12</v>
      </c>
      <c r="F92" s="24">
        <v>1748.8349936059999</v>
      </c>
      <c r="G92" s="21">
        <v>2.1886599999999999E-2</v>
      </c>
      <c r="H92" s="17" t="s">
        <v>12</v>
      </c>
    </row>
    <row r="93" spans="1:8" x14ac:dyDescent="0.2">
      <c r="A93" s="18"/>
      <c r="B93" s="18"/>
      <c r="C93" s="22"/>
      <c r="D93" s="18"/>
      <c r="E93" s="18"/>
      <c r="F93" s="23"/>
      <c r="G93" s="23"/>
      <c r="H93" s="17" t="s">
        <v>12</v>
      </c>
    </row>
    <row r="94" spans="1:8" x14ac:dyDescent="0.2">
      <c r="A94" s="18"/>
      <c r="B94" s="18"/>
      <c r="C94" s="19" t="s">
        <v>114</v>
      </c>
      <c r="D94" s="18"/>
      <c r="E94" s="18"/>
      <c r="F94" s="24">
        <v>5181.2924936059999</v>
      </c>
      <c r="G94" s="21">
        <v>6.4843659999999997E-2</v>
      </c>
      <c r="H94" s="17" t="s">
        <v>12</v>
      </c>
    </row>
    <row r="95" spans="1:8" x14ac:dyDescent="0.2">
      <c r="A95" s="18"/>
      <c r="B95" s="18"/>
      <c r="C95" s="23"/>
      <c r="D95" s="18"/>
      <c r="E95" s="18"/>
      <c r="F95" s="18"/>
      <c r="G95" s="18"/>
      <c r="H95" s="17" t="s">
        <v>12</v>
      </c>
    </row>
    <row r="96" spans="1:8" x14ac:dyDescent="0.2">
      <c r="A96" s="18"/>
      <c r="B96" s="18"/>
      <c r="C96" s="19" t="s">
        <v>115</v>
      </c>
      <c r="D96" s="18"/>
      <c r="E96" s="18"/>
      <c r="F96" s="18"/>
      <c r="G96" s="18"/>
      <c r="H96" s="17" t="s">
        <v>12</v>
      </c>
    </row>
    <row r="97" spans="1:17" x14ac:dyDescent="0.2">
      <c r="A97" s="18"/>
      <c r="B97" s="18"/>
      <c r="C97" s="19" t="s">
        <v>116</v>
      </c>
      <c r="D97" s="18"/>
      <c r="E97" s="18"/>
      <c r="F97" s="18"/>
      <c r="G97" s="18"/>
      <c r="H97" s="17" t="s">
        <v>12</v>
      </c>
    </row>
    <row r="98" spans="1:17" x14ac:dyDescent="0.2">
      <c r="A98" s="18"/>
      <c r="B98" s="18"/>
      <c r="C98" s="19" t="s">
        <v>11</v>
      </c>
      <c r="D98" s="18"/>
      <c r="E98" s="18" t="s">
        <v>12</v>
      </c>
      <c r="F98" s="20" t="s">
        <v>13</v>
      </c>
      <c r="G98" s="21">
        <v>0</v>
      </c>
      <c r="H98" s="17" t="s">
        <v>12</v>
      </c>
    </row>
    <row r="99" spans="1:17" x14ac:dyDescent="0.2">
      <c r="A99" s="15"/>
      <c r="B99" s="15"/>
      <c r="C99" s="31"/>
      <c r="D99" s="15"/>
      <c r="E99" s="15"/>
      <c r="F99" s="32"/>
      <c r="G99" s="32"/>
      <c r="H99" s="17" t="s">
        <v>12</v>
      </c>
    </row>
    <row r="100" spans="1:17" x14ac:dyDescent="0.2">
      <c r="A100" s="15"/>
      <c r="B100" s="15"/>
      <c r="C100" s="16" t="s">
        <v>593</v>
      </c>
      <c r="D100" s="15"/>
      <c r="E100" s="15"/>
      <c r="F100" s="32"/>
      <c r="G100" s="32"/>
      <c r="H100" s="17" t="s">
        <v>12</v>
      </c>
      <c r="K100" s="33"/>
      <c r="L100" s="33"/>
      <c r="M100" s="33"/>
      <c r="N100" s="33"/>
      <c r="O100" s="34"/>
      <c r="P100" s="34"/>
      <c r="Q100" s="34"/>
    </row>
    <row r="101" spans="1:17" x14ac:dyDescent="0.2">
      <c r="A101" s="35">
        <v>1</v>
      </c>
      <c r="B101" s="36" t="s">
        <v>117</v>
      </c>
      <c r="C101" s="36" t="s">
        <v>118</v>
      </c>
      <c r="D101" s="36"/>
      <c r="E101" s="37">
        <v>2586.3710000000001</v>
      </c>
      <c r="F101" s="38">
        <v>292.47138210700001</v>
      </c>
      <c r="G101" s="39">
        <v>3.6602700000000002E-3</v>
      </c>
      <c r="H101" s="17"/>
    </row>
    <row r="102" spans="1:17" x14ac:dyDescent="0.2">
      <c r="A102" s="15"/>
      <c r="B102" s="15"/>
      <c r="C102" s="16" t="s">
        <v>11</v>
      </c>
      <c r="D102" s="15"/>
      <c r="E102" s="15" t="s">
        <v>12</v>
      </c>
      <c r="F102" s="40">
        <f>SUM(F101)</f>
        <v>292.47138210700001</v>
      </c>
      <c r="G102" s="41">
        <f>SUM(G101)</f>
        <v>3.6602700000000002E-3</v>
      </c>
      <c r="H102" s="17" t="s">
        <v>12</v>
      </c>
    </row>
    <row r="103" spans="1:17" x14ac:dyDescent="0.2">
      <c r="A103" s="15"/>
      <c r="B103" s="15"/>
      <c r="C103" s="31"/>
      <c r="D103" s="15"/>
      <c r="E103" s="15"/>
      <c r="F103" s="32"/>
      <c r="G103" s="32"/>
      <c r="H103" s="17" t="s">
        <v>12</v>
      </c>
    </row>
    <row r="104" spans="1:17" x14ac:dyDescent="0.2">
      <c r="A104" s="18"/>
      <c r="B104" s="18"/>
      <c r="C104" s="19" t="s">
        <v>119</v>
      </c>
      <c r="D104" s="18"/>
      <c r="E104" s="18"/>
      <c r="F104" s="18"/>
      <c r="G104" s="18"/>
      <c r="H104" s="17" t="s">
        <v>12</v>
      </c>
    </row>
    <row r="105" spans="1:17" x14ac:dyDescent="0.2">
      <c r="A105" s="18"/>
      <c r="B105" s="18"/>
      <c r="C105" s="19" t="s">
        <v>120</v>
      </c>
      <c r="D105" s="18"/>
      <c r="E105" s="18"/>
      <c r="F105" s="18"/>
      <c r="G105" s="18"/>
      <c r="H105" s="17" t="s">
        <v>12</v>
      </c>
    </row>
    <row r="106" spans="1:17" x14ac:dyDescent="0.2">
      <c r="A106" s="18"/>
      <c r="B106" s="18"/>
      <c r="C106" s="19" t="s">
        <v>11</v>
      </c>
      <c r="D106" s="18"/>
      <c r="E106" s="18" t="s">
        <v>12</v>
      </c>
      <c r="F106" s="20" t="s">
        <v>13</v>
      </c>
      <c r="G106" s="21">
        <v>0</v>
      </c>
      <c r="H106" s="17" t="s">
        <v>12</v>
      </c>
    </row>
    <row r="107" spans="1:17" x14ac:dyDescent="0.2">
      <c r="A107" s="18"/>
      <c r="B107" s="18"/>
      <c r="C107" s="22"/>
      <c r="D107" s="18"/>
      <c r="E107" s="18"/>
      <c r="F107" s="23"/>
      <c r="G107" s="23"/>
      <c r="H107" s="17" t="s">
        <v>12</v>
      </c>
    </row>
    <row r="108" spans="1:17" x14ac:dyDescent="0.2">
      <c r="A108" s="18"/>
      <c r="B108" s="18"/>
      <c r="C108" s="19" t="s">
        <v>121</v>
      </c>
      <c r="D108" s="18"/>
      <c r="E108" s="18"/>
      <c r="F108" s="23"/>
      <c r="G108" s="23"/>
      <c r="H108" s="17" t="s">
        <v>12</v>
      </c>
    </row>
    <row r="109" spans="1:17" x14ac:dyDescent="0.2">
      <c r="A109" s="18"/>
      <c r="B109" s="18"/>
      <c r="C109" s="19" t="s">
        <v>11</v>
      </c>
      <c r="D109" s="18"/>
      <c r="E109" s="18" t="s">
        <v>12</v>
      </c>
      <c r="F109" s="20" t="s">
        <v>13</v>
      </c>
      <c r="G109" s="21">
        <v>0</v>
      </c>
      <c r="H109" s="17" t="s">
        <v>12</v>
      </c>
    </row>
    <row r="110" spans="1:17" x14ac:dyDescent="0.2">
      <c r="A110" s="18"/>
      <c r="B110" s="18"/>
      <c r="C110" s="22"/>
      <c r="D110" s="18"/>
      <c r="E110" s="18"/>
      <c r="F110" s="23"/>
      <c r="G110" s="23"/>
      <c r="H110" s="17" t="s">
        <v>12</v>
      </c>
    </row>
    <row r="111" spans="1:17" x14ac:dyDescent="0.2">
      <c r="A111" s="30"/>
      <c r="B111" s="26"/>
      <c r="C111" s="26" t="s">
        <v>122</v>
      </c>
      <c r="D111" s="26"/>
      <c r="E111" s="30"/>
      <c r="F111" s="28">
        <v>2101.3523006</v>
      </c>
      <c r="G111" s="29">
        <v>2.629834E-2</v>
      </c>
      <c r="H111" s="17" t="s">
        <v>12</v>
      </c>
    </row>
    <row r="112" spans="1:17" x14ac:dyDescent="0.2">
      <c r="A112" s="22"/>
      <c r="B112" s="22"/>
      <c r="C112" s="19" t="s">
        <v>123</v>
      </c>
      <c r="D112" s="23"/>
      <c r="E112" s="23"/>
      <c r="F112" s="24">
        <v>79904.382076313006</v>
      </c>
      <c r="G112" s="42">
        <v>1.0000000099999999</v>
      </c>
      <c r="H112" s="17" t="s">
        <v>12</v>
      </c>
    </row>
    <row r="113" spans="1:8" x14ac:dyDescent="0.2">
      <c r="A113" s="43"/>
      <c r="B113" s="43"/>
      <c r="C113" s="43"/>
      <c r="D113" s="44"/>
      <c r="E113" s="44"/>
      <c r="F113" s="44"/>
      <c r="G113" s="44"/>
    </row>
    <row r="114" spans="1:8" x14ac:dyDescent="0.2">
      <c r="A114" s="45"/>
      <c r="B114" s="150" t="s">
        <v>594</v>
      </c>
      <c r="C114" s="150"/>
      <c r="D114" s="150"/>
      <c r="E114" s="150"/>
      <c r="F114" s="150"/>
      <c r="G114" s="150"/>
      <c r="H114" s="150"/>
    </row>
    <row r="115" spans="1:8" x14ac:dyDescent="0.2">
      <c r="A115" s="45"/>
      <c r="B115" s="150" t="s">
        <v>595</v>
      </c>
      <c r="C115" s="150"/>
      <c r="D115" s="150"/>
      <c r="E115" s="150"/>
      <c r="F115" s="150"/>
      <c r="G115" s="150"/>
      <c r="H115" s="150"/>
    </row>
    <row r="116" spans="1:8" x14ac:dyDescent="0.2">
      <c r="A116" s="45"/>
      <c r="B116" s="150" t="s">
        <v>596</v>
      </c>
      <c r="C116" s="150"/>
      <c r="D116" s="150"/>
      <c r="E116" s="150"/>
      <c r="F116" s="150"/>
      <c r="G116" s="150"/>
      <c r="H116" s="150"/>
    </row>
    <row r="117" spans="1:8" x14ac:dyDescent="0.2">
      <c r="A117" s="45"/>
      <c r="B117" s="45"/>
      <c r="C117" s="45"/>
      <c r="D117" s="47"/>
      <c r="E117" s="47"/>
      <c r="F117" s="47"/>
      <c r="G117" s="47"/>
    </row>
    <row r="118" spans="1:8" x14ac:dyDescent="0.2">
      <c r="A118" s="45"/>
      <c r="B118" s="151" t="s">
        <v>124</v>
      </c>
      <c r="C118" s="152"/>
      <c r="D118" s="153"/>
      <c r="E118" s="48"/>
      <c r="F118" s="47"/>
      <c r="G118" s="47"/>
    </row>
    <row r="119" spans="1:8" ht="27" customHeight="1" x14ac:dyDescent="0.2">
      <c r="A119" s="45"/>
      <c r="B119" s="143" t="s">
        <v>125</v>
      </c>
      <c r="C119" s="144"/>
      <c r="D119" s="16" t="s">
        <v>126</v>
      </c>
      <c r="E119" s="48"/>
      <c r="F119" s="47"/>
      <c r="G119" s="47"/>
    </row>
    <row r="120" spans="1:8" x14ac:dyDescent="0.2">
      <c r="A120" s="45"/>
      <c r="B120" s="143" t="s">
        <v>127</v>
      </c>
      <c r="C120" s="144"/>
      <c r="D120" s="16" t="s">
        <v>126</v>
      </c>
      <c r="E120" s="48"/>
      <c r="F120" s="47"/>
      <c r="G120" s="47"/>
    </row>
    <row r="121" spans="1:8" x14ac:dyDescent="0.2">
      <c r="A121" s="45"/>
      <c r="B121" s="143" t="s">
        <v>128</v>
      </c>
      <c r="C121" s="144"/>
      <c r="D121" s="32" t="s">
        <v>12</v>
      </c>
      <c r="E121" s="48"/>
      <c r="F121" s="47"/>
      <c r="G121" s="47"/>
    </row>
    <row r="122" spans="1:8" x14ac:dyDescent="0.2">
      <c r="A122" s="49"/>
      <c r="B122" s="50" t="s">
        <v>12</v>
      </c>
      <c r="C122" s="50" t="s">
        <v>597</v>
      </c>
      <c r="D122" s="50" t="s">
        <v>129</v>
      </c>
      <c r="E122" s="49"/>
      <c r="F122" s="49"/>
      <c r="G122" s="49"/>
    </row>
    <row r="123" spans="1:8" x14ac:dyDescent="0.2">
      <c r="A123" s="51"/>
      <c r="B123" s="52" t="s">
        <v>130</v>
      </c>
      <c r="C123" s="53">
        <v>45869</v>
      </c>
      <c r="D123" s="53">
        <v>45884</v>
      </c>
      <c r="E123" s="51"/>
      <c r="F123" s="51"/>
      <c r="G123" s="51"/>
    </row>
    <row r="124" spans="1:8" x14ac:dyDescent="0.2">
      <c r="A124" s="51"/>
      <c r="B124" s="26" t="s">
        <v>131</v>
      </c>
      <c r="C124" s="54">
        <v>41.933500000000002</v>
      </c>
      <c r="D124" s="54">
        <v>41.923900000000003</v>
      </c>
      <c r="E124" s="51"/>
      <c r="F124" s="55"/>
      <c r="G124" s="56"/>
    </row>
    <row r="125" spans="1:8" ht="25.5" x14ac:dyDescent="0.2">
      <c r="A125" s="51"/>
      <c r="B125" s="26" t="s">
        <v>735</v>
      </c>
      <c r="C125" s="54">
        <v>20.078600000000002</v>
      </c>
      <c r="D125" s="54">
        <v>20.074100000000001</v>
      </c>
      <c r="E125" s="51"/>
      <c r="F125" s="55"/>
      <c r="G125" s="56"/>
    </row>
    <row r="126" spans="1:8" x14ac:dyDescent="0.2">
      <c r="A126" s="51"/>
      <c r="B126" s="26" t="s">
        <v>132</v>
      </c>
      <c r="C126" s="54">
        <v>40.542400000000001</v>
      </c>
      <c r="D126" s="54">
        <v>40.529499999999999</v>
      </c>
      <c r="E126" s="51"/>
      <c r="F126" s="55"/>
      <c r="G126" s="56"/>
    </row>
    <row r="127" spans="1:8" ht="25.5" x14ac:dyDescent="0.2">
      <c r="A127" s="51"/>
      <c r="B127" s="26" t="s">
        <v>736</v>
      </c>
      <c r="C127" s="54">
        <v>19.448799999999999</v>
      </c>
      <c r="D127" s="54">
        <v>19.442599999999999</v>
      </c>
      <c r="E127" s="51"/>
      <c r="F127" s="55"/>
      <c r="G127" s="56"/>
    </row>
    <row r="128" spans="1:8" x14ac:dyDescent="0.2">
      <c r="A128" s="51"/>
      <c r="B128" s="51"/>
      <c r="C128" s="51"/>
      <c r="D128" s="51"/>
      <c r="E128" s="51"/>
      <c r="F128" s="51"/>
      <c r="G128" s="51"/>
    </row>
    <row r="129" spans="1:14" x14ac:dyDescent="0.2">
      <c r="A129" s="51"/>
      <c r="B129" s="145" t="s">
        <v>598</v>
      </c>
      <c r="C129" s="146"/>
      <c r="D129" s="16" t="s">
        <v>126</v>
      </c>
      <c r="E129" s="51"/>
      <c r="F129" s="51"/>
      <c r="G129" s="51"/>
    </row>
    <row r="130" spans="1:14" x14ac:dyDescent="0.2">
      <c r="A130" s="49"/>
      <c r="B130" s="57"/>
      <c r="C130" s="57"/>
      <c r="D130" s="58"/>
      <c r="E130" s="49"/>
      <c r="F130" s="46"/>
      <c r="G130" s="59"/>
    </row>
    <row r="131" spans="1:14" x14ac:dyDescent="0.2">
      <c r="A131" s="49"/>
      <c r="B131" s="143" t="s">
        <v>133</v>
      </c>
      <c r="C131" s="144"/>
      <c r="D131" s="16" t="s">
        <v>126</v>
      </c>
      <c r="E131" s="60"/>
      <c r="F131" s="49"/>
      <c r="G131" s="49"/>
    </row>
    <row r="132" spans="1:14" x14ac:dyDescent="0.2">
      <c r="A132" s="49"/>
      <c r="B132" s="143" t="s">
        <v>134</v>
      </c>
      <c r="C132" s="144"/>
      <c r="D132" s="16" t="s">
        <v>126</v>
      </c>
      <c r="E132" s="60"/>
      <c r="F132" s="49"/>
      <c r="G132" s="49"/>
    </row>
    <row r="133" spans="1:14" x14ac:dyDescent="0.2">
      <c r="A133" s="49"/>
      <c r="B133" s="143" t="s">
        <v>599</v>
      </c>
      <c r="C133" s="144"/>
      <c r="D133" s="16" t="s">
        <v>126</v>
      </c>
      <c r="E133" s="60"/>
      <c r="F133" s="49"/>
      <c r="G133" s="49"/>
    </row>
    <row r="134" spans="1:14" x14ac:dyDescent="0.2">
      <c r="A134" s="61"/>
      <c r="B134" s="61"/>
      <c r="C134" s="61"/>
      <c r="D134" s="61"/>
      <c r="E134" s="61"/>
      <c r="F134" s="61"/>
      <c r="G134" s="61"/>
    </row>
    <row r="135" spans="1:14" s="62" customFormat="1" x14ac:dyDescent="0.2">
      <c r="B135" s="147" t="s">
        <v>600</v>
      </c>
      <c r="C135" s="148"/>
      <c r="D135" s="149"/>
      <c r="H135"/>
      <c r="I135"/>
      <c r="J135" s="33"/>
      <c r="K135" s="33"/>
      <c r="L135" s="33"/>
      <c r="M135" s="33"/>
      <c r="N135" s="33"/>
    </row>
    <row r="136" spans="1:14" s="62" customFormat="1" ht="38.25" x14ac:dyDescent="0.2">
      <c r="B136" s="141" t="s">
        <v>601</v>
      </c>
      <c r="C136" s="141"/>
      <c r="D136" s="63" t="s">
        <v>1</v>
      </c>
      <c r="H136"/>
      <c r="I136"/>
      <c r="J136" s="33"/>
      <c r="K136" s="33"/>
      <c r="L136" s="33"/>
      <c r="M136" s="33"/>
      <c r="N136" s="33"/>
    </row>
    <row r="137" spans="1:14" s="62" customFormat="1" x14ac:dyDescent="0.2">
      <c r="B137" s="142" t="s">
        <v>602</v>
      </c>
      <c r="C137" s="142"/>
      <c r="D137" s="64"/>
      <c r="H137"/>
      <c r="I137"/>
      <c r="J137" s="33"/>
      <c r="K137" s="33"/>
      <c r="L137" s="33"/>
      <c r="M137" s="33"/>
      <c r="N137" s="33"/>
    </row>
    <row r="138" spans="1:14" s="62" customFormat="1" x14ac:dyDescent="0.2">
      <c r="B138" s="155"/>
      <c r="C138" s="156"/>
      <c r="D138" s="65"/>
      <c r="H138"/>
      <c r="I138"/>
      <c r="J138" s="33"/>
      <c r="K138" s="33"/>
      <c r="L138" s="33"/>
      <c r="M138" s="33"/>
      <c r="N138" s="33"/>
    </row>
    <row r="139" spans="1:14" s="62" customFormat="1" x14ac:dyDescent="0.2">
      <c r="B139" s="142" t="s">
        <v>603</v>
      </c>
      <c r="C139" s="142"/>
      <c r="D139" s="66">
        <v>6.7402449149669881</v>
      </c>
      <c r="H139"/>
      <c r="I139"/>
      <c r="J139" s="33"/>
      <c r="K139" s="33"/>
      <c r="L139" s="33"/>
      <c r="M139" s="33"/>
      <c r="N139" s="33"/>
    </row>
    <row r="140" spans="1:14" s="62" customFormat="1" x14ac:dyDescent="0.2">
      <c r="B140" s="155"/>
      <c r="C140" s="156"/>
      <c r="D140" s="65"/>
      <c r="H140"/>
      <c r="I140"/>
      <c r="J140" s="33"/>
      <c r="K140" s="33"/>
      <c r="L140" s="33"/>
      <c r="M140" s="33"/>
      <c r="N140" s="33"/>
    </row>
    <row r="141" spans="1:14" s="62" customFormat="1" x14ac:dyDescent="0.2">
      <c r="B141" s="142" t="s">
        <v>604</v>
      </c>
      <c r="C141" s="142"/>
      <c r="D141" s="66">
        <v>3.2303012593406808</v>
      </c>
      <c r="H141"/>
      <c r="I141"/>
      <c r="J141" s="33"/>
      <c r="K141" s="33"/>
      <c r="L141" s="33"/>
      <c r="M141" s="33"/>
      <c r="N141" s="33"/>
    </row>
    <row r="142" spans="1:14" s="62" customFormat="1" x14ac:dyDescent="0.2">
      <c r="B142" s="142" t="s">
        <v>605</v>
      </c>
      <c r="C142" s="142"/>
      <c r="D142" s="66">
        <v>4.211180204504763</v>
      </c>
      <c r="H142"/>
      <c r="I142"/>
      <c r="J142" s="33"/>
      <c r="K142" s="33"/>
      <c r="L142" s="33"/>
      <c r="M142" s="33"/>
      <c r="N142" s="33"/>
    </row>
    <row r="143" spans="1:14" s="62" customFormat="1" x14ac:dyDescent="0.2">
      <c r="B143" s="155"/>
      <c r="C143" s="156"/>
      <c r="D143" s="65"/>
      <c r="I143"/>
      <c r="J143" s="33"/>
      <c r="K143" s="33"/>
      <c r="L143" s="33"/>
      <c r="M143" s="33"/>
      <c r="N143" s="33"/>
    </row>
    <row r="144" spans="1:14" s="62" customFormat="1" x14ac:dyDescent="0.2">
      <c r="B144" s="142" t="s">
        <v>606</v>
      </c>
      <c r="C144" s="142"/>
      <c r="D144" s="67" t="s">
        <v>716</v>
      </c>
      <c r="I144"/>
      <c r="J144" s="33"/>
      <c r="K144" s="33"/>
      <c r="L144" s="33"/>
      <c r="M144" s="33"/>
      <c r="N144" s="68"/>
    </row>
    <row r="145" spans="2:14" s="62" customFormat="1" x14ac:dyDescent="0.2">
      <c r="B145" s="155" t="s">
        <v>607</v>
      </c>
      <c r="C145" s="157"/>
      <c r="D145" s="156"/>
      <c r="I145"/>
      <c r="J145" s="33"/>
      <c r="K145" s="33"/>
      <c r="L145" s="33"/>
      <c r="M145" s="33"/>
      <c r="N145" s="33"/>
    </row>
    <row r="147" spans="2:14" ht="25.5" x14ac:dyDescent="0.2">
      <c r="B147" s="69" t="s">
        <v>608</v>
      </c>
    </row>
    <row r="149" spans="2:14" ht="153.75" customHeight="1" x14ac:dyDescent="0.2"/>
    <row r="152" spans="2:14" x14ac:dyDescent="0.2">
      <c r="B152" s="70" t="s">
        <v>609</v>
      </c>
      <c r="C152" s="71"/>
      <c r="D152" s="70"/>
    </row>
    <row r="153" spans="2:14" x14ac:dyDescent="0.2">
      <c r="B153" s="70" t="s">
        <v>610</v>
      </c>
      <c r="D153" s="70"/>
    </row>
    <row r="154" spans="2:14" ht="165" customHeight="1" x14ac:dyDescent="0.2"/>
  </sheetData>
  <mergeCells count="25">
    <mergeCell ref="B143:C143"/>
    <mergeCell ref="B144:C144"/>
    <mergeCell ref="B145:D145"/>
    <mergeCell ref="B138:C138"/>
    <mergeCell ref="B139:C139"/>
    <mergeCell ref="B140:C140"/>
    <mergeCell ref="B141:C141"/>
    <mergeCell ref="B142:C142"/>
    <mergeCell ref="A1:H1"/>
    <mergeCell ref="A2:H2"/>
    <mergeCell ref="A3:H3"/>
    <mergeCell ref="B114:H114"/>
    <mergeCell ref="B115:H115"/>
    <mergeCell ref="B116:H116"/>
    <mergeCell ref="B118:D118"/>
    <mergeCell ref="B119:C119"/>
    <mergeCell ref="B120:C120"/>
    <mergeCell ref="B121:C121"/>
    <mergeCell ref="B136:C136"/>
    <mergeCell ref="B137:C137"/>
    <mergeCell ref="B131:C131"/>
    <mergeCell ref="B132:C132"/>
    <mergeCell ref="B129:C129"/>
    <mergeCell ref="B133:C133"/>
    <mergeCell ref="B135:D135"/>
  </mergeCells>
  <hyperlinks>
    <hyperlink ref="I1" location="Index!B2" display="Index" xr:uid="{9E0602CE-E466-4ADE-81FF-6549E8E576D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1F9AC-4C2B-48BA-8508-188318935F86}">
  <sheetPr>
    <outlinePr summaryBelow="0" summaryRight="0"/>
  </sheetPr>
  <dimension ref="A1:R157"/>
  <sheetViews>
    <sheetView showGridLines="0" workbookViewId="0">
      <selection activeCell="C19" sqref="C19"/>
    </sheetView>
  </sheetViews>
  <sheetFormatPr defaultColWidth="9.140625" defaultRowHeight="12.75" x14ac:dyDescent="0.2"/>
  <cols>
    <col min="1" max="1" width="5.85546875" bestFit="1" customWidth="1"/>
    <col min="2" max="2" width="19.28515625" bestFit="1" customWidth="1"/>
    <col min="3" max="3" width="43.5703125" customWidth="1"/>
    <col min="4" max="4" width="12.5703125" customWidth="1"/>
    <col min="5" max="5" width="9.42578125" bestFit="1" customWidth="1"/>
    <col min="6" max="6" width="10.140625" bestFit="1" customWidth="1"/>
    <col min="7" max="7" width="14" bestFit="1" customWidth="1"/>
    <col min="8" max="8" width="10.85546875" customWidth="1"/>
    <col min="9" max="9" width="5.7109375" bestFit="1" customWidth="1"/>
  </cols>
  <sheetData>
    <row r="1" spans="1:9" ht="15" x14ac:dyDescent="0.2">
      <c r="A1" s="154" t="s">
        <v>0</v>
      </c>
      <c r="B1" s="154"/>
      <c r="C1" s="154"/>
      <c r="D1" s="154"/>
      <c r="E1" s="154"/>
      <c r="F1" s="154"/>
      <c r="G1" s="154"/>
      <c r="H1" s="154"/>
      <c r="I1" s="1" t="s">
        <v>592</v>
      </c>
    </row>
    <row r="2" spans="1:9" ht="15" x14ac:dyDescent="0.2">
      <c r="A2" s="154" t="s">
        <v>135</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591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49</v>
      </c>
      <c r="C28" s="26" t="s">
        <v>50</v>
      </c>
      <c r="D28" s="26" t="s">
        <v>26</v>
      </c>
      <c r="E28" s="27">
        <v>300</v>
      </c>
      <c r="F28" s="28">
        <v>3057.7919999999999</v>
      </c>
      <c r="G28" s="29">
        <v>6.4957150000000005E-2</v>
      </c>
      <c r="H28" s="17">
        <v>6.48</v>
      </c>
    </row>
    <row r="29" spans="1:8" x14ac:dyDescent="0.2">
      <c r="A29" s="25">
        <v>2</v>
      </c>
      <c r="B29" s="26" t="s">
        <v>136</v>
      </c>
      <c r="C29" s="26" t="s">
        <v>137</v>
      </c>
      <c r="D29" s="26" t="s">
        <v>26</v>
      </c>
      <c r="E29" s="27">
        <v>250</v>
      </c>
      <c r="F29" s="28">
        <v>2548.0650000000001</v>
      </c>
      <c r="G29" s="29">
        <v>5.412894E-2</v>
      </c>
      <c r="H29" s="17">
        <v>6.7016</v>
      </c>
    </row>
    <row r="30" spans="1:8" x14ac:dyDescent="0.2">
      <c r="A30" s="25">
        <v>3</v>
      </c>
      <c r="B30" s="26" t="s">
        <v>138</v>
      </c>
      <c r="C30" s="26" t="s">
        <v>139</v>
      </c>
      <c r="D30" s="26" t="s">
        <v>26</v>
      </c>
      <c r="E30" s="27">
        <v>2500</v>
      </c>
      <c r="F30" s="28">
        <v>2547.9724999999999</v>
      </c>
      <c r="G30" s="29">
        <v>5.4126970000000003E-2</v>
      </c>
      <c r="H30" s="17">
        <v>6.89</v>
      </c>
    </row>
    <row r="31" spans="1:8" ht="25.5" x14ac:dyDescent="0.2">
      <c r="A31" s="25">
        <v>4</v>
      </c>
      <c r="B31" s="26" t="s">
        <v>140</v>
      </c>
      <c r="C31" s="26" t="s">
        <v>141</v>
      </c>
      <c r="D31" s="26" t="s">
        <v>26</v>
      </c>
      <c r="E31" s="27">
        <v>2500</v>
      </c>
      <c r="F31" s="28">
        <v>2484.7800000000002</v>
      </c>
      <c r="G31" s="29">
        <v>5.2784560000000001E-2</v>
      </c>
      <c r="H31" s="17">
        <v>7.0076000000000001</v>
      </c>
    </row>
    <row r="32" spans="1:8" x14ac:dyDescent="0.2">
      <c r="A32" s="25">
        <v>5</v>
      </c>
      <c r="B32" s="26" t="s">
        <v>142</v>
      </c>
      <c r="C32" s="26" t="s">
        <v>143</v>
      </c>
      <c r="D32" s="26" t="s">
        <v>23</v>
      </c>
      <c r="E32" s="27">
        <v>2000</v>
      </c>
      <c r="F32" s="28">
        <v>2036.9939999999999</v>
      </c>
      <c r="G32" s="29">
        <v>4.327218E-2</v>
      </c>
      <c r="H32" s="17">
        <v>6.5187999999999997</v>
      </c>
    </row>
    <row r="33" spans="1:8" ht="25.5" x14ac:dyDescent="0.2">
      <c r="A33" s="25">
        <v>6</v>
      </c>
      <c r="B33" s="26" t="s">
        <v>144</v>
      </c>
      <c r="C33" s="26" t="s">
        <v>145</v>
      </c>
      <c r="D33" s="26" t="s">
        <v>26</v>
      </c>
      <c r="E33" s="27">
        <v>200</v>
      </c>
      <c r="F33" s="28">
        <v>2009.258</v>
      </c>
      <c r="G33" s="29">
        <v>4.2682980000000002E-2</v>
      </c>
      <c r="H33" s="17">
        <v>6.29</v>
      </c>
    </row>
    <row r="34" spans="1:8" ht="25.5" x14ac:dyDescent="0.2">
      <c r="A34" s="25">
        <v>7</v>
      </c>
      <c r="B34" s="26" t="s">
        <v>146</v>
      </c>
      <c r="C34" s="26" t="s">
        <v>147</v>
      </c>
      <c r="D34" s="26" t="s">
        <v>26</v>
      </c>
      <c r="E34" s="27">
        <v>200</v>
      </c>
      <c r="F34" s="28">
        <v>1991.578</v>
      </c>
      <c r="G34" s="29">
        <v>4.2307400000000002E-2</v>
      </c>
      <c r="H34" s="17">
        <v>6.52</v>
      </c>
    </row>
    <row r="35" spans="1:8" ht="25.5" x14ac:dyDescent="0.2">
      <c r="A35" s="25">
        <v>8</v>
      </c>
      <c r="B35" s="26" t="s">
        <v>35</v>
      </c>
      <c r="C35" s="26" t="s">
        <v>36</v>
      </c>
      <c r="D35" s="26" t="s">
        <v>23</v>
      </c>
      <c r="E35" s="27">
        <v>1500</v>
      </c>
      <c r="F35" s="28">
        <v>1536.4395</v>
      </c>
      <c r="G35" s="29">
        <v>3.2638819999999999E-2</v>
      </c>
      <c r="H35" s="17">
        <v>6.8449999999999998</v>
      </c>
    </row>
    <row r="36" spans="1:8" x14ac:dyDescent="0.2">
      <c r="A36" s="25">
        <v>9</v>
      </c>
      <c r="B36" s="26" t="s">
        <v>148</v>
      </c>
      <c r="C36" s="26" t="s">
        <v>149</v>
      </c>
      <c r="D36" s="26" t="s">
        <v>26</v>
      </c>
      <c r="E36" s="27">
        <v>1500</v>
      </c>
      <c r="F36" s="28">
        <v>1528.74</v>
      </c>
      <c r="G36" s="29">
        <v>3.2475259999999999E-2</v>
      </c>
      <c r="H36" s="17">
        <v>6.6096000000000004</v>
      </c>
    </row>
    <row r="37" spans="1:8" ht="25.5" x14ac:dyDescent="0.2">
      <c r="A37" s="25">
        <v>10</v>
      </c>
      <c r="B37" s="26" t="s">
        <v>41</v>
      </c>
      <c r="C37" s="26" t="s">
        <v>42</v>
      </c>
      <c r="D37" s="26" t="s">
        <v>26</v>
      </c>
      <c r="E37" s="27">
        <v>1500</v>
      </c>
      <c r="F37" s="28">
        <v>1512.9314999999999</v>
      </c>
      <c r="G37" s="29">
        <v>3.2139439999999998E-2</v>
      </c>
      <c r="H37" s="17">
        <v>6.44</v>
      </c>
    </row>
    <row r="38" spans="1:8" ht="25.5" x14ac:dyDescent="0.2">
      <c r="A38" s="25">
        <v>11</v>
      </c>
      <c r="B38" s="26" t="s">
        <v>150</v>
      </c>
      <c r="C38" s="26" t="s">
        <v>151</v>
      </c>
      <c r="D38" s="26" t="s">
        <v>26</v>
      </c>
      <c r="E38" s="27">
        <v>1000</v>
      </c>
      <c r="F38" s="28">
        <v>1024.6790000000001</v>
      </c>
      <c r="G38" s="29">
        <v>2.1767410000000001E-2</v>
      </c>
      <c r="H38" s="17">
        <v>6.9520999999999997</v>
      </c>
    </row>
    <row r="39" spans="1:8" ht="25.5" x14ac:dyDescent="0.2">
      <c r="A39" s="25">
        <v>12</v>
      </c>
      <c r="B39" s="26" t="s">
        <v>24</v>
      </c>
      <c r="C39" s="26" t="s">
        <v>25</v>
      </c>
      <c r="D39" s="26" t="s">
        <v>26</v>
      </c>
      <c r="E39" s="27">
        <v>1000</v>
      </c>
      <c r="F39" s="28">
        <v>1020.081</v>
      </c>
      <c r="G39" s="29">
        <v>2.166974E-2</v>
      </c>
      <c r="H39" s="17">
        <v>6.77</v>
      </c>
    </row>
    <row r="40" spans="1:8" ht="25.5" x14ac:dyDescent="0.2">
      <c r="A40" s="25">
        <v>13</v>
      </c>
      <c r="B40" s="26" t="s">
        <v>152</v>
      </c>
      <c r="C40" s="26" t="s">
        <v>153</v>
      </c>
      <c r="D40" s="26" t="s">
        <v>26</v>
      </c>
      <c r="E40" s="27">
        <v>1000</v>
      </c>
      <c r="F40" s="28">
        <v>1016.891</v>
      </c>
      <c r="G40" s="29">
        <v>2.1601970000000002E-2</v>
      </c>
      <c r="H40" s="17">
        <v>6.7750000000000004</v>
      </c>
    </row>
    <row r="41" spans="1:8" x14ac:dyDescent="0.2">
      <c r="A41" s="25">
        <v>14</v>
      </c>
      <c r="B41" s="26" t="s">
        <v>154</v>
      </c>
      <c r="C41" s="26" t="s">
        <v>155</v>
      </c>
      <c r="D41" s="26" t="s">
        <v>23</v>
      </c>
      <c r="E41" s="27">
        <v>1000</v>
      </c>
      <c r="F41" s="28">
        <v>998.74</v>
      </c>
      <c r="G41" s="29">
        <v>2.1216390000000002E-2</v>
      </c>
      <c r="H41" s="17">
        <v>7.15</v>
      </c>
    </row>
    <row r="42" spans="1:8" ht="25.5" x14ac:dyDescent="0.2">
      <c r="A42" s="25">
        <v>15</v>
      </c>
      <c r="B42" s="26" t="s">
        <v>65</v>
      </c>
      <c r="C42" s="26" t="s">
        <v>66</v>
      </c>
      <c r="D42" s="26" t="s">
        <v>26</v>
      </c>
      <c r="E42" s="27">
        <v>1000</v>
      </c>
      <c r="F42" s="28">
        <v>997.13900000000001</v>
      </c>
      <c r="G42" s="29">
        <v>2.1182380000000001E-2</v>
      </c>
      <c r="H42" s="17">
        <v>6.9771000000000001</v>
      </c>
    </row>
    <row r="43" spans="1:8" ht="25.5" x14ac:dyDescent="0.2">
      <c r="A43" s="25">
        <v>16</v>
      </c>
      <c r="B43" s="26" t="s">
        <v>69</v>
      </c>
      <c r="C43" s="26" t="s">
        <v>70</v>
      </c>
      <c r="D43" s="26" t="s">
        <v>26</v>
      </c>
      <c r="E43" s="27">
        <v>1000</v>
      </c>
      <c r="F43" s="28">
        <v>995.40200000000004</v>
      </c>
      <c r="G43" s="29">
        <v>2.1145480000000001E-2</v>
      </c>
      <c r="H43" s="17">
        <v>6.7828999999999997</v>
      </c>
    </row>
    <row r="44" spans="1:8" ht="25.5" x14ac:dyDescent="0.2">
      <c r="A44" s="25">
        <v>17</v>
      </c>
      <c r="B44" s="26" t="s">
        <v>47</v>
      </c>
      <c r="C44" s="26" t="s">
        <v>48</v>
      </c>
      <c r="D44" s="26" t="s">
        <v>26</v>
      </c>
      <c r="E44" s="27">
        <v>500</v>
      </c>
      <c r="F44" s="28">
        <v>511.66399999999999</v>
      </c>
      <c r="G44" s="29">
        <v>1.086936E-2</v>
      </c>
      <c r="H44" s="17">
        <v>6.8449999999999998</v>
      </c>
    </row>
    <row r="45" spans="1:8" ht="25.5" x14ac:dyDescent="0.2">
      <c r="A45" s="25">
        <v>18</v>
      </c>
      <c r="B45" s="26" t="s">
        <v>59</v>
      </c>
      <c r="C45" s="26" t="s">
        <v>60</v>
      </c>
      <c r="D45" s="26" t="s">
        <v>23</v>
      </c>
      <c r="E45" s="27">
        <v>500</v>
      </c>
      <c r="F45" s="28">
        <v>509.04950000000002</v>
      </c>
      <c r="G45" s="29">
        <v>1.081382E-2</v>
      </c>
      <c r="H45" s="17">
        <v>6.81</v>
      </c>
    </row>
    <row r="46" spans="1:8" x14ac:dyDescent="0.2">
      <c r="A46" s="25">
        <v>19</v>
      </c>
      <c r="B46" s="26" t="s">
        <v>53</v>
      </c>
      <c r="C46" s="26" t="s">
        <v>54</v>
      </c>
      <c r="D46" s="26" t="s">
        <v>23</v>
      </c>
      <c r="E46" s="27">
        <v>500</v>
      </c>
      <c r="F46" s="28">
        <v>508.08300000000003</v>
      </c>
      <c r="G46" s="29">
        <v>1.0793290000000001E-2</v>
      </c>
      <c r="H46" s="17">
        <v>7.17</v>
      </c>
    </row>
    <row r="47" spans="1:8" ht="25.5" x14ac:dyDescent="0.2">
      <c r="A47" s="25">
        <v>20</v>
      </c>
      <c r="B47" s="26" t="s">
        <v>156</v>
      </c>
      <c r="C47" s="26" t="s">
        <v>157</v>
      </c>
      <c r="D47" s="26" t="s">
        <v>26</v>
      </c>
      <c r="E47" s="27">
        <v>500</v>
      </c>
      <c r="F47" s="28">
        <v>508.048</v>
      </c>
      <c r="G47" s="29">
        <v>1.079254E-2</v>
      </c>
      <c r="H47" s="17">
        <v>6.65</v>
      </c>
    </row>
    <row r="48" spans="1:8" x14ac:dyDescent="0.2">
      <c r="A48" s="25">
        <v>21</v>
      </c>
      <c r="B48" s="26" t="s">
        <v>73</v>
      </c>
      <c r="C48" s="26" t="s">
        <v>74</v>
      </c>
      <c r="D48" s="26" t="s">
        <v>23</v>
      </c>
      <c r="E48" s="27">
        <v>500</v>
      </c>
      <c r="F48" s="28">
        <v>507.96300000000002</v>
      </c>
      <c r="G48" s="29">
        <v>1.079074E-2</v>
      </c>
      <c r="H48" s="17">
        <v>7.13</v>
      </c>
    </row>
    <row r="49" spans="1:8" ht="25.5" x14ac:dyDescent="0.2">
      <c r="A49" s="25">
        <v>22</v>
      </c>
      <c r="B49" s="26" t="s">
        <v>158</v>
      </c>
      <c r="C49" s="26" t="s">
        <v>159</v>
      </c>
      <c r="D49" s="26" t="s">
        <v>26</v>
      </c>
      <c r="E49" s="27">
        <v>500</v>
      </c>
      <c r="F49" s="28">
        <v>507.3</v>
      </c>
      <c r="G49" s="29">
        <v>1.077665E-2</v>
      </c>
      <c r="H49" s="17">
        <v>6.44</v>
      </c>
    </row>
    <row r="50" spans="1:8" x14ac:dyDescent="0.2">
      <c r="A50" s="25">
        <v>23</v>
      </c>
      <c r="B50" s="26" t="s">
        <v>160</v>
      </c>
      <c r="C50" s="26" t="s">
        <v>161</v>
      </c>
      <c r="D50" s="26" t="s">
        <v>23</v>
      </c>
      <c r="E50" s="27">
        <v>500</v>
      </c>
      <c r="F50" s="28">
        <v>506.95350000000002</v>
      </c>
      <c r="G50" s="29">
        <v>1.0769290000000001E-2</v>
      </c>
      <c r="H50" s="17">
        <v>6.97</v>
      </c>
    </row>
    <row r="51" spans="1:8" x14ac:dyDescent="0.2">
      <c r="A51" s="25">
        <v>24</v>
      </c>
      <c r="B51" s="26" t="s">
        <v>61</v>
      </c>
      <c r="C51" s="26" t="s">
        <v>62</v>
      </c>
      <c r="D51" s="26" t="s">
        <v>26</v>
      </c>
      <c r="E51" s="27">
        <v>500</v>
      </c>
      <c r="F51" s="28">
        <v>506.5385</v>
      </c>
      <c r="G51" s="29">
        <v>1.0760479999999999E-2</v>
      </c>
      <c r="H51" s="17">
        <v>6.5</v>
      </c>
    </row>
    <row r="52" spans="1:8" x14ac:dyDescent="0.2">
      <c r="A52" s="25">
        <v>25</v>
      </c>
      <c r="B52" s="26" t="s">
        <v>55</v>
      </c>
      <c r="C52" s="26" t="s">
        <v>56</v>
      </c>
      <c r="D52" s="26" t="s">
        <v>23</v>
      </c>
      <c r="E52" s="27">
        <v>500</v>
      </c>
      <c r="F52" s="28">
        <v>504.17250000000001</v>
      </c>
      <c r="G52" s="29">
        <v>1.071021E-2</v>
      </c>
      <c r="H52" s="17">
        <v>6.4131999999999998</v>
      </c>
    </row>
    <row r="53" spans="1:8" ht="25.5" x14ac:dyDescent="0.2">
      <c r="A53" s="25">
        <v>26</v>
      </c>
      <c r="B53" s="26" t="s">
        <v>63</v>
      </c>
      <c r="C53" s="26" t="s">
        <v>64</v>
      </c>
      <c r="D53" s="26" t="s">
        <v>26</v>
      </c>
      <c r="E53" s="27">
        <v>50</v>
      </c>
      <c r="F53" s="28">
        <v>503.87349999999998</v>
      </c>
      <c r="G53" s="29">
        <v>1.0703860000000001E-2</v>
      </c>
      <c r="H53" s="17">
        <v>6.5914999999999999</v>
      </c>
    </row>
    <row r="54" spans="1:8" x14ac:dyDescent="0.2">
      <c r="A54" s="25">
        <v>27</v>
      </c>
      <c r="B54" s="26" t="s">
        <v>57</v>
      </c>
      <c r="C54" s="26" t="s">
        <v>58</v>
      </c>
      <c r="D54" s="26" t="s">
        <v>23</v>
      </c>
      <c r="E54" s="27">
        <v>500</v>
      </c>
      <c r="F54" s="28">
        <v>502.27699999999999</v>
      </c>
      <c r="G54" s="29">
        <v>1.0669949999999999E-2</v>
      </c>
      <c r="H54" s="17">
        <v>7.15</v>
      </c>
    </row>
    <row r="55" spans="1:8" x14ac:dyDescent="0.2">
      <c r="A55" s="18"/>
      <c r="B55" s="18"/>
      <c r="C55" s="19" t="s">
        <v>11</v>
      </c>
      <c r="D55" s="18"/>
      <c r="E55" s="18" t="s">
        <v>12</v>
      </c>
      <c r="F55" s="24">
        <v>32883.404999999999</v>
      </c>
      <c r="G55" s="21">
        <v>0.69854726</v>
      </c>
      <c r="H55" s="17" t="s">
        <v>12</v>
      </c>
    </row>
    <row r="56" spans="1:8" x14ac:dyDescent="0.2">
      <c r="A56" s="18"/>
      <c r="B56" s="18"/>
      <c r="C56" s="22"/>
      <c r="D56" s="18"/>
      <c r="E56" s="18"/>
      <c r="F56" s="23"/>
      <c r="G56" s="23"/>
      <c r="H56" s="17" t="s">
        <v>12</v>
      </c>
    </row>
    <row r="57" spans="1:8" x14ac:dyDescent="0.2">
      <c r="A57" s="18"/>
      <c r="B57" s="18"/>
      <c r="C57" s="19" t="s">
        <v>81</v>
      </c>
      <c r="D57" s="18"/>
      <c r="E57" s="18"/>
      <c r="F57" s="18"/>
      <c r="G57" s="18"/>
      <c r="H57" s="17" t="s">
        <v>12</v>
      </c>
    </row>
    <row r="58" spans="1:8" x14ac:dyDescent="0.2">
      <c r="A58" s="18"/>
      <c r="B58" s="18"/>
      <c r="C58" s="19" t="s">
        <v>11</v>
      </c>
      <c r="D58" s="18"/>
      <c r="E58" s="18" t="s">
        <v>12</v>
      </c>
      <c r="F58" s="20" t="s">
        <v>13</v>
      </c>
      <c r="G58" s="21">
        <v>0</v>
      </c>
      <c r="H58" s="17" t="s">
        <v>12</v>
      </c>
    </row>
    <row r="59" spans="1:8" x14ac:dyDescent="0.2">
      <c r="A59" s="18"/>
      <c r="B59" s="18"/>
      <c r="C59" s="22"/>
      <c r="D59" s="18"/>
      <c r="E59" s="18"/>
      <c r="F59" s="23"/>
      <c r="G59" s="23"/>
      <c r="H59" s="17" t="s">
        <v>12</v>
      </c>
    </row>
    <row r="60" spans="1:8" x14ac:dyDescent="0.2">
      <c r="A60" s="18"/>
      <c r="B60" s="18"/>
      <c r="C60" s="19" t="s">
        <v>82</v>
      </c>
      <c r="D60" s="18"/>
      <c r="E60" s="18"/>
      <c r="F60" s="18"/>
      <c r="G60" s="18"/>
      <c r="H60" s="17" t="s">
        <v>12</v>
      </c>
    </row>
    <row r="61" spans="1:8" x14ac:dyDescent="0.2">
      <c r="A61" s="25">
        <v>1</v>
      </c>
      <c r="B61" s="26" t="s">
        <v>86</v>
      </c>
      <c r="C61" s="26" t="s">
        <v>87</v>
      </c>
      <c r="D61" s="26" t="s">
        <v>85</v>
      </c>
      <c r="E61" s="27">
        <v>3000000</v>
      </c>
      <c r="F61" s="28">
        <v>3062.8020000000001</v>
      </c>
      <c r="G61" s="29">
        <v>6.5063579999999996E-2</v>
      </c>
      <c r="H61" s="17">
        <v>6.5862999999999996</v>
      </c>
    </row>
    <row r="62" spans="1:8" x14ac:dyDescent="0.2">
      <c r="A62" s="25">
        <v>2</v>
      </c>
      <c r="B62" s="26" t="s">
        <v>90</v>
      </c>
      <c r="C62" s="26" t="s">
        <v>91</v>
      </c>
      <c r="D62" s="26" t="s">
        <v>85</v>
      </c>
      <c r="E62" s="27">
        <v>1000000</v>
      </c>
      <c r="F62" s="28">
        <v>1047.0409999999999</v>
      </c>
      <c r="G62" s="29">
        <v>2.224245E-2</v>
      </c>
      <c r="H62" s="17">
        <v>6.3482000000000003</v>
      </c>
    </row>
    <row r="63" spans="1:8" ht="25.5" x14ac:dyDescent="0.2">
      <c r="A63" s="25">
        <v>3</v>
      </c>
      <c r="B63" s="26" t="s">
        <v>88</v>
      </c>
      <c r="C63" s="26" t="s">
        <v>89</v>
      </c>
      <c r="D63" s="26" t="s">
        <v>85</v>
      </c>
      <c r="E63" s="27">
        <v>1000000</v>
      </c>
      <c r="F63" s="28">
        <v>1020.008</v>
      </c>
      <c r="G63" s="29">
        <v>2.166819E-2</v>
      </c>
      <c r="H63" s="17">
        <v>6.3734999999999999</v>
      </c>
    </row>
    <row r="64" spans="1:8" x14ac:dyDescent="0.2">
      <c r="A64" s="25">
        <v>4</v>
      </c>
      <c r="B64" s="26" t="s">
        <v>162</v>
      </c>
      <c r="C64" s="26" t="s">
        <v>163</v>
      </c>
      <c r="D64" s="26" t="s">
        <v>85</v>
      </c>
      <c r="E64" s="27">
        <v>500000</v>
      </c>
      <c r="F64" s="28">
        <v>518.98350000000005</v>
      </c>
      <c r="G64" s="29">
        <v>1.1024849999999999E-2</v>
      </c>
      <c r="H64" s="17">
        <v>6.9130000000000003</v>
      </c>
    </row>
    <row r="65" spans="1:8" x14ac:dyDescent="0.2">
      <c r="A65" s="25">
        <v>5</v>
      </c>
      <c r="B65" s="26" t="s">
        <v>164</v>
      </c>
      <c r="C65" s="26" t="s">
        <v>165</v>
      </c>
      <c r="D65" s="26" t="s">
        <v>85</v>
      </c>
      <c r="E65" s="27">
        <v>500000</v>
      </c>
      <c r="F65" s="28">
        <v>515.26649999999995</v>
      </c>
      <c r="G65" s="29">
        <v>1.094589E-2</v>
      </c>
      <c r="H65" s="17">
        <v>6.2164999999999999</v>
      </c>
    </row>
    <row r="66" spans="1:8" x14ac:dyDescent="0.2">
      <c r="A66" s="25">
        <v>6</v>
      </c>
      <c r="B66" s="26" t="s">
        <v>83</v>
      </c>
      <c r="C66" s="26" t="s">
        <v>84</v>
      </c>
      <c r="D66" s="26" t="s">
        <v>85</v>
      </c>
      <c r="E66" s="27">
        <v>500000</v>
      </c>
      <c r="F66" s="28">
        <v>497.35300000000001</v>
      </c>
      <c r="G66" s="29">
        <v>1.0565349999999999E-2</v>
      </c>
      <c r="H66" s="17">
        <v>6.5048000000000004</v>
      </c>
    </row>
    <row r="67" spans="1:8" x14ac:dyDescent="0.2">
      <c r="A67" s="25">
        <v>7</v>
      </c>
      <c r="B67" s="26" t="s">
        <v>98</v>
      </c>
      <c r="C67" s="26" t="s">
        <v>99</v>
      </c>
      <c r="D67" s="26" t="s">
        <v>85</v>
      </c>
      <c r="E67" s="27">
        <v>500000</v>
      </c>
      <c r="F67" s="28">
        <v>480.58699999999999</v>
      </c>
      <c r="G67" s="29">
        <v>1.020918E-2</v>
      </c>
      <c r="H67" s="17">
        <v>7.3258999999999999</v>
      </c>
    </row>
    <row r="68" spans="1:8" x14ac:dyDescent="0.2">
      <c r="A68" s="18"/>
      <c r="B68" s="18"/>
      <c r="C68" s="19" t="s">
        <v>11</v>
      </c>
      <c r="D68" s="18"/>
      <c r="E68" s="18" t="s">
        <v>12</v>
      </c>
      <c r="F68" s="24">
        <v>7142.0410000000002</v>
      </c>
      <c r="G68" s="21">
        <v>0.15171949000000001</v>
      </c>
      <c r="H68" s="17" t="s">
        <v>12</v>
      </c>
    </row>
    <row r="69" spans="1:8" x14ac:dyDescent="0.2">
      <c r="A69" s="18"/>
      <c r="B69" s="18"/>
      <c r="C69" s="22"/>
      <c r="D69" s="18"/>
      <c r="E69" s="18"/>
      <c r="F69" s="23"/>
      <c r="G69" s="23"/>
      <c r="H69" s="17" t="s">
        <v>12</v>
      </c>
    </row>
    <row r="70" spans="1:8" x14ac:dyDescent="0.2">
      <c r="A70" s="18"/>
      <c r="B70" s="18"/>
      <c r="C70" s="19" t="s">
        <v>100</v>
      </c>
      <c r="D70" s="18"/>
      <c r="E70" s="18"/>
      <c r="F70" s="23"/>
      <c r="G70" s="23"/>
      <c r="H70" s="17" t="s">
        <v>12</v>
      </c>
    </row>
    <row r="71" spans="1:8" x14ac:dyDescent="0.2">
      <c r="A71" s="18"/>
      <c r="B71" s="18"/>
      <c r="C71" s="19" t="s">
        <v>11</v>
      </c>
      <c r="D71" s="18"/>
      <c r="E71" s="18" t="s">
        <v>12</v>
      </c>
      <c r="F71" s="20" t="s">
        <v>13</v>
      </c>
      <c r="G71" s="21">
        <v>0</v>
      </c>
      <c r="H71" s="17" t="s">
        <v>12</v>
      </c>
    </row>
    <row r="72" spans="1:8" x14ac:dyDescent="0.2">
      <c r="A72" s="18"/>
      <c r="B72" s="18"/>
      <c r="C72" s="22"/>
      <c r="D72" s="18"/>
      <c r="E72" s="18"/>
      <c r="F72" s="23"/>
      <c r="G72" s="23"/>
      <c r="H72" s="17" t="s">
        <v>12</v>
      </c>
    </row>
    <row r="73" spans="1:8" x14ac:dyDescent="0.2">
      <c r="A73" s="18"/>
      <c r="B73" s="18"/>
      <c r="C73" s="19" t="s">
        <v>101</v>
      </c>
      <c r="D73" s="18"/>
      <c r="E73" s="18"/>
      <c r="F73" s="24">
        <v>40025.446000000004</v>
      </c>
      <c r="G73" s="21">
        <v>0.85026674999999996</v>
      </c>
      <c r="H73" s="17" t="s">
        <v>12</v>
      </c>
    </row>
    <row r="74" spans="1:8" x14ac:dyDescent="0.2">
      <c r="A74" s="18"/>
      <c r="B74" s="18"/>
      <c r="C74" s="22"/>
      <c r="D74" s="18"/>
      <c r="E74" s="18"/>
      <c r="F74" s="23"/>
      <c r="G74" s="23"/>
      <c r="H74" s="17" t="s">
        <v>12</v>
      </c>
    </row>
    <row r="75" spans="1:8" x14ac:dyDescent="0.2">
      <c r="A75" s="18"/>
      <c r="B75" s="18"/>
      <c r="C75" s="19" t="s">
        <v>102</v>
      </c>
      <c r="D75" s="18"/>
      <c r="E75" s="18"/>
      <c r="F75" s="23"/>
      <c r="G75" s="23"/>
      <c r="H75" s="17" t="s">
        <v>12</v>
      </c>
    </row>
    <row r="76" spans="1:8" x14ac:dyDescent="0.2">
      <c r="A76" s="18"/>
      <c r="B76" s="18"/>
      <c r="C76" s="19" t="s">
        <v>103</v>
      </c>
      <c r="D76" s="18"/>
      <c r="E76" s="18"/>
      <c r="F76" s="23"/>
      <c r="G76" s="23"/>
      <c r="H76" s="17" t="s">
        <v>12</v>
      </c>
    </row>
    <row r="77" spans="1:8" x14ac:dyDescent="0.2">
      <c r="A77" s="25">
        <v>1</v>
      </c>
      <c r="B77" s="26" t="s">
        <v>166</v>
      </c>
      <c r="C77" s="26" t="s">
        <v>167</v>
      </c>
      <c r="D77" s="26" t="s">
        <v>109</v>
      </c>
      <c r="E77" s="27">
        <v>400</v>
      </c>
      <c r="F77" s="28">
        <v>1928.7619999999999</v>
      </c>
      <c r="G77" s="29">
        <v>4.0972990000000001E-2</v>
      </c>
      <c r="H77" s="17">
        <v>6.1001000000000003</v>
      </c>
    </row>
    <row r="78" spans="1:8" x14ac:dyDescent="0.2">
      <c r="A78" s="25">
        <v>2</v>
      </c>
      <c r="B78" s="26" t="s">
        <v>168</v>
      </c>
      <c r="C78" s="26" t="s">
        <v>169</v>
      </c>
      <c r="D78" s="26" t="s">
        <v>109</v>
      </c>
      <c r="E78" s="27">
        <v>200</v>
      </c>
      <c r="F78" s="28">
        <v>967.91300000000001</v>
      </c>
      <c r="G78" s="29">
        <v>2.0561530000000001E-2</v>
      </c>
      <c r="H78" s="17">
        <v>6.05</v>
      </c>
    </row>
    <row r="79" spans="1:8" x14ac:dyDescent="0.2">
      <c r="A79" s="25">
        <v>3</v>
      </c>
      <c r="B79" s="26" t="s">
        <v>170</v>
      </c>
      <c r="C79" s="26" t="s">
        <v>171</v>
      </c>
      <c r="D79" s="26" t="s">
        <v>109</v>
      </c>
      <c r="E79" s="27">
        <v>100</v>
      </c>
      <c r="F79" s="28">
        <v>486.00650000000002</v>
      </c>
      <c r="G79" s="29">
        <v>1.032431E-2</v>
      </c>
      <c r="H79" s="17">
        <v>6.1101000000000001</v>
      </c>
    </row>
    <row r="80" spans="1:8" x14ac:dyDescent="0.2">
      <c r="A80" s="25">
        <v>4</v>
      </c>
      <c r="B80" s="26" t="s">
        <v>172</v>
      </c>
      <c r="C80" s="26" t="s">
        <v>173</v>
      </c>
      <c r="D80" s="26" t="s">
        <v>109</v>
      </c>
      <c r="E80" s="27">
        <v>100</v>
      </c>
      <c r="F80" s="28">
        <v>482.71749999999997</v>
      </c>
      <c r="G80" s="29">
        <v>1.025444E-2</v>
      </c>
      <c r="H80" s="17">
        <v>6.05</v>
      </c>
    </row>
    <row r="81" spans="1:8" x14ac:dyDescent="0.2">
      <c r="A81" s="18"/>
      <c r="B81" s="18"/>
      <c r="C81" s="19" t="s">
        <v>11</v>
      </c>
      <c r="D81" s="18"/>
      <c r="E81" s="18" t="s">
        <v>12</v>
      </c>
      <c r="F81" s="24">
        <v>3865.3989999999999</v>
      </c>
      <c r="G81" s="21">
        <v>8.2113270000000002E-2</v>
      </c>
      <c r="H81" s="17" t="s">
        <v>12</v>
      </c>
    </row>
    <row r="82" spans="1:8" x14ac:dyDescent="0.2">
      <c r="A82" s="18"/>
      <c r="B82" s="18"/>
      <c r="C82" s="22"/>
      <c r="D82" s="18"/>
      <c r="E82" s="18"/>
      <c r="F82" s="23"/>
      <c r="G82" s="23"/>
      <c r="H82" s="17" t="s">
        <v>12</v>
      </c>
    </row>
    <row r="83" spans="1:8" x14ac:dyDescent="0.2">
      <c r="A83" s="18"/>
      <c r="B83" s="18"/>
      <c r="C83" s="19" t="s">
        <v>110</v>
      </c>
      <c r="D83" s="18"/>
      <c r="E83" s="18"/>
      <c r="F83" s="23"/>
      <c r="G83" s="23"/>
      <c r="H83" s="17" t="s">
        <v>12</v>
      </c>
    </row>
    <row r="84" spans="1:8" x14ac:dyDescent="0.2">
      <c r="A84" s="18"/>
      <c r="B84" s="18"/>
      <c r="C84" s="19" t="s">
        <v>11</v>
      </c>
      <c r="D84" s="18"/>
      <c r="E84" s="18" t="s">
        <v>12</v>
      </c>
      <c r="F84" s="20" t="s">
        <v>13</v>
      </c>
      <c r="G84" s="21">
        <v>0</v>
      </c>
      <c r="H84" s="17" t="s">
        <v>12</v>
      </c>
    </row>
    <row r="85" spans="1:8" x14ac:dyDescent="0.2">
      <c r="A85" s="18"/>
      <c r="B85" s="18"/>
      <c r="C85" s="22"/>
      <c r="D85" s="18"/>
      <c r="E85" s="18"/>
      <c r="F85" s="23"/>
      <c r="G85" s="23"/>
      <c r="H85" s="17" t="s">
        <v>12</v>
      </c>
    </row>
    <row r="86" spans="1:8" x14ac:dyDescent="0.2">
      <c r="A86" s="18"/>
      <c r="B86" s="18"/>
      <c r="C86" s="19" t="s">
        <v>111</v>
      </c>
      <c r="D86" s="18"/>
      <c r="E86" s="18"/>
      <c r="F86" s="23"/>
      <c r="G86" s="23"/>
      <c r="H86" s="17" t="s">
        <v>12</v>
      </c>
    </row>
    <row r="87" spans="1:8" x14ac:dyDescent="0.2">
      <c r="A87" s="18"/>
      <c r="B87" s="18"/>
      <c r="C87" s="19" t="s">
        <v>11</v>
      </c>
      <c r="D87" s="18"/>
      <c r="E87" s="18" t="s">
        <v>12</v>
      </c>
      <c r="F87" s="20" t="s">
        <v>13</v>
      </c>
      <c r="G87" s="21">
        <v>0</v>
      </c>
      <c r="H87" s="17" t="s">
        <v>12</v>
      </c>
    </row>
    <row r="88" spans="1:8" x14ac:dyDescent="0.2">
      <c r="A88" s="18"/>
      <c r="B88" s="18"/>
      <c r="C88" s="22"/>
      <c r="D88" s="18"/>
      <c r="E88" s="18"/>
      <c r="F88" s="23"/>
      <c r="G88" s="23"/>
      <c r="H88" s="17" t="s">
        <v>12</v>
      </c>
    </row>
    <row r="89" spans="1:8" x14ac:dyDescent="0.2">
      <c r="A89" s="18"/>
      <c r="B89" s="18"/>
      <c r="C89" s="19" t="s">
        <v>112</v>
      </c>
      <c r="D89" s="18"/>
      <c r="E89" s="18"/>
      <c r="F89" s="23"/>
      <c r="G89" s="23"/>
      <c r="H89" s="17" t="s">
        <v>12</v>
      </c>
    </row>
    <row r="90" spans="1:8" x14ac:dyDescent="0.2">
      <c r="A90" s="25">
        <v>1</v>
      </c>
      <c r="B90" s="26"/>
      <c r="C90" s="26" t="s">
        <v>113</v>
      </c>
      <c r="D90" s="26"/>
      <c r="E90" s="30"/>
      <c r="F90" s="28">
        <v>1391.7945268989999</v>
      </c>
      <c r="G90" s="29">
        <v>2.956611E-2</v>
      </c>
      <c r="H90" s="17">
        <v>5.39</v>
      </c>
    </row>
    <row r="91" spans="1:8" x14ac:dyDescent="0.2">
      <c r="A91" s="18"/>
      <c r="B91" s="18"/>
      <c r="C91" s="19" t="s">
        <v>11</v>
      </c>
      <c r="D91" s="18"/>
      <c r="E91" s="18" t="s">
        <v>12</v>
      </c>
      <c r="F91" s="24">
        <v>1391.7945268989999</v>
      </c>
      <c r="G91" s="21">
        <v>2.956611E-2</v>
      </c>
      <c r="H91" s="17" t="s">
        <v>12</v>
      </c>
    </row>
    <row r="92" spans="1:8" x14ac:dyDescent="0.2">
      <c r="A92" s="18"/>
      <c r="B92" s="18"/>
      <c r="C92" s="22"/>
      <c r="D92" s="18"/>
      <c r="E92" s="18"/>
      <c r="F92" s="23"/>
      <c r="G92" s="23"/>
      <c r="H92" s="17" t="s">
        <v>12</v>
      </c>
    </row>
    <row r="93" spans="1:8" x14ac:dyDescent="0.2">
      <c r="A93" s="18"/>
      <c r="B93" s="18"/>
      <c r="C93" s="19" t="s">
        <v>114</v>
      </c>
      <c r="D93" s="18"/>
      <c r="E93" s="18"/>
      <c r="F93" s="24">
        <v>5257.1935268990001</v>
      </c>
      <c r="G93" s="21">
        <v>0.11167937999999999</v>
      </c>
      <c r="H93" s="17" t="s">
        <v>12</v>
      </c>
    </row>
    <row r="94" spans="1:8" x14ac:dyDescent="0.2">
      <c r="A94" s="18"/>
      <c r="B94" s="18"/>
      <c r="C94" s="23"/>
      <c r="D94" s="18"/>
      <c r="E94" s="18"/>
      <c r="F94" s="18"/>
      <c r="G94" s="18"/>
      <c r="H94" s="17" t="s">
        <v>12</v>
      </c>
    </row>
    <row r="95" spans="1:8" x14ac:dyDescent="0.2">
      <c r="A95" s="18"/>
      <c r="B95" s="18"/>
      <c r="C95" s="19" t="s">
        <v>115</v>
      </c>
      <c r="D95" s="18"/>
      <c r="E95" s="18"/>
      <c r="F95" s="18"/>
      <c r="G95" s="18"/>
      <c r="H95" s="17" t="s">
        <v>12</v>
      </c>
    </row>
    <row r="96" spans="1:8" x14ac:dyDescent="0.2">
      <c r="A96" s="18"/>
      <c r="B96" s="18"/>
      <c r="C96" s="19" t="s">
        <v>116</v>
      </c>
      <c r="D96" s="18"/>
      <c r="E96" s="18"/>
      <c r="F96" s="18"/>
      <c r="G96" s="18"/>
      <c r="H96" s="17" t="s">
        <v>12</v>
      </c>
    </row>
    <row r="97" spans="1:17" x14ac:dyDescent="0.2">
      <c r="A97" s="18"/>
      <c r="B97" s="18"/>
      <c r="C97" s="19" t="s">
        <v>11</v>
      </c>
      <c r="D97" s="18"/>
      <c r="E97" s="18" t="s">
        <v>12</v>
      </c>
      <c r="F97" s="20" t="s">
        <v>13</v>
      </c>
      <c r="G97" s="21">
        <v>0</v>
      </c>
      <c r="H97" s="17" t="s">
        <v>12</v>
      </c>
    </row>
    <row r="98" spans="1:17" x14ac:dyDescent="0.2">
      <c r="A98" s="15"/>
      <c r="B98" s="15"/>
      <c r="C98" s="31"/>
      <c r="D98" s="15"/>
      <c r="E98" s="15"/>
      <c r="F98" s="32"/>
      <c r="G98" s="32"/>
      <c r="H98" s="17" t="s">
        <v>12</v>
      </c>
    </row>
    <row r="99" spans="1:17" x14ac:dyDescent="0.2">
      <c r="A99" s="15"/>
      <c r="B99" s="15"/>
      <c r="C99" s="16" t="s">
        <v>593</v>
      </c>
      <c r="D99" s="15"/>
      <c r="E99" s="15"/>
      <c r="F99" s="32"/>
      <c r="G99" s="32"/>
      <c r="H99" s="17" t="s">
        <v>12</v>
      </c>
      <c r="K99" s="33"/>
      <c r="L99" s="33"/>
      <c r="M99" s="33"/>
      <c r="N99" s="33"/>
      <c r="O99" s="34"/>
      <c r="P99" s="34"/>
      <c r="Q99" s="34"/>
    </row>
    <row r="100" spans="1:17" x14ac:dyDescent="0.2">
      <c r="A100" s="35">
        <v>1</v>
      </c>
      <c r="B100" s="36" t="s">
        <v>117</v>
      </c>
      <c r="C100" s="36" t="s">
        <v>118</v>
      </c>
      <c r="D100" s="36"/>
      <c r="E100" s="37">
        <v>1167.5340000000001</v>
      </c>
      <c r="F100" s="38">
        <v>132.02679841200001</v>
      </c>
      <c r="G100" s="39">
        <v>2.80467E-3</v>
      </c>
      <c r="H100" s="17"/>
    </row>
    <row r="101" spans="1:17" x14ac:dyDescent="0.2">
      <c r="A101" s="15"/>
      <c r="B101" s="15"/>
      <c r="C101" s="16" t="s">
        <v>11</v>
      </c>
      <c r="D101" s="15"/>
      <c r="E101" s="15" t="s">
        <v>12</v>
      </c>
      <c r="F101" s="40">
        <f>SUM(F100)</f>
        <v>132.02679841200001</v>
      </c>
      <c r="G101" s="41">
        <f>SUM(G100)</f>
        <v>2.80467E-3</v>
      </c>
      <c r="H101" s="17" t="s">
        <v>12</v>
      </c>
    </row>
    <row r="102" spans="1:17" x14ac:dyDescent="0.2">
      <c r="A102" s="18"/>
      <c r="B102" s="18"/>
      <c r="C102" s="22"/>
      <c r="D102" s="18"/>
      <c r="E102" s="18"/>
      <c r="F102" s="23"/>
      <c r="G102" s="23"/>
      <c r="H102" s="17" t="s">
        <v>12</v>
      </c>
    </row>
    <row r="103" spans="1:17" x14ac:dyDescent="0.2">
      <c r="A103" s="18"/>
      <c r="B103" s="18"/>
      <c r="C103" s="19" t="s">
        <v>119</v>
      </c>
      <c r="D103" s="18"/>
      <c r="E103" s="18"/>
      <c r="F103" s="18"/>
      <c r="G103" s="18"/>
      <c r="H103" s="17" t="s">
        <v>12</v>
      </c>
    </row>
    <row r="104" spans="1:17" x14ac:dyDescent="0.2">
      <c r="A104" s="18"/>
      <c r="B104" s="18"/>
      <c r="C104" s="19" t="s">
        <v>120</v>
      </c>
      <c r="D104" s="18"/>
      <c r="E104" s="18"/>
      <c r="F104" s="18"/>
      <c r="G104" s="18"/>
      <c r="H104" s="17" t="s">
        <v>12</v>
      </c>
    </row>
    <row r="105" spans="1:17" x14ac:dyDescent="0.2">
      <c r="A105" s="18"/>
      <c r="B105" s="18"/>
      <c r="C105" s="19" t="s">
        <v>11</v>
      </c>
      <c r="D105" s="18"/>
      <c r="E105" s="18" t="s">
        <v>12</v>
      </c>
      <c r="F105" s="20" t="s">
        <v>13</v>
      </c>
      <c r="G105" s="21">
        <v>0</v>
      </c>
      <c r="H105" s="17" t="s">
        <v>12</v>
      </c>
    </row>
    <row r="106" spans="1:17" x14ac:dyDescent="0.2">
      <c r="A106" s="18"/>
      <c r="B106" s="18"/>
      <c r="C106" s="22"/>
      <c r="D106" s="18"/>
      <c r="E106" s="18"/>
      <c r="F106" s="23"/>
      <c r="G106" s="23"/>
      <c r="H106" s="17" t="s">
        <v>12</v>
      </c>
    </row>
    <row r="107" spans="1:17" x14ac:dyDescent="0.2">
      <c r="A107" s="18"/>
      <c r="B107" s="18"/>
      <c r="C107" s="19" t="s">
        <v>121</v>
      </c>
      <c r="D107" s="18"/>
      <c r="E107" s="18"/>
      <c r="F107" s="23"/>
      <c r="G107" s="23"/>
      <c r="H107" s="17" t="s">
        <v>12</v>
      </c>
    </row>
    <row r="108" spans="1:17" x14ac:dyDescent="0.2">
      <c r="A108" s="18"/>
      <c r="B108" s="18"/>
      <c r="C108" s="19" t="s">
        <v>11</v>
      </c>
      <c r="D108" s="18"/>
      <c r="E108" s="18" t="s">
        <v>12</v>
      </c>
      <c r="F108" s="20" t="s">
        <v>13</v>
      </c>
      <c r="G108" s="21">
        <v>0</v>
      </c>
      <c r="H108" s="17" t="s">
        <v>12</v>
      </c>
    </row>
    <row r="109" spans="1:17" x14ac:dyDescent="0.2">
      <c r="A109" s="18"/>
      <c r="B109" s="18"/>
      <c r="C109" s="22"/>
      <c r="D109" s="18"/>
      <c r="E109" s="18"/>
      <c r="F109" s="23"/>
      <c r="G109" s="23"/>
      <c r="H109" s="17" t="s">
        <v>12</v>
      </c>
    </row>
    <row r="110" spans="1:17" x14ac:dyDescent="0.2">
      <c r="A110" s="18"/>
      <c r="B110" s="26"/>
      <c r="C110" s="26"/>
      <c r="D110" s="19"/>
      <c r="E110" s="18"/>
      <c r="F110" s="26"/>
      <c r="G110" s="30"/>
      <c r="H110" s="17" t="s">
        <v>12</v>
      </c>
    </row>
    <row r="111" spans="1:17" x14ac:dyDescent="0.2">
      <c r="A111" s="30"/>
      <c r="B111" s="26"/>
      <c r="C111" s="26" t="s">
        <v>122</v>
      </c>
      <c r="D111" s="26"/>
      <c r="E111" s="30"/>
      <c r="F111" s="28">
        <v>1659.3225144800001</v>
      </c>
      <c r="G111" s="29">
        <v>3.5249240000000001E-2</v>
      </c>
      <c r="H111" s="17" t="s">
        <v>12</v>
      </c>
    </row>
    <row r="112" spans="1:17" x14ac:dyDescent="0.2">
      <c r="A112" s="22"/>
      <c r="B112" s="22"/>
      <c r="C112" s="19" t="s">
        <v>123</v>
      </c>
      <c r="D112" s="23"/>
      <c r="E112" s="23"/>
      <c r="F112" s="24">
        <v>47073.988839791004</v>
      </c>
      <c r="G112" s="42">
        <v>1.00000004</v>
      </c>
      <c r="H112" s="17" t="s">
        <v>12</v>
      </c>
    </row>
    <row r="113" spans="1:8" x14ac:dyDescent="0.2">
      <c r="A113" s="43"/>
      <c r="B113" s="43"/>
      <c r="C113" s="43"/>
      <c r="D113" s="44"/>
      <c r="E113" s="44"/>
      <c r="F113" s="44"/>
      <c r="G113" s="44"/>
    </row>
    <row r="114" spans="1:8" x14ac:dyDescent="0.2">
      <c r="A114" s="45"/>
      <c r="B114" s="150" t="s">
        <v>594</v>
      </c>
      <c r="C114" s="150"/>
      <c r="D114" s="150"/>
      <c r="E114" s="150"/>
      <c r="F114" s="150"/>
      <c r="G114" s="150"/>
      <c r="H114" s="150"/>
    </row>
    <row r="115" spans="1:8" x14ac:dyDescent="0.2">
      <c r="A115" s="45"/>
      <c r="B115" s="150" t="s">
        <v>595</v>
      </c>
      <c r="C115" s="150"/>
      <c r="D115" s="150"/>
      <c r="E115" s="150"/>
      <c r="F115" s="150"/>
      <c r="G115" s="150"/>
      <c r="H115" s="150"/>
    </row>
    <row r="116" spans="1:8" x14ac:dyDescent="0.2">
      <c r="A116" s="45"/>
      <c r="B116" s="150" t="s">
        <v>596</v>
      </c>
      <c r="C116" s="150"/>
      <c r="D116" s="150"/>
      <c r="E116" s="150"/>
      <c r="F116" s="150"/>
      <c r="G116" s="150"/>
      <c r="H116" s="150"/>
    </row>
    <row r="117" spans="1:8" x14ac:dyDescent="0.2">
      <c r="A117" s="45"/>
      <c r="B117" s="45"/>
      <c r="C117" s="45"/>
      <c r="D117" s="47"/>
      <c r="E117" s="47"/>
      <c r="F117" s="47"/>
      <c r="G117" s="47"/>
    </row>
    <row r="118" spans="1:8" x14ac:dyDescent="0.2">
      <c r="A118" s="45"/>
      <c r="B118" s="151" t="s">
        <v>124</v>
      </c>
      <c r="C118" s="152"/>
      <c r="D118" s="153"/>
      <c r="E118" s="48"/>
      <c r="F118" s="47"/>
      <c r="G118" s="47"/>
    </row>
    <row r="119" spans="1:8" ht="27" customHeight="1" x14ac:dyDescent="0.2">
      <c r="A119" s="45"/>
      <c r="B119" s="143" t="s">
        <v>125</v>
      </c>
      <c r="C119" s="144"/>
      <c r="D119" s="16" t="s">
        <v>126</v>
      </c>
      <c r="E119" s="48"/>
      <c r="F119" s="47"/>
      <c r="G119" s="47"/>
    </row>
    <row r="120" spans="1:8" x14ac:dyDescent="0.2">
      <c r="A120" s="45"/>
      <c r="B120" s="143" t="s">
        <v>127</v>
      </c>
      <c r="C120" s="144"/>
      <c r="D120" s="16" t="s">
        <v>126</v>
      </c>
      <c r="E120" s="48"/>
      <c r="F120" s="47"/>
      <c r="G120" s="47"/>
    </row>
    <row r="121" spans="1:8" x14ac:dyDescent="0.2">
      <c r="A121" s="45"/>
      <c r="B121" s="143" t="s">
        <v>128</v>
      </c>
      <c r="C121" s="144"/>
      <c r="D121" s="32" t="s">
        <v>12</v>
      </c>
      <c r="E121" s="48"/>
      <c r="F121" s="47"/>
      <c r="G121" s="47"/>
    </row>
    <row r="122" spans="1:8" x14ac:dyDescent="0.2">
      <c r="A122" s="49"/>
      <c r="B122" s="50" t="s">
        <v>12</v>
      </c>
      <c r="C122" s="50" t="s">
        <v>597</v>
      </c>
      <c r="D122" s="50" t="s">
        <v>129</v>
      </c>
      <c r="E122" s="49"/>
      <c r="F122" s="49"/>
      <c r="G122" s="49"/>
    </row>
    <row r="123" spans="1:8" x14ac:dyDescent="0.2">
      <c r="A123" s="51"/>
      <c r="B123" s="52" t="s">
        <v>130</v>
      </c>
      <c r="C123" s="53">
        <v>45869</v>
      </c>
      <c r="D123" s="53">
        <v>45884</v>
      </c>
      <c r="E123" s="51"/>
      <c r="F123" s="51"/>
      <c r="G123" s="51"/>
    </row>
    <row r="124" spans="1:8" x14ac:dyDescent="0.2">
      <c r="A124" s="51"/>
      <c r="B124" s="26" t="s">
        <v>131</v>
      </c>
      <c r="C124" s="54">
        <v>44.052100000000003</v>
      </c>
      <c r="D124" s="54">
        <v>44.066000000000003</v>
      </c>
      <c r="E124" s="51"/>
      <c r="F124" s="55"/>
      <c r="G124" s="56"/>
    </row>
    <row r="125" spans="1:8" ht="25.5" x14ac:dyDescent="0.2">
      <c r="A125" s="51"/>
      <c r="B125" s="26" t="s">
        <v>737</v>
      </c>
      <c r="C125" s="54">
        <v>11.7658</v>
      </c>
      <c r="D125" s="54">
        <v>11.769500000000001</v>
      </c>
      <c r="E125" s="51"/>
      <c r="F125" s="55"/>
      <c r="G125" s="56"/>
    </row>
    <row r="126" spans="1:8" x14ac:dyDescent="0.2">
      <c r="A126" s="51"/>
      <c r="B126" s="26" t="s">
        <v>132</v>
      </c>
      <c r="C126" s="54">
        <v>43.430100000000003</v>
      </c>
      <c r="D126" s="54">
        <v>43.441299999999998</v>
      </c>
      <c r="E126" s="51"/>
      <c r="F126" s="55"/>
      <c r="G126" s="56"/>
    </row>
    <row r="127" spans="1:8" ht="25.5" x14ac:dyDescent="0.2">
      <c r="A127" s="51"/>
      <c r="B127" s="26" t="s">
        <v>738</v>
      </c>
      <c r="C127" s="54">
        <v>11.809200000000001</v>
      </c>
      <c r="D127" s="54">
        <v>11.8123</v>
      </c>
      <c r="E127" s="51"/>
      <c r="F127" s="55"/>
      <c r="G127" s="56"/>
    </row>
    <row r="128" spans="1:8" x14ac:dyDescent="0.2">
      <c r="A128" s="51"/>
      <c r="B128" s="51"/>
      <c r="C128" s="51"/>
      <c r="D128" s="51"/>
      <c r="E128" s="51"/>
      <c r="F128" s="51"/>
      <c r="G128" s="51"/>
    </row>
    <row r="129" spans="1:18" x14ac:dyDescent="0.2">
      <c r="A129" s="51"/>
      <c r="B129" s="145" t="s">
        <v>598</v>
      </c>
      <c r="C129" s="146"/>
      <c r="D129" s="19" t="s">
        <v>126</v>
      </c>
      <c r="E129" s="51"/>
      <c r="F129" s="51"/>
      <c r="G129" s="51"/>
    </row>
    <row r="130" spans="1:18" x14ac:dyDescent="0.2">
      <c r="A130" s="51"/>
      <c r="B130" s="61"/>
      <c r="C130" s="61"/>
      <c r="D130" s="61"/>
      <c r="E130" s="51"/>
      <c r="F130" s="51"/>
      <c r="G130" s="51"/>
    </row>
    <row r="131" spans="1:18" x14ac:dyDescent="0.2">
      <c r="A131" s="49"/>
      <c r="B131" s="143" t="s">
        <v>133</v>
      </c>
      <c r="C131" s="144"/>
      <c r="D131" s="16" t="s">
        <v>126</v>
      </c>
      <c r="E131" s="60"/>
      <c r="F131" s="49"/>
      <c r="G131" s="49"/>
    </row>
    <row r="132" spans="1:18" x14ac:dyDescent="0.2">
      <c r="A132" s="49"/>
      <c r="B132" s="143" t="s">
        <v>134</v>
      </c>
      <c r="C132" s="144"/>
      <c r="D132" s="16" t="s">
        <v>126</v>
      </c>
      <c r="E132" s="60"/>
      <c r="F132" s="49"/>
      <c r="G132" s="49"/>
    </row>
    <row r="133" spans="1:18" x14ac:dyDescent="0.2">
      <c r="A133" s="49"/>
      <c r="B133" s="143" t="s">
        <v>599</v>
      </c>
      <c r="C133" s="144"/>
      <c r="D133" s="16" t="s">
        <v>126</v>
      </c>
      <c r="E133" s="60"/>
      <c r="F133" s="49"/>
      <c r="G133" s="49"/>
    </row>
    <row r="134" spans="1:18" x14ac:dyDescent="0.2">
      <c r="A134" s="61"/>
      <c r="B134" s="61"/>
      <c r="C134" s="61"/>
      <c r="D134" s="61"/>
      <c r="E134" s="61"/>
      <c r="F134" s="61"/>
      <c r="G134" s="61"/>
    </row>
    <row r="135" spans="1:18" s="62" customFormat="1" x14ac:dyDescent="0.2">
      <c r="B135" s="147" t="s">
        <v>600</v>
      </c>
      <c r="C135" s="148"/>
      <c r="D135" s="149"/>
      <c r="I135"/>
      <c r="J135" s="14"/>
      <c r="K135" s="33"/>
      <c r="L135" s="33"/>
      <c r="M135" s="33"/>
      <c r="N135" s="33"/>
      <c r="O135" s="68"/>
    </row>
    <row r="136" spans="1:18" s="62" customFormat="1" ht="38.25" x14ac:dyDescent="0.2">
      <c r="B136" s="141" t="s">
        <v>601</v>
      </c>
      <c r="C136" s="141"/>
      <c r="D136" s="63" t="s">
        <v>135</v>
      </c>
      <c r="I136"/>
      <c r="J136" s="14"/>
      <c r="K136" s="33"/>
      <c r="L136" s="33"/>
      <c r="M136" s="33"/>
      <c r="N136" s="33"/>
      <c r="O136" s="68"/>
    </row>
    <row r="137" spans="1:18" s="62" customFormat="1" x14ac:dyDescent="0.2">
      <c r="B137" s="142" t="s">
        <v>602</v>
      </c>
      <c r="C137" s="142"/>
      <c r="D137" s="64"/>
      <c r="I137"/>
      <c r="J137" s="14"/>
      <c r="K137" s="33"/>
      <c r="L137" s="33"/>
      <c r="M137" s="33"/>
      <c r="N137" s="33"/>
      <c r="O137" s="68"/>
    </row>
    <row r="138" spans="1:18" s="62" customFormat="1" x14ac:dyDescent="0.2">
      <c r="B138" s="142"/>
      <c r="C138" s="142"/>
      <c r="D138" s="65"/>
      <c r="I138"/>
      <c r="J138"/>
      <c r="K138" s="33"/>
      <c r="L138" s="33"/>
      <c r="M138" s="33"/>
      <c r="N138" s="33"/>
      <c r="O138" s="68"/>
    </row>
    <row r="139" spans="1:18" s="62" customFormat="1" x14ac:dyDescent="0.2">
      <c r="B139" s="142" t="s">
        <v>603</v>
      </c>
      <c r="C139" s="142"/>
      <c r="D139" s="66">
        <v>6.5962854439708032</v>
      </c>
      <c r="I139"/>
      <c r="J139"/>
      <c r="K139" s="33"/>
      <c r="L139" s="33"/>
      <c r="M139" s="33"/>
      <c r="N139" s="33"/>
      <c r="O139" s="68"/>
    </row>
    <row r="140" spans="1:18" s="62" customFormat="1" x14ac:dyDescent="0.2">
      <c r="B140" s="142"/>
      <c r="C140" s="142"/>
      <c r="D140" s="65"/>
      <c r="I140"/>
      <c r="J140" s="14"/>
      <c r="K140" s="33"/>
      <c r="L140" s="33"/>
      <c r="M140" s="33"/>
      <c r="N140" s="33"/>
      <c r="O140" s="68"/>
    </row>
    <row r="141" spans="1:18" s="62" customFormat="1" x14ac:dyDescent="0.2">
      <c r="B141" s="142" t="s">
        <v>604</v>
      </c>
      <c r="C141" s="142"/>
      <c r="D141" s="66">
        <v>2.9955156252257731</v>
      </c>
      <c r="I141"/>
      <c r="J141" s="14"/>
      <c r="K141" s="33"/>
      <c r="L141" s="33"/>
      <c r="M141" s="33"/>
      <c r="N141" s="33"/>
      <c r="O141" s="68"/>
    </row>
    <row r="142" spans="1:18" s="62" customFormat="1" x14ac:dyDescent="0.2">
      <c r="B142" s="142" t="s">
        <v>605</v>
      </c>
      <c r="C142" s="142"/>
      <c r="D142" s="66">
        <v>3.8533043093344341</v>
      </c>
      <c r="I142"/>
      <c r="J142" s="14"/>
      <c r="K142" s="33"/>
      <c r="L142" s="33"/>
      <c r="M142" s="33"/>
      <c r="N142" s="33"/>
      <c r="O142" s="68"/>
    </row>
    <row r="143" spans="1:18" s="62" customFormat="1" x14ac:dyDescent="0.2">
      <c r="B143" s="142"/>
      <c r="C143" s="142"/>
      <c r="D143" s="65"/>
      <c r="I143"/>
      <c r="J143" s="14"/>
      <c r="K143" s="33"/>
      <c r="L143" s="33"/>
      <c r="M143" s="33"/>
      <c r="N143" s="33"/>
      <c r="O143" s="68"/>
      <c r="R143"/>
    </row>
    <row r="144" spans="1:18" s="62" customFormat="1" x14ac:dyDescent="0.2">
      <c r="B144" s="142" t="s">
        <v>606</v>
      </c>
      <c r="C144" s="142"/>
      <c r="D144" s="67" t="s">
        <v>716</v>
      </c>
      <c r="I144"/>
      <c r="J144" s="14"/>
      <c r="K144" s="33"/>
      <c r="L144" s="33"/>
      <c r="M144" s="33"/>
      <c r="N144" s="33"/>
      <c r="O144" s="68"/>
    </row>
    <row r="145" spans="2:18" s="62" customFormat="1" x14ac:dyDescent="0.2">
      <c r="B145" s="155" t="s">
        <v>607</v>
      </c>
      <c r="C145" s="157"/>
      <c r="D145" s="156"/>
      <c r="I145"/>
      <c r="J145" s="14"/>
      <c r="K145" s="33"/>
      <c r="L145" s="33"/>
      <c r="M145" s="33"/>
      <c r="N145" s="33"/>
      <c r="O145" s="68"/>
      <c r="R145"/>
    </row>
    <row r="146" spans="2:18" x14ac:dyDescent="0.2">
      <c r="J146" s="14"/>
    </row>
    <row r="147" spans="2:18" x14ac:dyDescent="0.2">
      <c r="B147" s="70" t="s">
        <v>608</v>
      </c>
    </row>
    <row r="148" spans="2:18" ht="5.25" customHeight="1" x14ac:dyDescent="0.2"/>
    <row r="149" spans="2:18" ht="168" customHeight="1" x14ac:dyDescent="0.2"/>
    <row r="152" spans="2:18" x14ac:dyDescent="0.2">
      <c r="B152" s="70" t="s">
        <v>609</v>
      </c>
      <c r="C152" s="71"/>
      <c r="D152" s="70"/>
    </row>
    <row r="153" spans="2:18" x14ac:dyDescent="0.2">
      <c r="B153" s="70" t="s">
        <v>611</v>
      </c>
      <c r="D153" s="70"/>
    </row>
    <row r="155" spans="2:18" x14ac:dyDescent="0.2">
      <c r="J155" s="14"/>
    </row>
    <row r="156" spans="2:18" x14ac:dyDescent="0.2">
      <c r="J156" s="14"/>
    </row>
    <row r="157" spans="2:18" x14ac:dyDescent="0.2">
      <c r="J157" s="14"/>
    </row>
  </sheetData>
  <mergeCells count="25">
    <mergeCell ref="B142:C142"/>
    <mergeCell ref="B143:C143"/>
    <mergeCell ref="B144:C144"/>
    <mergeCell ref="B145:D145"/>
    <mergeCell ref="B121:C121"/>
    <mergeCell ref="B135:D135"/>
    <mergeCell ref="B139:C139"/>
    <mergeCell ref="B140:C140"/>
    <mergeCell ref="B141:C141"/>
    <mergeCell ref="B133:C133"/>
    <mergeCell ref="B132:C132"/>
    <mergeCell ref="B136:C136"/>
    <mergeCell ref="B137:C137"/>
    <mergeCell ref="B138:C138"/>
    <mergeCell ref="A1:H1"/>
    <mergeCell ref="A2:H2"/>
    <mergeCell ref="A3:H3"/>
    <mergeCell ref="B114:H114"/>
    <mergeCell ref="B115:H115"/>
    <mergeCell ref="B116:H116"/>
    <mergeCell ref="B118:D118"/>
    <mergeCell ref="B119:C119"/>
    <mergeCell ref="B120:C120"/>
    <mergeCell ref="B131:C131"/>
    <mergeCell ref="B129:C129"/>
  </mergeCells>
  <hyperlinks>
    <hyperlink ref="I1" location="Index!B2" display="Index" xr:uid="{0543AA35-4452-4BC9-A79D-79323E3D176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0D52-CF61-4408-8591-3B5CA813AEE6}">
  <sheetPr>
    <outlinePr summaryBelow="0" summaryRight="0"/>
  </sheetPr>
  <dimension ref="A1:Q183"/>
  <sheetViews>
    <sheetView showGridLines="0" workbookViewId="0">
      <selection activeCell="C19" sqref="C19"/>
    </sheetView>
  </sheetViews>
  <sheetFormatPr defaultColWidth="9.140625" defaultRowHeight="12.75" x14ac:dyDescent="0.2"/>
  <cols>
    <col min="1" max="1" width="5.85546875" bestFit="1" customWidth="1"/>
    <col min="2" max="2" width="19.28515625" bestFit="1" customWidth="1"/>
    <col min="3" max="3" width="43.5703125" customWidth="1"/>
    <col min="4" max="4" width="12.5703125" customWidth="1"/>
    <col min="5" max="5" width="9.42578125" bestFit="1" customWidth="1"/>
    <col min="6" max="6" width="10.140625" bestFit="1" customWidth="1"/>
    <col min="7" max="7" width="14" bestFit="1" customWidth="1"/>
    <col min="8" max="8" width="10.85546875" customWidth="1"/>
    <col min="9" max="9" width="5.7109375" bestFit="1" customWidth="1"/>
  </cols>
  <sheetData>
    <row r="1" spans="1:9" ht="15" x14ac:dyDescent="0.2">
      <c r="A1" s="154" t="s">
        <v>0</v>
      </c>
      <c r="B1" s="154"/>
      <c r="C1" s="154"/>
      <c r="D1" s="154"/>
      <c r="E1" s="154"/>
      <c r="F1" s="154"/>
      <c r="G1" s="154"/>
      <c r="H1" s="154"/>
      <c r="I1" s="1" t="s">
        <v>592</v>
      </c>
    </row>
    <row r="2" spans="1:9" ht="15" x14ac:dyDescent="0.2">
      <c r="A2" s="154" t="s">
        <v>174</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591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18"/>
      <c r="B28" s="18"/>
      <c r="C28" s="19" t="s">
        <v>11</v>
      </c>
      <c r="D28" s="18"/>
      <c r="E28" s="18" t="s">
        <v>12</v>
      </c>
      <c r="F28" s="20" t="s">
        <v>13</v>
      </c>
      <c r="G28" s="21">
        <v>0</v>
      </c>
      <c r="H28" s="17" t="s">
        <v>12</v>
      </c>
    </row>
    <row r="29" spans="1:8" x14ac:dyDescent="0.2">
      <c r="A29" s="18"/>
      <c r="B29" s="18"/>
      <c r="C29" s="22"/>
      <c r="D29" s="18"/>
      <c r="E29" s="18"/>
      <c r="F29" s="23"/>
      <c r="G29" s="23"/>
      <c r="H29" s="17" t="s">
        <v>12</v>
      </c>
    </row>
    <row r="30" spans="1:8" x14ac:dyDescent="0.2">
      <c r="A30" s="18"/>
      <c r="B30" s="18"/>
      <c r="C30" s="19" t="s">
        <v>81</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82</v>
      </c>
      <c r="D33" s="18"/>
      <c r="E33" s="18"/>
      <c r="F33" s="18"/>
      <c r="G33" s="18"/>
      <c r="H33" s="17" t="s">
        <v>12</v>
      </c>
    </row>
    <row r="34" spans="1:8" ht="25.5" x14ac:dyDescent="0.2">
      <c r="A34" s="25">
        <v>1</v>
      </c>
      <c r="B34" s="26" t="s">
        <v>175</v>
      </c>
      <c r="C34" s="26" t="s">
        <v>176</v>
      </c>
      <c r="D34" s="26" t="s">
        <v>85</v>
      </c>
      <c r="E34" s="27">
        <v>5000000</v>
      </c>
      <c r="F34" s="28">
        <v>5091.4350000000004</v>
      </c>
      <c r="G34" s="29">
        <v>2.2125039999999999E-2</v>
      </c>
      <c r="H34" s="17">
        <v>5.8506999999999998</v>
      </c>
    </row>
    <row r="35" spans="1:8" ht="25.5" x14ac:dyDescent="0.2">
      <c r="A35" s="25">
        <v>2</v>
      </c>
      <c r="B35" s="26" t="s">
        <v>177</v>
      </c>
      <c r="C35" s="26" t="s">
        <v>178</v>
      </c>
      <c r="D35" s="26" t="s">
        <v>85</v>
      </c>
      <c r="E35" s="27">
        <v>4000000</v>
      </c>
      <c r="F35" s="28">
        <v>4046.2840000000001</v>
      </c>
      <c r="G35" s="29">
        <v>1.7583290000000001E-2</v>
      </c>
      <c r="H35" s="17">
        <v>5.6749999999999998</v>
      </c>
    </row>
    <row r="36" spans="1:8" x14ac:dyDescent="0.2">
      <c r="A36" s="25">
        <v>3</v>
      </c>
      <c r="B36" s="26" t="s">
        <v>179</v>
      </c>
      <c r="C36" s="26" t="s">
        <v>180</v>
      </c>
      <c r="D36" s="26" t="s">
        <v>85</v>
      </c>
      <c r="E36" s="27">
        <v>2500000</v>
      </c>
      <c r="F36" s="28">
        <v>2539.1849999999999</v>
      </c>
      <c r="G36" s="29">
        <v>1.103413E-2</v>
      </c>
      <c r="H36" s="17">
        <v>5.8377999999999997</v>
      </c>
    </row>
    <row r="37" spans="1:8" x14ac:dyDescent="0.2">
      <c r="A37" s="18"/>
      <c r="B37" s="18"/>
      <c r="C37" s="19" t="s">
        <v>11</v>
      </c>
      <c r="D37" s="18"/>
      <c r="E37" s="18" t="s">
        <v>12</v>
      </c>
      <c r="F37" s="24">
        <v>11676.904</v>
      </c>
      <c r="G37" s="21">
        <v>5.0742460000000003E-2</v>
      </c>
      <c r="H37" s="17" t="s">
        <v>12</v>
      </c>
    </row>
    <row r="38" spans="1:8" x14ac:dyDescent="0.2">
      <c r="A38" s="18"/>
      <c r="B38" s="18"/>
      <c r="C38" s="22"/>
      <c r="D38" s="18"/>
      <c r="E38" s="18"/>
      <c r="F38" s="23"/>
      <c r="G38" s="23"/>
      <c r="H38" s="17" t="s">
        <v>12</v>
      </c>
    </row>
    <row r="39" spans="1:8" x14ac:dyDescent="0.2">
      <c r="A39" s="18"/>
      <c r="B39" s="18"/>
      <c r="C39" s="19" t="s">
        <v>100</v>
      </c>
      <c r="D39" s="18"/>
      <c r="E39" s="18"/>
      <c r="F39" s="23"/>
      <c r="G39" s="23"/>
      <c r="H39" s="17" t="s">
        <v>12</v>
      </c>
    </row>
    <row r="40" spans="1:8" x14ac:dyDescent="0.2">
      <c r="A40" s="18"/>
      <c r="B40" s="18"/>
      <c r="C40" s="19" t="s">
        <v>11</v>
      </c>
      <c r="D40" s="18"/>
      <c r="E40" s="18" t="s">
        <v>12</v>
      </c>
      <c r="F40" s="20" t="s">
        <v>13</v>
      </c>
      <c r="G40" s="21">
        <v>0</v>
      </c>
      <c r="H40" s="17" t="s">
        <v>12</v>
      </c>
    </row>
    <row r="41" spans="1:8" x14ac:dyDescent="0.2">
      <c r="A41" s="18"/>
      <c r="B41" s="18"/>
      <c r="C41" s="22"/>
      <c r="D41" s="18"/>
      <c r="E41" s="18"/>
      <c r="F41" s="23"/>
      <c r="G41" s="23"/>
      <c r="H41" s="17" t="s">
        <v>12</v>
      </c>
    </row>
    <row r="42" spans="1:8" x14ac:dyDescent="0.2">
      <c r="A42" s="18"/>
      <c r="B42" s="18"/>
      <c r="C42" s="19" t="s">
        <v>101</v>
      </c>
      <c r="D42" s="18"/>
      <c r="E42" s="18"/>
      <c r="F42" s="24">
        <v>11676.904</v>
      </c>
      <c r="G42" s="21">
        <v>5.0742460000000003E-2</v>
      </c>
      <c r="H42" s="17" t="s">
        <v>12</v>
      </c>
    </row>
    <row r="43" spans="1:8" x14ac:dyDescent="0.2">
      <c r="A43" s="18"/>
      <c r="B43" s="18"/>
      <c r="C43" s="22"/>
      <c r="D43" s="18"/>
      <c r="E43" s="18"/>
      <c r="F43" s="23"/>
      <c r="G43" s="23"/>
      <c r="H43" s="17" t="s">
        <v>12</v>
      </c>
    </row>
    <row r="44" spans="1:8" x14ac:dyDescent="0.2">
      <c r="A44" s="18"/>
      <c r="B44" s="18"/>
      <c r="C44" s="19" t="s">
        <v>102</v>
      </c>
      <c r="D44" s="18"/>
      <c r="E44" s="18"/>
      <c r="F44" s="23"/>
      <c r="G44" s="23"/>
      <c r="H44" s="17" t="s">
        <v>12</v>
      </c>
    </row>
    <row r="45" spans="1:8" x14ac:dyDescent="0.2">
      <c r="A45" s="18"/>
      <c r="B45" s="18"/>
      <c r="C45" s="19" t="s">
        <v>103</v>
      </c>
      <c r="D45" s="18"/>
      <c r="E45" s="18"/>
      <c r="F45" s="23"/>
      <c r="G45" s="23"/>
      <c r="H45" s="17" t="s">
        <v>12</v>
      </c>
    </row>
    <row r="46" spans="1:8" x14ac:dyDescent="0.2">
      <c r="A46" s="25">
        <v>1</v>
      </c>
      <c r="B46" s="26" t="s">
        <v>172</v>
      </c>
      <c r="C46" s="26" t="s">
        <v>173</v>
      </c>
      <c r="D46" s="26" t="s">
        <v>109</v>
      </c>
      <c r="E46" s="27">
        <v>2200</v>
      </c>
      <c r="F46" s="28">
        <v>10619.785</v>
      </c>
      <c r="G46" s="29">
        <v>4.6148700000000001E-2</v>
      </c>
      <c r="H46" s="17">
        <v>6.05</v>
      </c>
    </row>
    <row r="47" spans="1:8" x14ac:dyDescent="0.2">
      <c r="A47" s="25">
        <v>2</v>
      </c>
      <c r="B47" s="26" t="s">
        <v>181</v>
      </c>
      <c r="C47" s="26" t="s">
        <v>182</v>
      </c>
      <c r="D47" s="26" t="s">
        <v>109</v>
      </c>
      <c r="E47" s="27">
        <v>2000</v>
      </c>
      <c r="F47" s="28">
        <v>9675.2800000000007</v>
      </c>
      <c r="G47" s="29">
        <v>4.2044320000000003E-2</v>
      </c>
      <c r="H47" s="17">
        <v>6.125</v>
      </c>
    </row>
    <row r="48" spans="1:8" x14ac:dyDescent="0.2">
      <c r="A48" s="25">
        <v>3</v>
      </c>
      <c r="B48" s="26" t="s">
        <v>183</v>
      </c>
      <c r="C48" s="26" t="s">
        <v>184</v>
      </c>
      <c r="D48" s="26" t="s">
        <v>109</v>
      </c>
      <c r="E48" s="27">
        <v>1500</v>
      </c>
      <c r="F48" s="28">
        <v>7241.0325000000003</v>
      </c>
      <c r="G48" s="29">
        <v>3.14662E-2</v>
      </c>
      <c r="H48" s="17">
        <v>6.1</v>
      </c>
    </row>
    <row r="49" spans="1:8" x14ac:dyDescent="0.2">
      <c r="A49" s="25">
        <v>4</v>
      </c>
      <c r="B49" s="26" t="s">
        <v>185</v>
      </c>
      <c r="C49" s="26" t="s">
        <v>186</v>
      </c>
      <c r="D49" s="26" t="s">
        <v>109</v>
      </c>
      <c r="E49" s="27">
        <v>1500</v>
      </c>
      <c r="F49" s="28">
        <v>7231.92</v>
      </c>
      <c r="G49" s="29">
        <v>3.1426599999999999E-2</v>
      </c>
      <c r="H49" s="17">
        <v>6.15</v>
      </c>
    </row>
    <row r="50" spans="1:8" x14ac:dyDescent="0.2">
      <c r="A50" s="25">
        <v>5</v>
      </c>
      <c r="B50" s="26" t="s">
        <v>187</v>
      </c>
      <c r="C50" s="26" t="s">
        <v>188</v>
      </c>
      <c r="D50" s="26" t="s">
        <v>109</v>
      </c>
      <c r="E50" s="27">
        <v>1000</v>
      </c>
      <c r="F50" s="28">
        <v>4910.55</v>
      </c>
      <c r="G50" s="29">
        <v>2.1338989999999999E-2</v>
      </c>
      <c r="H50" s="17">
        <v>5.9901</v>
      </c>
    </row>
    <row r="51" spans="1:8" x14ac:dyDescent="0.2">
      <c r="A51" s="25">
        <v>6</v>
      </c>
      <c r="B51" s="26" t="s">
        <v>189</v>
      </c>
      <c r="C51" s="26" t="s">
        <v>190</v>
      </c>
      <c r="D51" s="26" t="s">
        <v>191</v>
      </c>
      <c r="E51" s="27">
        <v>1000</v>
      </c>
      <c r="F51" s="28">
        <v>4905.3249999999998</v>
      </c>
      <c r="G51" s="29">
        <v>2.1316290000000002E-2</v>
      </c>
      <c r="H51" s="17">
        <v>5.9701000000000004</v>
      </c>
    </row>
    <row r="52" spans="1:8" x14ac:dyDescent="0.2">
      <c r="A52" s="25">
        <v>7</v>
      </c>
      <c r="B52" s="26" t="s">
        <v>192</v>
      </c>
      <c r="C52" s="26" t="s">
        <v>193</v>
      </c>
      <c r="D52" s="26" t="s">
        <v>109</v>
      </c>
      <c r="E52" s="27">
        <v>1000</v>
      </c>
      <c r="F52" s="28">
        <v>4858.4849999999997</v>
      </c>
      <c r="G52" s="29">
        <v>2.1112740000000001E-2</v>
      </c>
      <c r="H52" s="17">
        <v>6.11</v>
      </c>
    </row>
    <row r="53" spans="1:8" x14ac:dyDescent="0.2">
      <c r="A53" s="25">
        <v>8</v>
      </c>
      <c r="B53" s="26" t="s">
        <v>194</v>
      </c>
      <c r="C53" s="26" t="s">
        <v>195</v>
      </c>
      <c r="D53" s="26" t="s">
        <v>109</v>
      </c>
      <c r="E53" s="27">
        <v>1000</v>
      </c>
      <c r="F53" s="28">
        <v>4836.72</v>
      </c>
      <c r="G53" s="29">
        <v>2.1018160000000001E-2</v>
      </c>
      <c r="H53" s="17">
        <v>6.1001000000000003</v>
      </c>
    </row>
    <row r="54" spans="1:8" ht="25.5" x14ac:dyDescent="0.2">
      <c r="A54" s="25">
        <v>9</v>
      </c>
      <c r="B54" s="26" t="s">
        <v>196</v>
      </c>
      <c r="C54" s="26" t="s">
        <v>197</v>
      </c>
      <c r="D54" s="26" t="s">
        <v>109</v>
      </c>
      <c r="E54" s="27">
        <v>1000</v>
      </c>
      <c r="F54" s="28">
        <v>4832.5150000000003</v>
      </c>
      <c r="G54" s="29">
        <v>2.099989E-2</v>
      </c>
      <c r="H54" s="17">
        <v>6.141</v>
      </c>
    </row>
    <row r="55" spans="1:8" x14ac:dyDescent="0.2">
      <c r="A55" s="25">
        <v>10</v>
      </c>
      <c r="B55" s="26" t="s">
        <v>198</v>
      </c>
      <c r="C55" s="26" t="s">
        <v>199</v>
      </c>
      <c r="D55" s="26" t="s">
        <v>109</v>
      </c>
      <c r="E55" s="27">
        <v>1000</v>
      </c>
      <c r="F55" s="28">
        <v>4832.03</v>
      </c>
      <c r="G55" s="29">
        <v>2.0997780000000001E-2</v>
      </c>
      <c r="H55" s="17">
        <v>6.1001000000000003</v>
      </c>
    </row>
    <row r="56" spans="1:8" x14ac:dyDescent="0.2">
      <c r="A56" s="25">
        <v>11</v>
      </c>
      <c r="B56" s="26" t="s">
        <v>200</v>
      </c>
      <c r="C56" s="26" t="s">
        <v>201</v>
      </c>
      <c r="D56" s="26" t="s">
        <v>109</v>
      </c>
      <c r="E56" s="27">
        <v>1000</v>
      </c>
      <c r="F56" s="28">
        <v>4827.9449999999997</v>
      </c>
      <c r="G56" s="29">
        <v>2.098003E-2</v>
      </c>
      <c r="H56" s="17">
        <v>6.05</v>
      </c>
    </row>
    <row r="57" spans="1:8" x14ac:dyDescent="0.2">
      <c r="A57" s="25">
        <v>12</v>
      </c>
      <c r="B57" s="26" t="s">
        <v>202</v>
      </c>
      <c r="C57" s="26" t="s">
        <v>203</v>
      </c>
      <c r="D57" s="26" t="s">
        <v>109</v>
      </c>
      <c r="E57" s="27">
        <v>1000</v>
      </c>
      <c r="F57" s="28">
        <v>4827.3549999999996</v>
      </c>
      <c r="G57" s="29">
        <v>2.0977470000000002E-2</v>
      </c>
      <c r="H57" s="17">
        <v>6.1</v>
      </c>
    </row>
    <row r="58" spans="1:8" x14ac:dyDescent="0.2">
      <c r="A58" s="25">
        <v>13</v>
      </c>
      <c r="B58" s="26" t="s">
        <v>204</v>
      </c>
      <c r="C58" s="26" t="s">
        <v>205</v>
      </c>
      <c r="D58" s="26" t="s">
        <v>109</v>
      </c>
      <c r="E58" s="27">
        <v>1000</v>
      </c>
      <c r="F58" s="28">
        <v>4705.97</v>
      </c>
      <c r="G58" s="29">
        <v>2.044998E-2</v>
      </c>
      <c r="H58" s="17">
        <v>6.3525</v>
      </c>
    </row>
    <row r="59" spans="1:8" ht="25.5" x14ac:dyDescent="0.2">
      <c r="A59" s="25">
        <v>14</v>
      </c>
      <c r="B59" s="26" t="s">
        <v>206</v>
      </c>
      <c r="C59" s="26" t="s">
        <v>207</v>
      </c>
      <c r="D59" s="26" t="s">
        <v>109</v>
      </c>
      <c r="E59" s="27">
        <v>900</v>
      </c>
      <c r="F59" s="28">
        <v>4337.9369999999999</v>
      </c>
      <c r="G59" s="29">
        <v>1.8850680000000002E-2</v>
      </c>
      <c r="H59" s="17">
        <v>6.1425000000000001</v>
      </c>
    </row>
    <row r="60" spans="1:8" ht="25.5" x14ac:dyDescent="0.2">
      <c r="A60" s="25">
        <v>15</v>
      </c>
      <c r="B60" s="26" t="s">
        <v>208</v>
      </c>
      <c r="C60" s="26" t="s">
        <v>209</v>
      </c>
      <c r="D60" s="26" t="s">
        <v>109</v>
      </c>
      <c r="E60" s="27">
        <v>800</v>
      </c>
      <c r="F60" s="28">
        <v>3873.16</v>
      </c>
      <c r="G60" s="29">
        <v>1.6830970000000001E-2</v>
      </c>
      <c r="H60" s="17">
        <v>6.13</v>
      </c>
    </row>
    <row r="61" spans="1:8" ht="25.5" x14ac:dyDescent="0.2">
      <c r="A61" s="25">
        <v>16</v>
      </c>
      <c r="B61" s="26" t="s">
        <v>210</v>
      </c>
      <c r="C61" s="26" t="s">
        <v>211</v>
      </c>
      <c r="D61" s="26" t="s">
        <v>109</v>
      </c>
      <c r="E61" s="27">
        <v>800</v>
      </c>
      <c r="F61" s="28">
        <v>3873.06</v>
      </c>
      <c r="G61" s="29">
        <v>1.6830540000000001E-2</v>
      </c>
      <c r="H61" s="17">
        <v>6.1349999999999998</v>
      </c>
    </row>
    <row r="62" spans="1:8" x14ac:dyDescent="0.2">
      <c r="A62" s="25">
        <v>17</v>
      </c>
      <c r="B62" s="26" t="s">
        <v>212</v>
      </c>
      <c r="C62" s="26" t="s">
        <v>213</v>
      </c>
      <c r="D62" s="26" t="s">
        <v>109</v>
      </c>
      <c r="E62" s="27">
        <v>600</v>
      </c>
      <c r="F62" s="28">
        <v>2916.1080000000002</v>
      </c>
      <c r="G62" s="29">
        <v>1.2672070000000001E-2</v>
      </c>
      <c r="H62" s="17">
        <v>6.1050000000000004</v>
      </c>
    </row>
    <row r="63" spans="1:8" x14ac:dyDescent="0.2">
      <c r="A63" s="25">
        <v>18</v>
      </c>
      <c r="B63" s="26" t="s">
        <v>214</v>
      </c>
      <c r="C63" s="26" t="s">
        <v>215</v>
      </c>
      <c r="D63" s="26" t="s">
        <v>109</v>
      </c>
      <c r="E63" s="27">
        <v>500</v>
      </c>
      <c r="F63" s="28">
        <v>2469.9425000000001</v>
      </c>
      <c r="G63" s="29">
        <v>1.073324E-2</v>
      </c>
      <c r="H63" s="17">
        <v>6.0850999999999997</v>
      </c>
    </row>
    <row r="64" spans="1:8" x14ac:dyDescent="0.2">
      <c r="A64" s="25">
        <v>19</v>
      </c>
      <c r="B64" s="26" t="s">
        <v>216</v>
      </c>
      <c r="C64" s="26" t="s">
        <v>217</v>
      </c>
      <c r="D64" s="26" t="s">
        <v>109</v>
      </c>
      <c r="E64" s="27">
        <v>500</v>
      </c>
      <c r="F64" s="28">
        <v>2452.875</v>
      </c>
      <c r="G64" s="29">
        <v>1.065907E-2</v>
      </c>
      <c r="H64" s="17">
        <v>6.3174999999999999</v>
      </c>
    </row>
    <row r="65" spans="1:8" x14ac:dyDescent="0.2">
      <c r="A65" s="25">
        <v>20</v>
      </c>
      <c r="B65" s="26" t="s">
        <v>218</v>
      </c>
      <c r="C65" s="26" t="s">
        <v>219</v>
      </c>
      <c r="D65" s="26" t="s">
        <v>109</v>
      </c>
      <c r="E65" s="27">
        <v>500</v>
      </c>
      <c r="F65" s="28">
        <v>2450.85</v>
      </c>
      <c r="G65" s="29">
        <v>1.065027E-2</v>
      </c>
      <c r="H65" s="17">
        <v>5.9999000000000002</v>
      </c>
    </row>
    <row r="66" spans="1:8" x14ac:dyDescent="0.2">
      <c r="A66" s="25">
        <v>21</v>
      </c>
      <c r="B66" s="26" t="s">
        <v>220</v>
      </c>
      <c r="C66" s="26" t="s">
        <v>221</v>
      </c>
      <c r="D66" s="26" t="s">
        <v>109</v>
      </c>
      <c r="E66" s="27">
        <v>500</v>
      </c>
      <c r="F66" s="28">
        <v>2430.2550000000001</v>
      </c>
      <c r="G66" s="29">
        <v>1.0560770000000001E-2</v>
      </c>
      <c r="H66" s="17">
        <v>6.0900999999999996</v>
      </c>
    </row>
    <row r="67" spans="1:8" ht="25.5" x14ac:dyDescent="0.2">
      <c r="A67" s="25">
        <v>22</v>
      </c>
      <c r="B67" s="26" t="s">
        <v>222</v>
      </c>
      <c r="C67" s="26" t="s">
        <v>223</v>
      </c>
      <c r="D67" s="26" t="s">
        <v>109</v>
      </c>
      <c r="E67" s="27">
        <v>500</v>
      </c>
      <c r="F67" s="28">
        <v>2429.415</v>
      </c>
      <c r="G67" s="29">
        <v>1.055712E-2</v>
      </c>
      <c r="H67" s="17">
        <v>6.13</v>
      </c>
    </row>
    <row r="68" spans="1:8" x14ac:dyDescent="0.2">
      <c r="A68" s="25">
        <v>23</v>
      </c>
      <c r="B68" s="26" t="s">
        <v>224</v>
      </c>
      <c r="C68" s="26" t="s">
        <v>225</v>
      </c>
      <c r="D68" s="26" t="s">
        <v>109</v>
      </c>
      <c r="E68" s="27">
        <v>500</v>
      </c>
      <c r="F68" s="28">
        <v>2425.23</v>
      </c>
      <c r="G68" s="29">
        <v>1.053894E-2</v>
      </c>
      <c r="H68" s="17">
        <v>6.05</v>
      </c>
    </row>
    <row r="69" spans="1:8" ht="25.5" x14ac:dyDescent="0.2">
      <c r="A69" s="25">
        <v>24</v>
      </c>
      <c r="B69" s="26" t="s">
        <v>226</v>
      </c>
      <c r="C69" s="26" t="s">
        <v>227</v>
      </c>
      <c r="D69" s="26" t="s">
        <v>109</v>
      </c>
      <c r="E69" s="27">
        <v>500</v>
      </c>
      <c r="F69" s="28">
        <v>2424.6675</v>
      </c>
      <c r="G69" s="29">
        <v>1.0536490000000001E-2</v>
      </c>
      <c r="H69" s="17">
        <v>6.13</v>
      </c>
    </row>
    <row r="70" spans="1:8" x14ac:dyDescent="0.2">
      <c r="A70" s="25">
        <v>25</v>
      </c>
      <c r="B70" s="26" t="s">
        <v>228</v>
      </c>
      <c r="C70" s="26" t="s">
        <v>229</v>
      </c>
      <c r="D70" s="26" t="s">
        <v>109</v>
      </c>
      <c r="E70" s="27">
        <v>500</v>
      </c>
      <c r="F70" s="28">
        <v>2421.7249999999999</v>
      </c>
      <c r="G70" s="29">
        <v>1.05237E-2</v>
      </c>
      <c r="H70" s="17">
        <v>6.05</v>
      </c>
    </row>
    <row r="71" spans="1:8" x14ac:dyDescent="0.2">
      <c r="A71" s="25">
        <v>26</v>
      </c>
      <c r="B71" s="26" t="s">
        <v>230</v>
      </c>
      <c r="C71" s="26" t="s">
        <v>231</v>
      </c>
      <c r="D71" s="26" t="s">
        <v>109</v>
      </c>
      <c r="E71" s="27">
        <v>500</v>
      </c>
      <c r="F71" s="28">
        <v>2420.7049999999999</v>
      </c>
      <c r="G71" s="29">
        <v>1.0519270000000001E-2</v>
      </c>
      <c r="H71" s="17">
        <v>6.26</v>
      </c>
    </row>
    <row r="72" spans="1:8" x14ac:dyDescent="0.2">
      <c r="A72" s="25">
        <v>27</v>
      </c>
      <c r="B72" s="26" t="s">
        <v>232</v>
      </c>
      <c r="C72" s="26" t="s">
        <v>233</v>
      </c>
      <c r="D72" s="26" t="s">
        <v>109</v>
      </c>
      <c r="E72" s="27">
        <v>500</v>
      </c>
      <c r="F72" s="28">
        <v>2416.2925</v>
      </c>
      <c r="G72" s="29">
        <v>1.05001E-2</v>
      </c>
      <c r="H72" s="17">
        <v>6.05</v>
      </c>
    </row>
    <row r="73" spans="1:8" x14ac:dyDescent="0.2">
      <c r="A73" s="25">
        <v>28</v>
      </c>
      <c r="B73" s="26" t="s">
        <v>234</v>
      </c>
      <c r="C73" s="26" t="s">
        <v>235</v>
      </c>
      <c r="D73" s="26" t="s">
        <v>109</v>
      </c>
      <c r="E73" s="27">
        <v>500</v>
      </c>
      <c r="F73" s="28">
        <v>2415.6275000000001</v>
      </c>
      <c r="G73" s="29">
        <v>1.049721E-2</v>
      </c>
      <c r="H73" s="17">
        <v>6.1</v>
      </c>
    </row>
    <row r="74" spans="1:8" x14ac:dyDescent="0.2">
      <c r="A74" s="25">
        <v>29</v>
      </c>
      <c r="B74" s="26" t="s">
        <v>236</v>
      </c>
      <c r="C74" s="26" t="s">
        <v>237</v>
      </c>
      <c r="D74" s="26" t="s">
        <v>109</v>
      </c>
      <c r="E74" s="27">
        <v>500</v>
      </c>
      <c r="F74" s="28">
        <v>2386.3200000000002</v>
      </c>
      <c r="G74" s="29">
        <v>1.036985E-2</v>
      </c>
      <c r="H74" s="17">
        <v>6.3</v>
      </c>
    </row>
    <row r="75" spans="1:8" x14ac:dyDescent="0.2">
      <c r="A75" s="25">
        <v>30</v>
      </c>
      <c r="B75" s="26" t="s">
        <v>238</v>
      </c>
      <c r="C75" s="26" t="s">
        <v>239</v>
      </c>
      <c r="D75" s="26" t="s">
        <v>109</v>
      </c>
      <c r="E75" s="27">
        <v>500</v>
      </c>
      <c r="F75" s="28">
        <v>2377.31</v>
      </c>
      <c r="G75" s="29">
        <v>1.03307E-2</v>
      </c>
      <c r="H75" s="17">
        <v>6.3000999999999996</v>
      </c>
    </row>
    <row r="76" spans="1:8" x14ac:dyDescent="0.2">
      <c r="A76" s="25">
        <v>31</v>
      </c>
      <c r="B76" s="26" t="s">
        <v>240</v>
      </c>
      <c r="C76" s="26" t="s">
        <v>241</v>
      </c>
      <c r="D76" s="26" t="s">
        <v>109</v>
      </c>
      <c r="E76" s="27">
        <v>500</v>
      </c>
      <c r="F76" s="28">
        <v>2372.25</v>
      </c>
      <c r="G76" s="29">
        <v>1.030871E-2</v>
      </c>
      <c r="H76" s="17">
        <v>6.3</v>
      </c>
    </row>
    <row r="77" spans="1:8" x14ac:dyDescent="0.2">
      <c r="A77" s="25">
        <v>32</v>
      </c>
      <c r="B77" s="26" t="s">
        <v>170</v>
      </c>
      <c r="C77" s="26" t="s">
        <v>171</v>
      </c>
      <c r="D77" s="26" t="s">
        <v>109</v>
      </c>
      <c r="E77" s="27">
        <v>400</v>
      </c>
      <c r="F77" s="28">
        <v>1944.0260000000001</v>
      </c>
      <c r="G77" s="29">
        <v>8.4478399999999999E-3</v>
      </c>
      <c r="H77" s="17">
        <v>6.1101000000000001</v>
      </c>
    </row>
    <row r="78" spans="1:8" x14ac:dyDescent="0.2">
      <c r="A78" s="25">
        <v>33</v>
      </c>
      <c r="B78" s="26" t="s">
        <v>242</v>
      </c>
      <c r="C78" s="26" t="s">
        <v>243</v>
      </c>
      <c r="D78" s="26" t="s">
        <v>109</v>
      </c>
      <c r="E78" s="27">
        <v>300</v>
      </c>
      <c r="F78" s="28">
        <v>1470.1334999999999</v>
      </c>
      <c r="G78" s="29">
        <v>6.38852E-3</v>
      </c>
      <c r="H78" s="17">
        <v>5.9801000000000002</v>
      </c>
    </row>
    <row r="79" spans="1:8" x14ac:dyDescent="0.2">
      <c r="A79" s="25">
        <v>34</v>
      </c>
      <c r="B79" s="26" t="s">
        <v>244</v>
      </c>
      <c r="C79" s="26" t="s">
        <v>245</v>
      </c>
      <c r="D79" s="26" t="s">
        <v>109</v>
      </c>
      <c r="E79" s="27">
        <v>300</v>
      </c>
      <c r="F79" s="28">
        <v>1459.9545000000001</v>
      </c>
      <c r="G79" s="29">
        <v>6.3442899999999998E-3</v>
      </c>
      <c r="H79" s="17">
        <v>6.2575000000000003</v>
      </c>
    </row>
    <row r="80" spans="1:8" x14ac:dyDescent="0.2">
      <c r="A80" s="25">
        <v>35</v>
      </c>
      <c r="B80" s="26" t="s">
        <v>246</v>
      </c>
      <c r="C80" s="26" t="s">
        <v>247</v>
      </c>
      <c r="D80" s="26" t="s">
        <v>109</v>
      </c>
      <c r="E80" s="27">
        <v>300</v>
      </c>
      <c r="F80" s="28">
        <v>1453.5135</v>
      </c>
      <c r="G80" s="29">
        <v>6.3163000000000004E-3</v>
      </c>
      <c r="H80" s="17">
        <v>6.08</v>
      </c>
    </row>
    <row r="81" spans="1:8" x14ac:dyDescent="0.2">
      <c r="A81" s="25">
        <v>36</v>
      </c>
      <c r="B81" s="26" t="s">
        <v>168</v>
      </c>
      <c r="C81" s="26" t="s">
        <v>169</v>
      </c>
      <c r="D81" s="26" t="s">
        <v>109</v>
      </c>
      <c r="E81" s="27">
        <v>300</v>
      </c>
      <c r="F81" s="28">
        <v>1451.8695</v>
      </c>
      <c r="G81" s="29">
        <v>6.3091600000000003E-3</v>
      </c>
      <c r="H81" s="17">
        <v>6.05</v>
      </c>
    </row>
    <row r="82" spans="1:8" ht="25.5" x14ac:dyDescent="0.2">
      <c r="A82" s="25">
        <v>37</v>
      </c>
      <c r="B82" s="26" t="s">
        <v>248</v>
      </c>
      <c r="C82" s="26" t="s">
        <v>249</v>
      </c>
      <c r="D82" s="26" t="s">
        <v>109</v>
      </c>
      <c r="E82" s="27">
        <v>200</v>
      </c>
      <c r="F82" s="28">
        <v>971.58500000000004</v>
      </c>
      <c r="G82" s="29">
        <v>4.2220599999999997E-3</v>
      </c>
      <c r="H82" s="17">
        <v>6.1349999999999998</v>
      </c>
    </row>
    <row r="83" spans="1:8" x14ac:dyDescent="0.2">
      <c r="A83" s="25">
        <v>38</v>
      </c>
      <c r="B83" s="26" t="s">
        <v>166</v>
      </c>
      <c r="C83" s="26" t="s">
        <v>167</v>
      </c>
      <c r="D83" s="26" t="s">
        <v>109</v>
      </c>
      <c r="E83" s="27">
        <v>100</v>
      </c>
      <c r="F83" s="28">
        <v>482.19049999999999</v>
      </c>
      <c r="G83" s="29">
        <v>2.09538E-3</v>
      </c>
      <c r="H83" s="17">
        <v>6.1001000000000003</v>
      </c>
    </row>
    <row r="84" spans="1:8" x14ac:dyDescent="0.2">
      <c r="A84" s="18"/>
      <c r="B84" s="18"/>
      <c r="C84" s="19" t="s">
        <v>11</v>
      </c>
      <c r="D84" s="18"/>
      <c r="E84" s="18" t="s">
        <v>12</v>
      </c>
      <c r="F84" s="24">
        <v>136431.91500000001</v>
      </c>
      <c r="G84" s="21">
        <v>0.59287040000000002</v>
      </c>
      <c r="H84" s="17" t="s">
        <v>12</v>
      </c>
    </row>
    <row r="85" spans="1:8" x14ac:dyDescent="0.2">
      <c r="A85" s="18"/>
      <c r="B85" s="18"/>
      <c r="C85" s="22"/>
      <c r="D85" s="18"/>
      <c r="E85" s="18"/>
      <c r="F85" s="23"/>
      <c r="G85" s="23"/>
      <c r="H85" s="17" t="s">
        <v>12</v>
      </c>
    </row>
    <row r="86" spans="1:8" x14ac:dyDescent="0.2">
      <c r="A86" s="18"/>
      <c r="B86" s="18"/>
      <c r="C86" s="19" t="s">
        <v>110</v>
      </c>
      <c r="D86" s="18"/>
      <c r="E86" s="18"/>
      <c r="F86" s="23"/>
      <c r="G86" s="23"/>
      <c r="H86" s="17" t="s">
        <v>12</v>
      </c>
    </row>
    <row r="87" spans="1:8" ht="25.5" x14ac:dyDescent="0.2">
      <c r="A87" s="25">
        <v>1</v>
      </c>
      <c r="B87" s="26" t="s">
        <v>250</v>
      </c>
      <c r="C87" s="26" t="s">
        <v>251</v>
      </c>
      <c r="D87" s="26" t="s">
        <v>109</v>
      </c>
      <c r="E87" s="27">
        <v>1000</v>
      </c>
      <c r="F87" s="28">
        <v>4845.2299999999996</v>
      </c>
      <c r="G87" s="29">
        <v>2.105514E-2</v>
      </c>
      <c r="H87" s="17">
        <v>6.55</v>
      </c>
    </row>
    <row r="88" spans="1:8" x14ac:dyDescent="0.2">
      <c r="A88" s="25">
        <v>2</v>
      </c>
      <c r="B88" s="26" t="s">
        <v>252</v>
      </c>
      <c r="C88" s="26" t="s">
        <v>253</v>
      </c>
      <c r="D88" s="26" t="s">
        <v>109</v>
      </c>
      <c r="E88" s="27">
        <v>1000</v>
      </c>
      <c r="F88" s="28">
        <v>4831.7550000000001</v>
      </c>
      <c r="G88" s="29">
        <v>2.0996589999999999E-2</v>
      </c>
      <c r="H88" s="17">
        <v>6.3550000000000004</v>
      </c>
    </row>
    <row r="89" spans="1:8" x14ac:dyDescent="0.2">
      <c r="A89" s="25">
        <v>3</v>
      </c>
      <c r="B89" s="26" t="s">
        <v>254</v>
      </c>
      <c r="C89" s="26" t="s">
        <v>255</v>
      </c>
      <c r="D89" s="26" t="s">
        <v>109</v>
      </c>
      <c r="E89" s="27">
        <v>1000</v>
      </c>
      <c r="F89" s="28">
        <v>4819.74</v>
      </c>
      <c r="G89" s="29">
        <v>2.094437E-2</v>
      </c>
      <c r="H89" s="17">
        <v>6.3201000000000001</v>
      </c>
    </row>
    <row r="90" spans="1:8" x14ac:dyDescent="0.2">
      <c r="A90" s="25">
        <v>4</v>
      </c>
      <c r="B90" s="26" t="s">
        <v>256</v>
      </c>
      <c r="C90" s="26" t="s">
        <v>257</v>
      </c>
      <c r="D90" s="26" t="s">
        <v>109</v>
      </c>
      <c r="E90" s="27">
        <v>800</v>
      </c>
      <c r="F90" s="28">
        <v>3862.0839999999998</v>
      </c>
      <c r="G90" s="29">
        <v>1.678284E-2</v>
      </c>
      <c r="H90" s="17">
        <v>6.55</v>
      </c>
    </row>
    <row r="91" spans="1:8" ht="25.5" x14ac:dyDescent="0.2">
      <c r="A91" s="25">
        <v>5</v>
      </c>
      <c r="B91" s="26" t="s">
        <v>258</v>
      </c>
      <c r="C91" s="26" t="s">
        <v>259</v>
      </c>
      <c r="D91" s="26" t="s">
        <v>109</v>
      </c>
      <c r="E91" s="27">
        <v>700</v>
      </c>
      <c r="F91" s="28">
        <v>3420.5324999999998</v>
      </c>
      <c r="G91" s="29">
        <v>1.486406E-2</v>
      </c>
      <c r="H91" s="17">
        <v>6.625</v>
      </c>
    </row>
    <row r="92" spans="1:8" ht="25.5" x14ac:dyDescent="0.2">
      <c r="A92" s="25">
        <v>6</v>
      </c>
      <c r="B92" s="26" t="s">
        <v>260</v>
      </c>
      <c r="C92" s="26" t="s">
        <v>261</v>
      </c>
      <c r="D92" s="26" t="s">
        <v>109</v>
      </c>
      <c r="E92" s="27">
        <v>700</v>
      </c>
      <c r="F92" s="28">
        <v>3379.18</v>
      </c>
      <c r="G92" s="29">
        <v>1.468436E-2</v>
      </c>
      <c r="H92" s="17">
        <v>6.6925999999999997</v>
      </c>
    </row>
    <row r="93" spans="1:8" ht="25.5" x14ac:dyDescent="0.2">
      <c r="A93" s="25">
        <v>7</v>
      </c>
      <c r="B93" s="26" t="s">
        <v>262</v>
      </c>
      <c r="C93" s="26" t="s">
        <v>263</v>
      </c>
      <c r="D93" s="26" t="s">
        <v>109</v>
      </c>
      <c r="E93" s="27">
        <v>700</v>
      </c>
      <c r="F93" s="28">
        <v>3321.654</v>
      </c>
      <c r="G93" s="29">
        <v>1.443438E-2</v>
      </c>
      <c r="H93" s="17">
        <v>6.9249999999999998</v>
      </c>
    </row>
    <row r="94" spans="1:8" x14ac:dyDescent="0.2">
      <c r="A94" s="25">
        <v>8</v>
      </c>
      <c r="B94" s="26" t="s">
        <v>264</v>
      </c>
      <c r="C94" s="26" t="s">
        <v>265</v>
      </c>
      <c r="D94" s="26" t="s">
        <v>109</v>
      </c>
      <c r="E94" s="27">
        <v>500</v>
      </c>
      <c r="F94" s="28">
        <v>2423.6725000000001</v>
      </c>
      <c r="G94" s="29">
        <v>1.053217E-2</v>
      </c>
      <c r="H94" s="17">
        <v>6.18</v>
      </c>
    </row>
    <row r="95" spans="1:8" x14ac:dyDescent="0.2">
      <c r="A95" s="25">
        <v>9</v>
      </c>
      <c r="B95" s="26" t="s">
        <v>266</v>
      </c>
      <c r="C95" s="26" t="s">
        <v>267</v>
      </c>
      <c r="D95" s="26" t="s">
        <v>109</v>
      </c>
      <c r="E95" s="27">
        <v>500</v>
      </c>
      <c r="F95" s="28">
        <v>2415.4749999999999</v>
      </c>
      <c r="G95" s="29">
        <v>1.049654E-2</v>
      </c>
      <c r="H95" s="17">
        <v>6.55</v>
      </c>
    </row>
    <row r="96" spans="1:8" x14ac:dyDescent="0.2">
      <c r="A96" s="25">
        <v>10</v>
      </c>
      <c r="B96" s="26" t="s">
        <v>268</v>
      </c>
      <c r="C96" s="26" t="s">
        <v>269</v>
      </c>
      <c r="D96" s="26" t="s">
        <v>109</v>
      </c>
      <c r="E96" s="27">
        <v>500</v>
      </c>
      <c r="F96" s="28">
        <v>2409.8150000000001</v>
      </c>
      <c r="G96" s="29">
        <v>1.0471950000000001E-2</v>
      </c>
      <c r="H96" s="17">
        <v>7.0776000000000003</v>
      </c>
    </row>
    <row r="97" spans="1:8" x14ac:dyDescent="0.2">
      <c r="A97" s="25">
        <v>11</v>
      </c>
      <c r="B97" s="26" t="s">
        <v>270</v>
      </c>
      <c r="C97" s="26" t="s">
        <v>271</v>
      </c>
      <c r="D97" s="26" t="s">
        <v>109</v>
      </c>
      <c r="E97" s="27">
        <v>500</v>
      </c>
      <c r="F97" s="28">
        <v>2379.4250000000002</v>
      </c>
      <c r="G97" s="29">
        <v>1.0339889999999999E-2</v>
      </c>
      <c r="H97" s="17">
        <v>6.8</v>
      </c>
    </row>
    <row r="98" spans="1:8" x14ac:dyDescent="0.2">
      <c r="A98" s="25">
        <v>12</v>
      </c>
      <c r="B98" s="26" t="s">
        <v>272</v>
      </c>
      <c r="C98" s="26" t="s">
        <v>273</v>
      </c>
      <c r="D98" s="26" t="s">
        <v>109</v>
      </c>
      <c r="E98" s="27">
        <v>500</v>
      </c>
      <c r="F98" s="28">
        <v>2372.77</v>
      </c>
      <c r="G98" s="29">
        <v>1.0310969999999999E-2</v>
      </c>
      <c r="H98" s="17">
        <v>7.0149999999999997</v>
      </c>
    </row>
    <row r="99" spans="1:8" ht="25.5" x14ac:dyDescent="0.2">
      <c r="A99" s="25">
        <v>13</v>
      </c>
      <c r="B99" s="26" t="s">
        <v>274</v>
      </c>
      <c r="C99" s="26" t="s">
        <v>275</v>
      </c>
      <c r="D99" s="26" t="s">
        <v>109</v>
      </c>
      <c r="E99" s="27">
        <v>400</v>
      </c>
      <c r="F99" s="28">
        <v>1934.806</v>
      </c>
      <c r="G99" s="29">
        <v>8.4077800000000001E-3</v>
      </c>
      <c r="H99" s="17">
        <v>6.7950999999999997</v>
      </c>
    </row>
    <row r="100" spans="1:8" ht="25.5" x14ac:dyDescent="0.2">
      <c r="A100" s="25">
        <v>14</v>
      </c>
      <c r="B100" s="26" t="s">
        <v>276</v>
      </c>
      <c r="C100" s="26" t="s">
        <v>277</v>
      </c>
      <c r="D100" s="26" t="s">
        <v>109</v>
      </c>
      <c r="E100" s="27">
        <v>300</v>
      </c>
      <c r="F100" s="28">
        <v>1476.5174999999999</v>
      </c>
      <c r="G100" s="29">
        <v>6.41627E-3</v>
      </c>
      <c r="H100" s="17">
        <v>6.45</v>
      </c>
    </row>
    <row r="101" spans="1:8" x14ac:dyDescent="0.2">
      <c r="A101" s="25">
        <v>15</v>
      </c>
      <c r="B101" s="26" t="s">
        <v>278</v>
      </c>
      <c r="C101" s="26" t="s">
        <v>279</v>
      </c>
      <c r="D101" s="26" t="s">
        <v>109</v>
      </c>
      <c r="E101" s="27">
        <v>300</v>
      </c>
      <c r="F101" s="28">
        <v>1469.6969999999999</v>
      </c>
      <c r="G101" s="29">
        <v>6.3866299999999999E-3</v>
      </c>
      <c r="H101" s="17">
        <v>6.78</v>
      </c>
    </row>
    <row r="102" spans="1:8" x14ac:dyDescent="0.2">
      <c r="A102" s="25">
        <v>16</v>
      </c>
      <c r="B102" s="26" t="s">
        <v>280</v>
      </c>
      <c r="C102" s="26" t="s">
        <v>281</v>
      </c>
      <c r="D102" s="26" t="s">
        <v>109</v>
      </c>
      <c r="E102" s="27">
        <v>300</v>
      </c>
      <c r="F102" s="28">
        <v>1451.0429999999999</v>
      </c>
      <c r="G102" s="29">
        <v>6.3055699999999999E-3</v>
      </c>
      <c r="H102" s="17">
        <v>7.0776000000000003</v>
      </c>
    </row>
    <row r="103" spans="1:8" ht="25.5" x14ac:dyDescent="0.2">
      <c r="A103" s="25">
        <v>17</v>
      </c>
      <c r="B103" s="26" t="s">
        <v>282</v>
      </c>
      <c r="C103" s="26" t="s">
        <v>283</v>
      </c>
      <c r="D103" s="26" t="s">
        <v>109</v>
      </c>
      <c r="E103" s="27">
        <v>100</v>
      </c>
      <c r="F103" s="28">
        <v>474.86399999999998</v>
      </c>
      <c r="G103" s="29">
        <v>2.06354E-3</v>
      </c>
      <c r="H103" s="17">
        <v>6.9249999999999998</v>
      </c>
    </row>
    <row r="104" spans="1:8" x14ac:dyDescent="0.2">
      <c r="A104" s="18"/>
      <c r="B104" s="18"/>
      <c r="C104" s="19" t="s">
        <v>11</v>
      </c>
      <c r="D104" s="18"/>
      <c r="E104" s="18" t="s">
        <v>12</v>
      </c>
      <c r="F104" s="24">
        <v>47288.260499999997</v>
      </c>
      <c r="G104" s="21">
        <v>0.20549305000000001</v>
      </c>
      <c r="H104" s="17" t="s">
        <v>12</v>
      </c>
    </row>
    <row r="105" spans="1:8" x14ac:dyDescent="0.2">
      <c r="A105" s="18"/>
      <c r="B105" s="18"/>
      <c r="C105" s="22"/>
      <c r="D105" s="18"/>
      <c r="E105" s="18"/>
      <c r="F105" s="23"/>
      <c r="G105" s="23"/>
      <c r="H105" s="17" t="s">
        <v>12</v>
      </c>
    </row>
    <row r="106" spans="1:8" x14ac:dyDescent="0.2">
      <c r="A106" s="18"/>
      <c r="B106" s="18"/>
      <c r="C106" s="19" t="s">
        <v>111</v>
      </c>
      <c r="D106" s="18"/>
      <c r="E106" s="18"/>
      <c r="F106" s="23"/>
      <c r="G106" s="23"/>
      <c r="H106" s="17" t="s">
        <v>12</v>
      </c>
    </row>
    <row r="107" spans="1:8" x14ac:dyDescent="0.2">
      <c r="A107" s="25">
        <v>1</v>
      </c>
      <c r="B107" s="26" t="s">
        <v>284</v>
      </c>
      <c r="C107" s="26" t="s">
        <v>285</v>
      </c>
      <c r="D107" s="26" t="s">
        <v>85</v>
      </c>
      <c r="E107" s="27">
        <v>8300000</v>
      </c>
      <c r="F107" s="28">
        <v>8088.0096999999996</v>
      </c>
      <c r="G107" s="29">
        <v>3.5146770000000001E-2</v>
      </c>
      <c r="H107" s="17">
        <v>5.53</v>
      </c>
    </row>
    <row r="108" spans="1:8" x14ac:dyDescent="0.2">
      <c r="A108" s="25">
        <v>2</v>
      </c>
      <c r="B108" s="26" t="s">
        <v>286</v>
      </c>
      <c r="C108" s="26" t="s">
        <v>287</v>
      </c>
      <c r="D108" s="26" t="s">
        <v>85</v>
      </c>
      <c r="E108" s="27">
        <v>5000000</v>
      </c>
      <c r="F108" s="28">
        <v>4990.375</v>
      </c>
      <c r="G108" s="29">
        <v>2.1685880000000001E-2</v>
      </c>
      <c r="H108" s="17">
        <v>5.4175000000000004</v>
      </c>
    </row>
    <row r="109" spans="1:8" x14ac:dyDescent="0.2">
      <c r="A109" s="25">
        <v>3</v>
      </c>
      <c r="B109" s="26" t="s">
        <v>288</v>
      </c>
      <c r="C109" s="26" t="s">
        <v>289</v>
      </c>
      <c r="D109" s="26" t="s">
        <v>85</v>
      </c>
      <c r="E109" s="27">
        <v>2500000</v>
      </c>
      <c r="F109" s="28">
        <v>2430.7649999999999</v>
      </c>
      <c r="G109" s="29">
        <v>1.056299E-2</v>
      </c>
      <c r="H109" s="17">
        <v>5.53</v>
      </c>
    </row>
    <row r="110" spans="1:8" x14ac:dyDescent="0.2">
      <c r="A110" s="18"/>
      <c r="B110" s="18"/>
      <c r="C110" s="19" t="s">
        <v>11</v>
      </c>
      <c r="D110" s="18"/>
      <c r="E110" s="18" t="s">
        <v>12</v>
      </c>
      <c r="F110" s="24">
        <v>15509.1497</v>
      </c>
      <c r="G110" s="21">
        <v>6.7395640000000007E-2</v>
      </c>
      <c r="H110" s="17" t="s">
        <v>12</v>
      </c>
    </row>
    <row r="111" spans="1:8" x14ac:dyDescent="0.2">
      <c r="A111" s="18"/>
      <c r="B111" s="18"/>
      <c r="C111" s="22"/>
      <c r="D111" s="18"/>
      <c r="E111" s="18"/>
      <c r="F111" s="23"/>
      <c r="G111" s="23"/>
      <c r="H111" s="17" t="s">
        <v>12</v>
      </c>
    </row>
    <row r="112" spans="1:8" x14ac:dyDescent="0.2">
      <c r="A112" s="18"/>
      <c r="B112" s="18"/>
      <c r="C112" s="19" t="s">
        <v>112</v>
      </c>
      <c r="D112" s="18"/>
      <c r="E112" s="18"/>
      <c r="F112" s="23"/>
      <c r="G112" s="23"/>
      <c r="H112" s="17" t="s">
        <v>12</v>
      </c>
    </row>
    <row r="113" spans="1:17" x14ac:dyDescent="0.2">
      <c r="A113" s="25">
        <v>1</v>
      </c>
      <c r="B113" s="26"/>
      <c r="C113" s="26" t="s">
        <v>113</v>
      </c>
      <c r="D113" s="26"/>
      <c r="E113" s="30"/>
      <c r="F113" s="28">
        <v>18702.740407920999</v>
      </c>
      <c r="G113" s="29">
        <v>8.1273509999999993E-2</v>
      </c>
      <c r="H113" s="17">
        <v>5.39</v>
      </c>
    </row>
    <row r="114" spans="1:17" x14ac:dyDescent="0.2">
      <c r="A114" s="18"/>
      <c r="B114" s="18"/>
      <c r="C114" s="19" t="s">
        <v>11</v>
      </c>
      <c r="D114" s="18"/>
      <c r="E114" s="18" t="s">
        <v>12</v>
      </c>
      <c r="F114" s="24">
        <v>18702.740407920999</v>
      </c>
      <c r="G114" s="21">
        <v>8.1273509999999993E-2</v>
      </c>
      <c r="H114" s="17" t="s">
        <v>12</v>
      </c>
    </row>
    <row r="115" spans="1:17" x14ac:dyDescent="0.2">
      <c r="A115" s="18"/>
      <c r="B115" s="18"/>
      <c r="C115" s="22"/>
      <c r="D115" s="18"/>
      <c r="E115" s="18"/>
      <c r="F115" s="23"/>
      <c r="G115" s="23"/>
      <c r="H115" s="17" t="s">
        <v>12</v>
      </c>
    </row>
    <row r="116" spans="1:17" x14ac:dyDescent="0.2">
      <c r="A116" s="18"/>
      <c r="B116" s="18"/>
      <c r="C116" s="19" t="s">
        <v>114</v>
      </c>
      <c r="D116" s="18"/>
      <c r="E116" s="18"/>
      <c r="F116" s="24">
        <v>217932.06560792099</v>
      </c>
      <c r="G116" s="21">
        <v>0.9470326</v>
      </c>
      <c r="H116" s="17" t="s">
        <v>12</v>
      </c>
    </row>
    <row r="117" spans="1:17" x14ac:dyDescent="0.2">
      <c r="A117" s="18"/>
      <c r="B117" s="18"/>
      <c r="C117" s="23"/>
      <c r="D117" s="18"/>
      <c r="E117" s="18"/>
      <c r="F117" s="18"/>
      <c r="G117" s="18"/>
      <c r="H117" s="17" t="s">
        <v>12</v>
      </c>
    </row>
    <row r="118" spans="1:17" x14ac:dyDescent="0.2">
      <c r="A118" s="18"/>
      <c r="B118" s="18"/>
      <c r="C118" s="19" t="s">
        <v>115</v>
      </c>
      <c r="D118" s="18"/>
      <c r="E118" s="18"/>
      <c r="F118" s="18"/>
      <c r="G118" s="18"/>
      <c r="H118" s="17" t="s">
        <v>12</v>
      </c>
    </row>
    <row r="119" spans="1:17" x14ac:dyDescent="0.2">
      <c r="A119" s="18"/>
      <c r="B119" s="18"/>
      <c r="C119" s="19" t="s">
        <v>116</v>
      </c>
      <c r="D119" s="18"/>
      <c r="E119" s="18"/>
      <c r="F119" s="18"/>
      <c r="G119" s="18"/>
      <c r="H119" s="17" t="s">
        <v>12</v>
      </c>
    </row>
    <row r="120" spans="1:17" x14ac:dyDescent="0.2">
      <c r="A120" s="18"/>
      <c r="B120" s="18"/>
      <c r="C120" s="19" t="s">
        <v>11</v>
      </c>
      <c r="D120" s="18"/>
      <c r="E120" s="18" t="s">
        <v>12</v>
      </c>
      <c r="F120" s="20" t="s">
        <v>13</v>
      </c>
      <c r="G120" s="21">
        <v>0</v>
      </c>
      <c r="H120" s="17" t="s">
        <v>12</v>
      </c>
    </row>
    <row r="121" spans="1:17" x14ac:dyDescent="0.2">
      <c r="A121" s="15"/>
      <c r="B121" s="15"/>
      <c r="C121" s="31"/>
      <c r="D121" s="15"/>
      <c r="E121" s="15"/>
      <c r="F121" s="32"/>
      <c r="G121" s="32"/>
      <c r="H121" s="17" t="s">
        <v>12</v>
      </c>
    </row>
    <row r="122" spans="1:17" x14ac:dyDescent="0.2">
      <c r="A122" s="15"/>
      <c r="B122" s="15"/>
      <c r="C122" s="16" t="s">
        <v>593</v>
      </c>
      <c r="D122" s="15"/>
      <c r="E122" s="15"/>
      <c r="F122" s="32"/>
      <c r="G122" s="32"/>
      <c r="H122" s="17" t="s">
        <v>12</v>
      </c>
      <c r="K122" s="33"/>
      <c r="L122" s="33"/>
      <c r="M122" s="33"/>
      <c r="N122" s="33"/>
      <c r="O122" s="34"/>
      <c r="P122" s="34"/>
      <c r="Q122" s="34"/>
    </row>
    <row r="123" spans="1:17" x14ac:dyDescent="0.2">
      <c r="A123" s="35">
        <v>1</v>
      </c>
      <c r="B123" s="36" t="s">
        <v>117</v>
      </c>
      <c r="C123" s="36" t="s">
        <v>118</v>
      </c>
      <c r="D123" s="36"/>
      <c r="E123" s="37">
        <v>3208.866</v>
      </c>
      <c r="F123" s="38">
        <v>362.86421167499998</v>
      </c>
      <c r="G123" s="39">
        <v>1.5768399999999999E-3</v>
      </c>
      <c r="H123" s="17"/>
    </row>
    <row r="124" spans="1:17" x14ac:dyDescent="0.2">
      <c r="A124" s="15"/>
      <c r="B124" s="15"/>
      <c r="C124" s="16" t="s">
        <v>11</v>
      </c>
      <c r="D124" s="15"/>
      <c r="E124" s="15" t="s">
        <v>12</v>
      </c>
      <c r="F124" s="40">
        <f>SUM(F123)</f>
        <v>362.86421167499998</v>
      </c>
      <c r="G124" s="41">
        <f>SUM(G123)</f>
        <v>1.5768399999999999E-3</v>
      </c>
      <c r="H124" s="17" t="s">
        <v>12</v>
      </c>
    </row>
    <row r="125" spans="1:17" x14ac:dyDescent="0.2">
      <c r="A125" s="15"/>
      <c r="B125" s="15"/>
      <c r="C125" s="31"/>
      <c r="D125" s="15"/>
      <c r="E125" s="15"/>
      <c r="F125" s="32"/>
      <c r="G125" s="32"/>
      <c r="H125" s="17" t="s">
        <v>12</v>
      </c>
    </row>
    <row r="126" spans="1:17" x14ac:dyDescent="0.2">
      <c r="A126" s="18"/>
      <c r="B126" s="18"/>
      <c r="C126" s="19" t="s">
        <v>119</v>
      </c>
      <c r="D126" s="18"/>
      <c r="E126" s="18"/>
      <c r="F126" s="18"/>
      <c r="G126" s="18"/>
      <c r="H126" s="17" t="s">
        <v>12</v>
      </c>
    </row>
    <row r="127" spans="1:17" x14ac:dyDescent="0.2">
      <c r="A127" s="18"/>
      <c r="B127" s="18"/>
      <c r="C127" s="19" t="s">
        <v>120</v>
      </c>
      <c r="D127" s="18"/>
      <c r="E127" s="18"/>
      <c r="F127" s="18"/>
      <c r="G127" s="18"/>
      <c r="H127" s="17" t="s">
        <v>12</v>
      </c>
    </row>
    <row r="128" spans="1:17" x14ac:dyDescent="0.2">
      <c r="A128" s="18"/>
      <c r="B128" s="18"/>
      <c r="C128" s="19" t="s">
        <v>11</v>
      </c>
      <c r="D128" s="18"/>
      <c r="E128" s="18" t="s">
        <v>12</v>
      </c>
      <c r="F128" s="20" t="s">
        <v>13</v>
      </c>
      <c r="G128" s="21">
        <v>0</v>
      </c>
      <c r="H128" s="17" t="s">
        <v>12</v>
      </c>
    </row>
    <row r="129" spans="1:8" x14ac:dyDescent="0.2">
      <c r="A129" s="18"/>
      <c r="B129" s="18"/>
      <c r="C129" s="22"/>
      <c r="D129" s="18"/>
      <c r="E129" s="18"/>
      <c r="F129" s="23"/>
      <c r="G129" s="23"/>
      <c r="H129" s="17" t="s">
        <v>12</v>
      </c>
    </row>
    <row r="130" spans="1:8" x14ac:dyDescent="0.2">
      <c r="A130" s="18"/>
      <c r="B130" s="18"/>
      <c r="C130" s="19" t="s">
        <v>121</v>
      </c>
      <c r="D130" s="18"/>
      <c r="E130" s="18"/>
      <c r="F130" s="23"/>
      <c r="G130" s="23"/>
      <c r="H130" s="17" t="s">
        <v>12</v>
      </c>
    </row>
    <row r="131" spans="1:8" x14ac:dyDescent="0.2">
      <c r="A131" s="18"/>
      <c r="B131" s="18"/>
      <c r="C131" s="19" t="s">
        <v>11</v>
      </c>
      <c r="D131" s="18"/>
      <c r="E131" s="18" t="s">
        <v>12</v>
      </c>
      <c r="F131" s="20" t="s">
        <v>13</v>
      </c>
      <c r="G131" s="21">
        <v>0</v>
      </c>
      <c r="H131" s="17" t="s">
        <v>12</v>
      </c>
    </row>
    <row r="132" spans="1:8" x14ac:dyDescent="0.2">
      <c r="A132" s="18"/>
      <c r="B132" s="18"/>
      <c r="C132" s="22"/>
      <c r="D132" s="18"/>
      <c r="E132" s="18"/>
      <c r="F132" s="23"/>
      <c r="G132" s="23"/>
      <c r="H132" s="17" t="s">
        <v>12</v>
      </c>
    </row>
    <row r="133" spans="1:8" x14ac:dyDescent="0.2">
      <c r="A133" s="18"/>
      <c r="B133" s="26"/>
      <c r="C133" s="26"/>
      <c r="D133" s="19"/>
      <c r="E133" s="18"/>
      <c r="F133" s="26"/>
      <c r="G133" s="30"/>
      <c r="H133" s="17" t="s">
        <v>12</v>
      </c>
    </row>
    <row r="134" spans="1:8" x14ac:dyDescent="0.2">
      <c r="A134" s="30"/>
      <c r="B134" s="26"/>
      <c r="C134" s="26" t="s">
        <v>122</v>
      </c>
      <c r="D134" s="26"/>
      <c r="E134" s="30"/>
      <c r="F134" s="28">
        <v>149.15016080000001</v>
      </c>
      <c r="G134" s="29">
        <v>6.4813999999999996E-4</v>
      </c>
      <c r="H134" s="17" t="s">
        <v>12</v>
      </c>
    </row>
    <row r="135" spans="1:8" x14ac:dyDescent="0.2">
      <c r="A135" s="22"/>
      <c r="B135" s="22"/>
      <c r="C135" s="19" t="s">
        <v>123</v>
      </c>
      <c r="D135" s="23"/>
      <c r="E135" s="23"/>
      <c r="F135" s="24">
        <v>230120.98398039601</v>
      </c>
      <c r="G135" s="42">
        <v>1.00000004</v>
      </c>
      <c r="H135" s="17" t="s">
        <v>12</v>
      </c>
    </row>
    <row r="136" spans="1:8" x14ac:dyDescent="0.2">
      <c r="A136" s="43"/>
      <c r="B136" s="43"/>
      <c r="C136" s="43"/>
      <c r="D136" s="44"/>
      <c r="E136" s="44"/>
      <c r="F136" s="44"/>
      <c r="G136" s="44"/>
    </row>
    <row r="137" spans="1:8" x14ac:dyDescent="0.2">
      <c r="A137" s="45"/>
      <c r="B137" s="150" t="s">
        <v>594</v>
      </c>
      <c r="C137" s="150"/>
      <c r="D137" s="150"/>
      <c r="E137" s="150"/>
      <c r="F137" s="150"/>
      <c r="G137" s="150"/>
      <c r="H137" s="150"/>
    </row>
    <row r="138" spans="1:8" x14ac:dyDescent="0.2">
      <c r="A138" s="45"/>
      <c r="B138" s="150" t="s">
        <v>595</v>
      </c>
      <c r="C138" s="150"/>
      <c r="D138" s="150"/>
      <c r="E138" s="150"/>
      <c r="F138" s="150"/>
      <c r="G138" s="150"/>
      <c r="H138" s="150"/>
    </row>
    <row r="139" spans="1:8" x14ac:dyDescent="0.2">
      <c r="A139" s="45"/>
      <c r="B139" s="150" t="s">
        <v>596</v>
      </c>
      <c r="C139" s="150"/>
      <c r="D139" s="150"/>
      <c r="E139" s="150"/>
      <c r="F139" s="150"/>
      <c r="G139" s="150"/>
      <c r="H139" s="150"/>
    </row>
    <row r="140" spans="1:8" x14ac:dyDescent="0.2">
      <c r="A140" s="140"/>
      <c r="B140" s="160" t="s">
        <v>612</v>
      </c>
      <c r="C140" s="161"/>
      <c r="D140" s="161"/>
      <c r="E140" s="161"/>
      <c r="F140" s="161"/>
      <c r="G140" s="161"/>
      <c r="H140" s="161"/>
    </row>
    <row r="141" spans="1:8" x14ac:dyDescent="0.2">
      <c r="A141" s="45"/>
      <c r="B141" s="45"/>
      <c r="C141" s="45"/>
      <c r="D141" s="47"/>
      <c r="E141" s="47"/>
      <c r="F141" s="47"/>
      <c r="G141" s="47"/>
    </row>
    <row r="142" spans="1:8" x14ac:dyDescent="0.2">
      <c r="A142" s="45"/>
      <c r="B142" s="151" t="s">
        <v>124</v>
      </c>
      <c r="C142" s="152"/>
      <c r="D142" s="153"/>
      <c r="E142" s="48"/>
      <c r="F142" s="47"/>
      <c r="G142" s="47"/>
    </row>
    <row r="143" spans="1:8" ht="27" customHeight="1" x14ac:dyDescent="0.2">
      <c r="A143" s="45"/>
      <c r="B143" s="143" t="s">
        <v>125</v>
      </c>
      <c r="C143" s="144"/>
      <c r="D143" s="16" t="s">
        <v>126</v>
      </c>
      <c r="E143" s="48"/>
      <c r="F143" s="47"/>
      <c r="G143" s="47"/>
    </row>
    <row r="144" spans="1:8" x14ac:dyDescent="0.2">
      <c r="A144" s="45"/>
      <c r="B144" s="143" t="s">
        <v>127</v>
      </c>
      <c r="C144" s="144"/>
      <c r="D144" s="16" t="s">
        <v>126</v>
      </c>
      <c r="E144" s="48"/>
      <c r="F144" s="47"/>
      <c r="G144" s="47"/>
    </row>
    <row r="145" spans="1:14" x14ac:dyDescent="0.2">
      <c r="A145" s="45"/>
      <c r="B145" s="143" t="s">
        <v>128</v>
      </c>
      <c r="C145" s="144"/>
      <c r="D145" s="32" t="s">
        <v>12</v>
      </c>
      <c r="E145" s="48"/>
      <c r="F145" s="47"/>
      <c r="G145" s="47"/>
    </row>
    <row r="146" spans="1:14" x14ac:dyDescent="0.2">
      <c r="A146" s="49"/>
      <c r="B146" s="50" t="s">
        <v>12</v>
      </c>
      <c r="C146" s="50" t="s">
        <v>597</v>
      </c>
      <c r="D146" s="50" t="s">
        <v>129</v>
      </c>
      <c r="E146" s="49"/>
      <c r="F146" s="49"/>
      <c r="G146" s="49"/>
    </row>
    <row r="147" spans="1:14" x14ac:dyDescent="0.2">
      <c r="A147" s="51"/>
      <c r="B147" s="52" t="s">
        <v>130</v>
      </c>
      <c r="C147" s="53">
        <v>45869</v>
      </c>
      <c r="D147" s="53">
        <v>45884</v>
      </c>
      <c r="E147" s="51"/>
      <c r="F147" s="51"/>
      <c r="G147" s="51"/>
    </row>
    <row r="148" spans="1:14" x14ac:dyDescent="0.2">
      <c r="A148" s="51"/>
      <c r="B148" s="26" t="s">
        <v>131</v>
      </c>
      <c r="C148" s="54">
        <v>15.2164</v>
      </c>
      <c r="D148" s="54">
        <v>15.249499999999999</v>
      </c>
      <c r="E148" s="51"/>
      <c r="F148" s="55"/>
      <c r="G148" s="56"/>
    </row>
    <row r="149" spans="1:14" ht="25.5" x14ac:dyDescent="0.2">
      <c r="A149" s="51"/>
      <c r="B149" s="26" t="s">
        <v>737</v>
      </c>
      <c r="C149" s="54">
        <v>11.3628</v>
      </c>
      <c r="D149" s="54">
        <v>11.387499999999999</v>
      </c>
      <c r="E149" s="51"/>
      <c r="F149" s="55"/>
      <c r="G149" s="56"/>
    </row>
    <row r="150" spans="1:14" x14ac:dyDescent="0.2">
      <c r="A150" s="51"/>
      <c r="B150" s="26" t="s">
        <v>132</v>
      </c>
      <c r="C150" s="54">
        <v>15.1136</v>
      </c>
      <c r="D150" s="54">
        <v>15.1456</v>
      </c>
      <c r="E150" s="51"/>
      <c r="F150" s="55"/>
      <c r="G150" s="56"/>
    </row>
    <row r="151" spans="1:14" ht="25.5" x14ac:dyDescent="0.2">
      <c r="A151" s="51"/>
      <c r="B151" s="26" t="s">
        <v>738</v>
      </c>
      <c r="C151" s="54">
        <v>11.333500000000001</v>
      </c>
      <c r="D151" s="54">
        <v>11.3576</v>
      </c>
      <c r="E151" s="51"/>
      <c r="F151" s="55"/>
      <c r="G151" s="56"/>
    </row>
    <row r="152" spans="1:14" x14ac:dyDescent="0.2">
      <c r="A152" s="51"/>
      <c r="B152" s="51"/>
      <c r="C152" s="51"/>
      <c r="D152" s="51"/>
      <c r="E152" s="51"/>
      <c r="F152" s="51"/>
      <c r="G152" s="51"/>
    </row>
    <row r="153" spans="1:14" x14ac:dyDescent="0.2">
      <c r="A153" s="51"/>
      <c r="B153" s="145" t="s">
        <v>598</v>
      </c>
      <c r="C153" s="146"/>
      <c r="D153" s="19" t="s">
        <v>126</v>
      </c>
      <c r="E153" s="51"/>
      <c r="F153" s="51"/>
      <c r="G153" s="51"/>
    </row>
    <row r="154" spans="1:14" x14ac:dyDescent="0.2">
      <c r="A154" s="51"/>
      <c r="B154" s="61"/>
      <c r="C154" s="61"/>
      <c r="D154" s="61"/>
      <c r="E154" s="51"/>
      <c r="F154" s="51"/>
      <c r="G154" s="51"/>
    </row>
    <row r="155" spans="1:14" x14ac:dyDescent="0.2">
      <c r="A155" s="49"/>
      <c r="B155" s="143" t="s">
        <v>133</v>
      </c>
      <c r="C155" s="144"/>
      <c r="D155" s="16" t="s">
        <v>126</v>
      </c>
      <c r="E155" s="60"/>
      <c r="F155" s="49"/>
      <c r="G155" s="49"/>
      <c r="I155" s="107"/>
    </row>
    <row r="156" spans="1:14" x14ac:dyDescent="0.2">
      <c r="A156" s="49"/>
      <c r="B156" s="143" t="s">
        <v>134</v>
      </c>
      <c r="C156" s="144"/>
      <c r="D156" s="16" t="s">
        <v>126</v>
      </c>
      <c r="E156" s="60"/>
      <c r="F156" s="49"/>
      <c r="G156" s="49"/>
      <c r="I156" s="107"/>
    </row>
    <row r="157" spans="1:14" x14ac:dyDescent="0.2">
      <c r="A157" s="49"/>
      <c r="B157" s="143" t="s">
        <v>599</v>
      </c>
      <c r="C157" s="144"/>
      <c r="D157" s="16" t="s">
        <v>126</v>
      </c>
      <c r="E157" s="60"/>
      <c r="F157" s="49"/>
      <c r="G157" s="49"/>
      <c r="I157" s="107"/>
    </row>
    <row r="158" spans="1:14" x14ac:dyDescent="0.2">
      <c r="A158" s="61"/>
      <c r="B158" s="61"/>
      <c r="C158" s="61"/>
      <c r="D158" s="61"/>
      <c r="E158" s="61"/>
      <c r="F158" s="61"/>
      <c r="G158" s="61"/>
      <c r="I158" s="107"/>
    </row>
    <row r="159" spans="1:14" s="62" customFormat="1" x14ac:dyDescent="0.2">
      <c r="B159" s="147" t="s">
        <v>600</v>
      </c>
      <c r="C159" s="148"/>
      <c r="D159" s="149"/>
      <c r="I159" s="107"/>
      <c r="J159" s="33"/>
      <c r="K159" s="33"/>
      <c r="L159" s="33"/>
      <c r="M159" s="33"/>
      <c r="N159" s="68"/>
    </row>
    <row r="160" spans="1:14" s="62" customFormat="1" ht="38.25" x14ac:dyDescent="0.2">
      <c r="B160" s="158" t="s">
        <v>601</v>
      </c>
      <c r="C160" s="159"/>
      <c r="D160" s="63" t="s">
        <v>174</v>
      </c>
      <c r="I160" s="107"/>
      <c r="J160" s="33"/>
      <c r="K160" s="33"/>
      <c r="L160" s="33"/>
      <c r="M160" s="33"/>
      <c r="N160" s="68"/>
    </row>
    <row r="161" spans="2:16" s="62" customFormat="1" x14ac:dyDescent="0.2">
      <c r="B161" s="155" t="s">
        <v>602</v>
      </c>
      <c r="C161" s="156"/>
      <c r="D161" s="64"/>
      <c r="I161" s="107"/>
      <c r="J161" s="33"/>
      <c r="K161" s="33"/>
      <c r="L161" s="33"/>
      <c r="M161" s="33"/>
      <c r="N161" s="68"/>
    </row>
    <row r="162" spans="2:16" s="62" customFormat="1" x14ac:dyDescent="0.2">
      <c r="B162" s="155"/>
      <c r="C162" s="156"/>
      <c r="D162" s="65"/>
      <c r="I162" s="107"/>
      <c r="J162" s="33"/>
      <c r="K162" s="33"/>
      <c r="L162" s="33"/>
      <c r="M162" s="33"/>
      <c r="N162" s="68"/>
    </row>
    <row r="163" spans="2:16" s="62" customFormat="1" x14ac:dyDescent="0.2">
      <c r="B163" s="155" t="s">
        <v>603</v>
      </c>
      <c r="C163" s="162"/>
      <c r="D163" s="66">
        <v>6.1038953443438064</v>
      </c>
      <c r="I163" s="107"/>
      <c r="J163" s="33"/>
      <c r="K163" s="33"/>
      <c r="L163" s="33"/>
      <c r="M163" s="33"/>
      <c r="N163" s="68"/>
    </row>
    <row r="164" spans="2:16" s="62" customFormat="1" x14ac:dyDescent="0.2">
      <c r="B164" s="155"/>
      <c r="C164" s="156"/>
      <c r="D164" s="65"/>
      <c r="I164" s="107"/>
      <c r="J164" s="33"/>
      <c r="K164" s="33"/>
      <c r="L164" s="33"/>
      <c r="M164" s="33"/>
      <c r="N164" s="68"/>
    </row>
    <row r="165" spans="2:16" s="62" customFormat="1" x14ac:dyDescent="0.2">
      <c r="B165" s="155" t="s">
        <v>604</v>
      </c>
      <c r="C165" s="162"/>
      <c r="D165" s="66">
        <v>0.49650837813244209</v>
      </c>
      <c r="I165" s="107"/>
      <c r="J165" s="33"/>
      <c r="K165" s="33"/>
      <c r="L165" s="33"/>
      <c r="M165" s="33"/>
      <c r="N165" s="68"/>
    </row>
    <row r="166" spans="2:16" s="62" customFormat="1" x14ac:dyDescent="0.2">
      <c r="B166" s="155" t="s">
        <v>605</v>
      </c>
      <c r="C166" s="162"/>
      <c r="D166" s="66">
        <v>0.49721221569549512</v>
      </c>
      <c r="I166" s="107"/>
      <c r="J166" s="33"/>
      <c r="K166" s="33"/>
      <c r="L166" s="33"/>
      <c r="M166" s="33"/>
      <c r="N166" s="68"/>
    </row>
    <row r="167" spans="2:16" s="62" customFormat="1" x14ac:dyDescent="0.2">
      <c r="B167" s="155"/>
      <c r="C167" s="156"/>
      <c r="D167" s="65"/>
      <c r="I167" s="107"/>
      <c r="J167" s="33"/>
      <c r="K167" s="33"/>
      <c r="L167" s="33"/>
      <c r="M167" s="33"/>
      <c r="N167" s="68"/>
    </row>
    <row r="168" spans="2:16" s="62" customFormat="1" x14ac:dyDescent="0.2">
      <c r="B168" s="142" t="s">
        <v>606</v>
      </c>
      <c r="C168" s="142"/>
      <c r="D168" s="67" t="s">
        <v>716</v>
      </c>
      <c r="I168" s="107"/>
      <c r="J168" s="33"/>
      <c r="K168" s="33"/>
      <c r="L168" s="33"/>
      <c r="M168" s="33"/>
      <c r="N168" s="68"/>
    </row>
    <row r="169" spans="2:16" s="62" customFormat="1" x14ac:dyDescent="0.2">
      <c r="B169" s="155" t="s">
        <v>607</v>
      </c>
      <c r="C169" s="157"/>
      <c r="D169" s="156"/>
      <c r="I169" s="107"/>
      <c r="J169" s="33"/>
      <c r="K169" s="33"/>
      <c r="L169" s="33"/>
      <c r="M169" s="33"/>
      <c r="N169" s="68"/>
      <c r="O169"/>
      <c r="P169"/>
    </row>
    <row r="170" spans="2:16" x14ac:dyDescent="0.2">
      <c r="I170" s="107"/>
    </row>
    <row r="171" spans="2:16" x14ac:dyDescent="0.2">
      <c r="B171" s="70" t="s">
        <v>608</v>
      </c>
      <c r="I171" s="107"/>
    </row>
    <row r="172" spans="2:16" x14ac:dyDescent="0.2">
      <c r="I172" s="107"/>
    </row>
    <row r="173" spans="2:16" ht="153.75" customHeight="1" x14ac:dyDescent="0.2">
      <c r="I173" s="107"/>
    </row>
    <row r="174" spans="2:16" x14ac:dyDescent="0.2">
      <c r="I174" s="107"/>
    </row>
    <row r="175" spans="2:16" x14ac:dyDescent="0.2">
      <c r="I175" s="107"/>
    </row>
    <row r="176" spans="2:16" x14ac:dyDescent="0.2">
      <c r="B176" s="70" t="s">
        <v>609</v>
      </c>
      <c r="C176" s="71"/>
      <c r="D176" s="70"/>
      <c r="I176" s="107"/>
    </row>
    <row r="177" spans="2:9" x14ac:dyDescent="0.2">
      <c r="B177" s="70" t="s">
        <v>613</v>
      </c>
      <c r="C177" s="71"/>
      <c r="D177" s="70"/>
      <c r="I177" s="107"/>
    </row>
    <row r="178" spans="2:9" x14ac:dyDescent="0.2">
      <c r="D178" s="70"/>
      <c r="I178" s="107"/>
    </row>
    <row r="179" spans="2:9" ht="165" customHeight="1" x14ac:dyDescent="0.2">
      <c r="I179" s="107"/>
    </row>
    <row r="180" spans="2:9" x14ac:dyDescent="0.2">
      <c r="I180" s="107"/>
    </row>
    <row r="181" spans="2:9" x14ac:dyDescent="0.2">
      <c r="I181" s="107"/>
    </row>
    <row r="182" spans="2:9" x14ac:dyDescent="0.2">
      <c r="I182" s="107"/>
    </row>
    <row r="183" spans="2:9" x14ac:dyDescent="0.2">
      <c r="I183" s="107"/>
    </row>
  </sheetData>
  <mergeCells count="26">
    <mergeCell ref="B167:C167"/>
    <mergeCell ref="B168:C168"/>
    <mergeCell ref="B169:D169"/>
    <mergeCell ref="B162:C162"/>
    <mergeCell ref="B163:C163"/>
    <mergeCell ref="B164:C164"/>
    <mergeCell ref="B165:C165"/>
    <mergeCell ref="B166:C166"/>
    <mergeCell ref="A1:H1"/>
    <mergeCell ref="A2:H2"/>
    <mergeCell ref="A3:H3"/>
    <mergeCell ref="B137:H137"/>
    <mergeCell ref="B138:H138"/>
    <mergeCell ref="B139:H139"/>
    <mergeCell ref="B142:D142"/>
    <mergeCell ref="B143:C143"/>
    <mergeCell ref="B144:C144"/>
    <mergeCell ref="B145:C145"/>
    <mergeCell ref="B140:H140"/>
    <mergeCell ref="B160:C160"/>
    <mergeCell ref="B161:C161"/>
    <mergeCell ref="B153:C153"/>
    <mergeCell ref="B157:C157"/>
    <mergeCell ref="B155:C155"/>
    <mergeCell ref="B156:C156"/>
    <mergeCell ref="B159:D159"/>
  </mergeCells>
  <hyperlinks>
    <hyperlink ref="I1" location="Index!B2" display="Index" xr:uid="{C966D44F-D023-47E9-BFC4-9D4D29195D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6CBB8-D90F-4357-BA64-B13D7E90A620}">
  <sheetPr>
    <outlinePr summaryBelow="0" summaryRight="0"/>
  </sheetPr>
  <dimension ref="A1:T179"/>
  <sheetViews>
    <sheetView showGridLines="0" workbookViewId="0">
      <selection activeCell="C19" sqref="C19"/>
    </sheetView>
  </sheetViews>
  <sheetFormatPr defaultColWidth="9.140625" defaultRowHeight="12.75" x14ac:dyDescent="0.2"/>
  <cols>
    <col min="1" max="1" width="5.85546875" bestFit="1" customWidth="1"/>
    <col min="2" max="2" width="19.28515625" bestFit="1" customWidth="1"/>
    <col min="3" max="3" width="43.5703125" customWidth="1"/>
    <col min="4" max="4" width="10.85546875" customWidth="1"/>
    <col min="5" max="5" width="9.42578125" bestFit="1" customWidth="1"/>
    <col min="6" max="6" width="10.140625" bestFit="1" customWidth="1"/>
    <col min="7" max="7" width="14" bestFit="1" customWidth="1"/>
    <col min="8" max="8" width="10.85546875" customWidth="1"/>
    <col min="9" max="9" width="9.140625" customWidth="1"/>
  </cols>
  <sheetData>
    <row r="1" spans="1:9" ht="15" x14ac:dyDescent="0.2">
      <c r="A1" s="154" t="s">
        <v>0</v>
      </c>
      <c r="B1" s="154"/>
      <c r="C1" s="154"/>
      <c r="D1" s="154"/>
      <c r="E1" s="154"/>
      <c r="F1" s="154"/>
      <c r="G1" s="154"/>
      <c r="H1" s="154"/>
      <c r="I1" s="1" t="s">
        <v>592</v>
      </c>
    </row>
    <row r="2" spans="1:9" ht="15" x14ac:dyDescent="0.2">
      <c r="A2" s="154" t="s">
        <v>290</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591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35">
        <v>1</v>
      </c>
      <c r="B7" s="36" t="s">
        <v>614</v>
      </c>
      <c r="C7" s="36" t="s">
        <v>615</v>
      </c>
      <c r="D7" s="36" t="s">
        <v>616</v>
      </c>
      <c r="E7" s="76">
        <v>8000</v>
      </c>
      <c r="F7" s="38">
        <v>0.01</v>
      </c>
      <c r="G7" s="105" t="s">
        <v>617</v>
      </c>
      <c r="H7" s="17" t="s">
        <v>12</v>
      </c>
      <c r="I7" s="107"/>
    </row>
    <row r="8" spans="1:9" x14ac:dyDescent="0.2">
      <c r="A8" s="15"/>
      <c r="B8" s="15"/>
      <c r="C8" s="16" t="s">
        <v>11</v>
      </c>
      <c r="D8" s="15"/>
      <c r="E8" s="15" t="s">
        <v>12</v>
      </c>
      <c r="F8" s="40">
        <f>SUM(F7)</f>
        <v>0.01</v>
      </c>
      <c r="G8" s="41">
        <v>0</v>
      </c>
      <c r="H8" s="17" t="s">
        <v>12</v>
      </c>
    </row>
    <row r="9" spans="1:9" x14ac:dyDescent="0.2">
      <c r="A9" s="18"/>
      <c r="B9" s="18"/>
      <c r="C9" s="22"/>
      <c r="D9" s="18"/>
      <c r="E9" s="18"/>
      <c r="F9" s="23"/>
      <c r="G9" s="23"/>
      <c r="H9" s="17" t="s">
        <v>12</v>
      </c>
    </row>
    <row r="10" spans="1:9" x14ac:dyDescent="0.2">
      <c r="A10" s="18"/>
      <c r="B10" s="18"/>
      <c r="C10" s="19" t="s">
        <v>14</v>
      </c>
      <c r="D10" s="18"/>
      <c r="E10" s="18"/>
      <c r="F10" s="18"/>
      <c r="G10" s="18"/>
      <c r="H10" s="17" t="s">
        <v>12</v>
      </c>
    </row>
    <row r="11" spans="1:9" x14ac:dyDescent="0.2">
      <c r="A11" s="18"/>
      <c r="B11" s="18"/>
      <c r="C11" s="19" t="s">
        <v>11</v>
      </c>
      <c r="D11" s="18"/>
      <c r="E11" s="18" t="s">
        <v>12</v>
      </c>
      <c r="F11" s="20" t="s">
        <v>13</v>
      </c>
      <c r="G11" s="21">
        <v>0</v>
      </c>
      <c r="H11" s="17" t="s">
        <v>12</v>
      </c>
    </row>
    <row r="12" spans="1:9" x14ac:dyDescent="0.2">
      <c r="A12" s="18"/>
      <c r="B12" s="18"/>
      <c r="C12" s="22"/>
      <c r="D12" s="18"/>
      <c r="E12" s="18"/>
      <c r="F12" s="23"/>
      <c r="G12" s="23"/>
      <c r="H12" s="17" t="s">
        <v>12</v>
      </c>
    </row>
    <row r="13" spans="1:9" x14ac:dyDescent="0.2">
      <c r="A13" s="18"/>
      <c r="B13" s="18"/>
      <c r="C13" s="19" t="s">
        <v>15</v>
      </c>
      <c r="D13" s="18"/>
      <c r="E13" s="18"/>
      <c r="F13" s="18"/>
      <c r="G13" s="18"/>
      <c r="H13" s="17" t="s">
        <v>12</v>
      </c>
    </row>
    <row r="14" spans="1:9" x14ac:dyDescent="0.2">
      <c r="A14" s="18"/>
      <c r="B14" s="18"/>
      <c r="C14" s="19" t="s">
        <v>11</v>
      </c>
      <c r="D14" s="18"/>
      <c r="E14" s="18" t="s">
        <v>12</v>
      </c>
      <c r="F14" s="20" t="s">
        <v>13</v>
      </c>
      <c r="G14" s="21">
        <v>0</v>
      </c>
      <c r="H14" s="17" t="s">
        <v>12</v>
      </c>
    </row>
    <row r="15" spans="1:9" x14ac:dyDescent="0.2">
      <c r="A15" s="18"/>
      <c r="B15" s="18"/>
      <c r="C15" s="22"/>
      <c r="D15" s="18"/>
      <c r="E15" s="18"/>
      <c r="F15" s="23"/>
      <c r="G15" s="23"/>
      <c r="H15" s="17" t="s">
        <v>12</v>
      </c>
    </row>
    <row r="16" spans="1:9" x14ac:dyDescent="0.2">
      <c r="A16" s="18"/>
      <c r="B16" s="18"/>
      <c r="C16" s="19" t="s">
        <v>16</v>
      </c>
      <c r="D16" s="18"/>
      <c r="E16" s="18"/>
      <c r="F16" s="18"/>
      <c r="G16" s="18"/>
      <c r="H16" s="17" t="s">
        <v>12</v>
      </c>
    </row>
    <row r="17" spans="1:8" x14ac:dyDescent="0.2">
      <c r="A17" s="18"/>
      <c r="B17" s="18"/>
      <c r="C17" s="19" t="s">
        <v>11</v>
      </c>
      <c r="D17" s="18"/>
      <c r="E17" s="18" t="s">
        <v>12</v>
      </c>
      <c r="F17" s="20" t="s">
        <v>13</v>
      </c>
      <c r="G17" s="21">
        <v>0</v>
      </c>
      <c r="H17" s="17" t="s">
        <v>12</v>
      </c>
    </row>
    <row r="18" spans="1:8" x14ac:dyDescent="0.2">
      <c r="A18" s="18"/>
      <c r="B18" s="18"/>
      <c r="C18" s="22"/>
      <c r="D18" s="18"/>
      <c r="E18" s="18"/>
      <c r="F18" s="23"/>
      <c r="G18" s="23"/>
      <c r="H18" s="17" t="s">
        <v>12</v>
      </c>
    </row>
    <row r="19" spans="1:8" x14ac:dyDescent="0.2">
      <c r="A19" s="18"/>
      <c r="B19" s="18"/>
      <c r="C19" s="19" t="s">
        <v>17</v>
      </c>
      <c r="D19" s="18"/>
      <c r="E19" s="18"/>
      <c r="F19" s="23"/>
      <c r="G19" s="23"/>
      <c r="H19" s="17" t="s">
        <v>12</v>
      </c>
    </row>
    <row r="20" spans="1:8" x14ac:dyDescent="0.2">
      <c r="A20" s="18"/>
      <c r="B20" s="18"/>
      <c r="C20" s="19" t="s">
        <v>11</v>
      </c>
      <c r="D20" s="18"/>
      <c r="E20" s="18" t="s">
        <v>12</v>
      </c>
      <c r="F20" s="20" t="s">
        <v>13</v>
      </c>
      <c r="G20" s="21">
        <v>0</v>
      </c>
      <c r="H20" s="17" t="s">
        <v>12</v>
      </c>
    </row>
    <row r="21" spans="1:8" x14ac:dyDescent="0.2">
      <c r="A21" s="18"/>
      <c r="B21" s="18"/>
      <c r="C21" s="22"/>
      <c r="D21" s="18"/>
      <c r="E21" s="18"/>
      <c r="F21" s="23"/>
      <c r="G21" s="23"/>
      <c r="H21" s="17" t="s">
        <v>12</v>
      </c>
    </row>
    <row r="22" spans="1:8" x14ac:dyDescent="0.2">
      <c r="A22" s="18"/>
      <c r="B22" s="18"/>
      <c r="C22" s="19" t="s">
        <v>18</v>
      </c>
      <c r="D22" s="18"/>
      <c r="E22" s="18"/>
      <c r="F22" s="23"/>
      <c r="G22" s="23"/>
      <c r="H22" s="17" t="s">
        <v>12</v>
      </c>
    </row>
    <row r="23" spans="1:8" x14ac:dyDescent="0.2">
      <c r="A23" s="18"/>
      <c r="B23" s="18"/>
      <c r="C23" s="19" t="s">
        <v>11</v>
      </c>
      <c r="D23" s="18"/>
      <c r="E23" s="18" t="s">
        <v>12</v>
      </c>
      <c r="F23" s="20" t="s">
        <v>13</v>
      </c>
      <c r="G23" s="21">
        <v>0</v>
      </c>
      <c r="H23" s="17" t="s">
        <v>12</v>
      </c>
    </row>
    <row r="24" spans="1:8" x14ac:dyDescent="0.2">
      <c r="A24" s="18"/>
      <c r="B24" s="18"/>
      <c r="C24" s="22"/>
      <c r="D24" s="18"/>
      <c r="E24" s="18"/>
      <c r="F24" s="23"/>
      <c r="G24" s="23"/>
      <c r="H24" s="17" t="s">
        <v>12</v>
      </c>
    </row>
    <row r="25" spans="1:8" x14ac:dyDescent="0.2">
      <c r="A25" s="18"/>
      <c r="B25" s="18"/>
      <c r="C25" s="19" t="s">
        <v>19</v>
      </c>
      <c r="D25" s="18"/>
      <c r="E25" s="18"/>
      <c r="F25" s="24">
        <f>F8</f>
        <v>0.01</v>
      </c>
      <c r="G25" s="21">
        <v>0</v>
      </c>
      <c r="H25" s="17" t="s">
        <v>12</v>
      </c>
    </row>
    <row r="26" spans="1:8" x14ac:dyDescent="0.2">
      <c r="A26" s="18"/>
      <c r="B26" s="18"/>
      <c r="C26" s="22"/>
      <c r="D26" s="18"/>
      <c r="E26" s="18"/>
      <c r="F26" s="23"/>
      <c r="G26" s="23"/>
      <c r="H26" s="17" t="s">
        <v>12</v>
      </c>
    </row>
    <row r="27" spans="1:8" x14ac:dyDescent="0.2">
      <c r="A27" s="18"/>
      <c r="B27" s="18"/>
      <c r="C27" s="19" t="s">
        <v>20</v>
      </c>
      <c r="D27" s="18"/>
      <c r="E27" s="18"/>
      <c r="F27" s="23"/>
      <c r="G27" s="23"/>
      <c r="H27" s="17" t="s">
        <v>12</v>
      </c>
    </row>
    <row r="28" spans="1:8" x14ac:dyDescent="0.2">
      <c r="A28" s="18"/>
      <c r="B28" s="18"/>
      <c r="C28" s="19" t="s">
        <v>10</v>
      </c>
      <c r="D28" s="18"/>
      <c r="E28" s="18"/>
      <c r="F28" s="23"/>
      <c r="G28" s="23"/>
      <c r="H28" s="17" t="s">
        <v>12</v>
      </c>
    </row>
    <row r="29" spans="1:8" x14ac:dyDescent="0.2">
      <c r="A29" s="25">
        <v>1</v>
      </c>
      <c r="B29" s="26" t="s">
        <v>291</v>
      </c>
      <c r="C29" s="26" t="s">
        <v>292</v>
      </c>
      <c r="D29" s="26" t="s">
        <v>293</v>
      </c>
      <c r="E29" s="27">
        <v>1500</v>
      </c>
      <c r="F29" s="28">
        <v>1516.23</v>
      </c>
      <c r="G29" s="29">
        <v>3.417531E-2</v>
      </c>
      <c r="H29" s="17">
        <v>6.9450000000000003</v>
      </c>
    </row>
    <row r="30" spans="1:8" x14ac:dyDescent="0.2">
      <c r="A30" s="25">
        <v>2</v>
      </c>
      <c r="B30" s="26" t="s">
        <v>294</v>
      </c>
      <c r="C30" s="26" t="s">
        <v>295</v>
      </c>
      <c r="D30" s="26" t="s">
        <v>296</v>
      </c>
      <c r="E30" s="27">
        <v>1500</v>
      </c>
      <c r="F30" s="28">
        <v>1516.1685</v>
      </c>
      <c r="G30" s="29">
        <v>3.4173929999999998E-2</v>
      </c>
      <c r="H30" s="17">
        <v>7.5449999999999999</v>
      </c>
    </row>
    <row r="31" spans="1:8" x14ac:dyDescent="0.2">
      <c r="A31" s="25">
        <v>3</v>
      </c>
      <c r="B31" s="26" t="s">
        <v>297</v>
      </c>
      <c r="C31" s="26" t="s">
        <v>298</v>
      </c>
      <c r="D31" s="26" t="s">
        <v>26</v>
      </c>
      <c r="E31" s="27">
        <v>1500</v>
      </c>
      <c r="F31" s="28">
        <v>1512.453</v>
      </c>
      <c r="G31" s="29">
        <v>3.4090179999999998E-2</v>
      </c>
      <c r="H31" s="17">
        <v>6.49</v>
      </c>
    </row>
    <row r="32" spans="1:8" x14ac:dyDescent="0.2">
      <c r="A32" s="25">
        <v>4</v>
      </c>
      <c r="B32" s="26" t="s">
        <v>299</v>
      </c>
      <c r="C32" s="26" t="s">
        <v>300</v>
      </c>
      <c r="D32" s="26" t="s">
        <v>23</v>
      </c>
      <c r="E32" s="27">
        <v>1200</v>
      </c>
      <c r="F32" s="28">
        <v>1205.8308</v>
      </c>
      <c r="G32" s="29">
        <v>2.7179020000000002E-2</v>
      </c>
      <c r="H32" s="17">
        <v>6.83</v>
      </c>
    </row>
    <row r="33" spans="1:8" ht="25.5" x14ac:dyDescent="0.2">
      <c r="A33" s="25">
        <v>5</v>
      </c>
      <c r="B33" s="26" t="s">
        <v>79</v>
      </c>
      <c r="C33" s="26" t="s">
        <v>80</v>
      </c>
      <c r="D33" s="26" t="s">
        <v>23</v>
      </c>
      <c r="E33" s="27">
        <v>1000</v>
      </c>
      <c r="F33" s="28">
        <v>1017.302</v>
      </c>
      <c r="G33" s="29">
        <v>2.2929640000000001E-2</v>
      </c>
      <c r="H33" s="17">
        <v>6.7149999999999999</v>
      </c>
    </row>
    <row r="34" spans="1:8" x14ac:dyDescent="0.2">
      <c r="A34" s="25">
        <v>6</v>
      </c>
      <c r="B34" s="26" t="s">
        <v>73</v>
      </c>
      <c r="C34" s="26" t="s">
        <v>74</v>
      </c>
      <c r="D34" s="26" t="s">
        <v>23</v>
      </c>
      <c r="E34" s="27">
        <v>1000</v>
      </c>
      <c r="F34" s="28">
        <v>1015.926</v>
      </c>
      <c r="G34" s="29">
        <v>2.289863E-2</v>
      </c>
      <c r="H34" s="17">
        <v>7.13</v>
      </c>
    </row>
    <row r="35" spans="1:8" x14ac:dyDescent="0.2">
      <c r="A35" s="25">
        <v>7</v>
      </c>
      <c r="B35" s="26" t="s">
        <v>301</v>
      </c>
      <c r="C35" s="26" t="s">
        <v>302</v>
      </c>
      <c r="D35" s="26" t="s">
        <v>303</v>
      </c>
      <c r="E35" s="27">
        <v>1000</v>
      </c>
      <c r="F35" s="28">
        <v>1015.702</v>
      </c>
      <c r="G35" s="29">
        <v>2.289358E-2</v>
      </c>
      <c r="H35" s="17">
        <v>7.2504999999999997</v>
      </c>
    </row>
    <row r="36" spans="1:8" x14ac:dyDescent="0.2">
      <c r="A36" s="25">
        <v>8</v>
      </c>
      <c r="B36" s="26" t="s">
        <v>304</v>
      </c>
      <c r="C36" s="26" t="s">
        <v>305</v>
      </c>
      <c r="D36" s="26" t="s">
        <v>306</v>
      </c>
      <c r="E36" s="27">
        <v>1000</v>
      </c>
      <c r="F36" s="28">
        <v>1013.1420000000001</v>
      </c>
      <c r="G36" s="29">
        <v>2.2835879999999999E-2</v>
      </c>
      <c r="H36" s="17">
        <v>7.8920000000000003</v>
      </c>
    </row>
    <row r="37" spans="1:8" ht="25.5" x14ac:dyDescent="0.2">
      <c r="A37" s="25">
        <v>9</v>
      </c>
      <c r="B37" s="26" t="s">
        <v>307</v>
      </c>
      <c r="C37" s="26" t="s">
        <v>308</v>
      </c>
      <c r="D37" s="26" t="s">
        <v>26</v>
      </c>
      <c r="E37" s="27">
        <v>100</v>
      </c>
      <c r="F37" s="28">
        <v>1009.42</v>
      </c>
      <c r="G37" s="29">
        <v>2.275199E-2</v>
      </c>
      <c r="H37" s="17">
        <v>6.49</v>
      </c>
    </row>
    <row r="38" spans="1:8" ht="25.5" x14ac:dyDescent="0.2">
      <c r="A38" s="25">
        <v>10</v>
      </c>
      <c r="B38" s="26" t="s">
        <v>41</v>
      </c>
      <c r="C38" s="26" t="s">
        <v>42</v>
      </c>
      <c r="D38" s="26" t="s">
        <v>26</v>
      </c>
      <c r="E38" s="27">
        <v>1000</v>
      </c>
      <c r="F38" s="28">
        <v>1008.621</v>
      </c>
      <c r="G38" s="29">
        <v>2.2733980000000001E-2</v>
      </c>
      <c r="H38" s="17">
        <v>6.44</v>
      </c>
    </row>
    <row r="39" spans="1:8" ht="25.5" x14ac:dyDescent="0.2">
      <c r="A39" s="25">
        <v>11</v>
      </c>
      <c r="B39" s="26" t="s">
        <v>75</v>
      </c>
      <c r="C39" s="26" t="s">
        <v>76</v>
      </c>
      <c r="D39" s="26" t="s">
        <v>23</v>
      </c>
      <c r="E39" s="27">
        <v>1000</v>
      </c>
      <c r="F39" s="28">
        <v>1008.494</v>
      </c>
      <c r="G39" s="29">
        <v>2.2731109999999999E-2</v>
      </c>
      <c r="H39" s="17">
        <v>6.55</v>
      </c>
    </row>
    <row r="40" spans="1:8" x14ac:dyDescent="0.2">
      <c r="A40" s="25">
        <v>12</v>
      </c>
      <c r="B40" s="26" t="s">
        <v>309</v>
      </c>
      <c r="C40" s="26" t="s">
        <v>310</v>
      </c>
      <c r="D40" s="26" t="s">
        <v>311</v>
      </c>
      <c r="E40" s="27">
        <v>1000</v>
      </c>
      <c r="F40" s="28">
        <v>1006.974</v>
      </c>
      <c r="G40" s="29">
        <v>2.2696850000000001E-2</v>
      </c>
      <c r="H40" s="17">
        <v>8.44</v>
      </c>
    </row>
    <row r="41" spans="1:8" x14ac:dyDescent="0.2">
      <c r="A41" s="25">
        <v>13</v>
      </c>
      <c r="B41" s="26" t="s">
        <v>312</v>
      </c>
      <c r="C41" s="26" t="s">
        <v>313</v>
      </c>
      <c r="D41" s="26" t="s">
        <v>306</v>
      </c>
      <c r="E41" s="27">
        <v>900</v>
      </c>
      <c r="F41" s="28">
        <v>911.89710000000002</v>
      </c>
      <c r="G41" s="29">
        <v>2.0553849999999999E-2</v>
      </c>
      <c r="H41" s="17">
        <v>6.98</v>
      </c>
    </row>
    <row r="42" spans="1:8" x14ac:dyDescent="0.2">
      <c r="A42" s="25">
        <v>14</v>
      </c>
      <c r="B42" s="26" t="s">
        <v>314</v>
      </c>
      <c r="C42" s="26" t="s">
        <v>315</v>
      </c>
      <c r="D42" s="26" t="s">
        <v>26</v>
      </c>
      <c r="E42" s="27">
        <v>900</v>
      </c>
      <c r="F42" s="28">
        <v>909.90359999999998</v>
      </c>
      <c r="G42" s="29">
        <v>2.050892E-2</v>
      </c>
      <c r="H42" s="17">
        <v>7.2024999999999997</v>
      </c>
    </row>
    <row r="43" spans="1:8" x14ac:dyDescent="0.2">
      <c r="A43" s="25">
        <v>15</v>
      </c>
      <c r="B43" s="26" t="s">
        <v>316</v>
      </c>
      <c r="C43" s="26" t="s">
        <v>317</v>
      </c>
      <c r="D43" s="26" t="s">
        <v>26</v>
      </c>
      <c r="E43" s="27">
        <v>500</v>
      </c>
      <c r="F43" s="28">
        <v>508.565</v>
      </c>
      <c r="G43" s="29">
        <v>1.146288E-2</v>
      </c>
      <c r="H43" s="17">
        <v>6.63</v>
      </c>
    </row>
    <row r="44" spans="1:8" ht="25.5" x14ac:dyDescent="0.2">
      <c r="A44" s="25">
        <v>16</v>
      </c>
      <c r="B44" s="26" t="s">
        <v>156</v>
      </c>
      <c r="C44" s="26" t="s">
        <v>157</v>
      </c>
      <c r="D44" s="26" t="s">
        <v>26</v>
      </c>
      <c r="E44" s="27">
        <v>500</v>
      </c>
      <c r="F44" s="28">
        <v>508.048</v>
      </c>
      <c r="G44" s="29">
        <v>1.145123E-2</v>
      </c>
      <c r="H44" s="17">
        <v>6.65</v>
      </c>
    </row>
    <row r="45" spans="1:8" x14ac:dyDescent="0.2">
      <c r="A45" s="25">
        <v>17</v>
      </c>
      <c r="B45" s="26" t="s">
        <v>61</v>
      </c>
      <c r="C45" s="26" t="s">
        <v>62</v>
      </c>
      <c r="D45" s="26" t="s">
        <v>26</v>
      </c>
      <c r="E45" s="27">
        <v>500</v>
      </c>
      <c r="F45" s="28">
        <v>506.5385</v>
      </c>
      <c r="G45" s="29">
        <v>1.1417210000000001E-2</v>
      </c>
      <c r="H45" s="17">
        <v>6.5</v>
      </c>
    </row>
    <row r="46" spans="1:8" ht="25.5" x14ac:dyDescent="0.2">
      <c r="A46" s="25">
        <v>18</v>
      </c>
      <c r="B46" s="26" t="s">
        <v>318</v>
      </c>
      <c r="C46" s="26" t="s">
        <v>319</v>
      </c>
      <c r="D46" s="26" t="s">
        <v>306</v>
      </c>
      <c r="E46" s="27">
        <v>50</v>
      </c>
      <c r="F46" s="28">
        <v>501.589</v>
      </c>
      <c r="G46" s="29">
        <v>1.130565E-2</v>
      </c>
      <c r="H46" s="17">
        <v>6.81</v>
      </c>
    </row>
    <row r="47" spans="1:8" x14ac:dyDescent="0.2">
      <c r="A47" s="25">
        <v>19</v>
      </c>
      <c r="B47" s="26" t="s">
        <v>320</v>
      </c>
      <c r="C47" s="26" t="s">
        <v>321</v>
      </c>
      <c r="D47" s="26" t="s">
        <v>306</v>
      </c>
      <c r="E47" s="27">
        <v>350</v>
      </c>
      <c r="F47" s="28">
        <v>355.22935000000001</v>
      </c>
      <c r="G47" s="29">
        <v>8.00675E-3</v>
      </c>
      <c r="H47" s="17">
        <v>7.92</v>
      </c>
    </row>
    <row r="48" spans="1:8" x14ac:dyDescent="0.2">
      <c r="A48" s="18"/>
      <c r="B48" s="18"/>
      <c r="C48" s="19" t="s">
        <v>11</v>
      </c>
      <c r="D48" s="18"/>
      <c r="E48" s="18" t="s">
        <v>12</v>
      </c>
      <c r="F48" s="24">
        <v>18048.03385</v>
      </c>
      <c r="G48" s="21">
        <v>0.40679659000000001</v>
      </c>
      <c r="H48" s="17" t="s">
        <v>12</v>
      </c>
    </row>
    <row r="49" spans="1:8" x14ac:dyDescent="0.2">
      <c r="A49" s="18"/>
      <c r="B49" s="18"/>
      <c r="C49" s="22"/>
      <c r="D49" s="18"/>
      <c r="E49" s="18"/>
      <c r="F49" s="23"/>
      <c r="G49" s="23"/>
      <c r="H49" s="17" t="s">
        <v>12</v>
      </c>
    </row>
    <row r="50" spans="1:8" x14ac:dyDescent="0.2">
      <c r="A50" s="18"/>
      <c r="B50" s="18"/>
      <c r="C50" s="19" t="s">
        <v>81</v>
      </c>
      <c r="D50" s="18"/>
      <c r="E50" s="18"/>
      <c r="F50" s="18"/>
      <c r="G50" s="18"/>
      <c r="H50" s="17" t="s">
        <v>12</v>
      </c>
    </row>
    <row r="51" spans="1:8" x14ac:dyDescent="0.2">
      <c r="A51" s="18"/>
      <c r="B51" s="18"/>
      <c r="C51" s="19" t="s">
        <v>11</v>
      </c>
      <c r="D51" s="18"/>
      <c r="E51" s="18" t="s">
        <v>12</v>
      </c>
      <c r="F51" s="20" t="s">
        <v>13</v>
      </c>
      <c r="G51" s="21">
        <v>0</v>
      </c>
      <c r="H51" s="17" t="s">
        <v>12</v>
      </c>
    </row>
    <row r="52" spans="1:8" x14ac:dyDescent="0.2">
      <c r="A52" s="18"/>
      <c r="B52" s="18"/>
      <c r="C52" s="22"/>
      <c r="D52" s="18"/>
      <c r="E52" s="18"/>
      <c r="F52" s="23"/>
      <c r="G52" s="23"/>
      <c r="H52" s="17" t="s">
        <v>12</v>
      </c>
    </row>
    <row r="53" spans="1:8" x14ac:dyDescent="0.2">
      <c r="A53" s="18"/>
      <c r="B53" s="18"/>
      <c r="C53" s="19" t="s">
        <v>82</v>
      </c>
      <c r="D53" s="18"/>
      <c r="E53" s="18"/>
      <c r="F53" s="18"/>
      <c r="G53" s="18"/>
      <c r="H53" s="17" t="s">
        <v>12</v>
      </c>
    </row>
    <row r="54" spans="1:8" x14ac:dyDescent="0.2">
      <c r="A54" s="25">
        <v>1</v>
      </c>
      <c r="B54" s="26" t="s">
        <v>164</v>
      </c>
      <c r="C54" s="26" t="s">
        <v>165</v>
      </c>
      <c r="D54" s="26" t="s">
        <v>85</v>
      </c>
      <c r="E54" s="27">
        <v>400000</v>
      </c>
      <c r="F54" s="28">
        <v>412.21319999999997</v>
      </c>
      <c r="G54" s="29">
        <v>9.2911499999999998E-3</v>
      </c>
      <c r="H54" s="17">
        <v>6.2164999999999999</v>
      </c>
    </row>
    <row r="55" spans="1:8" x14ac:dyDescent="0.2">
      <c r="A55" s="25">
        <v>2</v>
      </c>
      <c r="B55" s="26" t="s">
        <v>322</v>
      </c>
      <c r="C55" s="26" t="s">
        <v>323</v>
      </c>
      <c r="D55" s="26" t="s">
        <v>85</v>
      </c>
      <c r="E55" s="27">
        <v>300000</v>
      </c>
      <c r="F55" s="28">
        <v>308.34989999999999</v>
      </c>
      <c r="G55" s="29">
        <v>6.9500999999999999E-3</v>
      </c>
      <c r="H55" s="17">
        <v>5.8442999999999996</v>
      </c>
    </row>
    <row r="56" spans="1:8" x14ac:dyDescent="0.2">
      <c r="A56" s="18"/>
      <c r="B56" s="18"/>
      <c r="C56" s="19" t="s">
        <v>11</v>
      </c>
      <c r="D56" s="18"/>
      <c r="E56" s="18" t="s">
        <v>12</v>
      </c>
      <c r="F56" s="24">
        <v>720.56309999999996</v>
      </c>
      <c r="G56" s="21">
        <v>1.6241249999999999E-2</v>
      </c>
      <c r="H56" s="17" t="s">
        <v>12</v>
      </c>
    </row>
    <row r="57" spans="1:8" x14ac:dyDescent="0.2">
      <c r="A57" s="18"/>
      <c r="B57" s="18"/>
      <c r="C57" s="22"/>
      <c r="D57" s="18"/>
      <c r="E57" s="18"/>
      <c r="F57" s="23"/>
      <c r="G57" s="23"/>
      <c r="H57" s="17" t="s">
        <v>12</v>
      </c>
    </row>
    <row r="58" spans="1:8" x14ac:dyDescent="0.2">
      <c r="A58" s="18"/>
      <c r="B58" s="18"/>
      <c r="C58" s="19" t="s">
        <v>100</v>
      </c>
      <c r="D58" s="18"/>
      <c r="E58" s="18"/>
      <c r="F58" s="23"/>
      <c r="G58" s="23"/>
      <c r="H58" s="17" t="s">
        <v>12</v>
      </c>
    </row>
    <row r="59" spans="1:8" x14ac:dyDescent="0.2">
      <c r="A59" s="18"/>
      <c r="B59" s="18"/>
      <c r="C59" s="19" t="s">
        <v>11</v>
      </c>
      <c r="D59" s="18"/>
      <c r="E59" s="18" t="s">
        <v>12</v>
      </c>
      <c r="F59" s="20" t="s">
        <v>13</v>
      </c>
      <c r="G59" s="21">
        <v>0</v>
      </c>
      <c r="H59" s="17" t="s">
        <v>12</v>
      </c>
    </row>
    <row r="60" spans="1:8" x14ac:dyDescent="0.2">
      <c r="A60" s="18"/>
      <c r="B60" s="18"/>
      <c r="C60" s="22"/>
      <c r="D60" s="18"/>
      <c r="E60" s="18"/>
      <c r="F60" s="23"/>
      <c r="G60" s="23"/>
      <c r="H60" s="17" t="s">
        <v>12</v>
      </c>
    </row>
    <row r="61" spans="1:8" x14ac:dyDescent="0.2">
      <c r="A61" s="18"/>
      <c r="B61" s="18"/>
      <c r="C61" s="19" t="s">
        <v>101</v>
      </c>
      <c r="D61" s="18"/>
      <c r="E61" s="18"/>
      <c r="F61" s="24">
        <v>18768.596949999999</v>
      </c>
      <c r="G61" s="21">
        <v>0.42303784</v>
      </c>
      <c r="H61" s="17" t="s">
        <v>12</v>
      </c>
    </row>
    <row r="62" spans="1:8" x14ac:dyDescent="0.2">
      <c r="A62" s="18"/>
      <c r="B62" s="18"/>
      <c r="C62" s="22"/>
      <c r="D62" s="18"/>
      <c r="E62" s="18"/>
      <c r="F62" s="23"/>
      <c r="G62" s="23"/>
      <c r="H62" s="17" t="s">
        <v>12</v>
      </c>
    </row>
    <row r="63" spans="1:8" x14ac:dyDescent="0.2">
      <c r="A63" s="18"/>
      <c r="B63" s="18"/>
      <c r="C63" s="19" t="s">
        <v>102</v>
      </c>
      <c r="D63" s="18"/>
      <c r="E63" s="18"/>
      <c r="F63" s="23"/>
      <c r="G63" s="23"/>
      <c r="H63" s="17" t="s">
        <v>12</v>
      </c>
    </row>
    <row r="64" spans="1:8" x14ac:dyDescent="0.2">
      <c r="A64" s="18"/>
      <c r="B64" s="18"/>
      <c r="C64" s="19" t="s">
        <v>103</v>
      </c>
      <c r="D64" s="18"/>
      <c r="E64" s="18"/>
      <c r="F64" s="23"/>
      <c r="G64" s="23"/>
      <c r="H64" s="17" t="s">
        <v>12</v>
      </c>
    </row>
    <row r="65" spans="1:8" x14ac:dyDescent="0.2">
      <c r="A65" s="25">
        <v>1</v>
      </c>
      <c r="B65" s="26" t="s">
        <v>324</v>
      </c>
      <c r="C65" s="26" t="s">
        <v>325</v>
      </c>
      <c r="D65" s="26" t="s">
        <v>109</v>
      </c>
      <c r="E65" s="27">
        <v>500</v>
      </c>
      <c r="F65" s="28">
        <v>2452.585</v>
      </c>
      <c r="G65" s="29">
        <v>5.528044E-2</v>
      </c>
      <c r="H65" s="17">
        <v>5.9801000000000002</v>
      </c>
    </row>
    <row r="66" spans="1:8" x14ac:dyDescent="0.2">
      <c r="A66" s="25">
        <v>2</v>
      </c>
      <c r="B66" s="26" t="s">
        <v>218</v>
      </c>
      <c r="C66" s="26" t="s">
        <v>219</v>
      </c>
      <c r="D66" s="26" t="s">
        <v>109</v>
      </c>
      <c r="E66" s="27">
        <v>500</v>
      </c>
      <c r="F66" s="28">
        <v>2450.85</v>
      </c>
      <c r="G66" s="29">
        <v>5.5241329999999998E-2</v>
      </c>
      <c r="H66" s="17">
        <v>5.9999000000000002</v>
      </c>
    </row>
    <row r="67" spans="1:8" x14ac:dyDescent="0.2">
      <c r="A67" s="25">
        <v>3</v>
      </c>
      <c r="B67" s="26" t="s">
        <v>183</v>
      </c>
      <c r="C67" s="26" t="s">
        <v>184</v>
      </c>
      <c r="D67" s="26" t="s">
        <v>109</v>
      </c>
      <c r="E67" s="27">
        <v>500</v>
      </c>
      <c r="F67" s="28">
        <v>2413.6774999999998</v>
      </c>
      <c r="G67" s="29">
        <v>5.4403470000000002E-2</v>
      </c>
      <c r="H67" s="17">
        <v>6.1</v>
      </c>
    </row>
    <row r="68" spans="1:8" x14ac:dyDescent="0.2">
      <c r="A68" s="25">
        <v>4</v>
      </c>
      <c r="B68" s="26" t="s">
        <v>189</v>
      </c>
      <c r="C68" s="26" t="s">
        <v>190</v>
      </c>
      <c r="D68" s="26" t="s">
        <v>191</v>
      </c>
      <c r="E68" s="27">
        <v>400</v>
      </c>
      <c r="F68" s="28">
        <v>1962.13</v>
      </c>
      <c r="G68" s="29">
        <v>4.4225750000000001E-2</v>
      </c>
      <c r="H68" s="17">
        <v>5.9701000000000004</v>
      </c>
    </row>
    <row r="69" spans="1:8" x14ac:dyDescent="0.2">
      <c r="A69" s="25">
        <v>5</v>
      </c>
      <c r="B69" s="26" t="s">
        <v>326</v>
      </c>
      <c r="C69" s="26" t="s">
        <v>327</v>
      </c>
      <c r="D69" s="26" t="s">
        <v>109</v>
      </c>
      <c r="E69" s="27">
        <v>400</v>
      </c>
      <c r="F69" s="28">
        <v>1905.6980000000001</v>
      </c>
      <c r="G69" s="29">
        <v>4.2953789999999999E-2</v>
      </c>
      <c r="H69" s="17">
        <v>6.4050000000000002</v>
      </c>
    </row>
    <row r="70" spans="1:8" x14ac:dyDescent="0.2">
      <c r="A70" s="25">
        <v>6</v>
      </c>
      <c r="B70" s="26" t="s">
        <v>107</v>
      </c>
      <c r="C70" s="26" t="s">
        <v>108</v>
      </c>
      <c r="D70" s="26" t="s">
        <v>109</v>
      </c>
      <c r="E70" s="27">
        <v>300</v>
      </c>
      <c r="F70" s="28">
        <v>1473.4124999999999</v>
      </c>
      <c r="G70" s="29">
        <v>3.3210219999999999E-2</v>
      </c>
      <c r="H70" s="17">
        <v>5.9875999999999996</v>
      </c>
    </row>
    <row r="71" spans="1:8" x14ac:dyDescent="0.2">
      <c r="A71" s="25">
        <v>7</v>
      </c>
      <c r="B71" s="26" t="s">
        <v>328</v>
      </c>
      <c r="C71" s="26" t="s">
        <v>329</v>
      </c>
      <c r="D71" s="26" t="s">
        <v>109</v>
      </c>
      <c r="E71" s="27">
        <v>200</v>
      </c>
      <c r="F71" s="28">
        <v>971.697</v>
      </c>
      <c r="G71" s="29">
        <v>2.190172E-2</v>
      </c>
      <c r="H71" s="17">
        <v>6.1101000000000001</v>
      </c>
    </row>
    <row r="72" spans="1:8" ht="25.5" x14ac:dyDescent="0.2">
      <c r="A72" s="25">
        <v>8</v>
      </c>
      <c r="B72" s="26" t="s">
        <v>208</v>
      </c>
      <c r="C72" s="26" t="s">
        <v>209</v>
      </c>
      <c r="D72" s="26" t="s">
        <v>109</v>
      </c>
      <c r="E72" s="27">
        <v>200</v>
      </c>
      <c r="F72" s="28">
        <v>968.29</v>
      </c>
      <c r="G72" s="29">
        <v>2.1824929999999999E-2</v>
      </c>
      <c r="H72" s="17">
        <v>6.13</v>
      </c>
    </row>
    <row r="73" spans="1:8" ht="25.5" x14ac:dyDescent="0.2">
      <c r="A73" s="25">
        <v>9</v>
      </c>
      <c r="B73" s="26" t="s">
        <v>210</v>
      </c>
      <c r="C73" s="26" t="s">
        <v>211</v>
      </c>
      <c r="D73" s="26" t="s">
        <v>109</v>
      </c>
      <c r="E73" s="27">
        <v>200</v>
      </c>
      <c r="F73" s="28">
        <v>968.26499999999999</v>
      </c>
      <c r="G73" s="29">
        <v>2.1824369999999999E-2</v>
      </c>
      <c r="H73" s="17">
        <v>6.1349999999999998</v>
      </c>
    </row>
    <row r="74" spans="1:8" ht="25.5" x14ac:dyDescent="0.2">
      <c r="A74" s="25">
        <v>10</v>
      </c>
      <c r="B74" s="26" t="s">
        <v>330</v>
      </c>
      <c r="C74" s="26" t="s">
        <v>331</v>
      </c>
      <c r="D74" s="26" t="s">
        <v>109</v>
      </c>
      <c r="E74" s="27">
        <v>200</v>
      </c>
      <c r="F74" s="28">
        <v>966.03099999999995</v>
      </c>
      <c r="G74" s="29">
        <v>2.177401E-2</v>
      </c>
      <c r="H74" s="17">
        <v>6.141</v>
      </c>
    </row>
    <row r="75" spans="1:8" x14ac:dyDescent="0.2">
      <c r="A75" s="25">
        <v>11</v>
      </c>
      <c r="B75" s="26" t="s">
        <v>172</v>
      </c>
      <c r="C75" s="26" t="s">
        <v>173</v>
      </c>
      <c r="D75" s="26" t="s">
        <v>109</v>
      </c>
      <c r="E75" s="27">
        <v>200</v>
      </c>
      <c r="F75" s="28">
        <v>965.43499999999995</v>
      </c>
      <c r="G75" s="29">
        <v>2.1760580000000002E-2</v>
      </c>
      <c r="H75" s="17">
        <v>6.05</v>
      </c>
    </row>
    <row r="76" spans="1:8" ht="25.5" x14ac:dyDescent="0.2">
      <c r="A76" s="25">
        <v>12</v>
      </c>
      <c r="B76" s="26" t="s">
        <v>332</v>
      </c>
      <c r="C76" s="26" t="s">
        <v>333</v>
      </c>
      <c r="D76" s="26" t="s">
        <v>109</v>
      </c>
      <c r="E76" s="27">
        <v>100</v>
      </c>
      <c r="F76" s="28">
        <v>482.07549999999998</v>
      </c>
      <c r="G76" s="29">
        <v>1.086582E-2</v>
      </c>
      <c r="H76" s="17">
        <v>6.141</v>
      </c>
    </row>
    <row r="77" spans="1:8" x14ac:dyDescent="0.2">
      <c r="A77" s="18"/>
      <c r="B77" s="18"/>
      <c r="C77" s="19" t="s">
        <v>11</v>
      </c>
      <c r="D77" s="18"/>
      <c r="E77" s="18" t="s">
        <v>12</v>
      </c>
      <c r="F77" s="24">
        <v>17980.146499999999</v>
      </c>
      <c r="G77" s="21">
        <v>0.40526643000000001</v>
      </c>
      <c r="H77" s="17" t="s">
        <v>12</v>
      </c>
    </row>
    <row r="78" spans="1:8" x14ac:dyDescent="0.2">
      <c r="A78" s="18"/>
      <c r="B78" s="18"/>
      <c r="C78" s="22"/>
      <c r="D78" s="18"/>
      <c r="E78" s="18"/>
      <c r="F78" s="23"/>
      <c r="G78" s="23"/>
      <c r="H78" s="17" t="s">
        <v>12</v>
      </c>
    </row>
    <row r="79" spans="1:8" x14ac:dyDescent="0.2">
      <c r="A79" s="18"/>
      <c r="B79" s="18"/>
      <c r="C79" s="19" t="s">
        <v>110</v>
      </c>
      <c r="D79" s="18"/>
      <c r="E79" s="18"/>
      <c r="F79" s="23"/>
      <c r="G79" s="23"/>
      <c r="H79" s="17" t="s">
        <v>12</v>
      </c>
    </row>
    <row r="80" spans="1:8" x14ac:dyDescent="0.2">
      <c r="A80" s="18"/>
      <c r="B80" s="18"/>
      <c r="C80" s="19" t="s">
        <v>11</v>
      </c>
      <c r="D80" s="18"/>
      <c r="E80" s="18" t="s">
        <v>12</v>
      </c>
      <c r="F80" s="20" t="s">
        <v>13</v>
      </c>
      <c r="G80" s="21">
        <v>0</v>
      </c>
      <c r="H80" s="17" t="s">
        <v>12</v>
      </c>
    </row>
    <row r="81" spans="1:17" x14ac:dyDescent="0.2">
      <c r="A81" s="18"/>
      <c r="B81" s="18"/>
      <c r="C81" s="22"/>
      <c r="D81" s="18"/>
      <c r="E81" s="18"/>
      <c r="F81" s="23"/>
      <c r="G81" s="23"/>
      <c r="H81" s="17" t="s">
        <v>12</v>
      </c>
    </row>
    <row r="82" spans="1:17" x14ac:dyDescent="0.2">
      <c r="A82" s="18"/>
      <c r="B82" s="18"/>
      <c r="C82" s="19" t="s">
        <v>111</v>
      </c>
      <c r="D82" s="18"/>
      <c r="E82" s="18"/>
      <c r="F82" s="23"/>
      <c r="G82" s="23"/>
      <c r="H82" s="17" t="s">
        <v>12</v>
      </c>
    </row>
    <row r="83" spans="1:17" x14ac:dyDescent="0.2">
      <c r="A83" s="18"/>
      <c r="B83" s="18"/>
      <c r="C83" s="19" t="s">
        <v>11</v>
      </c>
      <c r="D83" s="18"/>
      <c r="E83" s="18" t="s">
        <v>12</v>
      </c>
      <c r="F83" s="20" t="s">
        <v>13</v>
      </c>
      <c r="G83" s="21">
        <v>0</v>
      </c>
      <c r="H83" s="17" t="s">
        <v>12</v>
      </c>
    </row>
    <row r="84" spans="1:17" x14ac:dyDescent="0.2">
      <c r="A84" s="18"/>
      <c r="B84" s="18"/>
      <c r="C84" s="22"/>
      <c r="D84" s="18"/>
      <c r="E84" s="18"/>
      <c r="F84" s="23"/>
      <c r="G84" s="23"/>
      <c r="H84" s="17" t="s">
        <v>12</v>
      </c>
    </row>
    <row r="85" spans="1:17" x14ac:dyDescent="0.2">
      <c r="A85" s="18"/>
      <c r="B85" s="18"/>
      <c r="C85" s="19" t="s">
        <v>112</v>
      </c>
      <c r="D85" s="18"/>
      <c r="E85" s="18"/>
      <c r="F85" s="23"/>
      <c r="G85" s="23"/>
      <c r="H85" s="17" t="s">
        <v>12</v>
      </c>
    </row>
    <row r="86" spans="1:17" x14ac:dyDescent="0.2">
      <c r="A86" s="25">
        <v>1</v>
      </c>
      <c r="B86" s="26"/>
      <c r="C86" s="26" t="s">
        <v>113</v>
      </c>
      <c r="D86" s="26"/>
      <c r="E86" s="30"/>
      <c r="F86" s="28">
        <v>6821.9927676839998</v>
      </c>
      <c r="G86" s="29">
        <v>0.15376540999999999</v>
      </c>
      <c r="H86" s="17">
        <v>5.39</v>
      </c>
    </row>
    <row r="87" spans="1:17" x14ac:dyDescent="0.2">
      <c r="A87" s="18"/>
      <c r="B87" s="18"/>
      <c r="C87" s="19" t="s">
        <v>11</v>
      </c>
      <c r="D87" s="18"/>
      <c r="E87" s="18" t="s">
        <v>12</v>
      </c>
      <c r="F87" s="24">
        <v>6821.9927676839998</v>
      </c>
      <c r="G87" s="21">
        <v>0.15376540999999999</v>
      </c>
      <c r="H87" s="17" t="s">
        <v>12</v>
      </c>
    </row>
    <row r="88" spans="1:17" x14ac:dyDescent="0.2">
      <c r="A88" s="18"/>
      <c r="B88" s="18"/>
      <c r="C88" s="22"/>
      <c r="D88" s="18"/>
      <c r="E88" s="18"/>
      <c r="F88" s="23"/>
      <c r="G88" s="23"/>
      <c r="H88" s="17" t="s">
        <v>12</v>
      </c>
    </row>
    <row r="89" spans="1:17" x14ac:dyDescent="0.2">
      <c r="A89" s="18"/>
      <c r="B89" s="18"/>
      <c r="C89" s="19" t="s">
        <v>114</v>
      </c>
      <c r="D89" s="18"/>
      <c r="E89" s="18"/>
      <c r="F89" s="24">
        <v>24802.139267684001</v>
      </c>
      <c r="G89" s="21">
        <v>0.55903183999999995</v>
      </c>
      <c r="H89" s="17" t="s">
        <v>12</v>
      </c>
    </row>
    <row r="90" spans="1:17" x14ac:dyDescent="0.2">
      <c r="A90" s="18"/>
      <c r="B90" s="18"/>
      <c r="C90" s="23"/>
      <c r="D90" s="18"/>
      <c r="E90" s="18"/>
      <c r="F90" s="18"/>
      <c r="G90" s="18"/>
      <c r="H90" s="17" t="s">
        <v>12</v>
      </c>
    </row>
    <row r="91" spans="1:17" x14ac:dyDescent="0.2">
      <c r="A91" s="18"/>
      <c r="B91" s="18"/>
      <c r="C91" s="19" t="s">
        <v>115</v>
      </c>
      <c r="D91" s="18"/>
      <c r="E91" s="18"/>
      <c r="F91" s="18"/>
      <c r="G91" s="18"/>
      <c r="H91" s="17" t="s">
        <v>12</v>
      </c>
    </row>
    <row r="92" spans="1:17" x14ac:dyDescent="0.2">
      <c r="A92" s="18"/>
      <c r="B92" s="18"/>
      <c r="C92" s="19" t="s">
        <v>116</v>
      </c>
      <c r="D92" s="18"/>
      <c r="E92" s="18"/>
      <c r="F92" s="18"/>
      <c r="G92" s="18"/>
      <c r="H92" s="17" t="s">
        <v>12</v>
      </c>
    </row>
    <row r="93" spans="1:17" x14ac:dyDescent="0.2">
      <c r="A93" s="18"/>
      <c r="B93" s="18"/>
      <c r="C93" s="19" t="s">
        <v>11</v>
      </c>
      <c r="D93" s="18"/>
      <c r="E93" s="18" t="s">
        <v>12</v>
      </c>
      <c r="F93" s="20" t="s">
        <v>13</v>
      </c>
      <c r="G93" s="21">
        <v>0</v>
      </c>
      <c r="H93" s="17" t="s">
        <v>12</v>
      </c>
    </row>
    <row r="94" spans="1:17" x14ac:dyDescent="0.2">
      <c r="A94" s="15"/>
      <c r="B94" s="15"/>
      <c r="C94" s="31"/>
      <c r="D94" s="15"/>
      <c r="E94" s="15"/>
      <c r="F94" s="32"/>
      <c r="G94" s="32"/>
      <c r="H94" s="17" t="s">
        <v>12</v>
      </c>
    </row>
    <row r="95" spans="1:17" x14ac:dyDescent="0.2">
      <c r="A95" s="15"/>
      <c r="B95" s="15"/>
      <c r="C95" s="16" t="s">
        <v>593</v>
      </c>
      <c r="D95" s="15"/>
      <c r="E95" s="15"/>
      <c r="F95" s="32"/>
      <c r="G95" s="32"/>
      <c r="H95" s="17" t="s">
        <v>12</v>
      </c>
      <c r="K95" s="33"/>
      <c r="L95" s="33"/>
      <c r="M95" s="33"/>
      <c r="N95" s="33"/>
      <c r="O95" s="34"/>
      <c r="P95" s="34"/>
      <c r="Q95" s="34"/>
    </row>
    <row r="96" spans="1:17" x14ac:dyDescent="0.2">
      <c r="A96" s="35">
        <v>1</v>
      </c>
      <c r="B96" s="36" t="s">
        <v>117</v>
      </c>
      <c r="C96" s="36" t="s">
        <v>118</v>
      </c>
      <c r="D96" s="36"/>
      <c r="E96" s="37">
        <v>1043.4449999999999</v>
      </c>
      <c r="F96" s="38">
        <v>117.99459602</v>
      </c>
      <c r="G96" s="39">
        <v>2.65956E-3</v>
      </c>
      <c r="H96" s="17"/>
    </row>
    <row r="97" spans="1:8" x14ac:dyDescent="0.2">
      <c r="A97" s="15"/>
      <c r="B97" s="15"/>
      <c r="C97" s="16" t="s">
        <v>11</v>
      </c>
      <c r="D97" s="15"/>
      <c r="E97" s="15" t="s">
        <v>12</v>
      </c>
      <c r="F97" s="40">
        <f>SUM(F96)</f>
        <v>117.99459602</v>
      </c>
      <c r="G97" s="41">
        <f>SUM(G96)</f>
        <v>2.65956E-3</v>
      </c>
      <c r="H97" s="17" t="s">
        <v>12</v>
      </c>
    </row>
    <row r="98" spans="1:8" x14ac:dyDescent="0.2">
      <c r="A98" s="15"/>
      <c r="B98" s="15"/>
      <c r="C98" s="31"/>
      <c r="D98" s="15"/>
      <c r="E98" s="15"/>
      <c r="F98" s="32"/>
      <c r="G98" s="32"/>
      <c r="H98" s="17" t="s">
        <v>12</v>
      </c>
    </row>
    <row r="99" spans="1:8" x14ac:dyDescent="0.2">
      <c r="A99" s="18"/>
      <c r="B99" s="18"/>
      <c r="C99" s="19" t="s">
        <v>119</v>
      </c>
      <c r="D99" s="18"/>
      <c r="E99" s="18"/>
      <c r="F99" s="18"/>
      <c r="G99" s="18"/>
      <c r="H99" s="17" t="s">
        <v>12</v>
      </c>
    </row>
    <row r="100" spans="1:8" x14ac:dyDescent="0.2">
      <c r="A100" s="18"/>
      <c r="B100" s="18"/>
      <c r="C100" s="19" t="s">
        <v>120</v>
      </c>
      <c r="D100" s="18"/>
      <c r="E100" s="18"/>
      <c r="F100" s="18"/>
      <c r="G100" s="18"/>
      <c r="H100" s="17" t="s">
        <v>12</v>
      </c>
    </row>
    <row r="101" spans="1:8" x14ac:dyDescent="0.2">
      <c r="A101" s="18"/>
      <c r="B101" s="18"/>
      <c r="C101" s="19" t="s">
        <v>11</v>
      </c>
      <c r="D101" s="18"/>
      <c r="E101" s="18" t="s">
        <v>12</v>
      </c>
      <c r="F101" s="20" t="s">
        <v>13</v>
      </c>
      <c r="G101" s="21">
        <v>0</v>
      </c>
      <c r="H101" s="17" t="s">
        <v>12</v>
      </c>
    </row>
    <row r="102" spans="1:8" x14ac:dyDescent="0.2">
      <c r="A102" s="18"/>
      <c r="B102" s="18"/>
      <c r="C102" s="22"/>
      <c r="D102" s="18"/>
      <c r="E102" s="18"/>
      <c r="F102" s="23"/>
      <c r="G102" s="23"/>
      <c r="H102" s="17" t="s">
        <v>12</v>
      </c>
    </row>
    <row r="103" spans="1:8" x14ac:dyDescent="0.2">
      <c r="A103" s="18"/>
      <c r="B103" s="18"/>
      <c r="C103" s="19" t="s">
        <v>121</v>
      </c>
      <c r="D103" s="18"/>
      <c r="E103" s="18"/>
      <c r="F103" s="23"/>
      <c r="G103" s="23"/>
      <c r="H103" s="17" t="s">
        <v>12</v>
      </c>
    </row>
    <row r="104" spans="1:8" x14ac:dyDescent="0.2">
      <c r="A104" s="18"/>
      <c r="B104" s="18"/>
      <c r="C104" s="19" t="s">
        <v>11</v>
      </c>
      <c r="D104" s="18"/>
      <c r="E104" s="18" t="s">
        <v>12</v>
      </c>
      <c r="F104" s="20" t="s">
        <v>13</v>
      </c>
      <c r="G104" s="21">
        <v>0</v>
      </c>
      <c r="H104" s="17" t="s">
        <v>12</v>
      </c>
    </row>
    <row r="105" spans="1:8" x14ac:dyDescent="0.2">
      <c r="A105" s="18"/>
      <c r="B105" s="18"/>
      <c r="C105" s="22"/>
      <c r="D105" s="18"/>
      <c r="E105" s="18"/>
      <c r="F105" s="23"/>
      <c r="G105" s="23"/>
      <c r="H105" s="17" t="s">
        <v>12</v>
      </c>
    </row>
    <row r="106" spans="1:8" x14ac:dyDescent="0.2">
      <c r="A106" s="30"/>
      <c r="B106" s="26"/>
      <c r="C106" s="26" t="s">
        <v>122</v>
      </c>
      <c r="D106" s="26"/>
      <c r="E106" s="30"/>
      <c r="F106" s="28">
        <f>677.50751612-F25-0.00435984399795532</f>
        <v>677.49315627600208</v>
      </c>
      <c r="G106" s="29">
        <f>F106/F107</f>
        <v>1.5270468003536685E-2</v>
      </c>
      <c r="H106" s="17" t="s">
        <v>12</v>
      </c>
    </row>
    <row r="107" spans="1:8" x14ac:dyDescent="0.2">
      <c r="A107" s="22"/>
      <c r="B107" s="22"/>
      <c r="C107" s="19" t="s">
        <v>123</v>
      </c>
      <c r="D107" s="23"/>
      <c r="E107" s="23"/>
      <c r="F107" s="24">
        <f>44366.238329824-0.00435984399795532</f>
        <v>44366.233969980007</v>
      </c>
      <c r="G107" s="42">
        <v>1.00000003</v>
      </c>
      <c r="H107" s="17" t="s">
        <v>12</v>
      </c>
    </row>
    <row r="108" spans="1:8" x14ac:dyDescent="0.2">
      <c r="A108" s="43"/>
      <c r="B108" s="43"/>
      <c r="C108" s="43"/>
      <c r="D108" s="44"/>
      <c r="E108" s="44"/>
      <c r="F108" s="44"/>
      <c r="G108" s="44"/>
    </row>
    <row r="109" spans="1:8" x14ac:dyDescent="0.2">
      <c r="A109" s="45"/>
      <c r="B109" s="150" t="s">
        <v>594</v>
      </c>
      <c r="C109" s="150"/>
      <c r="D109" s="150"/>
      <c r="E109" s="150"/>
      <c r="F109" s="150"/>
      <c r="G109" s="150"/>
      <c r="H109" s="150"/>
    </row>
    <row r="110" spans="1:8" x14ac:dyDescent="0.2">
      <c r="A110" s="45"/>
      <c r="B110" s="150" t="s">
        <v>595</v>
      </c>
      <c r="C110" s="150"/>
      <c r="D110" s="150"/>
      <c r="E110" s="150"/>
      <c r="F110" s="150"/>
      <c r="G110" s="150"/>
      <c r="H110" s="150"/>
    </row>
    <row r="111" spans="1:8" x14ac:dyDescent="0.2">
      <c r="A111" s="45"/>
      <c r="B111" s="150" t="s">
        <v>596</v>
      </c>
      <c r="C111" s="150"/>
      <c r="D111" s="150"/>
      <c r="E111" s="150"/>
      <c r="F111" s="150"/>
      <c r="G111" s="150"/>
      <c r="H111" s="150"/>
    </row>
    <row r="112" spans="1:8" x14ac:dyDescent="0.2">
      <c r="A112" s="45"/>
      <c r="B112" s="45"/>
      <c r="C112" s="45"/>
      <c r="D112" s="47"/>
      <c r="E112" s="47"/>
      <c r="F112" s="47"/>
      <c r="G112" s="47"/>
    </row>
    <row r="113" spans="1:7" x14ac:dyDescent="0.2">
      <c r="A113" s="45"/>
      <c r="B113" s="151" t="s">
        <v>124</v>
      </c>
      <c r="C113" s="152"/>
      <c r="D113" s="153"/>
      <c r="E113" s="48"/>
      <c r="F113" s="47"/>
      <c r="G113" s="47"/>
    </row>
    <row r="114" spans="1:7" ht="27" customHeight="1" x14ac:dyDescent="0.2">
      <c r="A114" s="45"/>
      <c r="B114" s="143" t="s">
        <v>125</v>
      </c>
      <c r="C114" s="144"/>
      <c r="D114" s="113" t="s">
        <v>618</v>
      </c>
      <c r="E114" s="48"/>
      <c r="F114" s="47"/>
      <c r="G114" s="47"/>
    </row>
    <row r="115" spans="1:7" x14ac:dyDescent="0.2">
      <c r="A115" s="45"/>
      <c r="B115" s="143" t="s">
        <v>127</v>
      </c>
      <c r="C115" s="144"/>
      <c r="D115" s="16" t="s">
        <v>126</v>
      </c>
      <c r="E115" s="48"/>
      <c r="F115" s="47"/>
      <c r="G115" s="47"/>
    </row>
    <row r="116" spans="1:7" x14ac:dyDescent="0.2">
      <c r="A116" s="45"/>
      <c r="B116" s="143" t="s">
        <v>128</v>
      </c>
      <c r="C116" s="144"/>
      <c r="D116" s="32" t="s">
        <v>12</v>
      </c>
      <c r="E116" s="48"/>
      <c r="F116" s="47"/>
      <c r="G116" s="47"/>
    </row>
    <row r="117" spans="1:7" x14ac:dyDescent="0.2">
      <c r="A117" s="49"/>
      <c r="B117" s="50" t="s">
        <v>12</v>
      </c>
      <c r="C117" s="50" t="s">
        <v>597</v>
      </c>
      <c r="D117" s="50" t="s">
        <v>129</v>
      </c>
      <c r="E117" s="49"/>
      <c r="F117" s="49"/>
      <c r="G117" s="49"/>
    </row>
    <row r="118" spans="1:7" x14ac:dyDescent="0.2">
      <c r="A118" s="51"/>
      <c r="B118" s="52" t="s">
        <v>130</v>
      </c>
      <c r="C118" s="53">
        <v>45869</v>
      </c>
      <c r="D118" s="53">
        <v>45884</v>
      </c>
      <c r="E118" s="51"/>
      <c r="F118" s="51"/>
      <c r="G118" s="51"/>
    </row>
    <row r="119" spans="1:7" x14ac:dyDescent="0.2">
      <c r="A119" s="51"/>
      <c r="B119" s="26" t="s">
        <v>131</v>
      </c>
      <c r="C119" s="54">
        <v>3739.4166</v>
      </c>
      <c r="D119" s="54">
        <v>3746.5223000000001</v>
      </c>
      <c r="E119" s="51"/>
      <c r="F119" s="55"/>
      <c r="G119" s="56"/>
    </row>
    <row r="120" spans="1:7" ht="25.5" x14ac:dyDescent="0.2">
      <c r="A120" s="51"/>
      <c r="B120" s="26" t="s">
        <v>737</v>
      </c>
      <c r="C120" s="54">
        <v>1112.9188999999999</v>
      </c>
      <c r="D120" s="54">
        <v>1115.0337</v>
      </c>
      <c r="E120" s="51"/>
      <c r="F120" s="55"/>
      <c r="G120" s="56"/>
    </row>
    <row r="121" spans="1:7" x14ac:dyDescent="0.2">
      <c r="A121" s="51"/>
      <c r="B121" s="26" t="s">
        <v>132</v>
      </c>
      <c r="C121" s="54">
        <v>3485.3824</v>
      </c>
      <c r="D121" s="54">
        <v>3490.9301999999998</v>
      </c>
      <c r="E121" s="51"/>
      <c r="F121" s="55"/>
      <c r="G121" s="56"/>
    </row>
    <row r="122" spans="1:7" ht="25.5" x14ac:dyDescent="0.2">
      <c r="A122" s="51"/>
      <c r="B122" s="26" t="s">
        <v>738</v>
      </c>
      <c r="C122" s="54">
        <v>1099.204</v>
      </c>
      <c r="D122" s="54">
        <v>1100.9534000000001</v>
      </c>
      <c r="E122" s="51"/>
      <c r="F122" s="55"/>
      <c r="G122" s="56"/>
    </row>
    <row r="123" spans="1:7" x14ac:dyDescent="0.2">
      <c r="A123" s="51"/>
      <c r="B123" s="51"/>
      <c r="C123" s="51"/>
      <c r="D123" s="51"/>
      <c r="E123" s="51"/>
      <c r="F123" s="51"/>
      <c r="G123" s="51"/>
    </row>
    <row r="124" spans="1:7" x14ac:dyDescent="0.2">
      <c r="A124" s="51"/>
      <c r="B124" s="145" t="s">
        <v>598</v>
      </c>
      <c r="C124" s="146"/>
      <c r="D124" s="16" t="s">
        <v>126</v>
      </c>
      <c r="E124" s="51"/>
      <c r="F124" s="51"/>
      <c r="G124" s="51"/>
    </row>
    <row r="125" spans="1:7" x14ac:dyDescent="0.2">
      <c r="A125" s="51"/>
      <c r="B125" s="61"/>
      <c r="C125" s="61"/>
      <c r="D125" s="61"/>
      <c r="E125" s="51"/>
      <c r="F125" s="51"/>
      <c r="G125" s="51"/>
    </row>
    <row r="126" spans="1:7" x14ac:dyDescent="0.2">
      <c r="A126" s="49"/>
      <c r="B126" s="143" t="s">
        <v>133</v>
      </c>
      <c r="C126" s="144"/>
      <c r="D126" s="16" t="s">
        <v>126</v>
      </c>
      <c r="E126" s="60"/>
      <c r="F126" s="49"/>
      <c r="G126" s="49"/>
    </row>
    <row r="127" spans="1:7" x14ac:dyDescent="0.2">
      <c r="A127" s="49"/>
      <c r="B127" s="143" t="s">
        <v>134</v>
      </c>
      <c r="C127" s="144"/>
      <c r="D127" s="16" t="s">
        <v>126</v>
      </c>
      <c r="E127" s="60"/>
      <c r="F127" s="49"/>
      <c r="G127" s="49"/>
    </row>
    <row r="128" spans="1:7" x14ac:dyDescent="0.2">
      <c r="A128" s="49"/>
      <c r="B128" s="143" t="s">
        <v>599</v>
      </c>
      <c r="C128" s="144"/>
      <c r="D128" s="16" t="s">
        <v>126</v>
      </c>
      <c r="E128" s="60"/>
      <c r="F128" s="49"/>
      <c r="G128" s="49"/>
    </row>
    <row r="129" spans="1:20" x14ac:dyDescent="0.2">
      <c r="A129" s="49"/>
      <c r="B129" s="46"/>
      <c r="C129" s="46"/>
      <c r="D129" s="139"/>
      <c r="E129" s="49"/>
      <c r="F129" s="49"/>
      <c r="G129" s="49"/>
      <c r="J129" s="14"/>
    </row>
    <row r="130" spans="1:20" s="62" customFormat="1" x14ac:dyDescent="0.2">
      <c r="B130" s="147" t="s">
        <v>600</v>
      </c>
      <c r="C130" s="148"/>
      <c r="D130" s="149"/>
      <c r="I130"/>
      <c r="J130" s="14"/>
      <c r="K130" s="33"/>
      <c r="L130" s="33"/>
      <c r="M130" s="33"/>
      <c r="N130" s="33"/>
      <c r="O130" s="68"/>
    </row>
    <row r="131" spans="1:20" s="62" customFormat="1" ht="51" x14ac:dyDescent="0.2">
      <c r="B131" s="141" t="s">
        <v>601</v>
      </c>
      <c r="C131" s="141"/>
      <c r="D131" s="63" t="s">
        <v>290</v>
      </c>
      <c r="I131"/>
      <c r="J131" s="14"/>
      <c r="K131" s="33"/>
      <c r="L131" s="33"/>
      <c r="M131" s="33"/>
      <c r="N131" s="33"/>
      <c r="O131" s="68"/>
    </row>
    <row r="132" spans="1:20" s="62" customFormat="1" x14ac:dyDescent="0.2">
      <c r="B132" s="142" t="s">
        <v>602</v>
      </c>
      <c r="C132" s="142"/>
      <c r="D132" s="64"/>
      <c r="I132"/>
      <c r="J132" s="14"/>
      <c r="K132" s="33"/>
      <c r="L132" s="33"/>
      <c r="M132" s="33"/>
      <c r="N132" s="33"/>
      <c r="O132" s="68"/>
    </row>
    <row r="133" spans="1:20" s="62" customFormat="1" x14ac:dyDescent="0.2">
      <c r="B133" s="142"/>
      <c r="C133" s="142"/>
      <c r="D133" s="65"/>
      <c r="I133"/>
      <c r="J133" s="14"/>
      <c r="K133" s="33"/>
      <c r="L133" s="33"/>
      <c r="M133" s="33"/>
      <c r="N133" s="33"/>
      <c r="O133" s="68"/>
    </row>
    <row r="134" spans="1:20" s="62" customFormat="1" x14ac:dyDescent="0.2">
      <c r="B134" s="142" t="s">
        <v>603</v>
      </c>
      <c r="C134" s="142"/>
      <c r="D134" s="66">
        <v>6.3760911787101096</v>
      </c>
      <c r="I134"/>
      <c r="J134" s="14"/>
      <c r="K134" s="33"/>
      <c r="L134" s="33"/>
      <c r="M134" s="33"/>
      <c r="N134" s="33"/>
      <c r="O134" s="68"/>
    </row>
    <row r="135" spans="1:20" s="62" customFormat="1" x14ac:dyDescent="0.2">
      <c r="B135" s="142"/>
      <c r="C135" s="142"/>
      <c r="D135" s="65"/>
      <c r="I135"/>
      <c r="J135" s="14"/>
      <c r="K135" s="33"/>
      <c r="L135" s="33"/>
      <c r="M135" s="33"/>
      <c r="N135" s="33"/>
      <c r="O135" s="68"/>
      <c r="P135"/>
      <c r="Q135"/>
    </row>
    <row r="136" spans="1:20" s="62" customFormat="1" x14ac:dyDescent="0.2">
      <c r="B136" s="142" t="s">
        <v>604</v>
      </c>
      <c r="C136" s="142"/>
      <c r="D136" s="66">
        <v>0.73232957747457716</v>
      </c>
      <c r="I136"/>
      <c r="J136" s="14"/>
      <c r="K136" s="33"/>
      <c r="L136" s="33"/>
      <c r="M136" s="33"/>
      <c r="N136" s="33"/>
      <c r="O136" s="68"/>
      <c r="P136"/>
      <c r="Q136"/>
    </row>
    <row r="137" spans="1:20" s="62" customFormat="1" x14ac:dyDescent="0.2">
      <c r="B137" s="142" t="s">
        <v>619</v>
      </c>
      <c r="C137" s="142"/>
      <c r="D137" s="66">
        <v>0.77487981612109891</v>
      </c>
      <c r="I137"/>
      <c r="J137" s="14"/>
      <c r="K137" s="33"/>
      <c r="L137" s="33"/>
      <c r="M137" s="33"/>
      <c r="N137" s="33"/>
      <c r="O137"/>
      <c r="P137"/>
      <c r="Q137"/>
    </row>
    <row r="138" spans="1:20" s="62" customFormat="1" x14ac:dyDescent="0.2">
      <c r="B138" s="142"/>
      <c r="C138" s="142"/>
      <c r="D138" s="65"/>
      <c r="I138"/>
      <c r="J138" s="14"/>
      <c r="K138" s="33"/>
      <c r="L138" s="33"/>
      <c r="M138" s="33"/>
      <c r="N138" s="33"/>
      <c r="O138"/>
      <c r="P138"/>
      <c r="Q138"/>
    </row>
    <row r="139" spans="1:20" s="62" customFormat="1" ht="25.5" x14ac:dyDescent="0.2">
      <c r="B139" s="142" t="s">
        <v>606</v>
      </c>
      <c r="C139" s="142"/>
      <c r="D139" s="67" t="s">
        <v>716</v>
      </c>
      <c r="I139"/>
      <c r="J139" s="14"/>
      <c r="K139" s="33"/>
      <c r="L139" s="33"/>
      <c r="M139" s="33"/>
      <c r="N139" s="33"/>
      <c r="O139" s="68"/>
    </row>
    <row r="140" spans="1:20" s="62" customFormat="1" x14ac:dyDescent="0.2">
      <c r="B140" s="155" t="s">
        <v>607</v>
      </c>
      <c r="C140" s="157"/>
      <c r="D140" s="156"/>
      <c r="I140"/>
      <c r="J140" s="14"/>
      <c r="K140" s="33"/>
      <c r="L140" s="33"/>
      <c r="M140" s="33"/>
      <c r="N140" s="33"/>
      <c r="O140"/>
      <c r="P140"/>
      <c r="Q140"/>
      <c r="R140"/>
      <c r="S140"/>
      <c r="T140"/>
    </row>
    <row r="141" spans="1:20" x14ac:dyDescent="0.2">
      <c r="A141" s="61"/>
      <c r="B141" s="61"/>
      <c r="C141" s="61"/>
      <c r="D141" s="61"/>
      <c r="E141" s="61"/>
      <c r="F141" s="61"/>
      <c r="G141" s="61"/>
      <c r="J141" s="14"/>
    </row>
    <row r="142" spans="1:20" s="62" customFormat="1" x14ac:dyDescent="0.2">
      <c r="B142" s="128" t="s">
        <v>717</v>
      </c>
      <c r="C142" s="128"/>
      <c r="D142" s="128"/>
      <c r="E142" s="128"/>
      <c r="F142" s="128"/>
      <c r="G142" s="128"/>
      <c r="H142" s="128"/>
      <c r="I142"/>
      <c r="J142" s="14"/>
      <c r="K142" s="33"/>
      <c r="L142" s="33"/>
      <c r="M142" s="33"/>
      <c r="N142" s="33"/>
      <c r="O142" s="68"/>
    </row>
    <row r="143" spans="1:20" s="62" customFormat="1" ht="6.75" customHeight="1" x14ac:dyDescent="0.2">
      <c r="B143" s="128"/>
      <c r="C143" s="128"/>
      <c r="D143" s="128"/>
      <c r="E143" s="128"/>
      <c r="F143" s="128"/>
      <c r="G143" s="128"/>
      <c r="H143" s="128"/>
      <c r="I143"/>
      <c r="J143" s="14"/>
      <c r="K143" s="33"/>
      <c r="L143" s="33"/>
      <c r="M143" s="33"/>
      <c r="N143" s="33"/>
      <c r="O143" s="68"/>
    </row>
    <row r="144" spans="1:20" ht="13.5" x14ac:dyDescent="0.25">
      <c r="B144" s="85" t="s">
        <v>620</v>
      </c>
      <c r="C144" s="85" t="s">
        <v>621</v>
      </c>
      <c r="D144" s="163" t="s">
        <v>622</v>
      </c>
      <c r="E144" s="163"/>
      <c r="F144" s="163"/>
      <c r="G144" s="164" t="s">
        <v>623</v>
      </c>
      <c r="H144" s="164"/>
      <c r="J144" s="14"/>
      <c r="K144" s="33"/>
      <c r="L144" s="33"/>
      <c r="M144" s="33"/>
      <c r="N144" s="33"/>
      <c r="P144" s="33"/>
    </row>
    <row r="145" spans="2:16" ht="27" x14ac:dyDescent="0.25">
      <c r="B145" s="84" t="s">
        <v>624</v>
      </c>
      <c r="C145" s="83" t="s">
        <v>625</v>
      </c>
      <c r="D145" s="165">
        <v>0</v>
      </c>
      <c r="E145" s="165"/>
      <c r="F145" s="165"/>
      <c r="G145" s="165">
        <v>0</v>
      </c>
      <c r="H145" s="165"/>
      <c r="J145" s="14"/>
      <c r="K145" s="33"/>
      <c r="L145" s="33"/>
      <c r="M145" s="33"/>
      <c r="N145" s="33"/>
      <c r="P145" s="33"/>
    </row>
    <row r="146" spans="2:16" ht="27" x14ac:dyDescent="0.25">
      <c r="B146" s="84" t="s">
        <v>626</v>
      </c>
      <c r="C146" s="83" t="s">
        <v>627</v>
      </c>
      <c r="D146" s="165">
        <v>0</v>
      </c>
      <c r="E146" s="165"/>
      <c r="F146" s="165"/>
      <c r="G146" s="165">
        <v>0</v>
      </c>
      <c r="H146" s="165"/>
      <c r="J146" s="14"/>
      <c r="K146" s="33"/>
      <c r="L146" s="33"/>
      <c r="M146" s="33"/>
      <c r="N146" s="33"/>
      <c r="P146" s="33"/>
    </row>
    <row r="147" spans="2:16" ht="27" x14ac:dyDescent="0.25">
      <c r="B147" s="84" t="s">
        <v>628</v>
      </c>
      <c r="C147" s="83" t="s">
        <v>629</v>
      </c>
      <c r="D147" s="165">
        <v>0</v>
      </c>
      <c r="E147" s="165"/>
      <c r="F147" s="165"/>
      <c r="G147" s="165">
        <v>0</v>
      </c>
      <c r="H147" s="165"/>
      <c r="J147" s="14"/>
      <c r="K147" s="33"/>
      <c r="L147" s="33"/>
      <c r="M147" s="33"/>
      <c r="N147" s="33"/>
      <c r="P147" s="33"/>
    </row>
    <row r="148" spans="2:16" ht="13.5" x14ac:dyDescent="0.25">
      <c r="B148" s="84"/>
      <c r="C148" s="84"/>
      <c r="D148" s="166"/>
      <c r="E148" s="166"/>
      <c r="F148" s="166"/>
      <c r="G148" s="166"/>
      <c r="H148" s="166"/>
      <c r="J148" s="14"/>
      <c r="K148" s="33"/>
      <c r="L148" s="33"/>
      <c r="M148" s="33"/>
      <c r="N148" s="33"/>
      <c r="P148" s="33"/>
    </row>
    <row r="149" spans="2:16" ht="13.5" x14ac:dyDescent="0.25">
      <c r="B149" s="164" t="s">
        <v>630</v>
      </c>
      <c r="C149" s="164"/>
      <c r="D149" s="164"/>
      <c r="E149" s="164"/>
      <c r="F149" s="164"/>
      <c r="G149" s="164"/>
      <c r="H149" s="164"/>
      <c r="J149" s="14"/>
      <c r="K149" s="33"/>
      <c r="L149" s="33"/>
      <c r="M149" s="33"/>
      <c r="N149" s="33"/>
      <c r="P149" s="33"/>
    </row>
    <row r="150" spans="2:16" ht="13.5" customHeight="1" x14ac:dyDescent="0.2">
      <c r="B150" s="167" t="s">
        <v>620</v>
      </c>
      <c r="C150" s="167" t="s">
        <v>621</v>
      </c>
      <c r="D150" s="167" t="s">
        <v>631</v>
      </c>
      <c r="E150" s="167"/>
      <c r="F150" s="167"/>
      <c r="G150" s="167"/>
      <c r="H150" s="168" t="s">
        <v>632</v>
      </c>
      <c r="I150" s="168" t="s">
        <v>633</v>
      </c>
      <c r="J150" s="170" t="s">
        <v>634</v>
      </c>
      <c r="K150" s="33"/>
      <c r="L150" s="33"/>
      <c r="M150" s="33"/>
      <c r="N150" s="33"/>
      <c r="O150" s="33"/>
      <c r="P150" s="33"/>
    </row>
    <row r="151" spans="2:16" ht="94.5" customHeight="1" x14ac:dyDescent="0.2">
      <c r="B151" s="167"/>
      <c r="C151" s="167"/>
      <c r="D151" s="80" t="s">
        <v>635</v>
      </c>
      <c r="E151" s="80" t="s">
        <v>636</v>
      </c>
      <c r="F151" s="80" t="s">
        <v>637</v>
      </c>
      <c r="G151" s="80" t="s">
        <v>638</v>
      </c>
      <c r="H151" s="168"/>
      <c r="I151" s="168"/>
      <c r="J151" s="171"/>
      <c r="K151" s="33"/>
      <c r="L151" s="33"/>
      <c r="M151" s="33"/>
      <c r="N151" s="33"/>
      <c r="O151" s="33"/>
      <c r="P151" s="33"/>
    </row>
    <row r="152" spans="2:16" ht="27" x14ac:dyDescent="0.25">
      <c r="B152" s="84" t="s">
        <v>624</v>
      </c>
      <c r="C152" s="83" t="s">
        <v>625</v>
      </c>
      <c r="D152" s="86">
        <v>1500</v>
      </c>
      <c r="E152" s="86">
        <v>99.850684900000005</v>
      </c>
      <c r="F152" s="137">
        <v>36.275342200000004</v>
      </c>
      <c r="G152" s="130">
        <v>1636.1260271000001</v>
      </c>
      <c r="H152" s="2">
        <v>726.67232000000001</v>
      </c>
      <c r="I152" s="2">
        <f>1250521/10^5</f>
        <v>12.50521</v>
      </c>
      <c r="J152" s="2">
        <f>H152+I152</f>
        <v>739.17753000000005</v>
      </c>
      <c r="K152" s="33"/>
      <c r="L152" s="33"/>
      <c r="M152" s="33"/>
      <c r="N152" s="33"/>
      <c r="O152" s="33"/>
      <c r="P152" s="33"/>
    </row>
    <row r="153" spans="2:16" ht="27" x14ac:dyDescent="0.25">
      <c r="B153" s="84" t="s">
        <v>626</v>
      </c>
      <c r="C153" s="83" t="s">
        <v>627</v>
      </c>
      <c r="D153" s="86">
        <v>2517.2199999999998</v>
      </c>
      <c r="E153" s="86">
        <v>183.25361600000002</v>
      </c>
      <c r="F153" s="137">
        <v>45.813405699999997</v>
      </c>
      <c r="G153" s="130">
        <v>2746.2870217</v>
      </c>
      <c r="H153" s="2">
        <v>1225.53333</v>
      </c>
      <c r="I153" s="2">
        <f>2109013/10^5</f>
        <v>21.090129999999998</v>
      </c>
      <c r="J153" s="2">
        <f>H153+I153</f>
        <v>1246.62346</v>
      </c>
      <c r="K153" s="33"/>
      <c r="L153" s="33"/>
      <c r="M153" s="33"/>
      <c r="N153" s="33"/>
      <c r="O153" s="33"/>
      <c r="P153" s="33"/>
    </row>
    <row r="154" spans="2:16" ht="27" x14ac:dyDescent="0.25">
      <c r="B154" s="84" t="s">
        <v>628</v>
      </c>
      <c r="C154" s="83" t="s">
        <v>629</v>
      </c>
      <c r="D154" s="86">
        <v>4882.25</v>
      </c>
      <c r="E154" s="86">
        <v>323.21163799999999</v>
      </c>
      <c r="F154" s="137">
        <v>117.42144879999999</v>
      </c>
      <c r="G154" s="130">
        <v>5322.8830868000005</v>
      </c>
      <c r="H154" s="2">
        <v>2364.0489899999998</v>
      </c>
      <c r="I154" s="2">
        <f>4068280/10^5</f>
        <v>40.6828</v>
      </c>
      <c r="J154" s="2">
        <f>H154+I154</f>
        <v>2404.7317899999998</v>
      </c>
      <c r="K154" s="33"/>
      <c r="L154" s="33"/>
      <c r="M154" s="33"/>
      <c r="N154" s="33"/>
      <c r="O154" s="33"/>
      <c r="P154" s="33"/>
    </row>
    <row r="155" spans="2:16" ht="13.5" x14ac:dyDescent="0.25">
      <c r="B155" s="131"/>
      <c r="C155" s="132"/>
      <c r="D155" s="138"/>
      <c r="E155" s="138"/>
      <c r="F155" s="5"/>
      <c r="G155" s="134"/>
      <c r="H155" s="3"/>
      <c r="I155" s="3"/>
      <c r="J155" s="3"/>
      <c r="K155" s="33"/>
      <c r="L155" s="33"/>
      <c r="M155" s="33"/>
      <c r="N155" s="33"/>
      <c r="O155" s="33"/>
      <c r="P155" s="33"/>
    </row>
    <row r="156" spans="2:16" ht="13.5" customHeight="1" x14ac:dyDescent="0.2">
      <c r="B156" s="172" t="s">
        <v>620</v>
      </c>
      <c r="C156" s="172" t="s">
        <v>621</v>
      </c>
      <c r="D156" s="175" t="s">
        <v>631</v>
      </c>
      <c r="E156" s="176"/>
      <c r="F156" s="177"/>
      <c r="G156" s="178" t="s">
        <v>639</v>
      </c>
      <c r="H156" s="179"/>
      <c r="I156" s="180"/>
      <c r="J156" s="33"/>
      <c r="K156" s="33"/>
      <c r="L156" s="33"/>
      <c r="M156" s="33"/>
      <c r="N156" s="33"/>
      <c r="O156" s="33"/>
    </row>
    <row r="157" spans="2:16" ht="46.5" customHeight="1" x14ac:dyDescent="0.2">
      <c r="B157" s="173"/>
      <c r="C157" s="173"/>
      <c r="D157" s="170" t="s">
        <v>640</v>
      </c>
      <c r="E157" s="170" t="s">
        <v>641</v>
      </c>
      <c r="F157" s="170" t="s">
        <v>642</v>
      </c>
      <c r="G157" s="181" t="s">
        <v>643</v>
      </c>
      <c r="H157" s="182"/>
      <c r="I157" s="170" t="s">
        <v>644</v>
      </c>
      <c r="J157" s="33"/>
      <c r="K157" s="33"/>
      <c r="L157" s="33"/>
      <c r="M157" s="33"/>
      <c r="N157" s="33"/>
      <c r="O157" s="33"/>
    </row>
    <row r="158" spans="2:16" ht="21" customHeight="1" x14ac:dyDescent="0.2">
      <c r="B158" s="174"/>
      <c r="C158" s="174"/>
      <c r="D158" s="171"/>
      <c r="E158" s="171"/>
      <c r="F158" s="171"/>
      <c r="G158" s="80" t="s">
        <v>645</v>
      </c>
      <c r="H158" s="80" t="s">
        <v>646</v>
      </c>
      <c r="I158" s="171"/>
      <c r="J158" s="33"/>
      <c r="K158" s="33"/>
      <c r="L158" s="33"/>
      <c r="M158" s="33"/>
      <c r="N158" s="33"/>
      <c r="O158" s="33"/>
    </row>
    <row r="159" spans="2:16" ht="13.5" x14ac:dyDescent="0.25">
      <c r="B159" s="84" t="s">
        <v>647</v>
      </c>
      <c r="C159" s="83" t="s">
        <v>648</v>
      </c>
      <c r="D159" s="129">
        <v>293.30880000000002</v>
      </c>
      <c r="E159" s="4">
        <v>6.6912000000000003</v>
      </c>
      <c r="F159" s="130">
        <f>D159+E159</f>
        <v>300</v>
      </c>
      <c r="G159" s="2">
        <v>12.699082800000001</v>
      </c>
      <c r="H159" s="2">
        <v>8</v>
      </c>
      <c r="I159" s="2">
        <f>G159+H159</f>
        <v>20.699082799999999</v>
      </c>
      <c r="J159" s="33"/>
      <c r="K159" s="33"/>
      <c r="L159" s="33"/>
      <c r="M159" s="33"/>
      <c r="N159" s="33"/>
      <c r="O159" s="33"/>
    </row>
    <row r="160" spans="2:16" ht="6.75" customHeight="1" x14ac:dyDescent="0.25">
      <c r="B160" s="131"/>
      <c r="C160" s="132"/>
      <c r="D160" s="133"/>
      <c r="E160" s="5"/>
      <c r="F160" s="134"/>
      <c r="G160" s="3"/>
      <c r="H160" s="3"/>
      <c r="I160" s="3"/>
      <c r="J160" s="33"/>
      <c r="K160" s="33"/>
      <c r="L160" s="33"/>
      <c r="M160" s="33"/>
      <c r="N160" s="33"/>
      <c r="O160" s="33"/>
    </row>
    <row r="161" spans="2:16" ht="45" customHeight="1" x14ac:dyDescent="0.2">
      <c r="B161" s="169" t="s">
        <v>649</v>
      </c>
      <c r="C161" s="169"/>
      <c r="D161" s="169"/>
      <c r="E161" s="169"/>
      <c r="F161" s="169"/>
      <c r="G161" s="169"/>
      <c r="H161" s="169"/>
      <c r="I161" s="169"/>
      <c r="J161" s="135"/>
      <c r="K161" s="33"/>
      <c r="L161" s="33"/>
      <c r="M161" s="33"/>
      <c r="N161" s="33"/>
      <c r="O161" s="33"/>
    </row>
    <row r="162" spans="2:16" ht="13.5" x14ac:dyDescent="0.25">
      <c r="B162" s="89" t="s">
        <v>650</v>
      </c>
      <c r="I162" s="33"/>
      <c r="J162" s="14"/>
      <c r="K162" s="33"/>
      <c r="L162" s="33"/>
      <c r="M162" s="33"/>
      <c r="N162" s="33"/>
      <c r="O162" s="33"/>
      <c r="P162" s="33"/>
    </row>
    <row r="163" spans="2:16" x14ac:dyDescent="0.2">
      <c r="B163" s="33"/>
      <c r="C163" s="33"/>
      <c r="D163" s="33"/>
      <c r="E163" s="33"/>
      <c r="F163" s="33"/>
      <c r="G163" s="33"/>
      <c r="H163" s="33"/>
      <c r="I163" s="33"/>
      <c r="J163" s="14"/>
      <c r="K163" s="33"/>
      <c r="L163" s="33"/>
      <c r="M163" s="33"/>
      <c r="N163" s="33"/>
      <c r="O163" s="33"/>
      <c r="P163" s="33"/>
    </row>
    <row r="164" spans="2:16" x14ac:dyDescent="0.2">
      <c r="B164" s="90" t="s">
        <v>651</v>
      </c>
      <c r="C164" s="33"/>
      <c r="D164" s="33"/>
      <c r="E164" s="33"/>
      <c r="F164" s="33"/>
      <c r="G164" s="33"/>
      <c r="H164" s="33"/>
      <c r="I164" s="33"/>
      <c r="J164" s="14"/>
      <c r="K164" s="33"/>
      <c r="L164" s="33"/>
      <c r="M164" s="33"/>
      <c r="N164" s="33"/>
      <c r="O164" s="33"/>
      <c r="P164" s="33"/>
    </row>
    <row r="165" spans="2:16" x14ac:dyDescent="0.2">
      <c r="B165" s="33"/>
      <c r="C165" s="33"/>
      <c r="D165" s="33"/>
      <c r="E165" s="33"/>
      <c r="F165" s="33"/>
      <c r="G165" s="33"/>
      <c r="H165" s="33"/>
      <c r="I165" s="33"/>
      <c r="J165" s="14"/>
      <c r="K165" s="33"/>
      <c r="L165" s="33"/>
      <c r="M165" s="33"/>
      <c r="N165" s="33"/>
      <c r="O165" s="33"/>
      <c r="P165" s="33"/>
    </row>
    <row r="166" spans="2:16" x14ac:dyDescent="0.2">
      <c r="B166" s="90" t="s">
        <v>652</v>
      </c>
      <c r="C166" s="33"/>
      <c r="D166" s="33"/>
      <c r="E166" s="33"/>
      <c r="F166" s="33"/>
      <c r="G166" s="33"/>
      <c r="H166" s="33"/>
      <c r="I166" s="33"/>
      <c r="J166" s="14"/>
      <c r="K166" s="33"/>
      <c r="L166" s="33"/>
      <c r="M166" s="33"/>
      <c r="N166" s="33"/>
      <c r="O166" s="33"/>
      <c r="P166" s="33"/>
    </row>
    <row r="167" spans="2:16" x14ac:dyDescent="0.2">
      <c r="J167" s="14"/>
    </row>
    <row r="168" spans="2:16" x14ac:dyDescent="0.2">
      <c r="B168" s="90" t="s">
        <v>653</v>
      </c>
      <c r="J168" s="14"/>
      <c r="K168" s="33"/>
      <c r="L168" s="33"/>
      <c r="M168" s="33"/>
      <c r="N168" s="33"/>
      <c r="O168" s="33"/>
    </row>
    <row r="169" spans="2:16" x14ac:dyDescent="0.2">
      <c r="B169" s="90"/>
      <c r="J169" s="14"/>
      <c r="K169" s="33"/>
      <c r="L169" s="33"/>
      <c r="M169" s="33"/>
      <c r="N169" s="33"/>
      <c r="O169" s="33"/>
    </row>
    <row r="170" spans="2:16" x14ac:dyDescent="0.2">
      <c r="B170" s="90" t="s">
        <v>654</v>
      </c>
      <c r="J170" s="14"/>
      <c r="K170" s="33"/>
      <c r="L170" s="33"/>
      <c r="M170" s="33"/>
      <c r="N170" s="33"/>
      <c r="O170" s="33"/>
    </row>
    <row r="171" spans="2:16" x14ac:dyDescent="0.2">
      <c r="J171" s="14"/>
    </row>
    <row r="172" spans="2:16" x14ac:dyDescent="0.2">
      <c r="B172" s="70" t="s">
        <v>608</v>
      </c>
    </row>
    <row r="174" spans="2:16" ht="153.75" customHeight="1" x14ac:dyDescent="0.2"/>
    <row r="177" spans="2:4" x14ac:dyDescent="0.2">
      <c r="B177" s="70" t="s">
        <v>609</v>
      </c>
      <c r="C177" s="71"/>
      <c r="D177" s="70"/>
    </row>
    <row r="178" spans="2:4" x14ac:dyDescent="0.2">
      <c r="B178" s="70" t="s">
        <v>655</v>
      </c>
      <c r="D178" s="70"/>
    </row>
    <row r="179" spans="2:4" ht="180" customHeight="1" x14ac:dyDescent="0.2"/>
  </sheetData>
  <mergeCells count="52">
    <mergeCell ref="B161:I161"/>
    <mergeCell ref="I150:I151"/>
    <mergeCell ref="J150:J151"/>
    <mergeCell ref="B156:B158"/>
    <mergeCell ref="C156:C158"/>
    <mergeCell ref="D156:F156"/>
    <mergeCell ref="G156:I156"/>
    <mergeCell ref="D157:D158"/>
    <mergeCell ref="E157:E158"/>
    <mergeCell ref="F157:F158"/>
    <mergeCell ref="G157:H157"/>
    <mergeCell ref="I157:I158"/>
    <mergeCell ref="D148:F148"/>
    <mergeCell ref="G148:H148"/>
    <mergeCell ref="B149:H149"/>
    <mergeCell ref="B150:B151"/>
    <mergeCell ref="C150:C151"/>
    <mergeCell ref="D150:G150"/>
    <mergeCell ref="H150:H151"/>
    <mergeCell ref="D145:F145"/>
    <mergeCell ref="G145:H145"/>
    <mergeCell ref="D146:F146"/>
    <mergeCell ref="G146:H146"/>
    <mergeCell ref="D147:F147"/>
    <mergeCell ref="G147:H147"/>
    <mergeCell ref="B138:C138"/>
    <mergeCell ref="B139:C139"/>
    <mergeCell ref="B140:D140"/>
    <mergeCell ref="D144:F144"/>
    <mergeCell ref="G144:H144"/>
    <mergeCell ref="B133:C133"/>
    <mergeCell ref="B134:C134"/>
    <mergeCell ref="B135:C135"/>
    <mergeCell ref="B136:C136"/>
    <mergeCell ref="B137:C137"/>
    <mergeCell ref="A1:H1"/>
    <mergeCell ref="A2:H2"/>
    <mergeCell ref="A3:H3"/>
    <mergeCell ref="B109:H109"/>
    <mergeCell ref="B110:H110"/>
    <mergeCell ref="B111:H111"/>
    <mergeCell ref="B113:D113"/>
    <mergeCell ref="B114:C114"/>
    <mergeCell ref="B115:C115"/>
    <mergeCell ref="B116:C116"/>
    <mergeCell ref="B131:C131"/>
    <mergeCell ref="B132:C132"/>
    <mergeCell ref="B126:C126"/>
    <mergeCell ref="B127:C127"/>
    <mergeCell ref="B124:C124"/>
    <mergeCell ref="B128:C128"/>
    <mergeCell ref="B130:D130"/>
  </mergeCells>
  <hyperlinks>
    <hyperlink ref="I1" location="Index!B2" display="Index" xr:uid="{889A3B44-C854-4F6B-A2C6-202D7D1A6D71}"/>
    <hyperlink ref="B164" r:id="rId1" xr:uid="{C756E5FB-1141-4590-A5ED-8053C48FDFF3}"/>
    <hyperlink ref="B166" r:id="rId2" xr:uid="{BB879FFD-ABA2-4A96-96B9-B03129C40E6A}"/>
    <hyperlink ref="B168" r:id="rId3" xr:uid="{279EF893-1D02-4D61-B84A-64330FA868BB}"/>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A7F9C-A11E-46C8-8496-93C28A59E316}">
  <sheetPr>
    <outlinePr summaryBelow="0" summaryRight="0"/>
  </sheetPr>
  <dimension ref="A1:R217"/>
  <sheetViews>
    <sheetView showGridLines="0" workbookViewId="0">
      <selection activeCell="C58" sqref="C58"/>
    </sheetView>
  </sheetViews>
  <sheetFormatPr defaultColWidth="9.140625" defaultRowHeight="12.75" x14ac:dyDescent="0.2"/>
  <cols>
    <col min="1" max="1" width="5.85546875" bestFit="1" customWidth="1"/>
    <col min="2" max="2" width="19.28515625" bestFit="1" customWidth="1"/>
    <col min="3" max="3" width="43.5703125" customWidth="1"/>
    <col min="4" max="4" width="12" customWidth="1"/>
    <col min="5" max="5" width="10.42578125" bestFit="1" customWidth="1"/>
    <col min="6" max="6" width="10.140625" bestFit="1" customWidth="1"/>
    <col min="7" max="7" width="14" bestFit="1" customWidth="1"/>
    <col min="8" max="8" width="10.85546875" customWidth="1"/>
    <col min="9" max="9" width="7.5703125" customWidth="1"/>
  </cols>
  <sheetData>
    <row r="1" spans="1:10" ht="15" x14ac:dyDescent="0.2">
      <c r="A1" s="154" t="s">
        <v>0</v>
      </c>
      <c r="B1" s="154"/>
      <c r="C1" s="154"/>
      <c r="D1" s="154"/>
      <c r="E1" s="154"/>
      <c r="F1" s="154"/>
      <c r="G1" s="154"/>
      <c r="H1" s="154"/>
      <c r="I1" s="1" t="s">
        <v>592</v>
      </c>
    </row>
    <row r="2" spans="1:10" ht="15" x14ac:dyDescent="0.2">
      <c r="A2" s="154" t="s">
        <v>334</v>
      </c>
      <c r="B2" s="154"/>
      <c r="C2" s="154"/>
      <c r="D2" s="154"/>
      <c r="E2" s="154"/>
      <c r="F2" s="154"/>
      <c r="G2" s="154"/>
      <c r="H2" s="154"/>
    </row>
    <row r="3" spans="1:10" ht="15" x14ac:dyDescent="0.2">
      <c r="A3" s="154" t="s">
        <v>740</v>
      </c>
      <c r="B3" s="154"/>
      <c r="C3" s="154"/>
      <c r="D3" s="154"/>
      <c r="E3" s="154"/>
      <c r="F3" s="154"/>
      <c r="G3" s="154"/>
      <c r="H3" s="154"/>
    </row>
    <row r="4" spans="1:10" s="14" customFormat="1" ht="30" x14ac:dyDescent="0.2">
      <c r="A4" s="12" t="s">
        <v>2</v>
      </c>
      <c r="B4" s="12" t="s">
        <v>3</v>
      </c>
      <c r="C4" s="12" t="s">
        <v>4</v>
      </c>
      <c r="D4" s="12" t="s">
        <v>5</v>
      </c>
      <c r="E4" s="12" t="s">
        <v>6</v>
      </c>
      <c r="F4" s="12" t="s">
        <v>7</v>
      </c>
      <c r="G4" s="12" t="s">
        <v>8</v>
      </c>
      <c r="H4" s="13" t="s">
        <v>734</v>
      </c>
    </row>
    <row r="5" spans="1:10" x14ac:dyDescent="0.2">
      <c r="A5" s="15"/>
      <c r="B5" s="15"/>
      <c r="C5" s="16" t="s">
        <v>9</v>
      </c>
      <c r="D5" s="15"/>
      <c r="E5" s="15"/>
      <c r="F5" s="15"/>
      <c r="G5" s="15"/>
      <c r="H5" s="17" t="s">
        <v>12</v>
      </c>
    </row>
    <row r="6" spans="1:10" x14ac:dyDescent="0.2">
      <c r="A6" s="18"/>
      <c r="B6" s="18"/>
      <c r="C6" s="19" t="s">
        <v>10</v>
      </c>
      <c r="D6" s="18"/>
      <c r="E6" s="18"/>
      <c r="F6" s="18"/>
      <c r="G6" s="18"/>
      <c r="H6" s="17" t="s">
        <v>12</v>
      </c>
    </row>
    <row r="7" spans="1:10" x14ac:dyDescent="0.2">
      <c r="A7" s="35">
        <v>1</v>
      </c>
      <c r="B7" s="36" t="s">
        <v>614</v>
      </c>
      <c r="C7" s="36" t="s">
        <v>615</v>
      </c>
      <c r="D7" s="36" t="s">
        <v>616</v>
      </c>
      <c r="E7" s="76">
        <v>150667</v>
      </c>
      <c r="F7" s="38">
        <v>0.15</v>
      </c>
      <c r="G7" s="105" t="s">
        <v>617</v>
      </c>
      <c r="H7" s="17" t="s">
        <v>12</v>
      </c>
      <c r="J7" s="107"/>
    </row>
    <row r="8" spans="1:10" x14ac:dyDescent="0.2">
      <c r="A8" s="15"/>
      <c r="B8" s="15"/>
      <c r="C8" s="16" t="s">
        <v>11</v>
      </c>
      <c r="D8" s="15"/>
      <c r="E8" s="15" t="s">
        <v>12</v>
      </c>
      <c r="F8" s="40">
        <f>SUM(F7)</f>
        <v>0.15</v>
      </c>
      <c r="G8" s="41">
        <v>0</v>
      </c>
      <c r="H8" s="17" t="s">
        <v>12</v>
      </c>
    </row>
    <row r="9" spans="1:10" x14ac:dyDescent="0.2">
      <c r="A9" s="18"/>
      <c r="B9" s="18"/>
      <c r="C9" s="22"/>
      <c r="D9" s="18"/>
      <c r="E9" s="18"/>
      <c r="F9" s="23"/>
      <c r="G9" s="23"/>
      <c r="H9" s="17" t="s">
        <v>12</v>
      </c>
    </row>
    <row r="10" spans="1:10" x14ac:dyDescent="0.2">
      <c r="A10" s="18"/>
      <c r="B10" s="18"/>
      <c r="C10" s="19" t="s">
        <v>14</v>
      </c>
      <c r="D10" s="18"/>
      <c r="E10" s="18"/>
      <c r="F10" s="18"/>
      <c r="G10" s="18"/>
      <c r="H10" s="17" t="s">
        <v>12</v>
      </c>
    </row>
    <row r="11" spans="1:10" x14ac:dyDescent="0.2">
      <c r="A11" s="18"/>
      <c r="B11" s="18"/>
      <c r="C11" s="19" t="s">
        <v>11</v>
      </c>
      <c r="D11" s="18"/>
      <c r="E11" s="18" t="s">
        <v>12</v>
      </c>
      <c r="F11" s="20" t="s">
        <v>13</v>
      </c>
      <c r="G11" s="21">
        <v>0</v>
      </c>
      <c r="H11" s="17" t="s">
        <v>12</v>
      </c>
    </row>
    <row r="12" spans="1:10" x14ac:dyDescent="0.2">
      <c r="A12" s="18"/>
      <c r="B12" s="18"/>
      <c r="C12" s="22"/>
      <c r="D12" s="18"/>
      <c r="E12" s="18"/>
      <c r="F12" s="23"/>
      <c r="G12" s="23"/>
      <c r="H12" s="17" t="s">
        <v>12</v>
      </c>
    </row>
    <row r="13" spans="1:10" x14ac:dyDescent="0.2">
      <c r="A13" s="18"/>
      <c r="B13" s="18"/>
      <c r="C13" s="19" t="s">
        <v>15</v>
      </c>
      <c r="D13" s="18"/>
      <c r="E13" s="18"/>
      <c r="F13" s="18"/>
      <c r="G13" s="18"/>
      <c r="H13" s="17" t="s">
        <v>12</v>
      </c>
    </row>
    <row r="14" spans="1:10" x14ac:dyDescent="0.2">
      <c r="A14" s="18"/>
      <c r="B14" s="18"/>
      <c r="C14" s="19" t="s">
        <v>11</v>
      </c>
      <c r="D14" s="18"/>
      <c r="E14" s="18" t="s">
        <v>12</v>
      </c>
      <c r="F14" s="20" t="s">
        <v>13</v>
      </c>
      <c r="G14" s="21">
        <v>0</v>
      </c>
      <c r="H14" s="17" t="s">
        <v>12</v>
      </c>
    </row>
    <row r="15" spans="1:10" x14ac:dyDescent="0.2">
      <c r="A15" s="18"/>
      <c r="B15" s="18"/>
      <c r="C15" s="22"/>
      <c r="D15" s="18"/>
      <c r="E15" s="18"/>
      <c r="F15" s="23"/>
      <c r="G15" s="23"/>
      <c r="H15" s="17" t="s">
        <v>12</v>
      </c>
    </row>
    <row r="16" spans="1:10" x14ac:dyDescent="0.2">
      <c r="A16" s="18"/>
      <c r="B16" s="18"/>
      <c r="C16" s="19" t="s">
        <v>16</v>
      </c>
      <c r="D16" s="18"/>
      <c r="E16" s="18"/>
      <c r="F16" s="18"/>
      <c r="G16" s="18"/>
      <c r="H16" s="17" t="s">
        <v>12</v>
      </c>
    </row>
    <row r="17" spans="1:8" x14ac:dyDescent="0.2">
      <c r="A17" s="18"/>
      <c r="B17" s="18"/>
      <c r="C17" s="19" t="s">
        <v>11</v>
      </c>
      <c r="D17" s="18"/>
      <c r="E17" s="18" t="s">
        <v>12</v>
      </c>
      <c r="F17" s="20" t="s">
        <v>13</v>
      </c>
      <c r="G17" s="21">
        <v>0</v>
      </c>
      <c r="H17" s="17" t="s">
        <v>12</v>
      </c>
    </row>
    <row r="18" spans="1:8" x14ac:dyDescent="0.2">
      <c r="A18" s="18"/>
      <c r="B18" s="18"/>
      <c r="C18" s="22"/>
      <c r="D18" s="18"/>
      <c r="E18" s="18"/>
      <c r="F18" s="23"/>
      <c r="G18" s="23"/>
      <c r="H18" s="17" t="s">
        <v>12</v>
      </c>
    </row>
    <row r="19" spans="1:8" x14ac:dyDescent="0.2">
      <c r="A19" s="18"/>
      <c r="B19" s="18"/>
      <c r="C19" s="19" t="s">
        <v>17</v>
      </c>
      <c r="D19" s="18"/>
      <c r="E19" s="18"/>
      <c r="F19" s="23"/>
      <c r="G19" s="23"/>
      <c r="H19" s="17" t="s">
        <v>12</v>
      </c>
    </row>
    <row r="20" spans="1:8" x14ac:dyDescent="0.2">
      <c r="A20" s="18"/>
      <c r="B20" s="18"/>
      <c r="C20" s="19" t="s">
        <v>11</v>
      </c>
      <c r="D20" s="18"/>
      <c r="E20" s="18" t="s">
        <v>12</v>
      </c>
      <c r="F20" s="20" t="s">
        <v>13</v>
      </c>
      <c r="G20" s="21">
        <v>0</v>
      </c>
      <c r="H20" s="17" t="s">
        <v>12</v>
      </c>
    </row>
    <row r="21" spans="1:8" x14ac:dyDescent="0.2">
      <c r="A21" s="18"/>
      <c r="B21" s="18"/>
      <c r="C21" s="22"/>
      <c r="D21" s="18"/>
      <c r="E21" s="18"/>
      <c r="F21" s="23"/>
      <c r="G21" s="23"/>
      <c r="H21" s="17" t="s">
        <v>12</v>
      </c>
    </row>
    <row r="22" spans="1:8" x14ac:dyDescent="0.2">
      <c r="A22" s="18"/>
      <c r="B22" s="18"/>
      <c r="C22" s="19" t="s">
        <v>18</v>
      </c>
      <c r="D22" s="18"/>
      <c r="E22" s="18"/>
      <c r="F22" s="23"/>
      <c r="G22" s="23"/>
      <c r="H22" s="17" t="s">
        <v>12</v>
      </c>
    </row>
    <row r="23" spans="1:8" x14ac:dyDescent="0.2">
      <c r="A23" s="18"/>
      <c r="B23" s="18"/>
      <c r="C23" s="19" t="s">
        <v>11</v>
      </c>
      <c r="D23" s="18"/>
      <c r="E23" s="18" t="s">
        <v>12</v>
      </c>
      <c r="F23" s="20" t="s">
        <v>13</v>
      </c>
      <c r="G23" s="21">
        <v>0</v>
      </c>
      <c r="H23" s="17" t="s">
        <v>12</v>
      </c>
    </row>
    <row r="24" spans="1:8" x14ac:dyDescent="0.2">
      <c r="A24" s="18"/>
      <c r="B24" s="18"/>
      <c r="C24" s="22"/>
      <c r="D24" s="18"/>
      <c r="E24" s="18"/>
      <c r="F24" s="23"/>
      <c r="G24" s="23"/>
      <c r="H24" s="17" t="s">
        <v>12</v>
      </c>
    </row>
    <row r="25" spans="1:8" x14ac:dyDescent="0.2">
      <c r="A25" s="18"/>
      <c r="B25" s="18"/>
      <c r="C25" s="19" t="s">
        <v>19</v>
      </c>
      <c r="D25" s="18"/>
      <c r="E25" s="18"/>
      <c r="F25" s="24">
        <f>F8</f>
        <v>0.15</v>
      </c>
      <c r="G25" s="21">
        <v>0</v>
      </c>
      <c r="H25" s="17" t="s">
        <v>12</v>
      </c>
    </row>
    <row r="26" spans="1:8" x14ac:dyDescent="0.2">
      <c r="A26" s="18"/>
      <c r="B26" s="18"/>
      <c r="C26" s="22"/>
      <c r="D26" s="18"/>
      <c r="E26" s="18"/>
      <c r="F26" s="23"/>
      <c r="G26" s="23"/>
      <c r="H26" s="17" t="s">
        <v>12</v>
      </c>
    </row>
    <row r="27" spans="1:8" x14ac:dyDescent="0.2">
      <c r="A27" s="18"/>
      <c r="B27" s="18"/>
      <c r="C27" s="19" t="s">
        <v>20</v>
      </c>
      <c r="D27" s="18"/>
      <c r="E27" s="18"/>
      <c r="F27" s="23"/>
      <c r="G27" s="23"/>
      <c r="H27" s="17" t="s">
        <v>12</v>
      </c>
    </row>
    <row r="28" spans="1:8" x14ac:dyDescent="0.2">
      <c r="A28" s="18"/>
      <c r="B28" s="18"/>
      <c r="C28" s="19" t="s">
        <v>10</v>
      </c>
      <c r="D28" s="18"/>
      <c r="E28" s="18"/>
      <c r="F28" s="23"/>
      <c r="G28" s="23"/>
      <c r="H28" s="17" t="s">
        <v>12</v>
      </c>
    </row>
    <row r="29" spans="1:8" x14ac:dyDescent="0.2">
      <c r="A29" s="25">
        <v>1</v>
      </c>
      <c r="B29" s="26" t="s">
        <v>335</v>
      </c>
      <c r="C29" s="26" t="s">
        <v>775</v>
      </c>
      <c r="D29" s="26" t="s">
        <v>23</v>
      </c>
      <c r="E29" s="27">
        <v>750</v>
      </c>
      <c r="F29" s="28">
        <v>7500.5325000000003</v>
      </c>
      <c r="G29" s="29">
        <v>1.0333220000000001E-2</v>
      </c>
      <c r="H29" s="17">
        <v>5.67</v>
      </c>
    </row>
    <row r="30" spans="1:8" x14ac:dyDescent="0.2">
      <c r="A30" s="25">
        <v>2</v>
      </c>
      <c r="B30" s="26" t="s">
        <v>336</v>
      </c>
      <c r="C30" s="26" t="s">
        <v>776</v>
      </c>
      <c r="D30" s="26" t="s">
        <v>306</v>
      </c>
      <c r="E30" s="27">
        <v>5000</v>
      </c>
      <c r="F30" s="28">
        <v>5001.72</v>
      </c>
      <c r="G30" s="29">
        <v>6.8906999999999996E-3</v>
      </c>
      <c r="H30" s="17">
        <v>6.6449999999999996</v>
      </c>
    </row>
    <row r="31" spans="1:8" x14ac:dyDescent="0.2">
      <c r="A31" s="18"/>
      <c r="B31" s="18"/>
      <c r="C31" s="19" t="s">
        <v>11</v>
      </c>
      <c r="D31" s="18"/>
      <c r="E31" s="18" t="s">
        <v>12</v>
      </c>
      <c r="F31" s="24">
        <v>12502.252500000001</v>
      </c>
      <c r="G31" s="21">
        <v>1.722392E-2</v>
      </c>
      <c r="H31" s="17" t="s">
        <v>12</v>
      </c>
    </row>
    <row r="32" spans="1:8" x14ac:dyDescent="0.2">
      <c r="A32" s="18"/>
      <c r="B32" s="18"/>
      <c r="C32" s="22"/>
      <c r="D32" s="18"/>
      <c r="E32" s="18"/>
      <c r="F32" s="23"/>
      <c r="G32" s="23"/>
      <c r="H32" s="17" t="s">
        <v>12</v>
      </c>
    </row>
    <row r="33" spans="1:8" x14ac:dyDescent="0.2">
      <c r="A33" s="18"/>
      <c r="B33" s="18"/>
      <c r="C33" s="19" t="s">
        <v>81</v>
      </c>
      <c r="D33" s="18"/>
      <c r="E33" s="18"/>
      <c r="F33" s="18"/>
      <c r="G33" s="18"/>
      <c r="H33" s="17" t="s">
        <v>12</v>
      </c>
    </row>
    <row r="34" spans="1:8" x14ac:dyDescent="0.2">
      <c r="A34" s="18"/>
      <c r="B34" s="18"/>
      <c r="C34" s="19" t="s">
        <v>11</v>
      </c>
      <c r="D34" s="18"/>
      <c r="E34" s="18" t="s">
        <v>12</v>
      </c>
      <c r="F34" s="20" t="s">
        <v>13</v>
      </c>
      <c r="G34" s="21">
        <v>0</v>
      </c>
      <c r="H34" s="17" t="s">
        <v>12</v>
      </c>
    </row>
    <row r="35" spans="1:8" x14ac:dyDescent="0.2">
      <c r="A35" s="18"/>
      <c r="B35" s="18"/>
      <c r="C35" s="22"/>
      <c r="D35" s="18"/>
      <c r="E35" s="18"/>
      <c r="F35" s="23"/>
      <c r="G35" s="23"/>
      <c r="H35" s="17" t="s">
        <v>12</v>
      </c>
    </row>
    <row r="36" spans="1:8" x14ac:dyDescent="0.2">
      <c r="A36" s="18"/>
      <c r="B36" s="18"/>
      <c r="C36" s="19" t="s">
        <v>82</v>
      </c>
      <c r="D36" s="18"/>
      <c r="E36" s="18"/>
      <c r="F36" s="18"/>
      <c r="G36" s="18"/>
      <c r="H36" s="17" t="s">
        <v>12</v>
      </c>
    </row>
    <row r="37" spans="1:8" x14ac:dyDescent="0.2">
      <c r="A37" s="18"/>
      <c r="B37" s="18"/>
      <c r="C37" s="19" t="s">
        <v>11</v>
      </c>
      <c r="D37" s="18"/>
      <c r="E37" s="18" t="s">
        <v>12</v>
      </c>
      <c r="F37" s="20" t="s">
        <v>13</v>
      </c>
      <c r="G37" s="21">
        <v>0</v>
      </c>
      <c r="H37" s="17" t="s">
        <v>12</v>
      </c>
    </row>
    <row r="38" spans="1:8" x14ac:dyDescent="0.2">
      <c r="A38" s="18"/>
      <c r="B38" s="18"/>
      <c r="C38" s="22"/>
      <c r="D38" s="18"/>
      <c r="E38" s="18"/>
      <c r="F38" s="23"/>
      <c r="G38" s="23"/>
      <c r="H38" s="17" t="s">
        <v>12</v>
      </c>
    </row>
    <row r="39" spans="1:8" x14ac:dyDescent="0.2">
      <c r="A39" s="18"/>
      <c r="B39" s="18"/>
      <c r="C39" s="19" t="s">
        <v>100</v>
      </c>
      <c r="D39" s="18"/>
      <c r="E39" s="18"/>
      <c r="F39" s="23"/>
      <c r="G39" s="23"/>
      <c r="H39" s="17" t="s">
        <v>12</v>
      </c>
    </row>
    <row r="40" spans="1:8" x14ac:dyDescent="0.2">
      <c r="A40" s="18"/>
      <c r="B40" s="18"/>
      <c r="C40" s="19" t="s">
        <v>11</v>
      </c>
      <c r="D40" s="18"/>
      <c r="E40" s="18" t="s">
        <v>12</v>
      </c>
      <c r="F40" s="20" t="s">
        <v>13</v>
      </c>
      <c r="G40" s="21">
        <v>0</v>
      </c>
      <c r="H40" s="17" t="s">
        <v>12</v>
      </c>
    </row>
    <row r="41" spans="1:8" x14ac:dyDescent="0.2">
      <c r="A41" s="18"/>
      <c r="B41" s="18"/>
      <c r="C41" s="22"/>
      <c r="D41" s="18"/>
      <c r="E41" s="18"/>
      <c r="F41" s="23"/>
      <c r="G41" s="23"/>
      <c r="H41" s="17" t="s">
        <v>12</v>
      </c>
    </row>
    <row r="42" spans="1:8" x14ac:dyDescent="0.2">
      <c r="A42" s="18"/>
      <c r="B42" s="18"/>
      <c r="C42" s="19" t="s">
        <v>101</v>
      </c>
      <c r="D42" s="18"/>
      <c r="E42" s="18"/>
      <c r="F42" s="24">
        <v>12502.252500000001</v>
      </c>
      <c r="G42" s="21">
        <v>1.722392E-2</v>
      </c>
      <c r="H42" s="17" t="s">
        <v>12</v>
      </c>
    </row>
    <row r="43" spans="1:8" x14ac:dyDescent="0.2">
      <c r="A43" s="18"/>
      <c r="B43" s="18"/>
      <c r="C43" s="22"/>
      <c r="D43" s="18"/>
      <c r="E43" s="18"/>
      <c r="F43" s="23"/>
      <c r="G43" s="23"/>
      <c r="H43" s="17" t="s">
        <v>12</v>
      </c>
    </row>
    <row r="44" spans="1:8" x14ac:dyDescent="0.2">
      <c r="A44" s="18"/>
      <c r="B44" s="18"/>
      <c r="C44" s="19" t="s">
        <v>102</v>
      </c>
      <c r="D44" s="18"/>
      <c r="E44" s="18"/>
      <c r="F44" s="23"/>
      <c r="G44" s="23"/>
      <c r="H44" s="17" t="s">
        <v>12</v>
      </c>
    </row>
    <row r="45" spans="1:8" x14ac:dyDescent="0.2">
      <c r="A45" s="18"/>
      <c r="B45" s="18"/>
      <c r="C45" s="19" t="s">
        <v>103</v>
      </c>
      <c r="D45" s="18"/>
      <c r="E45" s="18"/>
      <c r="F45" s="23"/>
      <c r="G45" s="23"/>
      <c r="H45" s="17" t="s">
        <v>12</v>
      </c>
    </row>
    <row r="46" spans="1:8" x14ac:dyDescent="0.2">
      <c r="A46" s="25">
        <v>1</v>
      </c>
      <c r="B46" s="26" t="s">
        <v>337</v>
      </c>
      <c r="C46" s="26" t="s">
        <v>745</v>
      </c>
      <c r="D46" s="26" t="s">
        <v>109</v>
      </c>
      <c r="E46" s="27">
        <v>3500</v>
      </c>
      <c r="F46" s="28">
        <v>17489.22</v>
      </c>
      <c r="G46" s="29">
        <v>2.4094290000000001E-2</v>
      </c>
      <c r="H46" s="17">
        <v>5.63</v>
      </c>
    </row>
    <row r="47" spans="1:8" x14ac:dyDescent="0.2">
      <c r="A47" s="25">
        <v>2</v>
      </c>
      <c r="B47" s="26" t="s">
        <v>338</v>
      </c>
      <c r="C47" s="26" t="s">
        <v>747</v>
      </c>
      <c r="D47" s="26" t="s">
        <v>109</v>
      </c>
      <c r="E47" s="27">
        <v>3000</v>
      </c>
      <c r="F47" s="28">
        <v>14911.125</v>
      </c>
      <c r="G47" s="29">
        <v>2.0542540000000001E-2</v>
      </c>
      <c r="H47" s="17">
        <v>5.7251000000000003</v>
      </c>
    </row>
    <row r="48" spans="1:8" x14ac:dyDescent="0.2">
      <c r="A48" s="25">
        <v>3</v>
      </c>
      <c r="B48" s="26" t="s">
        <v>339</v>
      </c>
      <c r="C48" s="26" t="s">
        <v>748</v>
      </c>
      <c r="D48" s="26" t="s">
        <v>109</v>
      </c>
      <c r="E48" s="27">
        <v>2500</v>
      </c>
      <c r="F48" s="28">
        <v>12379.95</v>
      </c>
      <c r="G48" s="29">
        <v>1.705543E-2</v>
      </c>
      <c r="H48" s="17">
        <v>5.8025000000000002</v>
      </c>
    </row>
    <row r="49" spans="1:8" x14ac:dyDescent="0.2">
      <c r="A49" s="25">
        <v>4</v>
      </c>
      <c r="B49" s="26" t="s">
        <v>340</v>
      </c>
      <c r="C49" s="26" t="s">
        <v>749</v>
      </c>
      <c r="D49" s="26" t="s">
        <v>341</v>
      </c>
      <c r="E49" s="27">
        <v>2000</v>
      </c>
      <c r="F49" s="28">
        <v>9962.7900000000009</v>
      </c>
      <c r="G49" s="29">
        <v>1.3725390000000001E-2</v>
      </c>
      <c r="H49" s="17">
        <v>5.6798999999999999</v>
      </c>
    </row>
    <row r="50" spans="1:8" x14ac:dyDescent="0.2">
      <c r="A50" s="25">
        <v>5</v>
      </c>
      <c r="B50" s="26" t="s">
        <v>342</v>
      </c>
      <c r="C50" s="26" t="s">
        <v>750</v>
      </c>
      <c r="D50" s="26" t="s">
        <v>109</v>
      </c>
      <c r="E50" s="27">
        <v>2000</v>
      </c>
      <c r="F50" s="28">
        <v>9947.92</v>
      </c>
      <c r="G50" s="29">
        <v>1.3704900000000001E-2</v>
      </c>
      <c r="H50" s="17">
        <v>5.6201999999999996</v>
      </c>
    </row>
    <row r="51" spans="1:8" x14ac:dyDescent="0.2">
      <c r="A51" s="25">
        <v>6</v>
      </c>
      <c r="B51" s="26" t="s">
        <v>343</v>
      </c>
      <c r="C51" s="26" t="s">
        <v>751</v>
      </c>
      <c r="D51" s="26" t="s">
        <v>109</v>
      </c>
      <c r="E51" s="27">
        <v>2000</v>
      </c>
      <c r="F51" s="28">
        <v>9871.32</v>
      </c>
      <c r="G51" s="29">
        <v>1.359937E-2</v>
      </c>
      <c r="H51" s="17">
        <v>5.8025000000000002</v>
      </c>
    </row>
    <row r="52" spans="1:8" x14ac:dyDescent="0.2">
      <c r="A52" s="25">
        <v>7</v>
      </c>
      <c r="B52" s="26" t="s">
        <v>344</v>
      </c>
      <c r="C52" s="26" t="s">
        <v>752</v>
      </c>
      <c r="D52" s="26" t="s">
        <v>191</v>
      </c>
      <c r="E52" s="27">
        <v>1500</v>
      </c>
      <c r="F52" s="28">
        <v>7478.07</v>
      </c>
      <c r="G52" s="29">
        <v>1.030228E-2</v>
      </c>
      <c r="H52" s="17">
        <v>5.6341000000000001</v>
      </c>
    </row>
    <row r="53" spans="1:8" x14ac:dyDescent="0.2">
      <c r="A53" s="25">
        <v>8</v>
      </c>
      <c r="B53" s="26" t="s">
        <v>345</v>
      </c>
      <c r="C53" s="26" t="s">
        <v>777</v>
      </c>
      <c r="D53" s="26" t="s">
        <v>109</v>
      </c>
      <c r="E53" s="27">
        <v>1500</v>
      </c>
      <c r="F53" s="28">
        <v>7478.01</v>
      </c>
      <c r="G53" s="29">
        <v>1.0302189999999999E-2</v>
      </c>
      <c r="H53" s="17">
        <v>5.6497000000000002</v>
      </c>
    </row>
    <row r="54" spans="1:8" x14ac:dyDescent="0.2">
      <c r="A54" s="25">
        <v>9</v>
      </c>
      <c r="B54" s="26" t="s">
        <v>346</v>
      </c>
      <c r="C54" s="26" t="s">
        <v>753</v>
      </c>
      <c r="D54" s="26" t="s">
        <v>191</v>
      </c>
      <c r="E54" s="27">
        <v>1500</v>
      </c>
      <c r="F54" s="28">
        <v>7468.875</v>
      </c>
      <c r="G54" s="29">
        <v>1.0289609999999999E-2</v>
      </c>
      <c r="H54" s="17">
        <v>5.6341000000000001</v>
      </c>
    </row>
    <row r="55" spans="1:8" x14ac:dyDescent="0.2">
      <c r="A55" s="25">
        <v>10</v>
      </c>
      <c r="B55" s="26" t="s">
        <v>347</v>
      </c>
      <c r="C55" s="26" t="s">
        <v>754</v>
      </c>
      <c r="D55" s="26" t="s">
        <v>109</v>
      </c>
      <c r="E55" s="27">
        <v>1500</v>
      </c>
      <c r="F55" s="28">
        <v>7462.125</v>
      </c>
      <c r="G55" s="29">
        <v>1.0280310000000001E-2</v>
      </c>
      <c r="H55" s="17">
        <v>5.6150000000000002</v>
      </c>
    </row>
    <row r="56" spans="1:8" x14ac:dyDescent="0.2">
      <c r="A56" s="25">
        <v>11</v>
      </c>
      <c r="B56" s="26" t="s">
        <v>348</v>
      </c>
      <c r="C56" s="26" t="s">
        <v>755</v>
      </c>
      <c r="D56" s="26" t="s">
        <v>191</v>
      </c>
      <c r="E56" s="27">
        <v>1500</v>
      </c>
      <c r="F56" s="28">
        <v>7461.99</v>
      </c>
      <c r="G56" s="29">
        <v>1.028012E-2</v>
      </c>
      <c r="H56" s="17">
        <v>5.6341000000000001</v>
      </c>
    </row>
    <row r="57" spans="1:8" ht="25.5" x14ac:dyDescent="0.2">
      <c r="A57" s="25">
        <v>12</v>
      </c>
      <c r="B57" s="26" t="s">
        <v>349</v>
      </c>
      <c r="C57" s="26" t="s">
        <v>778</v>
      </c>
      <c r="D57" s="26" t="s">
        <v>109</v>
      </c>
      <c r="E57" s="27">
        <v>1500</v>
      </c>
      <c r="F57" s="28">
        <v>7401.54</v>
      </c>
      <c r="G57" s="29">
        <v>1.019684E-2</v>
      </c>
      <c r="H57" s="17">
        <v>5.8498999999999999</v>
      </c>
    </row>
    <row r="58" spans="1:8" x14ac:dyDescent="0.2">
      <c r="A58" s="25">
        <v>13</v>
      </c>
      <c r="B58" s="26" t="s">
        <v>350</v>
      </c>
      <c r="C58" s="26" t="s">
        <v>756</v>
      </c>
      <c r="D58" s="26" t="s">
        <v>109</v>
      </c>
      <c r="E58" s="27">
        <v>1000</v>
      </c>
      <c r="F58" s="28">
        <v>4995.41</v>
      </c>
      <c r="G58" s="29">
        <v>6.8820000000000001E-3</v>
      </c>
      <c r="H58" s="17">
        <v>5.5904999999999996</v>
      </c>
    </row>
    <row r="59" spans="1:8" x14ac:dyDescent="0.2">
      <c r="A59" s="25">
        <v>14</v>
      </c>
      <c r="B59" s="26" t="s">
        <v>351</v>
      </c>
      <c r="C59" s="26" t="s">
        <v>757</v>
      </c>
      <c r="D59" s="26" t="s">
        <v>109</v>
      </c>
      <c r="E59" s="27">
        <v>1000</v>
      </c>
      <c r="F59" s="28">
        <v>4995.38</v>
      </c>
      <c r="G59" s="29">
        <v>6.8819600000000003E-3</v>
      </c>
      <c r="H59" s="17">
        <v>5.63</v>
      </c>
    </row>
    <row r="60" spans="1:8" x14ac:dyDescent="0.2">
      <c r="A60" s="25">
        <v>15</v>
      </c>
      <c r="B60" s="26" t="s">
        <v>352</v>
      </c>
      <c r="C60" s="26" t="s">
        <v>758</v>
      </c>
      <c r="D60" s="26" t="s">
        <v>109</v>
      </c>
      <c r="E60" s="27">
        <v>1000</v>
      </c>
      <c r="F60" s="28">
        <v>4995.375</v>
      </c>
      <c r="G60" s="29">
        <v>6.8819500000000004E-3</v>
      </c>
      <c r="H60" s="17">
        <v>5.6352000000000002</v>
      </c>
    </row>
    <row r="61" spans="1:8" x14ac:dyDescent="0.2">
      <c r="A61" s="25">
        <v>16</v>
      </c>
      <c r="B61" s="26" t="s">
        <v>353</v>
      </c>
      <c r="C61" s="26" t="s">
        <v>759</v>
      </c>
      <c r="D61" s="26" t="s">
        <v>109</v>
      </c>
      <c r="E61" s="27">
        <v>1000</v>
      </c>
      <c r="F61" s="28">
        <v>4992.3549999999996</v>
      </c>
      <c r="G61" s="29">
        <v>6.8777899999999999E-3</v>
      </c>
      <c r="H61" s="17">
        <v>5.5904999999999996</v>
      </c>
    </row>
    <row r="62" spans="1:8" x14ac:dyDescent="0.2">
      <c r="A62" s="25">
        <v>17</v>
      </c>
      <c r="B62" s="26" t="s">
        <v>354</v>
      </c>
      <c r="C62" s="26" t="s">
        <v>760</v>
      </c>
      <c r="D62" s="26" t="s">
        <v>109</v>
      </c>
      <c r="E62" s="27">
        <v>1000</v>
      </c>
      <c r="F62" s="28">
        <v>4985.3900000000003</v>
      </c>
      <c r="G62" s="29">
        <v>6.8681999999999997E-3</v>
      </c>
      <c r="H62" s="17">
        <v>5.6314000000000002</v>
      </c>
    </row>
    <row r="63" spans="1:8" x14ac:dyDescent="0.2">
      <c r="A63" s="25">
        <v>18</v>
      </c>
      <c r="B63" s="26" t="s">
        <v>355</v>
      </c>
      <c r="C63" s="26" t="s">
        <v>761</v>
      </c>
      <c r="D63" s="26" t="s">
        <v>109</v>
      </c>
      <c r="E63" s="27">
        <v>1000</v>
      </c>
      <c r="F63" s="28">
        <v>4980.8450000000003</v>
      </c>
      <c r="G63" s="29">
        <v>6.8619400000000004E-3</v>
      </c>
      <c r="H63" s="17">
        <v>5.6151</v>
      </c>
    </row>
    <row r="64" spans="1:8" x14ac:dyDescent="0.2">
      <c r="A64" s="25">
        <v>19</v>
      </c>
      <c r="B64" s="26" t="s">
        <v>356</v>
      </c>
      <c r="C64" s="26" t="s">
        <v>762</v>
      </c>
      <c r="D64" s="26" t="s">
        <v>109</v>
      </c>
      <c r="E64" s="27">
        <v>500</v>
      </c>
      <c r="F64" s="28">
        <v>2498.4549999999999</v>
      </c>
      <c r="G64" s="29">
        <v>3.44203E-3</v>
      </c>
      <c r="H64" s="17">
        <v>5.6388999999999996</v>
      </c>
    </row>
    <row r="65" spans="1:8" x14ac:dyDescent="0.2">
      <c r="A65" s="25">
        <v>20</v>
      </c>
      <c r="B65" s="26" t="s">
        <v>357</v>
      </c>
      <c r="C65" s="26" t="s">
        <v>763</v>
      </c>
      <c r="D65" s="26" t="s">
        <v>109</v>
      </c>
      <c r="E65" s="27">
        <v>500</v>
      </c>
      <c r="F65" s="28">
        <v>2496.15</v>
      </c>
      <c r="G65" s="29">
        <v>3.4388600000000002E-3</v>
      </c>
      <c r="H65" s="17">
        <v>5.63</v>
      </c>
    </row>
    <row r="66" spans="1:8" x14ac:dyDescent="0.2">
      <c r="A66" s="25">
        <v>21</v>
      </c>
      <c r="B66" s="26" t="s">
        <v>358</v>
      </c>
      <c r="C66" s="26" t="s">
        <v>746</v>
      </c>
      <c r="D66" s="26" t="s">
        <v>109</v>
      </c>
      <c r="E66" s="27">
        <v>500</v>
      </c>
      <c r="F66" s="28">
        <v>2478.1925000000001</v>
      </c>
      <c r="G66" s="29">
        <v>3.4141200000000001E-3</v>
      </c>
      <c r="H66" s="17">
        <v>5.8400999999999996</v>
      </c>
    </row>
    <row r="67" spans="1:8" x14ac:dyDescent="0.2">
      <c r="A67" s="18"/>
      <c r="B67" s="18"/>
      <c r="C67" s="19" t="s">
        <v>11</v>
      </c>
      <c r="D67" s="18"/>
      <c r="E67" s="18" t="s">
        <v>12</v>
      </c>
      <c r="F67" s="24">
        <v>156730.48749999999</v>
      </c>
      <c r="G67" s="21">
        <v>0.21592212</v>
      </c>
      <c r="H67" s="17" t="s">
        <v>12</v>
      </c>
    </row>
    <row r="68" spans="1:8" x14ac:dyDescent="0.2">
      <c r="A68" s="18"/>
      <c r="B68" s="18"/>
      <c r="C68" s="22"/>
      <c r="D68" s="18"/>
      <c r="E68" s="18"/>
      <c r="F68" s="23"/>
      <c r="G68" s="23"/>
      <c r="H68" s="17" t="s">
        <v>12</v>
      </c>
    </row>
    <row r="69" spans="1:8" x14ac:dyDescent="0.2">
      <c r="A69" s="18"/>
      <c r="B69" s="18"/>
      <c r="C69" s="19" t="s">
        <v>110</v>
      </c>
      <c r="D69" s="18"/>
      <c r="E69" s="18"/>
      <c r="F69" s="23"/>
      <c r="G69" s="23"/>
      <c r="H69" s="17" t="s">
        <v>12</v>
      </c>
    </row>
    <row r="70" spans="1:8" ht="25.5" x14ac:dyDescent="0.2">
      <c r="A70" s="25">
        <v>1</v>
      </c>
      <c r="B70" s="26" t="s">
        <v>359</v>
      </c>
      <c r="C70" s="26" t="s">
        <v>360</v>
      </c>
      <c r="D70" s="26" t="s">
        <v>109</v>
      </c>
      <c r="E70" s="27">
        <v>3000</v>
      </c>
      <c r="F70" s="28">
        <v>14926.725</v>
      </c>
      <c r="G70" s="29">
        <v>2.0564030000000001E-2</v>
      </c>
      <c r="H70" s="17">
        <v>5.5995999999999997</v>
      </c>
    </row>
    <row r="71" spans="1:8" x14ac:dyDescent="0.2">
      <c r="A71" s="25">
        <v>2</v>
      </c>
      <c r="B71" s="26" t="s">
        <v>361</v>
      </c>
      <c r="C71" s="26" t="s">
        <v>362</v>
      </c>
      <c r="D71" s="26" t="s">
        <v>109</v>
      </c>
      <c r="E71" s="27">
        <v>2500</v>
      </c>
      <c r="F71" s="28">
        <v>12467.762500000001</v>
      </c>
      <c r="G71" s="29">
        <v>1.7176400000000001E-2</v>
      </c>
      <c r="H71" s="17">
        <v>5.9</v>
      </c>
    </row>
    <row r="72" spans="1:8" x14ac:dyDescent="0.2">
      <c r="A72" s="25">
        <v>3</v>
      </c>
      <c r="B72" s="26" t="s">
        <v>363</v>
      </c>
      <c r="C72" s="26" t="s">
        <v>364</v>
      </c>
      <c r="D72" s="26" t="s">
        <v>109</v>
      </c>
      <c r="E72" s="27">
        <v>2500</v>
      </c>
      <c r="F72" s="28">
        <v>12433.525</v>
      </c>
      <c r="G72" s="29">
        <v>1.7129229999999999E-2</v>
      </c>
      <c r="H72" s="17">
        <v>5.74</v>
      </c>
    </row>
    <row r="73" spans="1:8" x14ac:dyDescent="0.2">
      <c r="A73" s="25">
        <v>4</v>
      </c>
      <c r="B73" s="26" t="s">
        <v>365</v>
      </c>
      <c r="C73" s="26" t="s">
        <v>366</v>
      </c>
      <c r="D73" s="26" t="s">
        <v>109</v>
      </c>
      <c r="E73" s="27">
        <v>2500</v>
      </c>
      <c r="F73" s="28">
        <v>12418.6</v>
      </c>
      <c r="G73" s="29">
        <v>1.7108669999999999E-2</v>
      </c>
      <c r="H73" s="17">
        <v>6.1352000000000002</v>
      </c>
    </row>
    <row r="74" spans="1:8" x14ac:dyDescent="0.2">
      <c r="A74" s="25">
        <v>5</v>
      </c>
      <c r="B74" s="26" t="s">
        <v>367</v>
      </c>
      <c r="C74" s="26" t="s">
        <v>368</v>
      </c>
      <c r="D74" s="26" t="s">
        <v>109</v>
      </c>
      <c r="E74" s="27">
        <v>2500</v>
      </c>
      <c r="F74" s="28">
        <v>12335.35</v>
      </c>
      <c r="G74" s="29">
        <v>1.6993979999999999E-2</v>
      </c>
      <c r="H74" s="17">
        <v>5.87</v>
      </c>
    </row>
    <row r="75" spans="1:8" x14ac:dyDescent="0.2">
      <c r="A75" s="25">
        <v>6</v>
      </c>
      <c r="B75" s="26" t="s">
        <v>369</v>
      </c>
      <c r="C75" s="26" t="s">
        <v>370</v>
      </c>
      <c r="D75" s="26" t="s">
        <v>109</v>
      </c>
      <c r="E75" s="27">
        <v>2500</v>
      </c>
      <c r="F75" s="28">
        <v>12330.8</v>
      </c>
      <c r="G75" s="29">
        <v>1.698771E-2</v>
      </c>
      <c r="H75" s="17">
        <v>5.8239000000000001</v>
      </c>
    </row>
    <row r="76" spans="1:8" x14ac:dyDescent="0.2">
      <c r="A76" s="25">
        <v>7</v>
      </c>
      <c r="B76" s="26" t="s">
        <v>371</v>
      </c>
      <c r="C76" s="26" t="s">
        <v>372</v>
      </c>
      <c r="D76" s="26" t="s">
        <v>109</v>
      </c>
      <c r="E76" s="27">
        <v>2000</v>
      </c>
      <c r="F76" s="28">
        <v>9983.65</v>
      </c>
      <c r="G76" s="29">
        <v>1.375413E-2</v>
      </c>
      <c r="H76" s="17">
        <v>5.98</v>
      </c>
    </row>
    <row r="77" spans="1:8" ht="25.5" x14ac:dyDescent="0.2">
      <c r="A77" s="25">
        <v>8</v>
      </c>
      <c r="B77" s="26" t="s">
        <v>373</v>
      </c>
      <c r="C77" s="26" t="s">
        <v>374</v>
      </c>
      <c r="D77" s="26" t="s">
        <v>109</v>
      </c>
      <c r="E77" s="27">
        <v>2000</v>
      </c>
      <c r="F77" s="28">
        <v>9983.32</v>
      </c>
      <c r="G77" s="29">
        <v>1.3753670000000001E-2</v>
      </c>
      <c r="H77" s="17">
        <v>6.1005000000000003</v>
      </c>
    </row>
    <row r="78" spans="1:8" x14ac:dyDescent="0.2">
      <c r="A78" s="25">
        <v>9</v>
      </c>
      <c r="B78" s="26" t="s">
        <v>375</v>
      </c>
      <c r="C78" s="26" t="s">
        <v>376</v>
      </c>
      <c r="D78" s="26" t="s">
        <v>109</v>
      </c>
      <c r="E78" s="27">
        <v>2000</v>
      </c>
      <c r="F78" s="28">
        <v>9979.66</v>
      </c>
      <c r="G78" s="29">
        <v>1.374863E-2</v>
      </c>
      <c r="H78" s="17">
        <v>5.7225999999999999</v>
      </c>
    </row>
    <row r="79" spans="1:8" ht="25.5" x14ac:dyDescent="0.2">
      <c r="A79" s="25">
        <v>10</v>
      </c>
      <c r="B79" s="26" t="s">
        <v>377</v>
      </c>
      <c r="C79" s="26" t="s">
        <v>378</v>
      </c>
      <c r="D79" s="26" t="s">
        <v>109</v>
      </c>
      <c r="E79" s="27">
        <v>2000</v>
      </c>
      <c r="F79" s="28">
        <v>9964.34</v>
      </c>
      <c r="G79" s="29">
        <v>1.372752E-2</v>
      </c>
      <c r="H79" s="17">
        <v>5.68</v>
      </c>
    </row>
    <row r="80" spans="1:8" x14ac:dyDescent="0.2">
      <c r="A80" s="25">
        <v>11</v>
      </c>
      <c r="B80" s="26" t="s">
        <v>379</v>
      </c>
      <c r="C80" s="26" t="s">
        <v>380</v>
      </c>
      <c r="D80" s="26" t="s">
        <v>109</v>
      </c>
      <c r="E80" s="27">
        <v>2000</v>
      </c>
      <c r="F80" s="28">
        <v>9957.9699999999993</v>
      </c>
      <c r="G80" s="29">
        <v>1.371875E-2</v>
      </c>
      <c r="H80" s="17">
        <v>5.7062999999999997</v>
      </c>
    </row>
    <row r="81" spans="1:8" x14ac:dyDescent="0.2">
      <c r="A81" s="25">
        <v>12</v>
      </c>
      <c r="B81" s="26" t="s">
        <v>381</v>
      </c>
      <c r="C81" s="26" t="s">
        <v>382</v>
      </c>
      <c r="D81" s="26" t="s">
        <v>109</v>
      </c>
      <c r="E81" s="27">
        <v>2000</v>
      </c>
      <c r="F81" s="28">
        <v>9950.56</v>
      </c>
      <c r="G81" s="29">
        <v>1.370854E-2</v>
      </c>
      <c r="H81" s="17">
        <v>5.85</v>
      </c>
    </row>
    <row r="82" spans="1:8" x14ac:dyDescent="0.2">
      <c r="A82" s="25">
        <v>13</v>
      </c>
      <c r="B82" s="26" t="s">
        <v>383</v>
      </c>
      <c r="C82" s="26" t="s">
        <v>384</v>
      </c>
      <c r="D82" s="26" t="s">
        <v>109</v>
      </c>
      <c r="E82" s="27">
        <v>2000</v>
      </c>
      <c r="F82" s="28">
        <v>9947.09</v>
      </c>
      <c r="G82" s="29">
        <v>1.3703760000000001E-2</v>
      </c>
      <c r="H82" s="17">
        <v>5.7111999999999998</v>
      </c>
    </row>
    <row r="83" spans="1:8" x14ac:dyDescent="0.2">
      <c r="A83" s="25">
        <v>14</v>
      </c>
      <c r="B83" s="26" t="s">
        <v>385</v>
      </c>
      <c r="C83" s="26" t="s">
        <v>386</v>
      </c>
      <c r="D83" s="26" t="s">
        <v>109</v>
      </c>
      <c r="E83" s="27">
        <v>2000</v>
      </c>
      <c r="F83" s="28">
        <v>9937.2000000000007</v>
      </c>
      <c r="G83" s="29">
        <v>1.369013E-2</v>
      </c>
      <c r="H83" s="17">
        <v>6.2340999999999998</v>
      </c>
    </row>
    <row r="84" spans="1:8" ht="25.5" x14ac:dyDescent="0.2">
      <c r="A84" s="25">
        <v>15</v>
      </c>
      <c r="B84" s="26" t="s">
        <v>387</v>
      </c>
      <c r="C84" s="26" t="s">
        <v>388</v>
      </c>
      <c r="D84" s="26" t="s">
        <v>109</v>
      </c>
      <c r="E84" s="27">
        <v>2000</v>
      </c>
      <c r="F84" s="28">
        <v>9890.6200000000008</v>
      </c>
      <c r="G84" s="29">
        <v>1.3625959999999999E-2</v>
      </c>
      <c r="H84" s="17">
        <v>5.85</v>
      </c>
    </row>
    <row r="85" spans="1:8" x14ac:dyDescent="0.2">
      <c r="A85" s="25">
        <v>16</v>
      </c>
      <c r="B85" s="26" t="s">
        <v>389</v>
      </c>
      <c r="C85" s="26" t="s">
        <v>390</v>
      </c>
      <c r="D85" s="26" t="s">
        <v>109</v>
      </c>
      <c r="E85" s="27">
        <v>2000</v>
      </c>
      <c r="F85" s="28">
        <v>9857.82</v>
      </c>
      <c r="G85" s="29">
        <v>1.3580780000000001E-2</v>
      </c>
      <c r="H85" s="17">
        <v>5.915</v>
      </c>
    </row>
    <row r="86" spans="1:8" x14ac:dyDescent="0.2">
      <c r="A86" s="25">
        <v>17</v>
      </c>
      <c r="B86" s="26" t="s">
        <v>391</v>
      </c>
      <c r="C86" s="26" t="s">
        <v>392</v>
      </c>
      <c r="D86" s="26" t="s">
        <v>109</v>
      </c>
      <c r="E86" s="27">
        <v>2000</v>
      </c>
      <c r="F86" s="28">
        <v>9844.42</v>
      </c>
      <c r="G86" s="29">
        <v>1.3562309999999999E-2</v>
      </c>
      <c r="H86" s="17">
        <v>6.5549999999999997</v>
      </c>
    </row>
    <row r="87" spans="1:8" x14ac:dyDescent="0.2">
      <c r="A87" s="25">
        <v>18</v>
      </c>
      <c r="B87" s="26" t="s">
        <v>393</v>
      </c>
      <c r="C87" s="26" t="s">
        <v>394</v>
      </c>
      <c r="D87" s="26" t="s">
        <v>109</v>
      </c>
      <c r="E87" s="27">
        <v>1500</v>
      </c>
      <c r="F87" s="28">
        <v>7494.8774999999996</v>
      </c>
      <c r="G87" s="29">
        <v>1.032543E-2</v>
      </c>
      <c r="H87" s="17">
        <v>6.2401</v>
      </c>
    </row>
    <row r="88" spans="1:8" x14ac:dyDescent="0.2">
      <c r="A88" s="25">
        <v>19</v>
      </c>
      <c r="B88" s="26" t="s">
        <v>395</v>
      </c>
      <c r="C88" s="26" t="s">
        <v>396</v>
      </c>
      <c r="D88" s="26" t="s">
        <v>106</v>
      </c>
      <c r="E88" s="27">
        <v>1500</v>
      </c>
      <c r="F88" s="28">
        <v>7485.81</v>
      </c>
      <c r="G88" s="29">
        <v>1.031294E-2</v>
      </c>
      <c r="H88" s="17">
        <v>5.7648999999999999</v>
      </c>
    </row>
    <row r="89" spans="1:8" x14ac:dyDescent="0.2">
      <c r="A89" s="25">
        <v>20</v>
      </c>
      <c r="B89" s="26" t="s">
        <v>397</v>
      </c>
      <c r="C89" s="26" t="s">
        <v>398</v>
      </c>
      <c r="D89" s="26" t="s">
        <v>109</v>
      </c>
      <c r="E89" s="27">
        <v>1500</v>
      </c>
      <c r="F89" s="28">
        <v>7484.6475</v>
      </c>
      <c r="G89" s="29">
        <v>1.031134E-2</v>
      </c>
      <c r="H89" s="17">
        <v>6.2401</v>
      </c>
    </row>
    <row r="90" spans="1:8" x14ac:dyDescent="0.2">
      <c r="A90" s="25">
        <v>21</v>
      </c>
      <c r="B90" s="26" t="s">
        <v>399</v>
      </c>
      <c r="C90" s="26" t="s">
        <v>400</v>
      </c>
      <c r="D90" s="26" t="s">
        <v>109</v>
      </c>
      <c r="E90" s="27">
        <v>1500</v>
      </c>
      <c r="F90" s="28">
        <v>7476.1274999999996</v>
      </c>
      <c r="G90" s="29">
        <v>1.0299600000000001E-2</v>
      </c>
      <c r="H90" s="17">
        <v>6.1352000000000002</v>
      </c>
    </row>
    <row r="91" spans="1:8" x14ac:dyDescent="0.2">
      <c r="A91" s="25">
        <v>22</v>
      </c>
      <c r="B91" s="26" t="s">
        <v>401</v>
      </c>
      <c r="C91" s="26" t="s">
        <v>402</v>
      </c>
      <c r="D91" s="26" t="s">
        <v>109</v>
      </c>
      <c r="E91" s="27">
        <v>1500</v>
      </c>
      <c r="F91" s="28">
        <v>7463.0174999999999</v>
      </c>
      <c r="G91" s="29">
        <v>1.028154E-2</v>
      </c>
      <c r="H91" s="17">
        <v>5.835</v>
      </c>
    </row>
    <row r="92" spans="1:8" x14ac:dyDescent="0.2">
      <c r="A92" s="25">
        <v>23</v>
      </c>
      <c r="B92" s="26" t="s">
        <v>403</v>
      </c>
      <c r="C92" s="26" t="s">
        <v>404</v>
      </c>
      <c r="D92" s="26" t="s">
        <v>109</v>
      </c>
      <c r="E92" s="27">
        <v>1500</v>
      </c>
      <c r="F92" s="28">
        <v>7460.88</v>
      </c>
      <c r="G92" s="29">
        <v>1.0278590000000001E-2</v>
      </c>
      <c r="H92" s="17">
        <v>5.8</v>
      </c>
    </row>
    <row r="93" spans="1:8" x14ac:dyDescent="0.2">
      <c r="A93" s="25">
        <v>24</v>
      </c>
      <c r="B93" s="26" t="s">
        <v>405</v>
      </c>
      <c r="C93" s="26" t="s">
        <v>406</v>
      </c>
      <c r="D93" s="26" t="s">
        <v>106</v>
      </c>
      <c r="E93" s="27">
        <v>1500</v>
      </c>
      <c r="F93" s="28">
        <v>7416.9975000000004</v>
      </c>
      <c r="G93" s="29">
        <v>1.0218140000000001E-2</v>
      </c>
      <c r="H93" s="17">
        <v>5.9199000000000002</v>
      </c>
    </row>
    <row r="94" spans="1:8" x14ac:dyDescent="0.2">
      <c r="A94" s="25">
        <v>25</v>
      </c>
      <c r="B94" s="26" t="s">
        <v>407</v>
      </c>
      <c r="C94" s="36" t="s">
        <v>744</v>
      </c>
      <c r="D94" s="26" t="s">
        <v>741</v>
      </c>
      <c r="E94" s="27">
        <v>1500</v>
      </c>
      <c r="F94" s="28">
        <v>7389.2775000000001</v>
      </c>
      <c r="G94" s="29">
        <v>1.017995E-2</v>
      </c>
      <c r="H94" s="17">
        <v>6.01</v>
      </c>
    </row>
    <row r="95" spans="1:8" x14ac:dyDescent="0.2">
      <c r="A95" s="25">
        <v>26</v>
      </c>
      <c r="B95" s="26" t="s">
        <v>408</v>
      </c>
      <c r="C95" s="26" t="s">
        <v>409</v>
      </c>
      <c r="D95" s="26" t="s">
        <v>109</v>
      </c>
      <c r="E95" s="27">
        <v>1500</v>
      </c>
      <c r="F95" s="28">
        <v>7382.1</v>
      </c>
      <c r="G95" s="29">
        <v>1.017006E-2</v>
      </c>
      <c r="H95" s="17">
        <v>6.55</v>
      </c>
    </row>
    <row r="96" spans="1:8" x14ac:dyDescent="0.2">
      <c r="A96" s="25">
        <v>27</v>
      </c>
      <c r="B96" s="26" t="s">
        <v>410</v>
      </c>
      <c r="C96" s="26" t="s">
        <v>411</v>
      </c>
      <c r="D96" s="26" t="s">
        <v>109</v>
      </c>
      <c r="E96" s="27">
        <v>1000</v>
      </c>
      <c r="F96" s="28">
        <v>4998.4650000000001</v>
      </c>
      <c r="G96" s="29">
        <v>6.8862100000000002E-3</v>
      </c>
      <c r="H96" s="17">
        <v>5.5971000000000002</v>
      </c>
    </row>
    <row r="97" spans="1:8" ht="25.5" x14ac:dyDescent="0.2">
      <c r="A97" s="25">
        <v>28</v>
      </c>
      <c r="B97" s="26" t="s">
        <v>412</v>
      </c>
      <c r="C97" s="26" t="s">
        <v>413</v>
      </c>
      <c r="D97" s="26" t="s">
        <v>109</v>
      </c>
      <c r="E97" s="27">
        <v>1000</v>
      </c>
      <c r="F97" s="28">
        <v>4997.43</v>
      </c>
      <c r="G97" s="29">
        <v>6.88479E-3</v>
      </c>
      <c r="H97" s="17">
        <v>6.2601000000000004</v>
      </c>
    </row>
    <row r="98" spans="1:8" ht="25.5" x14ac:dyDescent="0.2">
      <c r="A98" s="25">
        <v>29</v>
      </c>
      <c r="B98" s="26" t="s">
        <v>414</v>
      </c>
      <c r="C98" s="26" t="s">
        <v>415</v>
      </c>
      <c r="D98" s="26" t="s">
        <v>109</v>
      </c>
      <c r="E98" s="27">
        <v>1000</v>
      </c>
      <c r="F98" s="28">
        <v>4995.3450000000003</v>
      </c>
      <c r="G98" s="29">
        <v>6.8819099999999998E-3</v>
      </c>
      <c r="H98" s="17">
        <v>5.67</v>
      </c>
    </row>
    <row r="99" spans="1:8" x14ac:dyDescent="0.2">
      <c r="A99" s="25">
        <v>30</v>
      </c>
      <c r="B99" s="26" t="s">
        <v>416</v>
      </c>
      <c r="C99" s="26" t="s">
        <v>417</v>
      </c>
      <c r="D99" s="26" t="s">
        <v>109</v>
      </c>
      <c r="E99" s="27">
        <v>1000</v>
      </c>
      <c r="F99" s="28">
        <v>4992.38</v>
      </c>
      <c r="G99" s="29">
        <v>6.8778299999999997E-3</v>
      </c>
      <c r="H99" s="17">
        <v>6.19</v>
      </c>
    </row>
    <row r="100" spans="1:8" ht="25.5" x14ac:dyDescent="0.2">
      <c r="A100" s="25">
        <v>31</v>
      </c>
      <c r="B100" s="26" t="s">
        <v>418</v>
      </c>
      <c r="C100" s="26" t="s">
        <v>419</v>
      </c>
      <c r="D100" s="26" t="s">
        <v>109</v>
      </c>
      <c r="E100" s="27">
        <v>1000</v>
      </c>
      <c r="F100" s="28">
        <v>4992.2749999999996</v>
      </c>
      <c r="G100" s="29">
        <v>6.8776799999999997E-3</v>
      </c>
      <c r="H100" s="17">
        <v>5.6497000000000002</v>
      </c>
    </row>
    <row r="101" spans="1:8" x14ac:dyDescent="0.2">
      <c r="A101" s="25">
        <v>32</v>
      </c>
      <c r="B101" s="26" t="s">
        <v>420</v>
      </c>
      <c r="C101" s="26" t="s">
        <v>421</v>
      </c>
      <c r="D101" s="26" t="s">
        <v>109</v>
      </c>
      <c r="E101" s="27">
        <v>1000</v>
      </c>
      <c r="F101" s="28">
        <v>4992.0550000000003</v>
      </c>
      <c r="G101" s="29">
        <v>6.8773799999999998E-3</v>
      </c>
      <c r="H101" s="17">
        <v>5.81</v>
      </c>
    </row>
    <row r="102" spans="1:8" x14ac:dyDescent="0.2">
      <c r="A102" s="25">
        <v>33</v>
      </c>
      <c r="B102" s="26" t="s">
        <v>422</v>
      </c>
      <c r="C102" s="26" t="s">
        <v>423</v>
      </c>
      <c r="D102" s="26" t="s">
        <v>109</v>
      </c>
      <c r="E102" s="27">
        <v>1000</v>
      </c>
      <c r="F102" s="28">
        <v>4989.25</v>
      </c>
      <c r="G102" s="29">
        <v>6.8735200000000002E-3</v>
      </c>
      <c r="H102" s="17">
        <v>6.05</v>
      </c>
    </row>
    <row r="103" spans="1:8" x14ac:dyDescent="0.2">
      <c r="A103" s="25">
        <v>34</v>
      </c>
      <c r="B103" s="26" t="s">
        <v>424</v>
      </c>
      <c r="C103" s="26" t="s">
        <v>425</v>
      </c>
      <c r="D103" s="26" t="s">
        <v>109</v>
      </c>
      <c r="E103" s="27">
        <v>1000</v>
      </c>
      <c r="F103" s="28">
        <v>4985.18</v>
      </c>
      <c r="G103" s="29">
        <v>6.8679099999999996E-3</v>
      </c>
      <c r="H103" s="17">
        <v>5.7111999999999998</v>
      </c>
    </row>
    <row r="104" spans="1:8" x14ac:dyDescent="0.2">
      <c r="A104" s="25">
        <v>35</v>
      </c>
      <c r="B104" s="26" t="s">
        <v>426</v>
      </c>
      <c r="C104" s="26" t="s">
        <v>427</v>
      </c>
      <c r="D104" s="26" t="s">
        <v>109</v>
      </c>
      <c r="E104" s="27">
        <v>1000</v>
      </c>
      <c r="F104" s="28">
        <v>4985.1049999999996</v>
      </c>
      <c r="G104" s="29">
        <v>6.8678100000000002E-3</v>
      </c>
      <c r="H104" s="17">
        <v>5.74</v>
      </c>
    </row>
    <row r="105" spans="1:8" x14ac:dyDescent="0.2">
      <c r="A105" s="25">
        <v>36</v>
      </c>
      <c r="B105" s="26" t="s">
        <v>428</v>
      </c>
      <c r="C105" s="26" t="s">
        <v>429</v>
      </c>
      <c r="D105" s="26" t="s">
        <v>106</v>
      </c>
      <c r="E105" s="27">
        <v>1000</v>
      </c>
      <c r="F105" s="28">
        <v>4985.08</v>
      </c>
      <c r="G105" s="29">
        <v>6.8677699999999996E-3</v>
      </c>
      <c r="H105" s="17">
        <v>5.7499000000000002</v>
      </c>
    </row>
    <row r="106" spans="1:8" x14ac:dyDescent="0.2">
      <c r="A106" s="25">
        <v>37</v>
      </c>
      <c r="B106" s="26" t="s">
        <v>430</v>
      </c>
      <c r="C106" s="26" t="s">
        <v>431</v>
      </c>
      <c r="D106" s="26" t="s">
        <v>109</v>
      </c>
      <c r="E106" s="27">
        <v>1000</v>
      </c>
      <c r="F106" s="28">
        <v>4980.59</v>
      </c>
      <c r="G106" s="29">
        <v>6.8615899999999999E-3</v>
      </c>
      <c r="H106" s="17">
        <v>6.1852999999999998</v>
      </c>
    </row>
    <row r="107" spans="1:8" x14ac:dyDescent="0.2">
      <c r="A107" s="25">
        <v>38</v>
      </c>
      <c r="B107" s="26" t="s">
        <v>432</v>
      </c>
      <c r="C107" s="26" t="s">
        <v>433</v>
      </c>
      <c r="D107" s="26" t="s">
        <v>109</v>
      </c>
      <c r="E107" s="27">
        <v>1000</v>
      </c>
      <c r="F107" s="28">
        <v>4973.9650000000001</v>
      </c>
      <c r="G107" s="29">
        <v>6.8524600000000003E-3</v>
      </c>
      <c r="H107" s="17">
        <v>5.79</v>
      </c>
    </row>
    <row r="108" spans="1:8" x14ac:dyDescent="0.2">
      <c r="A108" s="25">
        <v>39</v>
      </c>
      <c r="B108" s="26" t="s">
        <v>434</v>
      </c>
      <c r="C108" s="26" t="s">
        <v>435</v>
      </c>
      <c r="D108" s="26" t="s">
        <v>109</v>
      </c>
      <c r="E108" s="27">
        <v>1000</v>
      </c>
      <c r="F108" s="28">
        <v>4973.2449999999999</v>
      </c>
      <c r="G108" s="29">
        <v>6.8514700000000001E-3</v>
      </c>
      <c r="H108" s="17">
        <v>5.7750000000000004</v>
      </c>
    </row>
    <row r="109" spans="1:8" x14ac:dyDescent="0.2">
      <c r="A109" s="25">
        <v>40</v>
      </c>
      <c r="B109" s="26" t="s">
        <v>436</v>
      </c>
      <c r="C109" s="26" t="s">
        <v>437</v>
      </c>
      <c r="D109" s="26" t="s">
        <v>109</v>
      </c>
      <c r="E109" s="27">
        <v>1000</v>
      </c>
      <c r="F109" s="28">
        <v>4972.3500000000004</v>
      </c>
      <c r="G109" s="29">
        <v>6.8502299999999997E-3</v>
      </c>
      <c r="H109" s="17">
        <v>6.15</v>
      </c>
    </row>
    <row r="110" spans="1:8" x14ac:dyDescent="0.2">
      <c r="A110" s="25">
        <v>41</v>
      </c>
      <c r="B110" s="26" t="s">
        <v>438</v>
      </c>
      <c r="C110" s="26" t="s">
        <v>439</v>
      </c>
      <c r="D110" s="26" t="s">
        <v>109</v>
      </c>
      <c r="E110" s="27">
        <v>1000</v>
      </c>
      <c r="F110" s="28">
        <v>4971.22</v>
      </c>
      <c r="G110" s="29">
        <v>6.8486800000000002E-3</v>
      </c>
      <c r="H110" s="17">
        <v>5.7111999999999998</v>
      </c>
    </row>
    <row r="111" spans="1:8" x14ac:dyDescent="0.2">
      <c r="A111" s="25">
        <v>42</v>
      </c>
      <c r="B111" s="26" t="s">
        <v>440</v>
      </c>
      <c r="C111" s="26" t="s">
        <v>441</v>
      </c>
      <c r="D111" s="26" t="s">
        <v>109</v>
      </c>
      <c r="E111" s="27">
        <v>1000</v>
      </c>
      <c r="F111" s="28">
        <v>4970.5050000000001</v>
      </c>
      <c r="G111" s="29">
        <v>6.84769E-3</v>
      </c>
      <c r="H111" s="17">
        <v>5.7</v>
      </c>
    </row>
    <row r="112" spans="1:8" x14ac:dyDescent="0.2">
      <c r="A112" s="25">
        <v>43</v>
      </c>
      <c r="B112" s="26" t="s">
        <v>442</v>
      </c>
      <c r="C112" s="26" t="s">
        <v>443</v>
      </c>
      <c r="D112" s="26" t="s">
        <v>106</v>
      </c>
      <c r="E112" s="27">
        <v>1000</v>
      </c>
      <c r="F112" s="28">
        <v>4934.375</v>
      </c>
      <c r="G112" s="29">
        <v>6.7979199999999998E-3</v>
      </c>
      <c r="H112" s="17">
        <v>5.9199000000000002</v>
      </c>
    </row>
    <row r="113" spans="1:8" x14ac:dyDescent="0.2">
      <c r="A113" s="25">
        <v>44</v>
      </c>
      <c r="B113" s="36" t="s">
        <v>742</v>
      </c>
      <c r="C113" s="36" t="s">
        <v>743</v>
      </c>
      <c r="D113" s="26" t="s">
        <v>741</v>
      </c>
      <c r="E113" s="27">
        <v>1000</v>
      </c>
      <c r="F113" s="28">
        <v>4927.5200000000004</v>
      </c>
      <c r="G113" s="29">
        <v>6.7884699999999996E-3</v>
      </c>
      <c r="H113" s="17">
        <v>5.9</v>
      </c>
    </row>
    <row r="114" spans="1:8" x14ac:dyDescent="0.2">
      <c r="A114" s="25">
        <v>45</v>
      </c>
      <c r="B114" s="26" t="s">
        <v>444</v>
      </c>
      <c r="C114" s="26" t="s">
        <v>445</v>
      </c>
      <c r="D114" s="26" t="s">
        <v>109</v>
      </c>
      <c r="E114" s="27">
        <v>1000</v>
      </c>
      <c r="F114" s="28">
        <v>4925.335</v>
      </c>
      <c r="G114" s="29">
        <v>6.7854600000000001E-3</v>
      </c>
      <c r="H114" s="17">
        <v>6.36</v>
      </c>
    </row>
    <row r="115" spans="1:8" x14ac:dyDescent="0.2">
      <c r="A115" s="25">
        <v>46</v>
      </c>
      <c r="B115" s="26" t="s">
        <v>446</v>
      </c>
      <c r="C115" s="26" t="s">
        <v>447</v>
      </c>
      <c r="D115" s="26" t="s">
        <v>109</v>
      </c>
      <c r="E115" s="27">
        <v>1000</v>
      </c>
      <c r="F115" s="28">
        <v>4923.8850000000002</v>
      </c>
      <c r="G115" s="29">
        <v>6.7834699999999998E-3</v>
      </c>
      <c r="H115" s="17">
        <v>6.34</v>
      </c>
    </row>
    <row r="116" spans="1:8" x14ac:dyDescent="0.2">
      <c r="A116" s="25">
        <v>47</v>
      </c>
      <c r="B116" s="26" t="s">
        <v>448</v>
      </c>
      <c r="C116" s="26" t="s">
        <v>449</v>
      </c>
      <c r="D116" s="26" t="s">
        <v>109</v>
      </c>
      <c r="E116" s="27">
        <v>1000</v>
      </c>
      <c r="F116" s="28">
        <v>4923.6450000000004</v>
      </c>
      <c r="G116" s="29">
        <v>6.7831300000000001E-3</v>
      </c>
      <c r="H116" s="17">
        <v>6.36</v>
      </c>
    </row>
    <row r="117" spans="1:8" x14ac:dyDescent="0.2">
      <c r="A117" s="25">
        <v>48</v>
      </c>
      <c r="B117" s="26" t="s">
        <v>450</v>
      </c>
      <c r="C117" s="26" t="s">
        <v>451</v>
      </c>
      <c r="D117" s="26" t="s">
        <v>109</v>
      </c>
      <c r="E117" s="27">
        <v>1000</v>
      </c>
      <c r="F117" s="28">
        <v>4923.4399999999996</v>
      </c>
      <c r="G117" s="29">
        <v>6.78285E-3</v>
      </c>
      <c r="H117" s="17">
        <v>6.3775000000000004</v>
      </c>
    </row>
    <row r="118" spans="1:8" x14ac:dyDescent="0.2">
      <c r="A118" s="25">
        <v>49</v>
      </c>
      <c r="B118" s="26" t="s">
        <v>452</v>
      </c>
      <c r="C118" s="26" t="s">
        <v>453</v>
      </c>
      <c r="D118" s="26" t="s">
        <v>109</v>
      </c>
      <c r="E118" s="27">
        <v>1000</v>
      </c>
      <c r="F118" s="28">
        <v>4922.33</v>
      </c>
      <c r="G118" s="29">
        <v>6.7813200000000004E-3</v>
      </c>
      <c r="H118" s="17">
        <v>6.5449999999999999</v>
      </c>
    </row>
    <row r="119" spans="1:8" ht="25.5" x14ac:dyDescent="0.2">
      <c r="A119" s="25">
        <v>50</v>
      </c>
      <c r="B119" s="26" t="s">
        <v>454</v>
      </c>
      <c r="C119" s="26" t="s">
        <v>455</v>
      </c>
      <c r="D119" s="26" t="s">
        <v>109</v>
      </c>
      <c r="E119" s="27">
        <v>500</v>
      </c>
      <c r="F119" s="28">
        <v>2497.4549999999999</v>
      </c>
      <c r="G119" s="29">
        <v>3.4406599999999999E-3</v>
      </c>
      <c r="H119" s="17">
        <v>6.1990999999999996</v>
      </c>
    </row>
    <row r="120" spans="1:8" x14ac:dyDescent="0.2">
      <c r="A120" s="25">
        <v>51</v>
      </c>
      <c r="B120" s="26" t="s">
        <v>456</v>
      </c>
      <c r="C120" s="26" t="s">
        <v>457</v>
      </c>
      <c r="D120" s="26" t="s">
        <v>109</v>
      </c>
      <c r="E120" s="27">
        <v>500</v>
      </c>
      <c r="F120" s="28">
        <v>2490.39</v>
      </c>
      <c r="G120" s="29">
        <v>3.4309200000000001E-3</v>
      </c>
      <c r="H120" s="17">
        <v>6.125</v>
      </c>
    </row>
    <row r="121" spans="1:8" x14ac:dyDescent="0.2">
      <c r="A121" s="25">
        <v>52</v>
      </c>
      <c r="B121" s="26" t="s">
        <v>458</v>
      </c>
      <c r="C121" s="26" t="s">
        <v>459</v>
      </c>
      <c r="D121" s="26" t="s">
        <v>109</v>
      </c>
      <c r="E121" s="27">
        <v>500</v>
      </c>
      <c r="F121" s="28">
        <v>2483.9225000000001</v>
      </c>
      <c r="G121" s="29">
        <v>3.4220100000000001E-3</v>
      </c>
      <c r="H121" s="17">
        <v>6.3849999999999998</v>
      </c>
    </row>
    <row r="122" spans="1:8" x14ac:dyDescent="0.2">
      <c r="A122" s="18"/>
      <c r="B122" s="18"/>
      <c r="C122" s="19" t="s">
        <v>11</v>
      </c>
      <c r="D122" s="18"/>
      <c r="E122" s="18" t="s">
        <v>12</v>
      </c>
      <c r="F122" s="24">
        <v>374969.88500000001</v>
      </c>
      <c r="G122" s="21">
        <v>0.51658293</v>
      </c>
      <c r="H122" s="17" t="s">
        <v>12</v>
      </c>
    </row>
    <row r="123" spans="1:8" x14ac:dyDescent="0.2">
      <c r="A123" s="18"/>
      <c r="B123" s="18"/>
      <c r="C123" s="22"/>
      <c r="D123" s="18"/>
      <c r="E123" s="18"/>
      <c r="F123" s="23"/>
      <c r="G123" s="23"/>
      <c r="H123" s="17" t="s">
        <v>12</v>
      </c>
    </row>
    <row r="124" spans="1:8" x14ac:dyDescent="0.2">
      <c r="A124" s="18"/>
      <c r="B124" s="18"/>
      <c r="C124" s="19" t="s">
        <v>111</v>
      </c>
      <c r="D124" s="18"/>
      <c r="E124" s="18"/>
      <c r="F124" s="23"/>
      <c r="G124" s="23"/>
      <c r="H124" s="17" t="s">
        <v>12</v>
      </c>
    </row>
    <row r="125" spans="1:8" x14ac:dyDescent="0.2">
      <c r="A125" s="25">
        <v>1</v>
      </c>
      <c r="B125" s="26" t="s">
        <v>460</v>
      </c>
      <c r="C125" s="26" t="s">
        <v>461</v>
      </c>
      <c r="D125" s="26" t="s">
        <v>85</v>
      </c>
      <c r="E125" s="27">
        <v>29000000</v>
      </c>
      <c r="F125" s="28">
        <v>28858.161</v>
      </c>
      <c r="G125" s="29">
        <v>3.9756880000000001E-2</v>
      </c>
      <c r="H125" s="17">
        <v>5.4367000000000001</v>
      </c>
    </row>
    <row r="126" spans="1:8" x14ac:dyDescent="0.2">
      <c r="A126" s="25">
        <v>2</v>
      </c>
      <c r="B126" s="26" t="s">
        <v>462</v>
      </c>
      <c r="C126" s="26" t="s">
        <v>463</v>
      </c>
      <c r="D126" s="26" t="s">
        <v>85</v>
      </c>
      <c r="E126" s="27">
        <v>20000000</v>
      </c>
      <c r="F126" s="28">
        <v>19882.080000000002</v>
      </c>
      <c r="G126" s="29">
        <v>2.7390850000000001E-2</v>
      </c>
      <c r="H126" s="17">
        <v>5.4116999999999997</v>
      </c>
    </row>
    <row r="127" spans="1:8" x14ac:dyDescent="0.2">
      <c r="A127" s="25">
        <v>3</v>
      </c>
      <c r="B127" s="26" t="s">
        <v>464</v>
      </c>
      <c r="C127" s="26" t="s">
        <v>465</v>
      </c>
      <c r="D127" s="26" t="s">
        <v>85</v>
      </c>
      <c r="E127" s="27">
        <v>10000000</v>
      </c>
      <c r="F127" s="28">
        <v>9961.68</v>
      </c>
      <c r="G127" s="29">
        <v>1.3723859999999999E-2</v>
      </c>
      <c r="H127" s="17">
        <v>5.4</v>
      </c>
    </row>
    <row r="128" spans="1:8" x14ac:dyDescent="0.2">
      <c r="A128" s="25">
        <v>4</v>
      </c>
      <c r="B128" s="26" t="s">
        <v>466</v>
      </c>
      <c r="C128" s="26" t="s">
        <v>467</v>
      </c>
      <c r="D128" s="26" t="s">
        <v>85</v>
      </c>
      <c r="E128" s="27">
        <v>10000000</v>
      </c>
      <c r="F128" s="28">
        <v>9909.74</v>
      </c>
      <c r="G128" s="29">
        <v>1.3652299999999999E-2</v>
      </c>
      <c r="H128" s="17">
        <v>5.45</v>
      </c>
    </row>
    <row r="129" spans="1:8" x14ac:dyDescent="0.2">
      <c r="A129" s="25">
        <v>5</v>
      </c>
      <c r="B129" s="26" t="s">
        <v>468</v>
      </c>
      <c r="C129" s="26" t="s">
        <v>469</v>
      </c>
      <c r="D129" s="26" t="s">
        <v>85</v>
      </c>
      <c r="E129" s="27">
        <v>10000000</v>
      </c>
      <c r="F129" s="28">
        <v>9879.2999999999993</v>
      </c>
      <c r="G129" s="29">
        <v>1.361037E-2</v>
      </c>
      <c r="H129" s="17">
        <v>5.4381000000000004</v>
      </c>
    </row>
    <row r="130" spans="1:8" x14ac:dyDescent="0.2">
      <c r="A130" s="25">
        <v>6</v>
      </c>
      <c r="B130" s="26" t="s">
        <v>470</v>
      </c>
      <c r="C130" s="26" t="s">
        <v>471</v>
      </c>
      <c r="D130" s="26" t="s">
        <v>85</v>
      </c>
      <c r="E130" s="27">
        <v>10000000</v>
      </c>
      <c r="F130" s="28">
        <v>9868.9</v>
      </c>
      <c r="G130" s="29">
        <v>1.359604E-2</v>
      </c>
      <c r="H130" s="17">
        <v>5.4481000000000002</v>
      </c>
    </row>
    <row r="131" spans="1:8" x14ac:dyDescent="0.2">
      <c r="A131" s="25">
        <v>7</v>
      </c>
      <c r="B131" s="26" t="s">
        <v>472</v>
      </c>
      <c r="C131" s="26" t="s">
        <v>473</v>
      </c>
      <c r="D131" s="26" t="s">
        <v>85</v>
      </c>
      <c r="E131" s="27">
        <v>5000000</v>
      </c>
      <c r="F131" s="28">
        <v>4985.9849999999997</v>
      </c>
      <c r="G131" s="29">
        <v>6.86902E-3</v>
      </c>
      <c r="H131" s="17">
        <v>5.4</v>
      </c>
    </row>
    <row r="132" spans="1:8" x14ac:dyDescent="0.2">
      <c r="A132" s="25">
        <v>8</v>
      </c>
      <c r="B132" s="26" t="s">
        <v>474</v>
      </c>
      <c r="C132" s="26" t="s">
        <v>475</v>
      </c>
      <c r="D132" s="26" t="s">
        <v>85</v>
      </c>
      <c r="E132" s="27">
        <v>5000000</v>
      </c>
      <c r="F132" s="28">
        <v>4960.0050000000001</v>
      </c>
      <c r="G132" s="29">
        <v>6.83323E-3</v>
      </c>
      <c r="H132" s="17">
        <v>5.45</v>
      </c>
    </row>
    <row r="133" spans="1:8" x14ac:dyDescent="0.2">
      <c r="A133" s="25">
        <v>9</v>
      </c>
      <c r="B133" s="26" t="s">
        <v>476</v>
      </c>
      <c r="C133" s="26" t="s">
        <v>477</v>
      </c>
      <c r="D133" s="26" t="s">
        <v>85</v>
      </c>
      <c r="E133" s="27">
        <v>5000000</v>
      </c>
      <c r="F133" s="28">
        <v>4949.6899999999996</v>
      </c>
      <c r="G133" s="29">
        <v>6.8190200000000003E-3</v>
      </c>
      <c r="H133" s="17">
        <v>5.4560000000000004</v>
      </c>
    </row>
    <row r="134" spans="1:8" x14ac:dyDescent="0.2">
      <c r="A134" s="25">
        <v>10</v>
      </c>
      <c r="B134" s="26" t="s">
        <v>478</v>
      </c>
      <c r="C134" s="26" t="s">
        <v>479</v>
      </c>
      <c r="D134" s="26" t="s">
        <v>85</v>
      </c>
      <c r="E134" s="27">
        <v>3000000</v>
      </c>
      <c r="F134" s="28">
        <v>2997.7620000000002</v>
      </c>
      <c r="G134" s="29">
        <v>4.1299099999999997E-3</v>
      </c>
      <c r="H134" s="17">
        <v>5.45</v>
      </c>
    </row>
    <row r="135" spans="1:8" x14ac:dyDescent="0.2">
      <c r="A135" s="25">
        <v>11</v>
      </c>
      <c r="B135" s="26" t="s">
        <v>480</v>
      </c>
      <c r="C135" s="26" t="s">
        <v>481</v>
      </c>
      <c r="D135" s="26" t="s">
        <v>85</v>
      </c>
      <c r="E135" s="27">
        <v>1500000</v>
      </c>
      <c r="F135" s="28">
        <v>1484.9069999999999</v>
      </c>
      <c r="G135" s="29">
        <v>2.0457100000000001E-3</v>
      </c>
      <c r="H135" s="17">
        <v>5.4560000000000004</v>
      </c>
    </row>
    <row r="136" spans="1:8" x14ac:dyDescent="0.2">
      <c r="A136" s="18"/>
      <c r="B136" s="18"/>
      <c r="C136" s="19" t="s">
        <v>11</v>
      </c>
      <c r="D136" s="18"/>
      <c r="E136" s="18" t="s">
        <v>12</v>
      </c>
      <c r="F136" s="24">
        <v>107738.21</v>
      </c>
      <c r="G136" s="21">
        <v>0.14842718999999999</v>
      </c>
      <c r="H136" s="17" t="s">
        <v>12</v>
      </c>
    </row>
    <row r="137" spans="1:8" x14ac:dyDescent="0.2">
      <c r="A137" s="18"/>
      <c r="B137" s="18"/>
      <c r="C137" s="22"/>
      <c r="D137" s="18"/>
      <c r="E137" s="18"/>
      <c r="F137" s="23"/>
      <c r="G137" s="23"/>
      <c r="H137" s="17" t="s">
        <v>12</v>
      </c>
    </row>
    <row r="138" spans="1:8" x14ac:dyDescent="0.2">
      <c r="A138" s="18"/>
      <c r="B138" s="18"/>
      <c r="C138" s="19" t="s">
        <v>112</v>
      </c>
      <c r="D138" s="18"/>
      <c r="E138" s="18"/>
      <c r="F138" s="23"/>
      <c r="G138" s="23"/>
      <c r="H138" s="17" t="s">
        <v>12</v>
      </c>
    </row>
    <row r="139" spans="1:8" x14ac:dyDescent="0.2">
      <c r="A139" s="25">
        <v>1</v>
      </c>
      <c r="B139" s="26"/>
      <c r="C139" s="26" t="s">
        <v>482</v>
      </c>
      <c r="D139" s="26"/>
      <c r="E139" s="30"/>
      <c r="F139" s="28">
        <v>49999.389725000001</v>
      </c>
      <c r="G139" s="29">
        <v>6.888242E-2</v>
      </c>
      <c r="H139" s="17">
        <v>5.45</v>
      </c>
    </row>
    <row r="140" spans="1:8" x14ac:dyDescent="0.2">
      <c r="A140" s="25">
        <v>2</v>
      </c>
      <c r="B140" s="26"/>
      <c r="C140" s="26" t="s">
        <v>113</v>
      </c>
      <c r="D140" s="26"/>
      <c r="E140" s="30"/>
      <c r="F140" s="28">
        <v>33427.599117634003</v>
      </c>
      <c r="G140" s="29">
        <v>4.6052040000000002E-2</v>
      </c>
      <c r="H140" s="17">
        <v>5.39</v>
      </c>
    </row>
    <row r="141" spans="1:8" x14ac:dyDescent="0.2">
      <c r="A141" s="18"/>
      <c r="B141" s="18"/>
      <c r="C141" s="19" t="s">
        <v>11</v>
      </c>
      <c r="D141" s="18"/>
      <c r="E141" s="18" t="s">
        <v>12</v>
      </c>
      <c r="F141" s="24">
        <v>83426.988842634004</v>
      </c>
      <c r="G141" s="21">
        <v>0.11493446</v>
      </c>
      <c r="H141" s="17" t="s">
        <v>12</v>
      </c>
    </row>
    <row r="142" spans="1:8" x14ac:dyDescent="0.2">
      <c r="A142" s="18"/>
      <c r="B142" s="18"/>
      <c r="C142" s="22"/>
      <c r="D142" s="18"/>
      <c r="E142" s="18"/>
      <c r="F142" s="23"/>
      <c r="G142" s="23"/>
      <c r="H142" s="17" t="s">
        <v>12</v>
      </c>
    </row>
    <row r="143" spans="1:8" x14ac:dyDescent="0.2">
      <c r="A143" s="18"/>
      <c r="B143" s="18"/>
      <c r="C143" s="19" t="s">
        <v>114</v>
      </c>
      <c r="D143" s="18"/>
      <c r="E143" s="18"/>
      <c r="F143" s="24">
        <v>722865.57134263404</v>
      </c>
      <c r="G143" s="21">
        <v>0.99586669999999999</v>
      </c>
      <c r="H143" s="17" t="s">
        <v>12</v>
      </c>
    </row>
    <row r="144" spans="1:8" x14ac:dyDescent="0.2">
      <c r="A144" s="18"/>
      <c r="B144" s="18"/>
      <c r="C144" s="23"/>
      <c r="D144" s="18"/>
      <c r="E144" s="18"/>
      <c r="F144" s="18"/>
      <c r="G144" s="18"/>
      <c r="H144" s="17" t="s">
        <v>12</v>
      </c>
    </row>
    <row r="145" spans="1:17" x14ac:dyDescent="0.2">
      <c r="A145" s="18"/>
      <c r="B145" s="18"/>
      <c r="C145" s="19" t="s">
        <v>115</v>
      </c>
      <c r="D145" s="18"/>
      <c r="E145" s="18"/>
      <c r="F145" s="18"/>
      <c r="G145" s="18"/>
      <c r="H145" s="17" t="s">
        <v>12</v>
      </c>
    </row>
    <row r="146" spans="1:17" x14ac:dyDescent="0.2">
      <c r="A146" s="18"/>
      <c r="B146" s="18"/>
      <c r="C146" s="19" t="s">
        <v>116</v>
      </c>
      <c r="D146" s="18"/>
      <c r="E146" s="18"/>
      <c r="F146" s="18"/>
      <c r="G146" s="18"/>
      <c r="H146" s="17" t="s">
        <v>12</v>
      </c>
    </row>
    <row r="147" spans="1:17" x14ac:dyDescent="0.2">
      <c r="A147" s="18"/>
      <c r="B147" s="18"/>
      <c r="C147" s="19" t="s">
        <v>11</v>
      </c>
      <c r="D147" s="18"/>
      <c r="E147" s="18" t="s">
        <v>12</v>
      </c>
      <c r="F147" s="20" t="s">
        <v>13</v>
      </c>
      <c r="G147" s="21">
        <v>0</v>
      </c>
      <c r="H147" s="17" t="s">
        <v>12</v>
      </c>
    </row>
    <row r="148" spans="1:17" x14ac:dyDescent="0.2">
      <c r="A148" s="15"/>
      <c r="B148" s="15"/>
      <c r="C148" s="31"/>
      <c r="D148" s="15"/>
      <c r="E148" s="15"/>
      <c r="F148" s="32"/>
      <c r="G148" s="32"/>
      <c r="H148" s="17" t="s">
        <v>12</v>
      </c>
    </row>
    <row r="149" spans="1:17" x14ac:dyDescent="0.2">
      <c r="A149" s="15"/>
      <c r="B149" s="15"/>
      <c r="C149" s="16" t="s">
        <v>593</v>
      </c>
      <c r="D149" s="15"/>
      <c r="E149" s="15"/>
      <c r="F149" s="32"/>
      <c r="G149" s="32"/>
      <c r="H149" s="17" t="s">
        <v>12</v>
      </c>
      <c r="K149" s="33"/>
      <c r="L149" s="33"/>
      <c r="M149" s="33"/>
      <c r="N149" s="33"/>
      <c r="O149" s="34"/>
      <c r="P149" s="34"/>
      <c r="Q149" s="34"/>
    </row>
    <row r="150" spans="1:17" x14ac:dyDescent="0.2">
      <c r="A150" s="35">
        <v>1</v>
      </c>
      <c r="B150" s="36" t="s">
        <v>117</v>
      </c>
      <c r="C150" s="36" t="s">
        <v>118</v>
      </c>
      <c r="D150" s="36"/>
      <c r="E150" s="37">
        <v>13881.0234</v>
      </c>
      <c r="F150" s="38">
        <v>1569.6905427920001</v>
      </c>
      <c r="G150" s="39">
        <v>2.1625099999999999E-3</v>
      </c>
      <c r="H150" s="17"/>
    </row>
    <row r="151" spans="1:17" x14ac:dyDescent="0.2">
      <c r="A151" s="15"/>
      <c r="B151" s="15"/>
      <c r="C151" s="16" t="s">
        <v>11</v>
      </c>
      <c r="D151" s="15"/>
      <c r="E151" s="15" t="s">
        <v>12</v>
      </c>
      <c r="F151" s="40">
        <f>SUM(F150)</f>
        <v>1569.6905427920001</v>
      </c>
      <c r="G151" s="41">
        <f>SUM(G150)</f>
        <v>2.1625099999999999E-3</v>
      </c>
      <c r="H151" s="17" t="s">
        <v>12</v>
      </c>
    </row>
    <row r="152" spans="1:17" x14ac:dyDescent="0.2">
      <c r="A152" s="15"/>
      <c r="B152" s="15"/>
      <c r="C152" s="31"/>
      <c r="D152" s="15"/>
      <c r="E152" s="15"/>
      <c r="F152" s="32"/>
      <c r="G152" s="32"/>
      <c r="H152" s="17" t="s">
        <v>12</v>
      </c>
    </row>
    <row r="153" spans="1:17" x14ac:dyDescent="0.2">
      <c r="A153" s="18"/>
      <c r="B153" s="18"/>
      <c r="C153" s="19" t="s">
        <v>119</v>
      </c>
      <c r="D153" s="18"/>
      <c r="E153" s="18"/>
      <c r="F153" s="18"/>
      <c r="G153" s="18"/>
      <c r="H153" s="17" t="s">
        <v>12</v>
      </c>
    </row>
    <row r="154" spans="1:17" x14ac:dyDescent="0.2">
      <c r="A154" s="18"/>
      <c r="B154" s="18"/>
      <c r="C154" s="19" t="s">
        <v>120</v>
      </c>
      <c r="D154" s="18"/>
      <c r="E154" s="18"/>
      <c r="F154" s="18"/>
      <c r="G154" s="18"/>
      <c r="H154" s="17" t="s">
        <v>12</v>
      </c>
    </row>
    <row r="155" spans="1:17" x14ac:dyDescent="0.2">
      <c r="A155" s="18"/>
      <c r="B155" s="18"/>
      <c r="C155" s="19" t="s">
        <v>11</v>
      </c>
      <c r="D155" s="18"/>
      <c r="E155" s="18" t="s">
        <v>12</v>
      </c>
      <c r="F155" s="20" t="s">
        <v>13</v>
      </c>
      <c r="G155" s="21">
        <v>0</v>
      </c>
      <c r="H155" s="17" t="s">
        <v>12</v>
      </c>
    </row>
    <row r="156" spans="1:17" x14ac:dyDescent="0.2">
      <c r="A156" s="18"/>
      <c r="B156" s="18"/>
      <c r="C156" s="22"/>
      <c r="D156" s="18"/>
      <c r="E156" s="18"/>
      <c r="F156" s="23"/>
      <c r="G156" s="23"/>
      <c r="H156" s="17" t="s">
        <v>12</v>
      </c>
    </row>
    <row r="157" spans="1:17" x14ac:dyDescent="0.2">
      <c r="A157" s="18"/>
      <c r="B157" s="18"/>
      <c r="C157" s="19" t="s">
        <v>121</v>
      </c>
      <c r="D157" s="18"/>
      <c r="E157" s="18"/>
      <c r="F157" s="23"/>
      <c r="G157" s="23"/>
      <c r="H157" s="17" t="s">
        <v>12</v>
      </c>
    </row>
    <row r="158" spans="1:17" x14ac:dyDescent="0.2">
      <c r="A158" s="18"/>
      <c r="B158" s="18"/>
      <c r="C158" s="19" t="s">
        <v>11</v>
      </c>
      <c r="D158" s="18"/>
      <c r="E158" s="18" t="s">
        <v>12</v>
      </c>
      <c r="F158" s="20" t="s">
        <v>13</v>
      </c>
      <c r="G158" s="21">
        <v>0</v>
      </c>
      <c r="H158" s="17" t="s">
        <v>12</v>
      </c>
    </row>
    <row r="159" spans="1:17" x14ac:dyDescent="0.2">
      <c r="A159" s="18"/>
      <c r="B159" s="18"/>
      <c r="C159" s="22"/>
      <c r="D159" s="18"/>
      <c r="E159" s="18"/>
      <c r="F159" s="23"/>
      <c r="G159" s="23"/>
      <c r="H159" s="17" t="s">
        <v>12</v>
      </c>
    </row>
    <row r="160" spans="1:17" x14ac:dyDescent="0.2">
      <c r="A160" s="30"/>
      <c r="B160" s="26"/>
      <c r="C160" s="26" t="s">
        <v>122</v>
      </c>
      <c r="D160" s="26"/>
      <c r="E160" s="30"/>
      <c r="F160" s="28">
        <f>-11071.72349086-0.00326282608032227</f>
        <v>-11071.72675368608</v>
      </c>
      <c r="G160" s="29">
        <v>-1.525313E-2</v>
      </c>
      <c r="H160" s="17" t="s">
        <v>12</v>
      </c>
    </row>
    <row r="161" spans="1:9" x14ac:dyDescent="0.2">
      <c r="A161" s="22"/>
      <c r="B161" s="22"/>
      <c r="C161" s="19" t="s">
        <v>123</v>
      </c>
      <c r="D161" s="23"/>
      <c r="E161" s="23"/>
      <c r="F161" s="24">
        <f>725865.790894566-0.00326282608032227</f>
        <v>725865.78763173986</v>
      </c>
      <c r="G161" s="42">
        <v>1</v>
      </c>
      <c r="H161" s="17" t="s">
        <v>12</v>
      </c>
    </row>
    <row r="162" spans="1:9" x14ac:dyDescent="0.2">
      <c r="A162" s="43"/>
      <c r="B162" s="43"/>
      <c r="C162" s="43"/>
      <c r="D162" s="44"/>
      <c r="E162" s="44"/>
      <c r="F162" s="44"/>
      <c r="G162" s="44"/>
    </row>
    <row r="163" spans="1:9" x14ac:dyDescent="0.2">
      <c r="A163" s="45"/>
      <c r="B163" s="150" t="s">
        <v>594</v>
      </c>
      <c r="C163" s="150"/>
      <c r="D163" s="150"/>
      <c r="E163" s="150"/>
      <c r="F163" s="150"/>
      <c r="G163" s="150"/>
      <c r="H163" s="150"/>
    </row>
    <row r="164" spans="1:9" x14ac:dyDescent="0.2">
      <c r="A164" s="45"/>
      <c r="B164" s="150" t="s">
        <v>595</v>
      </c>
      <c r="C164" s="150"/>
      <c r="D164" s="150"/>
      <c r="E164" s="150"/>
      <c r="F164" s="150"/>
      <c r="G164" s="150"/>
      <c r="H164" s="150"/>
    </row>
    <row r="165" spans="1:9" x14ac:dyDescent="0.2">
      <c r="A165" s="45"/>
      <c r="B165" s="150" t="s">
        <v>596</v>
      </c>
      <c r="C165" s="150"/>
      <c r="D165" s="150"/>
      <c r="E165" s="150"/>
      <c r="F165" s="150"/>
      <c r="G165" s="150"/>
      <c r="H165" s="150"/>
    </row>
    <row r="166" spans="1:9" x14ac:dyDescent="0.2">
      <c r="A166" s="45"/>
      <c r="B166" s="183" t="s">
        <v>656</v>
      </c>
      <c r="C166" s="150"/>
      <c r="D166" s="150"/>
      <c r="E166" s="150"/>
      <c r="F166" s="150"/>
      <c r="G166" s="150"/>
      <c r="H166" s="150"/>
      <c r="I166" s="107"/>
    </row>
    <row r="167" spans="1:9" x14ac:dyDescent="0.2">
      <c r="A167" s="45"/>
      <c r="B167" s="45"/>
      <c r="C167" s="45"/>
      <c r="D167" s="47"/>
      <c r="E167" s="47"/>
      <c r="F167" s="47"/>
      <c r="G167" s="47"/>
    </row>
    <row r="168" spans="1:9" x14ac:dyDescent="0.2">
      <c r="A168" s="45"/>
      <c r="B168" s="151" t="s">
        <v>124</v>
      </c>
      <c r="C168" s="152"/>
      <c r="D168" s="153"/>
      <c r="E168" s="48"/>
      <c r="F168" s="47"/>
      <c r="G168" s="47"/>
    </row>
    <row r="169" spans="1:9" ht="27" customHeight="1" x14ac:dyDescent="0.2">
      <c r="A169" s="45"/>
      <c r="B169" s="143" t="s">
        <v>125</v>
      </c>
      <c r="C169" s="144"/>
      <c r="D169" s="113" t="s">
        <v>618</v>
      </c>
      <c r="E169" s="48"/>
      <c r="F169" s="47"/>
      <c r="G169" s="47"/>
    </row>
    <row r="170" spans="1:9" x14ac:dyDescent="0.2">
      <c r="A170" s="45"/>
      <c r="B170" s="143" t="s">
        <v>127</v>
      </c>
      <c r="C170" s="144"/>
      <c r="D170" s="16" t="s">
        <v>126</v>
      </c>
      <c r="E170" s="48"/>
      <c r="F170" s="47"/>
      <c r="G170" s="47"/>
    </row>
    <row r="171" spans="1:9" x14ac:dyDescent="0.2">
      <c r="A171" s="45"/>
      <c r="B171" s="143" t="s">
        <v>128</v>
      </c>
      <c r="C171" s="144"/>
      <c r="D171" s="32" t="s">
        <v>12</v>
      </c>
      <c r="E171" s="48"/>
      <c r="F171" s="47"/>
      <c r="G171" s="47"/>
    </row>
    <row r="172" spans="1:9" x14ac:dyDescent="0.2">
      <c r="A172" s="49"/>
      <c r="B172" s="50" t="s">
        <v>12</v>
      </c>
      <c r="C172" s="50" t="s">
        <v>597</v>
      </c>
      <c r="D172" s="50" t="s">
        <v>129</v>
      </c>
      <c r="E172" s="49"/>
      <c r="F172" s="49"/>
      <c r="G172" s="49"/>
    </row>
    <row r="173" spans="1:9" x14ac:dyDescent="0.2">
      <c r="A173" s="51"/>
      <c r="B173" s="52" t="s">
        <v>130</v>
      </c>
      <c r="C173" s="53">
        <v>45869</v>
      </c>
      <c r="D173" s="53">
        <v>45884</v>
      </c>
      <c r="E173" s="51"/>
      <c r="F173" s="51"/>
      <c r="G173" s="51"/>
    </row>
    <row r="174" spans="1:9" x14ac:dyDescent="0.2">
      <c r="A174" s="51"/>
      <c r="B174" s="26" t="s">
        <v>131</v>
      </c>
      <c r="C174" s="54">
        <v>2341.5232000000001</v>
      </c>
      <c r="D174" s="54">
        <v>2346.9713000000002</v>
      </c>
      <c r="E174" s="51"/>
      <c r="F174" s="55"/>
      <c r="G174" s="56"/>
    </row>
    <row r="175" spans="1:9" ht="25.5" x14ac:dyDescent="0.2">
      <c r="A175" s="51"/>
      <c r="B175" s="26" t="s">
        <v>737</v>
      </c>
      <c r="C175" s="54">
        <v>1035.1601000000001</v>
      </c>
      <c r="D175" s="54">
        <v>1037.5684000000001</v>
      </c>
      <c r="E175" s="51"/>
      <c r="F175" s="55"/>
      <c r="G175" s="56"/>
    </row>
    <row r="176" spans="1:9" x14ac:dyDescent="0.2">
      <c r="A176" s="51"/>
      <c r="B176" s="26" t="s">
        <v>132</v>
      </c>
      <c r="C176" s="54">
        <v>2314.0978</v>
      </c>
      <c r="D176" s="54">
        <v>2319.3008</v>
      </c>
      <c r="E176" s="51"/>
      <c r="F176" s="55"/>
      <c r="G176" s="56"/>
    </row>
    <row r="177" spans="1:16" ht="25.5" x14ac:dyDescent="0.2">
      <c r="A177" s="51"/>
      <c r="B177" s="26" t="s">
        <v>738</v>
      </c>
      <c r="C177" s="54">
        <v>1034.2092</v>
      </c>
      <c r="D177" s="54">
        <v>1036.5346</v>
      </c>
      <c r="E177" s="51"/>
      <c r="F177" s="55"/>
      <c r="G177" s="56"/>
    </row>
    <row r="178" spans="1:16" x14ac:dyDescent="0.2">
      <c r="A178" s="51"/>
      <c r="B178" s="51"/>
      <c r="C178" s="51"/>
      <c r="D178" s="51"/>
      <c r="E178" s="51"/>
      <c r="F178" s="51"/>
      <c r="G178" s="51"/>
    </row>
    <row r="179" spans="1:16" x14ac:dyDescent="0.2">
      <c r="A179" s="51"/>
      <c r="B179" s="145" t="s">
        <v>598</v>
      </c>
      <c r="C179" s="146"/>
      <c r="D179" s="16" t="s">
        <v>126</v>
      </c>
      <c r="E179" s="51"/>
      <c r="F179" s="51"/>
      <c r="G179" s="51"/>
    </row>
    <row r="180" spans="1:16" x14ac:dyDescent="0.2">
      <c r="A180" s="51"/>
      <c r="B180" s="61"/>
      <c r="C180" s="61"/>
      <c r="D180" s="61"/>
      <c r="E180" s="51"/>
      <c r="F180" s="51"/>
      <c r="G180" s="51"/>
    </row>
    <row r="181" spans="1:16" x14ac:dyDescent="0.2">
      <c r="A181" s="49"/>
      <c r="B181" s="143" t="s">
        <v>133</v>
      </c>
      <c r="C181" s="144"/>
      <c r="D181" s="16" t="s">
        <v>126</v>
      </c>
      <c r="E181" s="60"/>
      <c r="F181" s="49"/>
      <c r="G181" s="49"/>
    </row>
    <row r="182" spans="1:16" x14ac:dyDescent="0.2">
      <c r="A182" s="49"/>
      <c r="B182" s="143" t="s">
        <v>134</v>
      </c>
      <c r="C182" s="144"/>
      <c r="D182" s="16" t="s">
        <v>126</v>
      </c>
      <c r="E182" s="60"/>
      <c r="F182" s="49"/>
      <c r="G182" s="49"/>
    </row>
    <row r="183" spans="1:16" x14ac:dyDescent="0.2">
      <c r="A183" s="49"/>
      <c r="B183" s="143" t="s">
        <v>599</v>
      </c>
      <c r="C183" s="144"/>
      <c r="D183" s="16" t="s">
        <v>126</v>
      </c>
      <c r="E183" s="60"/>
      <c r="F183" s="49"/>
      <c r="G183" s="49"/>
    </row>
    <row r="184" spans="1:16" x14ac:dyDescent="0.2">
      <c r="A184" s="61"/>
      <c r="B184" s="61"/>
      <c r="C184" s="61"/>
      <c r="D184" s="61"/>
      <c r="E184" s="61"/>
      <c r="F184" s="61"/>
      <c r="G184" s="61"/>
      <c r="I184" s="107"/>
      <c r="J184" s="14"/>
    </row>
    <row r="185" spans="1:16" s="62" customFormat="1" x14ac:dyDescent="0.2">
      <c r="B185" s="128" t="s">
        <v>717</v>
      </c>
      <c r="C185" s="128"/>
      <c r="D185" s="128"/>
      <c r="E185" s="128"/>
      <c r="F185" s="128"/>
      <c r="G185" s="128"/>
      <c r="I185" s="107"/>
      <c r="J185" s="14"/>
      <c r="K185" s="33"/>
      <c r="L185" s="33"/>
      <c r="M185" s="33"/>
      <c r="N185" s="33"/>
      <c r="O185"/>
    </row>
    <row r="186" spans="1:16" ht="13.5" customHeight="1" x14ac:dyDescent="0.2">
      <c r="B186" s="172" t="s">
        <v>620</v>
      </c>
      <c r="C186" s="172" t="s">
        <v>621</v>
      </c>
      <c r="D186" s="175" t="s">
        <v>631</v>
      </c>
      <c r="E186" s="176"/>
      <c r="F186" s="177"/>
      <c r="G186" s="178" t="s">
        <v>639</v>
      </c>
      <c r="H186" s="179"/>
      <c r="I186" s="180"/>
      <c r="J186" s="33"/>
      <c r="K186" s="33"/>
      <c r="L186" s="33"/>
      <c r="M186" s="33"/>
      <c r="N186" s="33"/>
      <c r="O186" s="33"/>
    </row>
    <row r="187" spans="1:16" ht="46.5" customHeight="1" x14ac:dyDescent="0.2">
      <c r="B187" s="173"/>
      <c r="C187" s="173"/>
      <c r="D187" s="170" t="s">
        <v>640</v>
      </c>
      <c r="E187" s="170" t="s">
        <v>641</v>
      </c>
      <c r="F187" s="170" t="s">
        <v>642</v>
      </c>
      <c r="G187" s="181" t="s">
        <v>657</v>
      </c>
      <c r="H187" s="182"/>
      <c r="I187" s="170" t="s">
        <v>644</v>
      </c>
      <c r="J187" s="33"/>
      <c r="K187" s="33"/>
      <c r="L187" s="33"/>
      <c r="M187" s="33"/>
      <c r="N187" s="33"/>
      <c r="O187" s="33"/>
    </row>
    <row r="188" spans="1:16" ht="21" customHeight="1" x14ac:dyDescent="0.2">
      <c r="B188" s="174"/>
      <c r="C188" s="174"/>
      <c r="D188" s="171"/>
      <c r="E188" s="171"/>
      <c r="F188" s="171"/>
      <c r="G188" s="80" t="s">
        <v>645</v>
      </c>
      <c r="H188" s="80" t="s">
        <v>646</v>
      </c>
      <c r="I188" s="171"/>
      <c r="J188" s="33"/>
      <c r="K188" s="33"/>
      <c r="L188" s="33"/>
      <c r="M188" s="33"/>
      <c r="N188" s="33"/>
      <c r="O188" s="33"/>
    </row>
    <row r="189" spans="1:16" ht="13.5" x14ac:dyDescent="0.25">
      <c r="B189" s="84" t="s">
        <v>647</v>
      </c>
      <c r="C189" s="83" t="s">
        <v>648</v>
      </c>
      <c r="D189" s="129">
        <v>5523.9823999999999</v>
      </c>
      <c r="E189" s="4">
        <v>126.0176</v>
      </c>
      <c r="F189" s="130">
        <f>D189+E189</f>
        <v>5650</v>
      </c>
      <c r="G189" s="2">
        <v>239.15547683099999</v>
      </c>
      <c r="H189" s="2">
        <v>150.66</v>
      </c>
      <c r="I189" s="2">
        <f>G189+H189</f>
        <v>389.81547683099996</v>
      </c>
      <c r="J189" s="33"/>
      <c r="K189" s="33"/>
      <c r="L189" s="33"/>
      <c r="M189" s="33"/>
      <c r="N189" s="33"/>
      <c r="O189" s="33"/>
    </row>
    <row r="190" spans="1:16" ht="6.75" customHeight="1" x14ac:dyDescent="0.25">
      <c r="B190" s="131"/>
      <c r="C190" s="132"/>
      <c r="D190" s="133"/>
      <c r="E190" s="5"/>
      <c r="F190" s="134"/>
      <c r="G190" s="3"/>
      <c r="H190" s="3"/>
      <c r="I190" s="3"/>
      <c r="J190" s="33"/>
      <c r="K190" s="33"/>
      <c r="L190" s="33"/>
      <c r="M190" s="33"/>
      <c r="N190" s="33"/>
      <c r="O190" s="33"/>
    </row>
    <row r="191" spans="1:16" ht="51" customHeight="1" x14ac:dyDescent="0.2">
      <c r="B191" s="169" t="s">
        <v>649</v>
      </c>
      <c r="C191" s="169"/>
      <c r="D191" s="169"/>
      <c r="E191" s="169"/>
      <c r="F191" s="169"/>
      <c r="G191" s="169"/>
      <c r="H191" s="169"/>
      <c r="I191" s="169"/>
      <c r="J191" s="135"/>
      <c r="K191" s="33"/>
      <c r="L191" s="33"/>
      <c r="M191" s="33"/>
      <c r="N191" s="33"/>
      <c r="O191" s="33"/>
    </row>
    <row r="192" spans="1:16" ht="13.5" x14ac:dyDescent="0.25">
      <c r="B192" s="89" t="s">
        <v>650</v>
      </c>
      <c r="I192" s="33"/>
      <c r="J192" s="14"/>
      <c r="K192" s="33"/>
      <c r="L192" s="33"/>
      <c r="M192" s="33"/>
      <c r="N192" s="33"/>
      <c r="O192" s="33"/>
      <c r="P192" s="33"/>
    </row>
    <row r="193" spans="2:18" x14ac:dyDescent="0.2">
      <c r="B193" s="90"/>
      <c r="J193" s="14"/>
      <c r="K193" s="33"/>
      <c r="L193" s="33"/>
      <c r="M193" s="33"/>
      <c r="N193" s="33"/>
      <c r="O193" s="33"/>
    </row>
    <row r="194" spans="2:18" x14ac:dyDescent="0.2">
      <c r="B194" s="90" t="s">
        <v>654</v>
      </c>
      <c r="J194" s="14"/>
      <c r="K194" s="33"/>
      <c r="L194" s="33"/>
      <c r="M194" s="33"/>
      <c r="N194" s="33"/>
      <c r="O194" s="33"/>
    </row>
    <row r="195" spans="2:18" s="62" customFormat="1" x14ac:dyDescent="0.2">
      <c r="I195" s="107"/>
      <c r="J195" s="14"/>
      <c r="K195" s="33"/>
      <c r="L195" s="33"/>
      <c r="M195" s="33"/>
      <c r="N195" s="33"/>
      <c r="O195"/>
      <c r="R195"/>
    </row>
    <row r="196" spans="2:18" s="62" customFormat="1" x14ac:dyDescent="0.2">
      <c r="B196" s="147" t="s">
        <v>600</v>
      </c>
      <c r="C196" s="148"/>
      <c r="D196" s="149"/>
      <c r="I196" s="107"/>
      <c r="J196" s="14"/>
      <c r="K196" s="33"/>
      <c r="L196" s="33"/>
      <c r="M196" s="33"/>
      <c r="N196" s="33"/>
      <c r="O196"/>
      <c r="R196"/>
    </row>
    <row r="197" spans="2:18" s="62" customFormat="1" ht="25.5" x14ac:dyDescent="0.2">
      <c r="B197" s="141" t="s">
        <v>601</v>
      </c>
      <c r="C197" s="141"/>
      <c r="D197" s="63" t="s">
        <v>334</v>
      </c>
      <c r="I197" s="107"/>
      <c r="J197" s="14"/>
      <c r="K197" s="33"/>
      <c r="L197" s="33"/>
      <c r="M197" s="33"/>
      <c r="N197" s="33"/>
      <c r="O197"/>
      <c r="R197"/>
    </row>
    <row r="198" spans="2:18" s="62" customFormat="1" x14ac:dyDescent="0.2">
      <c r="B198" s="142" t="s">
        <v>602</v>
      </c>
      <c r="C198" s="142"/>
      <c r="D198" s="64"/>
      <c r="I198" s="107"/>
      <c r="J198" s="14"/>
      <c r="K198" s="33"/>
      <c r="L198" s="33"/>
      <c r="M198" s="33"/>
      <c r="N198" s="33"/>
      <c r="O198"/>
      <c r="R198"/>
    </row>
    <row r="199" spans="2:18" s="62" customFormat="1" x14ac:dyDescent="0.2">
      <c r="B199" s="142"/>
      <c r="C199" s="142"/>
      <c r="D199" s="65"/>
      <c r="I199" s="107"/>
      <c r="J199" s="14"/>
      <c r="K199" s="33"/>
      <c r="L199" s="33"/>
      <c r="M199" s="33"/>
      <c r="N199" s="33"/>
      <c r="O199"/>
      <c r="R199"/>
    </row>
    <row r="200" spans="2:18" s="62" customFormat="1" x14ac:dyDescent="0.2">
      <c r="B200" s="142" t="s">
        <v>603</v>
      </c>
      <c r="C200" s="142"/>
      <c r="D200" s="66">
        <v>5.7542722112005267</v>
      </c>
      <c r="I200" s="107"/>
      <c r="J200" s="14"/>
      <c r="K200" s="33"/>
      <c r="L200" s="33"/>
      <c r="M200" s="33"/>
      <c r="N200" s="33"/>
      <c r="O200"/>
      <c r="R200"/>
    </row>
    <row r="201" spans="2:18" s="62" customFormat="1" x14ac:dyDescent="0.2">
      <c r="B201" s="142"/>
      <c r="C201" s="142"/>
      <c r="D201" s="65"/>
      <c r="I201" s="107"/>
      <c r="J201" s="14"/>
      <c r="K201" s="33"/>
      <c r="L201" s="33"/>
      <c r="M201" s="33"/>
      <c r="N201" s="33"/>
      <c r="O201"/>
      <c r="R201"/>
    </row>
    <row r="202" spans="2:18" s="62" customFormat="1" x14ac:dyDescent="0.2">
      <c r="B202" s="142" t="s">
        <v>604</v>
      </c>
      <c r="C202" s="142"/>
      <c r="D202" s="66">
        <v>9.4303473131955126E-2</v>
      </c>
      <c r="I202" s="107"/>
      <c r="J202" s="14"/>
      <c r="K202" s="33"/>
      <c r="L202" s="33"/>
      <c r="M202" s="33"/>
      <c r="N202" s="33"/>
      <c r="O202"/>
      <c r="R202"/>
    </row>
    <row r="203" spans="2:18" s="62" customFormat="1" x14ac:dyDescent="0.2">
      <c r="B203" s="142" t="s">
        <v>605</v>
      </c>
      <c r="C203" s="142"/>
      <c r="D203" s="66">
        <v>9.4303473131955126E-2</v>
      </c>
      <c r="I203" s="107"/>
      <c r="J203" s="14"/>
      <c r="K203" s="33"/>
      <c r="L203" s="33"/>
      <c r="M203" s="33"/>
      <c r="N203" s="33"/>
      <c r="O203"/>
      <c r="R203"/>
    </row>
    <row r="204" spans="2:18" s="62" customFormat="1" x14ac:dyDescent="0.2">
      <c r="B204" s="142"/>
      <c r="C204" s="142"/>
      <c r="D204" s="65"/>
      <c r="I204" s="107"/>
      <c r="J204" s="14"/>
      <c r="K204" s="33"/>
      <c r="L204" s="33"/>
      <c r="M204" s="33"/>
      <c r="N204" s="33"/>
      <c r="O204"/>
      <c r="P204"/>
      <c r="Q204"/>
      <c r="R204"/>
    </row>
    <row r="205" spans="2:18" s="62" customFormat="1" x14ac:dyDescent="0.2">
      <c r="B205" s="142" t="s">
        <v>606</v>
      </c>
      <c r="C205" s="142"/>
      <c r="D205" s="67" t="s">
        <v>716</v>
      </c>
      <c r="I205" s="107"/>
      <c r="J205" s="14"/>
      <c r="K205" s="33"/>
      <c r="L205" s="33"/>
      <c r="M205" s="33"/>
      <c r="N205" s="33"/>
      <c r="O205" s="68"/>
    </row>
    <row r="206" spans="2:18" s="62" customFormat="1" x14ac:dyDescent="0.2">
      <c r="B206" s="155" t="s">
        <v>607</v>
      </c>
      <c r="C206" s="157"/>
      <c r="D206" s="156"/>
      <c r="I206" s="107"/>
      <c r="J206" s="14"/>
      <c r="K206" s="33"/>
      <c r="L206" s="33"/>
      <c r="M206" s="33"/>
      <c r="N206" s="33"/>
      <c r="O206"/>
      <c r="P206"/>
      <c r="Q206"/>
      <c r="R206"/>
    </row>
    <row r="207" spans="2:18" x14ac:dyDescent="0.2">
      <c r="I207" s="107"/>
      <c r="J207" s="14"/>
    </row>
    <row r="208" spans="2:18" x14ac:dyDescent="0.2">
      <c r="B208" s="70" t="s">
        <v>608</v>
      </c>
      <c r="I208" s="107"/>
    </row>
    <row r="209" spans="2:10" x14ac:dyDescent="0.2">
      <c r="I209" s="107"/>
    </row>
    <row r="210" spans="2:10" ht="153.75" customHeight="1" x14ac:dyDescent="0.2">
      <c r="I210" s="107"/>
    </row>
    <row r="211" spans="2:10" x14ac:dyDescent="0.2">
      <c r="I211" s="107"/>
    </row>
    <row r="212" spans="2:10" x14ac:dyDescent="0.2">
      <c r="I212" s="107"/>
    </row>
    <row r="213" spans="2:10" x14ac:dyDescent="0.2">
      <c r="B213" s="70" t="s">
        <v>609</v>
      </c>
      <c r="C213" s="71"/>
      <c r="D213" s="70"/>
      <c r="I213" s="107"/>
    </row>
    <row r="214" spans="2:10" x14ac:dyDescent="0.2">
      <c r="B214" s="70" t="s">
        <v>658</v>
      </c>
      <c r="D214" s="70"/>
      <c r="I214" s="107"/>
    </row>
    <row r="215" spans="2:10" ht="165" customHeight="1" x14ac:dyDescent="0.2">
      <c r="I215" s="107"/>
    </row>
    <row r="216" spans="2:10" x14ac:dyDescent="0.2">
      <c r="I216" s="107"/>
    </row>
    <row r="217" spans="2:10" x14ac:dyDescent="0.2">
      <c r="I217" s="107"/>
      <c r="J217" s="14"/>
    </row>
  </sheetData>
  <mergeCells count="36">
    <mergeCell ref="B205:C205"/>
    <mergeCell ref="B206:D206"/>
    <mergeCell ref="B200:C200"/>
    <mergeCell ref="B201:C201"/>
    <mergeCell ref="B202:C202"/>
    <mergeCell ref="B203:C203"/>
    <mergeCell ref="B204:C204"/>
    <mergeCell ref="B191:I191"/>
    <mergeCell ref="B196:D196"/>
    <mergeCell ref="B197:C197"/>
    <mergeCell ref="B198:C198"/>
    <mergeCell ref="B199:C199"/>
    <mergeCell ref="D186:F186"/>
    <mergeCell ref="G186:I186"/>
    <mergeCell ref="D187:D188"/>
    <mergeCell ref="E187:E188"/>
    <mergeCell ref="F187:F188"/>
    <mergeCell ref="G187:H187"/>
    <mergeCell ref="I187:I188"/>
    <mergeCell ref="A1:H1"/>
    <mergeCell ref="A2:H2"/>
    <mergeCell ref="A3:H3"/>
    <mergeCell ref="B163:H163"/>
    <mergeCell ref="B164:H164"/>
    <mergeCell ref="B165:H165"/>
    <mergeCell ref="B168:D168"/>
    <mergeCell ref="B169:C169"/>
    <mergeCell ref="B170:C170"/>
    <mergeCell ref="B171:C171"/>
    <mergeCell ref="B166:H166"/>
    <mergeCell ref="B181:C181"/>
    <mergeCell ref="B182:C182"/>
    <mergeCell ref="B179:C179"/>
    <mergeCell ref="B183:C183"/>
    <mergeCell ref="B186:B188"/>
    <mergeCell ref="C186:C188"/>
  </mergeCells>
  <hyperlinks>
    <hyperlink ref="I1" location="Index!B2" display="Index" xr:uid="{7A714AA1-2A06-4466-B960-A82A94E2880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E3EFA-8647-42BE-83BE-9EB9770CB766}">
  <sheetPr>
    <outlinePr summaryBelow="0" summaryRight="0"/>
  </sheetPr>
  <dimension ref="A1:S170"/>
  <sheetViews>
    <sheetView showGridLines="0" workbookViewId="0">
      <selection activeCell="C46" sqref="C46"/>
    </sheetView>
  </sheetViews>
  <sheetFormatPr defaultColWidth="9.140625" defaultRowHeight="12.75" x14ac:dyDescent="0.2"/>
  <cols>
    <col min="1" max="1" width="5.85546875" bestFit="1" customWidth="1"/>
    <col min="2" max="2" width="19.28515625" bestFit="1" customWidth="1"/>
    <col min="3" max="3" width="43.5703125" customWidth="1"/>
    <col min="4" max="4" width="12.85546875" customWidth="1"/>
    <col min="5" max="5" width="8.7109375" bestFit="1" customWidth="1"/>
    <col min="6" max="6" width="10.140625" bestFit="1" customWidth="1"/>
    <col min="7" max="7" width="14" bestFit="1" customWidth="1"/>
    <col min="8" max="8" width="10.85546875" customWidth="1"/>
    <col min="9" max="9" width="7.42578125" customWidth="1"/>
  </cols>
  <sheetData>
    <row r="1" spans="1:9" ht="15" x14ac:dyDescent="0.2">
      <c r="A1" s="154" t="s">
        <v>0</v>
      </c>
      <c r="B1" s="154"/>
      <c r="C1" s="154"/>
      <c r="D1" s="154"/>
      <c r="E1" s="154"/>
      <c r="F1" s="154"/>
      <c r="G1" s="154"/>
      <c r="H1" s="154"/>
      <c r="I1" s="1" t="s">
        <v>592</v>
      </c>
    </row>
    <row r="2" spans="1:9" ht="15" x14ac:dyDescent="0.2">
      <c r="A2" s="154" t="s">
        <v>483</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591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299</v>
      </c>
      <c r="C28" s="26" t="s">
        <v>300</v>
      </c>
      <c r="D28" s="26" t="s">
        <v>23</v>
      </c>
      <c r="E28" s="27">
        <v>1100</v>
      </c>
      <c r="F28" s="28">
        <v>1105.3449000000001</v>
      </c>
      <c r="G28" s="29">
        <v>5.0967169999999999E-2</v>
      </c>
      <c r="H28" s="17">
        <v>6.83</v>
      </c>
    </row>
    <row r="29" spans="1:8" ht="25.5" x14ac:dyDescent="0.2">
      <c r="A29" s="25">
        <v>2</v>
      </c>
      <c r="B29" s="26" t="s">
        <v>35</v>
      </c>
      <c r="C29" s="26" t="s">
        <v>36</v>
      </c>
      <c r="D29" s="26" t="s">
        <v>23</v>
      </c>
      <c r="E29" s="27">
        <v>1000</v>
      </c>
      <c r="F29" s="28">
        <v>1024.2929999999999</v>
      </c>
      <c r="G29" s="29">
        <v>4.7229880000000002E-2</v>
      </c>
      <c r="H29" s="17">
        <v>6.8449999999999998</v>
      </c>
    </row>
    <row r="30" spans="1:8" ht="25.5" x14ac:dyDescent="0.2">
      <c r="A30" s="25">
        <v>3</v>
      </c>
      <c r="B30" s="26" t="s">
        <v>484</v>
      </c>
      <c r="C30" s="26" t="s">
        <v>485</v>
      </c>
      <c r="D30" s="26" t="s">
        <v>26</v>
      </c>
      <c r="E30" s="27">
        <v>1000</v>
      </c>
      <c r="F30" s="28">
        <v>1023.184</v>
      </c>
      <c r="G30" s="29">
        <v>4.7178749999999998E-2</v>
      </c>
      <c r="H30" s="17">
        <v>6.7679</v>
      </c>
    </row>
    <row r="31" spans="1:8" x14ac:dyDescent="0.2">
      <c r="A31" s="25">
        <v>4</v>
      </c>
      <c r="B31" s="26" t="s">
        <v>148</v>
      </c>
      <c r="C31" s="26" t="s">
        <v>149</v>
      </c>
      <c r="D31" s="26" t="s">
        <v>26</v>
      </c>
      <c r="E31" s="27">
        <v>1000</v>
      </c>
      <c r="F31" s="28">
        <v>1019.16</v>
      </c>
      <c r="G31" s="29">
        <v>4.6993199999999999E-2</v>
      </c>
      <c r="H31" s="17">
        <v>6.6096000000000004</v>
      </c>
    </row>
    <row r="32" spans="1:8" x14ac:dyDescent="0.2">
      <c r="A32" s="25">
        <v>5</v>
      </c>
      <c r="B32" s="26" t="s">
        <v>301</v>
      </c>
      <c r="C32" s="26" t="s">
        <v>302</v>
      </c>
      <c r="D32" s="26" t="s">
        <v>303</v>
      </c>
      <c r="E32" s="27">
        <v>1000</v>
      </c>
      <c r="F32" s="28">
        <v>1015.702</v>
      </c>
      <c r="G32" s="29">
        <v>4.6833760000000002E-2</v>
      </c>
      <c r="H32" s="17">
        <v>7.2504999999999997</v>
      </c>
    </row>
    <row r="33" spans="1:8" ht="25.5" x14ac:dyDescent="0.2">
      <c r="A33" s="25">
        <v>6</v>
      </c>
      <c r="B33" s="26" t="s">
        <v>486</v>
      </c>
      <c r="C33" s="26" t="s">
        <v>487</v>
      </c>
      <c r="D33" s="26" t="s">
        <v>306</v>
      </c>
      <c r="E33" s="27">
        <v>500</v>
      </c>
      <c r="F33" s="28">
        <v>514.09400000000005</v>
      </c>
      <c r="G33" s="29">
        <v>2.3704739999999998E-2</v>
      </c>
      <c r="H33" s="17">
        <v>7.6050000000000004</v>
      </c>
    </row>
    <row r="34" spans="1:8" x14ac:dyDescent="0.2">
      <c r="A34" s="25">
        <v>7</v>
      </c>
      <c r="B34" s="26" t="s">
        <v>71</v>
      </c>
      <c r="C34" s="26" t="s">
        <v>72</v>
      </c>
      <c r="D34" s="26" t="s">
        <v>23</v>
      </c>
      <c r="E34" s="27">
        <v>50</v>
      </c>
      <c r="F34" s="28">
        <v>510.88749999999999</v>
      </c>
      <c r="G34" s="29">
        <v>2.355689E-2</v>
      </c>
      <c r="H34" s="17">
        <v>6.9249999999999998</v>
      </c>
    </row>
    <row r="35" spans="1:8" x14ac:dyDescent="0.2">
      <c r="A35" s="25">
        <v>8</v>
      </c>
      <c r="B35" s="26" t="s">
        <v>142</v>
      </c>
      <c r="C35" s="26" t="s">
        <v>143</v>
      </c>
      <c r="D35" s="26" t="s">
        <v>23</v>
      </c>
      <c r="E35" s="27">
        <v>500</v>
      </c>
      <c r="F35" s="28">
        <v>509.24849999999998</v>
      </c>
      <c r="G35" s="29">
        <v>2.348132E-2</v>
      </c>
      <c r="H35" s="17">
        <v>6.5187999999999997</v>
      </c>
    </row>
    <row r="36" spans="1:8" ht="25.5" x14ac:dyDescent="0.2">
      <c r="A36" s="25">
        <v>9</v>
      </c>
      <c r="B36" s="26" t="s">
        <v>156</v>
      </c>
      <c r="C36" s="26" t="s">
        <v>157</v>
      </c>
      <c r="D36" s="26" t="s">
        <v>26</v>
      </c>
      <c r="E36" s="27">
        <v>500</v>
      </c>
      <c r="F36" s="28">
        <v>508.048</v>
      </c>
      <c r="G36" s="29">
        <v>2.3425959999999999E-2</v>
      </c>
      <c r="H36" s="17">
        <v>6.65</v>
      </c>
    </row>
    <row r="37" spans="1:8" x14ac:dyDescent="0.2">
      <c r="A37" s="25">
        <v>10</v>
      </c>
      <c r="B37" s="26" t="s">
        <v>320</v>
      </c>
      <c r="C37" s="26" t="s">
        <v>321</v>
      </c>
      <c r="D37" s="26" t="s">
        <v>306</v>
      </c>
      <c r="E37" s="27">
        <v>500</v>
      </c>
      <c r="F37" s="28">
        <v>507.47050000000002</v>
      </c>
      <c r="G37" s="29">
        <v>2.3399329999999999E-2</v>
      </c>
      <c r="H37" s="17">
        <v>7.92</v>
      </c>
    </row>
    <row r="38" spans="1:8" x14ac:dyDescent="0.2">
      <c r="A38" s="25">
        <v>11</v>
      </c>
      <c r="B38" s="26" t="s">
        <v>314</v>
      </c>
      <c r="C38" s="26" t="s">
        <v>315</v>
      </c>
      <c r="D38" s="26" t="s">
        <v>26</v>
      </c>
      <c r="E38" s="27">
        <v>500</v>
      </c>
      <c r="F38" s="28">
        <v>505.50200000000001</v>
      </c>
      <c r="G38" s="29">
        <v>2.3308570000000001E-2</v>
      </c>
      <c r="H38" s="17">
        <v>7.2024999999999997</v>
      </c>
    </row>
    <row r="39" spans="1:8" x14ac:dyDescent="0.2">
      <c r="A39" s="25">
        <v>12</v>
      </c>
      <c r="B39" s="26" t="s">
        <v>294</v>
      </c>
      <c r="C39" s="26" t="s">
        <v>295</v>
      </c>
      <c r="D39" s="26" t="s">
        <v>296</v>
      </c>
      <c r="E39" s="27">
        <v>500</v>
      </c>
      <c r="F39" s="28">
        <v>505.3895</v>
      </c>
      <c r="G39" s="29">
        <v>2.3303379999999999E-2</v>
      </c>
      <c r="H39" s="17">
        <v>7.5449999999999999</v>
      </c>
    </row>
    <row r="40" spans="1:8" ht="25.5" x14ac:dyDescent="0.2">
      <c r="A40" s="25">
        <v>13</v>
      </c>
      <c r="B40" s="26" t="s">
        <v>307</v>
      </c>
      <c r="C40" s="26" t="s">
        <v>308</v>
      </c>
      <c r="D40" s="26" t="s">
        <v>26</v>
      </c>
      <c r="E40" s="27">
        <v>50</v>
      </c>
      <c r="F40" s="28">
        <v>504.71</v>
      </c>
      <c r="G40" s="29">
        <v>2.3272049999999999E-2</v>
      </c>
      <c r="H40" s="17">
        <v>6.49</v>
      </c>
    </row>
    <row r="41" spans="1:8" x14ac:dyDescent="0.2">
      <c r="A41" s="25">
        <v>14</v>
      </c>
      <c r="B41" s="26" t="s">
        <v>488</v>
      </c>
      <c r="C41" s="26" t="s">
        <v>489</v>
      </c>
      <c r="D41" s="26" t="s">
        <v>26</v>
      </c>
      <c r="E41" s="27">
        <v>500</v>
      </c>
      <c r="F41" s="28">
        <v>504.47300000000001</v>
      </c>
      <c r="G41" s="29">
        <v>2.326112E-2</v>
      </c>
      <c r="H41" s="17">
        <v>6.4950000000000001</v>
      </c>
    </row>
    <row r="42" spans="1:8" ht="25.5" x14ac:dyDescent="0.2">
      <c r="A42" s="25">
        <v>15</v>
      </c>
      <c r="B42" s="26" t="s">
        <v>75</v>
      </c>
      <c r="C42" s="26" t="s">
        <v>76</v>
      </c>
      <c r="D42" s="26" t="s">
        <v>23</v>
      </c>
      <c r="E42" s="27">
        <v>500</v>
      </c>
      <c r="F42" s="28">
        <v>504.24700000000001</v>
      </c>
      <c r="G42" s="29">
        <v>2.3250699999999999E-2</v>
      </c>
      <c r="H42" s="17">
        <v>6.55</v>
      </c>
    </row>
    <row r="43" spans="1:8" x14ac:dyDescent="0.2">
      <c r="A43" s="25">
        <v>16</v>
      </c>
      <c r="B43" s="26" t="s">
        <v>297</v>
      </c>
      <c r="C43" s="26" t="s">
        <v>298</v>
      </c>
      <c r="D43" s="26" t="s">
        <v>26</v>
      </c>
      <c r="E43" s="27">
        <v>500</v>
      </c>
      <c r="F43" s="28">
        <v>504.15100000000001</v>
      </c>
      <c r="G43" s="29">
        <v>2.3246269999999999E-2</v>
      </c>
      <c r="H43" s="17">
        <v>6.49</v>
      </c>
    </row>
    <row r="44" spans="1:8" x14ac:dyDescent="0.2">
      <c r="A44" s="25">
        <v>17</v>
      </c>
      <c r="B44" s="26" t="s">
        <v>490</v>
      </c>
      <c r="C44" s="26" t="s">
        <v>764</v>
      </c>
      <c r="D44" s="26" t="s">
        <v>296</v>
      </c>
      <c r="E44" s="27">
        <v>500</v>
      </c>
      <c r="F44" s="28">
        <v>503.32549999999998</v>
      </c>
      <c r="G44" s="29">
        <v>2.320821E-2</v>
      </c>
      <c r="H44" s="17">
        <v>7.93</v>
      </c>
    </row>
    <row r="45" spans="1:8" ht="25.5" x14ac:dyDescent="0.2">
      <c r="A45" s="25">
        <v>18</v>
      </c>
      <c r="B45" s="26" t="s">
        <v>491</v>
      </c>
      <c r="C45" s="26" t="s">
        <v>765</v>
      </c>
      <c r="D45" s="26" t="s">
        <v>26</v>
      </c>
      <c r="E45" s="27">
        <v>50</v>
      </c>
      <c r="F45" s="28">
        <v>502.786</v>
      </c>
      <c r="G45" s="29">
        <v>2.3183329999999999E-2</v>
      </c>
      <c r="H45" s="17">
        <v>6.5</v>
      </c>
    </row>
    <row r="46" spans="1:8" x14ac:dyDescent="0.2">
      <c r="A46" s="25">
        <v>19</v>
      </c>
      <c r="B46" s="26" t="s">
        <v>492</v>
      </c>
      <c r="C46" s="26" t="s">
        <v>493</v>
      </c>
      <c r="D46" s="26" t="s">
        <v>23</v>
      </c>
      <c r="E46" s="27">
        <v>50</v>
      </c>
      <c r="F46" s="28">
        <v>497.42450000000002</v>
      </c>
      <c r="G46" s="29">
        <v>2.2936109999999999E-2</v>
      </c>
      <c r="H46" s="17">
        <v>6.6849999999999996</v>
      </c>
    </row>
    <row r="47" spans="1:8" x14ac:dyDescent="0.2">
      <c r="A47" s="25">
        <v>20</v>
      </c>
      <c r="B47" s="26" t="s">
        <v>291</v>
      </c>
      <c r="C47" s="26" t="s">
        <v>292</v>
      </c>
      <c r="D47" s="26" t="s">
        <v>293</v>
      </c>
      <c r="E47" s="27">
        <v>300</v>
      </c>
      <c r="F47" s="28">
        <v>303.24599999999998</v>
      </c>
      <c r="G47" s="29">
        <v>1.398259E-2</v>
      </c>
      <c r="H47" s="17">
        <v>6.9450000000000003</v>
      </c>
    </row>
    <row r="48" spans="1:8" x14ac:dyDescent="0.2">
      <c r="A48" s="18"/>
      <c r="B48" s="18"/>
      <c r="C48" s="19" t="s">
        <v>11</v>
      </c>
      <c r="D48" s="18"/>
      <c r="E48" s="18" t="s">
        <v>12</v>
      </c>
      <c r="F48" s="24">
        <v>12572.686900000001</v>
      </c>
      <c r="G48" s="21">
        <v>0.57972332999999998</v>
      </c>
      <c r="H48" s="17" t="s">
        <v>12</v>
      </c>
    </row>
    <row r="49" spans="1:8" x14ac:dyDescent="0.2">
      <c r="A49" s="18"/>
      <c r="B49" s="18"/>
      <c r="C49" s="22"/>
      <c r="D49" s="18"/>
      <c r="E49" s="18"/>
      <c r="F49" s="23"/>
      <c r="G49" s="23"/>
      <c r="H49" s="17" t="s">
        <v>12</v>
      </c>
    </row>
    <row r="50" spans="1:8" x14ac:dyDescent="0.2">
      <c r="A50" s="18"/>
      <c r="B50" s="18"/>
      <c r="C50" s="19" t="s">
        <v>81</v>
      </c>
      <c r="D50" s="18"/>
      <c r="E50" s="18"/>
      <c r="F50" s="18"/>
      <c r="G50" s="18"/>
      <c r="H50" s="17" t="s">
        <v>12</v>
      </c>
    </row>
    <row r="51" spans="1:8" x14ac:dyDescent="0.2">
      <c r="A51" s="18"/>
      <c r="B51" s="18"/>
      <c r="C51" s="19" t="s">
        <v>11</v>
      </c>
      <c r="D51" s="18"/>
      <c r="E51" s="18" t="s">
        <v>12</v>
      </c>
      <c r="F51" s="20" t="s">
        <v>13</v>
      </c>
      <c r="G51" s="21">
        <v>0</v>
      </c>
      <c r="H51" s="17" t="s">
        <v>12</v>
      </c>
    </row>
    <row r="52" spans="1:8" x14ac:dyDescent="0.2">
      <c r="A52" s="18"/>
      <c r="B52" s="18"/>
      <c r="C52" s="22"/>
      <c r="D52" s="18"/>
      <c r="E52" s="18"/>
      <c r="F52" s="23"/>
      <c r="G52" s="23"/>
      <c r="H52" s="17" t="s">
        <v>12</v>
      </c>
    </row>
    <row r="53" spans="1:8" x14ac:dyDescent="0.2">
      <c r="A53" s="18"/>
      <c r="B53" s="18"/>
      <c r="C53" s="19" t="s">
        <v>82</v>
      </c>
      <c r="D53" s="18"/>
      <c r="E53" s="18"/>
      <c r="F53" s="18"/>
      <c r="G53" s="18"/>
      <c r="H53" s="17" t="s">
        <v>12</v>
      </c>
    </row>
    <row r="54" spans="1:8" x14ac:dyDescent="0.2">
      <c r="A54" s="25">
        <v>1</v>
      </c>
      <c r="B54" s="26" t="s">
        <v>494</v>
      </c>
      <c r="C54" s="26" t="s">
        <v>495</v>
      </c>
      <c r="D54" s="26" t="s">
        <v>85</v>
      </c>
      <c r="E54" s="27">
        <v>2500000</v>
      </c>
      <c r="F54" s="28">
        <v>2591.04</v>
      </c>
      <c r="G54" s="29">
        <v>0.11947218</v>
      </c>
      <c r="H54" s="17">
        <v>6.6468999999999996</v>
      </c>
    </row>
    <row r="55" spans="1:8" x14ac:dyDescent="0.2">
      <c r="A55" s="25">
        <v>2</v>
      </c>
      <c r="B55" s="26" t="s">
        <v>496</v>
      </c>
      <c r="C55" s="26" t="s">
        <v>497</v>
      </c>
      <c r="D55" s="26" t="s">
        <v>85</v>
      </c>
      <c r="E55" s="27">
        <v>1500000</v>
      </c>
      <c r="F55" s="28">
        <v>1560.4065000000001</v>
      </c>
      <c r="G55" s="29">
        <v>7.1949940000000004E-2</v>
      </c>
      <c r="H55" s="17">
        <v>6.048</v>
      </c>
    </row>
    <row r="56" spans="1:8" x14ac:dyDescent="0.2">
      <c r="A56" s="25">
        <v>3</v>
      </c>
      <c r="B56" s="26" t="s">
        <v>322</v>
      </c>
      <c r="C56" s="26" t="s">
        <v>323</v>
      </c>
      <c r="D56" s="26" t="s">
        <v>85</v>
      </c>
      <c r="E56" s="27">
        <v>700000</v>
      </c>
      <c r="F56" s="28">
        <v>719.48310000000004</v>
      </c>
      <c r="G56" s="29">
        <v>3.3175179999999999E-2</v>
      </c>
      <c r="H56" s="17">
        <v>5.8442999999999996</v>
      </c>
    </row>
    <row r="57" spans="1:8" x14ac:dyDescent="0.2">
      <c r="A57" s="25">
        <v>4</v>
      </c>
      <c r="B57" s="26" t="s">
        <v>90</v>
      </c>
      <c r="C57" s="26" t="s">
        <v>91</v>
      </c>
      <c r="D57" s="26" t="s">
        <v>85</v>
      </c>
      <c r="E57" s="27">
        <v>500000</v>
      </c>
      <c r="F57" s="28">
        <v>523.52049999999997</v>
      </c>
      <c r="G57" s="29">
        <v>2.413939E-2</v>
      </c>
      <c r="H57" s="17">
        <v>6.3482000000000003</v>
      </c>
    </row>
    <row r="58" spans="1:8" x14ac:dyDescent="0.2">
      <c r="A58" s="25">
        <v>5</v>
      </c>
      <c r="B58" s="26" t="s">
        <v>96</v>
      </c>
      <c r="C58" s="26" t="s">
        <v>97</v>
      </c>
      <c r="D58" s="26" t="s">
        <v>85</v>
      </c>
      <c r="E58" s="27">
        <v>500000</v>
      </c>
      <c r="F58" s="28">
        <v>517.3845</v>
      </c>
      <c r="G58" s="29">
        <v>2.3856470000000001E-2</v>
      </c>
      <c r="H58" s="17">
        <v>6.8643000000000001</v>
      </c>
    </row>
    <row r="59" spans="1:8" ht="25.5" x14ac:dyDescent="0.2">
      <c r="A59" s="25">
        <v>6</v>
      </c>
      <c r="B59" s="26" t="s">
        <v>498</v>
      </c>
      <c r="C59" s="26" t="s">
        <v>499</v>
      </c>
      <c r="D59" s="26" t="s">
        <v>85</v>
      </c>
      <c r="E59" s="27">
        <v>500000</v>
      </c>
      <c r="F59" s="28">
        <v>516.75599999999997</v>
      </c>
      <c r="G59" s="29">
        <v>2.382749E-2</v>
      </c>
      <c r="H59" s="17">
        <v>7.0346000000000002</v>
      </c>
    </row>
    <row r="60" spans="1:8" x14ac:dyDescent="0.2">
      <c r="A60" s="25">
        <v>7</v>
      </c>
      <c r="B60" s="26" t="s">
        <v>164</v>
      </c>
      <c r="C60" s="26" t="s">
        <v>165</v>
      </c>
      <c r="D60" s="26" t="s">
        <v>85</v>
      </c>
      <c r="E60" s="27">
        <v>500000</v>
      </c>
      <c r="F60" s="28">
        <v>515.26649999999995</v>
      </c>
      <c r="G60" s="29">
        <v>2.37588E-2</v>
      </c>
      <c r="H60" s="17">
        <v>6.2164999999999999</v>
      </c>
    </row>
    <row r="61" spans="1:8" x14ac:dyDescent="0.2">
      <c r="A61" s="18"/>
      <c r="B61" s="18"/>
      <c r="C61" s="19" t="s">
        <v>11</v>
      </c>
      <c r="D61" s="18"/>
      <c r="E61" s="18" t="s">
        <v>12</v>
      </c>
      <c r="F61" s="24">
        <v>6943.8571000000002</v>
      </c>
      <c r="G61" s="21">
        <v>0.32017944999999998</v>
      </c>
      <c r="H61" s="17" t="s">
        <v>12</v>
      </c>
    </row>
    <row r="62" spans="1:8" x14ac:dyDescent="0.2">
      <c r="A62" s="18"/>
      <c r="B62" s="18"/>
      <c r="C62" s="22"/>
      <c r="D62" s="18"/>
      <c r="E62" s="18"/>
      <c r="F62" s="23"/>
      <c r="G62" s="23"/>
      <c r="H62" s="17" t="s">
        <v>12</v>
      </c>
    </row>
    <row r="63" spans="1:8" x14ac:dyDescent="0.2">
      <c r="A63" s="18"/>
      <c r="B63" s="18"/>
      <c r="C63" s="19" t="s">
        <v>100</v>
      </c>
      <c r="D63" s="18"/>
      <c r="E63" s="18"/>
      <c r="F63" s="23"/>
      <c r="G63" s="23"/>
      <c r="H63" s="17" t="s">
        <v>12</v>
      </c>
    </row>
    <row r="64" spans="1:8" x14ac:dyDescent="0.2">
      <c r="A64" s="18"/>
      <c r="B64" s="18"/>
      <c r="C64" s="19" t="s">
        <v>11</v>
      </c>
      <c r="D64" s="18"/>
      <c r="E64" s="18" t="s">
        <v>12</v>
      </c>
      <c r="F64" s="20" t="s">
        <v>13</v>
      </c>
      <c r="G64" s="21">
        <v>0</v>
      </c>
      <c r="H64" s="17" t="s">
        <v>12</v>
      </c>
    </row>
    <row r="65" spans="1:8" x14ac:dyDescent="0.2">
      <c r="A65" s="18"/>
      <c r="B65" s="18"/>
      <c r="C65" s="22"/>
      <c r="D65" s="18"/>
      <c r="E65" s="18"/>
      <c r="F65" s="23"/>
      <c r="G65" s="23"/>
      <c r="H65" s="17" t="s">
        <v>12</v>
      </c>
    </row>
    <row r="66" spans="1:8" x14ac:dyDescent="0.2">
      <c r="A66" s="18"/>
      <c r="B66" s="18"/>
      <c r="C66" s="19" t="s">
        <v>101</v>
      </c>
      <c r="D66" s="18"/>
      <c r="E66" s="18"/>
      <c r="F66" s="24">
        <v>19516.544000000002</v>
      </c>
      <c r="G66" s="21">
        <v>0.89990278000000001</v>
      </c>
      <c r="H66" s="17" t="s">
        <v>12</v>
      </c>
    </row>
    <row r="67" spans="1:8" x14ac:dyDescent="0.2">
      <c r="A67" s="18"/>
      <c r="B67" s="18"/>
      <c r="C67" s="22"/>
      <c r="D67" s="18"/>
      <c r="E67" s="18"/>
      <c r="F67" s="23"/>
      <c r="G67" s="23"/>
      <c r="H67" s="17" t="s">
        <v>12</v>
      </c>
    </row>
    <row r="68" spans="1:8" x14ac:dyDescent="0.2">
      <c r="A68" s="18"/>
      <c r="B68" s="18"/>
      <c r="C68" s="19" t="s">
        <v>102</v>
      </c>
      <c r="D68" s="18"/>
      <c r="E68" s="18"/>
      <c r="F68" s="23"/>
      <c r="G68" s="23"/>
      <c r="H68" s="17" t="s">
        <v>12</v>
      </c>
    </row>
    <row r="69" spans="1:8" x14ac:dyDescent="0.2">
      <c r="A69" s="18"/>
      <c r="B69" s="18"/>
      <c r="C69" s="19" t="s">
        <v>103</v>
      </c>
      <c r="D69" s="18"/>
      <c r="E69" s="18"/>
      <c r="F69" s="23"/>
      <c r="G69" s="23"/>
      <c r="H69" s="17" t="s">
        <v>12</v>
      </c>
    </row>
    <row r="70" spans="1:8" x14ac:dyDescent="0.2">
      <c r="A70" s="18"/>
      <c r="B70" s="18"/>
      <c r="C70" s="19" t="s">
        <v>11</v>
      </c>
      <c r="D70" s="18"/>
      <c r="E70" s="18" t="s">
        <v>12</v>
      </c>
      <c r="F70" s="20" t="s">
        <v>13</v>
      </c>
      <c r="G70" s="21">
        <v>0</v>
      </c>
      <c r="H70" s="17" t="s">
        <v>12</v>
      </c>
    </row>
    <row r="71" spans="1:8" x14ac:dyDescent="0.2">
      <c r="A71" s="18"/>
      <c r="B71" s="18"/>
      <c r="C71" s="22"/>
      <c r="D71" s="18"/>
      <c r="E71" s="18"/>
      <c r="F71" s="23"/>
      <c r="G71" s="23"/>
      <c r="H71" s="17" t="s">
        <v>12</v>
      </c>
    </row>
    <row r="72" spans="1:8" x14ac:dyDescent="0.2">
      <c r="A72" s="18"/>
      <c r="B72" s="18"/>
      <c r="C72" s="19" t="s">
        <v>110</v>
      </c>
      <c r="D72" s="18"/>
      <c r="E72" s="18"/>
      <c r="F72" s="23"/>
      <c r="G72" s="23"/>
      <c r="H72" s="17" t="s">
        <v>12</v>
      </c>
    </row>
    <row r="73" spans="1:8" x14ac:dyDescent="0.2">
      <c r="A73" s="18"/>
      <c r="B73" s="18"/>
      <c r="C73" s="19" t="s">
        <v>11</v>
      </c>
      <c r="D73" s="18"/>
      <c r="E73" s="18" t="s">
        <v>12</v>
      </c>
      <c r="F73" s="20" t="s">
        <v>13</v>
      </c>
      <c r="G73" s="21">
        <v>0</v>
      </c>
      <c r="H73" s="17" t="s">
        <v>12</v>
      </c>
    </row>
    <row r="74" spans="1:8" x14ac:dyDescent="0.2">
      <c r="A74" s="18"/>
      <c r="B74" s="18"/>
      <c r="C74" s="22"/>
      <c r="D74" s="18"/>
      <c r="E74" s="18"/>
      <c r="F74" s="23"/>
      <c r="G74" s="23"/>
      <c r="H74" s="17" t="s">
        <v>12</v>
      </c>
    </row>
    <row r="75" spans="1:8" x14ac:dyDescent="0.2">
      <c r="A75" s="18"/>
      <c r="B75" s="18"/>
      <c r="C75" s="19" t="s">
        <v>111</v>
      </c>
      <c r="D75" s="18"/>
      <c r="E75" s="18"/>
      <c r="F75" s="23"/>
      <c r="G75" s="23"/>
      <c r="H75" s="17" t="s">
        <v>12</v>
      </c>
    </row>
    <row r="76" spans="1:8" x14ac:dyDescent="0.2">
      <c r="A76" s="18"/>
      <c r="B76" s="18"/>
      <c r="C76" s="19" t="s">
        <v>11</v>
      </c>
      <c r="D76" s="18"/>
      <c r="E76" s="18" t="s">
        <v>12</v>
      </c>
      <c r="F76" s="20" t="s">
        <v>13</v>
      </c>
      <c r="G76" s="21">
        <v>0</v>
      </c>
      <c r="H76" s="17" t="s">
        <v>12</v>
      </c>
    </row>
    <row r="77" spans="1:8" x14ac:dyDescent="0.2">
      <c r="A77" s="18"/>
      <c r="B77" s="18"/>
      <c r="C77" s="22"/>
      <c r="D77" s="18"/>
      <c r="E77" s="18"/>
      <c r="F77" s="23"/>
      <c r="G77" s="23"/>
      <c r="H77" s="17" t="s">
        <v>12</v>
      </c>
    </row>
    <row r="78" spans="1:8" x14ac:dyDescent="0.2">
      <c r="A78" s="18"/>
      <c r="B78" s="18"/>
      <c r="C78" s="19" t="s">
        <v>112</v>
      </c>
      <c r="D78" s="18"/>
      <c r="E78" s="18"/>
      <c r="F78" s="23"/>
      <c r="G78" s="23"/>
      <c r="H78" s="17" t="s">
        <v>12</v>
      </c>
    </row>
    <row r="79" spans="1:8" x14ac:dyDescent="0.2">
      <c r="A79" s="25">
        <v>1</v>
      </c>
      <c r="B79" s="26"/>
      <c r="C79" s="26" t="s">
        <v>113</v>
      </c>
      <c r="D79" s="26"/>
      <c r="E79" s="30"/>
      <c r="F79" s="28">
        <v>1562.211993804</v>
      </c>
      <c r="G79" s="29">
        <v>7.2033189999999997E-2</v>
      </c>
      <c r="H79" s="17">
        <v>5.39</v>
      </c>
    </row>
    <row r="80" spans="1:8" x14ac:dyDescent="0.2">
      <c r="A80" s="18"/>
      <c r="B80" s="18"/>
      <c r="C80" s="19" t="s">
        <v>11</v>
      </c>
      <c r="D80" s="18"/>
      <c r="E80" s="18" t="s">
        <v>12</v>
      </c>
      <c r="F80" s="24">
        <v>1562.211993804</v>
      </c>
      <c r="G80" s="21">
        <v>7.2033189999999997E-2</v>
      </c>
      <c r="H80" s="17" t="s">
        <v>12</v>
      </c>
    </row>
    <row r="81" spans="1:17" x14ac:dyDescent="0.2">
      <c r="A81" s="18"/>
      <c r="B81" s="18"/>
      <c r="C81" s="22"/>
      <c r="D81" s="18"/>
      <c r="E81" s="18"/>
      <c r="F81" s="23"/>
      <c r="G81" s="23"/>
      <c r="H81" s="17" t="s">
        <v>12</v>
      </c>
    </row>
    <row r="82" spans="1:17" x14ac:dyDescent="0.2">
      <c r="A82" s="18"/>
      <c r="B82" s="18"/>
      <c r="C82" s="19" t="s">
        <v>114</v>
      </c>
      <c r="D82" s="18"/>
      <c r="E82" s="18"/>
      <c r="F82" s="24">
        <v>1562.211993804</v>
      </c>
      <c r="G82" s="21">
        <v>7.2033189999999997E-2</v>
      </c>
      <c r="H82" s="17" t="s">
        <v>12</v>
      </c>
    </row>
    <row r="83" spans="1:17" x14ac:dyDescent="0.2">
      <c r="A83" s="18"/>
      <c r="B83" s="18"/>
      <c r="C83" s="23"/>
      <c r="D83" s="18"/>
      <c r="E83" s="18"/>
      <c r="F83" s="18"/>
      <c r="G83" s="18"/>
      <c r="H83" s="17" t="s">
        <v>12</v>
      </c>
    </row>
    <row r="84" spans="1:17" x14ac:dyDescent="0.2">
      <c r="A84" s="18"/>
      <c r="B84" s="18"/>
      <c r="C84" s="19" t="s">
        <v>115</v>
      </c>
      <c r="D84" s="18"/>
      <c r="E84" s="18"/>
      <c r="F84" s="18"/>
      <c r="G84" s="18"/>
      <c r="H84" s="17" t="s">
        <v>12</v>
      </c>
    </row>
    <row r="85" spans="1:17" x14ac:dyDescent="0.2">
      <c r="A85" s="18"/>
      <c r="B85" s="18"/>
      <c r="C85" s="19" t="s">
        <v>116</v>
      </c>
      <c r="D85" s="18"/>
      <c r="E85" s="18"/>
      <c r="F85" s="18"/>
      <c r="G85" s="18"/>
      <c r="H85" s="17" t="s">
        <v>12</v>
      </c>
    </row>
    <row r="86" spans="1:17" x14ac:dyDescent="0.2">
      <c r="A86" s="18"/>
      <c r="B86" s="18"/>
      <c r="C86" s="19" t="s">
        <v>11</v>
      </c>
      <c r="D86" s="18"/>
      <c r="E86" s="18" t="s">
        <v>12</v>
      </c>
      <c r="F86" s="20" t="s">
        <v>13</v>
      </c>
      <c r="G86" s="21">
        <v>0</v>
      </c>
      <c r="H86" s="17" t="s">
        <v>12</v>
      </c>
    </row>
    <row r="87" spans="1:17" x14ac:dyDescent="0.2">
      <c r="A87" s="15"/>
      <c r="B87" s="15"/>
      <c r="C87" s="31"/>
      <c r="D87" s="15"/>
      <c r="E87" s="15"/>
      <c r="F87" s="32"/>
      <c r="G87" s="32"/>
      <c r="H87" s="17" t="s">
        <v>12</v>
      </c>
    </row>
    <row r="88" spans="1:17" x14ac:dyDescent="0.2">
      <c r="A88" s="15"/>
      <c r="B88" s="15"/>
      <c r="C88" s="16" t="s">
        <v>593</v>
      </c>
      <c r="D88" s="15"/>
      <c r="E88" s="15"/>
      <c r="F88" s="32"/>
      <c r="G88" s="32"/>
      <c r="H88" s="17" t="s">
        <v>12</v>
      </c>
      <c r="K88" s="33"/>
      <c r="L88" s="33"/>
      <c r="M88" s="33"/>
      <c r="N88" s="33"/>
      <c r="O88" s="34"/>
      <c r="P88" s="34"/>
      <c r="Q88" s="34"/>
    </row>
    <row r="89" spans="1:17" x14ac:dyDescent="0.2">
      <c r="A89" s="35">
        <v>1</v>
      </c>
      <c r="B89" s="36" t="s">
        <v>117</v>
      </c>
      <c r="C89" s="36" t="s">
        <v>118</v>
      </c>
      <c r="D89" s="36"/>
      <c r="E89" s="37">
        <v>543.85400000000004</v>
      </c>
      <c r="F89" s="38">
        <v>61.499966958999998</v>
      </c>
      <c r="G89" s="39">
        <v>2.8357500000000002E-3</v>
      </c>
      <c r="H89" s="17"/>
    </row>
    <row r="90" spans="1:17" x14ac:dyDescent="0.2">
      <c r="A90" s="15"/>
      <c r="B90" s="15"/>
      <c r="C90" s="16" t="s">
        <v>11</v>
      </c>
      <c r="D90" s="15"/>
      <c r="E90" s="15" t="s">
        <v>12</v>
      </c>
      <c r="F90" s="40">
        <f>SUM(F89)</f>
        <v>61.499966958999998</v>
      </c>
      <c r="G90" s="41">
        <f>SUM(G89)</f>
        <v>2.8357500000000002E-3</v>
      </c>
      <c r="H90" s="17" t="s">
        <v>12</v>
      </c>
    </row>
    <row r="91" spans="1:17" x14ac:dyDescent="0.2">
      <c r="A91" s="18"/>
      <c r="B91" s="18"/>
      <c r="C91" s="22"/>
      <c r="D91" s="18"/>
      <c r="E91" s="18"/>
      <c r="F91" s="23"/>
      <c r="G91" s="23"/>
      <c r="H91" s="17" t="s">
        <v>12</v>
      </c>
    </row>
    <row r="92" spans="1:17" x14ac:dyDescent="0.2">
      <c r="A92" s="18"/>
      <c r="B92" s="18"/>
      <c r="C92" s="19" t="s">
        <v>119</v>
      </c>
      <c r="D92" s="18"/>
      <c r="E92" s="18"/>
      <c r="F92" s="18"/>
      <c r="G92" s="18"/>
      <c r="H92" s="17" t="s">
        <v>12</v>
      </c>
    </row>
    <row r="93" spans="1:17" x14ac:dyDescent="0.2">
      <c r="A93" s="18"/>
      <c r="B93" s="18"/>
      <c r="C93" s="19" t="s">
        <v>120</v>
      </c>
      <c r="D93" s="18"/>
      <c r="E93" s="18"/>
      <c r="F93" s="18"/>
      <c r="G93" s="18"/>
      <c r="H93" s="17" t="s">
        <v>12</v>
      </c>
    </row>
    <row r="94" spans="1:17" x14ac:dyDescent="0.2">
      <c r="A94" s="18"/>
      <c r="B94" s="18"/>
      <c r="C94" s="19" t="s">
        <v>11</v>
      </c>
      <c r="D94" s="18"/>
      <c r="E94" s="18" t="s">
        <v>12</v>
      </c>
      <c r="F94" s="20" t="s">
        <v>13</v>
      </c>
      <c r="G94" s="21">
        <v>0</v>
      </c>
      <c r="H94" s="17" t="s">
        <v>12</v>
      </c>
    </row>
    <row r="95" spans="1:17" x14ac:dyDescent="0.2">
      <c r="A95" s="18"/>
      <c r="B95" s="18"/>
      <c r="C95" s="22"/>
      <c r="D95" s="18"/>
      <c r="E95" s="18"/>
      <c r="F95" s="23"/>
      <c r="G95" s="23"/>
      <c r="H95" s="17" t="s">
        <v>12</v>
      </c>
    </row>
    <row r="96" spans="1:17" x14ac:dyDescent="0.2">
      <c r="A96" s="18"/>
      <c r="B96" s="18"/>
      <c r="C96" s="19" t="s">
        <v>121</v>
      </c>
      <c r="D96" s="18"/>
      <c r="E96" s="18"/>
      <c r="F96" s="23"/>
      <c r="G96" s="23"/>
      <c r="H96" s="17" t="s">
        <v>12</v>
      </c>
    </row>
    <row r="97" spans="1:8" x14ac:dyDescent="0.2">
      <c r="A97" s="18"/>
      <c r="B97" s="18"/>
      <c r="C97" s="19" t="s">
        <v>11</v>
      </c>
      <c r="D97" s="18"/>
      <c r="E97" s="18" t="s">
        <v>12</v>
      </c>
      <c r="F97" s="20" t="s">
        <v>13</v>
      </c>
      <c r="G97" s="21">
        <v>0</v>
      </c>
      <c r="H97" s="17" t="s">
        <v>12</v>
      </c>
    </row>
    <row r="98" spans="1:8" x14ac:dyDescent="0.2">
      <c r="A98" s="18"/>
      <c r="B98" s="18"/>
      <c r="C98" s="22"/>
      <c r="D98" s="18"/>
      <c r="E98" s="18"/>
      <c r="F98" s="23"/>
      <c r="G98" s="23"/>
      <c r="H98" s="17" t="s">
        <v>12</v>
      </c>
    </row>
    <row r="99" spans="1:8" x14ac:dyDescent="0.2">
      <c r="A99" s="30"/>
      <c r="B99" s="26"/>
      <c r="C99" s="26" t="s">
        <v>122</v>
      </c>
      <c r="D99" s="26"/>
      <c r="E99" s="30"/>
      <c r="F99" s="28">
        <f>547.13602274-0.00230764299869537</f>
        <v>547.1337150970013</v>
      </c>
      <c r="G99" s="29">
        <v>2.5228299999999999E-2</v>
      </c>
      <c r="H99" s="17" t="s">
        <v>12</v>
      </c>
    </row>
    <row r="100" spans="1:8" x14ac:dyDescent="0.2">
      <c r="A100" s="22"/>
      <c r="B100" s="22"/>
      <c r="C100" s="19" t="s">
        <v>123</v>
      </c>
      <c r="D100" s="23"/>
      <c r="E100" s="23"/>
      <c r="F100" s="24">
        <f>21687.391983503-0.00230764299869537</f>
        <v>21687.389675860002</v>
      </c>
      <c r="G100" s="42">
        <v>1.0000000200000001</v>
      </c>
      <c r="H100" s="17" t="s">
        <v>12</v>
      </c>
    </row>
    <row r="101" spans="1:8" x14ac:dyDescent="0.2">
      <c r="A101" s="43"/>
      <c r="B101" s="43"/>
      <c r="C101" s="43"/>
      <c r="D101" s="44"/>
      <c r="E101" s="44"/>
      <c r="F101" s="44"/>
      <c r="G101" s="44"/>
    </row>
    <row r="102" spans="1:8" x14ac:dyDescent="0.2">
      <c r="A102" s="45"/>
      <c r="B102" s="150" t="s">
        <v>594</v>
      </c>
      <c r="C102" s="150"/>
      <c r="D102" s="150"/>
      <c r="E102" s="150"/>
      <c r="F102" s="150"/>
      <c r="G102" s="150"/>
      <c r="H102" s="150"/>
    </row>
    <row r="103" spans="1:8" x14ac:dyDescent="0.2">
      <c r="A103" s="45"/>
      <c r="B103" s="150" t="s">
        <v>595</v>
      </c>
      <c r="C103" s="150"/>
      <c r="D103" s="150"/>
      <c r="E103" s="150"/>
      <c r="F103" s="150"/>
      <c r="G103" s="150"/>
      <c r="H103" s="150"/>
    </row>
    <row r="104" spans="1:8" x14ac:dyDescent="0.2">
      <c r="A104" s="45"/>
      <c r="B104" s="150" t="s">
        <v>596</v>
      </c>
      <c r="C104" s="150"/>
      <c r="D104" s="150"/>
      <c r="E104" s="150"/>
      <c r="F104" s="150"/>
      <c r="G104" s="150"/>
      <c r="H104" s="150"/>
    </row>
    <row r="105" spans="1:8" x14ac:dyDescent="0.2">
      <c r="A105" s="45"/>
      <c r="B105" s="45"/>
      <c r="C105" s="45"/>
      <c r="D105" s="47"/>
      <c r="E105" s="47"/>
      <c r="F105" s="47"/>
      <c r="G105" s="47"/>
    </row>
    <row r="106" spans="1:8" x14ac:dyDescent="0.2">
      <c r="A106" s="45"/>
      <c r="B106" s="151" t="s">
        <v>124</v>
      </c>
      <c r="C106" s="152"/>
      <c r="D106" s="153"/>
      <c r="E106" s="48"/>
      <c r="F106" s="47"/>
      <c r="G106" s="47"/>
    </row>
    <row r="107" spans="1:8" ht="27" customHeight="1" x14ac:dyDescent="0.2">
      <c r="A107" s="45"/>
      <c r="B107" s="143" t="s">
        <v>125</v>
      </c>
      <c r="C107" s="144"/>
      <c r="D107" s="113" t="s">
        <v>618</v>
      </c>
      <c r="E107" s="48"/>
      <c r="F107" s="47"/>
      <c r="G107" s="47"/>
    </row>
    <row r="108" spans="1:8" x14ac:dyDescent="0.2">
      <c r="A108" s="45"/>
      <c r="B108" s="143" t="s">
        <v>127</v>
      </c>
      <c r="C108" s="144"/>
      <c r="D108" s="16" t="s">
        <v>126</v>
      </c>
      <c r="E108" s="48"/>
      <c r="F108" s="47"/>
      <c r="G108" s="47"/>
    </row>
    <row r="109" spans="1:8" x14ac:dyDescent="0.2">
      <c r="A109" s="45"/>
      <c r="B109" s="143" t="s">
        <v>128</v>
      </c>
      <c r="C109" s="144"/>
      <c r="D109" s="32" t="s">
        <v>12</v>
      </c>
      <c r="E109" s="48"/>
      <c r="F109" s="47"/>
      <c r="G109" s="47"/>
    </row>
    <row r="110" spans="1:8" x14ac:dyDescent="0.2">
      <c r="A110" s="49"/>
      <c r="B110" s="50" t="s">
        <v>12</v>
      </c>
      <c r="C110" s="50" t="s">
        <v>597</v>
      </c>
      <c r="D110" s="50" t="s">
        <v>129</v>
      </c>
      <c r="E110" s="49"/>
      <c r="F110" s="49"/>
      <c r="G110" s="49"/>
    </row>
    <row r="111" spans="1:8" x14ac:dyDescent="0.2">
      <c r="A111" s="51"/>
      <c r="B111" s="52" t="s">
        <v>130</v>
      </c>
      <c r="C111" s="53">
        <v>45869</v>
      </c>
      <c r="D111" s="53">
        <v>45884</v>
      </c>
      <c r="E111" s="51"/>
      <c r="F111" s="51"/>
      <c r="G111" s="51"/>
    </row>
    <row r="112" spans="1:8" x14ac:dyDescent="0.2">
      <c r="A112" s="51"/>
      <c r="B112" s="26" t="s">
        <v>131</v>
      </c>
      <c r="C112" s="54">
        <v>48.344499999999996</v>
      </c>
      <c r="D112" s="54">
        <v>48.369900000000001</v>
      </c>
      <c r="E112" s="51"/>
      <c r="F112" s="55"/>
      <c r="G112" s="56"/>
    </row>
    <row r="113" spans="1:19" ht="25.5" x14ac:dyDescent="0.2">
      <c r="A113" s="51"/>
      <c r="B113" s="26" t="s">
        <v>737</v>
      </c>
      <c r="C113" s="54">
        <v>13.1691</v>
      </c>
      <c r="D113" s="54">
        <v>13.176</v>
      </c>
      <c r="E113" s="51"/>
      <c r="F113" s="55"/>
      <c r="G113" s="56"/>
    </row>
    <row r="114" spans="1:19" x14ac:dyDescent="0.2">
      <c r="A114" s="51"/>
      <c r="B114" s="26" t="s">
        <v>132</v>
      </c>
      <c r="C114" s="54">
        <v>44.649799999999999</v>
      </c>
      <c r="D114" s="54">
        <v>44.662399999999998</v>
      </c>
      <c r="E114" s="51"/>
      <c r="F114" s="55"/>
      <c r="G114" s="56"/>
    </row>
    <row r="115" spans="1:19" ht="25.5" x14ac:dyDescent="0.2">
      <c r="A115" s="51"/>
      <c r="B115" s="26" t="s">
        <v>738</v>
      </c>
      <c r="C115" s="54">
        <v>13.0945</v>
      </c>
      <c r="D115" s="54">
        <v>13.0982</v>
      </c>
      <c r="E115" s="51"/>
      <c r="F115" s="55"/>
      <c r="G115" s="56"/>
    </row>
    <row r="116" spans="1:19" x14ac:dyDescent="0.2">
      <c r="A116" s="51"/>
      <c r="B116" s="51"/>
      <c r="C116" s="51"/>
      <c r="D116" s="51"/>
      <c r="E116" s="51"/>
      <c r="F116" s="51"/>
      <c r="G116" s="51"/>
    </row>
    <row r="117" spans="1:19" x14ac:dyDescent="0.2">
      <c r="A117" s="51"/>
      <c r="B117" s="145" t="s">
        <v>598</v>
      </c>
      <c r="C117" s="146"/>
      <c r="D117" s="19" t="s">
        <v>126</v>
      </c>
      <c r="E117" s="51"/>
      <c r="F117" s="51"/>
      <c r="G117" s="51"/>
    </row>
    <row r="118" spans="1:19" x14ac:dyDescent="0.2">
      <c r="A118" s="51"/>
      <c r="B118" s="61"/>
      <c r="C118" s="61"/>
      <c r="D118" s="61"/>
      <c r="E118" s="51"/>
      <c r="F118" s="51"/>
      <c r="G118" s="51"/>
    </row>
    <row r="119" spans="1:19" x14ac:dyDescent="0.2">
      <c r="A119" s="49"/>
      <c r="B119" s="143" t="s">
        <v>133</v>
      </c>
      <c r="C119" s="144"/>
      <c r="D119" s="16" t="s">
        <v>126</v>
      </c>
      <c r="E119" s="60"/>
      <c r="F119" s="49"/>
      <c r="G119" s="49"/>
    </row>
    <row r="120" spans="1:19" x14ac:dyDescent="0.2">
      <c r="A120" s="49"/>
      <c r="B120" s="143" t="s">
        <v>134</v>
      </c>
      <c r="C120" s="144"/>
      <c r="D120" s="16" t="s">
        <v>126</v>
      </c>
      <c r="E120" s="60"/>
      <c r="F120" s="49"/>
      <c r="G120" s="49"/>
    </row>
    <row r="121" spans="1:19" x14ac:dyDescent="0.2">
      <c r="A121" s="49"/>
      <c r="B121" s="143" t="s">
        <v>599</v>
      </c>
      <c r="C121" s="144"/>
      <c r="D121" s="16" t="s">
        <v>126</v>
      </c>
      <c r="E121" s="60"/>
      <c r="F121" s="49"/>
      <c r="G121" s="49"/>
    </row>
    <row r="122" spans="1:19" x14ac:dyDescent="0.2">
      <c r="A122" s="61"/>
      <c r="B122" s="61"/>
      <c r="C122" s="61"/>
      <c r="D122" s="61"/>
      <c r="E122" s="61"/>
      <c r="F122" s="61"/>
      <c r="G122" s="61"/>
      <c r="J122" s="14"/>
    </row>
    <row r="123" spans="1:19" s="62" customFormat="1" x14ac:dyDescent="0.2">
      <c r="B123" s="147" t="s">
        <v>600</v>
      </c>
      <c r="C123" s="148"/>
      <c r="D123" s="149"/>
      <c r="I123"/>
      <c r="J123" s="14"/>
      <c r="K123"/>
      <c r="L123" s="33"/>
      <c r="M123" s="33"/>
      <c r="N123" s="33"/>
      <c r="O123" s="68"/>
      <c r="R123"/>
      <c r="S123"/>
    </row>
    <row r="124" spans="1:19" s="62" customFormat="1" ht="38.25" x14ac:dyDescent="0.2">
      <c r="B124" s="141" t="s">
        <v>601</v>
      </c>
      <c r="C124" s="141"/>
      <c r="D124" s="63" t="s">
        <v>483</v>
      </c>
      <c r="I124"/>
      <c r="J124" s="14"/>
      <c r="K124"/>
      <c r="L124" s="33"/>
      <c r="M124" s="33"/>
      <c r="N124" s="33"/>
      <c r="O124" s="68"/>
      <c r="R124"/>
      <c r="S124"/>
    </row>
    <row r="125" spans="1:19" s="62" customFormat="1" x14ac:dyDescent="0.2">
      <c r="B125" s="142" t="s">
        <v>602</v>
      </c>
      <c r="C125" s="142"/>
      <c r="D125" s="64"/>
      <c r="I125"/>
      <c r="J125" s="14"/>
      <c r="K125"/>
      <c r="L125" s="33"/>
      <c r="M125" s="33"/>
      <c r="N125" s="33"/>
      <c r="O125" s="68"/>
      <c r="R125"/>
      <c r="S125"/>
    </row>
    <row r="126" spans="1:19" s="62" customFormat="1" x14ac:dyDescent="0.2">
      <c r="B126" s="142"/>
      <c r="C126" s="142"/>
      <c r="D126" s="65"/>
      <c r="I126"/>
      <c r="J126" s="14"/>
      <c r="K126"/>
      <c r="L126" s="33"/>
      <c r="M126" s="33"/>
      <c r="N126" s="33"/>
      <c r="O126" s="68"/>
      <c r="R126"/>
      <c r="S126"/>
    </row>
    <row r="127" spans="1:19" s="62" customFormat="1" x14ac:dyDescent="0.2">
      <c r="B127" s="142" t="s">
        <v>603</v>
      </c>
      <c r="C127" s="142"/>
      <c r="D127" s="66">
        <v>6.6468317348375479</v>
      </c>
      <c r="I127"/>
      <c r="J127" s="14"/>
      <c r="K127"/>
      <c r="L127" s="33"/>
      <c r="M127" s="33"/>
      <c r="N127" s="33"/>
      <c r="O127" s="68"/>
    </row>
    <row r="128" spans="1:19" s="62" customFormat="1" x14ac:dyDescent="0.2">
      <c r="B128" s="142"/>
      <c r="C128" s="142"/>
      <c r="D128" s="65"/>
      <c r="I128"/>
      <c r="J128" s="14"/>
      <c r="K128"/>
      <c r="L128" s="33"/>
      <c r="M128" s="33"/>
      <c r="N128" s="33"/>
      <c r="O128" s="68"/>
    </row>
    <row r="129" spans="2:15" s="62" customFormat="1" x14ac:dyDescent="0.2">
      <c r="B129" s="142" t="s">
        <v>604</v>
      </c>
      <c r="C129" s="142"/>
      <c r="D129" s="66">
        <v>2.622490164593211</v>
      </c>
      <c r="I129"/>
      <c r="J129" s="14"/>
      <c r="K129"/>
      <c r="L129" s="33"/>
      <c r="M129" s="33"/>
      <c r="N129" s="33"/>
      <c r="O129" s="68"/>
    </row>
    <row r="130" spans="2:15" s="62" customFormat="1" x14ac:dyDescent="0.2">
      <c r="B130" s="142" t="s">
        <v>619</v>
      </c>
      <c r="C130" s="142"/>
      <c r="D130" s="66">
        <v>3.1755008614776314</v>
      </c>
      <c r="I130"/>
      <c r="J130" s="14"/>
      <c r="K130"/>
      <c r="L130" s="33"/>
      <c r="M130" s="33"/>
      <c r="N130" s="33"/>
      <c r="O130" s="68"/>
    </row>
    <row r="131" spans="2:15" s="62" customFormat="1" x14ac:dyDescent="0.2">
      <c r="B131" s="142"/>
      <c r="C131" s="142"/>
      <c r="D131" s="65"/>
      <c r="I131"/>
      <c r="J131" s="14"/>
      <c r="K131"/>
      <c r="L131" s="33"/>
      <c r="M131" s="33"/>
      <c r="N131" s="33"/>
      <c r="O131" s="68"/>
    </row>
    <row r="132" spans="2:15" s="62" customFormat="1" x14ac:dyDescent="0.2">
      <c r="B132" s="142" t="s">
        <v>606</v>
      </c>
      <c r="C132" s="142"/>
      <c r="D132" s="67" t="s">
        <v>716</v>
      </c>
      <c r="I132"/>
      <c r="J132" s="14"/>
      <c r="K132" s="33"/>
      <c r="L132" s="33"/>
      <c r="M132" s="33"/>
      <c r="N132" s="33"/>
      <c r="O132" s="68"/>
    </row>
    <row r="133" spans="2:15" s="62" customFormat="1" x14ac:dyDescent="0.2">
      <c r="B133" s="155" t="s">
        <v>607</v>
      </c>
      <c r="C133" s="157"/>
      <c r="D133" s="156"/>
      <c r="I133"/>
      <c r="J133" s="14"/>
      <c r="K133"/>
      <c r="L133" s="33"/>
      <c r="M133" s="33"/>
      <c r="N133" s="33"/>
      <c r="O133" s="68"/>
    </row>
    <row r="134" spans="2:15" x14ac:dyDescent="0.2">
      <c r="J134" s="14"/>
    </row>
    <row r="135" spans="2:15" ht="13.5" x14ac:dyDescent="0.2">
      <c r="B135" s="184" t="s">
        <v>717</v>
      </c>
      <c r="C135" s="184"/>
      <c r="D135" s="184"/>
      <c r="E135" s="184"/>
      <c r="F135" s="184"/>
      <c r="G135" s="184"/>
      <c r="H135" s="184"/>
    </row>
    <row r="136" spans="2:15" ht="13.5" x14ac:dyDescent="0.2">
      <c r="B136" s="136"/>
      <c r="C136" s="136"/>
      <c r="D136" s="136"/>
      <c r="E136" s="136"/>
      <c r="F136" s="136"/>
      <c r="G136" s="136"/>
      <c r="H136" s="136"/>
      <c r="J136" s="33"/>
      <c r="K136" s="33"/>
      <c r="L136" s="33"/>
      <c r="M136" s="33"/>
      <c r="N136" s="33"/>
      <c r="O136" s="33"/>
    </row>
    <row r="137" spans="2:15" ht="13.5" x14ac:dyDescent="0.25">
      <c r="B137" s="85" t="s">
        <v>620</v>
      </c>
      <c r="C137" s="85" t="s">
        <v>621</v>
      </c>
      <c r="D137" s="185" t="s">
        <v>622</v>
      </c>
      <c r="E137" s="186"/>
      <c r="F137" s="187"/>
      <c r="G137" s="188" t="s">
        <v>623</v>
      </c>
      <c r="H137" s="189"/>
      <c r="J137" s="33"/>
      <c r="K137" s="33"/>
      <c r="L137" s="33"/>
      <c r="M137" s="33"/>
      <c r="N137" s="33"/>
      <c r="O137" s="33"/>
    </row>
    <row r="138" spans="2:15" ht="27" x14ac:dyDescent="0.25">
      <c r="B138" s="84" t="s">
        <v>628</v>
      </c>
      <c r="C138" s="83" t="s">
        <v>659</v>
      </c>
      <c r="D138" s="190">
        <v>0</v>
      </c>
      <c r="E138" s="191"/>
      <c r="F138" s="192"/>
      <c r="G138" s="190">
        <v>0</v>
      </c>
      <c r="H138" s="192"/>
      <c r="J138" s="33"/>
      <c r="K138" s="33"/>
      <c r="L138" s="33"/>
      <c r="M138" s="33"/>
      <c r="N138" s="33"/>
      <c r="O138" s="33"/>
    </row>
    <row r="139" spans="2:15" ht="27" x14ac:dyDescent="0.25">
      <c r="B139" s="84" t="s">
        <v>624</v>
      </c>
      <c r="C139" s="83" t="s">
        <v>660</v>
      </c>
      <c r="D139" s="190">
        <v>0</v>
      </c>
      <c r="E139" s="191"/>
      <c r="F139" s="192"/>
      <c r="G139" s="190">
        <v>0</v>
      </c>
      <c r="H139" s="192"/>
      <c r="J139" s="33"/>
      <c r="K139" s="33"/>
      <c r="L139" s="33"/>
      <c r="M139" s="33"/>
      <c r="N139" s="33"/>
      <c r="O139" s="33"/>
    </row>
    <row r="140" spans="2:15" ht="27" x14ac:dyDescent="0.25">
      <c r="B140" s="84" t="s">
        <v>661</v>
      </c>
      <c r="C140" s="83" t="s">
        <v>662</v>
      </c>
      <c r="D140" s="190">
        <v>0</v>
      </c>
      <c r="E140" s="191"/>
      <c r="F140" s="192"/>
      <c r="G140" s="190">
        <v>0</v>
      </c>
      <c r="H140" s="192"/>
      <c r="J140" s="33"/>
      <c r="K140" s="33"/>
      <c r="L140" s="33"/>
      <c r="M140" s="33"/>
      <c r="N140" s="33"/>
      <c r="O140" s="33"/>
    </row>
    <row r="141" spans="2:15" ht="27" x14ac:dyDescent="0.25">
      <c r="B141" s="84" t="s">
        <v>626</v>
      </c>
      <c r="C141" s="83" t="s">
        <v>663</v>
      </c>
      <c r="D141" s="165">
        <v>0</v>
      </c>
      <c r="E141" s="165"/>
      <c r="F141" s="165"/>
      <c r="G141" s="165">
        <v>0</v>
      </c>
      <c r="H141" s="165"/>
      <c r="J141" s="33"/>
      <c r="K141" s="33"/>
      <c r="L141" s="33"/>
      <c r="M141" s="33"/>
      <c r="N141" s="33"/>
      <c r="O141" s="33"/>
    </row>
    <row r="142" spans="2:15" ht="13.5" x14ac:dyDescent="0.25">
      <c r="B142" s="131"/>
      <c r="C142" s="131"/>
      <c r="D142" s="193"/>
      <c r="E142" s="193"/>
      <c r="F142" s="193"/>
      <c r="G142" s="193"/>
      <c r="H142" s="193"/>
      <c r="J142" s="33"/>
      <c r="K142" s="33"/>
      <c r="L142" s="33"/>
      <c r="M142" s="33"/>
      <c r="N142" s="33"/>
      <c r="O142" s="33"/>
    </row>
    <row r="143" spans="2:15" ht="13.5" x14ac:dyDescent="0.25">
      <c r="B143" s="194" t="s">
        <v>630</v>
      </c>
      <c r="C143" s="194"/>
      <c r="D143" s="194"/>
      <c r="E143" s="194"/>
      <c r="F143" s="194"/>
      <c r="G143" s="194"/>
      <c r="H143" s="194"/>
      <c r="J143" s="33"/>
      <c r="K143" s="33"/>
      <c r="L143" s="33"/>
      <c r="M143" s="33"/>
      <c r="N143" s="33"/>
      <c r="O143" s="33"/>
    </row>
    <row r="144" spans="2:15" ht="13.5" x14ac:dyDescent="0.2">
      <c r="B144" s="167" t="s">
        <v>620</v>
      </c>
      <c r="C144" s="167" t="s">
        <v>621</v>
      </c>
      <c r="D144" s="167" t="s">
        <v>664</v>
      </c>
      <c r="E144" s="167"/>
      <c r="F144" s="167"/>
      <c r="G144" s="167"/>
      <c r="H144" s="168" t="s">
        <v>665</v>
      </c>
      <c r="I144" s="168" t="s">
        <v>666</v>
      </c>
      <c r="J144" s="168" t="s">
        <v>667</v>
      </c>
      <c r="K144" s="33"/>
      <c r="L144" s="33"/>
      <c r="M144" s="33"/>
      <c r="N144" s="33"/>
      <c r="O144" s="33"/>
    </row>
    <row r="145" spans="2:15" ht="121.5" x14ac:dyDescent="0.2">
      <c r="B145" s="167"/>
      <c r="C145" s="167"/>
      <c r="D145" s="80" t="s">
        <v>668</v>
      </c>
      <c r="E145" s="80" t="s">
        <v>669</v>
      </c>
      <c r="F145" s="80" t="s">
        <v>670</v>
      </c>
      <c r="G145" s="80" t="s">
        <v>671</v>
      </c>
      <c r="H145" s="168"/>
      <c r="I145" s="168"/>
      <c r="J145" s="168"/>
      <c r="K145" s="33"/>
      <c r="L145" s="33"/>
      <c r="M145" s="33"/>
      <c r="N145" s="33"/>
      <c r="O145" s="33"/>
    </row>
    <row r="146" spans="2:15" ht="27" x14ac:dyDescent="0.25">
      <c r="B146" s="84" t="s">
        <v>628</v>
      </c>
      <c r="C146" s="83" t="s">
        <v>659</v>
      </c>
      <c r="D146" s="86">
        <v>3000</v>
      </c>
      <c r="E146" s="86">
        <v>198.60410960000002</v>
      </c>
      <c r="F146" s="137">
        <v>72.152053199999997</v>
      </c>
      <c r="G146" s="130">
        <v>3270.7561627999999</v>
      </c>
      <c r="H146" s="2">
        <v>1452.6372699999999</v>
      </c>
      <c r="I146" s="2">
        <f>2499839/10^5</f>
        <v>24.998390000000001</v>
      </c>
      <c r="J146" s="2">
        <f>H146+I146</f>
        <v>1477.6356599999999</v>
      </c>
      <c r="K146" s="33"/>
      <c r="L146" s="33"/>
      <c r="M146" s="33"/>
      <c r="N146" s="33"/>
      <c r="O146" s="33"/>
    </row>
    <row r="147" spans="2:15" ht="27" x14ac:dyDescent="0.25">
      <c r="B147" s="84" t="s">
        <v>624</v>
      </c>
      <c r="C147" s="83" t="s">
        <v>660</v>
      </c>
      <c r="D147" s="86">
        <v>500</v>
      </c>
      <c r="E147" s="86">
        <v>33.283561599999999</v>
      </c>
      <c r="F147" s="137">
        <v>12.091777499999999</v>
      </c>
      <c r="G147" s="130">
        <f>D147+E147+F147</f>
        <v>545.37533910000002</v>
      </c>
      <c r="H147" s="2">
        <v>242.22076999999999</v>
      </c>
      <c r="I147" s="2">
        <f>416840/10^5</f>
        <v>4.1684000000000001</v>
      </c>
      <c r="J147" s="2">
        <f>H147+I147</f>
        <v>246.38916999999998</v>
      </c>
      <c r="K147" s="33"/>
      <c r="L147" s="33"/>
      <c r="M147" s="33"/>
      <c r="N147" s="33"/>
      <c r="O147" s="33"/>
    </row>
    <row r="148" spans="2:15" ht="27" x14ac:dyDescent="0.25">
      <c r="B148" s="84" t="s">
        <v>661</v>
      </c>
      <c r="C148" s="83" t="s">
        <v>672</v>
      </c>
      <c r="D148" s="86">
        <v>2000</v>
      </c>
      <c r="E148" s="86">
        <v>39.762295099999996</v>
      </c>
      <c r="F148" s="137">
        <v>64.029485721917808</v>
      </c>
      <c r="G148" s="130">
        <v>2103.7917808219199</v>
      </c>
      <c r="H148" s="2">
        <v>933.64715000000001</v>
      </c>
      <c r="I148" s="2">
        <f>1606686/10^5</f>
        <v>16.066859999999998</v>
      </c>
      <c r="J148" s="2">
        <f>H148+I148</f>
        <v>949.71401000000003</v>
      </c>
      <c r="K148" s="33"/>
      <c r="L148" s="33"/>
      <c r="M148" s="33"/>
      <c r="N148" s="33"/>
      <c r="O148" s="33"/>
    </row>
    <row r="149" spans="2:15" ht="27" x14ac:dyDescent="0.25">
      <c r="B149" s="84" t="s">
        <v>626</v>
      </c>
      <c r="C149" s="83" t="s">
        <v>663</v>
      </c>
      <c r="D149" s="86">
        <v>1882.78</v>
      </c>
      <c r="E149" s="86">
        <v>137.066384</v>
      </c>
      <c r="F149" s="137">
        <v>34.266601500000007</v>
      </c>
      <c r="G149" s="130">
        <v>2054.1129854999999</v>
      </c>
      <c r="H149" s="2">
        <v>916.65184999999997</v>
      </c>
      <c r="I149" s="2">
        <f>1577458/10^5</f>
        <v>15.77458</v>
      </c>
      <c r="J149" s="2">
        <f>H149+I149</f>
        <v>932.42642999999998</v>
      </c>
      <c r="K149" s="33"/>
      <c r="L149" s="33"/>
      <c r="M149" s="33"/>
      <c r="N149" s="33"/>
      <c r="O149" s="33"/>
    </row>
    <row r="150" spans="2:15" ht="13.5" x14ac:dyDescent="0.25">
      <c r="B150" s="131"/>
      <c r="C150" s="132"/>
      <c r="D150" s="138"/>
      <c r="E150" s="138"/>
      <c r="F150" s="5"/>
      <c r="G150" s="134"/>
      <c r="H150" s="3"/>
      <c r="J150" s="14"/>
      <c r="K150" s="33"/>
      <c r="L150" s="33"/>
      <c r="M150" s="33"/>
      <c r="N150" s="33"/>
      <c r="O150" s="33"/>
    </row>
    <row r="151" spans="2:15" ht="39" customHeight="1" x14ac:dyDescent="0.2">
      <c r="B151" s="195" t="s">
        <v>673</v>
      </c>
      <c r="C151" s="195"/>
      <c r="D151" s="195"/>
      <c r="E151" s="195"/>
      <c r="F151" s="195"/>
      <c r="G151" s="195"/>
      <c r="H151" s="195"/>
      <c r="I151" s="195"/>
      <c r="J151" s="14"/>
      <c r="K151" s="33"/>
      <c r="L151" s="33"/>
      <c r="M151" s="33"/>
      <c r="N151" s="33"/>
      <c r="O151" s="33"/>
    </row>
    <row r="152" spans="2:15" x14ac:dyDescent="0.2">
      <c r="B152" s="33"/>
      <c r="C152" s="33"/>
      <c r="D152" s="33"/>
      <c r="E152" s="33"/>
      <c r="F152" s="33"/>
      <c r="G152" s="33"/>
      <c r="H152" s="33"/>
      <c r="J152" s="14"/>
      <c r="K152" s="33"/>
      <c r="L152" s="33"/>
      <c r="M152" s="33"/>
      <c r="N152" s="33"/>
      <c r="O152" s="33"/>
    </row>
    <row r="153" spans="2:15" ht="13.5" x14ac:dyDescent="0.25">
      <c r="B153" s="89" t="s">
        <v>650</v>
      </c>
      <c r="C153" s="33"/>
      <c r="D153" s="33"/>
      <c r="E153" s="33"/>
      <c r="F153" s="33"/>
      <c r="G153" s="33"/>
      <c r="H153" s="33"/>
      <c r="J153" s="14"/>
      <c r="K153" s="33"/>
      <c r="L153" s="33"/>
      <c r="M153" s="33"/>
      <c r="N153" s="33"/>
      <c r="O153" s="33"/>
    </row>
    <row r="154" spans="2:15" x14ac:dyDescent="0.2">
      <c r="B154" s="33"/>
      <c r="C154" s="33"/>
      <c r="D154" s="33"/>
      <c r="E154" s="33"/>
      <c r="F154" s="33"/>
      <c r="G154" s="33"/>
      <c r="H154" s="33"/>
      <c r="I154" s="33"/>
      <c r="J154" s="14"/>
      <c r="K154" s="33"/>
      <c r="L154" s="33"/>
      <c r="M154" s="33"/>
      <c r="N154" s="33"/>
      <c r="O154" s="33"/>
    </row>
    <row r="155" spans="2:15" x14ac:dyDescent="0.2">
      <c r="B155" s="90" t="s">
        <v>651</v>
      </c>
      <c r="C155" s="33"/>
      <c r="D155" s="33"/>
      <c r="E155" s="33"/>
      <c r="F155" s="33"/>
      <c r="G155" s="33"/>
      <c r="H155" s="33"/>
      <c r="I155" s="33"/>
      <c r="J155" s="14"/>
      <c r="K155" s="33"/>
      <c r="L155" s="33"/>
      <c r="M155" s="33"/>
      <c r="N155" s="33"/>
      <c r="O155" s="33"/>
    </row>
    <row r="156" spans="2:15" x14ac:dyDescent="0.2">
      <c r="B156" s="33"/>
      <c r="C156" s="33"/>
      <c r="D156" s="33"/>
      <c r="E156" s="33"/>
      <c r="F156" s="33"/>
      <c r="G156" s="33"/>
      <c r="H156" s="33"/>
      <c r="I156" s="33"/>
      <c r="J156" s="14"/>
      <c r="K156" s="33"/>
      <c r="L156" s="33"/>
      <c r="M156" s="33"/>
      <c r="N156" s="33"/>
      <c r="O156" s="33"/>
    </row>
    <row r="157" spans="2:15" x14ac:dyDescent="0.2">
      <c r="B157" s="90" t="s">
        <v>652</v>
      </c>
      <c r="C157" s="33"/>
      <c r="D157" s="33"/>
      <c r="E157" s="33"/>
      <c r="F157" s="33"/>
      <c r="G157" s="33"/>
      <c r="H157" s="33"/>
      <c r="I157" s="33"/>
      <c r="J157" s="14"/>
      <c r="K157" s="33"/>
      <c r="L157" s="33"/>
      <c r="M157" s="33"/>
      <c r="N157" s="33"/>
      <c r="O157" s="33"/>
    </row>
    <row r="158" spans="2:15" x14ac:dyDescent="0.2">
      <c r="I158" s="33"/>
      <c r="J158" s="14"/>
      <c r="K158" s="33"/>
      <c r="L158" s="33"/>
      <c r="M158" s="33"/>
      <c r="N158" s="33"/>
      <c r="O158" s="33"/>
    </row>
    <row r="159" spans="2:15" x14ac:dyDescent="0.2">
      <c r="B159" s="90" t="s">
        <v>653</v>
      </c>
      <c r="J159" s="14"/>
      <c r="K159" s="33"/>
      <c r="L159" s="33"/>
      <c r="M159" s="33"/>
      <c r="N159" s="33"/>
      <c r="O159" s="33"/>
    </row>
    <row r="160" spans="2:15" x14ac:dyDescent="0.2">
      <c r="I160" s="33"/>
      <c r="J160" s="14"/>
      <c r="K160" s="33"/>
      <c r="L160" s="33"/>
      <c r="M160" s="33"/>
      <c r="N160" s="33"/>
      <c r="O160" s="33"/>
    </row>
    <row r="161" spans="2:10" x14ac:dyDescent="0.2">
      <c r="B161" s="70" t="s">
        <v>608</v>
      </c>
    </row>
    <row r="163" spans="2:10" ht="153.75" customHeight="1" x14ac:dyDescent="0.2"/>
    <row r="166" spans="2:10" x14ac:dyDescent="0.2">
      <c r="B166" s="70" t="s">
        <v>609</v>
      </c>
      <c r="C166" s="71"/>
      <c r="D166" s="70"/>
    </row>
    <row r="167" spans="2:10" x14ac:dyDescent="0.2">
      <c r="B167" s="70" t="s">
        <v>674</v>
      </c>
      <c r="D167" s="70"/>
    </row>
    <row r="168" spans="2:10" ht="165" customHeight="1" x14ac:dyDescent="0.2"/>
    <row r="170" spans="2:10" x14ac:dyDescent="0.2">
      <c r="J170" s="14"/>
    </row>
  </sheetData>
  <mergeCells count="46">
    <mergeCell ref="J144:J145"/>
    <mergeCell ref="B151:I151"/>
    <mergeCell ref="B144:B145"/>
    <mergeCell ref="C144:C145"/>
    <mergeCell ref="D144:G144"/>
    <mergeCell ref="H144:H145"/>
    <mergeCell ref="I144:I145"/>
    <mergeCell ref="D141:F141"/>
    <mergeCell ref="G141:H141"/>
    <mergeCell ref="D142:F142"/>
    <mergeCell ref="G142:H142"/>
    <mergeCell ref="B143:H143"/>
    <mergeCell ref="D138:F138"/>
    <mergeCell ref="G138:H138"/>
    <mergeCell ref="D139:F139"/>
    <mergeCell ref="G139:H139"/>
    <mergeCell ref="D140:F140"/>
    <mergeCell ref="G140:H140"/>
    <mergeCell ref="B131:C131"/>
    <mergeCell ref="B132:C132"/>
    <mergeCell ref="B133:D133"/>
    <mergeCell ref="B135:H135"/>
    <mergeCell ref="D137:F137"/>
    <mergeCell ref="G137:H137"/>
    <mergeCell ref="B126:C126"/>
    <mergeCell ref="B127:C127"/>
    <mergeCell ref="B128:C128"/>
    <mergeCell ref="B129:C129"/>
    <mergeCell ref="B130:C130"/>
    <mergeCell ref="A1:H1"/>
    <mergeCell ref="A2:H2"/>
    <mergeCell ref="A3:H3"/>
    <mergeCell ref="B102:H102"/>
    <mergeCell ref="B103:H103"/>
    <mergeCell ref="B104:H104"/>
    <mergeCell ref="B106:D106"/>
    <mergeCell ref="B107:C107"/>
    <mergeCell ref="B108:C108"/>
    <mergeCell ref="B109:C109"/>
    <mergeCell ref="B124:C124"/>
    <mergeCell ref="B125:C125"/>
    <mergeCell ref="B119:C119"/>
    <mergeCell ref="B120:C120"/>
    <mergeCell ref="B117:C117"/>
    <mergeCell ref="B121:C121"/>
    <mergeCell ref="B123:D123"/>
  </mergeCells>
  <hyperlinks>
    <hyperlink ref="I1" location="Index!B2" display="Index" xr:uid="{20AA7D32-F234-4277-8C88-7FA2D2E8491F}"/>
    <hyperlink ref="B155" r:id="rId1" xr:uid="{B658EA5A-1FF1-432D-A090-819E38D4CEDE}"/>
    <hyperlink ref="B157" r:id="rId2" xr:uid="{93792D95-C124-4AC9-9BCF-3A00136EBC2A}"/>
    <hyperlink ref="B159" r:id="rId3" xr:uid="{8C52CDB2-7E70-4950-8D2D-A1CE54F1BB2C}"/>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8FFBA-CCBB-4B38-870C-FE76C6D86511}">
  <sheetPr>
    <outlinePr summaryBelow="0" summaryRight="0"/>
  </sheetPr>
  <dimension ref="A1:Q208"/>
  <sheetViews>
    <sheetView showGridLines="0" workbookViewId="0">
      <selection activeCell="C34" sqref="C34"/>
    </sheetView>
  </sheetViews>
  <sheetFormatPr defaultColWidth="9.140625" defaultRowHeight="12.75" x14ac:dyDescent="0.2"/>
  <cols>
    <col min="1" max="1" width="5.85546875" bestFit="1" customWidth="1"/>
    <col min="2" max="2" width="19.28515625" bestFit="1" customWidth="1"/>
    <col min="3" max="3" width="43.5703125" customWidth="1"/>
    <col min="4" max="4" width="12.7109375" customWidth="1"/>
    <col min="5" max="5" width="9.42578125" bestFit="1" customWidth="1"/>
    <col min="6" max="6" width="10.140625" bestFit="1" customWidth="1"/>
    <col min="7" max="7" width="14" bestFit="1" customWidth="1"/>
    <col min="8" max="8" width="10.85546875" customWidth="1"/>
    <col min="9" max="9" width="8.7109375" customWidth="1"/>
  </cols>
  <sheetData>
    <row r="1" spans="1:9" ht="15" x14ac:dyDescent="0.2">
      <c r="A1" s="154" t="s">
        <v>0</v>
      </c>
      <c r="B1" s="154"/>
      <c r="C1" s="154"/>
      <c r="D1" s="154"/>
      <c r="E1" s="154"/>
      <c r="F1" s="154"/>
      <c r="G1" s="154"/>
      <c r="H1" s="154"/>
      <c r="I1" s="1" t="s">
        <v>592</v>
      </c>
    </row>
    <row r="2" spans="1:9" ht="15" x14ac:dyDescent="0.2">
      <c r="A2" s="154" t="s">
        <v>500</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734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35">
        <v>1</v>
      </c>
      <c r="B7" s="36" t="s">
        <v>614</v>
      </c>
      <c r="C7" s="36" t="s">
        <v>615</v>
      </c>
      <c r="D7" s="36" t="s">
        <v>616</v>
      </c>
      <c r="E7" s="76">
        <v>13333</v>
      </c>
      <c r="F7" s="38">
        <v>0.01</v>
      </c>
      <c r="G7" s="105" t="s">
        <v>617</v>
      </c>
      <c r="H7" s="17" t="s">
        <v>12</v>
      </c>
    </row>
    <row r="8" spans="1:9" x14ac:dyDescent="0.2">
      <c r="A8" s="15"/>
      <c r="B8" s="15"/>
      <c r="C8" s="16" t="s">
        <v>11</v>
      </c>
      <c r="D8" s="15"/>
      <c r="E8" s="15" t="s">
        <v>12</v>
      </c>
      <c r="F8" s="40">
        <f>SUM(F7)</f>
        <v>0.01</v>
      </c>
      <c r="G8" s="41">
        <v>0</v>
      </c>
      <c r="H8" s="17" t="s">
        <v>12</v>
      </c>
    </row>
    <row r="9" spans="1:9" x14ac:dyDescent="0.2">
      <c r="A9" s="18"/>
      <c r="B9" s="18"/>
      <c r="C9" s="22"/>
      <c r="D9" s="18"/>
      <c r="E9" s="18"/>
      <c r="F9" s="23"/>
      <c r="G9" s="23"/>
      <c r="H9" s="17" t="s">
        <v>12</v>
      </c>
    </row>
    <row r="10" spans="1:9" x14ac:dyDescent="0.2">
      <c r="A10" s="18"/>
      <c r="B10" s="18"/>
      <c r="C10" s="19" t="s">
        <v>14</v>
      </c>
      <c r="D10" s="18"/>
      <c r="E10" s="18"/>
      <c r="F10" s="18"/>
      <c r="G10" s="18"/>
      <c r="H10" s="17" t="s">
        <v>12</v>
      </c>
    </row>
    <row r="11" spans="1:9" x14ac:dyDescent="0.2">
      <c r="A11" s="18"/>
      <c r="B11" s="18"/>
      <c r="C11" s="19" t="s">
        <v>11</v>
      </c>
      <c r="D11" s="18"/>
      <c r="E11" s="18" t="s">
        <v>12</v>
      </c>
      <c r="F11" s="20" t="s">
        <v>13</v>
      </c>
      <c r="G11" s="21">
        <v>0</v>
      </c>
      <c r="H11" s="17" t="s">
        <v>12</v>
      </c>
    </row>
    <row r="12" spans="1:9" x14ac:dyDescent="0.2">
      <c r="A12" s="18"/>
      <c r="B12" s="18"/>
      <c r="C12" s="22"/>
      <c r="D12" s="18"/>
      <c r="E12" s="18"/>
      <c r="F12" s="23"/>
      <c r="G12" s="23"/>
      <c r="H12" s="17" t="s">
        <v>12</v>
      </c>
    </row>
    <row r="13" spans="1:9" x14ac:dyDescent="0.2">
      <c r="A13" s="18"/>
      <c r="B13" s="18"/>
      <c r="C13" s="19" t="s">
        <v>15</v>
      </c>
      <c r="D13" s="18"/>
      <c r="E13" s="18"/>
      <c r="F13" s="18"/>
      <c r="G13" s="18"/>
      <c r="H13" s="17" t="s">
        <v>12</v>
      </c>
    </row>
    <row r="14" spans="1:9" x14ac:dyDescent="0.2">
      <c r="A14" s="18"/>
      <c r="B14" s="18"/>
      <c r="C14" s="19" t="s">
        <v>11</v>
      </c>
      <c r="D14" s="18"/>
      <c r="E14" s="18" t="s">
        <v>12</v>
      </c>
      <c r="F14" s="20" t="s">
        <v>13</v>
      </c>
      <c r="G14" s="21">
        <v>0</v>
      </c>
      <c r="H14" s="17" t="s">
        <v>12</v>
      </c>
    </row>
    <row r="15" spans="1:9" x14ac:dyDescent="0.2">
      <c r="A15" s="18"/>
      <c r="B15" s="18"/>
      <c r="C15" s="22"/>
      <c r="D15" s="18"/>
      <c r="E15" s="18"/>
      <c r="F15" s="23"/>
      <c r="G15" s="23"/>
      <c r="H15" s="17" t="s">
        <v>12</v>
      </c>
    </row>
    <row r="16" spans="1:9" x14ac:dyDescent="0.2">
      <c r="A16" s="18"/>
      <c r="B16" s="18"/>
      <c r="C16" s="19" t="s">
        <v>16</v>
      </c>
      <c r="D16" s="18"/>
      <c r="E16" s="18"/>
      <c r="F16" s="18"/>
      <c r="G16" s="18"/>
      <c r="H16" s="17" t="s">
        <v>12</v>
      </c>
    </row>
    <row r="17" spans="1:8" x14ac:dyDescent="0.2">
      <c r="A17" s="18"/>
      <c r="B17" s="18"/>
      <c r="C17" s="19" t="s">
        <v>11</v>
      </c>
      <c r="D17" s="18"/>
      <c r="E17" s="18" t="s">
        <v>12</v>
      </c>
      <c r="F17" s="20" t="s">
        <v>13</v>
      </c>
      <c r="G17" s="21">
        <v>0</v>
      </c>
      <c r="H17" s="17" t="s">
        <v>12</v>
      </c>
    </row>
    <row r="18" spans="1:8" x14ac:dyDescent="0.2">
      <c r="A18" s="18"/>
      <c r="B18" s="18"/>
      <c r="C18" s="22"/>
      <c r="D18" s="18"/>
      <c r="E18" s="18"/>
      <c r="F18" s="23"/>
      <c r="G18" s="23"/>
      <c r="H18" s="17" t="s">
        <v>12</v>
      </c>
    </row>
    <row r="19" spans="1:8" x14ac:dyDescent="0.2">
      <c r="A19" s="18"/>
      <c r="B19" s="18"/>
      <c r="C19" s="19" t="s">
        <v>17</v>
      </c>
      <c r="D19" s="18"/>
      <c r="E19" s="18"/>
      <c r="F19" s="23"/>
      <c r="G19" s="23"/>
      <c r="H19" s="17" t="s">
        <v>12</v>
      </c>
    </row>
    <row r="20" spans="1:8" x14ac:dyDescent="0.2">
      <c r="A20" s="18"/>
      <c r="B20" s="18"/>
      <c r="C20" s="19" t="s">
        <v>11</v>
      </c>
      <c r="D20" s="18"/>
      <c r="E20" s="18" t="s">
        <v>12</v>
      </c>
      <c r="F20" s="20" t="s">
        <v>13</v>
      </c>
      <c r="G20" s="21">
        <v>0</v>
      </c>
      <c r="H20" s="17" t="s">
        <v>12</v>
      </c>
    </row>
    <row r="21" spans="1:8" x14ac:dyDescent="0.2">
      <c r="A21" s="18"/>
      <c r="B21" s="18"/>
      <c r="C21" s="22"/>
      <c r="D21" s="18"/>
      <c r="E21" s="18"/>
      <c r="F21" s="23"/>
      <c r="G21" s="23"/>
      <c r="H21" s="17" t="s">
        <v>12</v>
      </c>
    </row>
    <row r="22" spans="1:8" x14ac:dyDescent="0.2">
      <c r="A22" s="18"/>
      <c r="B22" s="18"/>
      <c r="C22" s="19" t="s">
        <v>18</v>
      </c>
      <c r="D22" s="18"/>
      <c r="E22" s="18"/>
      <c r="F22" s="23"/>
      <c r="G22" s="23"/>
      <c r="H22" s="17" t="s">
        <v>12</v>
      </c>
    </row>
    <row r="23" spans="1:8" x14ac:dyDescent="0.2">
      <c r="A23" s="18"/>
      <c r="B23" s="18"/>
      <c r="C23" s="19" t="s">
        <v>11</v>
      </c>
      <c r="D23" s="18"/>
      <c r="E23" s="18" t="s">
        <v>12</v>
      </c>
      <c r="F23" s="20" t="s">
        <v>13</v>
      </c>
      <c r="G23" s="21">
        <v>0</v>
      </c>
      <c r="H23" s="17" t="s">
        <v>12</v>
      </c>
    </row>
    <row r="24" spans="1:8" x14ac:dyDescent="0.2">
      <c r="A24" s="18"/>
      <c r="B24" s="18"/>
      <c r="C24" s="22"/>
      <c r="D24" s="18"/>
      <c r="E24" s="18"/>
      <c r="F24" s="23"/>
      <c r="G24" s="23"/>
      <c r="H24" s="17" t="s">
        <v>12</v>
      </c>
    </row>
    <row r="25" spans="1:8" x14ac:dyDescent="0.2">
      <c r="A25" s="18"/>
      <c r="B25" s="18"/>
      <c r="C25" s="19" t="s">
        <v>19</v>
      </c>
      <c r="D25" s="18"/>
      <c r="E25" s="18"/>
      <c r="F25" s="24">
        <f>F8</f>
        <v>0.01</v>
      </c>
      <c r="G25" s="21">
        <v>0</v>
      </c>
      <c r="H25" s="17" t="s">
        <v>12</v>
      </c>
    </row>
    <row r="26" spans="1:8" x14ac:dyDescent="0.2">
      <c r="A26" s="18"/>
      <c r="B26" s="18"/>
      <c r="C26" s="22"/>
      <c r="D26" s="18"/>
      <c r="E26" s="18"/>
      <c r="F26" s="23"/>
      <c r="G26" s="23"/>
      <c r="H26" s="17" t="s">
        <v>12</v>
      </c>
    </row>
    <row r="27" spans="1:8" x14ac:dyDescent="0.2">
      <c r="A27" s="18"/>
      <c r="B27" s="18"/>
      <c r="C27" s="19" t="s">
        <v>20</v>
      </c>
      <c r="D27" s="18"/>
      <c r="E27" s="18"/>
      <c r="F27" s="23"/>
      <c r="G27" s="23"/>
      <c r="H27" s="17" t="s">
        <v>12</v>
      </c>
    </row>
    <row r="28" spans="1:8" x14ac:dyDescent="0.2">
      <c r="A28" s="18"/>
      <c r="B28" s="18"/>
      <c r="C28" s="19" t="s">
        <v>10</v>
      </c>
      <c r="D28" s="18"/>
      <c r="E28" s="18"/>
      <c r="F28" s="23"/>
      <c r="G28" s="23"/>
      <c r="H28" s="17" t="s">
        <v>12</v>
      </c>
    </row>
    <row r="29" spans="1:8" x14ac:dyDescent="0.2">
      <c r="A29" s="25">
        <v>1</v>
      </c>
      <c r="B29" s="26" t="s">
        <v>297</v>
      </c>
      <c r="C29" s="26" t="s">
        <v>298</v>
      </c>
      <c r="D29" s="26" t="s">
        <v>26</v>
      </c>
      <c r="E29" s="27">
        <v>8000</v>
      </c>
      <c r="F29" s="28">
        <v>8066.4160000000002</v>
      </c>
      <c r="G29" s="29">
        <v>3.4761140000000003E-2</v>
      </c>
      <c r="H29" s="17">
        <v>6.49</v>
      </c>
    </row>
    <row r="30" spans="1:8" x14ac:dyDescent="0.2">
      <c r="A30" s="25">
        <v>2</v>
      </c>
      <c r="B30" s="26" t="s">
        <v>299</v>
      </c>
      <c r="C30" s="26" t="s">
        <v>300</v>
      </c>
      <c r="D30" s="26" t="s">
        <v>23</v>
      </c>
      <c r="E30" s="27">
        <v>7000</v>
      </c>
      <c r="F30" s="28">
        <v>7034.0129999999999</v>
      </c>
      <c r="G30" s="29">
        <v>3.0312140000000001E-2</v>
      </c>
      <c r="H30" s="17">
        <v>6.83</v>
      </c>
    </row>
    <row r="31" spans="1:8" ht="25.5" x14ac:dyDescent="0.2">
      <c r="A31" s="25">
        <v>3</v>
      </c>
      <c r="B31" s="26" t="s">
        <v>501</v>
      </c>
      <c r="C31" s="26" t="s">
        <v>502</v>
      </c>
      <c r="D31" s="26" t="s">
        <v>23</v>
      </c>
      <c r="E31" s="27">
        <v>5000</v>
      </c>
      <c r="F31" s="28">
        <v>5048.3249999999998</v>
      </c>
      <c r="G31" s="29">
        <v>2.175508E-2</v>
      </c>
      <c r="H31" s="17">
        <v>6.4850000000000003</v>
      </c>
    </row>
    <row r="32" spans="1:8" ht="25.5" x14ac:dyDescent="0.2">
      <c r="A32" s="25">
        <v>4</v>
      </c>
      <c r="B32" s="26" t="s">
        <v>503</v>
      </c>
      <c r="C32" s="26" t="s">
        <v>779</v>
      </c>
      <c r="D32" s="26" t="s">
        <v>26</v>
      </c>
      <c r="E32" s="27">
        <v>5000</v>
      </c>
      <c r="F32" s="28">
        <v>5041.57</v>
      </c>
      <c r="G32" s="29">
        <v>2.1725970000000001E-2</v>
      </c>
      <c r="H32" s="17">
        <v>6.43</v>
      </c>
    </row>
    <row r="33" spans="1:8" x14ac:dyDescent="0.2">
      <c r="A33" s="25">
        <v>5</v>
      </c>
      <c r="B33" s="26" t="s">
        <v>294</v>
      </c>
      <c r="C33" s="26" t="s">
        <v>295</v>
      </c>
      <c r="D33" s="26" t="s">
        <v>296</v>
      </c>
      <c r="E33" s="27">
        <v>3000</v>
      </c>
      <c r="F33" s="28">
        <v>3032.337</v>
      </c>
      <c r="G33" s="29">
        <v>1.306745E-2</v>
      </c>
      <c r="H33" s="17">
        <v>7.5449999999999999</v>
      </c>
    </row>
    <row r="34" spans="1:8" ht="25.5" x14ac:dyDescent="0.2">
      <c r="A34" s="25">
        <v>6</v>
      </c>
      <c r="B34" s="26" t="s">
        <v>504</v>
      </c>
      <c r="C34" s="26" t="s">
        <v>780</v>
      </c>
      <c r="D34" s="26" t="s">
        <v>23</v>
      </c>
      <c r="E34" s="27">
        <v>2500</v>
      </c>
      <c r="F34" s="28">
        <v>2525.21</v>
      </c>
      <c r="G34" s="29">
        <v>1.0882050000000001E-2</v>
      </c>
      <c r="H34" s="17">
        <v>6.55</v>
      </c>
    </row>
    <row r="35" spans="1:8" x14ac:dyDescent="0.2">
      <c r="A35" s="25">
        <v>7</v>
      </c>
      <c r="B35" s="26" t="s">
        <v>505</v>
      </c>
      <c r="C35" s="26" t="s">
        <v>506</v>
      </c>
      <c r="D35" s="26" t="s">
        <v>23</v>
      </c>
      <c r="E35" s="27">
        <v>250</v>
      </c>
      <c r="F35" s="28">
        <v>2521.9074999999998</v>
      </c>
      <c r="G35" s="29">
        <v>1.086782E-2</v>
      </c>
      <c r="H35" s="17">
        <v>7.17</v>
      </c>
    </row>
    <row r="36" spans="1:8" ht="25.5" x14ac:dyDescent="0.2">
      <c r="A36" s="25">
        <v>8</v>
      </c>
      <c r="B36" s="26" t="s">
        <v>318</v>
      </c>
      <c r="C36" s="26" t="s">
        <v>319</v>
      </c>
      <c r="D36" s="26" t="s">
        <v>306</v>
      </c>
      <c r="E36" s="27">
        <v>200</v>
      </c>
      <c r="F36" s="28">
        <v>2006.356</v>
      </c>
      <c r="G36" s="29">
        <v>8.6461200000000002E-3</v>
      </c>
      <c r="H36" s="17">
        <v>6.81</v>
      </c>
    </row>
    <row r="37" spans="1:8" x14ac:dyDescent="0.2">
      <c r="A37" s="25">
        <v>9</v>
      </c>
      <c r="B37" s="26" t="s">
        <v>291</v>
      </c>
      <c r="C37" s="26" t="s">
        <v>292</v>
      </c>
      <c r="D37" s="26" t="s">
        <v>293</v>
      </c>
      <c r="E37" s="27">
        <v>1600</v>
      </c>
      <c r="F37" s="28">
        <v>1617.3119999999999</v>
      </c>
      <c r="G37" s="29">
        <v>6.9695900000000003E-3</v>
      </c>
      <c r="H37" s="17">
        <v>6.9450000000000003</v>
      </c>
    </row>
    <row r="38" spans="1:8" x14ac:dyDescent="0.2">
      <c r="A38" s="25">
        <v>10</v>
      </c>
      <c r="B38" s="26" t="s">
        <v>320</v>
      </c>
      <c r="C38" s="26" t="s">
        <v>321</v>
      </c>
      <c r="D38" s="26" t="s">
        <v>306</v>
      </c>
      <c r="E38" s="27">
        <v>1500</v>
      </c>
      <c r="F38" s="28">
        <v>1522.4114999999999</v>
      </c>
      <c r="G38" s="29">
        <v>6.5606299999999996E-3</v>
      </c>
      <c r="H38" s="17">
        <v>7.92</v>
      </c>
    </row>
    <row r="39" spans="1:8" x14ac:dyDescent="0.2">
      <c r="A39" s="25">
        <v>11</v>
      </c>
      <c r="B39" s="26" t="s">
        <v>507</v>
      </c>
      <c r="C39" s="26" t="s">
        <v>508</v>
      </c>
      <c r="D39" s="26" t="s">
        <v>23</v>
      </c>
      <c r="E39" s="27">
        <v>150</v>
      </c>
      <c r="F39" s="28">
        <v>1511.376</v>
      </c>
      <c r="G39" s="29">
        <v>6.5130700000000001E-3</v>
      </c>
      <c r="H39" s="17">
        <v>6.9050000000000002</v>
      </c>
    </row>
    <row r="40" spans="1:8" ht="25.5" x14ac:dyDescent="0.2">
      <c r="A40" s="25">
        <v>12</v>
      </c>
      <c r="B40" s="26" t="s">
        <v>509</v>
      </c>
      <c r="C40" s="26" t="s">
        <v>510</v>
      </c>
      <c r="D40" s="26" t="s">
        <v>306</v>
      </c>
      <c r="E40" s="27">
        <v>1300</v>
      </c>
      <c r="F40" s="28">
        <v>1300.4731999999999</v>
      </c>
      <c r="G40" s="29">
        <v>5.60422E-3</v>
      </c>
      <c r="H40" s="17">
        <v>7.33</v>
      </c>
    </row>
    <row r="41" spans="1:8" ht="25.5" x14ac:dyDescent="0.2">
      <c r="A41" s="25">
        <v>13</v>
      </c>
      <c r="B41" s="26" t="s">
        <v>75</v>
      </c>
      <c r="C41" s="26" t="s">
        <v>76</v>
      </c>
      <c r="D41" s="26" t="s">
        <v>23</v>
      </c>
      <c r="E41" s="27">
        <v>1000</v>
      </c>
      <c r="F41" s="28">
        <v>1008.494</v>
      </c>
      <c r="G41" s="29">
        <v>4.3459700000000002E-3</v>
      </c>
      <c r="H41" s="17">
        <v>6.55</v>
      </c>
    </row>
    <row r="42" spans="1:8" x14ac:dyDescent="0.2">
      <c r="A42" s="18"/>
      <c r="B42" s="18"/>
      <c r="C42" s="19" t="s">
        <v>11</v>
      </c>
      <c r="D42" s="18"/>
      <c r="E42" s="18" t="s">
        <v>12</v>
      </c>
      <c r="F42" s="24">
        <v>42236.201200000003</v>
      </c>
      <c r="G42" s="21">
        <v>0.18201125000000001</v>
      </c>
      <c r="H42" s="17" t="s">
        <v>12</v>
      </c>
    </row>
    <row r="43" spans="1:8" x14ac:dyDescent="0.2">
      <c r="A43" s="18"/>
      <c r="B43" s="18"/>
      <c r="C43" s="22"/>
      <c r="D43" s="18"/>
      <c r="E43" s="18"/>
      <c r="F43" s="23"/>
      <c r="G43" s="23"/>
      <c r="H43" s="17" t="s">
        <v>12</v>
      </c>
    </row>
    <row r="44" spans="1:8" x14ac:dyDescent="0.2">
      <c r="A44" s="18"/>
      <c r="B44" s="18"/>
      <c r="C44" s="19" t="s">
        <v>81</v>
      </c>
      <c r="D44" s="18"/>
      <c r="E44" s="18"/>
      <c r="F44" s="18"/>
      <c r="G44" s="18"/>
      <c r="H44" s="17" t="s">
        <v>12</v>
      </c>
    </row>
    <row r="45" spans="1:8" x14ac:dyDescent="0.2">
      <c r="A45" s="18"/>
      <c r="B45" s="18"/>
      <c r="C45" s="19" t="s">
        <v>11</v>
      </c>
      <c r="D45" s="18"/>
      <c r="E45" s="18" t="s">
        <v>12</v>
      </c>
      <c r="F45" s="20" t="s">
        <v>13</v>
      </c>
      <c r="G45" s="21">
        <v>0</v>
      </c>
      <c r="H45" s="17" t="s">
        <v>12</v>
      </c>
    </row>
    <row r="46" spans="1:8" x14ac:dyDescent="0.2">
      <c r="A46" s="18"/>
      <c r="B46" s="18"/>
      <c r="C46" s="22"/>
      <c r="D46" s="18"/>
      <c r="E46" s="18"/>
      <c r="F46" s="23"/>
      <c r="G46" s="23"/>
      <c r="H46" s="17" t="s">
        <v>12</v>
      </c>
    </row>
    <row r="47" spans="1:8" x14ac:dyDescent="0.2">
      <c r="A47" s="18"/>
      <c r="B47" s="18"/>
      <c r="C47" s="19" t="s">
        <v>82</v>
      </c>
      <c r="D47" s="18"/>
      <c r="E47" s="18"/>
      <c r="F47" s="18"/>
      <c r="G47" s="18"/>
      <c r="H47" s="17" t="s">
        <v>12</v>
      </c>
    </row>
    <row r="48" spans="1:8" x14ac:dyDescent="0.2">
      <c r="A48" s="18"/>
      <c r="B48" s="18"/>
      <c r="C48" s="19" t="s">
        <v>11</v>
      </c>
      <c r="D48" s="18"/>
      <c r="E48" s="18" t="s">
        <v>12</v>
      </c>
      <c r="F48" s="20" t="s">
        <v>13</v>
      </c>
      <c r="G48" s="21">
        <v>0</v>
      </c>
      <c r="H48" s="17" t="s">
        <v>12</v>
      </c>
    </row>
    <row r="49" spans="1:8" x14ac:dyDescent="0.2">
      <c r="A49" s="18"/>
      <c r="B49" s="18"/>
      <c r="C49" s="22"/>
      <c r="D49" s="18"/>
      <c r="E49" s="18"/>
      <c r="F49" s="23"/>
      <c r="G49" s="23"/>
      <c r="H49" s="17" t="s">
        <v>12</v>
      </c>
    </row>
    <row r="50" spans="1:8" x14ac:dyDescent="0.2">
      <c r="A50" s="18"/>
      <c r="B50" s="18"/>
      <c r="C50" s="19" t="s">
        <v>100</v>
      </c>
      <c r="D50" s="18"/>
      <c r="E50" s="18"/>
      <c r="F50" s="23"/>
      <c r="G50" s="23"/>
      <c r="H50" s="17" t="s">
        <v>12</v>
      </c>
    </row>
    <row r="51" spans="1:8" x14ac:dyDescent="0.2">
      <c r="A51" s="18"/>
      <c r="B51" s="18"/>
      <c r="C51" s="19" t="s">
        <v>11</v>
      </c>
      <c r="D51" s="18"/>
      <c r="E51" s="18" t="s">
        <v>12</v>
      </c>
      <c r="F51" s="20" t="s">
        <v>13</v>
      </c>
      <c r="G51" s="21">
        <v>0</v>
      </c>
      <c r="H51" s="17" t="s">
        <v>12</v>
      </c>
    </row>
    <row r="52" spans="1:8" x14ac:dyDescent="0.2">
      <c r="A52" s="18"/>
      <c r="B52" s="18"/>
      <c r="C52" s="22"/>
      <c r="D52" s="18"/>
      <c r="E52" s="18"/>
      <c r="F52" s="23"/>
      <c r="G52" s="23"/>
      <c r="H52" s="17" t="s">
        <v>12</v>
      </c>
    </row>
    <row r="53" spans="1:8" x14ac:dyDescent="0.2">
      <c r="A53" s="18"/>
      <c r="B53" s="18"/>
      <c r="C53" s="19" t="s">
        <v>101</v>
      </c>
      <c r="D53" s="18"/>
      <c r="E53" s="18"/>
      <c r="F53" s="24">
        <v>42236.201200000003</v>
      </c>
      <c r="G53" s="21">
        <v>0.18201125000000001</v>
      </c>
      <c r="H53" s="17" t="s">
        <v>12</v>
      </c>
    </row>
    <row r="54" spans="1:8" x14ac:dyDescent="0.2">
      <c r="A54" s="18"/>
      <c r="B54" s="18"/>
      <c r="C54" s="22"/>
      <c r="D54" s="18"/>
      <c r="E54" s="18"/>
      <c r="F54" s="23"/>
      <c r="G54" s="23"/>
      <c r="H54" s="17" t="s">
        <v>12</v>
      </c>
    </row>
    <row r="55" spans="1:8" x14ac:dyDescent="0.2">
      <c r="A55" s="18"/>
      <c r="B55" s="18"/>
      <c r="C55" s="19" t="s">
        <v>102</v>
      </c>
      <c r="D55" s="18"/>
      <c r="E55" s="18"/>
      <c r="F55" s="23"/>
      <c r="G55" s="23"/>
      <c r="H55" s="17" t="s">
        <v>12</v>
      </c>
    </row>
    <row r="56" spans="1:8" x14ac:dyDescent="0.2">
      <c r="A56" s="18"/>
      <c r="B56" s="18"/>
      <c r="C56" s="19" t="s">
        <v>103</v>
      </c>
      <c r="D56" s="18"/>
      <c r="E56" s="18"/>
      <c r="F56" s="23"/>
      <c r="G56" s="23"/>
      <c r="H56" s="17" t="s">
        <v>12</v>
      </c>
    </row>
    <row r="57" spans="1:8" x14ac:dyDescent="0.2">
      <c r="A57" s="25">
        <v>1</v>
      </c>
      <c r="B57" s="26" t="s">
        <v>189</v>
      </c>
      <c r="C57" s="26" t="s">
        <v>190</v>
      </c>
      <c r="D57" s="26" t="s">
        <v>191</v>
      </c>
      <c r="E57" s="27">
        <v>3100</v>
      </c>
      <c r="F57" s="28">
        <v>15206.5075</v>
      </c>
      <c r="G57" s="29">
        <v>6.5530409999999997E-2</v>
      </c>
      <c r="H57" s="17">
        <v>5.9701000000000004</v>
      </c>
    </row>
    <row r="58" spans="1:8" ht="25.5" x14ac:dyDescent="0.2">
      <c r="A58" s="25">
        <v>2</v>
      </c>
      <c r="B58" s="26" t="s">
        <v>511</v>
      </c>
      <c r="C58" s="26" t="s">
        <v>774</v>
      </c>
      <c r="D58" s="26" t="s">
        <v>109</v>
      </c>
      <c r="E58" s="27">
        <v>2000</v>
      </c>
      <c r="F58" s="28">
        <v>9819.6299999999992</v>
      </c>
      <c r="G58" s="29">
        <v>4.2316380000000001E-2</v>
      </c>
      <c r="H58" s="17">
        <v>6.04</v>
      </c>
    </row>
    <row r="59" spans="1:8" x14ac:dyDescent="0.2">
      <c r="A59" s="25">
        <v>3</v>
      </c>
      <c r="B59" s="26" t="s">
        <v>342</v>
      </c>
      <c r="C59" s="26" t="s">
        <v>750</v>
      </c>
      <c r="D59" s="26" t="s">
        <v>109</v>
      </c>
      <c r="E59" s="27">
        <v>1500</v>
      </c>
      <c r="F59" s="28">
        <v>7460.94</v>
      </c>
      <c r="G59" s="29">
        <v>3.215192E-2</v>
      </c>
      <c r="H59" s="17">
        <v>5.6201999999999996</v>
      </c>
    </row>
    <row r="60" spans="1:8" x14ac:dyDescent="0.2">
      <c r="A60" s="25">
        <v>4</v>
      </c>
      <c r="B60" s="26" t="s">
        <v>512</v>
      </c>
      <c r="C60" s="26" t="s">
        <v>773</v>
      </c>
      <c r="D60" s="26" t="s">
        <v>109</v>
      </c>
      <c r="E60" s="27">
        <v>1500</v>
      </c>
      <c r="F60" s="28">
        <v>7373.6774999999998</v>
      </c>
      <c r="G60" s="29">
        <v>3.1775879999999999E-2</v>
      </c>
      <c r="H60" s="17">
        <v>6.0125000000000002</v>
      </c>
    </row>
    <row r="61" spans="1:8" x14ac:dyDescent="0.2">
      <c r="A61" s="25">
        <v>5</v>
      </c>
      <c r="B61" s="26" t="s">
        <v>513</v>
      </c>
      <c r="C61" s="26" t="s">
        <v>514</v>
      </c>
      <c r="D61" s="26" t="s">
        <v>109</v>
      </c>
      <c r="E61" s="27">
        <v>1000</v>
      </c>
      <c r="F61" s="28">
        <v>4929.8100000000004</v>
      </c>
      <c r="G61" s="29">
        <v>2.124436E-2</v>
      </c>
      <c r="H61" s="17">
        <v>5.8390000000000004</v>
      </c>
    </row>
    <row r="62" spans="1:8" x14ac:dyDescent="0.2">
      <c r="A62" s="25">
        <v>6</v>
      </c>
      <c r="B62" s="26" t="s">
        <v>515</v>
      </c>
      <c r="C62" s="26" t="s">
        <v>772</v>
      </c>
      <c r="D62" s="26" t="s">
        <v>106</v>
      </c>
      <c r="E62" s="27">
        <v>1000</v>
      </c>
      <c r="F62" s="28">
        <v>4911.415</v>
      </c>
      <c r="G62" s="29">
        <v>2.1165090000000001E-2</v>
      </c>
      <c r="H62" s="17">
        <v>5.9851000000000001</v>
      </c>
    </row>
    <row r="63" spans="1:8" x14ac:dyDescent="0.2">
      <c r="A63" s="25">
        <v>7</v>
      </c>
      <c r="B63" s="26" t="s">
        <v>216</v>
      </c>
      <c r="C63" s="26" t="s">
        <v>217</v>
      </c>
      <c r="D63" s="26" t="s">
        <v>109</v>
      </c>
      <c r="E63" s="27">
        <v>1000</v>
      </c>
      <c r="F63" s="28">
        <v>4905.75</v>
      </c>
      <c r="G63" s="29">
        <v>2.114067E-2</v>
      </c>
      <c r="H63" s="17">
        <v>6.3174999999999999</v>
      </c>
    </row>
    <row r="64" spans="1:8" x14ac:dyDescent="0.2">
      <c r="A64" s="25">
        <v>8</v>
      </c>
      <c r="B64" s="26" t="s">
        <v>324</v>
      </c>
      <c r="C64" s="26" t="s">
        <v>325</v>
      </c>
      <c r="D64" s="26" t="s">
        <v>109</v>
      </c>
      <c r="E64" s="27">
        <v>1000</v>
      </c>
      <c r="F64" s="28">
        <v>4905.17</v>
      </c>
      <c r="G64" s="29">
        <v>2.1138170000000001E-2</v>
      </c>
      <c r="H64" s="17">
        <v>5.9801000000000002</v>
      </c>
    </row>
    <row r="65" spans="1:8" x14ac:dyDescent="0.2">
      <c r="A65" s="25">
        <v>9</v>
      </c>
      <c r="B65" s="26" t="s">
        <v>218</v>
      </c>
      <c r="C65" s="26" t="s">
        <v>219</v>
      </c>
      <c r="D65" s="26" t="s">
        <v>109</v>
      </c>
      <c r="E65" s="27">
        <v>1000</v>
      </c>
      <c r="F65" s="28">
        <v>4901.7</v>
      </c>
      <c r="G65" s="29">
        <v>2.1123220000000002E-2</v>
      </c>
      <c r="H65" s="17">
        <v>5.9999000000000002</v>
      </c>
    </row>
    <row r="66" spans="1:8" x14ac:dyDescent="0.2">
      <c r="A66" s="25">
        <v>10</v>
      </c>
      <c r="B66" s="26" t="s">
        <v>516</v>
      </c>
      <c r="C66" s="26" t="s">
        <v>771</v>
      </c>
      <c r="D66" s="26" t="s">
        <v>109</v>
      </c>
      <c r="E66" s="27">
        <v>1000</v>
      </c>
      <c r="F66" s="28">
        <v>4861.5249999999996</v>
      </c>
      <c r="G66" s="29">
        <v>2.0950090000000001E-2</v>
      </c>
      <c r="H66" s="17">
        <v>6.08</v>
      </c>
    </row>
    <row r="67" spans="1:8" x14ac:dyDescent="0.2">
      <c r="A67" s="25">
        <v>11</v>
      </c>
      <c r="B67" s="26" t="s">
        <v>220</v>
      </c>
      <c r="C67" s="26" t="s">
        <v>221</v>
      </c>
      <c r="D67" s="26" t="s">
        <v>109</v>
      </c>
      <c r="E67" s="27">
        <v>1000</v>
      </c>
      <c r="F67" s="28">
        <v>4860.51</v>
      </c>
      <c r="G67" s="29">
        <v>2.0945720000000001E-2</v>
      </c>
      <c r="H67" s="17">
        <v>6.0900999999999996</v>
      </c>
    </row>
    <row r="68" spans="1:8" x14ac:dyDescent="0.2">
      <c r="A68" s="25">
        <v>12</v>
      </c>
      <c r="B68" s="26" t="s">
        <v>517</v>
      </c>
      <c r="C68" s="26" t="s">
        <v>770</v>
      </c>
      <c r="D68" s="26" t="s">
        <v>109</v>
      </c>
      <c r="E68" s="27">
        <v>1000</v>
      </c>
      <c r="F68" s="28">
        <v>4853.5649999999996</v>
      </c>
      <c r="G68" s="29">
        <v>2.091579E-2</v>
      </c>
      <c r="H68" s="17">
        <v>6.4024999999999999</v>
      </c>
    </row>
    <row r="69" spans="1:8" x14ac:dyDescent="0.2">
      <c r="A69" s="25">
        <v>13</v>
      </c>
      <c r="B69" s="26" t="s">
        <v>224</v>
      </c>
      <c r="C69" s="26" t="s">
        <v>225</v>
      </c>
      <c r="D69" s="26" t="s">
        <v>109</v>
      </c>
      <c r="E69" s="27">
        <v>1000</v>
      </c>
      <c r="F69" s="28">
        <v>4850.46</v>
      </c>
      <c r="G69" s="29">
        <v>2.090241E-2</v>
      </c>
      <c r="H69" s="17">
        <v>6.05</v>
      </c>
    </row>
    <row r="70" spans="1:8" ht="25.5" x14ac:dyDescent="0.2">
      <c r="A70" s="25">
        <v>14</v>
      </c>
      <c r="B70" s="26" t="s">
        <v>330</v>
      </c>
      <c r="C70" s="26" t="s">
        <v>331</v>
      </c>
      <c r="D70" s="26" t="s">
        <v>109</v>
      </c>
      <c r="E70" s="27">
        <v>800</v>
      </c>
      <c r="F70" s="28">
        <v>3864.1239999999998</v>
      </c>
      <c r="G70" s="29">
        <v>1.6651929999999999E-2</v>
      </c>
      <c r="H70" s="17">
        <v>6.141</v>
      </c>
    </row>
    <row r="71" spans="1:8" x14ac:dyDescent="0.2">
      <c r="A71" s="25">
        <v>15</v>
      </c>
      <c r="B71" s="26" t="s">
        <v>242</v>
      </c>
      <c r="C71" s="26" t="s">
        <v>243</v>
      </c>
      <c r="D71" s="26" t="s">
        <v>109</v>
      </c>
      <c r="E71" s="27">
        <v>700</v>
      </c>
      <c r="F71" s="28">
        <v>3430.3114999999998</v>
      </c>
      <c r="G71" s="29">
        <v>1.4782470000000001E-2</v>
      </c>
      <c r="H71" s="17">
        <v>5.9801000000000002</v>
      </c>
    </row>
    <row r="72" spans="1:8" x14ac:dyDescent="0.2">
      <c r="A72" s="25">
        <v>16</v>
      </c>
      <c r="B72" s="26" t="s">
        <v>244</v>
      </c>
      <c r="C72" s="26" t="s">
        <v>245</v>
      </c>
      <c r="D72" s="26" t="s">
        <v>109</v>
      </c>
      <c r="E72" s="27">
        <v>700</v>
      </c>
      <c r="F72" s="28">
        <v>3406.5605</v>
      </c>
      <c r="G72" s="29">
        <v>1.468012E-2</v>
      </c>
      <c r="H72" s="17">
        <v>6.2575000000000003</v>
      </c>
    </row>
    <row r="73" spans="1:8" x14ac:dyDescent="0.2">
      <c r="A73" s="25">
        <v>17</v>
      </c>
      <c r="B73" s="26" t="s">
        <v>246</v>
      </c>
      <c r="C73" s="26" t="s">
        <v>247</v>
      </c>
      <c r="D73" s="26" t="s">
        <v>109</v>
      </c>
      <c r="E73" s="27">
        <v>700</v>
      </c>
      <c r="F73" s="28">
        <v>3391.5315000000001</v>
      </c>
      <c r="G73" s="29">
        <v>1.4615349999999999E-2</v>
      </c>
      <c r="H73" s="17">
        <v>6.08</v>
      </c>
    </row>
    <row r="74" spans="1:8" x14ac:dyDescent="0.2">
      <c r="A74" s="25">
        <v>18</v>
      </c>
      <c r="B74" s="26" t="s">
        <v>326</v>
      </c>
      <c r="C74" s="26" t="s">
        <v>327</v>
      </c>
      <c r="D74" s="26" t="s">
        <v>109</v>
      </c>
      <c r="E74" s="27">
        <v>600</v>
      </c>
      <c r="F74" s="28">
        <v>2858.547</v>
      </c>
      <c r="G74" s="29">
        <v>1.2318529999999999E-2</v>
      </c>
      <c r="H74" s="17">
        <v>6.4050000000000002</v>
      </c>
    </row>
    <row r="75" spans="1:8" x14ac:dyDescent="0.2">
      <c r="A75" s="25">
        <v>19</v>
      </c>
      <c r="B75" s="26" t="s">
        <v>518</v>
      </c>
      <c r="C75" s="26" t="s">
        <v>769</v>
      </c>
      <c r="D75" s="26" t="s">
        <v>109</v>
      </c>
      <c r="E75" s="27">
        <v>500</v>
      </c>
      <c r="F75" s="28">
        <v>2459.0875000000001</v>
      </c>
      <c r="G75" s="29">
        <v>1.059711E-2</v>
      </c>
      <c r="H75" s="17">
        <v>6.0125000000000002</v>
      </c>
    </row>
    <row r="76" spans="1:8" x14ac:dyDescent="0.2">
      <c r="A76" s="25">
        <v>20</v>
      </c>
      <c r="B76" s="26" t="s">
        <v>519</v>
      </c>
      <c r="C76" s="26" t="s">
        <v>520</v>
      </c>
      <c r="D76" s="26" t="s">
        <v>109</v>
      </c>
      <c r="E76" s="27">
        <v>500</v>
      </c>
      <c r="F76" s="28">
        <v>2455.5974999999999</v>
      </c>
      <c r="G76" s="29">
        <v>1.0582070000000001E-2</v>
      </c>
      <c r="H76" s="17">
        <v>6</v>
      </c>
    </row>
    <row r="77" spans="1:8" x14ac:dyDescent="0.2">
      <c r="A77" s="25">
        <v>21</v>
      </c>
      <c r="B77" s="26" t="s">
        <v>187</v>
      </c>
      <c r="C77" s="26" t="s">
        <v>188</v>
      </c>
      <c r="D77" s="26" t="s">
        <v>109</v>
      </c>
      <c r="E77" s="27">
        <v>500</v>
      </c>
      <c r="F77" s="28">
        <v>2455.2750000000001</v>
      </c>
      <c r="G77" s="29">
        <v>1.058068E-2</v>
      </c>
      <c r="H77" s="17">
        <v>5.9901</v>
      </c>
    </row>
    <row r="78" spans="1:8" x14ac:dyDescent="0.2">
      <c r="A78" s="25">
        <v>22</v>
      </c>
      <c r="B78" s="26" t="s">
        <v>104</v>
      </c>
      <c r="C78" s="26" t="s">
        <v>105</v>
      </c>
      <c r="D78" s="26" t="s">
        <v>106</v>
      </c>
      <c r="E78" s="27">
        <v>500</v>
      </c>
      <c r="F78" s="28">
        <v>2450.1824999999999</v>
      </c>
      <c r="G78" s="29">
        <v>1.0558730000000001E-2</v>
      </c>
      <c r="H78" s="17">
        <v>5.9851000000000001</v>
      </c>
    </row>
    <row r="79" spans="1:8" ht="25.5" x14ac:dyDescent="0.2">
      <c r="A79" s="25">
        <v>23</v>
      </c>
      <c r="B79" s="26" t="s">
        <v>521</v>
      </c>
      <c r="C79" s="26" t="s">
        <v>522</v>
      </c>
      <c r="D79" s="26" t="s">
        <v>109</v>
      </c>
      <c r="E79" s="27">
        <v>500</v>
      </c>
      <c r="F79" s="28">
        <v>2438.52</v>
      </c>
      <c r="G79" s="29">
        <v>1.0508480000000001E-2</v>
      </c>
      <c r="H79" s="17">
        <v>6.1349</v>
      </c>
    </row>
    <row r="80" spans="1:8" ht="25.5" x14ac:dyDescent="0.2">
      <c r="A80" s="25">
        <v>24</v>
      </c>
      <c r="B80" s="26" t="s">
        <v>222</v>
      </c>
      <c r="C80" s="26" t="s">
        <v>223</v>
      </c>
      <c r="D80" s="26" t="s">
        <v>109</v>
      </c>
      <c r="E80" s="27">
        <v>500</v>
      </c>
      <c r="F80" s="28">
        <v>2429.415</v>
      </c>
      <c r="G80" s="29">
        <v>1.0469239999999999E-2</v>
      </c>
      <c r="H80" s="17">
        <v>6.13</v>
      </c>
    </row>
    <row r="81" spans="1:8" x14ac:dyDescent="0.2">
      <c r="A81" s="25">
        <v>25</v>
      </c>
      <c r="B81" s="26" t="s">
        <v>230</v>
      </c>
      <c r="C81" s="26" t="s">
        <v>231</v>
      </c>
      <c r="D81" s="26" t="s">
        <v>109</v>
      </c>
      <c r="E81" s="27">
        <v>500</v>
      </c>
      <c r="F81" s="28">
        <v>2420.7049999999999</v>
      </c>
      <c r="G81" s="29">
        <v>1.04317E-2</v>
      </c>
      <c r="H81" s="17">
        <v>6.26</v>
      </c>
    </row>
    <row r="82" spans="1:8" x14ac:dyDescent="0.2">
      <c r="A82" s="25">
        <v>26</v>
      </c>
      <c r="B82" s="26" t="s">
        <v>232</v>
      </c>
      <c r="C82" s="26" t="s">
        <v>233</v>
      </c>
      <c r="D82" s="26" t="s">
        <v>109</v>
      </c>
      <c r="E82" s="27">
        <v>500</v>
      </c>
      <c r="F82" s="28">
        <v>2416.2925</v>
      </c>
      <c r="G82" s="29">
        <v>1.041269E-2</v>
      </c>
      <c r="H82" s="17">
        <v>6.05</v>
      </c>
    </row>
    <row r="83" spans="1:8" ht="25.5" x14ac:dyDescent="0.2">
      <c r="A83" s="25">
        <v>27</v>
      </c>
      <c r="B83" s="26" t="s">
        <v>196</v>
      </c>
      <c r="C83" s="26" t="s">
        <v>197</v>
      </c>
      <c r="D83" s="26" t="s">
        <v>109</v>
      </c>
      <c r="E83" s="27">
        <v>500</v>
      </c>
      <c r="F83" s="28">
        <v>2416.2575000000002</v>
      </c>
      <c r="G83" s="29">
        <v>1.041254E-2</v>
      </c>
      <c r="H83" s="17">
        <v>6.141</v>
      </c>
    </row>
    <row r="84" spans="1:8" ht="25.5" x14ac:dyDescent="0.2">
      <c r="A84" s="25">
        <v>28</v>
      </c>
      <c r="B84" s="26" t="s">
        <v>523</v>
      </c>
      <c r="C84" s="26" t="s">
        <v>768</v>
      </c>
      <c r="D84" s="26" t="s">
        <v>109</v>
      </c>
      <c r="E84" s="27">
        <v>500</v>
      </c>
      <c r="F84" s="28">
        <v>2415.8425000000002</v>
      </c>
      <c r="G84" s="29">
        <v>1.041075E-2</v>
      </c>
      <c r="H84" s="17">
        <v>6.1425000000000001</v>
      </c>
    </row>
    <row r="85" spans="1:8" x14ac:dyDescent="0.2">
      <c r="A85" s="25">
        <v>29</v>
      </c>
      <c r="B85" s="26" t="s">
        <v>234</v>
      </c>
      <c r="C85" s="26" t="s">
        <v>235</v>
      </c>
      <c r="D85" s="26" t="s">
        <v>109</v>
      </c>
      <c r="E85" s="27">
        <v>500</v>
      </c>
      <c r="F85" s="28">
        <v>2415.6275000000001</v>
      </c>
      <c r="G85" s="29">
        <v>1.040982E-2</v>
      </c>
      <c r="H85" s="17">
        <v>6.1</v>
      </c>
    </row>
    <row r="86" spans="1:8" x14ac:dyDescent="0.2">
      <c r="A86" s="25">
        <v>30</v>
      </c>
      <c r="B86" s="26" t="s">
        <v>236</v>
      </c>
      <c r="C86" s="26" t="s">
        <v>237</v>
      </c>
      <c r="D86" s="26" t="s">
        <v>109</v>
      </c>
      <c r="E86" s="27">
        <v>500</v>
      </c>
      <c r="F86" s="28">
        <v>2386.3200000000002</v>
      </c>
      <c r="G86" s="29">
        <v>1.0283530000000001E-2</v>
      </c>
      <c r="H86" s="17">
        <v>6.3</v>
      </c>
    </row>
    <row r="87" spans="1:8" ht="25.5" x14ac:dyDescent="0.2">
      <c r="A87" s="25">
        <v>31</v>
      </c>
      <c r="B87" s="26" t="s">
        <v>332</v>
      </c>
      <c r="C87" s="26" t="s">
        <v>333</v>
      </c>
      <c r="D87" s="26" t="s">
        <v>109</v>
      </c>
      <c r="E87" s="27">
        <v>400</v>
      </c>
      <c r="F87" s="28">
        <v>1928.3019999999999</v>
      </c>
      <c r="G87" s="29">
        <v>8.3097599999999994E-3</v>
      </c>
      <c r="H87" s="17">
        <v>6.141</v>
      </c>
    </row>
    <row r="88" spans="1:8" x14ac:dyDescent="0.2">
      <c r="A88" s="25">
        <v>32</v>
      </c>
      <c r="B88" s="26" t="s">
        <v>328</v>
      </c>
      <c r="C88" s="26" t="s">
        <v>329</v>
      </c>
      <c r="D88" s="26" t="s">
        <v>109</v>
      </c>
      <c r="E88" s="27">
        <v>300</v>
      </c>
      <c r="F88" s="28">
        <v>1457.5454999999999</v>
      </c>
      <c r="G88" s="29">
        <v>6.2811000000000004E-3</v>
      </c>
      <c r="H88" s="17">
        <v>6.1101000000000001</v>
      </c>
    </row>
    <row r="89" spans="1:8" ht="25.5" x14ac:dyDescent="0.2">
      <c r="A89" s="25">
        <v>33</v>
      </c>
      <c r="B89" s="26" t="s">
        <v>248</v>
      </c>
      <c r="C89" s="26" t="s">
        <v>249</v>
      </c>
      <c r="D89" s="26" t="s">
        <v>109</v>
      </c>
      <c r="E89" s="27">
        <v>300</v>
      </c>
      <c r="F89" s="28">
        <v>1457.3775000000001</v>
      </c>
      <c r="G89" s="29">
        <v>6.2803700000000004E-3</v>
      </c>
      <c r="H89" s="17">
        <v>6.1349999999999998</v>
      </c>
    </row>
    <row r="90" spans="1:8" ht="25.5" x14ac:dyDescent="0.2">
      <c r="A90" s="25">
        <v>34</v>
      </c>
      <c r="B90" s="26" t="s">
        <v>206</v>
      </c>
      <c r="C90" s="26" t="s">
        <v>207</v>
      </c>
      <c r="D90" s="26" t="s">
        <v>109</v>
      </c>
      <c r="E90" s="27">
        <v>100</v>
      </c>
      <c r="F90" s="28">
        <v>481.99299999999999</v>
      </c>
      <c r="G90" s="29">
        <v>2.0770799999999998E-3</v>
      </c>
      <c r="H90" s="17">
        <v>6.1425000000000001</v>
      </c>
    </row>
    <row r="91" spans="1:8" x14ac:dyDescent="0.2">
      <c r="A91" s="18"/>
      <c r="B91" s="18"/>
      <c r="C91" s="19" t="s">
        <v>11</v>
      </c>
      <c r="D91" s="18"/>
      <c r="E91" s="18" t="s">
        <v>12</v>
      </c>
      <c r="F91" s="24">
        <v>135276.07500000001</v>
      </c>
      <c r="G91" s="21">
        <v>0.58295416</v>
      </c>
      <c r="H91" s="17" t="s">
        <v>12</v>
      </c>
    </row>
    <row r="92" spans="1:8" x14ac:dyDescent="0.2">
      <c r="A92" s="18"/>
      <c r="B92" s="18"/>
      <c r="C92" s="22"/>
      <c r="D92" s="18"/>
      <c r="E92" s="18"/>
      <c r="F92" s="23"/>
      <c r="G92" s="23"/>
      <c r="H92" s="17" t="s">
        <v>12</v>
      </c>
    </row>
    <row r="93" spans="1:8" x14ac:dyDescent="0.2">
      <c r="A93" s="18"/>
      <c r="B93" s="18"/>
      <c r="C93" s="19" t="s">
        <v>110</v>
      </c>
      <c r="D93" s="18"/>
      <c r="E93" s="18"/>
      <c r="F93" s="23"/>
      <c r="G93" s="23"/>
      <c r="H93" s="17" t="s">
        <v>12</v>
      </c>
    </row>
    <row r="94" spans="1:8" ht="25.5" x14ac:dyDescent="0.2">
      <c r="A94" s="25">
        <v>1</v>
      </c>
      <c r="B94" s="26" t="s">
        <v>274</v>
      </c>
      <c r="C94" s="26" t="s">
        <v>275</v>
      </c>
      <c r="D94" s="26" t="s">
        <v>109</v>
      </c>
      <c r="E94" s="27">
        <v>1100</v>
      </c>
      <c r="F94" s="28">
        <v>5320.7165000000005</v>
      </c>
      <c r="G94" s="29">
        <v>2.2928919999999998E-2</v>
      </c>
      <c r="H94" s="17">
        <v>6.7950999999999997</v>
      </c>
    </row>
    <row r="95" spans="1:8" x14ac:dyDescent="0.2">
      <c r="A95" s="25">
        <v>2</v>
      </c>
      <c r="B95" s="26" t="s">
        <v>524</v>
      </c>
      <c r="C95" s="26" t="s">
        <v>767</v>
      </c>
      <c r="D95" s="26" t="s">
        <v>109</v>
      </c>
      <c r="E95" s="27">
        <v>1000</v>
      </c>
      <c r="F95" s="28">
        <v>4739.4949999999999</v>
      </c>
      <c r="G95" s="29">
        <v>2.042422E-2</v>
      </c>
      <c r="H95" s="17">
        <v>6.7549999999999999</v>
      </c>
    </row>
    <row r="96" spans="1:8" ht="25.5" x14ac:dyDescent="0.2">
      <c r="A96" s="25">
        <v>3</v>
      </c>
      <c r="B96" s="26" t="s">
        <v>276</v>
      </c>
      <c r="C96" s="26" t="s">
        <v>277</v>
      </c>
      <c r="D96" s="26" t="s">
        <v>109</v>
      </c>
      <c r="E96" s="27">
        <v>700</v>
      </c>
      <c r="F96" s="28">
        <v>3445.2075</v>
      </c>
      <c r="G96" s="29">
        <v>1.4846659999999999E-2</v>
      </c>
      <c r="H96" s="17">
        <v>6.45</v>
      </c>
    </row>
    <row r="97" spans="1:8" x14ac:dyDescent="0.2">
      <c r="A97" s="25">
        <v>4</v>
      </c>
      <c r="B97" s="26" t="s">
        <v>278</v>
      </c>
      <c r="C97" s="26" t="s">
        <v>279</v>
      </c>
      <c r="D97" s="26" t="s">
        <v>109</v>
      </c>
      <c r="E97" s="27">
        <v>700</v>
      </c>
      <c r="F97" s="28">
        <v>3429.2930000000001</v>
      </c>
      <c r="G97" s="29">
        <v>1.4778080000000001E-2</v>
      </c>
      <c r="H97" s="17">
        <v>6.78</v>
      </c>
    </row>
    <row r="98" spans="1:8" x14ac:dyDescent="0.2">
      <c r="A98" s="25">
        <v>5</v>
      </c>
      <c r="B98" s="26" t="s">
        <v>280</v>
      </c>
      <c r="C98" s="26" t="s">
        <v>281</v>
      </c>
      <c r="D98" s="26" t="s">
        <v>109</v>
      </c>
      <c r="E98" s="27">
        <v>700</v>
      </c>
      <c r="F98" s="28">
        <v>3385.7669999999998</v>
      </c>
      <c r="G98" s="29">
        <v>1.4590509999999999E-2</v>
      </c>
      <c r="H98" s="17">
        <v>7.0776000000000003</v>
      </c>
    </row>
    <row r="99" spans="1:8" ht="25.5" x14ac:dyDescent="0.2">
      <c r="A99" s="25">
        <v>6</v>
      </c>
      <c r="B99" s="26" t="s">
        <v>282</v>
      </c>
      <c r="C99" s="26" t="s">
        <v>283</v>
      </c>
      <c r="D99" s="26" t="s">
        <v>109</v>
      </c>
      <c r="E99" s="27">
        <v>600</v>
      </c>
      <c r="F99" s="28">
        <v>2849.1840000000002</v>
      </c>
      <c r="G99" s="29">
        <v>1.227818E-2</v>
      </c>
      <c r="H99" s="17">
        <v>6.9249999999999998</v>
      </c>
    </row>
    <row r="100" spans="1:8" x14ac:dyDescent="0.2">
      <c r="A100" s="25">
        <v>7</v>
      </c>
      <c r="B100" s="26" t="s">
        <v>264</v>
      </c>
      <c r="C100" s="26" t="s">
        <v>265</v>
      </c>
      <c r="D100" s="26" t="s">
        <v>109</v>
      </c>
      <c r="E100" s="27">
        <v>500</v>
      </c>
      <c r="F100" s="28">
        <v>2423.6725000000001</v>
      </c>
      <c r="G100" s="29">
        <v>1.0444490000000001E-2</v>
      </c>
      <c r="H100" s="17">
        <v>6.18</v>
      </c>
    </row>
    <row r="101" spans="1:8" x14ac:dyDescent="0.2">
      <c r="A101" s="25">
        <v>8</v>
      </c>
      <c r="B101" s="26" t="s">
        <v>268</v>
      </c>
      <c r="C101" s="26" t="s">
        <v>269</v>
      </c>
      <c r="D101" s="26" t="s">
        <v>109</v>
      </c>
      <c r="E101" s="27">
        <v>500</v>
      </c>
      <c r="F101" s="28">
        <v>2409.8150000000001</v>
      </c>
      <c r="G101" s="29">
        <v>1.038478E-2</v>
      </c>
      <c r="H101" s="17">
        <v>7.0776000000000003</v>
      </c>
    </row>
    <row r="102" spans="1:8" ht="25.5" x14ac:dyDescent="0.2">
      <c r="A102" s="25">
        <v>9</v>
      </c>
      <c r="B102" s="26" t="s">
        <v>525</v>
      </c>
      <c r="C102" s="26" t="s">
        <v>766</v>
      </c>
      <c r="D102" s="26" t="s">
        <v>109</v>
      </c>
      <c r="E102" s="27">
        <v>500</v>
      </c>
      <c r="F102" s="28">
        <v>2371.7550000000001</v>
      </c>
      <c r="G102" s="29">
        <v>1.0220760000000001E-2</v>
      </c>
      <c r="H102" s="17">
        <v>6.9249999999999998</v>
      </c>
    </row>
    <row r="103" spans="1:8" ht="25.5" x14ac:dyDescent="0.2">
      <c r="A103" s="25">
        <v>10</v>
      </c>
      <c r="B103" s="26" t="s">
        <v>258</v>
      </c>
      <c r="C103" s="26" t="s">
        <v>259</v>
      </c>
      <c r="D103" s="26" t="s">
        <v>109</v>
      </c>
      <c r="E103" s="27">
        <v>300</v>
      </c>
      <c r="F103" s="28">
        <v>1465.9425000000001</v>
      </c>
      <c r="G103" s="29">
        <v>6.3172799999999998E-3</v>
      </c>
      <c r="H103" s="17">
        <v>6.625</v>
      </c>
    </row>
    <row r="104" spans="1:8" x14ac:dyDescent="0.2">
      <c r="A104" s="25">
        <v>11</v>
      </c>
      <c r="B104" s="26" t="s">
        <v>256</v>
      </c>
      <c r="C104" s="26" t="s">
        <v>257</v>
      </c>
      <c r="D104" s="26" t="s">
        <v>109</v>
      </c>
      <c r="E104" s="27">
        <v>200</v>
      </c>
      <c r="F104" s="28">
        <v>965.52099999999996</v>
      </c>
      <c r="G104" s="29">
        <v>4.1607800000000002E-3</v>
      </c>
      <c r="H104" s="17">
        <v>6.55</v>
      </c>
    </row>
    <row r="105" spans="1:8" x14ac:dyDescent="0.2">
      <c r="A105" s="18"/>
      <c r="B105" s="18"/>
      <c r="C105" s="19" t="s">
        <v>11</v>
      </c>
      <c r="D105" s="18"/>
      <c r="E105" s="18" t="s">
        <v>12</v>
      </c>
      <c r="F105" s="24">
        <v>32806.368999999999</v>
      </c>
      <c r="G105" s="21">
        <v>0.14137466000000001</v>
      </c>
      <c r="H105" s="17" t="s">
        <v>12</v>
      </c>
    </row>
    <row r="106" spans="1:8" x14ac:dyDescent="0.2">
      <c r="A106" s="18"/>
      <c r="B106" s="18"/>
      <c r="C106" s="22"/>
      <c r="D106" s="18"/>
      <c r="E106" s="18"/>
      <c r="F106" s="23"/>
      <c r="G106" s="23"/>
      <c r="H106" s="17" t="s">
        <v>12</v>
      </c>
    </row>
    <row r="107" spans="1:8" x14ac:dyDescent="0.2">
      <c r="A107" s="18"/>
      <c r="B107" s="18"/>
      <c r="C107" s="19" t="s">
        <v>111</v>
      </c>
      <c r="D107" s="18"/>
      <c r="E107" s="18"/>
      <c r="F107" s="23"/>
      <c r="G107" s="23"/>
      <c r="H107" s="17" t="s">
        <v>12</v>
      </c>
    </row>
    <row r="108" spans="1:8" x14ac:dyDescent="0.2">
      <c r="A108" s="25">
        <v>1</v>
      </c>
      <c r="B108" s="26" t="s">
        <v>284</v>
      </c>
      <c r="C108" s="26" t="s">
        <v>285</v>
      </c>
      <c r="D108" s="26" t="s">
        <v>85</v>
      </c>
      <c r="E108" s="27">
        <v>6700000</v>
      </c>
      <c r="F108" s="28">
        <v>6528.8752999999997</v>
      </c>
      <c r="G108" s="29">
        <v>2.813531E-2</v>
      </c>
      <c r="H108" s="17">
        <v>5.53</v>
      </c>
    </row>
    <row r="109" spans="1:8" x14ac:dyDescent="0.2">
      <c r="A109" s="25">
        <v>2</v>
      </c>
      <c r="B109" s="26" t="s">
        <v>526</v>
      </c>
      <c r="C109" s="26" t="s">
        <v>527</v>
      </c>
      <c r="D109" s="26" t="s">
        <v>85</v>
      </c>
      <c r="E109" s="27">
        <v>5000000</v>
      </c>
      <c r="F109" s="28">
        <v>4944.5649999999996</v>
      </c>
      <c r="G109" s="29">
        <v>2.1307940000000001E-2</v>
      </c>
      <c r="H109" s="17">
        <v>5.4560000000000004</v>
      </c>
    </row>
    <row r="110" spans="1:8" x14ac:dyDescent="0.2">
      <c r="A110" s="25">
        <v>3</v>
      </c>
      <c r="B110" s="26" t="s">
        <v>464</v>
      </c>
      <c r="C110" s="26" t="s">
        <v>465</v>
      </c>
      <c r="D110" s="26" t="s">
        <v>85</v>
      </c>
      <c r="E110" s="27">
        <v>3000000</v>
      </c>
      <c r="F110" s="28">
        <v>2988.5039999999999</v>
      </c>
      <c r="G110" s="29">
        <v>1.2878560000000001E-2</v>
      </c>
      <c r="H110" s="17">
        <v>5.4</v>
      </c>
    </row>
    <row r="111" spans="1:8" x14ac:dyDescent="0.2">
      <c r="A111" s="18"/>
      <c r="B111" s="18"/>
      <c r="C111" s="19" t="s">
        <v>11</v>
      </c>
      <c r="D111" s="18"/>
      <c r="E111" s="18" t="s">
        <v>12</v>
      </c>
      <c r="F111" s="24">
        <v>14461.944299999999</v>
      </c>
      <c r="G111" s="21">
        <v>6.2321809999999998E-2</v>
      </c>
      <c r="H111" s="17" t="s">
        <v>12</v>
      </c>
    </row>
    <row r="112" spans="1:8" x14ac:dyDescent="0.2">
      <c r="A112" s="18"/>
      <c r="B112" s="18"/>
      <c r="C112" s="22"/>
      <c r="D112" s="18"/>
      <c r="E112" s="18"/>
      <c r="F112" s="23"/>
      <c r="G112" s="23"/>
      <c r="H112" s="17" t="s">
        <v>12</v>
      </c>
    </row>
    <row r="113" spans="1:17" x14ac:dyDescent="0.2">
      <c r="A113" s="18"/>
      <c r="B113" s="18"/>
      <c r="C113" s="19" t="s">
        <v>112</v>
      </c>
      <c r="D113" s="18"/>
      <c r="E113" s="18"/>
      <c r="F113" s="23"/>
      <c r="G113" s="23"/>
      <c r="H113" s="17" t="s">
        <v>12</v>
      </c>
    </row>
    <row r="114" spans="1:17" x14ac:dyDescent="0.2">
      <c r="A114" s="25">
        <v>1</v>
      </c>
      <c r="B114" s="26"/>
      <c r="C114" s="26" t="s">
        <v>113</v>
      </c>
      <c r="D114" s="26"/>
      <c r="E114" s="30"/>
      <c r="F114" s="28">
        <v>5850.8065608959996</v>
      </c>
      <c r="G114" s="29">
        <v>2.5213269999999999E-2</v>
      </c>
      <c r="H114" s="17">
        <v>5.39</v>
      </c>
    </row>
    <row r="115" spans="1:17" x14ac:dyDescent="0.2">
      <c r="A115" s="18"/>
      <c r="B115" s="18"/>
      <c r="C115" s="19" t="s">
        <v>11</v>
      </c>
      <c r="D115" s="18"/>
      <c r="E115" s="18" t="s">
        <v>12</v>
      </c>
      <c r="F115" s="24">
        <v>5850.8065608959996</v>
      </c>
      <c r="G115" s="21">
        <v>2.5213269999999999E-2</v>
      </c>
      <c r="H115" s="17" t="s">
        <v>12</v>
      </c>
    </row>
    <row r="116" spans="1:17" x14ac:dyDescent="0.2">
      <c r="A116" s="18"/>
      <c r="B116" s="18"/>
      <c r="C116" s="22"/>
      <c r="D116" s="18"/>
      <c r="E116" s="18"/>
      <c r="F116" s="23"/>
      <c r="G116" s="23"/>
      <c r="H116" s="17" t="s">
        <v>12</v>
      </c>
    </row>
    <row r="117" spans="1:17" x14ac:dyDescent="0.2">
      <c r="A117" s="18"/>
      <c r="B117" s="18"/>
      <c r="C117" s="19" t="s">
        <v>114</v>
      </c>
      <c r="D117" s="18"/>
      <c r="E117" s="18"/>
      <c r="F117" s="24">
        <v>188395.19486089601</v>
      </c>
      <c r="G117" s="21">
        <v>0.81186389999999997</v>
      </c>
      <c r="H117" s="17" t="s">
        <v>12</v>
      </c>
    </row>
    <row r="118" spans="1:17" x14ac:dyDescent="0.2">
      <c r="A118" s="18"/>
      <c r="B118" s="18"/>
      <c r="C118" s="23"/>
      <c r="D118" s="18"/>
      <c r="E118" s="18"/>
      <c r="F118" s="18"/>
      <c r="G118" s="18"/>
      <c r="H118" s="17" t="s">
        <v>12</v>
      </c>
    </row>
    <row r="119" spans="1:17" x14ac:dyDescent="0.2">
      <c r="A119" s="18"/>
      <c r="B119" s="18"/>
      <c r="C119" s="19" t="s">
        <v>115</v>
      </c>
      <c r="D119" s="18"/>
      <c r="E119" s="18"/>
      <c r="F119" s="18"/>
      <c r="G119" s="18"/>
      <c r="H119" s="17" t="s">
        <v>12</v>
      </c>
    </row>
    <row r="120" spans="1:17" x14ac:dyDescent="0.2">
      <c r="A120" s="18"/>
      <c r="B120" s="18"/>
      <c r="C120" s="19" t="s">
        <v>116</v>
      </c>
      <c r="D120" s="18"/>
      <c r="E120" s="18"/>
      <c r="F120" s="18"/>
      <c r="G120" s="18"/>
      <c r="H120" s="17" t="s">
        <v>12</v>
      </c>
    </row>
    <row r="121" spans="1:17" x14ac:dyDescent="0.2">
      <c r="A121" s="18"/>
      <c r="B121" s="18"/>
      <c r="C121" s="19" t="s">
        <v>11</v>
      </c>
      <c r="D121" s="18"/>
      <c r="E121" s="18" t="s">
        <v>12</v>
      </c>
      <c r="F121" s="20" t="s">
        <v>13</v>
      </c>
      <c r="G121" s="21">
        <v>0</v>
      </c>
      <c r="H121" s="17" t="s">
        <v>12</v>
      </c>
    </row>
    <row r="122" spans="1:17" x14ac:dyDescent="0.2">
      <c r="A122" s="15"/>
      <c r="B122" s="15"/>
      <c r="C122" s="31"/>
      <c r="D122" s="15"/>
      <c r="E122" s="15"/>
      <c r="F122" s="32"/>
      <c r="G122" s="32"/>
      <c r="H122" s="17" t="s">
        <v>12</v>
      </c>
    </row>
    <row r="123" spans="1:17" x14ac:dyDescent="0.2">
      <c r="A123" s="15"/>
      <c r="B123" s="15"/>
      <c r="C123" s="16" t="s">
        <v>593</v>
      </c>
      <c r="D123" s="15"/>
      <c r="E123" s="15"/>
      <c r="F123" s="32"/>
      <c r="G123" s="32"/>
      <c r="H123" s="17" t="s">
        <v>12</v>
      </c>
      <c r="K123" s="33"/>
      <c r="L123" s="33"/>
      <c r="M123" s="33"/>
      <c r="N123" s="33"/>
      <c r="O123" s="34"/>
      <c r="P123" s="34"/>
      <c r="Q123" s="34"/>
    </row>
    <row r="124" spans="1:17" x14ac:dyDescent="0.2">
      <c r="A124" s="35">
        <v>1</v>
      </c>
      <c r="B124" s="36" t="s">
        <v>117</v>
      </c>
      <c r="C124" s="36" t="s">
        <v>118</v>
      </c>
      <c r="D124" s="36"/>
      <c r="E124" s="37">
        <v>5925.4179999999997</v>
      </c>
      <c r="F124" s="38">
        <v>670.05669024999997</v>
      </c>
      <c r="G124" s="39">
        <v>2.8875200000000002E-3</v>
      </c>
      <c r="H124" s="17"/>
    </row>
    <row r="125" spans="1:17" x14ac:dyDescent="0.2">
      <c r="A125" s="15"/>
      <c r="B125" s="15"/>
      <c r="C125" s="16" t="s">
        <v>11</v>
      </c>
      <c r="D125" s="15"/>
      <c r="E125" s="15" t="s">
        <v>12</v>
      </c>
      <c r="F125" s="40">
        <f>SUM(F124)</f>
        <v>670.05669024999997</v>
      </c>
      <c r="G125" s="41">
        <f>SUM(G124)</f>
        <v>2.8875200000000002E-3</v>
      </c>
      <c r="H125" s="17" t="s">
        <v>12</v>
      </c>
    </row>
    <row r="126" spans="1:17" x14ac:dyDescent="0.2">
      <c r="A126" s="18"/>
      <c r="B126" s="18"/>
      <c r="C126" s="22"/>
      <c r="D126" s="18"/>
      <c r="E126" s="18"/>
      <c r="F126" s="23"/>
      <c r="G126" s="23"/>
      <c r="H126" s="17" t="s">
        <v>12</v>
      </c>
    </row>
    <row r="127" spans="1:17" x14ac:dyDescent="0.2">
      <c r="A127" s="18"/>
      <c r="B127" s="18"/>
      <c r="C127" s="19" t="s">
        <v>119</v>
      </c>
      <c r="D127" s="18"/>
      <c r="E127" s="18"/>
      <c r="F127" s="18"/>
      <c r="G127" s="18"/>
      <c r="H127" s="17" t="s">
        <v>12</v>
      </c>
    </row>
    <row r="128" spans="1:17" x14ac:dyDescent="0.2">
      <c r="A128" s="18"/>
      <c r="B128" s="18"/>
      <c r="C128" s="19" t="s">
        <v>120</v>
      </c>
      <c r="D128" s="18"/>
      <c r="E128" s="18"/>
      <c r="F128" s="18"/>
      <c r="G128" s="18"/>
      <c r="H128" s="17" t="s">
        <v>12</v>
      </c>
    </row>
    <row r="129" spans="1:9" x14ac:dyDescent="0.2">
      <c r="A129" s="18"/>
      <c r="B129" s="18"/>
      <c r="C129" s="19" t="s">
        <v>11</v>
      </c>
      <c r="D129" s="18"/>
      <c r="E129" s="18" t="s">
        <v>12</v>
      </c>
      <c r="F129" s="20" t="s">
        <v>13</v>
      </c>
      <c r="G129" s="21">
        <v>0</v>
      </c>
      <c r="H129" s="17" t="s">
        <v>12</v>
      </c>
    </row>
    <row r="130" spans="1:9" x14ac:dyDescent="0.2">
      <c r="A130" s="18"/>
      <c r="B130" s="18"/>
      <c r="C130" s="22"/>
      <c r="D130" s="18"/>
      <c r="E130" s="18"/>
      <c r="F130" s="23"/>
      <c r="G130" s="23"/>
      <c r="H130" s="17" t="s">
        <v>12</v>
      </c>
    </row>
    <row r="131" spans="1:9" x14ac:dyDescent="0.2">
      <c r="A131" s="18"/>
      <c r="B131" s="18"/>
      <c r="C131" s="19" t="s">
        <v>121</v>
      </c>
      <c r="D131" s="18"/>
      <c r="E131" s="18"/>
      <c r="F131" s="23"/>
      <c r="G131" s="23"/>
      <c r="H131" s="17" t="s">
        <v>12</v>
      </c>
    </row>
    <row r="132" spans="1:9" x14ac:dyDescent="0.2">
      <c r="A132" s="18"/>
      <c r="B132" s="18"/>
      <c r="C132" s="19" t="s">
        <v>11</v>
      </c>
      <c r="D132" s="18"/>
      <c r="E132" s="18" t="s">
        <v>12</v>
      </c>
      <c r="F132" s="20" t="s">
        <v>13</v>
      </c>
      <c r="G132" s="21">
        <v>0</v>
      </c>
      <c r="H132" s="17" t="s">
        <v>12</v>
      </c>
    </row>
    <row r="133" spans="1:9" x14ac:dyDescent="0.2">
      <c r="A133" s="15"/>
      <c r="B133" s="15"/>
      <c r="C133" s="31"/>
      <c r="D133" s="15"/>
      <c r="E133" s="15"/>
      <c r="F133" s="32"/>
      <c r="G133" s="32"/>
      <c r="H133" s="106" t="s">
        <v>12</v>
      </c>
      <c r="I133" s="107"/>
    </row>
    <row r="134" spans="1:9" x14ac:dyDescent="0.2">
      <c r="A134" s="108"/>
      <c r="B134" s="108"/>
      <c r="C134" s="109" t="s">
        <v>675</v>
      </c>
      <c r="D134" s="110"/>
      <c r="E134" s="111"/>
      <c r="F134" s="111"/>
      <c r="G134" s="110"/>
      <c r="H134" s="111"/>
      <c r="I134" s="107"/>
    </row>
    <row r="135" spans="1:9" ht="25.5" x14ac:dyDescent="0.2">
      <c r="A135" s="35"/>
      <c r="B135" s="36"/>
      <c r="C135" s="36" t="s">
        <v>676</v>
      </c>
      <c r="D135" s="36"/>
      <c r="E135" s="76">
        <v>2500000</v>
      </c>
      <c r="F135" s="38">
        <f>-520500/10^5</f>
        <v>-5.2050000000000001</v>
      </c>
      <c r="G135" s="39" t="s">
        <v>617</v>
      </c>
      <c r="H135" s="17"/>
    </row>
    <row r="136" spans="1:9" ht="25.5" x14ac:dyDescent="0.2">
      <c r="A136" s="35"/>
      <c r="B136" s="36"/>
      <c r="C136" s="36" t="s">
        <v>677</v>
      </c>
      <c r="D136" s="36"/>
      <c r="E136" s="76">
        <v>2500000</v>
      </c>
      <c r="F136" s="38">
        <f>-790750/10^5</f>
        <v>-7.9074999999999998</v>
      </c>
      <c r="G136" s="39" t="s">
        <v>617</v>
      </c>
      <c r="H136" s="17"/>
    </row>
    <row r="137" spans="1:9" ht="25.5" x14ac:dyDescent="0.2">
      <c r="A137" s="35"/>
      <c r="B137" s="36"/>
      <c r="C137" s="36" t="s">
        <v>678</v>
      </c>
      <c r="D137" s="36"/>
      <c r="E137" s="76">
        <v>2500000</v>
      </c>
      <c r="F137" s="38">
        <f>-703000/10^5</f>
        <v>-7.03</v>
      </c>
      <c r="G137" s="39" t="s">
        <v>617</v>
      </c>
      <c r="H137" s="17"/>
    </row>
    <row r="138" spans="1:9" ht="25.5" x14ac:dyDescent="0.2">
      <c r="A138" s="35"/>
      <c r="B138" s="36"/>
      <c r="C138" s="36" t="s">
        <v>679</v>
      </c>
      <c r="D138" s="36"/>
      <c r="E138" s="76">
        <v>2500000</v>
      </c>
      <c r="F138" s="38">
        <f>8500/10^5</f>
        <v>8.5000000000000006E-2</v>
      </c>
      <c r="G138" s="39" t="s">
        <v>617</v>
      </c>
      <c r="H138" s="17"/>
    </row>
    <row r="139" spans="1:9" x14ac:dyDescent="0.2">
      <c r="A139" s="15"/>
      <c r="B139" s="36"/>
      <c r="C139" s="36"/>
      <c r="D139" s="16"/>
      <c r="E139" s="15"/>
      <c r="F139" s="36"/>
      <c r="G139" s="112"/>
      <c r="H139" s="17" t="s">
        <v>12</v>
      </c>
    </row>
    <row r="140" spans="1:9" x14ac:dyDescent="0.2">
      <c r="A140" s="30"/>
      <c r="B140" s="26"/>
      <c r="C140" s="26" t="s">
        <v>122</v>
      </c>
      <c r="D140" s="26"/>
      <c r="E140" s="30"/>
      <c r="F140" s="28">
        <f>-9228.69820002-F25+2500+2500+2500+2500</f>
        <v>771.29179997999927</v>
      </c>
      <c r="G140" s="29">
        <f>F140/F141</f>
        <v>3.323778649338722E-3</v>
      </c>
      <c r="H140" s="17" t="s">
        <v>12</v>
      </c>
    </row>
    <row r="141" spans="1:9" x14ac:dyDescent="0.2">
      <c r="A141" s="22"/>
      <c r="B141" s="22"/>
      <c r="C141" s="19" t="s">
        <v>123</v>
      </c>
      <c r="D141" s="23"/>
      <c r="E141" s="23"/>
      <c r="F141" s="24">
        <f>F140+F138+F137+F136+F135+F125+F117+F53+F25</f>
        <v>232052.69705112602</v>
      </c>
      <c r="G141" s="42">
        <f>G140+G125+G117+G53+G25-0.0001</f>
        <v>0.99998644864933861</v>
      </c>
      <c r="H141" s="17" t="s">
        <v>12</v>
      </c>
    </row>
    <row r="142" spans="1:9" x14ac:dyDescent="0.2">
      <c r="A142" s="43"/>
      <c r="B142" s="43"/>
      <c r="C142" s="43"/>
      <c r="D142" s="44"/>
      <c r="E142" s="44"/>
      <c r="F142" s="44"/>
      <c r="G142" s="44"/>
    </row>
    <row r="143" spans="1:9" x14ac:dyDescent="0.2">
      <c r="A143" s="45"/>
      <c r="B143" s="150" t="s">
        <v>594</v>
      </c>
      <c r="C143" s="150"/>
      <c r="D143" s="150"/>
      <c r="E143" s="150"/>
      <c r="F143" s="150"/>
      <c r="G143" s="150"/>
      <c r="H143" s="150"/>
    </row>
    <row r="144" spans="1:9" x14ac:dyDescent="0.2">
      <c r="A144" s="45"/>
      <c r="B144" s="150" t="s">
        <v>595</v>
      </c>
      <c r="C144" s="150"/>
      <c r="D144" s="150"/>
      <c r="E144" s="150"/>
      <c r="F144" s="150"/>
      <c r="G144" s="150"/>
      <c r="H144" s="150"/>
    </row>
    <row r="145" spans="1:9" x14ac:dyDescent="0.2">
      <c r="A145" s="45"/>
      <c r="B145" s="150" t="s">
        <v>596</v>
      </c>
      <c r="C145" s="150"/>
      <c r="D145" s="150"/>
      <c r="E145" s="150"/>
      <c r="F145" s="150"/>
      <c r="G145" s="150"/>
      <c r="H145" s="150"/>
    </row>
    <row r="146" spans="1:9" ht="66" customHeight="1" x14ac:dyDescent="0.2">
      <c r="A146" s="45"/>
      <c r="B146" s="196" t="s">
        <v>680</v>
      </c>
      <c r="C146" s="196"/>
      <c r="D146" s="196"/>
      <c r="E146" s="196"/>
      <c r="F146" s="196"/>
      <c r="G146" s="196"/>
      <c r="H146" s="196"/>
      <c r="I146" s="107"/>
    </row>
    <row r="147" spans="1:9" x14ac:dyDescent="0.2">
      <c r="A147" s="45"/>
      <c r="B147" s="45"/>
      <c r="C147" s="45"/>
      <c r="D147" s="47"/>
      <c r="E147" s="47"/>
      <c r="F147" s="47"/>
      <c r="G147" s="47"/>
    </row>
    <row r="148" spans="1:9" x14ac:dyDescent="0.2">
      <c r="A148" s="45"/>
      <c r="B148" s="151" t="s">
        <v>124</v>
      </c>
      <c r="C148" s="152"/>
      <c r="D148" s="153"/>
      <c r="E148" s="48"/>
      <c r="F148" s="47"/>
      <c r="G148" s="47"/>
    </row>
    <row r="149" spans="1:9" ht="27" customHeight="1" x14ac:dyDescent="0.2">
      <c r="A149" s="45"/>
      <c r="B149" s="143" t="s">
        <v>125</v>
      </c>
      <c r="C149" s="144"/>
      <c r="D149" s="113" t="s">
        <v>681</v>
      </c>
      <c r="E149" s="48"/>
      <c r="F149" s="47"/>
      <c r="G149" s="47"/>
    </row>
    <row r="150" spans="1:9" x14ac:dyDescent="0.2">
      <c r="A150" s="45"/>
      <c r="B150" s="143" t="s">
        <v>127</v>
      </c>
      <c r="C150" s="144"/>
      <c r="D150" s="16" t="s">
        <v>126</v>
      </c>
      <c r="E150" s="48"/>
      <c r="F150" s="47"/>
      <c r="G150" s="47"/>
    </row>
    <row r="151" spans="1:9" x14ac:dyDescent="0.2">
      <c r="A151" s="45"/>
      <c r="B151" s="143" t="s">
        <v>128</v>
      </c>
      <c r="C151" s="144"/>
      <c r="D151" s="32" t="s">
        <v>12</v>
      </c>
      <c r="E151" s="48"/>
      <c r="F151" s="47"/>
      <c r="G151" s="47"/>
    </row>
    <row r="152" spans="1:9" x14ac:dyDescent="0.2">
      <c r="A152" s="49"/>
      <c r="B152" s="50" t="s">
        <v>12</v>
      </c>
      <c r="C152" s="50" t="s">
        <v>597</v>
      </c>
      <c r="D152" s="50" t="s">
        <v>129</v>
      </c>
      <c r="E152" s="49"/>
      <c r="F152" s="49"/>
      <c r="G152" s="49"/>
    </row>
    <row r="153" spans="1:9" x14ac:dyDescent="0.2">
      <c r="A153" s="51"/>
      <c r="B153" s="52" t="s">
        <v>130</v>
      </c>
      <c r="C153" s="53">
        <v>45869</v>
      </c>
      <c r="D153" s="53">
        <v>45884</v>
      </c>
      <c r="E153" s="51"/>
      <c r="F153" s="51"/>
      <c r="G153" s="51"/>
    </row>
    <row r="154" spans="1:9" x14ac:dyDescent="0.2">
      <c r="A154" s="51"/>
      <c r="B154" s="26" t="s">
        <v>131</v>
      </c>
      <c r="C154" s="54">
        <v>2948.7635</v>
      </c>
      <c r="D154" s="54">
        <v>2955.1828999999998</v>
      </c>
      <c r="E154" s="51"/>
      <c r="F154" s="55"/>
      <c r="G154" s="56"/>
    </row>
    <row r="155" spans="1:9" ht="25.5" x14ac:dyDescent="0.2">
      <c r="A155" s="51"/>
      <c r="B155" s="26" t="s">
        <v>737</v>
      </c>
      <c r="C155" s="54">
        <v>1077.6361999999999</v>
      </c>
      <c r="D155" s="54">
        <v>1079.9825000000001</v>
      </c>
      <c r="E155" s="51"/>
      <c r="F155" s="55"/>
      <c r="G155" s="56"/>
    </row>
    <row r="156" spans="1:9" x14ac:dyDescent="0.2">
      <c r="A156" s="51"/>
      <c r="B156" s="26" t="s">
        <v>132</v>
      </c>
      <c r="C156" s="54">
        <v>2700.7046</v>
      </c>
      <c r="D156" s="54">
        <v>2705.1941999999999</v>
      </c>
      <c r="E156" s="51"/>
      <c r="F156" s="55"/>
      <c r="G156" s="56"/>
    </row>
    <row r="157" spans="1:9" ht="25.5" x14ac:dyDescent="0.2">
      <c r="A157" s="51"/>
      <c r="B157" s="26" t="s">
        <v>738</v>
      </c>
      <c r="C157" s="54">
        <v>1071.1296</v>
      </c>
      <c r="D157" s="54">
        <v>1072.9100000000001</v>
      </c>
      <c r="E157" s="51"/>
      <c r="F157" s="55"/>
      <c r="G157" s="56"/>
    </row>
    <row r="158" spans="1:9" x14ac:dyDescent="0.2">
      <c r="A158" s="51"/>
      <c r="B158" s="51"/>
      <c r="C158" s="51"/>
      <c r="D158" s="51"/>
      <c r="E158" s="51"/>
      <c r="F158" s="51"/>
      <c r="G158" s="51"/>
    </row>
    <row r="159" spans="1:9" x14ac:dyDescent="0.2">
      <c r="A159" s="51"/>
      <c r="B159" s="145" t="s">
        <v>598</v>
      </c>
      <c r="C159" s="146"/>
      <c r="D159" s="16" t="s">
        <v>126</v>
      </c>
      <c r="E159" s="51"/>
      <c r="F159" s="51"/>
      <c r="G159" s="51"/>
    </row>
    <row r="160" spans="1:9" x14ac:dyDescent="0.2">
      <c r="A160" s="51"/>
      <c r="B160" s="61"/>
      <c r="C160" s="61"/>
      <c r="D160" s="61"/>
      <c r="E160" s="51"/>
      <c r="F160" s="51"/>
      <c r="G160" s="51"/>
    </row>
    <row r="161" spans="1:15" ht="25.5" x14ac:dyDescent="0.2">
      <c r="A161" s="49"/>
      <c r="B161" s="143" t="s">
        <v>133</v>
      </c>
      <c r="C161" s="144"/>
      <c r="D161" s="113" t="s">
        <v>618</v>
      </c>
      <c r="E161" s="60"/>
      <c r="F161" s="49"/>
      <c r="G161" s="49"/>
      <c r="I161" s="107"/>
    </row>
    <row r="162" spans="1:15" x14ac:dyDescent="0.2">
      <c r="A162" s="49"/>
      <c r="B162" s="143" t="s">
        <v>134</v>
      </c>
      <c r="C162" s="144"/>
      <c r="D162" s="16" t="s">
        <v>126</v>
      </c>
      <c r="E162" s="60"/>
      <c r="F162" s="49"/>
      <c r="G162" s="49"/>
      <c r="I162" s="107"/>
    </row>
    <row r="163" spans="1:15" x14ac:dyDescent="0.2">
      <c r="A163" s="49"/>
      <c r="B163" s="143" t="s">
        <v>599</v>
      </c>
      <c r="C163" s="144"/>
      <c r="D163" s="16" t="s">
        <v>126</v>
      </c>
      <c r="E163" s="60"/>
      <c r="F163" s="49"/>
      <c r="G163" s="49"/>
      <c r="I163" s="107"/>
      <c r="J163" s="14"/>
    </row>
    <row r="164" spans="1:15" ht="12.75" customHeight="1" x14ac:dyDescent="0.2">
      <c r="A164" s="61"/>
      <c r="B164" s="61"/>
      <c r="C164" s="61"/>
      <c r="D164" s="61"/>
      <c r="E164" s="61"/>
      <c r="F164" s="61"/>
      <c r="G164" s="61"/>
      <c r="I164" s="107"/>
      <c r="J164" s="14"/>
    </row>
    <row r="165" spans="1:15" ht="13.5" x14ac:dyDescent="0.25">
      <c r="A165" s="61"/>
      <c r="B165" s="114" t="s">
        <v>718</v>
      </c>
      <c r="C165" s="61"/>
      <c r="D165" s="61"/>
      <c r="E165" s="61"/>
      <c r="F165" s="61"/>
      <c r="G165" s="61"/>
      <c r="H165" s="61"/>
      <c r="I165" s="107"/>
      <c r="J165" s="14"/>
    </row>
    <row r="166" spans="1:15" s="14" customFormat="1" ht="51" x14ac:dyDescent="0.2">
      <c r="A166" s="115"/>
      <c r="B166" s="116" t="s">
        <v>682</v>
      </c>
      <c r="C166" s="116" t="s">
        <v>683</v>
      </c>
      <c r="D166" s="117" t="s">
        <v>684</v>
      </c>
      <c r="E166" s="117" t="s">
        <v>685</v>
      </c>
      <c r="F166" s="116" t="s">
        <v>686</v>
      </c>
      <c r="G166" s="116" t="s">
        <v>687</v>
      </c>
      <c r="H166" s="116" t="s">
        <v>8</v>
      </c>
      <c r="I166" s="118"/>
    </row>
    <row r="167" spans="1:15" s="68" customFormat="1" ht="25.5" x14ac:dyDescent="0.2">
      <c r="A167" s="119"/>
      <c r="B167" s="120" t="s">
        <v>688</v>
      </c>
      <c r="C167" s="120" t="s">
        <v>689</v>
      </c>
      <c r="D167" s="121" t="s">
        <v>690</v>
      </c>
      <c r="E167" s="122" t="s">
        <v>691</v>
      </c>
      <c r="F167" s="123">
        <v>2500</v>
      </c>
      <c r="G167" s="124">
        <v>46002</v>
      </c>
      <c r="H167" s="105">
        <f>F167/$F$141</f>
        <v>1.077341496896801E-2</v>
      </c>
      <c r="I167" s="125"/>
      <c r="J167" s="14"/>
    </row>
    <row r="168" spans="1:15" s="68" customFormat="1" ht="25.5" x14ac:dyDescent="0.2">
      <c r="A168" s="119"/>
      <c r="B168" s="120" t="s">
        <v>688</v>
      </c>
      <c r="C168" s="120" t="s">
        <v>692</v>
      </c>
      <c r="D168" s="121" t="s">
        <v>690</v>
      </c>
      <c r="E168" s="122" t="s">
        <v>691</v>
      </c>
      <c r="F168" s="123">
        <v>2500</v>
      </c>
      <c r="G168" s="124">
        <v>46087</v>
      </c>
      <c r="H168" s="105">
        <f>F168/$F$141</f>
        <v>1.077341496896801E-2</v>
      </c>
      <c r="I168" s="125"/>
      <c r="J168" s="14"/>
    </row>
    <row r="169" spans="1:15" s="68" customFormat="1" ht="25.5" x14ac:dyDescent="0.2">
      <c r="A169" s="119"/>
      <c r="B169" s="120" t="s">
        <v>688</v>
      </c>
      <c r="C169" s="120" t="s">
        <v>693</v>
      </c>
      <c r="D169" s="121" t="s">
        <v>690</v>
      </c>
      <c r="E169" s="122" t="s">
        <v>691</v>
      </c>
      <c r="F169" s="123">
        <v>2500</v>
      </c>
      <c r="G169" s="124">
        <v>46101</v>
      </c>
      <c r="H169" s="105">
        <f>F169/$F$141</f>
        <v>1.077341496896801E-2</v>
      </c>
      <c r="I169" s="125"/>
      <c r="J169" s="14"/>
    </row>
    <row r="170" spans="1:15" s="68" customFormat="1" ht="25.5" x14ac:dyDescent="0.2">
      <c r="A170" s="119"/>
      <c r="B170" s="120" t="s">
        <v>688</v>
      </c>
      <c r="C170" s="120" t="s">
        <v>693</v>
      </c>
      <c r="D170" s="121" t="s">
        <v>690</v>
      </c>
      <c r="E170" s="122" t="s">
        <v>691</v>
      </c>
      <c r="F170" s="123">
        <v>2500</v>
      </c>
      <c r="G170" s="124">
        <v>46168</v>
      </c>
      <c r="H170" s="105">
        <f>F170/$F$141</f>
        <v>1.077341496896801E-2</v>
      </c>
      <c r="I170" s="125"/>
      <c r="J170" s="14"/>
    </row>
    <row r="171" spans="1:15" s="71" customFormat="1" x14ac:dyDescent="0.2">
      <c r="A171" s="61"/>
      <c r="B171" s="61"/>
      <c r="C171" s="61"/>
      <c r="D171" s="61"/>
      <c r="E171" s="61"/>
      <c r="F171" s="61"/>
      <c r="G171" s="61"/>
      <c r="H171"/>
      <c r="I171" s="126"/>
      <c r="J171" s="127"/>
      <c r="K171" s="127"/>
      <c r="L171" s="127"/>
      <c r="M171" s="127"/>
      <c r="N171" s="127"/>
      <c r="O171" s="127"/>
    </row>
    <row r="172" spans="1:15" x14ac:dyDescent="0.2">
      <c r="A172" s="62"/>
      <c r="B172" s="128" t="s">
        <v>719</v>
      </c>
      <c r="C172" s="128"/>
      <c r="D172" s="128"/>
      <c r="E172" s="128"/>
      <c r="F172" s="128"/>
      <c r="G172" s="128"/>
      <c r="H172" s="62"/>
      <c r="I172" s="107"/>
      <c r="J172" s="14"/>
    </row>
    <row r="173" spans="1:15" ht="13.5" customHeight="1" x14ac:dyDescent="0.2">
      <c r="B173" s="172" t="s">
        <v>620</v>
      </c>
      <c r="C173" s="172" t="s">
        <v>621</v>
      </c>
      <c r="D173" s="175" t="s">
        <v>631</v>
      </c>
      <c r="E173" s="176"/>
      <c r="F173" s="177"/>
      <c r="G173" s="178" t="s">
        <v>639</v>
      </c>
      <c r="H173" s="179"/>
      <c r="I173" s="180"/>
      <c r="J173" s="33"/>
      <c r="K173" s="33"/>
      <c r="L173" s="33"/>
      <c r="M173" s="33"/>
      <c r="N173" s="33"/>
      <c r="O173" s="33"/>
    </row>
    <row r="174" spans="1:15" ht="46.5" customHeight="1" x14ac:dyDescent="0.2">
      <c r="B174" s="173"/>
      <c r="C174" s="173"/>
      <c r="D174" s="170" t="s">
        <v>640</v>
      </c>
      <c r="E174" s="170" t="s">
        <v>641</v>
      </c>
      <c r="F174" s="170" t="s">
        <v>642</v>
      </c>
      <c r="G174" s="181" t="s">
        <v>657</v>
      </c>
      <c r="H174" s="182"/>
      <c r="I174" s="170" t="s">
        <v>644</v>
      </c>
      <c r="J174" s="33"/>
      <c r="K174" s="33"/>
      <c r="L174" s="33"/>
      <c r="M174" s="33"/>
      <c r="N174" s="33"/>
      <c r="O174" s="33"/>
    </row>
    <row r="175" spans="1:15" ht="21" customHeight="1" x14ac:dyDescent="0.2">
      <c r="B175" s="174"/>
      <c r="C175" s="174"/>
      <c r="D175" s="171"/>
      <c r="E175" s="171"/>
      <c r="F175" s="171"/>
      <c r="G175" s="80" t="s">
        <v>645</v>
      </c>
      <c r="H175" s="80" t="s">
        <v>646</v>
      </c>
      <c r="I175" s="171"/>
      <c r="J175" s="33"/>
      <c r="K175" s="33"/>
      <c r="L175" s="33"/>
      <c r="M175" s="33"/>
      <c r="N175" s="33"/>
      <c r="O175" s="33"/>
    </row>
    <row r="176" spans="1:15" ht="13.5" x14ac:dyDescent="0.25">
      <c r="B176" s="84" t="s">
        <v>647</v>
      </c>
      <c r="C176" s="83" t="s">
        <v>648</v>
      </c>
      <c r="D176" s="129">
        <v>488.84800000000001</v>
      </c>
      <c r="E176" s="4">
        <v>11.151999999999999</v>
      </c>
      <c r="F176" s="130">
        <f>D176+E176</f>
        <v>500</v>
      </c>
      <c r="G176" s="2">
        <v>21.175720568999996</v>
      </c>
      <c r="H176" s="2">
        <v>13.34</v>
      </c>
      <c r="I176" s="2">
        <f>G176+H176</f>
        <v>34.515720568999996</v>
      </c>
      <c r="J176" s="33"/>
      <c r="K176" s="33"/>
      <c r="L176" s="33"/>
      <c r="M176" s="33"/>
      <c r="N176" s="33"/>
      <c r="O176" s="33"/>
    </row>
    <row r="177" spans="2:16" ht="6.75" customHeight="1" x14ac:dyDescent="0.25">
      <c r="B177" s="131"/>
      <c r="C177" s="132"/>
      <c r="D177" s="133"/>
      <c r="E177" s="5"/>
      <c r="F177" s="134"/>
      <c r="G177" s="3"/>
      <c r="H177" s="3"/>
      <c r="I177" s="3"/>
      <c r="J177" s="33"/>
      <c r="K177" s="33"/>
      <c r="L177" s="33"/>
      <c r="M177" s="33"/>
      <c r="N177" s="33"/>
      <c r="O177" s="33"/>
    </row>
    <row r="178" spans="2:16" ht="51" customHeight="1" x14ac:dyDescent="0.2">
      <c r="B178" s="169" t="s">
        <v>649</v>
      </c>
      <c r="C178" s="169"/>
      <c r="D178" s="169"/>
      <c r="E178" s="169"/>
      <c r="F178" s="169"/>
      <c r="G178" s="169"/>
      <c r="H178" s="169"/>
      <c r="I178" s="169"/>
      <c r="J178" s="135"/>
      <c r="K178" s="33"/>
      <c r="L178" s="33"/>
      <c r="M178" s="33"/>
      <c r="N178" s="33"/>
      <c r="O178" s="33"/>
    </row>
    <row r="179" spans="2:16" ht="13.5" x14ac:dyDescent="0.25">
      <c r="B179" s="89" t="s">
        <v>650</v>
      </c>
      <c r="I179" s="33"/>
      <c r="J179" s="14"/>
      <c r="K179" s="33"/>
      <c r="L179" s="33"/>
      <c r="M179" s="33"/>
      <c r="N179" s="33"/>
      <c r="O179" s="33"/>
      <c r="P179" s="33"/>
    </row>
    <row r="180" spans="2:16" ht="7.5" customHeight="1" x14ac:dyDescent="0.2">
      <c r="B180" s="90"/>
      <c r="J180" s="14"/>
      <c r="K180" s="33"/>
      <c r="L180" s="33"/>
      <c r="M180" s="33"/>
      <c r="N180" s="33"/>
      <c r="O180" s="33"/>
    </row>
    <row r="181" spans="2:16" x14ac:dyDescent="0.2">
      <c r="B181" s="90" t="s">
        <v>654</v>
      </c>
      <c r="J181" s="14"/>
      <c r="K181" s="33"/>
      <c r="L181" s="33"/>
      <c r="M181" s="33"/>
      <c r="N181" s="33"/>
      <c r="O181" s="33"/>
    </row>
    <row r="182" spans="2:16" s="62" customFormat="1" x14ac:dyDescent="0.2">
      <c r="I182" s="107"/>
      <c r="J182" s="14"/>
      <c r="K182" s="33"/>
      <c r="L182" s="33"/>
      <c r="M182" s="33"/>
      <c r="N182" s="33"/>
      <c r="O182" s="68"/>
    </row>
    <row r="183" spans="2:16" s="62" customFormat="1" x14ac:dyDescent="0.2">
      <c r="B183" s="147" t="s">
        <v>600</v>
      </c>
      <c r="C183" s="148"/>
      <c r="D183" s="149"/>
      <c r="I183" s="107"/>
      <c r="J183" s="14"/>
      <c r="K183" s="33"/>
      <c r="L183" s="33"/>
      <c r="M183" s="33"/>
      <c r="N183" s="33"/>
      <c r="O183" s="68"/>
    </row>
    <row r="184" spans="2:16" s="62" customFormat="1" ht="38.25" x14ac:dyDescent="0.2">
      <c r="B184" s="141" t="s">
        <v>601</v>
      </c>
      <c r="C184" s="141"/>
      <c r="D184" s="63" t="s">
        <v>500</v>
      </c>
      <c r="I184" s="107"/>
      <c r="J184" s="14"/>
      <c r="K184" s="33"/>
      <c r="L184" s="33"/>
      <c r="M184" s="33"/>
      <c r="N184" s="33"/>
      <c r="O184" s="68"/>
    </row>
    <row r="185" spans="2:16" s="62" customFormat="1" x14ac:dyDescent="0.2">
      <c r="B185" s="142" t="s">
        <v>602</v>
      </c>
      <c r="C185" s="142"/>
      <c r="D185" s="64"/>
      <c r="I185" s="107"/>
      <c r="J185" s="14"/>
      <c r="K185" s="33"/>
      <c r="L185" s="33"/>
      <c r="M185" s="33"/>
      <c r="N185" s="33"/>
      <c r="O185" s="68"/>
    </row>
    <row r="186" spans="2:16" s="62" customFormat="1" x14ac:dyDescent="0.2">
      <c r="B186" s="142"/>
      <c r="C186" s="142"/>
      <c r="D186" s="65"/>
      <c r="I186" s="107"/>
      <c r="J186" s="14"/>
      <c r="K186" s="33"/>
      <c r="L186" s="33"/>
      <c r="M186" s="33"/>
      <c r="N186" s="33"/>
      <c r="O186" s="68"/>
    </row>
    <row r="187" spans="2:16" s="62" customFormat="1" x14ac:dyDescent="0.2">
      <c r="B187" s="142" t="s">
        <v>603</v>
      </c>
      <c r="C187" s="142"/>
      <c r="D187" s="66">
        <v>6.2426624036643252</v>
      </c>
      <c r="I187" s="107"/>
      <c r="J187" s="14"/>
      <c r="K187" s="33"/>
      <c r="L187" s="33"/>
      <c r="M187" s="33"/>
      <c r="N187" s="33"/>
      <c r="O187" s="68"/>
    </row>
    <row r="188" spans="2:16" s="62" customFormat="1" x14ac:dyDescent="0.2">
      <c r="B188" s="142"/>
      <c r="C188" s="142"/>
      <c r="D188" s="65"/>
      <c r="I188" s="107"/>
      <c r="J188" s="14"/>
      <c r="K188" s="33"/>
      <c r="L188" s="33"/>
      <c r="M188" s="33"/>
      <c r="N188" s="33"/>
      <c r="O188" s="68"/>
    </row>
    <row r="189" spans="2:16" s="62" customFormat="1" x14ac:dyDescent="0.2">
      <c r="B189" s="142" t="s">
        <v>604</v>
      </c>
      <c r="C189" s="142"/>
      <c r="D189" s="66">
        <v>0.48891229962084864</v>
      </c>
      <c r="I189" s="107"/>
      <c r="J189" s="14"/>
      <c r="K189" s="33"/>
      <c r="L189" s="33"/>
      <c r="M189" s="33"/>
      <c r="N189" s="33"/>
      <c r="O189" s="68"/>
    </row>
    <row r="190" spans="2:16" s="62" customFormat="1" x14ac:dyDescent="0.2">
      <c r="B190" s="142" t="s">
        <v>605</v>
      </c>
      <c r="C190" s="142"/>
      <c r="D190" s="66">
        <v>0.49473984408910165</v>
      </c>
      <c r="I190" s="107"/>
      <c r="J190" s="14"/>
      <c r="K190" s="33"/>
      <c r="L190" s="33"/>
      <c r="M190" s="33"/>
      <c r="N190" s="33"/>
      <c r="O190" s="68"/>
    </row>
    <row r="191" spans="2:16" s="62" customFormat="1" x14ac:dyDescent="0.2">
      <c r="B191" s="142"/>
      <c r="C191" s="142"/>
      <c r="D191" s="65"/>
      <c r="I191" s="107"/>
      <c r="J191" s="14"/>
      <c r="K191" s="33"/>
      <c r="L191" s="33"/>
      <c r="M191" s="33"/>
      <c r="N191" s="33"/>
      <c r="O191" s="68"/>
    </row>
    <row r="192" spans="2:16" s="62" customFormat="1" x14ac:dyDescent="0.2">
      <c r="B192" s="142" t="s">
        <v>606</v>
      </c>
      <c r="C192" s="142"/>
      <c r="D192" s="67" t="s">
        <v>716</v>
      </c>
      <c r="I192" s="107"/>
      <c r="J192" s="14"/>
      <c r="K192" s="33"/>
      <c r="L192" s="33"/>
      <c r="M192" s="33"/>
      <c r="N192" s="33"/>
      <c r="O192" s="68"/>
    </row>
    <row r="193" spans="1:17" s="62" customFormat="1" x14ac:dyDescent="0.2">
      <c r="B193" s="155" t="s">
        <v>607</v>
      </c>
      <c r="C193" s="157"/>
      <c r="D193" s="156"/>
      <c r="I193" s="107"/>
      <c r="J193" s="14"/>
      <c r="K193" s="33"/>
      <c r="L193" s="33"/>
      <c r="M193" s="33"/>
      <c r="N193" s="33"/>
      <c r="O193" s="68"/>
    </row>
    <row r="194" spans="1:17" s="62" customFormat="1" x14ac:dyDescent="0.2">
      <c r="B194" s="46"/>
      <c r="C194" s="46"/>
      <c r="D194" s="46"/>
      <c r="I194" s="107"/>
      <c r="J194" s="14"/>
      <c r="K194" s="33"/>
      <c r="L194" s="33"/>
      <c r="M194" s="33"/>
      <c r="N194" s="33"/>
      <c r="O194" s="68"/>
    </row>
    <row r="195" spans="1:17" s="62" customFormat="1" x14ac:dyDescent="0.2">
      <c r="A195"/>
      <c r="B195" s="70" t="s">
        <v>608</v>
      </c>
      <c r="C195"/>
      <c r="D195"/>
      <c r="E195"/>
      <c r="F195"/>
      <c r="G195"/>
      <c r="H195"/>
      <c r="I195" s="107"/>
      <c r="J195" s="14"/>
      <c r="K195" s="33"/>
      <c r="L195" s="33"/>
      <c r="M195" s="33"/>
      <c r="N195" s="33"/>
      <c r="O195" s="68"/>
      <c r="P195"/>
      <c r="Q195"/>
    </row>
    <row r="196" spans="1:17" x14ac:dyDescent="0.2">
      <c r="I196" s="107"/>
    </row>
    <row r="197" spans="1:17" ht="153.75" customHeight="1" x14ac:dyDescent="0.2">
      <c r="I197" s="107"/>
    </row>
    <row r="198" spans="1:17" ht="25.5" customHeight="1" x14ac:dyDescent="0.2">
      <c r="I198" s="107"/>
    </row>
    <row r="199" spans="1:17" x14ac:dyDescent="0.2">
      <c r="B199" s="70" t="s">
        <v>609</v>
      </c>
      <c r="C199" s="71"/>
      <c r="D199" s="70"/>
      <c r="I199" s="107"/>
    </row>
    <row r="200" spans="1:17" x14ac:dyDescent="0.2">
      <c r="B200" s="70" t="s">
        <v>694</v>
      </c>
      <c r="D200" s="70"/>
      <c r="I200" s="107"/>
    </row>
    <row r="201" spans="1:17" x14ac:dyDescent="0.2">
      <c r="I201" s="107"/>
    </row>
    <row r="202" spans="1:17" x14ac:dyDescent="0.2">
      <c r="I202" s="107"/>
    </row>
    <row r="203" spans="1:17" ht="165" customHeight="1" x14ac:dyDescent="0.2">
      <c r="I203" s="107"/>
    </row>
    <row r="204" spans="1:17" x14ac:dyDescent="0.2">
      <c r="I204" s="107"/>
    </row>
    <row r="205" spans="1:17" x14ac:dyDescent="0.2">
      <c r="I205" s="107"/>
      <c r="J205" s="14"/>
    </row>
    <row r="206" spans="1:17" x14ac:dyDescent="0.2">
      <c r="I206" s="107"/>
    </row>
    <row r="207" spans="1:17" x14ac:dyDescent="0.2">
      <c r="I207" s="107"/>
    </row>
    <row r="208" spans="1:17" x14ac:dyDescent="0.2">
      <c r="I208" s="107"/>
    </row>
  </sheetData>
  <mergeCells count="36">
    <mergeCell ref="B192:C192"/>
    <mergeCell ref="B193:D193"/>
    <mergeCell ref="B187:C187"/>
    <mergeCell ref="B188:C188"/>
    <mergeCell ref="B189:C189"/>
    <mergeCell ref="B190:C190"/>
    <mergeCell ref="B191:C191"/>
    <mergeCell ref="B178:I178"/>
    <mergeCell ref="B183:D183"/>
    <mergeCell ref="B184:C184"/>
    <mergeCell ref="B185:C185"/>
    <mergeCell ref="B186:C186"/>
    <mergeCell ref="B173:B175"/>
    <mergeCell ref="C173:C175"/>
    <mergeCell ref="D173:F173"/>
    <mergeCell ref="G173:I173"/>
    <mergeCell ref="D174:D175"/>
    <mergeCell ref="E174:E175"/>
    <mergeCell ref="F174:F175"/>
    <mergeCell ref="G174:H174"/>
    <mergeCell ref="I174:I175"/>
    <mergeCell ref="A1:H1"/>
    <mergeCell ref="A2:H2"/>
    <mergeCell ref="A3:H3"/>
    <mergeCell ref="B143:H143"/>
    <mergeCell ref="B144:H144"/>
    <mergeCell ref="B161:C161"/>
    <mergeCell ref="B162:C162"/>
    <mergeCell ref="B159:C159"/>
    <mergeCell ref="B163:C163"/>
    <mergeCell ref="B145:H145"/>
    <mergeCell ref="B148:D148"/>
    <mergeCell ref="B149:C149"/>
    <mergeCell ref="B150:C150"/>
    <mergeCell ref="B151:C151"/>
    <mergeCell ref="B146:H146"/>
  </mergeCells>
  <hyperlinks>
    <hyperlink ref="I1" location="Index!B2" display="Index" xr:uid="{2EDF340E-6594-46BA-8913-4C430678094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87E0-7676-497C-9E7B-B3215C0F9AFE}">
  <sheetPr>
    <outlinePr summaryBelow="0" summaryRight="0"/>
  </sheetPr>
  <dimension ref="A1:Q146"/>
  <sheetViews>
    <sheetView showGridLines="0" workbookViewId="0">
      <selection activeCell="C19" sqref="C19"/>
    </sheetView>
  </sheetViews>
  <sheetFormatPr defaultColWidth="9.140625" defaultRowHeight="12.75" x14ac:dyDescent="0.2"/>
  <cols>
    <col min="1" max="1" width="5.85546875" bestFit="1" customWidth="1"/>
    <col min="2" max="2" width="19.7109375" bestFit="1" customWidth="1"/>
    <col min="3" max="3" width="43.5703125" customWidth="1"/>
    <col min="4" max="4" width="13.42578125" customWidth="1"/>
    <col min="5" max="5" width="8.7109375" bestFit="1" customWidth="1"/>
    <col min="6" max="6" width="10.140625" bestFit="1" customWidth="1"/>
    <col min="7" max="7" width="14" bestFit="1" customWidth="1"/>
    <col min="8" max="8" width="10.85546875" customWidth="1"/>
    <col min="9" max="9" width="5.7109375" bestFit="1" customWidth="1"/>
  </cols>
  <sheetData>
    <row r="1" spans="1:9" ht="15" x14ac:dyDescent="0.2">
      <c r="A1" s="154" t="s">
        <v>0</v>
      </c>
      <c r="B1" s="154"/>
      <c r="C1" s="154"/>
      <c r="D1" s="154"/>
      <c r="E1" s="154"/>
      <c r="F1" s="154"/>
      <c r="G1" s="154"/>
      <c r="H1" s="154"/>
      <c r="I1" s="1" t="s">
        <v>592</v>
      </c>
    </row>
    <row r="2" spans="1:9" ht="15" x14ac:dyDescent="0.2">
      <c r="A2" s="154" t="s">
        <v>528</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591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299</v>
      </c>
      <c r="C28" s="26" t="s">
        <v>300</v>
      </c>
      <c r="D28" s="26" t="s">
        <v>23</v>
      </c>
      <c r="E28" s="27">
        <v>200</v>
      </c>
      <c r="F28" s="28">
        <v>200.9718</v>
      </c>
      <c r="G28" s="29">
        <v>4.6553770000000001E-2</v>
      </c>
      <c r="H28" s="17">
        <v>6.83</v>
      </c>
    </row>
    <row r="29" spans="1:8" ht="25.5" x14ac:dyDescent="0.2">
      <c r="A29" s="25">
        <v>2</v>
      </c>
      <c r="B29" s="26" t="s">
        <v>509</v>
      </c>
      <c r="C29" s="26" t="s">
        <v>510</v>
      </c>
      <c r="D29" s="26" t="s">
        <v>306</v>
      </c>
      <c r="E29" s="27">
        <v>200</v>
      </c>
      <c r="F29" s="28">
        <v>200.0728</v>
      </c>
      <c r="G29" s="29">
        <v>4.6345520000000001E-2</v>
      </c>
      <c r="H29" s="17">
        <v>7.33</v>
      </c>
    </row>
    <row r="30" spans="1:8" ht="25.5" x14ac:dyDescent="0.2">
      <c r="A30" s="25">
        <v>3</v>
      </c>
      <c r="B30" s="26" t="s">
        <v>69</v>
      </c>
      <c r="C30" s="26" t="s">
        <v>70</v>
      </c>
      <c r="D30" s="26" t="s">
        <v>26</v>
      </c>
      <c r="E30" s="27">
        <v>200</v>
      </c>
      <c r="F30" s="28">
        <v>199.0804</v>
      </c>
      <c r="G30" s="29">
        <v>4.6115639999999999E-2</v>
      </c>
      <c r="H30" s="17">
        <v>6.7828999999999997</v>
      </c>
    </row>
    <row r="31" spans="1:8" x14ac:dyDescent="0.2">
      <c r="A31" s="25">
        <v>4</v>
      </c>
      <c r="B31" s="26" t="s">
        <v>320</v>
      </c>
      <c r="C31" s="26" t="s">
        <v>321</v>
      </c>
      <c r="D31" s="26" t="s">
        <v>306</v>
      </c>
      <c r="E31" s="27">
        <v>150</v>
      </c>
      <c r="F31" s="28">
        <v>152.24115</v>
      </c>
      <c r="G31" s="29">
        <v>3.5265640000000001E-2</v>
      </c>
      <c r="H31" s="17">
        <v>7.92</v>
      </c>
    </row>
    <row r="32" spans="1:8" x14ac:dyDescent="0.2">
      <c r="A32" s="25">
        <v>5</v>
      </c>
      <c r="B32" s="26" t="s">
        <v>312</v>
      </c>
      <c r="C32" s="26" t="s">
        <v>313</v>
      </c>
      <c r="D32" s="26" t="s">
        <v>306</v>
      </c>
      <c r="E32" s="27">
        <v>100</v>
      </c>
      <c r="F32" s="28">
        <v>101.3219</v>
      </c>
      <c r="G32" s="29">
        <v>2.3470540000000002E-2</v>
      </c>
      <c r="H32" s="17">
        <v>6.98</v>
      </c>
    </row>
    <row r="33" spans="1:8" x14ac:dyDescent="0.2">
      <c r="A33" s="25">
        <v>6</v>
      </c>
      <c r="B33" s="26" t="s">
        <v>314</v>
      </c>
      <c r="C33" s="26" t="s">
        <v>315</v>
      </c>
      <c r="D33" s="26" t="s">
        <v>26</v>
      </c>
      <c r="E33" s="27">
        <v>100</v>
      </c>
      <c r="F33" s="28">
        <v>101.10039999999999</v>
      </c>
      <c r="G33" s="29">
        <v>2.3419229999999999E-2</v>
      </c>
      <c r="H33" s="17">
        <v>7.2024999999999997</v>
      </c>
    </row>
    <row r="34" spans="1:8" x14ac:dyDescent="0.2">
      <c r="A34" s="25">
        <v>7</v>
      </c>
      <c r="B34" s="26" t="s">
        <v>291</v>
      </c>
      <c r="C34" s="26" t="s">
        <v>292</v>
      </c>
      <c r="D34" s="26" t="s">
        <v>293</v>
      </c>
      <c r="E34" s="27">
        <v>100</v>
      </c>
      <c r="F34" s="28">
        <v>101.08199999999999</v>
      </c>
      <c r="G34" s="29">
        <v>2.341497E-2</v>
      </c>
      <c r="H34" s="17">
        <v>6.9450000000000003</v>
      </c>
    </row>
    <row r="35" spans="1:8" x14ac:dyDescent="0.2">
      <c r="A35" s="25">
        <v>8</v>
      </c>
      <c r="B35" s="26" t="s">
        <v>67</v>
      </c>
      <c r="C35" s="26" t="s">
        <v>68</v>
      </c>
      <c r="D35" s="26" t="s">
        <v>23</v>
      </c>
      <c r="E35" s="27">
        <v>100</v>
      </c>
      <c r="F35" s="28">
        <v>100.52460000000001</v>
      </c>
      <c r="G35" s="29">
        <v>2.328585E-2</v>
      </c>
      <c r="H35" s="17">
        <v>7.1749999999999998</v>
      </c>
    </row>
    <row r="36" spans="1:8" x14ac:dyDescent="0.2">
      <c r="A36" s="18"/>
      <c r="B36" s="18"/>
      <c r="C36" s="19" t="s">
        <v>11</v>
      </c>
      <c r="D36" s="18"/>
      <c r="E36" s="18" t="s">
        <v>12</v>
      </c>
      <c r="F36" s="24">
        <v>1156.3950500000001</v>
      </c>
      <c r="G36" s="21">
        <v>0.26787116</v>
      </c>
      <c r="H36" s="17" t="s">
        <v>12</v>
      </c>
    </row>
    <row r="37" spans="1:8" x14ac:dyDescent="0.2">
      <c r="A37" s="18"/>
      <c r="B37" s="18"/>
      <c r="C37" s="22"/>
      <c r="D37" s="18"/>
      <c r="E37" s="18"/>
      <c r="F37" s="23"/>
      <c r="G37" s="23"/>
      <c r="H37" s="17" t="s">
        <v>12</v>
      </c>
    </row>
    <row r="38" spans="1:8" x14ac:dyDescent="0.2">
      <c r="A38" s="18"/>
      <c r="B38" s="18"/>
      <c r="C38" s="19" t="s">
        <v>81</v>
      </c>
      <c r="D38" s="18"/>
      <c r="E38" s="18"/>
      <c r="F38" s="18"/>
      <c r="G38" s="18"/>
      <c r="H38" s="17" t="s">
        <v>12</v>
      </c>
    </row>
    <row r="39" spans="1:8" x14ac:dyDescent="0.2">
      <c r="A39" s="18"/>
      <c r="B39" s="18"/>
      <c r="C39" s="19" t="s">
        <v>11</v>
      </c>
      <c r="D39" s="18"/>
      <c r="E39" s="18" t="s">
        <v>12</v>
      </c>
      <c r="F39" s="20" t="s">
        <v>13</v>
      </c>
      <c r="G39" s="21">
        <v>0</v>
      </c>
      <c r="H39" s="17" t="s">
        <v>12</v>
      </c>
    </row>
    <row r="40" spans="1:8" x14ac:dyDescent="0.2">
      <c r="A40" s="18"/>
      <c r="B40" s="18"/>
      <c r="C40" s="22"/>
      <c r="D40" s="18"/>
      <c r="E40" s="18"/>
      <c r="F40" s="23"/>
      <c r="G40" s="23"/>
      <c r="H40" s="17" t="s">
        <v>12</v>
      </c>
    </row>
    <row r="41" spans="1:8" x14ac:dyDescent="0.2">
      <c r="A41" s="18"/>
      <c r="B41" s="18"/>
      <c r="C41" s="19" t="s">
        <v>82</v>
      </c>
      <c r="D41" s="18"/>
      <c r="E41" s="18"/>
      <c r="F41" s="18"/>
      <c r="G41" s="18"/>
      <c r="H41" s="17" t="s">
        <v>12</v>
      </c>
    </row>
    <row r="42" spans="1:8" x14ac:dyDescent="0.2">
      <c r="A42" s="25">
        <v>1</v>
      </c>
      <c r="B42" s="26" t="s">
        <v>494</v>
      </c>
      <c r="C42" s="26" t="s">
        <v>495</v>
      </c>
      <c r="D42" s="26" t="s">
        <v>85</v>
      </c>
      <c r="E42" s="27">
        <v>1400000</v>
      </c>
      <c r="F42" s="28">
        <v>1450.9824000000001</v>
      </c>
      <c r="G42" s="29">
        <v>0.33611034000000001</v>
      </c>
      <c r="H42" s="17">
        <v>6.6468999999999996</v>
      </c>
    </row>
    <row r="43" spans="1:8" x14ac:dyDescent="0.2">
      <c r="A43" s="25">
        <v>2</v>
      </c>
      <c r="B43" s="26" t="s">
        <v>496</v>
      </c>
      <c r="C43" s="26" t="s">
        <v>497</v>
      </c>
      <c r="D43" s="26" t="s">
        <v>85</v>
      </c>
      <c r="E43" s="27">
        <v>500000</v>
      </c>
      <c r="F43" s="28">
        <v>520.13549999999998</v>
      </c>
      <c r="G43" s="29">
        <v>0.12048590000000001</v>
      </c>
      <c r="H43" s="17">
        <v>6.048</v>
      </c>
    </row>
    <row r="44" spans="1:8" x14ac:dyDescent="0.2">
      <c r="A44" s="25">
        <v>3</v>
      </c>
      <c r="B44" s="26" t="s">
        <v>529</v>
      </c>
      <c r="C44" s="26" t="s">
        <v>530</v>
      </c>
      <c r="D44" s="26" t="s">
        <v>85</v>
      </c>
      <c r="E44" s="27">
        <v>500000</v>
      </c>
      <c r="F44" s="28">
        <v>500.40199999999999</v>
      </c>
      <c r="G44" s="29">
        <v>0.11591477</v>
      </c>
      <c r="H44" s="17">
        <v>5.7441000000000004</v>
      </c>
    </row>
    <row r="45" spans="1:8" ht="25.5" x14ac:dyDescent="0.2">
      <c r="A45" s="25">
        <v>4</v>
      </c>
      <c r="B45" s="26" t="s">
        <v>498</v>
      </c>
      <c r="C45" s="26" t="s">
        <v>499</v>
      </c>
      <c r="D45" s="26" t="s">
        <v>85</v>
      </c>
      <c r="E45" s="27">
        <v>230000</v>
      </c>
      <c r="F45" s="28">
        <v>237.70776000000001</v>
      </c>
      <c r="G45" s="29">
        <v>5.506341E-2</v>
      </c>
      <c r="H45" s="17">
        <v>7.0346000000000002</v>
      </c>
    </row>
    <row r="46" spans="1:8" x14ac:dyDescent="0.2">
      <c r="A46" s="25">
        <v>5</v>
      </c>
      <c r="B46" s="26" t="s">
        <v>164</v>
      </c>
      <c r="C46" s="26" t="s">
        <v>165</v>
      </c>
      <c r="D46" s="26" t="s">
        <v>85</v>
      </c>
      <c r="E46" s="27">
        <v>100000</v>
      </c>
      <c r="F46" s="28">
        <v>103.05329999999999</v>
      </c>
      <c r="G46" s="29">
        <v>2.3871610000000001E-2</v>
      </c>
      <c r="H46" s="17">
        <v>6.2164999999999999</v>
      </c>
    </row>
    <row r="47" spans="1:8" x14ac:dyDescent="0.2">
      <c r="A47" s="18"/>
      <c r="B47" s="18"/>
      <c r="C47" s="19" t="s">
        <v>11</v>
      </c>
      <c r="D47" s="18"/>
      <c r="E47" s="18" t="s">
        <v>12</v>
      </c>
      <c r="F47" s="24">
        <v>2812.2809600000001</v>
      </c>
      <c r="G47" s="21">
        <v>0.65144603000000001</v>
      </c>
      <c r="H47" s="17" t="s">
        <v>12</v>
      </c>
    </row>
    <row r="48" spans="1:8" x14ac:dyDescent="0.2">
      <c r="A48" s="18"/>
      <c r="B48" s="18"/>
      <c r="C48" s="22"/>
      <c r="D48" s="18"/>
      <c r="E48" s="18"/>
      <c r="F48" s="23"/>
      <c r="G48" s="23"/>
      <c r="H48" s="17" t="s">
        <v>12</v>
      </c>
    </row>
    <row r="49" spans="1:8" x14ac:dyDescent="0.2">
      <c r="A49" s="18"/>
      <c r="B49" s="18"/>
      <c r="C49" s="19" t="s">
        <v>100</v>
      </c>
      <c r="D49" s="18"/>
      <c r="E49" s="18"/>
      <c r="F49" s="23"/>
      <c r="G49" s="23"/>
      <c r="H49" s="17" t="s">
        <v>12</v>
      </c>
    </row>
    <row r="50" spans="1:8" x14ac:dyDescent="0.2">
      <c r="A50" s="18"/>
      <c r="B50" s="18"/>
      <c r="C50" s="19" t="s">
        <v>11</v>
      </c>
      <c r="D50" s="18"/>
      <c r="E50" s="18" t="s">
        <v>12</v>
      </c>
      <c r="F50" s="20" t="s">
        <v>13</v>
      </c>
      <c r="G50" s="21">
        <v>0</v>
      </c>
      <c r="H50" s="17" t="s">
        <v>12</v>
      </c>
    </row>
    <row r="51" spans="1:8" x14ac:dyDescent="0.2">
      <c r="A51" s="18"/>
      <c r="B51" s="18"/>
      <c r="C51" s="22"/>
      <c r="D51" s="18"/>
      <c r="E51" s="18"/>
      <c r="F51" s="23"/>
      <c r="G51" s="23"/>
      <c r="H51" s="17" t="s">
        <v>12</v>
      </c>
    </row>
    <row r="52" spans="1:8" x14ac:dyDescent="0.2">
      <c r="A52" s="18"/>
      <c r="B52" s="18"/>
      <c r="C52" s="19" t="s">
        <v>101</v>
      </c>
      <c r="D52" s="18"/>
      <c r="E52" s="18"/>
      <c r="F52" s="24">
        <v>3968.6760100000001</v>
      </c>
      <c r="G52" s="21">
        <v>0.91931719000000001</v>
      </c>
      <c r="H52" s="17" t="s">
        <v>12</v>
      </c>
    </row>
    <row r="53" spans="1:8" x14ac:dyDescent="0.2">
      <c r="A53" s="18"/>
      <c r="B53" s="18"/>
      <c r="C53" s="22"/>
      <c r="D53" s="18"/>
      <c r="E53" s="18"/>
      <c r="F53" s="23"/>
      <c r="G53" s="23"/>
      <c r="H53" s="17" t="s">
        <v>12</v>
      </c>
    </row>
    <row r="54" spans="1:8" x14ac:dyDescent="0.2">
      <c r="A54" s="18"/>
      <c r="B54" s="18"/>
      <c r="C54" s="19" t="s">
        <v>102</v>
      </c>
      <c r="D54" s="18"/>
      <c r="E54" s="18"/>
      <c r="F54" s="23"/>
      <c r="G54" s="23"/>
      <c r="H54" s="17" t="s">
        <v>12</v>
      </c>
    </row>
    <row r="55" spans="1:8" x14ac:dyDescent="0.2">
      <c r="A55" s="18"/>
      <c r="B55" s="18"/>
      <c r="C55" s="19" t="s">
        <v>103</v>
      </c>
      <c r="D55" s="18"/>
      <c r="E55" s="18"/>
      <c r="F55" s="23"/>
      <c r="G55" s="23"/>
      <c r="H55" s="17" t="s">
        <v>12</v>
      </c>
    </row>
    <row r="56" spans="1:8" x14ac:dyDescent="0.2">
      <c r="A56" s="18"/>
      <c r="B56" s="18"/>
      <c r="C56" s="19" t="s">
        <v>11</v>
      </c>
      <c r="D56" s="18"/>
      <c r="E56" s="18" t="s">
        <v>12</v>
      </c>
      <c r="F56" s="20" t="s">
        <v>13</v>
      </c>
      <c r="G56" s="21">
        <v>0</v>
      </c>
      <c r="H56" s="17" t="s">
        <v>12</v>
      </c>
    </row>
    <row r="57" spans="1:8" x14ac:dyDescent="0.2">
      <c r="A57" s="18"/>
      <c r="B57" s="18"/>
      <c r="C57" s="22"/>
      <c r="D57" s="18"/>
      <c r="E57" s="18"/>
      <c r="F57" s="23"/>
      <c r="G57" s="23"/>
      <c r="H57" s="17" t="s">
        <v>12</v>
      </c>
    </row>
    <row r="58" spans="1:8" x14ac:dyDescent="0.2">
      <c r="A58" s="18"/>
      <c r="B58" s="18"/>
      <c r="C58" s="19" t="s">
        <v>110</v>
      </c>
      <c r="D58" s="18"/>
      <c r="E58" s="18"/>
      <c r="F58" s="23"/>
      <c r="G58" s="23"/>
      <c r="H58" s="17" t="s">
        <v>12</v>
      </c>
    </row>
    <row r="59" spans="1:8" x14ac:dyDescent="0.2">
      <c r="A59" s="18"/>
      <c r="B59" s="18"/>
      <c r="C59" s="19" t="s">
        <v>11</v>
      </c>
      <c r="D59" s="18"/>
      <c r="E59" s="18" t="s">
        <v>12</v>
      </c>
      <c r="F59" s="20" t="s">
        <v>13</v>
      </c>
      <c r="G59" s="21">
        <v>0</v>
      </c>
      <c r="H59" s="17" t="s">
        <v>12</v>
      </c>
    </row>
    <row r="60" spans="1:8" x14ac:dyDescent="0.2">
      <c r="A60" s="18"/>
      <c r="B60" s="18"/>
      <c r="C60" s="22"/>
      <c r="D60" s="18"/>
      <c r="E60" s="18"/>
      <c r="F60" s="23"/>
      <c r="G60" s="23"/>
      <c r="H60" s="17" t="s">
        <v>12</v>
      </c>
    </row>
    <row r="61" spans="1:8" x14ac:dyDescent="0.2">
      <c r="A61" s="18"/>
      <c r="B61" s="18"/>
      <c r="C61" s="19" t="s">
        <v>111</v>
      </c>
      <c r="D61" s="18"/>
      <c r="E61" s="18"/>
      <c r="F61" s="23"/>
      <c r="G61" s="23"/>
      <c r="H61" s="17" t="s">
        <v>12</v>
      </c>
    </row>
    <row r="62" spans="1:8" x14ac:dyDescent="0.2">
      <c r="A62" s="18"/>
      <c r="B62" s="18"/>
      <c r="C62" s="19" t="s">
        <v>11</v>
      </c>
      <c r="D62" s="18"/>
      <c r="E62" s="18" t="s">
        <v>12</v>
      </c>
      <c r="F62" s="20" t="s">
        <v>13</v>
      </c>
      <c r="G62" s="21">
        <v>0</v>
      </c>
      <c r="H62" s="17" t="s">
        <v>12</v>
      </c>
    </row>
    <row r="63" spans="1:8" x14ac:dyDescent="0.2">
      <c r="A63" s="18"/>
      <c r="B63" s="18"/>
      <c r="C63" s="22"/>
      <c r="D63" s="18"/>
      <c r="E63" s="18"/>
      <c r="F63" s="23"/>
      <c r="G63" s="23"/>
      <c r="H63" s="17" t="s">
        <v>12</v>
      </c>
    </row>
    <row r="64" spans="1:8" x14ac:dyDescent="0.2">
      <c r="A64" s="18"/>
      <c r="B64" s="18"/>
      <c r="C64" s="19" t="s">
        <v>112</v>
      </c>
      <c r="D64" s="18"/>
      <c r="E64" s="18"/>
      <c r="F64" s="23"/>
      <c r="G64" s="23"/>
      <c r="H64" s="17" t="s">
        <v>12</v>
      </c>
    </row>
    <row r="65" spans="1:17" x14ac:dyDescent="0.2">
      <c r="A65" s="25">
        <v>1</v>
      </c>
      <c r="B65" s="26"/>
      <c r="C65" s="26" t="s">
        <v>113</v>
      </c>
      <c r="D65" s="26"/>
      <c r="E65" s="30"/>
      <c r="F65" s="28">
        <v>226.47050969899999</v>
      </c>
      <c r="G65" s="29">
        <v>5.2460380000000001E-2</v>
      </c>
      <c r="H65" s="17">
        <v>5.39</v>
      </c>
    </row>
    <row r="66" spans="1:17" x14ac:dyDescent="0.2">
      <c r="A66" s="18"/>
      <c r="B66" s="18"/>
      <c r="C66" s="19" t="s">
        <v>11</v>
      </c>
      <c r="D66" s="18"/>
      <c r="E66" s="18" t="s">
        <v>12</v>
      </c>
      <c r="F66" s="24">
        <v>226.47050969899999</v>
      </c>
      <c r="G66" s="21">
        <v>5.2460380000000001E-2</v>
      </c>
      <c r="H66" s="17" t="s">
        <v>12</v>
      </c>
    </row>
    <row r="67" spans="1:17" x14ac:dyDescent="0.2">
      <c r="A67" s="18"/>
      <c r="B67" s="18"/>
      <c r="C67" s="22"/>
      <c r="D67" s="18"/>
      <c r="E67" s="18"/>
      <c r="F67" s="23"/>
      <c r="G67" s="23"/>
      <c r="H67" s="17" t="s">
        <v>12</v>
      </c>
    </row>
    <row r="68" spans="1:17" x14ac:dyDescent="0.2">
      <c r="A68" s="18"/>
      <c r="B68" s="18"/>
      <c r="C68" s="19" t="s">
        <v>114</v>
      </c>
      <c r="D68" s="18"/>
      <c r="E68" s="18"/>
      <c r="F68" s="24">
        <v>226.47050969899999</v>
      </c>
      <c r="G68" s="21">
        <v>5.2460380000000001E-2</v>
      </c>
      <c r="H68" s="17" t="s">
        <v>12</v>
      </c>
    </row>
    <row r="69" spans="1:17" x14ac:dyDescent="0.2">
      <c r="A69" s="18"/>
      <c r="B69" s="18"/>
      <c r="C69" s="23"/>
      <c r="D69" s="18"/>
      <c r="E69" s="18"/>
      <c r="F69" s="18"/>
      <c r="G69" s="18"/>
      <c r="H69" s="17" t="s">
        <v>12</v>
      </c>
    </row>
    <row r="70" spans="1:17" x14ac:dyDescent="0.2">
      <c r="A70" s="18"/>
      <c r="B70" s="18"/>
      <c r="C70" s="19" t="s">
        <v>115</v>
      </c>
      <c r="D70" s="18"/>
      <c r="E70" s="18"/>
      <c r="F70" s="18"/>
      <c r="G70" s="18"/>
      <c r="H70" s="17" t="s">
        <v>12</v>
      </c>
    </row>
    <row r="71" spans="1:17" x14ac:dyDescent="0.2">
      <c r="A71" s="18"/>
      <c r="B71" s="18"/>
      <c r="C71" s="19" t="s">
        <v>116</v>
      </c>
      <c r="D71" s="18"/>
      <c r="E71" s="18"/>
      <c r="F71" s="18"/>
      <c r="G71" s="18"/>
      <c r="H71" s="17" t="s">
        <v>12</v>
      </c>
    </row>
    <row r="72" spans="1:17" x14ac:dyDescent="0.2">
      <c r="A72" s="18"/>
      <c r="B72" s="18"/>
      <c r="C72" s="19" t="s">
        <v>11</v>
      </c>
      <c r="D72" s="18"/>
      <c r="E72" s="18" t="s">
        <v>12</v>
      </c>
      <c r="F72" s="20" t="s">
        <v>13</v>
      </c>
      <c r="G72" s="21">
        <v>0</v>
      </c>
      <c r="H72" s="17" t="s">
        <v>12</v>
      </c>
    </row>
    <row r="73" spans="1:17" x14ac:dyDescent="0.2">
      <c r="A73" s="15"/>
      <c r="B73" s="15"/>
      <c r="C73" s="31"/>
      <c r="D73" s="15"/>
      <c r="E73" s="15"/>
      <c r="F73" s="32"/>
      <c r="G73" s="32"/>
      <c r="H73" s="17" t="s">
        <v>12</v>
      </c>
    </row>
    <row r="74" spans="1:17" x14ac:dyDescent="0.2">
      <c r="A74" s="15"/>
      <c r="B74" s="15"/>
      <c r="C74" s="16" t="s">
        <v>593</v>
      </c>
      <c r="D74" s="15"/>
      <c r="E74" s="15"/>
      <c r="F74" s="32"/>
      <c r="G74" s="32"/>
      <c r="H74" s="17" t="s">
        <v>12</v>
      </c>
      <c r="K74" s="33"/>
      <c r="L74" s="33"/>
      <c r="M74" s="33"/>
      <c r="N74" s="33"/>
      <c r="O74" s="34"/>
      <c r="P74" s="34"/>
      <c r="Q74" s="34"/>
    </row>
    <row r="75" spans="1:17" x14ac:dyDescent="0.2">
      <c r="A75" s="35">
        <v>1</v>
      </c>
      <c r="B75" s="36" t="s">
        <v>117</v>
      </c>
      <c r="C75" s="36" t="s">
        <v>118</v>
      </c>
      <c r="D75" s="36"/>
      <c r="E75" s="37">
        <v>112.994</v>
      </c>
      <c r="F75" s="38">
        <v>12.777560276000001</v>
      </c>
      <c r="G75" s="39">
        <v>2.95984E-3</v>
      </c>
      <c r="H75" s="17"/>
    </row>
    <row r="76" spans="1:17" x14ac:dyDescent="0.2">
      <c r="A76" s="15"/>
      <c r="B76" s="15"/>
      <c r="C76" s="16" t="s">
        <v>11</v>
      </c>
      <c r="D76" s="15"/>
      <c r="E76" s="15" t="s">
        <v>12</v>
      </c>
      <c r="F76" s="40">
        <f>SUM(F75)</f>
        <v>12.777560276000001</v>
      </c>
      <c r="G76" s="41">
        <f>SUM(G75)</f>
        <v>2.95984E-3</v>
      </c>
      <c r="H76" s="17" t="s">
        <v>12</v>
      </c>
    </row>
    <row r="77" spans="1:17" x14ac:dyDescent="0.2">
      <c r="A77" s="15"/>
      <c r="B77" s="15"/>
      <c r="C77" s="31"/>
      <c r="D77" s="15"/>
      <c r="E77" s="15"/>
      <c r="F77" s="32"/>
      <c r="G77" s="32"/>
      <c r="H77" s="17" t="s">
        <v>12</v>
      </c>
    </row>
    <row r="78" spans="1:17" x14ac:dyDescent="0.2">
      <c r="A78" s="18"/>
      <c r="B78" s="18"/>
      <c r="C78" s="19" t="s">
        <v>119</v>
      </c>
      <c r="D78" s="18"/>
      <c r="E78" s="18"/>
      <c r="F78" s="18"/>
      <c r="G78" s="18"/>
      <c r="H78" s="17" t="s">
        <v>12</v>
      </c>
    </row>
    <row r="79" spans="1:17" x14ac:dyDescent="0.2">
      <c r="A79" s="18"/>
      <c r="B79" s="18"/>
      <c r="C79" s="19" t="s">
        <v>120</v>
      </c>
      <c r="D79" s="18"/>
      <c r="E79" s="18"/>
      <c r="F79" s="18"/>
      <c r="G79" s="18"/>
      <c r="H79" s="17" t="s">
        <v>12</v>
      </c>
    </row>
    <row r="80" spans="1:17" x14ac:dyDescent="0.2">
      <c r="A80" s="18"/>
      <c r="B80" s="18"/>
      <c r="C80" s="19" t="s">
        <v>11</v>
      </c>
      <c r="D80" s="18"/>
      <c r="E80" s="18" t="s">
        <v>12</v>
      </c>
      <c r="F80" s="20" t="s">
        <v>13</v>
      </c>
      <c r="G80" s="21">
        <v>0</v>
      </c>
      <c r="H80" s="17" t="s">
        <v>12</v>
      </c>
    </row>
    <row r="81" spans="1:8" x14ac:dyDescent="0.2">
      <c r="A81" s="18"/>
      <c r="B81" s="18"/>
      <c r="C81" s="22"/>
      <c r="D81" s="18"/>
      <c r="E81" s="18"/>
      <c r="F81" s="23"/>
      <c r="G81" s="23"/>
      <c r="H81" s="17" t="s">
        <v>12</v>
      </c>
    </row>
    <row r="82" spans="1:8" x14ac:dyDescent="0.2">
      <c r="A82" s="18"/>
      <c r="B82" s="18"/>
      <c r="C82" s="19" t="s">
        <v>121</v>
      </c>
      <c r="D82" s="18"/>
      <c r="E82" s="18"/>
      <c r="F82" s="23"/>
      <c r="G82" s="23"/>
      <c r="H82" s="17" t="s">
        <v>12</v>
      </c>
    </row>
    <row r="83" spans="1:8" x14ac:dyDescent="0.2">
      <c r="A83" s="18"/>
      <c r="B83" s="18"/>
      <c r="C83" s="19" t="s">
        <v>11</v>
      </c>
      <c r="D83" s="18"/>
      <c r="E83" s="18" t="s">
        <v>12</v>
      </c>
      <c r="F83" s="20" t="s">
        <v>13</v>
      </c>
      <c r="G83" s="21">
        <v>0</v>
      </c>
      <c r="H83" s="17" t="s">
        <v>12</v>
      </c>
    </row>
    <row r="84" spans="1:8" x14ac:dyDescent="0.2">
      <c r="A84" s="18"/>
      <c r="B84" s="26"/>
      <c r="C84" s="26"/>
      <c r="D84" s="19"/>
      <c r="E84" s="18"/>
      <c r="F84" s="26"/>
      <c r="G84" s="30"/>
      <c r="H84" s="17" t="s">
        <v>12</v>
      </c>
    </row>
    <row r="85" spans="1:8" x14ac:dyDescent="0.2">
      <c r="A85" s="30"/>
      <c r="B85" s="26"/>
      <c r="C85" s="26" t="s">
        <v>122</v>
      </c>
      <c r="D85" s="26"/>
      <c r="E85" s="30"/>
      <c r="F85" s="28">
        <v>109.05819611</v>
      </c>
      <c r="G85" s="29">
        <v>2.52626E-2</v>
      </c>
      <c r="H85" s="17" t="s">
        <v>12</v>
      </c>
    </row>
    <row r="86" spans="1:8" x14ac:dyDescent="0.2">
      <c r="A86" s="22"/>
      <c r="B86" s="22"/>
      <c r="C86" s="19" t="s">
        <v>123</v>
      </c>
      <c r="D86" s="23"/>
      <c r="E86" s="23"/>
      <c r="F86" s="24">
        <v>4316.9822760850002</v>
      </c>
      <c r="G86" s="42">
        <v>1.0000000099999999</v>
      </c>
      <c r="H86" s="17" t="s">
        <v>12</v>
      </c>
    </row>
    <row r="87" spans="1:8" x14ac:dyDescent="0.2">
      <c r="A87" s="43"/>
      <c r="B87" s="43"/>
      <c r="C87" s="43"/>
      <c r="D87" s="44"/>
      <c r="E87" s="44"/>
      <c r="F87" s="44"/>
      <c r="G87" s="44"/>
    </row>
    <row r="88" spans="1:8" x14ac:dyDescent="0.2">
      <c r="A88" s="45"/>
      <c r="B88" s="150" t="s">
        <v>594</v>
      </c>
      <c r="C88" s="150"/>
      <c r="D88" s="150"/>
      <c r="E88" s="150"/>
      <c r="F88" s="150"/>
      <c r="G88" s="150"/>
      <c r="H88" s="150"/>
    </row>
    <row r="89" spans="1:8" x14ac:dyDescent="0.2">
      <c r="A89" s="45"/>
      <c r="B89" s="150" t="s">
        <v>595</v>
      </c>
      <c r="C89" s="150"/>
      <c r="D89" s="150"/>
      <c r="E89" s="150"/>
      <c r="F89" s="150"/>
      <c r="G89" s="150"/>
      <c r="H89" s="150"/>
    </row>
    <row r="90" spans="1:8" x14ac:dyDescent="0.2">
      <c r="A90" s="45"/>
      <c r="B90" s="150" t="s">
        <v>596</v>
      </c>
      <c r="C90" s="150"/>
      <c r="D90" s="150"/>
      <c r="E90" s="150"/>
      <c r="F90" s="150"/>
      <c r="G90" s="150"/>
      <c r="H90" s="150"/>
    </row>
    <row r="91" spans="1:8" x14ac:dyDescent="0.2">
      <c r="A91" s="45"/>
      <c r="B91" s="45"/>
      <c r="C91" s="45"/>
      <c r="D91" s="47"/>
      <c r="E91" s="47"/>
      <c r="F91" s="47"/>
      <c r="G91" s="47"/>
    </row>
    <row r="92" spans="1:8" x14ac:dyDescent="0.2">
      <c r="A92" s="45"/>
      <c r="B92" s="151" t="s">
        <v>124</v>
      </c>
      <c r="C92" s="152"/>
      <c r="D92" s="153"/>
      <c r="E92" s="48"/>
      <c r="F92" s="47"/>
      <c r="G92" s="47"/>
    </row>
    <row r="93" spans="1:8" ht="27" customHeight="1" x14ac:dyDescent="0.2">
      <c r="A93" s="45"/>
      <c r="B93" s="143" t="s">
        <v>125</v>
      </c>
      <c r="C93" s="144"/>
      <c r="D93" s="16" t="s">
        <v>618</v>
      </c>
      <c r="E93" s="48"/>
      <c r="F93" s="47"/>
      <c r="G93" s="47"/>
    </row>
    <row r="94" spans="1:8" x14ac:dyDescent="0.2">
      <c r="A94" s="45"/>
      <c r="B94" s="143" t="s">
        <v>127</v>
      </c>
      <c r="C94" s="144"/>
      <c r="D94" s="16" t="s">
        <v>126</v>
      </c>
      <c r="E94" s="48"/>
      <c r="F94" s="47"/>
      <c r="G94" s="47"/>
    </row>
    <row r="95" spans="1:8" x14ac:dyDescent="0.2">
      <c r="A95" s="45"/>
      <c r="B95" s="143" t="s">
        <v>128</v>
      </c>
      <c r="C95" s="144"/>
      <c r="D95" s="32" t="s">
        <v>12</v>
      </c>
      <c r="E95" s="48"/>
      <c r="F95" s="47"/>
      <c r="G95" s="47"/>
    </row>
    <row r="96" spans="1:8" x14ac:dyDescent="0.2">
      <c r="A96" s="49"/>
      <c r="B96" s="50" t="s">
        <v>12</v>
      </c>
      <c r="C96" s="50" t="s">
        <v>597</v>
      </c>
      <c r="D96" s="50" t="s">
        <v>129</v>
      </c>
      <c r="E96" s="49"/>
      <c r="F96" s="49"/>
      <c r="G96" s="49"/>
    </row>
    <row r="97" spans="1:14" x14ac:dyDescent="0.2">
      <c r="A97" s="51"/>
      <c r="B97" s="52" t="s">
        <v>130</v>
      </c>
      <c r="C97" s="53">
        <v>45869</v>
      </c>
      <c r="D97" s="53">
        <v>45884</v>
      </c>
      <c r="E97" s="51"/>
      <c r="F97" s="51"/>
      <c r="G97" s="51"/>
    </row>
    <row r="98" spans="1:14" x14ac:dyDescent="0.2">
      <c r="A98" s="51"/>
      <c r="B98" s="26" t="s">
        <v>131</v>
      </c>
      <c r="C98" s="54">
        <v>77.572699999999998</v>
      </c>
      <c r="D98" s="54">
        <v>77.533000000000001</v>
      </c>
      <c r="E98" s="51"/>
      <c r="F98" s="55"/>
      <c r="G98" s="56"/>
    </row>
    <row r="99" spans="1:14" ht="25.5" x14ac:dyDescent="0.2">
      <c r="A99" s="51"/>
      <c r="B99" s="26" t="s">
        <v>735</v>
      </c>
      <c r="C99" s="54">
        <v>27.284600000000001</v>
      </c>
      <c r="D99" s="54">
        <v>27.270600000000002</v>
      </c>
      <c r="E99" s="51"/>
      <c r="F99" s="55"/>
      <c r="G99" s="56"/>
    </row>
    <row r="100" spans="1:14" x14ac:dyDescent="0.2">
      <c r="A100" s="51"/>
      <c r="B100" s="26" t="s">
        <v>132</v>
      </c>
      <c r="C100" s="54">
        <v>69.428100000000001</v>
      </c>
      <c r="D100" s="54">
        <v>69.371499999999997</v>
      </c>
      <c r="E100" s="51"/>
      <c r="F100" s="55"/>
      <c r="G100" s="56"/>
    </row>
    <row r="101" spans="1:14" x14ac:dyDescent="0.2">
      <c r="A101" s="51"/>
      <c r="B101" s="36" t="s">
        <v>739</v>
      </c>
      <c r="C101" s="54">
        <v>13.4049</v>
      </c>
      <c r="D101" s="54">
        <v>13.394</v>
      </c>
      <c r="E101" s="51"/>
      <c r="F101" s="55"/>
      <c r="G101" s="56"/>
    </row>
    <row r="102" spans="1:14" x14ac:dyDescent="0.2">
      <c r="A102" s="51"/>
      <c r="B102" s="51"/>
      <c r="C102" s="51"/>
      <c r="D102" s="51"/>
      <c r="E102" s="51"/>
      <c r="F102" s="51"/>
      <c r="G102" s="51"/>
    </row>
    <row r="103" spans="1:14" x14ac:dyDescent="0.2">
      <c r="A103" s="51"/>
      <c r="B103" s="145" t="s">
        <v>598</v>
      </c>
      <c r="C103" s="146"/>
      <c r="D103" s="19" t="s">
        <v>126</v>
      </c>
      <c r="E103" s="51"/>
      <c r="F103" s="51"/>
      <c r="G103" s="51"/>
    </row>
    <row r="104" spans="1:14" x14ac:dyDescent="0.2">
      <c r="A104" s="51"/>
      <c r="B104" s="61"/>
      <c r="C104" s="61"/>
      <c r="D104" s="61"/>
      <c r="E104" s="51"/>
      <c r="F104" s="51"/>
      <c r="G104" s="51"/>
    </row>
    <row r="105" spans="1:14" x14ac:dyDescent="0.2">
      <c r="A105" s="49"/>
      <c r="B105" s="143" t="s">
        <v>133</v>
      </c>
      <c r="C105" s="144"/>
      <c r="D105" s="16" t="s">
        <v>126</v>
      </c>
      <c r="E105" s="60"/>
      <c r="F105" s="49"/>
      <c r="G105" s="49"/>
    </row>
    <row r="106" spans="1:14" x14ac:dyDescent="0.2">
      <c r="A106" s="49"/>
      <c r="B106" s="143" t="s">
        <v>134</v>
      </c>
      <c r="C106" s="144"/>
      <c r="D106" s="16" t="s">
        <v>126</v>
      </c>
      <c r="E106" s="60"/>
      <c r="F106" s="49"/>
      <c r="G106" s="49"/>
    </row>
    <row r="107" spans="1:14" x14ac:dyDescent="0.2">
      <c r="A107" s="49"/>
      <c r="B107" s="143" t="s">
        <v>599</v>
      </c>
      <c r="C107" s="144"/>
      <c r="D107" s="16" t="s">
        <v>126</v>
      </c>
      <c r="E107" s="60"/>
      <c r="F107" s="49"/>
      <c r="G107" s="49"/>
    </row>
    <row r="108" spans="1:14" x14ac:dyDescent="0.2">
      <c r="A108" s="61"/>
      <c r="B108" s="61"/>
      <c r="C108" s="61"/>
      <c r="D108" s="61"/>
      <c r="E108" s="61"/>
      <c r="F108" s="61"/>
      <c r="G108" s="61"/>
    </row>
    <row r="109" spans="1:14" s="62" customFormat="1" ht="15" x14ac:dyDescent="0.25">
      <c r="B109" s="204" t="s">
        <v>717</v>
      </c>
      <c r="C109" s="205"/>
      <c r="D109" s="205"/>
      <c r="E109" s="205"/>
      <c r="F109" s="205"/>
      <c r="G109" s="206"/>
      <c r="I109"/>
      <c r="J109" s="91"/>
      <c r="K109" s="91"/>
      <c r="L109" s="91"/>
      <c r="M109" s="91"/>
      <c r="N109"/>
    </row>
    <row r="110" spans="1:14" s="62" customFormat="1" ht="45" customHeight="1" x14ac:dyDescent="0.25">
      <c r="B110" s="92" t="s">
        <v>620</v>
      </c>
      <c r="C110" s="92" t="s">
        <v>621</v>
      </c>
      <c r="D110" s="207" t="s">
        <v>622</v>
      </c>
      <c r="E110" s="208"/>
      <c r="F110" s="203" t="s">
        <v>623</v>
      </c>
      <c r="G110" s="203"/>
      <c r="H110" s="93"/>
      <c r="I110"/>
      <c r="J110" s="91"/>
      <c r="K110" s="91"/>
      <c r="L110" s="91"/>
      <c r="M110" s="91"/>
      <c r="N110"/>
    </row>
    <row r="111" spans="1:14" s="62" customFormat="1" ht="25.5" x14ac:dyDescent="0.25">
      <c r="B111" s="94" t="s">
        <v>695</v>
      </c>
      <c r="C111" s="95" t="s">
        <v>696</v>
      </c>
      <c r="D111" s="209">
        <v>0</v>
      </c>
      <c r="E111" s="210"/>
      <c r="F111" s="209">
        <v>0</v>
      </c>
      <c r="G111" s="210"/>
      <c r="H111" s="96"/>
      <c r="I111"/>
      <c r="J111" s="91"/>
      <c r="K111" s="91"/>
      <c r="L111" s="91"/>
      <c r="M111" s="91"/>
      <c r="N111"/>
    </row>
    <row r="112" spans="1:14" s="62" customFormat="1" ht="15" x14ac:dyDescent="0.25">
      <c r="B112" s="200" t="s">
        <v>697</v>
      </c>
      <c r="C112" s="201"/>
      <c r="D112" s="201"/>
      <c r="E112" s="201"/>
      <c r="F112" s="201"/>
      <c r="G112" s="202"/>
      <c r="H112" s="96"/>
      <c r="I112"/>
      <c r="J112" s="97"/>
      <c r="K112" s="97"/>
      <c r="L112" s="97"/>
      <c r="M112" s="91"/>
      <c r="N112"/>
    </row>
    <row r="113" spans="2:16" s="62" customFormat="1" ht="15" x14ac:dyDescent="0.25">
      <c r="B113" s="203" t="s">
        <v>620</v>
      </c>
      <c r="C113" s="203" t="s">
        <v>621</v>
      </c>
      <c r="D113" s="200" t="s">
        <v>664</v>
      </c>
      <c r="E113" s="201"/>
      <c r="F113" s="202"/>
      <c r="G113" s="94"/>
      <c r="H113" s="96"/>
      <c r="I113"/>
      <c r="J113" s="97"/>
      <c r="K113" s="97"/>
      <c r="L113" s="97"/>
      <c r="M113" s="91"/>
      <c r="N113"/>
    </row>
    <row r="114" spans="2:16" s="62" customFormat="1" ht="76.5" x14ac:dyDescent="0.25">
      <c r="B114" s="203"/>
      <c r="C114" s="203"/>
      <c r="D114" s="98" t="s">
        <v>668</v>
      </c>
      <c r="E114" s="98" t="s">
        <v>698</v>
      </c>
      <c r="F114" s="98" t="s">
        <v>699</v>
      </c>
      <c r="G114" s="98" t="s">
        <v>720</v>
      </c>
      <c r="H114" s="99"/>
      <c r="I114"/>
      <c r="J114" s="97"/>
      <c r="K114" s="97"/>
      <c r="L114" s="97"/>
      <c r="M114" s="91"/>
      <c r="N114"/>
    </row>
    <row r="115" spans="2:16" s="62" customFormat="1" ht="25.5" x14ac:dyDescent="0.2">
      <c r="B115" s="100" t="s">
        <v>695</v>
      </c>
      <c r="C115" s="95" t="s">
        <v>696</v>
      </c>
      <c r="D115" s="101">
        <v>200</v>
      </c>
      <c r="E115" s="101">
        <v>6.8852450999999997</v>
      </c>
      <c r="F115" s="101">
        <v>206.88524509999999</v>
      </c>
      <c r="G115" s="102">
        <f>F115/F86</f>
        <v>4.7923579915093092E-2</v>
      </c>
      <c r="H115" s="103"/>
      <c r="I115"/>
      <c r="J115"/>
      <c r="K115"/>
      <c r="L115"/>
      <c r="M115"/>
      <c r="N115"/>
    </row>
    <row r="116" spans="2:16" s="62" customFormat="1" ht="33" customHeight="1" x14ac:dyDescent="0.2">
      <c r="B116" s="197" t="s">
        <v>700</v>
      </c>
      <c r="C116" s="198"/>
      <c r="D116" s="198"/>
      <c r="E116" s="198"/>
      <c r="F116" s="198"/>
      <c r="G116" s="199"/>
      <c r="H116" s="104"/>
      <c r="I116"/>
      <c r="J116"/>
      <c r="K116"/>
      <c r="L116"/>
      <c r="M116"/>
      <c r="N116"/>
    </row>
    <row r="117" spans="2:16" s="62" customFormat="1" x14ac:dyDescent="0.2">
      <c r="H117" s="104"/>
      <c r="I117"/>
      <c r="J117"/>
      <c r="K117"/>
      <c r="L117"/>
      <c r="M117"/>
      <c r="N117"/>
    </row>
    <row r="118" spans="2:16" s="62" customFormat="1" x14ac:dyDescent="0.2">
      <c r="B118" s="147" t="s">
        <v>600</v>
      </c>
      <c r="C118" s="148"/>
      <c r="D118" s="149"/>
      <c r="I118"/>
      <c r="J118"/>
      <c r="K118"/>
      <c r="L118"/>
      <c r="M118"/>
      <c r="N118"/>
    </row>
    <row r="119" spans="2:16" s="62" customFormat="1" ht="38.25" x14ac:dyDescent="0.2">
      <c r="B119" s="141" t="s">
        <v>601</v>
      </c>
      <c r="C119" s="141"/>
      <c r="D119" s="63" t="s">
        <v>528</v>
      </c>
      <c r="I119"/>
      <c r="J119"/>
      <c r="K119"/>
      <c r="L119"/>
      <c r="M119"/>
      <c r="N119"/>
    </row>
    <row r="120" spans="2:16" s="62" customFormat="1" x14ac:dyDescent="0.2">
      <c r="B120" s="142" t="s">
        <v>602</v>
      </c>
      <c r="C120" s="142"/>
      <c r="D120" s="64"/>
      <c r="I120"/>
      <c r="J120"/>
      <c r="K120"/>
      <c r="L120"/>
      <c r="M120"/>
      <c r="N120"/>
    </row>
    <row r="121" spans="2:16" s="62" customFormat="1" x14ac:dyDescent="0.2">
      <c r="B121" s="142"/>
      <c r="C121" s="142"/>
      <c r="D121" s="65"/>
      <c r="I121"/>
      <c r="J121"/>
      <c r="K121"/>
      <c r="L121"/>
      <c r="M121"/>
      <c r="N121"/>
    </row>
    <row r="122" spans="2:16" s="62" customFormat="1" x14ac:dyDescent="0.2">
      <c r="B122" s="142" t="s">
        <v>603</v>
      </c>
      <c r="C122" s="142"/>
      <c r="D122" s="66">
        <v>6.5476023016669922</v>
      </c>
      <c r="I122"/>
      <c r="J122"/>
      <c r="K122"/>
      <c r="L122"/>
      <c r="M122"/>
      <c r="N122"/>
    </row>
    <row r="123" spans="2:16" s="62" customFormat="1" x14ac:dyDescent="0.2">
      <c r="B123" s="142"/>
      <c r="C123" s="142"/>
      <c r="D123" s="65"/>
      <c r="I123"/>
      <c r="J123"/>
      <c r="K123"/>
      <c r="L123"/>
      <c r="M123"/>
      <c r="N123"/>
    </row>
    <row r="124" spans="2:16" s="62" customFormat="1" x14ac:dyDescent="0.2">
      <c r="B124" s="142" t="s">
        <v>604</v>
      </c>
      <c r="C124" s="142"/>
      <c r="D124" s="66">
        <v>3.6201445119503761</v>
      </c>
      <c r="I124"/>
      <c r="J124"/>
      <c r="K124"/>
      <c r="L124"/>
      <c r="M124"/>
      <c r="N124"/>
    </row>
    <row r="125" spans="2:16" s="62" customFormat="1" x14ac:dyDescent="0.2">
      <c r="B125" s="142" t="s">
        <v>605</v>
      </c>
      <c r="C125" s="142"/>
      <c r="D125" s="66">
        <v>4.5827059412762701</v>
      </c>
      <c r="I125"/>
      <c r="J125"/>
      <c r="K125"/>
      <c r="L125"/>
      <c r="M125"/>
      <c r="N125"/>
    </row>
    <row r="126" spans="2:16" s="62" customFormat="1" x14ac:dyDescent="0.2">
      <c r="B126" s="142"/>
      <c r="C126" s="142"/>
      <c r="D126" s="65"/>
      <c r="I126"/>
      <c r="J126"/>
      <c r="K126"/>
      <c r="L126"/>
      <c r="M126"/>
      <c r="N126"/>
    </row>
    <row r="127" spans="2:16" s="62" customFormat="1" x14ac:dyDescent="0.2">
      <c r="B127" s="142" t="s">
        <v>606</v>
      </c>
      <c r="C127" s="142"/>
      <c r="D127" s="67" t="s">
        <v>716</v>
      </c>
      <c r="I127"/>
      <c r="J127" s="33"/>
      <c r="K127" s="33"/>
      <c r="L127" s="33"/>
      <c r="M127" s="33"/>
      <c r="N127" s="68"/>
    </row>
    <row r="128" spans="2:16" s="62" customFormat="1" x14ac:dyDescent="0.2">
      <c r="B128" s="155" t="s">
        <v>607</v>
      </c>
      <c r="C128" s="157"/>
      <c r="D128" s="156"/>
      <c r="I128"/>
      <c r="J128"/>
      <c r="K128"/>
      <c r="L128"/>
      <c r="M128"/>
      <c r="N128"/>
      <c r="O128"/>
      <c r="P128"/>
    </row>
    <row r="130" spans="2:4" x14ac:dyDescent="0.2">
      <c r="B130" s="70" t="s">
        <v>608</v>
      </c>
    </row>
    <row r="131" spans="2:4" ht="153.75" customHeight="1" x14ac:dyDescent="0.2"/>
    <row r="134" spans="2:4" x14ac:dyDescent="0.2">
      <c r="B134" s="70" t="s">
        <v>609</v>
      </c>
      <c r="C134" s="71"/>
      <c r="D134" s="70"/>
    </row>
    <row r="135" spans="2:4" x14ac:dyDescent="0.2">
      <c r="B135" s="70" t="s">
        <v>701</v>
      </c>
      <c r="D135" s="70"/>
    </row>
    <row r="136" spans="2:4" ht="165" customHeight="1" x14ac:dyDescent="0.2"/>
    <row r="145" customFormat="1" x14ac:dyDescent="0.2"/>
    <row r="146" customFormat="1" x14ac:dyDescent="0.2"/>
  </sheetData>
  <mergeCells count="35">
    <mergeCell ref="B120:C120"/>
    <mergeCell ref="B121:C121"/>
    <mergeCell ref="B127:C127"/>
    <mergeCell ref="B128:D128"/>
    <mergeCell ref="B122:C122"/>
    <mergeCell ref="B123:C123"/>
    <mergeCell ref="B124:C124"/>
    <mergeCell ref="B125:C125"/>
    <mergeCell ref="B126:C126"/>
    <mergeCell ref="B107:C107"/>
    <mergeCell ref="B106:C106"/>
    <mergeCell ref="B116:G116"/>
    <mergeCell ref="B118:D118"/>
    <mergeCell ref="B119:C119"/>
    <mergeCell ref="B112:G112"/>
    <mergeCell ref="B113:B114"/>
    <mergeCell ref="C113:C114"/>
    <mergeCell ref="D113:F113"/>
    <mergeCell ref="B109:G109"/>
    <mergeCell ref="D110:E110"/>
    <mergeCell ref="F110:G110"/>
    <mergeCell ref="D111:E111"/>
    <mergeCell ref="F111:G111"/>
    <mergeCell ref="A1:H1"/>
    <mergeCell ref="A2:H2"/>
    <mergeCell ref="A3:H3"/>
    <mergeCell ref="B88:H88"/>
    <mergeCell ref="B89:H89"/>
    <mergeCell ref="B90:H90"/>
    <mergeCell ref="B92:D92"/>
    <mergeCell ref="B93:C93"/>
    <mergeCell ref="B94:C94"/>
    <mergeCell ref="B105:C105"/>
    <mergeCell ref="B103:C103"/>
    <mergeCell ref="B95:C95"/>
  </mergeCells>
  <hyperlinks>
    <hyperlink ref="I1" location="Index!B2" display="Index" xr:uid="{C2511397-54E0-4516-834D-8E7ABEE893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D70EF-0448-47A4-87CF-A36968CD98BC}">
  <sheetPr>
    <outlinePr summaryBelow="0" summaryRight="0"/>
  </sheetPr>
  <dimension ref="A1:R161"/>
  <sheetViews>
    <sheetView showGridLines="0" workbookViewId="0">
      <selection activeCell="C19" sqref="C19"/>
    </sheetView>
  </sheetViews>
  <sheetFormatPr defaultColWidth="9.140625" defaultRowHeight="12.75" x14ac:dyDescent="0.2"/>
  <cols>
    <col min="1" max="1" width="5.85546875" bestFit="1" customWidth="1"/>
    <col min="2" max="2" width="20.28515625" bestFit="1" customWidth="1"/>
    <col min="3" max="3" width="43.5703125" customWidth="1"/>
    <col min="4" max="4" width="16.5703125" bestFit="1" customWidth="1"/>
    <col min="5" max="5" width="8.7109375" bestFit="1" customWidth="1"/>
    <col min="6" max="6" width="10.140625" bestFit="1" customWidth="1"/>
    <col min="7" max="7" width="14" bestFit="1" customWidth="1"/>
    <col min="8" max="8" width="10.85546875" customWidth="1"/>
    <col min="9" max="9" width="9.42578125" customWidth="1"/>
  </cols>
  <sheetData>
    <row r="1" spans="1:10" ht="15" x14ac:dyDescent="0.2">
      <c r="A1" s="154" t="s">
        <v>0</v>
      </c>
      <c r="B1" s="154"/>
      <c r="C1" s="154"/>
      <c r="D1" s="154"/>
      <c r="E1" s="154"/>
      <c r="F1" s="154"/>
      <c r="G1" s="154"/>
      <c r="H1" s="154"/>
      <c r="I1" s="1" t="s">
        <v>592</v>
      </c>
    </row>
    <row r="2" spans="1:10" ht="15" x14ac:dyDescent="0.2">
      <c r="A2" s="154" t="s">
        <v>531</v>
      </c>
      <c r="B2" s="154"/>
      <c r="C2" s="154"/>
      <c r="D2" s="154"/>
      <c r="E2" s="154"/>
      <c r="F2" s="154"/>
      <c r="G2" s="154"/>
      <c r="H2" s="154"/>
    </row>
    <row r="3" spans="1:10" ht="15" x14ac:dyDescent="0.2">
      <c r="A3" s="154" t="s">
        <v>740</v>
      </c>
      <c r="B3" s="154"/>
      <c r="C3" s="154"/>
      <c r="D3" s="154"/>
      <c r="E3" s="154"/>
      <c r="F3" s="154"/>
      <c r="G3" s="154"/>
      <c r="H3" s="154"/>
    </row>
    <row r="4" spans="1:10" s="14" customFormat="1" ht="30" x14ac:dyDescent="0.2">
      <c r="A4" s="12" t="s">
        <v>2</v>
      </c>
      <c r="B4" s="12" t="s">
        <v>3</v>
      </c>
      <c r="C4" s="12" t="s">
        <v>4</v>
      </c>
      <c r="D4" s="12" t="s">
        <v>5</v>
      </c>
      <c r="E4" s="12" t="s">
        <v>6</v>
      </c>
      <c r="F4" s="12" t="s">
        <v>7</v>
      </c>
      <c r="G4" s="12" t="s">
        <v>8</v>
      </c>
      <c r="H4" s="13" t="s">
        <v>591</v>
      </c>
    </row>
    <row r="5" spans="1:10" x14ac:dyDescent="0.2">
      <c r="A5" s="15"/>
      <c r="B5" s="15"/>
      <c r="C5" s="16" t="s">
        <v>9</v>
      </c>
      <c r="D5" s="15"/>
      <c r="E5" s="15"/>
      <c r="F5" s="15"/>
      <c r="G5" s="15"/>
      <c r="H5" s="17" t="s">
        <v>12</v>
      </c>
    </row>
    <row r="6" spans="1:10" x14ac:dyDescent="0.2">
      <c r="A6" s="18"/>
      <c r="B6" s="18"/>
      <c r="C6" s="19" t="s">
        <v>10</v>
      </c>
      <c r="D6" s="18"/>
      <c r="E6" s="18"/>
      <c r="F6" s="18"/>
      <c r="G6" s="18"/>
      <c r="H6" s="17" t="s">
        <v>12</v>
      </c>
    </row>
    <row r="7" spans="1:10" x14ac:dyDescent="0.2">
      <c r="A7" s="25">
        <v>1</v>
      </c>
      <c r="B7" s="26" t="s">
        <v>532</v>
      </c>
      <c r="C7" s="26" t="s">
        <v>533</v>
      </c>
      <c r="D7" s="26" t="s">
        <v>534</v>
      </c>
      <c r="E7" s="27">
        <v>3325</v>
      </c>
      <c r="F7" s="28">
        <v>66.204075000000003</v>
      </c>
      <c r="G7" s="29">
        <v>3.1073280000000002E-2</v>
      </c>
      <c r="H7" s="17" t="s">
        <v>12</v>
      </c>
    </row>
    <row r="8" spans="1:10" x14ac:dyDescent="0.2">
      <c r="A8" s="25">
        <v>2</v>
      </c>
      <c r="B8" s="26" t="s">
        <v>535</v>
      </c>
      <c r="C8" s="26" t="s">
        <v>536</v>
      </c>
      <c r="D8" s="26" t="s">
        <v>534</v>
      </c>
      <c r="E8" s="27">
        <v>3800</v>
      </c>
      <c r="F8" s="28">
        <v>54.237400000000001</v>
      </c>
      <c r="G8" s="29">
        <v>2.5456650000000001E-2</v>
      </c>
      <c r="H8" s="17" t="s">
        <v>12</v>
      </c>
    </row>
    <row r="9" spans="1:10" x14ac:dyDescent="0.2">
      <c r="A9" s="25">
        <v>3</v>
      </c>
      <c r="B9" s="26" t="s">
        <v>537</v>
      </c>
      <c r="C9" s="26" t="s">
        <v>538</v>
      </c>
      <c r="D9" s="26" t="s">
        <v>539</v>
      </c>
      <c r="E9" s="27">
        <v>3300</v>
      </c>
      <c r="F9" s="28">
        <v>45.3354</v>
      </c>
      <c r="G9" s="29">
        <v>2.1278439999999999E-2</v>
      </c>
      <c r="H9" s="17" t="s">
        <v>12</v>
      </c>
    </row>
    <row r="10" spans="1:10" x14ac:dyDescent="0.2">
      <c r="A10" s="25">
        <v>4</v>
      </c>
      <c r="B10" s="26" t="s">
        <v>540</v>
      </c>
      <c r="C10" s="26" t="s">
        <v>541</v>
      </c>
      <c r="D10" s="26" t="s">
        <v>542</v>
      </c>
      <c r="E10" s="27">
        <v>2400</v>
      </c>
      <c r="F10" s="28">
        <v>44.971200000000003</v>
      </c>
      <c r="G10" s="29">
        <v>2.1107509999999999E-2</v>
      </c>
      <c r="H10" s="17" t="s">
        <v>12</v>
      </c>
    </row>
    <row r="11" spans="1:10" x14ac:dyDescent="0.2">
      <c r="A11" s="35">
        <v>7</v>
      </c>
      <c r="B11" s="36" t="s">
        <v>702</v>
      </c>
      <c r="C11" s="36" t="s">
        <v>703</v>
      </c>
      <c r="D11" s="36" t="s">
        <v>704</v>
      </c>
      <c r="E11" s="76">
        <v>30000</v>
      </c>
      <c r="F11" s="38">
        <f>2727000/10^5</f>
        <v>27.27</v>
      </c>
      <c r="G11" s="39">
        <f>F11/F97</f>
        <v>1.2799339356647255E-2</v>
      </c>
      <c r="H11" s="17" t="s">
        <v>12</v>
      </c>
      <c r="J11" s="77"/>
    </row>
    <row r="12" spans="1:10" x14ac:dyDescent="0.2">
      <c r="A12" s="25">
        <v>5</v>
      </c>
      <c r="B12" s="26" t="s">
        <v>543</v>
      </c>
      <c r="C12" s="26" t="s">
        <v>544</v>
      </c>
      <c r="D12" s="26" t="s">
        <v>545</v>
      </c>
      <c r="E12" s="27">
        <v>1750</v>
      </c>
      <c r="F12" s="28">
        <v>25.33475</v>
      </c>
      <c r="G12" s="29">
        <v>1.189102E-2</v>
      </c>
      <c r="H12" s="17" t="s">
        <v>12</v>
      </c>
    </row>
    <row r="13" spans="1:10" x14ac:dyDescent="0.2">
      <c r="A13" s="25">
        <v>6</v>
      </c>
      <c r="B13" s="26" t="s">
        <v>546</v>
      </c>
      <c r="C13" s="26" t="s">
        <v>547</v>
      </c>
      <c r="D13" s="26" t="s">
        <v>534</v>
      </c>
      <c r="E13" s="27">
        <v>2600</v>
      </c>
      <c r="F13" s="28">
        <v>21.490300000000001</v>
      </c>
      <c r="G13" s="29">
        <v>1.0086599999999999E-2</v>
      </c>
      <c r="H13" s="17" t="s">
        <v>12</v>
      </c>
    </row>
    <row r="14" spans="1:10" x14ac:dyDescent="0.2">
      <c r="A14" s="25">
        <v>7</v>
      </c>
      <c r="B14" s="26" t="s">
        <v>548</v>
      </c>
      <c r="C14" s="26" t="s">
        <v>549</v>
      </c>
      <c r="D14" s="26" t="s">
        <v>545</v>
      </c>
      <c r="E14" s="27">
        <v>1400</v>
      </c>
      <c r="F14" s="28">
        <v>20.857199999999999</v>
      </c>
      <c r="G14" s="29">
        <v>9.7894499999999999E-3</v>
      </c>
      <c r="H14" s="17" t="s">
        <v>12</v>
      </c>
    </row>
    <row r="15" spans="1:10" ht="25.5" x14ac:dyDescent="0.2">
      <c r="A15" s="25">
        <v>8</v>
      </c>
      <c r="B15" s="26" t="s">
        <v>550</v>
      </c>
      <c r="C15" s="26" t="s">
        <v>551</v>
      </c>
      <c r="D15" s="26" t="s">
        <v>552</v>
      </c>
      <c r="E15" s="27">
        <v>125</v>
      </c>
      <c r="F15" s="28">
        <v>15.39625</v>
      </c>
      <c r="G15" s="29">
        <v>7.2263199999999996E-3</v>
      </c>
      <c r="H15" s="17" t="s">
        <v>12</v>
      </c>
    </row>
    <row r="16" spans="1:10" ht="25.5" x14ac:dyDescent="0.2">
      <c r="A16" s="25">
        <v>9</v>
      </c>
      <c r="B16" s="26" t="s">
        <v>553</v>
      </c>
      <c r="C16" s="26" t="s">
        <v>554</v>
      </c>
      <c r="D16" s="26" t="s">
        <v>555</v>
      </c>
      <c r="E16" s="27">
        <v>250</v>
      </c>
      <c r="F16" s="28">
        <v>13.36875</v>
      </c>
      <c r="G16" s="29">
        <v>6.2747000000000002E-3</v>
      </c>
      <c r="H16" s="17" t="s">
        <v>12</v>
      </c>
    </row>
    <row r="17" spans="1:8" x14ac:dyDescent="0.2">
      <c r="A17" s="25">
        <v>10</v>
      </c>
      <c r="B17" s="26" t="s">
        <v>556</v>
      </c>
      <c r="C17" s="26" t="s">
        <v>557</v>
      </c>
      <c r="D17" s="26" t="s">
        <v>534</v>
      </c>
      <c r="E17" s="27">
        <v>675</v>
      </c>
      <c r="F17" s="28">
        <v>13.35285</v>
      </c>
      <c r="G17" s="29">
        <v>6.2672400000000003E-3</v>
      </c>
      <c r="H17" s="17" t="s">
        <v>12</v>
      </c>
    </row>
    <row r="18" spans="1:8" x14ac:dyDescent="0.2">
      <c r="A18" s="25">
        <v>11</v>
      </c>
      <c r="B18" s="26" t="s">
        <v>558</v>
      </c>
      <c r="C18" s="26" t="s">
        <v>559</v>
      </c>
      <c r="D18" s="26" t="s">
        <v>560</v>
      </c>
      <c r="E18" s="27">
        <v>160</v>
      </c>
      <c r="F18" s="28">
        <v>13.1416</v>
      </c>
      <c r="G18" s="29">
        <v>6.1680900000000002E-3</v>
      </c>
      <c r="H18" s="17" t="s">
        <v>12</v>
      </c>
    </row>
    <row r="19" spans="1:8" x14ac:dyDescent="0.2">
      <c r="A19" s="25">
        <v>12</v>
      </c>
      <c r="B19" s="26" t="s">
        <v>561</v>
      </c>
      <c r="C19" s="26" t="s">
        <v>562</v>
      </c>
      <c r="D19" s="26" t="s">
        <v>560</v>
      </c>
      <c r="E19" s="27">
        <v>100</v>
      </c>
      <c r="F19" s="28">
        <v>12.936</v>
      </c>
      <c r="G19" s="29">
        <v>6.07159E-3</v>
      </c>
      <c r="H19" s="17" t="s">
        <v>12</v>
      </c>
    </row>
    <row r="20" spans="1:8" x14ac:dyDescent="0.2">
      <c r="A20" s="25">
        <v>13</v>
      </c>
      <c r="B20" s="26" t="s">
        <v>563</v>
      </c>
      <c r="C20" s="26" t="s">
        <v>564</v>
      </c>
      <c r="D20" s="26" t="s">
        <v>539</v>
      </c>
      <c r="E20" s="27">
        <v>4000</v>
      </c>
      <c r="F20" s="28">
        <v>12.722</v>
      </c>
      <c r="G20" s="29">
        <v>5.9711499999999997E-3</v>
      </c>
      <c r="H20" s="17" t="s">
        <v>12</v>
      </c>
    </row>
    <row r="21" spans="1:8" x14ac:dyDescent="0.2">
      <c r="A21" s="25">
        <v>14</v>
      </c>
      <c r="B21" s="26" t="s">
        <v>565</v>
      </c>
      <c r="C21" s="26" t="s">
        <v>566</v>
      </c>
      <c r="D21" s="26" t="s">
        <v>567</v>
      </c>
      <c r="E21" s="27">
        <v>2000</v>
      </c>
      <c r="F21" s="28">
        <v>12.637</v>
      </c>
      <c r="G21" s="29">
        <v>5.9312499999999999E-3</v>
      </c>
      <c r="H21" s="17" t="s">
        <v>12</v>
      </c>
    </row>
    <row r="22" spans="1:8" ht="25.5" x14ac:dyDescent="0.2">
      <c r="A22" s="25">
        <v>15</v>
      </c>
      <c r="B22" s="26" t="s">
        <v>568</v>
      </c>
      <c r="C22" s="26" t="s">
        <v>569</v>
      </c>
      <c r="D22" s="26" t="s">
        <v>552</v>
      </c>
      <c r="E22" s="27">
        <v>450</v>
      </c>
      <c r="F22" s="28">
        <v>12.44205</v>
      </c>
      <c r="G22" s="29">
        <v>5.8397500000000003E-3</v>
      </c>
      <c r="H22" s="17" t="s">
        <v>12</v>
      </c>
    </row>
    <row r="23" spans="1:8" ht="25.5" x14ac:dyDescent="0.2">
      <c r="A23" s="25">
        <v>16</v>
      </c>
      <c r="B23" s="26" t="s">
        <v>570</v>
      </c>
      <c r="C23" s="26" t="s">
        <v>571</v>
      </c>
      <c r="D23" s="26" t="s">
        <v>572</v>
      </c>
      <c r="E23" s="27">
        <v>320</v>
      </c>
      <c r="F23" s="28">
        <v>11.80864</v>
      </c>
      <c r="G23" s="29">
        <v>5.5424599999999999E-3</v>
      </c>
      <c r="H23" s="17" t="s">
        <v>12</v>
      </c>
    </row>
    <row r="24" spans="1:8" ht="25.5" x14ac:dyDescent="0.2">
      <c r="A24" s="25">
        <v>17</v>
      </c>
      <c r="B24" s="26" t="s">
        <v>573</v>
      </c>
      <c r="C24" s="26" t="s">
        <v>574</v>
      </c>
      <c r="D24" s="26" t="s">
        <v>575</v>
      </c>
      <c r="E24" s="27">
        <v>1500</v>
      </c>
      <c r="F24" s="28">
        <v>10.658250000000001</v>
      </c>
      <c r="G24" s="29">
        <v>5.0025099999999999E-3</v>
      </c>
      <c r="H24" s="17" t="s">
        <v>12</v>
      </c>
    </row>
    <row r="25" spans="1:8" x14ac:dyDescent="0.2">
      <c r="A25" s="25">
        <v>18</v>
      </c>
      <c r="B25" s="26" t="s">
        <v>576</v>
      </c>
      <c r="C25" s="26" t="s">
        <v>577</v>
      </c>
      <c r="D25" s="26" t="s">
        <v>578</v>
      </c>
      <c r="E25" s="27">
        <v>2250</v>
      </c>
      <c r="F25" s="28">
        <v>9.2576250000000009</v>
      </c>
      <c r="G25" s="29">
        <v>4.3451200000000001E-3</v>
      </c>
      <c r="H25" s="17" t="s">
        <v>12</v>
      </c>
    </row>
    <row r="26" spans="1:8" x14ac:dyDescent="0.2">
      <c r="A26" s="25">
        <v>19</v>
      </c>
      <c r="B26" s="26" t="s">
        <v>579</v>
      </c>
      <c r="C26" s="26" t="s">
        <v>580</v>
      </c>
      <c r="D26" s="26" t="s">
        <v>581</v>
      </c>
      <c r="E26" s="27">
        <v>250</v>
      </c>
      <c r="F26" s="28">
        <v>9.1925000000000008</v>
      </c>
      <c r="G26" s="29">
        <v>4.3145600000000003E-3</v>
      </c>
      <c r="H26" s="17" t="s">
        <v>12</v>
      </c>
    </row>
    <row r="27" spans="1:8" x14ac:dyDescent="0.2">
      <c r="A27" s="25">
        <v>20</v>
      </c>
      <c r="B27" s="26" t="s">
        <v>582</v>
      </c>
      <c r="C27" s="26" t="s">
        <v>583</v>
      </c>
      <c r="D27" s="26" t="s">
        <v>534</v>
      </c>
      <c r="E27" s="27">
        <v>600</v>
      </c>
      <c r="F27" s="28">
        <v>6.4092000000000002</v>
      </c>
      <c r="G27" s="29">
        <v>3.0081999999999999E-3</v>
      </c>
      <c r="H27" s="17" t="s">
        <v>12</v>
      </c>
    </row>
    <row r="28" spans="1:8" x14ac:dyDescent="0.2">
      <c r="A28" s="18"/>
      <c r="B28" s="18"/>
      <c r="C28" s="19" t="s">
        <v>11</v>
      </c>
      <c r="D28" s="18"/>
      <c r="E28" s="18" t="s">
        <v>12</v>
      </c>
      <c r="F28" s="24">
        <f>SUM(F7:F27)</f>
        <v>459.02303999999992</v>
      </c>
      <c r="G28" s="21">
        <f>SUM(G7:G27)</f>
        <v>0.21544522935664723</v>
      </c>
      <c r="H28" s="17" t="s">
        <v>12</v>
      </c>
    </row>
    <row r="29" spans="1:8" x14ac:dyDescent="0.2">
      <c r="A29" s="18"/>
      <c r="B29" s="18"/>
      <c r="C29" s="22"/>
      <c r="D29" s="18"/>
      <c r="E29" s="18"/>
      <c r="F29" s="23"/>
      <c r="G29" s="23"/>
      <c r="H29" s="17" t="s">
        <v>12</v>
      </c>
    </row>
    <row r="30" spans="1:8" x14ac:dyDescent="0.2">
      <c r="A30" s="18"/>
      <c r="B30" s="18"/>
      <c r="C30" s="19" t="s">
        <v>14</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15</v>
      </c>
      <c r="D33" s="18"/>
      <c r="E33" s="18"/>
      <c r="F33" s="18"/>
      <c r="G33" s="18"/>
      <c r="H33" s="17" t="s">
        <v>12</v>
      </c>
    </row>
    <row r="34" spans="1:8" x14ac:dyDescent="0.2">
      <c r="A34" s="18"/>
      <c r="B34" s="18"/>
      <c r="C34" s="19" t="s">
        <v>11</v>
      </c>
      <c r="D34" s="18"/>
      <c r="E34" s="18" t="s">
        <v>12</v>
      </c>
      <c r="F34" s="20" t="s">
        <v>13</v>
      </c>
      <c r="G34" s="21">
        <v>0</v>
      </c>
      <c r="H34" s="17" t="s">
        <v>12</v>
      </c>
    </row>
    <row r="35" spans="1:8" x14ac:dyDescent="0.2">
      <c r="A35" s="18"/>
      <c r="B35" s="18"/>
      <c r="C35" s="22"/>
      <c r="D35" s="18"/>
      <c r="E35" s="18"/>
      <c r="F35" s="23"/>
      <c r="G35" s="23"/>
      <c r="H35" s="17" t="s">
        <v>12</v>
      </c>
    </row>
    <row r="36" spans="1:8" x14ac:dyDescent="0.2">
      <c r="A36" s="18"/>
      <c r="B36" s="18"/>
      <c r="C36" s="19" t="s">
        <v>16</v>
      </c>
      <c r="D36" s="18"/>
      <c r="E36" s="18"/>
      <c r="F36" s="18"/>
      <c r="G36" s="18"/>
      <c r="H36" s="17" t="s">
        <v>12</v>
      </c>
    </row>
    <row r="37" spans="1:8" x14ac:dyDescent="0.2">
      <c r="A37" s="18"/>
      <c r="B37" s="18"/>
      <c r="C37" s="19" t="s">
        <v>11</v>
      </c>
      <c r="D37" s="18"/>
      <c r="E37" s="18" t="s">
        <v>12</v>
      </c>
      <c r="F37" s="20" t="s">
        <v>13</v>
      </c>
      <c r="G37" s="21">
        <v>0</v>
      </c>
      <c r="H37" s="17" t="s">
        <v>12</v>
      </c>
    </row>
    <row r="38" spans="1:8" x14ac:dyDescent="0.2">
      <c r="A38" s="18"/>
      <c r="B38" s="18"/>
      <c r="C38" s="22"/>
      <c r="D38" s="18"/>
      <c r="E38" s="18"/>
      <c r="F38" s="23"/>
      <c r="G38" s="23"/>
      <c r="H38" s="17" t="s">
        <v>12</v>
      </c>
    </row>
    <row r="39" spans="1:8" x14ac:dyDescent="0.2">
      <c r="A39" s="18"/>
      <c r="B39" s="18"/>
      <c r="C39" s="19" t="s">
        <v>17</v>
      </c>
      <c r="D39" s="18"/>
      <c r="E39" s="18"/>
      <c r="F39" s="23"/>
      <c r="G39" s="23"/>
      <c r="H39" s="17" t="s">
        <v>12</v>
      </c>
    </row>
    <row r="40" spans="1:8" x14ac:dyDescent="0.2">
      <c r="A40" s="18"/>
      <c r="B40" s="18"/>
      <c r="C40" s="19" t="s">
        <v>11</v>
      </c>
      <c r="D40" s="18"/>
      <c r="E40" s="18" t="s">
        <v>12</v>
      </c>
      <c r="F40" s="20" t="s">
        <v>13</v>
      </c>
      <c r="G40" s="21">
        <v>0</v>
      </c>
      <c r="H40" s="17" t="s">
        <v>12</v>
      </c>
    </row>
    <row r="41" spans="1:8" x14ac:dyDescent="0.2">
      <c r="A41" s="18"/>
      <c r="B41" s="18"/>
      <c r="C41" s="22"/>
      <c r="D41" s="18"/>
      <c r="E41" s="18"/>
      <c r="F41" s="23"/>
      <c r="G41" s="23"/>
      <c r="H41" s="17" t="s">
        <v>12</v>
      </c>
    </row>
    <row r="42" spans="1:8" x14ac:dyDescent="0.2">
      <c r="A42" s="18"/>
      <c r="B42" s="18"/>
      <c r="C42" s="19" t="s">
        <v>18</v>
      </c>
      <c r="D42" s="18"/>
      <c r="E42" s="18"/>
      <c r="F42" s="23"/>
      <c r="G42" s="23"/>
      <c r="H42" s="17" t="s">
        <v>12</v>
      </c>
    </row>
    <row r="43" spans="1:8" x14ac:dyDescent="0.2">
      <c r="A43" s="18"/>
      <c r="B43" s="18"/>
      <c r="C43" s="19" t="s">
        <v>11</v>
      </c>
      <c r="D43" s="18"/>
      <c r="E43" s="18" t="s">
        <v>12</v>
      </c>
      <c r="F43" s="20" t="s">
        <v>13</v>
      </c>
      <c r="G43" s="21">
        <v>0</v>
      </c>
      <c r="H43" s="17" t="s">
        <v>12</v>
      </c>
    </row>
    <row r="44" spans="1:8" x14ac:dyDescent="0.2">
      <c r="A44" s="18"/>
      <c r="B44" s="18"/>
      <c r="C44" s="22"/>
      <c r="D44" s="18"/>
      <c r="E44" s="18"/>
      <c r="F44" s="23"/>
      <c r="G44" s="23"/>
      <c r="H44" s="17" t="s">
        <v>12</v>
      </c>
    </row>
    <row r="45" spans="1:8" x14ac:dyDescent="0.2">
      <c r="A45" s="18"/>
      <c r="B45" s="18"/>
      <c r="C45" s="19" t="s">
        <v>19</v>
      </c>
      <c r="D45" s="18"/>
      <c r="E45" s="18"/>
      <c r="F45" s="24">
        <f>F28</f>
        <v>459.02303999999992</v>
      </c>
      <c r="G45" s="21">
        <f>G28</f>
        <v>0.21544522935664723</v>
      </c>
      <c r="H45" s="17" t="s">
        <v>12</v>
      </c>
    </row>
    <row r="46" spans="1:8" x14ac:dyDescent="0.2">
      <c r="A46" s="18"/>
      <c r="B46" s="18"/>
      <c r="C46" s="22"/>
      <c r="D46" s="18"/>
      <c r="E46" s="18"/>
      <c r="F46" s="23"/>
      <c r="G46" s="23"/>
      <c r="H46" s="17" t="s">
        <v>12</v>
      </c>
    </row>
    <row r="47" spans="1:8" x14ac:dyDescent="0.2">
      <c r="A47" s="18"/>
      <c r="B47" s="18"/>
      <c r="C47" s="19" t="s">
        <v>20</v>
      </c>
      <c r="D47" s="18"/>
      <c r="E47" s="18"/>
      <c r="F47" s="23"/>
      <c r="G47" s="23"/>
      <c r="H47" s="17" t="s">
        <v>12</v>
      </c>
    </row>
    <row r="48" spans="1:8" x14ac:dyDescent="0.2">
      <c r="A48" s="18"/>
      <c r="B48" s="18"/>
      <c r="C48" s="19" t="s">
        <v>10</v>
      </c>
      <c r="D48" s="18"/>
      <c r="E48" s="18"/>
      <c r="F48" s="23"/>
      <c r="G48" s="23"/>
      <c r="H48" s="17" t="s">
        <v>12</v>
      </c>
    </row>
    <row r="49" spans="1:8" x14ac:dyDescent="0.2">
      <c r="A49" s="18"/>
      <c r="B49" s="18"/>
      <c r="C49" s="19" t="s">
        <v>11</v>
      </c>
      <c r="D49" s="18"/>
      <c r="E49" s="18" t="s">
        <v>12</v>
      </c>
      <c r="F49" s="20" t="s">
        <v>13</v>
      </c>
      <c r="G49" s="21">
        <v>0</v>
      </c>
      <c r="H49" s="17" t="s">
        <v>12</v>
      </c>
    </row>
    <row r="50" spans="1:8" x14ac:dyDescent="0.2">
      <c r="A50" s="18"/>
      <c r="B50" s="18"/>
      <c r="C50" s="22"/>
      <c r="D50" s="18"/>
      <c r="E50" s="18"/>
      <c r="F50" s="23"/>
      <c r="G50" s="23"/>
      <c r="H50" s="17" t="s">
        <v>12</v>
      </c>
    </row>
    <row r="51" spans="1:8" x14ac:dyDescent="0.2">
      <c r="A51" s="18"/>
      <c r="B51" s="18"/>
      <c r="C51" s="19" t="s">
        <v>81</v>
      </c>
      <c r="D51" s="18"/>
      <c r="E51" s="18"/>
      <c r="F51" s="18"/>
      <c r="G51" s="18"/>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82</v>
      </c>
      <c r="D54" s="18"/>
      <c r="E54" s="18"/>
      <c r="F54" s="18"/>
      <c r="G54" s="18"/>
      <c r="H54" s="17" t="s">
        <v>12</v>
      </c>
    </row>
    <row r="55" spans="1:8" x14ac:dyDescent="0.2">
      <c r="A55" s="25">
        <v>1</v>
      </c>
      <c r="B55" s="26" t="s">
        <v>94</v>
      </c>
      <c r="C55" s="26" t="s">
        <v>95</v>
      </c>
      <c r="D55" s="26" t="s">
        <v>85</v>
      </c>
      <c r="E55" s="27">
        <v>400000</v>
      </c>
      <c r="F55" s="28">
        <v>396.12360000000001</v>
      </c>
      <c r="G55" s="29">
        <v>0.18592301</v>
      </c>
      <c r="H55" s="17">
        <v>6.8983999999999996</v>
      </c>
    </row>
    <row r="56" spans="1:8" x14ac:dyDescent="0.2">
      <c r="A56" s="25">
        <v>2</v>
      </c>
      <c r="B56" s="26" t="s">
        <v>584</v>
      </c>
      <c r="C56" s="26" t="s">
        <v>585</v>
      </c>
      <c r="D56" s="26" t="s">
        <v>85</v>
      </c>
      <c r="E56" s="27">
        <v>207700</v>
      </c>
      <c r="F56" s="28">
        <v>209.6984894</v>
      </c>
      <c r="G56" s="29">
        <v>9.8423250000000004E-2</v>
      </c>
      <c r="H56" s="17">
        <v>7.2881999999999998</v>
      </c>
    </row>
    <row r="57" spans="1:8" x14ac:dyDescent="0.2">
      <c r="A57" s="25">
        <v>3</v>
      </c>
      <c r="B57" s="26" t="s">
        <v>494</v>
      </c>
      <c r="C57" s="26" t="s">
        <v>495</v>
      </c>
      <c r="D57" s="26" t="s">
        <v>85</v>
      </c>
      <c r="E57" s="27">
        <v>100000</v>
      </c>
      <c r="F57" s="28">
        <v>103.6416</v>
      </c>
      <c r="G57" s="29">
        <v>4.8644809999999997E-2</v>
      </c>
      <c r="H57" s="17">
        <v>6.6468999999999996</v>
      </c>
    </row>
    <row r="58" spans="1:8" x14ac:dyDescent="0.2">
      <c r="A58" s="18"/>
      <c r="B58" s="18"/>
      <c r="C58" s="19" t="s">
        <v>11</v>
      </c>
      <c r="D58" s="18"/>
      <c r="E58" s="18" t="s">
        <v>12</v>
      </c>
      <c r="F58" s="24">
        <v>709.46368940000002</v>
      </c>
      <c r="G58" s="21">
        <v>0.33299107</v>
      </c>
      <c r="H58" s="17" t="s">
        <v>12</v>
      </c>
    </row>
    <row r="59" spans="1:8" x14ac:dyDescent="0.2">
      <c r="A59" s="18"/>
      <c r="B59" s="18"/>
      <c r="C59" s="22"/>
      <c r="D59" s="18"/>
      <c r="E59" s="18"/>
      <c r="F59" s="23"/>
      <c r="G59" s="23"/>
      <c r="H59" s="17" t="s">
        <v>12</v>
      </c>
    </row>
    <row r="60" spans="1:8" x14ac:dyDescent="0.2">
      <c r="A60" s="18"/>
      <c r="B60" s="18"/>
      <c r="C60" s="19" t="s">
        <v>100</v>
      </c>
      <c r="D60" s="18"/>
      <c r="E60" s="18"/>
      <c r="F60" s="23"/>
      <c r="G60" s="23"/>
      <c r="H60" s="17" t="s">
        <v>12</v>
      </c>
    </row>
    <row r="61" spans="1:8" x14ac:dyDescent="0.2">
      <c r="A61" s="18"/>
      <c r="B61" s="18"/>
      <c r="C61" s="19" t="s">
        <v>11</v>
      </c>
      <c r="D61" s="18"/>
      <c r="E61" s="18" t="s">
        <v>12</v>
      </c>
      <c r="F61" s="20" t="s">
        <v>13</v>
      </c>
      <c r="G61" s="21">
        <v>0</v>
      </c>
      <c r="H61" s="17" t="s">
        <v>12</v>
      </c>
    </row>
    <row r="62" spans="1:8" x14ac:dyDescent="0.2">
      <c r="A62" s="18"/>
      <c r="B62" s="18"/>
      <c r="C62" s="22"/>
      <c r="D62" s="18"/>
      <c r="E62" s="18"/>
      <c r="F62" s="23"/>
      <c r="G62" s="23"/>
      <c r="H62" s="17" t="s">
        <v>12</v>
      </c>
    </row>
    <row r="63" spans="1:8" x14ac:dyDescent="0.2">
      <c r="A63" s="18"/>
      <c r="B63" s="18"/>
      <c r="C63" s="19" t="s">
        <v>101</v>
      </c>
      <c r="D63" s="18"/>
      <c r="E63" s="18"/>
      <c r="F63" s="24">
        <v>709.46368940000002</v>
      </c>
      <c r="G63" s="21">
        <v>0.33299107</v>
      </c>
      <c r="H63" s="17" t="s">
        <v>12</v>
      </c>
    </row>
    <row r="64" spans="1:8" x14ac:dyDescent="0.2">
      <c r="A64" s="18"/>
      <c r="B64" s="18"/>
      <c r="C64" s="22"/>
      <c r="D64" s="18"/>
      <c r="E64" s="18"/>
      <c r="F64" s="23"/>
      <c r="G64" s="23"/>
      <c r="H64" s="17" t="s">
        <v>12</v>
      </c>
    </row>
    <row r="65" spans="1:8" x14ac:dyDescent="0.2">
      <c r="A65" s="18"/>
      <c r="B65" s="18"/>
      <c r="C65" s="19" t="s">
        <v>102</v>
      </c>
      <c r="D65" s="18"/>
      <c r="E65" s="18"/>
      <c r="F65" s="23"/>
      <c r="G65" s="23"/>
      <c r="H65" s="17" t="s">
        <v>12</v>
      </c>
    </row>
    <row r="66" spans="1:8" x14ac:dyDescent="0.2">
      <c r="A66" s="18"/>
      <c r="B66" s="18"/>
      <c r="C66" s="19" t="s">
        <v>103</v>
      </c>
      <c r="D66" s="18"/>
      <c r="E66" s="18"/>
      <c r="F66" s="23"/>
      <c r="G66" s="23"/>
      <c r="H66" s="17" t="s">
        <v>12</v>
      </c>
    </row>
    <row r="67" spans="1:8" x14ac:dyDescent="0.2">
      <c r="A67" s="18"/>
      <c r="B67" s="18"/>
      <c r="C67" s="19" t="s">
        <v>11</v>
      </c>
      <c r="D67" s="18"/>
      <c r="E67" s="18" t="s">
        <v>12</v>
      </c>
      <c r="F67" s="20" t="s">
        <v>13</v>
      </c>
      <c r="G67" s="21">
        <v>0</v>
      </c>
      <c r="H67" s="17" t="s">
        <v>12</v>
      </c>
    </row>
    <row r="68" spans="1:8" x14ac:dyDescent="0.2">
      <c r="A68" s="18"/>
      <c r="B68" s="18"/>
      <c r="C68" s="22"/>
      <c r="D68" s="18"/>
      <c r="E68" s="18"/>
      <c r="F68" s="23"/>
      <c r="G68" s="23"/>
      <c r="H68" s="17" t="s">
        <v>12</v>
      </c>
    </row>
    <row r="69" spans="1:8" x14ac:dyDescent="0.2">
      <c r="A69" s="18"/>
      <c r="B69" s="18"/>
      <c r="C69" s="19" t="s">
        <v>110</v>
      </c>
      <c r="D69" s="18"/>
      <c r="E69" s="18"/>
      <c r="F69" s="23"/>
      <c r="G69" s="23"/>
      <c r="H69" s="17" t="s">
        <v>12</v>
      </c>
    </row>
    <row r="70" spans="1:8" x14ac:dyDescent="0.2">
      <c r="A70" s="18"/>
      <c r="B70" s="18"/>
      <c r="C70" s="19" t="s">
        <v>11</v>
      </c>
      <c r="D70" s="18"/>
      <c r="E70" s="18" t="s">
        <v>12</v>
      </c>
      <c r="F70" s="20" t="s">
        <v>13</v>
      </c>
      <c r="G70" s="21">
        <v>0</v>
      </c>
      <c r="H70" s="17" t="s">
        <v>12</v>
      </c>
    </row>
    <row r="71" spans="1:8" x14ac:dyDescent="0.2">
      <c r="A71" s="18"/>
      <c r="B71" s="18"/>
      <c r="C71" s="22"/>
      <c r="D71" s="18"/>
      <c r="E71" s="18"/>
      <c r="F71" s="23"/>
      <c r="G71" s="23"/>
      <c r="H71" s="17" t="s">
        <v>12</v>
      </c>
    </row>
    <row r="72" spans="1:8" x14ac:dyDescent="0.2">
      <c r="A72" s="18"/>
      <c r="B72" s="18"/>
      <c r="C72" s="19" t="s">
        <v>111</v>
      </c>
      <c r="D72" s="18"/>
      <c r="E72" s="18"/>
      <c r="F72" s="23"/>
      <c r="G72" s="23"/>
      <c r="H72" s="17" t="s">
        <v>12</v>
      </c>
    </row>
    <row r="73" spans="1:8" x14ac:dyDescent="0.2">
      <c r="A73" s="18"/>
      <c r="B73" s="18"/>
      <c r="C73" s="19" t="s">
        <v>11</v>
      </c>
      <c r="D73" s="18"/>
      <c r="E73" s="18" t="s">
        <v>12</v>
      </c>
      <c r="F73" s="20" t="s">
        <v>13</v>
      </c>
      <c r="G73" s="21">
        <v>0</v>
      </c>
      <c r="H73" s="17" t="s">
        <v>12</v>
      </c>
    </row>
    <row r="74" spans="1:8" x14ac:dyDescent="0.2">
      <c r="A74" s="18"/>
      <c r="B74" s="18"/>
      <c r="C74" s="22"/>
      <c r="D74" s="18"/>
      <c r="E74" s="18"/>
      <c r="F74" s="23"/>
      <c r="G74" s="23"/>
      <c r="H74" s="17" t="s">
        <v>12</v>
      </c>
    </row>
    <row r="75" spans="1:8" x14ac:dyDescent="0.2">
      <c r="A75" s="18"/>
      <c r="B75" s="18"/>
      <c r="C75" s="19" t="s">
        <v>112</v>
      </c>
      <c r="D75" s="18"/>
      <c r="E75" s="18"/>
      <c r="F75" s="23"/>
      <c r="G75" s="23"/>
      <c r="H75" s="17" t="s">
        <v>12</v>
      </c>
    </row>
    <row r="76" spans="1:8" x14ac:dyDescent="0.2">
      <c r="A76" s="25">
        <v>1</v>
      </c>
      <c r="B76" s="26"/>
      <c r="C76" s="26" t="s">
        <v>113</v>
      </c>
      <c r="D76" s="26"/>
      <c r="E76" s="30"/>
      <c r="F76" s="28">
        <v>639.04357499800005</v>
      </c>
      <c r="G76" s="29">
        <v>0.29993897000000003</v>
      </c>
      <c r="H76" s="17">
        <v>5.39</v>
      </c>
    </row>
    <row r="77" spans="1:8" x14ac:dyDescent="0.2">
      <c r="A77" s="18"/>
      <c r="B77" s="18"/>
      <c r="C77" s="19" t="s">
        <v>11</v>
      </c>
      <c r="D77" s="18"/>
      <c r="E77" s="18" t="s">
        <v>12</v>
      </c>
      <c r="F77" s="24">
        <v>639.04357499800005</v>
      </c>
      <c r="G77" s="21">
        <v>0.29993897000000003</v>
      </c>
      <c r="H77" s="17" t="s">
        <v>12</v>
      </c>
    </row>
    <row r="78" spans="1:8" x14ac:dyDescent="0.2">
      <c r="A78" s="18"/>
      <c r="B78" s="18"/>
      <c r="C78" s="22"/>
      <c r="D78" s="18"/>
      <c r="E78" s="18"/>
      <c r="F78" s="23"/>
      <c r="G78" s="23"/>
      <c r="H78" s="17" t="s">
        <v>12</v>
      </c>
    </row>
    <row r="79" spans="1:8" x14ac:dyDescent="0.2">
      <c r="A79" s="18"/>
      <c r="B79" s="18"/>
      <c r="C79" s="19" t="s">
        <v>114</v>
      </c>
      <c r="D79" s="18"/>
      <c r="E79" s="18"/>
      <c r="F79" s="24">
        <v>639.04357499800005</v>
      </c>
      <c r="G79" s="21">
        <v>0.29993897000000003</v>
      </c>
      <c r="H79" s="17" t="s">
        <v>12</v>
      </c>
    </row>
    <row r="80" spans="1:8" x14ac:dyDescent="0.2">
      <c r="A80" s="18"/>
      <c r="B80" s="18"/>
      <c r="C80" s="23"/>
      <c r="D80" s="18"/>
      <c r="E80" s="18"/>
      <c r="F80" s="18"/>
      <c r="G80" s="18"/>
      <c r="H80" s="17" t="s">
        <v>12</v>
      </c>
    </row>
    <row r="81" spans="1:17" x14ac:dyDescent="0.2">
      <c r="A81" s="18"/>
      <c r="B81" s="18"/>
      <c r="C81" s="19" t="s">
        <v>115</v>
      </c>
      <c r="D81" s="18"/>
      <c r="E81" s="18"/>
      <c r="F81" s="18"/>
      <c r="G81" s="18"/>
      <c r="H81" s="17" t="s">
        <v>12</v>
      </c>
    </row>
    <row r="82" spans="1:17" x14ac:dyDescent="0.2">
      <c r="A82" s="18"/>
      <c r="B82" s="18"/>
      <c r="C82" s="19" t="s">
        <v>116</v>
      </c>
      <c r="D82" s="18"/>
      <c r="E82" s="18"/>
      <c r="F82" s="18"/>
      <c r="G82" s="18"/>
      <c r="H82" s="17" t="s">
        <v>12</v>
      </c>
    </row>
    <row r="83" spans="1:17" x14ac:dyDescent="0.2">
      <c r="A83" s="18"/>
      <c r="B83" s="18"/>
      <c r="C83" s="19" t="s">
        <v>11</v>
      </c>
      <c r="D83" s="18"/>
      <c r="E83" s="18" t="s">
        <v>12</v>
      </c>
      <c r="F83" s="20" t="s">
        <v>13</v>
      </c>
      <c r="G83" s="21">
        <v>0</v>
      </c>
      <c r="H83" s="17" t="s">
        <v>12</v>
      </c>
    </row>
    <row r="84" spans="1:17" x14ac:dyDescent="0.2">
      <c r="A84" s="15"/>
      <c r="B84" s="15"/>
      <c r="C84" s="31"/>
      <c r="D84" s="15"/>
      <c r="E84" s="15"/>
      <c r="F84" s="32"/>
      <c r="G84" s="32"/>
      <c r="H84" s="17" t="s">
        <v>12</v>
      </c>
    </row>
    <row r="85" spans="1:17" x14ac:dyDescent="0.2">
      <c r="A85" s="15"/>
      <c r="B85" s="15"/>
      <c r="C85" s="16" t="s">
        <v>593</v>
      </c>
      <c r="D85" s="15"/>
      <c r="E85" s="15"/>
      <c r="F85" s="32"/>
      <c r="G85" s="32"/>
      <c r="H85" s="17" t="s">
        <v>12</v>
      </c>
      <c r="K85" s="33"/>
      <c r="L85" s="33"/>
      <c r="M85" s="33"/>
      <c r="N85" s="33"/>
      <c r="O85" s="34"/>
      <c r="P85" s="34"/>
      <c r="Q85" s="34"/>
    </row>
    <row r="86" spans="1:17" x14ac:dyDescent="0.2">
      <c r="A86" s="35">
        <v>1</v>
      </c>
      <c r="B86" s="36" t="s">
        <v>117</v>
      </c>
      <c r="C86" s="36" t="s">
        <v>118</v>
      </c>
      <c r="D86" s="36"/>
      <c r="E86" s="37">
        <v>76.796000000000006</v>
      </c>
      <c r="F86" s="38">
        <v>8.6842267639999999</v>
      </c>
      <c r="G86" s="39">
        <v>4.0759899999999998E-3</v>
      </c>
      <c r="H86" s="17"/>
    </row>
    <row r="87" spans="1:17" x14ac:dyDescent="0.2">
      <c r="A87" s="15"/>
      <c r="B87" s="15"/>
      <c r="C87" s="16" t="s">
        <v>11</v>
      </c>
      <c r="D87" s="15"/>
      <c r="E87" s="15" t="s">
        <v>12</v>
      </c>
      <c r="F87" s="40">
        <f>SUM(F86)</f>
        <v>8.6842267639999999</v>
      </c>
      <c r="G87" s="41">
        <f>SUM(G86)</f>
        <v>4.0759899999999998E-3</v>
      </c>
      <c r="H87" s="17" t="s">
        <v>12</v>
      </c>
    </row>
    <row r="88" spans="1:17" x14ac:dyDescent="0.2">
      <c r="A88" s="15"/>
      <c r="B88" s="15"/>
      <c r="C88" s="31"/>
      <c r="D88" s="15"/>
      <c r="E88" s="15"/>
      <c r="F88" s="32"/>
      <c r="G88" s="32"/>
      <c r="H88" s="17" t="s">
        <v>12</v>
      </c>
    </row>
    <row r="89" spans="1:17" x14ac:dyDescent="0.2">
      <c r="A89" s="18"/>
      <c r="B89" s="18"/>
      <c r="C89" s="19" t="s">
        <v>119</v>
      </c>
      <c r="D89" s="18"/>
      <c r="E89" s="18"/>
      <c r="F89" s="18"/>
      <c r="G89" s="18"/>
      <c r="H89" s="17" t="s">
        <v>12</v>
      </c>
    </row>
    <row r="90" spans="1:17" x14ac:dyDescent="0.2">
      <c r="A90" s="18"/>
      <c r="B90" s="18"/>
      <c r="C90" s="19" t="s">
        <v>120</v>
      </c>
      <c r="D90" s="18"/>
      <c r="E90" s="18"/>
      <c r="F90" s="18"/>
      <c r="G90" s="18"/>
      <c r="H90" s="17" t="s">
        <v>12</v>
      </c>
    </row>
    <row r="91" spans="1:17" x14ac:dyDescent="0.2">
      <c r="A91" s="18"/>
      <c r="B91" s="18"/>
      <c r="C91" s="19" t="s">
        <v>11</v>
      </c>
      <c r="D91" s="18"/>
      <c r="E91" s="18" t="s">
        <v>12</v>
      </c>
      <c r="F91" s="20" t="s">
        <v>13</v>
      </c>
      <c r="G91" s="21">
        <v>0</v>
      </c>
      <c r="H91" s="17" t="s">
        <v>12</v>
      </c>
    </row>
    <row r="92" spans="1:17" x14ac:dyDescent="0.2">
      <c r="A92" s="18"/>
      <c r="B92" s="18"/>
      <c r="C92" s="22"/>
      <c r="D92" s="18"/>
      <c r="E92" s="18"/>
      <c r="F92" s="23"/>
      <c r="G92" s="23"/>
      <c r="H92" s="17" t="s">
        <v>12</v>
      </c>
    </row>
    <row r="93" spans="1:17" x14ac:dyDescent="0.2">
      <c r="A93" s="18"/>
      <c r="B93" s="18"/>
      <c r="C93" s="19" t="s">
        <v>121</v>
      </c>
      <c r="D93" s="18"/>
      <c r="E93" s="18"/>
      <c r="F93" s="23"/>
      <c r="G93" s="23"/>
      <c r="H93" s="17" t="s">
        <v>12</v>
      </c>
    </row>
    <row r="94" spans="1:17" x14ac:dyDescent="0.2">
      <c r="A94" s="18"/>
      <c r="B94" s="18"/>
      <c r="C94" s="19" t="s">
        <v>11</v>
      </c>
      <c r="D94" s="18"/>
      <c r="E94" s="18" t="s">
        <v>12</v>
      </c>
      <c r="F94" s="20" t="s">
        <v>13</v>
      </c>
      <c r="G94" s="21">
        <v>0</v>
      </c>
      <c r="H94" s="17" t="s">
        <v>12</v>
      </c>
    </row>
    <row r="95" spans="1:17" x14ac:dyDescent="0.2">
      <c r="A95" s="18"/>
      <c r="B95" s="18"/>
      <c r="C95" s="22"/>
      <c r="D95" s="18"/>
      <c r="E95" s="18"/>
      <c r="F95" s="23"/>
      <c r="G95" s="23"/>
      <c r="H95" s="17" t="s">
        <v>12</v>
      </c>
    </row>
    <row r="96" spans="1:17" x14ac:dyDescent="0.2">
      <c r="A96" s="30"/>
      <c r="B96" s="26"/>
      <c r="C96" s="26" t="s">
        <v>122</v>
      </c>
      <c r="D96" s="26"/>
      <c r="E96" s="30"/>
      <c r="F96" s="28">
        <v>314.36418388999999</v>
      </c>
      <c r="G96" s="29">
        <v>0.14754872999999999</v>
      </c>
      <c r="H96" s="17" t="s">
        <v>12</v>
      </c>
    </row>
    <row r="97" spans="1:8" x14ac:dyDescent="0.2">
      <c r="A97" s="22"/>
      <c r="B97" s="22"/>
      <c r="C97" s="19" t="s">
        <v>123</v>
      </c>
      <c r="D97" s="23"/>
      <c r="E97" s="23"/>
      <c r="F97" s="24">
        <f>F96+F87+F79+F63+F45</f>
        <v>2130.578715052</v>
      </c>
      <c r="G97" s="42">
        <f>G96+G87+G79+G63+G45</f>
        <v>0.99999998935664725</v>
      </c>
      <c r="H97" s="17" t="s">
        <v>12</v>
      </c>
    </row>
    <row r="98" spans="1:8" x14ac:dyDescent="0.2">
      <c r="A98" s="43"/>
      <c r="B98" s="43"/>
      <c r="C98" s="43"/>
      <c r="D98" s="44"/>
      <c r="E98" s="44"/>
      <c r="F98" s="44"/>
      <c r="G98" s="44"/>
    </row>
    <row r="99" spans="1:8" x14ac:dyDescent="0.2">
      <c r="A99" s="45"/>
      <c r="B99" s="150" t="s">
        <v>594</v>
      </c>
      <c r="C99" s="150"/>
      <c r="D99" s="150"/>
      <c r="E99" s="150"/>
      <c r="F99" s="150"/>
      <c r="G99" s="150"/>
      <c r="H99" s="150"/>
    </row>
    <row r="100" spans="1:8" x14ac:dyDescent="0.2">
      <c r="A100" s="45"/>
      <c r="B100" s="150" t="s">
        <v>595</v>
      </c>
      <c r="C100" s="150"/>
      <c r="D100" s="150"/>
      <c r="E100" s="150"/>
      <c r="F100" s="150"/>
      <c r="G100" s="150"/>
      <c r="H100" s="150"/>
    </row>
    <row r="101" spans="1:8" x14ac:dyDescent="0.2">
      <c r="A101" s="45"/>
      <c r="B101" s="150" t="s">
        <v>596</v>
      </c>
      <c r="C101" s="150"/>
      <c r="D101" s="150"/>
      <c r="E101" s="150"/>
      <c r="F101" s="150"/>
      <c r="G101" s="150"/>
      <c r="H101" s="150"/>
    </row>
    <row r="102" spans="1:8" x14ac:dyDescent="0.2">
      <c r="A102" s="45"/>
      <c r="B102" s="45"/>
      <c r="C102" s="45"/>
      <c r="D102" s="47"/>
      <c r="E102" s="47"/>
      <c r="F102" s="47"/>
      <c r="G102" s="47"/>
    </row>
    <row r="103" spans="1:8" x14ac:dyDescent="0.2">
      <c r="A103" s="45"/>
      <c r="B103" s="151" t="s">
        <v>124</v>
      </c>
      <c r="C103" s="152"/>
      <c r="D103" s="153"/>
      <c r="E103" s="48"/>
      <c r="F103" s="47"/>
      <c r="G103" s="47"/>
    </row>
    <row r="104" spans="1:8" ht="27" customHeight="1" x14ac:dyDescent="0.2">
      <c r="A104" s="45"/>
      <c r="B104" s="143" t="s">
        <v>125</v>
      </c>
      <c r="C104" s="144"/>
      <c r="D104" s="16" t="s">
        <v>618</v>
      </c>
      <c r="E104" s="48"/>
      <c r="F104" s="47"/>
      <c r="G104" s="47"/>
    </row>
    <row r="105" spans="1:8" x14ac:dyDescent="0.2">
      <c r="A105" s="45"/>
      <c r="B105" s="143" t="s">
        <v>127</v>
      </c>
      <c r="C105" s="144"/>
      <c r="D105" s="16" t="s">
        <v>126</v>
      </c>
      <c r="E105" s="48"/>
      <c r="F105" s="47"/>
      <c r="G105" s="47"/>
    </row>
    <row r="106" spans="1:8" x14ac:dyDescent="0.2">
      <c r="A106" s="45"/>
      <c r="B106" s="143" t="s">
        <v>128</v>
      </c>
      <c r="C106" s="144"/>
      <c r="D106" s="32" t="s">
        <v>12</v>
      </c>
      <c r="E106" s="48"/>
      <c r="F106" s="47"/>
      <c r="G106" s="47"/>
    </row>
    <row r="107" spans="1:8" x14ac:dyDescent="0.2">
      <c r="A107" s="49"/>
      <c r="B107" s="50" t="s">
        <v>12</v>
      </c>
      <c r="C107" s="50" t="s">
        <v>597</v>
      </c>
      <c r="D107" s="50" t="s">
        <v>129</v>
      </c>
      <c r="E107" s="49"/>
      <c r="F107" s="49"/>
      <c r="G107" s="49"/>
    </row>
    <row r="108" spans="1:8" x14ac:dyDescent="0.2">
      <c r="A108" s="51"/>
      <c r="B108" s="52" t="s">
        <v>130</v>
      </c>
      <c r="C108" s="53">
        <v>45869</v>
      </c>
      <c r="D108" s="53">
        <v>45884</v>
      </c>
      <c r="E108" s="51"/>
      <c r="F108" s="51"/>
      <c r="G108" s="51"/>
    </row>
    <row r="109" spans="1:8" x14ac:dyDescent="0.2">
      <c r="A109" s="51"/>
      <c r="B109" s="26" t="s">
        <v>131</v>
      </c>
      <c r="C109" s="54">
        <v>32.647300000000001</v>
      </c>
      <c r="D109" s="54">
        <v>32.403399999999998</v>
      </c>
      <c r="E109" s="51"/>
      <c r="F109" s="55"/>
      <c r="G109" s="56"/>
    </row>
    <row r="110" spans="1:8" ht="25.5" x14ac:dyDescent="0.2">
      <c r="A110" s="51"/>
      <c r="B110" s="26" t="s">
        <v>735</v>
      </c>
      <c r="C110" s="54">
        <v>21.129300000000001</v>
      </c>
      <c r="D110" s="54">
        <v>20.971399999999999</v>
      </c>
      <c r="E110" s="51"/>
      <c r="F110" s="55"/>
      <c r="G110" s="56"/>
    </row>
    <row r="111" spans="1:8" x14ac:dyDescent="0.2">
      <c r="A111" s="51"/>
      <c r="B111" s="26" t="s">
        <v>132</v>
      </c>
      <c r="C111" s="54">
        <v>29.5961</v>
      </c>
      <c r="D111" s="54">
        <v>29.363099999999999</v>
      </c>
      <c r="E111" s="51"/>
      <c r="F111" s="55"/>
      <c r="G111" s="56"/>
    </row>
    <row r="112" spans="1:8" ht="25.5" x14ac:dyDescent="0.2">
      <c r="A112" s="51"/>
      <c r="B112" s="26" t="s">
        <v>736</v>
      </c>
      <c r="C112" s="54">
        <v>19.042300000000001</v>
      </c>
      <c r="D112" s="54">
        <v>18.892299999999999</v>
      </c>
      <c r="E112" s="51"/>
      <c r="F112" s="55"/>
      <c r="G112" s="56"/>
    </row>
    <row r="113" spans="1:18" x14ac:dyDescent="0.2">
      <c r="A113" s="51"/>
      <c r="B113" s="51"/>
      <c r="C113" s="51"/>
      <c r="D113" s="51"/>
      <c r="E113" s="51"/>
      <c r="F113" s="51"/>
      <c r="G113" s="51"/>
    </row>
    <row r="114" spans="1:18" x14ac:dyDescent="0.2">
      <c r="A114" s="51"/>
      <c r="B114" s="145" t="s">
        <v>598</v>
      </c>
      <c r="C114" s="146"/>
      <c r="D114" s="19" t="s">
        <v>126</v>
      </c>
      <c r="E114" s="51"/>
      <c r="F114" s="51"/>
      <c r="G114" s="51"/>
    </row>
    <row r="115" spans="1:18" x14ac:dyDescent="0.2">
      <c r="A115" s="51"/>
      <c r="B115" s="61"/>
      <c r="C115" s="61"/>
      <c r="D115" s="61"/>
      <c r="E115" s="51"/>
      <c r="F115" s="51"/>
      <c r="G115" s="51"/>
    </row>
    <row r="116" spans="1:18" x14ac:dyDescent="0.2">
      <c r="A116" s="49"/>
      <c r="B116" s="143" t="s">
        <v>133</v>
      </c>
      <c r="C116" s="144"/>
      <c r="D116" s="16" t="s">
        <v>126</v>
      </c>
      <c r="E116" s="60"/>
      <c r="F116" s="49"/>
      <c r="G116" s="49"/>
      <c r="J116" s="14"/>
    </row>
    <row r="117" spans="1:18" x14ac:dyDescent="0.2">
      <c r="A117" s="49"/>
      <c r="B117" s="143" t="s">
        <v>134</v>
      </c>
      <c r="C117" s="144"/>
      <c r="D117" s="16" t="s">
        <v>126</v>
      </c>
      <c r="E117" s="60"/>
      <c r="F117" s="49"/>
      <c r="G117" s="49"/>
      <c r="J117" s="14"/>
    </row>
    <row r="118" spans="1:18" x14ac:dyDescent="0.2">
      <c r="A118" s="49"/>
      <c r="B118" s="143" t="s">
        <v>599</v>
      </c>
      <c r="C118" s="144"/>
      <c r="D118" s="16" t="s">
        <v>126</v>
      </c>
      <c r="E118" s="60"/>
      <c r="F118" s="49"/>
      <c r="G118" s="49"/>
      <c r="J118" s="14"/>
    </row>
    <row r="119" spans="1:18" x14ac:dyDescent="0.2">
      <c r="A119" s="61"/>
      <c r="B119" s="61"/>
      <c r="C119" s="61"/>
      <c r="D119" s="61"/>
      <c r="E119" s="61"/>
      <c r="F119" s="61"/>
      <c r="G119" s="61"/>
      <c r="J119" s="14"/>
    </row>
    <row r="120" spans="1:18" s="62" customFormat="1" x14ac:dyDescent="0.2">
      <c r="B120" s="147" t="s">
        <v>600</v>
      </c>
      <c r="C120" s="148"/>
      <c r="D120" s="149"/>
      <c r="I120"/>
      <c r="J120" s="14"/>
      <c r="K120" s="33"/>
      <c r="L120" s="33"/>
      <c r="M120" s="33"/>
      <c r="N120" s="33"/>
      <c r="O120"/>
      <c r="R120"/>
    </row>
    <row r="121" spans="1:18" s="62" customFormat="1" ht="38.25" x14ac:dyDescent="0.2">
      <c r="B121" s="141" t="s">
        <v>601</v>
      </c>
      <c r="C121" s="141"/>
      <c r="D121" s="63" t="s">
        <v>531</v>
      </c>
      <c r="I121"/>
      <c r="J121" s="14"/>
      <c r="K121" s="33"/>
      <c r="L121" s="33"/>
      <c r="M121" s="33"/>
      <c r="N121" s="33"/>
      <c r="O121"/>
      <c r="R121"/>
    </row>
    <row r="122" spans="1:18" s="62" customFormat="1" x14ac:dyDescent="0.2">
      <c r="B122" s="142" t="s">
        <v>602</v>
      </c>
      <c r="C122" s="142"/>
      <c r="D122" s="64"/>
      <c r="I122"/>
      <c r="J122" s="14"/>
      <c r="K122" s="33"/>
      <c r="L122" s="33"/>
      <c r="M122" s="33"/>
      <c r="N122" s="33"/>
      <c r="O122"/>
      <c r="R122"/>
    </row>
    <row r="123" spans="1:18" s="62" customFormat="1" x14ac:dyDescent="0.2">
      <c r="B123" s="142"/>
      <c r="C123" s="142"/>
      <c r="D123" s="65"/>
      <c r="I123"/>
      <c r="J123" s="14"/>
      <c r="K123" s="33"/>
      <c r="L123" s="33"/>
      <c r="M123" s="33"/>
      <c r="N123" s="33"/>
      <c r="O123"/>
    </row>
    <row r="124" spans="1:18" s="62" customFormat="1" x14ac:dyDescent="0.2">
      <c r="B124" s="142" t="s">
        <v>603</v>
      </c>
      <c r="C124" s="142"/>
      <c r="D124" s="66">
        <v>6.4118679604741393</v>
      </c>
      <c r="I124"/>
      <c r="J124" s="14"/>
      <c r="K124" s="33"/>
      <c r="L124" s="33"/>
      <c r="M124" s="33"/>
      <c r="N124" s="33"/>
      <c r="O124"/>
    </row>
    <row r="125" spans="1:18" s="62" customFormat="1" x14ac:dyDescent="0.2">
      <c r="B125" s="142"/>
      <c r="C125" s="142"/>
      <c r="D125" s="65"/>
      <c r="I125"/>
      <c r="J125" s="14"/>
      <c r="K125" s="33"/>
      <c r="L125" s="33"/>
      <c r="M125" s="33"/>
      <c r="N125" s="33"/>
      <c r="O125"/>
    </row>
    <row r="126" spans="1:18" s="62" customFormat="1" x14ac:dyDescent="0.2">
      <c r="B126" s="142" t="s">
        <v>705</v>
      </c>
      <c r="C126" s="142"/>
      <c r="D126" s="66">
        <v>6.4276553920841648</v>
      </c>
      <c r="I126"/>
      <c r="J126" s="14"/>
      <c r="K126" s="33"/>
      <c r="L126" s="33"/>
      <c r="M126" s="33"/>
      <c r="N126" s="33"/>
      <c r="O126"/>
    </row>
    <row r="127" spans="1:18" s="62" customFormat="1" x14ac:dyDescent="0.2">
      <c r="B127" s="142" t="s">
        <v>706</v>
      </c>
      <c r="C127" s="142"/>
      <c r="D127" s="66">
        <v>12.732031996601092</v>
      </c>
      <c r="I127"/>
      <c r="J127" s="14"/>
      <c r="K127" s="33"/>
      <c r="L127" s="33"/>
      <c r="M127" s="33"/>
      <c r="N127" s="33"/>
      <c r="O127"/>
    </row>
    <row r="128" spans="1:18" s="62" customFormat="1" x14ac:dyDescent="0.2">
      <c r="B128" s="142"/>
      <c r="C128" s="142"/>
      <c r="D128" s="65"/>
      <c r="I128"/>
      <c r="J128" s="14"/>
      <c r="K128" s="33"/>
      <c r="L128" s="33"/>
      <c r="M128" s="33"/>
      <c r="N128" s="33"/>
      <c r="O128"/>
    </row>
    <row r="129" spans="2:16" s="62" customFormat="1" x14ac:dyDescent="0.2">
      <c r="B129" s="142" t="s">
        <v>606</v>
      </c>
      <c r="C129" s="142"/>
      <c r="D129" s="78" t="s">
        <v>716</v>
      </c>
      <c r="I129"/>
      <c r="J129" s="14"/>
      <c r="K129" s="33"/>
      <c r="L129" s="33"/>
      <c r="M129" s="33"/>
      <c r="N129" s="33"/>
      <c r="O129"/>
    </row>
    <row r="130" spans="2:16" s="62" customFormat="1" x14ac:dyDescent="0.2">
      <c r="B130" s="155" t="s">
        <v>607</v>
      </c>
      <c r="C130" s="157"/>
      <c r="D130" s="156"/>
      <c r="I130"/>
      <c r="J130" s="14"/>
      <c r="K130" s="33"/>
      <c r="L130" s="33"/>
      <c r="M130" s="33"/>
      <c r="N130" s="33"/>
      <c r="O130"/>
    </row>
    <row r="131" spans="2:16" x14ac:dyDescent="0.2">
      <c r="J131" s="14"/>
    </row>
    <row r="132" spans="2:16" ht="13.5" x14ac:dyDescent="0.2">
      <c r="B132" s="211" t="s">
        <v>717</v>
      </c>
      <c r="C132" s="211"/>
      <c r="D132" s="211"/>
      <c r="E132" s="211"/>
      <c r="F132" s="211"/>
      <c r="G132" s="211"/>
      <c r="H132" s="211"/>
      <c r="I132" s="33"/>
      <c r="J132" s="14"/>
      <c r="K132" s="33"/>
      <c r="L132" s="33"/>
      <c r="M132" s="33"/>
      <c r="N132" s="33"/>
      <c r="O132" s="33"/>
      <c r="P132" s="33"/>
    </row>
    <row r="133" spans="2:16" s="68" customFormat="1" ht="26.25" customHeight="1" x14ac:dyDescent="0.2">
      <c r="B133" s="79" t="s">
        <v>620</v>
      </c>
      <c r="C133" s="79" t="s">
        <v>621</v>
      </c>
      <c r="D133" s="168" t="s">
        <v>707</v>
      </c>
      <c r="E133" s="168"/>
      <c r="F133" s="168"/>
      <c r="G133" s="167" t="s">
        <v>623</v>
      </c>
      <c r="H133" s="167"/>
      <c r="J133" s="14"/>
      <c r="K133" s="81"/>
      <c r="L133" s="81"/>
      <c r="M133" s="81"/>
      <c r="N133" s="81"/>
      <c r="O133" s="81"/>
      <c r="P133" s="81"/>
    </row>
    <row r="134" spans="2:16" ht="27" x14ac:dyDescent="0.25">
      <c r="B134" s="82" t="s">
        <v>661</v>
      </c>
      <c r="C134" s="83" t="s">
        <v>708</v>
      </c>
      <c r="D134" s="165">
        <v>0</v>
      </c>
      <c r="E134" s="165"/>
      <c r="F134" s="165"/>
      <c r="G134" s="165">
        <v>0</v>
      </c>
      <c r="H134" s="165"/>
      <c r="J134" s="14"/>
      <c r="K134" s="33"/>
      <c r="L134" s="33"/>
      <c r="M134" s="33"/>
      <c r="N134" s="33"/>
      <c r="O134" s="33"/>
      <c r="P134" s="33"/>
    </row>
    <row r="135" spans="2:16" ht="13.5" x14ac:dyDescent="0.25">
      <c r="B135" s="84"/>
      <c r="C135" s="84"/>
      <c r="D135" s="166"/>
      <c r="E135" s="166"/>
      <c r="F135" s="166"/>
      <c r="G135" s="166"/>
      <c r="H135" s="166"/>
      <c r="J135" s="14"/>
      <c r="K135" s="33"/>
      <c r="L135" s="33"/>
      <c r="M135" s="33"/>
      <c r="N135" s="33"/>
      <c r="O135" s="33"/>
      <c r="P135" s="33"/>
    </row>
    <row r="136" spans="2:16" ht="13.5" x14ac:dyDescent="0.25">
      <c r="B136" s="164" t="s">
        <v>630</v>
      </c>
      <c r="C136" s="164"/>
      <c r="D136" s="164"/>
      <c r="E136" s="164"/>
      <c r="F136" s="164"/>
      <c r="G136" s="164"/>
      <c r="H136" s="164"/>
      <c r="J136" s="14"/>
      <c r="K136" s="33"/>
      <c r="L136" s="33"/>
      <c r="M136" s="33"/>
      <c r="N136" s="33"/>
      <c r="O136" s="33"/>
      <c r="P136" s="33"/>
    </row>
    <row r="137" spans="2:16" ht="13.5" customHeight="1" x14ac:dyDescent="0.2">
      <c r="B137" s="167" t="s">
        <v>620</v>
      </c>
      <c r="C137" s="167" t="s">
        <v>621</v>
      </c>
      <c r="D137" s="167" t="s">
        <v>664</v>
      </c>
      <c r="E137" s="167"/>
      <c r="F137" s="167"/>
      <c r="G137" s="167"/>
      <c r="H137" s="168" t="s">
        <v>709</v>
      </c>
      <c r="I137" s="168" t="s">
        <v>710</v>
      </c>
      <c r="J137" s="168" t="s">
        <v>667</v>
      </c>
      <c r="K137" s="33"/>
      <c r="L137" s="33"/>
      <c r="M137" s="33"/>
      <c r="N137" s="33"/>
      <c r="O137" s="33"/>
      <c r="P137" s="33"/>
    </row>
    <row r="138" spans="2:16" ht="121.5" x14ac:dyDescent="0.2">
      <c r="B138" s="167"/>
      <c r="C138" s="167"/>
      <c r="D138" s="80" t="s">
        <v>668</v>
      </c>
      <c r="E138" s="80" t="s">
        <v>669</v>
      </c>
      <c r="F138" s="80" t="s">
        <v>670</v>
      </c>
      <c r="G138" s="80" t="s">
        <v>699</v>
      </c>
      <c r="H138" s="168"/>
      <c r="I138" s="168"/>
      <c r="J138" s="168"/>
      <c r="K138" s="33"/>
      <c r="L138" s="33"/>
      <c r="M138" s="33"/>
      <c r="N138" s="33"/>
      <c r="O138" s="33"/>
    </row>
    <row r="139" spans="2:16" ht="27" x14ac:dyDescent="0.25">
      <c r="B139" s="84" t="s">
        <v>661</v>
      </c>
      <c r="C139" s="83" t="s">
        <v>711</v>
      </c>
      <c r="D139" s="86">
        <v>500</v>
      </c>
      <c r="E139" s="86">
        <v>9.9405737999999992</v>
      </c>
      <c r="F139" s="87">
        <v>16.00737140547945</v>
      </c>
      <c r="G139" s="86">
        <v>525.94794520547941</v>
      </c>
      <c r="H139" s="2">
        <v>233.40679</v>
      </c>
      <c r="I139" s="2">
        <v>4.01</v>
      </c>
      <c r="J139" s="88">
        <f>H139+I139</f>
        <v>237.41678999999999</v>
      </c>
      <c r="K139" s="33"/>
      <c r="L139" s="33"/>
      <c r="M139" s="33"/>
      <c r="N139" s="33"/>
      <c r="O139" s="33"/>
      <c r="P139" s="33"/>
    </row>
    <row r="140" spans="2:16" x14ac:dyDescent="0.2">
      <c r="J140" s="14"/>
      <c r="P140" s="33"/>
    </row>
    <row r="141" spans="2:16" x14ac:dyDescent="0.2">
      <c r="J141" s="14"/>
      <c r="K141" s="33"/>
      <c r="L141" s="33"/>
      <c r="M141" s="33"/>
      <c r="N141" s="33"/>
      <c r="O141" s="33"/>
      <c r="P141" s="33"/>
    </row>
    <row r="142" spans="2:16" ht="13.5" x14ac:dyDescent="0.25">
      <c r="B142" s="89" t="s">
        <v>650</v>
      </c>
      <c r="J142" s="14"/>
      <c r="K142" s="33"/>
      <c r="L142" s="33"/>
      <c r="M142" s="33"/>
      <c r="N142" s="33"/>
      <c r="O142" s="33"/>
      <c r="P142" s="33"/>
    </row>
    <row r="143" spans="2:16" x14ac:dyDescent="0.2">
      <c r="B143" s="33"/>
      <c r="C143" s="33"/>
      <c r="D143" s="33"/>
      <c r="E143" s="33"/>
      <c r="F143" s="33"/>
      <c r="G143" s="33"/>
      <c r="H143" s="33"/>
      <c r="J143" s="14"/>
      <c r="K143" s="33"/>
      <c r="L143" s="33"/>
      <c r="M143" s="33"/>
      <c r="N143" s="33"/>
      <c r="O143" s="33"/>
      <c r="P143" s="33"/>
    </row>
    <row r="144" spans="2:16" x14ac:dyDescent="0.2">
      <c r="B144" s="90" t="s">
        <v>651</v>
      </c>
      <c r="C144" s="33"/>
      <c r="D144" s="33"/>
      <c r="E144" s="33"/>
      <c r="F144" s="33"/>
      <c r="G144" s="33"/>
      <c r="H144" s="33"/>
      <c r="J144" s="14"/>
      <c r="K144" s="33"/>
      <c r="L144" s="33"/>
      <c r="M144" s="33"/>
      <c r="N144" s="33"/>
      <c r="O144" s="33"/>
      <c r="P144" s="33"/>
    </row>
    <row r="145" spans="2:16" x14ac:dyDescent="0.2">
      <c r="B145" s="33"/>
      <c r="C145" s="33"/>
      <c r="D145" s="33"/>
      <c r="E145" s="33"/>
      <c r="F145" s="33"/>
      <c r="G145" s="33"/>
      <c r="H145" s="33"/>
      <c r="J145" s="14"/>
      <c r="K145" s="33"/>
      <c r="L145" s="33"/>
      <c r="M145" s="33"/>
      <c r="N145" s="33"/>
      <c r="O145" s="33"/>
      <c r="P145" s="33"/>
    </row>
    <row r="146" spans="2:16" x14ac:dyDescent="0.2">
      <c r="B146" s="90" t="s">
        <v>652</v>
      </c>
      <c r="C146" s="33"/>
      <c r="D146" s="33"/>
      <c r="E146" s="33"/>
      <c r="F146" s="33"/>
      <c r="G146" s="33"/>
      <c r="H146" s="33"/>
      <c r="J146" s="14"/>
      <c r="K146" s="33"/>
      <c r="L146" s="33"/>
      <c r="M146" s="33"/>
      <c r="N146" s="33"/>
      <c r="O146" s="33"/>
      <c r="P146" s="33"/>
    </row>
    <row r="147" spans="2:16" x14ac:dyDescent="0.2">
      <c r="J147" s="14"/>
      <c r="K147" s="33"/>
      <c r="L147" s="33"/>
      <c r="M147" s="33"/>
      <c r="N147" s="33"/>
      <c r="O147" s="33"/>
    </row>
    <row r="148" spans="2:16" x14ac:dyDescent="0.2">
      <c r="B148" s="90" t="s">
        <v>653</v>
      </c>
      <c r="J148" s="14"/>
      <c r="K148" s="33"/>
      <c r="L148" s="33"/>
      <c r="M148" s="33"/>
      <c r="N148" s="33"/>
      <c r="O148" s="33"/>
    </row>
    <row r="149" spans="2:16" x14ac:dyDescent="0.2">
      <c r="J149" s="14"/>
    </row>
    <row r="150" spans="2:16" ht="25.5" x14ac:dyDescent="0.2">
      <c r="B150" s="69" t="s">
        <v>608</v>
      </c>
    </row>
    <row r="152" spans="2:16" ht="153.75" customHeight="1" x14ac:dyDescent="0.2"/>
    <row r="155" spans="2:16" x14ac:dyDescent="0.2">
      <c r="B155" s="70" t="s">
        <v>609</v>
      </c>
      <c r="C155" s="71"/>
      <c r="D155" s="70"/>
    </row>
    <row r="156" spans="2:16" x14ac:dyDescent="0.2">
      <c r="B156" s="70" t="s">
        <v>712</v>
      </c>
      <c r="D156" s="70"/>
    </row>
    <row r="157" spans="2:16" ht="165" customHeight="1" x14ac:dyDescent="0.2"/>
    <row r="159" spans="2:16" x14ac:dyDescent="0.2">
      <c r="J159" s="14"/>
    </row>
    <row r="160" spans="2:16" x14ac:dyDescent="0.2">
      <c r="J160" s="14"/>
    </row>
    <row r="161" spans="10:10" x14ac:dyDescent="0.2">
      <c r="J161" s="14"/>
    </row>
  </sheetData>
  <mergeCells count="39">
    <mergeCell ref="J137:J138"/>
    <mergeCell ref="B137:B138"/>
    <mergeCell ref="C137:C138"/>
    <mergeCell ref="D137:G137"/>
    <mergeCell ref="H137:H138"/>
    <mergeCell ref="I137:I138"/>
    <mergeCell ref="D134:F134"/>
    <mergeCell ref="G134:H134"/>
    <mergeCell ref="D135:F135"/>
    <mergeCell ref="G135:H135"/>
    <mergeCell ref="B136:H136"/>
    <mergeCell ref="B128:C128"/>
    <mergeCell ref="B129:C129"/>
    <mergeCell ref="B130:D130"/>
    <mergeCell ref="B132:H132"/>
    <mergeCell ref="D133:F133"/>
    <mergeCell ref="G133:H133"/>
    <mergeCell ref="B123:C123"/>
    <mergeCell ref="B124:C124"/>
    <mergeCell ref="B125:C125"/>
    <mergeCell ref="B126:C126"/>
    <mergeCell ref="B127:C127"/>
    <mergeCell ref="A1:H1"/>
    <mergeCell ref="A2:H2"/>
    <mergeCell ref="A3:H3"/>
    <mergeCell ref="B99:H99"/>
    <mergeCell ref="B100:H100"/>
    <mergeCell ref="B101:H101"/>
    <mergeCell ref="B103:D103"/>
    <mergeCell ref="B104:C104"/>
    <mergeCell ref="B105:C105"/>
    <mergeCell ref="B106:C106"/>
    <mergeCell ref="B121:C121"/>
    <mergeCell ref="B122:C122"/>
    <mergeCell ref="B116:C116"/>
    <mergeCell ref="B117:C117"/>
    <mergeCell ref="B114:C114"/>
    <mergeCell ref="B118:C118"/>
    <mergeCell ref="B120:D120"/>
  </mergeCells>
  <hyperlinks>
    <hyperlink ref="I1" location="Index!B2" display="Index" xr:uid="{04C5D990-B75C-471C-82BB-422C224A64CF}"/>
    <hyperlink ref="B144" r:id="rId1" xr:uid="{14DCA813-552C-49EC-A92C-D43AFF10C2AE}"/>
    <hyperlink ref="B146" r:id="rId2" xr:uid="{76EEE746-BF3B-47A2-B841-9539FBEFFA4E}"/>
    <hyperlink ref="B148" r:id="rId3" xr:uid="{27662D5C-B86C-4149-A49A-0900F7A23B3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143F-DA64-4EEF-8855-241754F81E6E}">
  <sheetPr>
    <outlinePr summaryBelow="0" summaryRight="0"/>
  </sheetPr>
  <dimension ref="A1:U134"/>
  <sheetViews>
    <sheetView showGridLines="0" topLeftCell="A47" workbookViewId="0">
      <selection activeCell="C19" sqref="C19"/>
    </sheetView>
  </sheetViews>
  <sheetFormatPr defaultColWidth="9.140625" defaultRowHeight="12.75" x14ac:dyDescent="0.2"/>
  <cols>
    <col min="1" max="1" width="5.85546875" bestFit="1" customWidth="1"/>
    <col min="2" max="2" width="19.28515625" bestFit="1" customWidth="1"/>
    <col min="3" max="3" width="43.5703125" customWidth="1"/>
    <col min="4" max="4" width="13" customWidth="1"/>
    <col min="5" max="5" width="8.7109375" bestFit="1" customWidth="1"/>
    <col min="6" max="6" width="10.140625" bestFit="1" customWidth="1"/>
    <col min="7" max="7" width="14" bestFit="1" customWidth="1"/>
    <col min="8" max="8" width="10.85546875" customWidth="1"/>
    <col min="9" max="9" width="5.7109375" bestFit="1" customWidth="1"/>
  </cols>
  <sheetData>
    <row r="1" spans="1:9" ht="15" x14ac:dyDescent="0.2">
      <c r="A1" s="154" t="s">
        <v>0</v>
      </c>
      <c r="B1" s="154"/>
      <c r="C1" s="154"/>
      <c r="D1" s="154"/>
      <c r="E1" s="154"/>
      <c r="F1" s="154"/>
      <c r="G1" s="154"/>
      <c r="H1" s="154"/>
      <c r="I1" s="1" t="s">
        <v>592</v>
      </c>
    </row>
    <row r="2" spans="1:9" ht="15" x14ac:dyDescent="0.2">
      <c r="A2" s="154" t="s">
        <v>586</v>
      </c>
      <c r="B2" s="154"/>
      <c r="C2" s="154"/>
      <c r="D2" s="154"/>
      <c r="E2" s="154"/>
      <c r="F2" s="154"/>
      <c r="G2" s="154"/>
      <c r="H2" s="154"/>
    </row>
    <row r="3" spans="1:9" ht="15" x14ac:dyDescent="0.2">
      <c r="A3" s="154" t="s">
        <v>740</v>
      </c>
      <c r="B3" s="154"/>
      <c r="C3" s="154"/>
      <c r="D3" s="154"/>
      <c r="E3" s="154"/>
      <c r="F3" s="154"/>
      <c r="G3" s="154"/>
      <c r="H3" s="154"/>
    </row>
    <row r="4" spans="1:9" s="14" customFormat="1" ht="30" x14ac:dyDescent="0.2">
      <c r="A4" s="12" t="s">
        <v>2</v>
      </c>
      <c r="B4" s="12" t="s">
        <v>3</v>
      </c>
      <c r="C4" s="12" t="s">
        <v>4</v>
      </c>
      <c r="D4" s="12" t="s">
        <v>5</v>
      </c>
      <c r="E4" s="12" t="s">
        <v>6</v>
      </c>
      <c r="F4" s="12" t="s">
        <v>7</v>
      </c>
      <c r="G4" s="12" t="s">
        <v>8</v>
      </c>
      <c r="H4" s="13" t="s">
        <v>734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18"/>
      <c r="B28" s="18"/>
      <c r="C28" s="19" t="s">
        <v>11</v>
      </c>
      <c r="D28" s="18"/>
      <c r="E28" s="18" t="s">
        <v>12</v>
      </c>
      <c r="F28" s="20" t="s">
        <v>13</v>
      </c>
      <c r="G28" s="21">
        <v>0</v>
      </c>
      <c r="H28" s="17" t="s">
        <v>12</v>
      </c>
    </row>
    <row r="29" spans="1:8" x14ac:dyDescent="0.2">
      <c r="A29" s="18"/>
      <c r="B29" s="18"/>
      <c r="C29" s="22"/>
      <c r="D29" s="18"/>
      <c r="E29" s="18"/>
      <c r="F29" s="23"/>
      <c r="G29" s="23"/>
      <c r="H29" s="17" t="s">
        <v>12</v>
      </c>
    </row>
    <row r="30" spans="1:8" x14ac:dyDescent="0.2">
      <c r="A30" s="18"/>
      <c r="B30" s="18"/>
      <c r="C30" s="19" t="s">
        <v>81</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82</v>
      </c>
      <c r="D33" s="18"/>
      <c r="E33" s="18"/>
      <c r="F33" s="18"/>
      <c r="G33" s="18"/>
      <c r="H33" s="17" t="s">
        <v>12</v>
      </c>
    </row>
    <row r="34" spans="1:8" x14ac:dyDescent="0.2">
      <c r="A34" s="18"/>
      <c r="B34" s="18"/>
      <c r="C34" s="19" t="s">
        <v>11</v>
      </c>
      <c r="D34" s="18"/>
      <c r="E34" s="18" t="s">
        <v>12</v>
      </c>
      <c r="F34" s="20" t="s">
        <v>13</v>
      </c>
      <c r="G34" s="21">
        <v>0</v>
      </c>
      <c r="H34" s="17" t="s">
        <v>12</v>
      </c>
    </row>
    <row r="35" spans="1:8" x14ac:dyDescent="0.2">
      <c r="A35" s="18"/>
      <c r="B35" s="18"/>
      <c r="C35" s="22"/>
      <c r="D35" s="18"/>
      <c r="E35" s="18"/>
      <c r="F35" s="23"/>
      <c r="G35" s="23"/>
      <c r="H35" s="17" t="s">
        <v>12</v>
      </c>
    </row>
    <row r="36" spans="1:8" x14ac:dyDescent="0.2">
      <c r="A36" s="18"/>
      <c r="B36" s="18"/>
      <c r="C36" s="19" t="s">
        <v>100</v>
      </c>
      <c r="D36" s="18"/>
      <c r="E36" s="18"/>
      <c r="F36" s="23"/>
      <c r="G36" s="23"/>
      <c r="H36" s="17" t="s">
        <v>12</v>
      </c>
    </row>
    <row r="37" spans="1:8" x14ac:dyDescent="0.2">
      <c r="A37" s="18"/>
      <c r="B37" s="18"/>
      <c r="C37" s="19" t="s">
        <v>11</v>
      </c>
      <c r="D37" s="18"/>
      <c r="E37" s="18" t="s">
        <v>12</v>
      </c>
      <c r="F37" s="20" t="s">
        <v>13</v>
      </c>
      <c r="G37" s="21">
        <v>0</v>
      </c>
      <c r="H37" s="17" t="s">
        <v>12</v>
      </c>
    </row>
    <row r="38" spans="1:8" x14ac:dyDescent="0.2">
      <c r="A38" s="18"/>
      <c r="B38" s="18"/>
      <c r="C38" s="22"/>
      <c r="D38" s="18"/>
      <c r="E38" s="18"/>
      <c r="F38" s="23"/>
      <c r="G38" s="23"/>
      <c r="H38" s="17" t="s">
        <v>12</v>
      </c>
    </row>
    <row r="39" spans="1:8" x14ac:dyDescent="0.2">
      <c r="A39" s="18"/>
      <c r="B39" s="18"/>
      <c r="C39" s="19" t="s">
        <v>101</v>
      </c>
      <c r="D39" s="18"/>
      <c r="E39" s="18"/>
      <c r="F39" s="24">
        <v>0</v>
      </c>
      <c r="G39" s="21">
        <v>0</v>
      </c>
      <c r="H39" s="17" t="s">
        <v>12</v>
      </c>
    </row>
    <row r="40" spans="1:8" x14ac:dyDescent="0.2">
      <c r="A40" s="18"/>
      <c r="B40" s="18"/>
      <c r="C40" s="22"/>
      <c r="D40" s="18"/>
      <c r="E40" s="18"/>
      <c r="F40" s="23"/>
      <c r="G40" s="23"/>
      <c r="H40" s="17" t="s">
        <v>12</v>
      </c>
    </row>
    <row r="41" spans="1:8" x14ac:dyDescent="0.2">
      <c r="A41" s="18"/>
      <c r="B41" s="18"/>
      <c r="C41" s="19" t="s">
        <v>102</v>
      </c>
      <c r="D41" s="18"/>
      <c r="E41" s="18"/>
      <c r="F41" s="23"/>
      <c r="G41" s="23"/>
      <c r="H41" s="17" t="s">
        <v>12</v>
      </c>
    </row>
    <row r="42" spans="1:8" x14ac:dyDescent="0.2">
      <c r="A42" s="18"/>
      <c r="B42" s="18"/>
      <c r="C42" s="19" t="s">
        <v>103</v>
      </c>
      <c r="D42" s="18"/>
      <c r="E42" s="18"/>
      <c r="F42" s="23"/>
      <c r="G42" s="23"/>
      <c r="H42" s="17" t="s">
        <v>12</v>
      </c>
    </row>
    <row r="43" spans="1:8" x14ac:dyDescent="0.2">
      <c r="A43" s="18"/>
      <c r="B43" s="18"/>
      <c r="C43" s="19" t="s">
        <v>11</v>
      </c>
      <c r="D43" s="18"/>
      <c r="E43" s="18" t="s">
        <v>12</v>
      </c>
      <c r="F43" s="20" t="s">
        <v>13</v>
      </c>
      <c r="G43" s="21">
        <v>0</v>
      </c>
      <c r="H43" s="17" t="s">
        <v>12</v>
      </c>
    </row>
    <row r="44" spans="1:8" x14ac:dyDescent="0.2">
      <c r="A44" s="18"/>
      <c r="B44" s="18"/>
      <c r="C44" s="22"/>
      <c r="D44" s="18"/>
      <c r="E44" s="18"/>
      <c r="F44" s="23"/>
      <c r="G44" s="23"/>
      <c r="H44" s="17" t="s">
        <v>12</v>
      </c>
    </row>
    <row r="45" spans="1:8" x14ac:dyDescent="0.2">
      <c r="A45" s="18"/>
      <c r="B45" s="18"/>
      <c r="C45" s="19" t="s">
        <v>110</v>
      </c>
      <c r="D45" s="18"/>
      <c r="E45" s="18"/>
      <c r="F45" s="23"/>
      <c r="G45" s="23"/>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111</v>
      </c>
      <c r="D48" s="18"/>
      <c r="E48" s="18"/>
      <c r="F48" s="23"/>
      <c r="G48" s="23"/>
      <c r="H48" s="17" t="s">
        <v>12</v>
      </c>
    </row>
    <row r="49" spans="1:8" x14ac:dyDescent="0.2">
      <c r="A49" s="25">
        <v>1</v>
      </c>
      <c r="B49" s="26" t="s">
        <v>587</v>
      </c>
      <c r="C49" s="26" t="s">
        <v>588</v>
      </c>
      <c r="D49" s="26" t="s">
        <v>85</v>
      </c>
      <c r="E49" s="27">
        <v>1000000</v>
      </c>
      <c r="F49" s="28">
        <v>999.25400000000002</v>
      </c>
      <c r="G49" s="29">
        <v>1.511766E-2</v>
      </c>
      <c r="H49" s="17">
        <v>5.45</v>
      </c>
    </row>
    <row r="50" spans="1:8" x14ac:dyDescent="0.2">
      <c r="A50" s="25">
        <v>2</v>
      </c>
      <c r="B50" s="26" t="s">
        <v>589</v>
      </c>
      <c r="C50" s="26" t="s">
        <v>590</v>
      </c>
      <c r="D50" s="26" t="s">
        <v>85</v>
      </c>
      <c r="E50" s="27">
        <v>500000</v>
      </c>
      <c r="F50" s="28">
        <v>498.5985</v>
      </c>
      <c r="G50" s="29">
        <v>7.5432700000000004E-3</v>
      </c>
      <c r="H50" s="17">
        <v>5.4</v>
      </c>
    </row>
    <row r="51" spans="1:8" x14ac:dyDescent="0.2">
      <c r="A51" s="18"/>
      <c r="B51" s="18"/>
      <c r="C51" s="19" t="s">
        <v>11</v>
      </c>
      <c r="D51" s="18"/>
      <c r="E51" s="18" t="s">
        <v>12</v>
      </c>
      <c r="F51" s="24">
        <v>1497.8525</v>
      </c>
      <c r="G51" s="21">
        <v>2.2660929999999999E-2</v>
      </c>
      <c r="H51" s="17" t="s">
        <v>12</v>
      </c>
    </row>
    <row r="52" spans="1:8" x14ac:dyDescent="0.2">
      <c r="A52" s="18"/>
      <c r="B52" s="18"/>
      <c r="C52" s="22"/>
      <c r="D52" s="18"/>
      <c r="E52" s="18"/>
      <c r="F52" s="23"/>
      <c r="G52" s="23"/>
      <c r="H52" s="17" t="s">
        <v>12</v>
      </c>
    </row>
    <row r="53" spans="1:8" x14ac:dyDescent="0.2">
      <c r="A53" s="18"/>
      <c r="B53" s="18"/>
      <c r="C53" s="19" t="s">
        <v>112</v>
      </c>
      <c r="D53" s="18"/>
      <c r="E53" s="18"/>
      <c r="F53" s="23"/>
      <c r="G53" s="23"/>
      <c r="H53" s="17" t="s">
        <v>12</v>
      </c>
    </row>
    <row r="54" spans="1:8" x14ac:dyDescent="0.2">
      <c r="A54" s="25">
        <v>1</v>
      </c>
      <c r="B54" s="26"/>
      <c r="C54" s="26" t="s">
        <v>113</v>
      </c>
      <c r="D54" s="26"/>
      <c r="E54" s="30"/>
      <c r="F54" s="28">
        <v>64544.931196776997</v>
      </c>
      <c r="G54" s="29">
        <v>0.97649682000000004</v>
      </c>
      <c r="H54" s="17">
        <v>5.39</v>
      </c>
    </row>
    <row r="55" spans="1:8" x14ac:dyDescent="0.2">
      <c r="A55" s="18"/>
      <c r="B55" s="18"/>
      <c r="C55" s="19" t="s">
        <v>11</v>
      </c>
      <c r="D55" s="18"/>
      <c r="E55" s="18" t="s">
        <v>12</v>
      </c>
      <c r="F55" s="24">
        <v>64544.931196776997</v>
      </c>
      <c r="G55" s="21">
        <v>0.97649682000000004</v>
      </c>
      <c r="H55" s="17" t="s">
        <v>12</v>
      </c>
    </row>
    <row r="56" spans="1:8" x14ac:dyDescent="0.2">
      <c r="A56" s="18"/>
      <c r="B56" s="18"/>
      <c r="C56" s="22"/>
      <c r="D56" s="18"/>
      <c r="E56" s="18"/>
      <c r="F56" s="23"/>
      <c r="G56" s="23"/>
      <c r="H56" s="17" t="s">
        <v>12</v>
      </c>
    </row>
    <row r="57" spans="1:8" x14ac:dyDescent="0.2">
      <c r="A57" s="18"/>
      <c r="B57" s="18"/>
      <c r="C57" s="19" t="s">
        <v>114</v>
      </c>
      <c r="D57" s="18"/>
      <c r="E57" s="18"/>
      <c r="F57" s="24">
        <v>66042.783696776998</v>
      </c>
      <c r="G57" s="21">
        <v>0.99915774999999996</v>
      </c>
      <c r="H57" s="17" t="s">
        <v>12</v>
      </c>
    </row>
    <row r="58" spans="1:8" x14ac:dyDescent="0.2">
      <c r="A58" s="18"/>
      <c r="B58" s="18"/>
      <c r="C58" s="23"/>
      <c r="D58" s="18"/>
      <c r="E58" s="18"/>
      <c r="F58" s="18"/>
      <c r="G58" s="18"/>
      <c r="H58" s="17" t="s">
        <v>12</v>
      </c>
    </row>
    <row r="59" spans="1:8" x14ac:dyDescent="0.2">
      <c r="A59" s="18"/>
      <c r="B59" s="18"/>
      <c r="C59" s="19" t="s">
        <v>115</v>
      </c>
      <c r="D59" s="18"/>
      <c r="E59" s="18"/>
      <c r="F59" s="18"/>
      <c r="G59" s="18"/>
      <c r="H59" s="17" t="s">
        <v>12</v>
      </c>
    </row>
    <row r="60" spans="1:8" x14ac:dyDescent="0.2">
      <c r="A60" s="18"/>
      <c r="B60" s="18"/>
      <c r="C60" s="19" t="s">
        <v>116</v>
      </c>
      <c r="D60" s="18"/>
      <c r="E60" s="18"/>
      <c r="F60" s="18"/>
      <c r="G60" s="18"/>
      <c r="H60" s="17" t="s">
        <v>12</v>
      </c>
    </row>
    <row r="61" spans="1:8" x14ac:dyDescent="0.2">
      <c r="A61" s="18"/>
      <c r="B61" s="18"/>
      <c r="C61" s="19" t="s">
        <v>11</v>
      </c>
      <c r="D61" s="18"/>
      <c r="E61" s="18" t="s">
        <v>12</v>
      </c>
      <c r="F61" s="20" t="s">
        <v>13</v>
      </c>
      <c r="G61" s="21">
        <v>0</v>
      </c>
      <c r="H61" s="17" t="s">
        <v>12</v>
      </c>
    </row>
    <row r="62" spans="1:8" x14ac:dyDescent="0.2">
      <c r="A62" s="15"/>
      <c r="B62" s="15"/>
      <c r="C62" s="31"/>
      <c r="D62" s="15"/>
      <c r="E62" s="15"/>
      <c r="F62" s="32"/>
      <c r="G62" s="32"/>
      <c r="H62" s="17" t="s">
        <v>12</v>
      </c>
    </row>
    <row r="63" spans="1:8" x14ac:dyDescent="0.2">
      <c r="A63" s="18"/>
      <c r="B63" s="18"/>
      <c r="C63" s="19" t="s">
        <v>119</v>
      </c>
      <c r="D63" s="18"/>
      <c r="E63" s="18"/>
      <c r="F63" s="18"/>
      <c r="G63" s="18"/>
      <c r="H63" s="17" t="s">
        <v>12</v>
      </c>
    </row>
    <row r="64" spans="1:8" x14ac:dyDescent="0.2">
      <c r="A64" s="18"/>
      <c r="B64" s="18"/>
      <c r="C64" s="19" t="s">
        <v>120</v>
      </c>
      <c r="D64" s="18"/>
      <c r="E64" s="18"/>
      <c r="F64" s="18"/>
      <c r="G64" s="18"/>
      <c r="H64" s="17" t="s">
        <v>12</v>
      </c>
    </row>
    <row r="65" spans="1:8" x14ac:dyDescent="0.2">
      <c r="A65" s="18"/>
      <c r="B65" s="18"/>
      <c r="C65" s="19" t="s">
        <v>11</v>
      </c>
      <c r="D65" s="18"/>
      <c r="E65" s="18" t="s">
        <v>12</v>
      </c>
      <c r="F65" s="20" t="s">
        <v>13</v>
      </c>
      <c r="G65" s="21">
        <v>0</v>
      </c>
      <c r="H65" s="17" t="s">
        <v>12</v>
      </c>
    </row>
    <row r="66" spans="1:8" x14ac:dyDescent="0.2">
      <c r="A66" s="18"/>
      <c r="B66" s="18"/>
      <c r="C66" s="22"/>
      <c r="D66" s="18"/>
      <c r="E66" s="18"/>
      <c r="F66" s="23"/>
      <c r="G66" s="23"/>
      <c r="H66" s="17" t="s">
        <v>12</v>
      </c>
    </row>
    <row r="67" spans="1:8" x14ac:dyDescent="0.2">
      <c r="A67" s="18"/>
      <c r="B67" s="18"/>
      <c r="C67" s="19" t="s">
        <v>121</v>
      </c>
      <c r="D67" s="18"/>
      <c r="E67" s="18"/>
      <c r="F67" s="23"/>
      <c r="G67" s="23"/>
      <c r="H67" s="17" t="s">
        <v>12</v>
      </c>
    </row>
    <row r="68" spans="1:8" x14ac:dyDescent="0.2">
      <c r="A68" s="18"/>
      <c r="B68" s="18"/>
      <c r="C68" s="19" t="s">
        <v>11</v>
      </c>
      <c r="D68" s="18"/>
      <c r="E68" s="18" t="s">
        <v>12</v>
      </c>
      <c r="F68" s="20" t="s">
        <v>13</v>
      </c>
      <c r="G68" s="21">
        <v>0</v>
      </c>
      <c r="H68" s="17" t="s">
        <v>12</v>
      </c>
    </row>
    <row r="69" spans="1:8" x14ac:dyDescent="0.2">
      <c r="A69" s="18"/>
      <c r="B69" s="18"/>
      <c r="C69" s="22"/>
      <c r="D69" s="18"/>
      <c r="E69" s="18"/>
      <c r="F69" s="23"/>
      <c r="G69" s="23"/>
      <c r="H69" s="17" t="s">
        <v>12</v>
      </c>
    </row>
    <row r="70" spans="1:8" x14ac:dyDescent="0.2">
      <c r="A70" s="30"/>
      <c r="B70" s="26"/>
      <c r="C70" s="26" t="s">
        <v>122</v>
      </c>
      <c r="D70" s="26"/>
      <c r="E70" s="30"/>
      <c r="F70" s="28">
        <v>55.671387680000002</v>
      </c>
      <c r="G70" s="29">
        <v>8.4225000000000001E-4</v>
      </c>
      <c r="H70" s="17" t="s">
        <v>12</v>
      </c>
    </row>
    <row r="71" spans="1:8" x14ac:dyDescent="0.2">
      <c r="A71" s="22"/>
      <c r="B71" s="22"/>
      <c r="C71" s="19" t="s">
        <v>123</v>
      </c>
      <c r="D71" s="23"/>
      <c r="E71" s="23"/>
      <c r="F71" s="24">
        <v>66098.455084457004</v>
      </c>
      <c r="G71" s="42">
        <v>1</v>
      </c>
      <c r="H71" s="17" t="s">
        <v>12</v>
      </c>
    </row>
    <row r="72" spans="1:8" x14ac:dyDescent="0.2">
      <c r="A72" s="43"/>
      <c r="B72" s="43"/>
      <c r="C72" s="43"/>
      <c r="D72" s="44"/>
      <c r="E72" s="44"/>
      <c r="F72" s="44"/>
      <c r="G72" s="44"/>
    </row>
    <row r="73" spans="1:8" x14ac:dyDescent="0.2">
      <c r="A73" s="45"/>
      <c r="B73" s="150" t="s">
        <v>594</v>
      </c>
      <c r="C73" s="150"/>
      <c r="D73" s="150"/>
      <c r="E73" s="150"/>
      <c r="F73" s="150"/>
      <c r="G73" s="150"/>
      <c r="H73" s="150"/>
    </row>
    <row r="74" spans="1:8" x14ac:dyDescent="0.2">
      <c r="A74" s="45"/>
      <c r="B74" s="150" t="s">
        <v>595</v>
      </c>
      <c r="C74" s="150"/>
      <c r="D74" s="150"/>
      <c r="E74" s="150"/>
      <c r="F74" s="150"/>
      <c r="G74" s="150"/>
      <c r="H74" s="150"/>
    </row>
    <row r="75" spans="1:8" x14ac:dyDescent="0.2">
      <c r="A75" s="45"/>
      <c r="B75" s="150" t="s">
        <v>596</v>
      </c>
      <c r="C75" s="150"/>
      <c r="D75" s="150"/>
      <c r="E75" s="150"/>
      <c r="F75" s="150"/>
      <c r="G75" s="150"/>
      <c r="H75" s="150"/>
    </row>
    <row r="76" spans="1:8" x14ac:dyDescent="0.2">
      <c r="A76" s="45"/>
      <c r="B76" s="45"/>
      <c r="C76" s="45"/>
      <c r="D76" s="47"/>
      <c r="E76" s="47"/>
      <c r="F76" s="47"/>
      <c r="G76" s="47"/>
    </row>
    <row r="77" spans="1:8" x14ac:dyDescent="0.2">
      <c r="A77" s="45"/>
      <c r="B77" s="151" t="s">
        <v>124</v>
      </c>
      <c r="C77" s="152"/>
      <c r="D77" s="153"/>
      <c r="E77" s="48"/>
      <c r="F77" s="47"/>
      <c r="G77" s="47"/>
    </row>
    <row r="78" spans="1:8" ht="27" customHeight="1" x14ac:dyDescent="0.2">
      <c r="A78" s="45"/>
      <c r="B78" s="143" t="s">
        <v>125</v>
      </c>
      <c r="C78" s="144"/>
      <c r="D78" s="16" t="s">
        <v>126</v>
      </c>
      <c r="E78" s="48"/>
      <c r="F78" s="47"/>
      <c r="G78" s="47"/>
    </row>
    <row r="79" spans="1:8" x14ac:dyDescent="0.2">
      <c r="A79" s="45"/>
      <c r="B79" s="143" t="s">
        <v>127</v>
      </c>
      <c r="C79" s="144"/>
      <c r="D79" s="16" t="s">
        <v>126</v>
      </c>
      <c r="E79" s="48"/>
      <c r="F79" s="47"/>
      <c r="G79" s="47"/>
    </row>
    <row r="80" spans="1:8" x14ac:dyDescent="0.2">
      <c r="A80" s="45"/>
      <c r="B80" s="143" t="s">
        <v>128</v>
      </c>
      <c r="C80" s="144"/>
      <c r="D80" s="32" t="s">
        <v>12</v>
      </c>
      <c r="E80" s="48"/>
      <c r="F80" s="47"/>
      <c r="G80" s="47"/>
    </row>
    <row r="81" spans="1:21" x14ac:dyDescent="0.2">
      <c r="A81" s="49"/>
      <c r="B81" s="50" t="s">
        <v>12</v>
      </c>
      <c r="C81" s="50" t="s">
        <v>597</v>
      </c>
      <c r="D81" s="50" t="s">
        <v>129</v>
      </c>
      <c r="E81" s="49"/>
      <c r="F81" s="49"/>
      <c r="G81" s="49"/>
    </row>
    <row r="82" spans="1:21" x14ac:dyDescent="0.2">
      <c r="A82" s="51"/>
      <c r="B82" s="52" t="s">
        <v>130</v>
      </c>
      <c r="C82" s="53">
        <v>45869</v>
      </c>
      <c r="D82" s="53">
        <v>45884</v>
      </c>
      <c r="E82" s="51"/>
      <c r="F82" s="51"/>
      <c r="G82" s="51"/>
    </row>
    <row r="83" spans="1:21" x14ac:dyDescent="0.2">
      <c r="A83" s="51"/>
      <c r="B83" s="26" t="s">
        <v>131</v>
      </c>
      <c r="C83" s="54">
        <v>1382.0053</v>
      </c>
      <c r="D83" s="54">
        <v>1385.0138999999999</v>
      </c>
      <c r="E83" s="51"/>
      <c r="F83" s="55"/>
      <c r="G83" s="56"/>
    </row>
    <row r="84" spans="1:21" ht="25.5" x14ac:dyDescent="0.2">
      <c r="A84" s="51"/>
      <c r="B84" s="26" t="s">
        <v>737</v>
      </c>
      <c r="C84" s="54">
        <v>1048.3634999999999</v>
      </c>
      <c r="D84" s="54">
        <v>1050.6456000000001</v>
      </c>
      <c r="E84" s="51"/>
      <c r="F84" s="55"/>
      <c r="G84" s="56"/>
    </row>
    <row r="85" spans="1:21" x14ac:dyDescent="0.2">
      <c r="A85" s="51"/>
      <c r="B85" s="26" t="s">
        <v>132</v>
      </c>
      <c r="C85" s="54">
        <v>1373.4057</v>
      </c>
      <c r="D85" s="54">
        <v>1376.338</v>
      </c>
      <c r="E85" s="51"/>
      <c r="F85" s="55"/>
      <c r="G85" s="56"/>
    </row>
    <row r="86" spans="1:21" ht="25.5" x14ac:dyDescent="0.2">
      <c r="A86" s="51"/>
      <c r="B86" s="26" t="s">
        <v>738</v>
      </c>
      <c r="C86" s="54">
        <v>1044.3244</v>
      </c>
      <c r="D86" s="54">
        <v>1046.5549000000001</v>
      </c>
      <c r="E86" s="51"/>
      <c r="F86" s="55"/>
      <c r="G86" s="56"/>
    </row>
    <row r="87" spans="1:21" x14ac:dyDescent="0.2">
      <c r="A87" s="51"/>
      <c r="B87" s="51"/>
      <c r="C87" s="51"/>
      <c r="D87" s="51"/>
      <c r="E87" s="51"/>
      <c r="F87" s="51"/>
      <c r="G87" s="51"/>
    </row>
    <row r="88" spans="1:21" x14ac:dyDescent="0.2">
      <c r="A88" s="51"/>
      <c r="B88" s="145" t="s">
        <v>598</v>
      </c>
      <c r="C88" s="146"/>
      <c r="D88" s="19" t="s">
        <v>126</v>
      </c>
      <c r="E88" s="51"/>
      <c r="F88" s="51"/>
      <c r="G88" s="51"/>
    </row>
    <row r="89" spans="1:21" x14ac:dyDescent="0.2">
      <c r="A89" s="51"/>
      <c r="B89" s="61"/>
      <c r="C89" s="61"/>
      <c r="D89" s="61"/>
      <c r="E89" s="51"/>
      <c r="F89" s="51"/>
      <c r="G89" s="51"/>
    </row>
    <row r="90" spans="1:21" x14ac:dyDescent="0.2">
      <c r="A90" s="49"/>
      <c r="B90" s="142" t="s">
        <v>133</v>
      </c>
      <c r="C90" s="142"/>
      <c r="D90" s="72" t="s">
        <v>126</v>
      </c>
      <c r="E90" s="49"/>
      <c r="F90" s="49"/>
      <c r="G90" s="49"/>
    </row>
    <row r="91" spans="1:21" x14ac:dyDescent="0.2">
      <c r="A91" s="49"/>
      <c r="B91" s="212" t="s">
        <v>134</v>
      </c>
      <c r="C91" s="213"/>
      <c r="D91" s="73" t="s">
        <v>126</v>
      </c>
      <c r="E91" s="60"/>
      <c r="F91" s="49"/>
      <c r="G91" s="49"/>
    </row>
    <row r="92" spans="1:21" x14ac:dyDescent="0.2">
      <c r="A92" s="49"/>
      <c r="B92" s="143" t="s">
        <v>599</v>
      </c>
      <c r="C92" s="144"/>
      <c r="D92" s="16" t="s">
        <v>126</v>
      </c>
      <c r="E92" s="60"/>
      <c r="F92" s="49"/>
      <c r="G92" s="49"/>
      <c r="I92" s="33"/>
    </row>
    <row r="93" spans="1:21" x14ac:dyDescent="0.2">
      <c r="A93" s="61"/>
      <c r="B93" s="61"/>
      <c r="C93" s="61"/>
      <c r="D93" s="61"/>
      <c r="E93" s="61"/>
      <c r="F93" s="61"/>
      <c r="G93" s="61"/>
      <c r="I93" s="33"/>
    </row>
    <row r="94" spans="1:21" s="62" customFormat="1" x14ac:dyDescent="0.2">
      <c r="B94" s="147" t="s">
        <v>600</v>
      </c>
      <c r="C94" s="148"/>
      <c r="D94" s="149"/>
      <c r="I94" s="33"/>
      <c r="J94"/>
      <c r="K94" s="33"/>
      <c r="L94" s="33"/>
      <c r="M94" s="33"/>
      <c r="N94" s="68"/>
      <c r="Q94"/>
      <c r="R94"/>
      <c r="S94"/>
      <c r="T94"/>
      <c r="U94"/>
    </row>
    <row r="95" spans="1:21" s="62" customFormat="1" ht="38.25" x14ac:dyDescent="0.2">
      <c r="B95" s="141" t="s">
        <v>601</v>
      </c>
      <c r="C95" s="141"/>
      <c r="D95" s="63" t="s">
        <v>586</v>
      </c>
      <c r="I95" s="33"/>
      <c r="J95"/>
      <c r="K95" s="33"/>
      <c r="L95" s="33"/>
      <c r="M95" s="33"/>
      <c r="N95" s="68"/>
      <c r="Q95"/>
      <c r="R95"/>
      <c r="S95"/>
      <c r="T95"/>
      <c r="U95"/>
    </row>
    <row r="96" spans="1:21" s="62" customFormat="1" x14ac:dyDescent="0.2">
      <c r="B96" s="142" t="s">
        <v>602</v>
      </c>
      <c r="C96" s="142"/>
      <c r="D96" s="64"/>
      <c r="I96" s="33"/>
      <c r="J96"/>
      <c r="K96" s="33"/>
      <c r="L96" s="33"/>
      <c r="M96" s="33"/>
      <c r="N96" s="68"/>
    </row>
    <row r="97" spans="2:14" s="62" customFormat="1" x14ac:dyDescent="0.2">
      <c r="B97" s="142"/>
      <c r="C97" s="142"/>
      <c r="D97" s="65"/>
      <c r="I97"/>
      <c r="J97"/>
      <c r="K97" s="33"/>
      <c r="L97" s="33"/>
      <c r="M97" s="33"/>
      <c r="N97" s="68"/>
    </row>
    <row r="98" spans="2:14" s="62" customFormat="1" x14ac:dyDescent="0.2">
      <c r="B98" s="142" t="s">
        <v>603</v>
      </c>
      <c r="C98" s="142"/>
      <c r="D98" s="66">
        <v>5.3909824923278027</v>
      </c>
      <c r="I98"/>
      <c r="J98"/>
      <c r="K98" s="33"/>
      <c r="L98" s="33"/>
      <c r="M98" s="33"/>
      <c r="N98" s="68"/>
    </row>
    <row r="99" spans="2:14" s="62" customFormat="1" x14ac:dyDescent="0.2">
      <c r="B99" s="142"/>
      <c r="C99" s="142"/>
      <c r="D99" s="65"/>
      <c r="I99"/>
      <c r="J99"/>
      <c r="K99" s="33"/>
      <c r="L99" s="33"/>
      <c r="M99" s="33"/>
      <c r="N99" s="68"/>
    </row>
    <row r="100" spans="2:14" s="62" customFormat="1" x14ac:dyDescent="0.2">
      <c r="B100" s="142" t="s">
        <v>713</v>
      </c>
      <c r="C100" s="142"/>
      <c r="D100" s="74">
        <v>3</v>
      </c>
      <c r="I100"/>
      <c r="J100"/>
      <c r="K100" s="33"/>
      <c r="L100" s="33"/>
      <c r="M100" s="33"/>
      <c r="N100" s="68"/>
    </row>
    <row r="101" spans="2:14" s="62" customFormat="1" x14ac:dyDescent="0.2">
      <c r="B101" s="142" t="s">
        <v>714</v>
      </c>
      <c r="C101" s="142"/>
      <c r="D101" s="74">
        <v>3</v>
      </c>
      <c r="I101"/>
      <c r="J101"/>
      <c r="K101" s="33"/>
      <c r="L101" s="33"/>
      <c r="M101" s="33"/>
      <c r="N101" s="68"/>
    </row>
    <row r="102" spans="2:14" s="62" customFormat="1" x14ac:dyDescent="0.2">
      <c r="B102" s="142"/>
      <c r="C102" s="142"/>
      <c r="D102" s="65"/>
      <c r="I102"/>
      <c r="J102"/>
      <c r="K102" s="33"/>
      <c r="L102" s="33"/>
      <c r="M102" s="33"/>
      <c r="N102" s="68"/>
    </row>
    <row r="103" spans="2:14" s="62" customFormat="1" x14ac:dyDescent="0.2">
      <c r="B103" s="142" t="s">
        <v>606</v>
      </c>
      <c r="C103" s="142"/>
      <c r="D103" s="67" t="s">
        <v>716</v>
      </c>
      <c r="I103"/>
      <c r="J103"/>
      <c r="K103" s="33"/>
      <c r="L103" s="33"/>
      <c r="M103" s="33"/>
      <c r="N103" s="68"/>
    </row>
    <row r="104" spans="2:14" s="62" customFormat="1" x14ac:dyDescent="0.2">
      <c r="B104" s="155" t="s">
        <v>607</v>
      </c>
      <c r="C104" s="157"/>
      <c r="D104" s="156"/>
      <c r="I104"/>
      <c r="J104"/>
      <c r="K104" s="33"/>
      <c r="L104" s="33"/>
      <c r="M104" s="33"/>
      <c r="N104" s="68"/>
    </row>
    <row r="105" spans="2:14" x14ac:dyDescent="0.2">
      <c r="H105" s="75"/>
    </row>
    <row r="106" spans="2:14" x14ac:dyDescent="0.2">
      <c r="B106" s="70" t="s">
        <v>608</v>
      </c>
    </row>
    <row r="108" spans="2:14" ht="153.75" customHeight="1" x14ac:dyDescent="0.2"/>
    <row r="111" spans="2:14" x14ac:dyDescent="0.2">
      <c r="B111" s="70" t="s">
        <v>609</v>
      </c>
      <c r="C111" s="71"/>
      <c r="D111" s="70"/>
    </row>
    <row r="112" spans="2:14" x14ac:dyDescent="0.2">
      <c r="B112" s="70" t="s">
        <v>715</v>
      </c>
      <c r="D112" s="70"/>
    </row>
    <row r="115" spans="10:10" x14ac:dyDescent="0.2">
      <c r="J115" s="14"/>
    </row>
    <row r="129" customFormat="1" x14ac:dyDescent="0.2"/>
    <row r="130" customFormat="1" x14ac:dyDescent="0.2"/>
    <row r="131" customFormat="1" x14ac:dyDescent="0.2"/>
    <row r="132" customFormat="1" x14ac:dyDescent="0.2"/>
    <row r="133" customFormat="1" x14ac:dyDescent="0.2"/>
    <row r="134" customFormat="1" x14ac:dyDescent="0.2"/>
  </sheetData>
  <mergeCells count="25">
    <mergeCell ref="B102:C102"/>
    <mergeCell ref="B103:C103"/>
    <mergeCell ref="B104:D104"/>
    <mergeCell ref="B97:C97"/>
    <mergeCell ref="B98:C98"/>
    <mergeCell ref="B99:C99"/>
    <mergeCell ref="B100:C100"/>
    <mergeCell ref="B101:C101"/>
    <mergeCell ref="A1:H1"/>
    <mergeCell ref="A2:H2"/>
    <mergeCell ref="A3:H3"/>
    <mergeCell ref="B73:H73"/>
    <mergeCell ref="B74:H74"/>
    <mergeCell ref="B75:H75"/>
    <mergeCell ref="B77:D77"/>
    <mergeCell ref="B78:C78"/>
    <mergeCell ref="B79:C79"/>
    <mergeCell ref="B80:C80"/>
    <mergeCell ref="B95:C95"/>
    <mergeCell ref="B96:C96"/>
    <mergeCell ref="B90:C90"/>
    <mergeCell ref="B91:C91"/>
    <mergeCell ref="B88:C88"/>
    <mergeCell ref="B92:C92"/>
    <mergeCell ref="B94:D94"/>
  </mergeCells>
  <hyperlinks>
    <hyperlink ref="I1" location="Index!B2" display="Index" xr:uid="{C817946B-34B6-4D0B-B619-6705BD7D4A0C}"/>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Thiruselvan V - Sundaram Mutual</cp:lastModifiedBy>
  <dcterms:created xsi:type="dcterms:W3CDTF">2025-08-18T10:14:51Z</dcterms:created>
  <dcterms:modified xsi:type="dcterms:W3CDTF">2025-08-19T09:23:48Z</dcterms:modified>
</cp:coreProperties>
</file>