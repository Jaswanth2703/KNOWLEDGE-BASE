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06a. 30 June 2023\"/>
    </mc:Choice>
  </mc:AlternateContent>
  <xr:revisionPtr revIDLastSave="0" documentId="13_ncr:1_{97FE97AC-6D7C-4126-A1DC-13D375D42A8B}" xr6:coauthVersionLast="47" xr6:coauthVersionMax="47" xr10:uidLastSave="{00000000-0000-0000-0000-000000000000}"/>
  <bookViews>
    <workbookView xWindow="-120" yWindow="-120" windowWidth="19440" windowHeight="15000" tabRatio="82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6" l="1"/>
  <c r="G75" i="8"/>
</calcChain>
</file>

<file path=xl/sharedStrings.xml><?xml version="1.0" encoding="utf-8"?>
<sst xmlns="http://schemas.openxmlformats.org/spreadsheetml/2006/main" count="2448" uniqueCount="613">
  <si>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</si>
  <si>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</si>
  <si>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</si>
  <si>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</si>
  <si>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</si>
  <si>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</si>
  <si>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</si>
  <si>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</si>
  <si>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</si>
  <si>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</si>
  <si>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</si>
  <si>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</si>
  <si>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</si>
  <si>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</si>
  <si>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</si>
  <si>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</si>
  <si>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</si>
  <si>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</si>
  <si>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</si>
  <si>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</si>
  <si>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</si>
  <si>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</si>
  <si>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</si>
  <si>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</si>
  <si>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</si>
  <si>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</si>
  <si>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</si>
  <si>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</si>
  <si>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</si>
  <si>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</si>
  <si>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</si>
  <si>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</si>
  <si>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</si>
  <si>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</si>
  <si>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</si>
  <si>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</si>
  <si>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INE020B08CI2</t>
  </si>
  <si>
    <t>REC LTD - 7.89% - 30/03/2030**</t>
  </si>
  <si>
    <t>INE557F08FS6</t>
  </si>
  <si>
    <t>National Housing Bank  - 7.4% - 16/07/2026</t>
  </si>
  <si>
    <t>INE261F08EB4</t>
  </si>
  <si>
    <t>National Bank for Agricultural &amp; Rural Development - 7.49% - 15/10/2026</t>
  </si>
  <si>
    <t>INE020B08EK4</t>
  </si>
  <si>
    <t>REC LTD - 7.46% - 30/06/2028</t>
  </si>
  <si>
    <t>INE238A08401</t>
  </si>
  <si>
    <t>Axis Bank Ltd - 7.6% - 20/10/2023</t>
  </si>
  <si>
    <t>ICRA AAA</t>
  </si>
  <si>
    <t>INE001A08387</t>
  </si>
  <si>
    <t>Housing Development Finance Corporation Ltd - 7.79% - 04/03/2025**</t>
  </si>
  <si>
    <t>INE296A07RG4</t>
  </si>
  <si>
    <t>INE001A08411</t>
  </si>
  <si>
    <t>Housing Development Finance Corporation Ltd - 7.65% - 25/05/2033**</t>
  </si>
  <si>
    <t>INE094A08085</t>
  </si>
  <si>
    <t>Hindustan Petroleum Corporation Ltd - 4.79% - 23/10/2023**</t>
  </si>
  <si>
    <t>INE134E08LP1</t>
  </si>
  <si>
    <t>Power Finance Corporation Ltd - 7.13% - 15/07/2026**</t>
  </si>
  <si>
    <t>INE001A08395</t>
  </si>
  <si>
    <t>Housing Development Finance Corporation Ltd - 7.8% - 03/05/2033</t>
  </si>
  <si>
    <t>INE514E08CT5</t>
  </si>
  <si>
    <t>Export Import Bank of India - 9.4% - 14/08/2023**</t>
  </si>
  <si>
    <t>INE848E07831</t>
  </si>
  <si>
    <t>NHPC Ltd - 8.5% - 14/07/2023**</t>
  </si>
  <si>
    <t>CARE AAA</t>
  </si>
  <si>
    <t>INE752E07HL9</t>
  </si>
  <si>
    <t>Power Grid Corporation of India Ltd - 8.64% - 08/07/2023**</t>
  </si>
  <si>
    <t>INE020B08EL2</t>
  </si>
  <si>
    <t>REC LTD - 7.44% - 30/04/2026</t>
  </si>
  <si>
    <t>INE041007100</t>
  </si>
  <si>
    <t>Embassy Office Parks REIT - 7.77% - 05/06/2025**</t>
  </si>
  <si>
    <t>INE556F08KI9</t>
  </si>
  <si>
    <t>Small Industries Development Bank of India - 7.44% - 04/09/2026</t>
  </si>
  <si>
    <t>INE752E07JJ9</t>
  </si>
  <si>
    <t>Power Grid Corporation of India Ltd - 9.25% - 26/12/2023**</t>
  </si>
  <si>
    <t>INE053F08320</t>
  </si>
  <si>
    <t>Indian Railway Finance Corporation Ltd - 7.45% - 13/10/2028</t>
  </si>
  <si>
    <t>INE001A08429</t>
  </si>
  <si>
    <t>Housing Development Finance Corporation Ltd - 7.8% - 02/06/2025**</t>
  </si>
  <si>
    <t>(b) Privately Placed / Unlisted</t>
  </si>
  <si>
    <t>(c) Govt Security</t>
  </si>
  <si>
    <t>IN0020230010</t>
  </si>
  <si>
    <t>7.06% Central Government Securities 10/04/2028</t>
  </si>
  <si>
    <t>Sovereign</t>
  </si>
  <si>
    <t>IN0020220037</t>
  </si>
  <si>
    <t>7.38% Central Government Securities 20/06/2027</t>
  </si>
  <si>
    <t>IN0020220151</t>
  </si>
  <si>
    <t>7.26% Central Government Securities 06/02/2033</t>
  </si>
  <si>
    <t>IN2220130099</t>
  </si>
  <si>
    <t>9.25% Maharashtra State Development Loan 09/10/2023</t>
  </si>
  <si>
    <t>IN2220130057</t>
  </si>
  <si>
    <t>9.60% Maharashtra State Development Loan 14/08/2023</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</si>
  <si>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</si>
  <si>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</si>
  <si>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</si>
  <si>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</si>
  <si>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</si>
  <si>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</si>
  <si>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</si>
  <si>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</si>
  <si>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</si>
  <si>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</si>
  <si>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</si>
  <si>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</si>
  <si>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</si>
  <si>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</si>
  <si>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</si>
  <si>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</si>
  <si>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</si>
  <si>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</si>
  <si>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</si>
  <si>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</si>
  <si>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</si>
  <si>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</si>
  <si>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</si>
  <si>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</si>
  <si>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</si>
  <si>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</si>
  <si>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</si>
  <si>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30/06/2023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</si>
  <si>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</si>
  <si>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</si>
  <si>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</si>
  <si>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</si>
  <si>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</si>
  <si>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</si>
  <si>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</si>
  <si>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</si>
  <si>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</si>
  <si>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</si>
  <si>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INE001A07RV7</t>
  </si>
  <si>
    <t>Housing Development Finance Corporation Ltd - 7.99% - 11/07/2024**</t>
  </si>
  <si>
    <t>INE020B08EA5</t>
  </si>
  <si>
    <t>REC LTD - 7.55% - 31/03/2028**</t>
  </si>
  <si>
    <t>INE242A08544</t>
  </si>
  <si>
    <t>Indian Oil Corporation Ltd - 7.44% - 25/11/2027**</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</si>
  <si>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</si>
  <si>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</si>
  <si>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</si>
  <si>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</si>
  <si>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</si>
  <si>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</si>
  <si>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</si>
  <si>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</si>
  <si>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</si>
  <si>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</si>
  <si>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</si>
  <si>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</si>
  <si>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</si>
  <si>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</si>
  <si>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</si>
  <si>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</si>
  <si>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INE115A07QC7</t>
  </si>
  <si>
    <t>LIC Housing Finance Ltd - 7.8% - 22/12/2027</t>
  </si>
  <si>
    <t>INE178A08037</t>
  </si>
  <si>
    <t>Chennai Petroleum Corporation Ltd - 5.44% - 24/06/2024**</t>
  </si>
  <si>
    <t>INE556F08KE8</t>
  </si>
  <si>
    <t>Small Industries Development Bank of India - 7.47% - 25/11/2025**</t>
  </si>
  <si>
    <t>IN0020210186</t>
  </si>
  <si>
    <t>5.74% Central Government Securities 15/11/2026</t>
  </si>
  <si>
    <t>INE062A16465</t>
  </si>
  <si>
    <t>State Bank of India - 12/09/2023</t>
  </si>
  <si>
    <t>IND A1+</t>
  </si>
  <si>
    <t>Direct Plan - Bonus</t>
  </si>
  <si>
    <t>Retail Plan - Growth</t>
  </si>
  <si>
    <t>Regular Plan - Bonus</t>
  </si>
  <si>
    <t>Sundaram Money Market Fund</t>
  </si>
  <si>
    <t>INE692A16FT3</t>
  </si>
  <si>
    <t>ICRA A1+</t>
  </si>
  <si>
    <t>INE238AD6306</t>
  </si>
  <si>
    <t>Axis Bank Ltd - 19/01/2024**</t>
  </si>
  <si>
    <t>CRISIL A1+</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</si>
  <si>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</si>
  <si>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</si>
  <si>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</si>
  <si>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</si>
  <si>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</si>
  <si>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</si>
  <si>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</si>
  <si>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</si>
  <si>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</si>
  <si>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</si>
  <si>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INE001A14A04</t>
  </si>
  <si>
    <t>Housing Development Finance Corporation Ltd - 25/01/2024</t>
  </si>
  <si>
    <t>INE763G14PZ0</t>
  </si>
  <si>
    <t>IN002022Z499</t>
  </si>
  <si>
    <t>364 Days - T Bill - 07/03/2024</t>
  </si>
  <si>
    <t>IN002022Z515</t>
  </si>
  <si>
    <t>364 Days - T Bill - 22/03/2024</t>
  </si>
  <si>
    <t>Sundaram Low Duration Fund</t>
  </si>
  <si>
    <t>INE115A07OZ3</t>
  </si>
  <si>
    <t>LIC Housing Finance Ltd - 4.96% - 14/09/2023</t>
  </si>
  <si>
    <t>INE121A07PN4</t>
  </si>
  <si>
    <t>Cholamandalam Investment and Finance Company Ltd - 7.38% - 31/07/2024**</t>
  </si>
  <si>
    <t>ICRA AA+</t>
  </si>
  <si>
    <t>INE557F08FO5</t>
  </si>
  <si>
    <t>National Housing Bank  - 7.79% - 09/03/2026**</t>
  </si>
  <si>
    <t>INE516Y07444</t>
  </si>
  <si>
    <t>Piramal Capital &amp; Housing Finance Ltd - 6.75% - 26/09/2031**</t>
  </si>
  <si>
    <t>ICRA AA</t>
  </si>
  <si>
    <t>INE071G07587</t>
  </si>
  <si>
    <t>ICICI Home Finance Company Ltd - 8% - 28/06/2024**</t>
  </si>
  <si>
    <t>INE001A07TS9</t>
  </si>
  <si>
    <t>Housing Development Finance Corporation Ltd - 7.7% - 18/11/2025</t>
  </si>
  <si>
    <t>IN0020200112</t>
  </si>
  <si>
    <t>5.22% Central Government Securities 15/06/2025</t>
  </si>
  <si>
    <t>INE238AD6199</t>
  </si>
  <si>
    <t>Axis Bank Ltd - 01/12/2023**</t>
  </si>
  <si>
    <t>INE562A16LN9</t>
  </si>
  <si>
    <t>Indian Bank - 05/03/2024**</t>
  </si>
  <si>
    <t>INE457A16JQ9</t>
  </si>
  <si>
    <t>INE514E16CE0</t>
  </si>
  <si>
    <t>Export Import Bank of India - 14/03/2024**</t>
  </si>
  <si>
    <t>INE090A169Y6</t>
  </si>
  <si>
    <t>ICICI Bank Ltd - 17/11/2023**</t>
  </si>
  <si>
    <t>INE237A165R2</t>
  </si>
  <si>
    <t>INE012I14OI7</t>
  </si>
  <si>
    <t>JM Financial Services Ltd - 30/08/2023**</t>
  </si>
  <si>
    <t>INE128M14472</t>
  </si>
  <si>
    <t>L &amp; T Metro Rail (Hyderabad) Limited - 19/07/2023**</t>
  </si>
  <si>
    <t>INE556F14JF5</t>
  </si>
  <si>
    <t>Small Industries Development Bank of India - 20/11/2023**</t>
  </si>
  <si>
    <t>INE001A14ZT0</t>
  </si>
  <si>
    <t>Housing Development Finance Corporation Ltd - 23/11/2023</t>
  </si>
  <si>
    <t>INE338I14EY4</t>
  </si>
  <si>
    <t>INE001A14A61</t>
  </si>
  <si>
    <t>Housing Development Finance Corporation Ltd - 19/03/2024**</t>
  </si>
  <si>
    <t>INE414G14SY7</t>
  </si>
  <si>
    <t>Muthoot Finance Ltd - 04/06/2024**</t>
  </si>
  <si>
    <t>INE725H14BC6</t>
  </si>
  <si>
    <t>Tata Projects Ltd - 27/10/2023**</t>
  </si>
  <si>
    <t>IN002022Y492</t>
  </si>
  <si>
    <t>182 Days - T Bill - 31/08/2023</t>
  </si>
  <si>
    <t>IN002022Y526</t>
  </si>
  <si>
    <t>182 Days - T Bill - 22/09/2023</t>
  </si>
  <si>
    <t>IN002023Y078</t>
  </si>
  <si>
    <t>Sundaram Liquid Fund</t>
  </si>
  <si>
    <t>INE476A16VP6</t>
  </si>
  <si>
    <t>Canara Bank - 29/08/2023**</t>
  </si>
  <si>
    <t>INE476A16VS0</t>
  </si>
  <si>
    <t>Canara Bank - 13/09/2023**</t>
  </si>
  <si>
    <t>INE238AD6439</t>
  </si>
  <si>
    <t>Axis Bank Ltd - 18/09/2023**</t>
  </si>
  <si>
    <t>INE457A16IZ2</t>
  </si>
  <si>
    <t>INE514E16CC4</t>
  </si>
  <si>
    <t>Export Import Bank of India - 17/08/2023**</t>
  </si>
  <si>
    <t>INE562A16LV2</t>
  </si>
  <si>
    <t>Indian Bank - 01/09/2023**</t>
  </si>
  <si>
    <t>INE562A16LX8</t>
  </si>
  <si>
    <t>Indian Bank - 13/09/2023**</t>
  </si>
  <si>
    <t>INE160A16NF4</t>
  </si>
  <si>
    <t>Punjab National Bank - 09/08/2023**</t>
  </si>
  <si>
    <t>INE040A16DJ1</t>
  </si>
  <si>
    <t>HDFC Bank Ltd - 11/08/2023**</t>
  </si>
  <si>
    <t>INE160A16NJ6</t>
  </si>
  <si>
    <t>Punjab National Bank - 17/08/2023**</t>
  </si>
  <si>
    <t>INE092T16ST9</t>
  </si>
  <si>
    <t>INE457A16JB1</t>
  </si>
  <si>
    <t>INE476A16VK7</t>
  </si>
  <si>
    <t>Canara Bank - 07/08/2023**</t>
  </si>
  <si>
    <t>INE028A16CT7</t>
  </si>
  <si>
    <t>Bank of Baroda - 17/08/2023**</t>
  </si>
  <si>
    <t>INE171A16KH3</t>
  </si>
  <si>
    <t>The Federal Bank  Ltd - 13/09/2023**</t>
  </si>
  <si>
    <t>INE071G14ER9</t>
  </si>
  <si>
    <t>ICICI Home Finance Company Ltd - 18/08/2023**</t>
  </si>
  <si>
    <t>INE556F14JH1</t>
  </si>
  <si>
    <t>Small Industries Development Bank of India - 08/09/2023**</t>
  </si>
  <si>
    <t>INE245A14IG6</t>
  </si>
  <si>
    <t>TATA Power Company Ltd - 22/08/2023**</t>
  </si>
  <si>
    <t>INE261F14KB9</t>
  </si>
  <si>
    <t>National Bank for Agricultural &amp; Rural Development - 12/09/2023**</t>
  </si>
  <si>
    <t>INE514E14RB9</t>
  </si>
  <si>
    <t>Export Import Bank of India - 07/09/2023**</t>
  </si>
  <si>
    <t>INE929O14AN9</t>
  </si>
  <si>
    <t>Reliance Retail Ltd - 06/09/2023**</t>
  </si>
  <si>
    <t>INE296A14VB3</t>
  </si>
  <si>
    <t>INE929O14AO7</t>
  </si>
  <si>
    <t>Reliance Retail Ltd - 11/09/2023**</t>
  </si>
  <si>
    <t>INE018A14JR2</t>
  </si>
  <si>
    <t>Larsen &amp; Toubro Ltd - 12/09/2023**</t>
  </si>
  <si>
    <t>INE865C14JJ9</t>
  </si>
  <si>
    <t>INE071G14EU3</t>
  </si>
  <si>
    <t>ICICI Home Finance Company Ltd - 20/09/2023**</t>
  </si>
  <si>
    <t>INE790I14DC4</t>
  </si>
  <si>
    <t>HSBC InvestDirect Financial Services India Limited - 21/09/2023**</t>
  </si>
  <si>
    <t>INE144H14FO6</t>
  </si>
  <si>
    <t>Deutsche Investments India Private Ltd - 15/09/2023**</t>
  </si>
  <si>
    <t>INE338I14ES6</t>
  </si>
  <si>
    <t>INE556F14JD0</t>
  </si>
  <si>
    <t>Small Industries Development Bank of India - 14/08/2023</t>
  </si>
  <si>
    <t>INE261F14JY3</t>
  </si>
  <si>
    <t>National Bank for Agricultural &amp; Rural Development - 21/08/2023**</t>
  </si>
  <si>
    <t>INE09OL14DJ6</t>
  </si>
  <si>
    <t>Birla Group Holdings Pvt Ltd - 28/08/2023**</t>
  </si>
  <si>
    <t>INE886H14IL2</t>
  </si>
  <si>
    <t>TV18 Broadcast Ltd. - 04/09/2023**</t>
  </si>
  <si>
    <t>INE870H14QJ3</t>
  </si>
  <si>
    <t>Network 18 Media And Investments Ltd - 04/09/2023**</t>
  </si>
  <si>
    <t>INE556F14JG3</t>
  </si>
  <si>
    <t>Small Industries Development Bank of India - 05/09/2023**</t>
  </si>
  <si>
    <t>INE211H14625</t>
  </si>
  <si>
    <t>Sharekhan Ltd - 05/09/2023**</t>
  </si>
  <si>
    <t>INE472A14NE1</t>
  </si>
  <si>
    <t>Blue Star Ltd - 13/09/2023**</t>
  </si>
  <si>
    <t>INE556F14JI9</t>
  </si>
  <si>
    <t>Small Industries Development Bank of India - 15/09/2023**</t>
  </si>
  <si>
    <t>INE403G14RC8</t>
  </si>
  <si>
    <t>Standard Chartered Capital Ltd - 12/09/2023**</t>
  </si>
  <si>
    <t>INE763G14QD5</t>
  </si>
  <si>
    <t>INE09OL14DN8</t>
  </si>
  <si>
    <t>Birla Group Holdings Pvt Ltd - 20/09/2023**</t>
  </si>
  <si>
    <t>INE144H14FP3</t>
  </si>
  <si>
    <t>Deutsche Investments India Private Ltd - 13/07/2023**</t>
  </si>
  <si>
    <t>INE012I14OO5</t>
  </si>
  <si>
    <t>JM Financial Services Ltd - 18/07/2023**</t>
  </si>
  <si>
    <t>INE403G14QR8</t>
  </si>
  <si>
    <t>Standard Chartered Capital Ltd - 20/07/2023**</t>
  </si>
  <si>
    <t>INE338I14EO5</t>
  </si>
  <si>
    <t>IN002023X054</t>
  </si>
  <si>
    <t>IN002022Y435</t>
  </si>
  <si>
    <t>182 Days - T Bill - 20/07/2023</t>
  </si>
  <si>
    <t>IN002022Y443</t>
  </si>
  <si>
    <t>182 Days - T Bill - 28/07/2023</t>
  </si>
  <si>
    <t>IN002022Y450</t>
  </si>
  <si>
    <t>IN002023X039</t>
  </si>
  <si>
    <t>IN002022Y468</t>
  </si>
  <si>
    <t>IN002022Z176</t>
  </si>
  <si>
    <t>Sundaram Short Duration Fund</t>
  </si>
  <si>
    <t>INE020B08EG2</t>
  </si>
  <si>
    <t>REC LTD - 7.69% - 31/03/2033**</t>
  </si>
  <si>
    <t>INE001A07TV3</t>
  </si>
  <si>
    <t>Housing Development Finance Corporation Ltd - 7.97% - 17/02/2033</t>
  </si>
  <si>
    <t>INE134E08MJ2</t>
  </si>
  <si>
    <t>Power Finance Corporation Ltd - 7.77% - 15/04/2028**</t>
  </si>
  <si>
    <t>INE018A08BE9</t>
  </si>
  <si>
    <t>Larsen &amp; Toubro Ltd - 7.725% - 28/04/2028**</t>
  </si>
  <si>
    <t>INE090A08TU6</t>
  </si>
  <si>
    <t>ICICI Bank Ltd - 7.6% - 07/10/2023**</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</si>
  <si>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</si>
  <si>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</si>
  <si>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</si>
  <si>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</si>
  <si>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</si>
  <si>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</si>
  <si>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</si>
  <si>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</si>
  <si>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</si>
  <si>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</si>
  <si>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IN0020210160</t>
  </si>
  <si>
    <t>IN2220150022</t>
  </si>
  <si>
    <t>8.14% Maharashtra State Development Loan 27/05/2025</t>
  </si>
  <si>
    <t>Sundaram Ultra Short Duration Fund</t>
  </si>
  <si>
    <t>INE121A07RB5</t>
  </si>
  <si>
    <t>Cholamandalam Investment and Finance Company Ltd - 8.25% - 04/03/2025**</t>
  </si>
  <si>
    <t>INE476A16UN3</t>
  </si>
  <si>
    <t>Canara Bank - 04/12/2023**</t>
  </si>
  <si>
    <t>INE476A16TV8</t>
  </si>
  <si>
    <t>Canara Bank - 18/08/2023</t>
  </si>
  <si>
    <t>INE476A16TW6</t>
  </si>
  <si>
    <t>Canara Bank - 23/08/2023</t>
  </si>
  <si>
    <t>INE028A16CY7</t>
  </si>
  <si>
    <t>Bank of Baroda - 15/11/2023**</t>
  </si>
  <si>
    <t>INE238AD6140</t>
  </si>
  <si>
    <t>Axis Bank Ltd - 15/11/2023**</t>
  </si>
  <si>
    <t>INE692A16FY3</t>
  </si>
  <si>
    <t>INE261F16702</t>
  </si>
  <si>
    <t>National Bank for Agricultural &amp; Rural Development - 08/03/2024**</t>
  </si>
  <si>
    <t>INE062A16481</t>
  </si>
  <si>
    <t>State Bank of India - 15/03/2024</t>
  </si>
  <si>
    <t>INE261F16710</t>
  </si>
  <si>
    <t>National Bank for Agricultural &amp; Rural Development - 13/03/2024**</t>
  </si>
  <si>
    <t>INE238AD6413</t>
  </si>
  <si>
    <t>Axis Bank Ltd - 17/05/2024**</t>
  </si>
  <si>
    <t>INE556F16AJ1</t>
  </si>
  <si>
    <t>Small Industries Development Bank of India - 29/05/2024**</t>
  </si>
  <si>
    <t>INE556F16AK9</t>
  </si>
  <si>
    <t>Small Industries Development Bank of India - 06/06/2024</t>
  </si>
  <si>
    <t>INE523H140L4</t>
  </si>
  <si>
    <t>JM Financial Products Ltd - 15/12/2023**</t>
  </si>
  <si>
    <t>INE403G14RD6</t>
  </si>
  <si>
    <t>Standard Chartered Capital Ltd - 16/02/2024**</t>
  </si>
  <si>
    <t>INE514E14QX5</t>
  </si>
  <si>
    <t>Export Import Bank of India - 21/03/2024**</t>
  </si>
  <si>
    <t>INE001A14B52</t>
  </si>
  <si>
    <t>Housing Development Finance Corporation Ltd - 24/05/2024**</t>
  </si>
  <si>
    <t>INE414G14SW1</t>
  </si>
  <si>
    <t>Muthoot Finance Ltd - 15/05/2024**</t>
  </si>
  <si>
    <t>IN002022Y534</t>
  </si>
  <si>
    <t>182 Days - T Bill - 29/09/2023</t>
  </si>
  <si>
    <t>IN002022Z218</t>
  </si>
  <si>
    <t>364 Days - T Bill - 24/08/2023</t>
  </si>
  <si>
    <t>Sundaram Medium Term Bond Fund</t>
  </si>
  <si>
    <t>IN0020220060</t>
  </si>
  <si>
    <t xml:space="preserve">7.26% Central Government Securities 22/08/2032 </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</si>
  <si>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</si>
  <si>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</si>
  <si>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</si>
  <si>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</si>
  <si>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</si>
  <si>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</si>
  <si>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</si>
  <si>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</si>
  <si>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</si>
  <si>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</si>
  <si>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</si>
  <si>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</si>
  <si>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</si>
  <si>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</si>
  <si>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</si>
  <si>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</si>
  <si>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</si>
  <si>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INE200M01021</t>
  </si>
  <si>
    <t>Varun Beverages Ltd</t>
  </si>
  <si>
    <t>Beverages</t>
  </si>
  <si>
    <t>INE179A01014</t>
  </si>
  <si>
    <t>Procter &amp; Gamble Hygiene and Health Care Ltd</t>
  </si>
  <si>
    <t>Personal Products</t>
  </si>
  <si>
    <t>INE044A01036</t>
  </si>
  <si>
    <t>Sun Pharmaceutical Industries Ltd</t>
  </si>
  <si>
    <t>Pharmaceuticals &amp; Biotechnology</t>
  </si>
  <si>
    <t>INE397D01024</t>
  </si>
  <si>
    <t>Bharti Airtel Ltd</t>
  </si>
  <si>
    <t>Telecom - Services</t>
  </si>
  <si>
    <t>INE009A01021</t>
  </si>
  <si>
    <t>Infosys Ltd</t>
  </si>
  <si>
    <t>It - Software</t>
  </si>
  <si>
    <t>INE006I01046</t>
  </si>
  <si>
    <t>Astral Ltd</t>
  </si>
  <si>
    <t>Industrial Products</t>
  </si>
  <si>
    <t>INE062A01020</t>
  </si>
  <si>
    <t>State Bank of India</t>
  </si>
  <si>
    <t>INE860A01027</t>
  </si>
  <si>
    <t>HCL Technologies Ltd</t>
  </si>
  <si>
    <t>INE208A01029</t>
  </si>
  <si>
    <t>Ashok Leyland Ltd</t>
  </si>
  <si>
    <t>Agricultural, Commercial &amp; Construction Vehicles</t>
  </si>
  <si>
    <t>INE603J01030</t>
  </si>
  <si>
    <t>PI Industries Ltd</t>
  </si>
  <si>
    <t>Fertilizers &amp; Agrochemicals</t>
  </si>
  <si>
    <t>INE059A01026</t>
  </si>
  <si>
    <t>Cipla Ltd</t>
  </si>
  <si>
    <t>INE214T01019</t>
  </si>
  <si>
    <t>LTIMindtree Ltd</t>
  </si>
  <si>
    <t>INE854D01024</t>
  </si>
  <si>
    <t>United Spirits Ltd</t>
  </si>
  <si>
    <t>INE481G01011</t>
  </si>
  <si>
    <t>Ultratech Cement Ltd</t>
  </si>
  <si>
    <t>Cement &amp; Cement Products</t>
  </si>
  <si>
    <t>INE203G01027</t>
  </si>
  <si>
    <t>Indraprastha Gas Ltd</t>
  </si>
  <si>
    <t>Gas</t>
  </si>
  <si>
    <t>IN9397D01014</t>
  </si>
  <si>
    <t>Sundaram Overnight Fund</t>
  </si>
  <si>
    <t>IN002023X013</t>
  </si>
  <si>
    <t>IN002022Y427</t>
  </si>
  <si>
    <t>182 Days - T Bill - 13/07/2023</t>
  </si>
  <si>
    <t>IN002022Z143</t>
  </si>
  <si>
    <t>364 Days - T Bill - 06/07/2023</t>
  </si>
  <si>
    <t>IN002023X047</t>
  </si>
  <si>
    <t>S. No.</t>
  </si>
  <si>
    <t>ACRONYM</t>
  </si>
  <si>
    <t>SCHEME NAME</t>
  </si>
  <si>
    <t>SFRLTP</t>
  </si>
  <si>
    <t>SFRSTP</t>
  </si>
  <si>
    <t>SMMF</t>
  </si>
  <si>
    <t>SPLDF</t>
  </si>
  <si>
    <t>SPMON</t>
  </si>
  <si>
    <t>SPSDF</t>
  </si>
  <si>
    <t>SPUSDF</t>
  </si>
  <si>
    <t>SUNBDS</t>
  </si>
  <si>
    <t>SUNMIA</t>
  </si>
  <si>
    <t>SUNONF</t>
  </si>
  <si>
    <t>Bajaj Finance Ltd - 5.7% - 11/08/2023**</t>
  </si>
  <si>
    <t>Bajaj Finance Ltd - 07/09/2023**</t>
  </si>
  <si>
    <t>ICICI Securities Ltd - 20/03/2024**</t>
  </si>
  <si>
    <t>ICICI Securities Ltd - 18/09/2023**</t>
  </si>
  <si>
    <t>Indusind Bank Ltd - 20/02/2024**</t>
  </si>
  <si>
    <t>Kotak Mahindra Bank Ltd - 08/03/2024**</t>
  </si>
  <si>
    <t>Kotak Mahindra Bank Ltd - 27/12/2023</t>
  </si>
  <si>
    <t>Union Bank of India - 10/01/2024**</t>
  </si>
  <si>
    <t>Union Bank of India - 20/02/2024**</t>
  </si>
  <si>
    <t>Motilal Oswal Financial Services Ltd - 04/12/2023**</t>
  </si>
  <si>
    <t>Motilal Oswal Financial Services Ltd - 27/07/2023**</t>
  </si>
  <si>
    <t>Motilal Oswal Financial Services Ltd - 04/09/2023**</t>
  </si>
  <si>
    <t>Bank of Maharashtra - 26/09/2023**</t>
  </si>
  <si>
    <t>Bank of Maharashtra - 14/08/2023**</t>
  </si>
  <si>
    <t>Bank of Maharashtra - 01/09/2023**</t>
  </si>
  <si>
    <t>Aditya Birla Money Ltd - 11/09/2023**</t>
  </si>
  <si>
    <t>IDFC First Bank Ltd - 25/08/2023**</t>
  </si>
  <si>
    <t>182 Days - T Bill - 10/08/2023</t>
  </si>
  <si>
    <t>364 Days - T Bill - 27/07/2023</t>
  </si>
  <si>
    <t>91 Days - T Bill - 20/07/2023</t>
  </si>
  <si>
    <t>91 Days - T Bill - 03/08/2023</t>
  </si>
  <si>
    <t>91 Days - T Bill - 06/07/2023</t>
  </si>
  <si>
    <t>91 Days - T Bill - 27/07/2023</t>
  </si>
  <si>
    <t>182 Days - T Bill - 16/11/2023</t>
  </si>
  <si>
    <t>182 Days - T Bill - 03/08/2023</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</si>
  <si>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</si>
  <si>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</si>
  <si>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Rs.191.70 Lakhs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</si>
  <si>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</si>
  <si>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</si>
  <si>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</si>
  <si>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</si>
  <si>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</si>
  <si>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</si>
  <si>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</si>
  <si>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</si>
  <si>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</si>
  <si>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</si>
  <si>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</si>
  <si>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</si>
  <si>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</si>
  <si>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</si>
  <si>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</si>
  <si>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</si>
  <si>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</si>
  <si>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</si>
  <si>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</si>
  <si>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</si>
  <si>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</si>
  <si>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</si>
  <si>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</si>
  <si>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</si>
  <si>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</si>
  <si>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</si>
  <si>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</si>
  <si>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</si>
  <si>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</si>
  <si>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</si>
  <si>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</si>
  <si>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</si>
  <si>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</si>
  <si>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</si>
  <si>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</si>
  <si>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</si>
  <si>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</si>
  <si>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</si>
  <si>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</si>
  <si>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</si>
  <si>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</si>
  <si>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</si>
  <si>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</si>
  <si>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</si>
  <si>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</si>
  <si>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</si>
  <si>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</si>
  <si>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</si>
  <si>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</si>
  <si>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</si>
  <si>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</si>
  <si>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</si>
  <si>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</si>
  <si>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</si>
  <si>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</si>
  <si>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</si>
  <si>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</si>
  <si>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</si>
  <si>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</si>
  <si>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Macaulay Duration (Day)</t>
  </si>
  <si>
    <t>Residual Maturity (Day)</t>
  </si>
  <si>
    <t>i) Exposure to securities classified as below investment grade or default as on Jun 30, 2023:-</t>
  </si>
  <si>
    <t>h) Exposure to securities classified as below investment grade or default as on Jun 30, 2023:-</t>
  </si>
  <si>
    <t>% to AUM as on 30/06/2023</t>
  </si>
  <si>
    <t>YTM (%)*</t>
  </si>
  <si>
    <t>Refer below point h)</t>
  </si>
  <si>
    <t>Refer below point i)</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</si>
  <si>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</si>
  <si>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7.88% Central Government Securities_Floating Rate Bond - 04/10/2028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</si>
  <si>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</si>
  <si>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</si>
  <si>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</si>
  <si>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</si>
  <si>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</si>
  <si>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</si>
  <si>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</si>
  <si>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</si>
  <si>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</si>
  <si>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</si>
  <si>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</si>
  <si>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</si>
  <si>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</si>
  <si>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</si>
  <si>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</si>
  <si>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</si>
  <si>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</si>
  <si>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</si>
  <si>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</si>
  <si>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</si>
  <si>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</si>
  <si>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Fortnightly Portfolio Statement as on 30 June 2023</t>
  </si>
  <si>
    <t>15/06/2023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</si>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</sst>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_(* #,##0.00_);_(* \(#,##0.00\);_(* &quot;-&quot;??_);_(@_)"/>
    <numFmt numFmtId="173" formatCode="0.0000000000000"/>
  </numFmts>
  <fonts count="25"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rgb="FF000000"/>
      <name val="Calibri"/>
      <family val="2"/>
    </font>
    <font>
      <sz val="10"/>
      <name val="Arial"/>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sz val="10"/>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12" fillId="0" borderId="0" applyNumberFormat="0" applyFill="0" applyBorder="0" applyAlignment="0" applyProtection="0">
      <alignment wrapText="1"/>
    </xf>
    <xf numFmtId="0" fontId="16" fillId="0" borderId="0">
      <alignment wrapText="1"/>
    </xf>
    <xf numFmtId="0" fontId="1" fillId="0" borderId="0"/>
    <xf numFmtId="172" fontId="21" fillId="0" borderId="0" applyFont="0" applyFill="0" applyBorder="0" applyAlignment="0" applyProtection="0"/>
    <xf numFmtId="9" fontId="21" fillId="0" borderId="0" applyFont="0" applyFill="0" applyBorder="0" applyAlignment="0" applyProtection="0"/>
    <xf numFmtId="0" fontId="1" fillId="0" borderId="0"/>
  </cellStyleXfs>
  <cellXfs count="165">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0" fontId="4" fillId="2" borderId="4" xfId="0"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7" fontId="3" fillId="2" borderId="4" xfId="0" applyNumberFormat="1" applyFont="1" applyFill="1" applyBorder="1" applyAlignment="1">
      <alignment horizontal="right" vertical="center" wrapText="1" readingOrder="1"/>
    </xf>
    <xf numFmtId="165" fontId="3" fillId="2" borderId="4" xfId="0" applyNumberFormat="1" applyFont="1" applyFill="1" applyBorder="1" applyAlignment="1">
      <alignment horizontal="right" vertical="center" wrapText="1" readingOrder="1"/>
    </xf>
    <xf numFmtId="164"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69"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0"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1" fontId="4"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3" applyFont="1" applyBorder="1" applyAlignment="1">
      <alignment horizontal="center"/>
    </xf>
    <xf numFmtId="0" fontId="11" fillId="0" borderId="7" xfId="3" applyFont="1" applyBorder="1" applyAlignment="1">
      <alignment horizontal="center" vertical="center"/>
    </xf>
    <xf numFmtId="0" fontId="1" fillId="0" borderId="0" xfId="3"/>
    <xf numFmtId="0" fontId="1" fillId="0" borderId="7" xfId="3" applyBorder="1" applyAlignment="1">
      <alignment horizontal="center"/>
    </xf>
    <xf numFmtId="0" fontId="13" fillId="0" borderId="7" xfId="4" applyFont="1" applyBorder="1" applyAlignment="1">
      <alignment vertical="center"/>
    </xf>
    <xf numFmtId="0" fontId="14" fillId="0" borderId="7" xfId="3" applyFont="1" applyBorder="1" applyAlignment="1">
      <alignment vertical="top"/>
    </xf>
    <xf numFmtId="0" fontId="16" fillId="0" borderId="0" xfId="5">
      <alignment wrapText="1"/>
    </xf>
    <xf numFmtId="0" fontId="18" fillId="0" borderId="7" xfId="0" applyFont="1" applyBorder="1" applyAlignment="1">
      <alignment horizontal="justify" vertical="center"/>
    </xf>
    <xf numFmtId="0" fontId="18" fillId="0" borderId="7" xfId="0" applyFont="1" applyBorder="1">
      <alignment wrapText="1"/>
    </xf>
    <xf numFmtId="0" fontId="18" fillId="0" borderId="7" xfId="0" applyFont="1" applyBorder="1" applyAlignment="1">
      <alignment horizontal="justify" vertical="center" wrapText="1"/>
    </xf>
    <xf numFmtId="14" fontId="18" fillId="0" borderId="7" xfId="0" applyNumberFormat="1" applyFont="1" applyBorder="1" applyAlignment="1">
      <alignment horizontal="justify" vertical="center" wrapText="1"/>
    </xf>
    <xf numFmtId="0" fontId="17" fillId="2" borderId="0" xfId="0" applyFont="1" applyFill="1" applyAlignment="1">
      <alignment vertical="top" readingOrder="1"/>
    </xf>
    <xf numFmtId="0" fontId="17" fillId="2" borderId="0" xfId="0" applyFont="1" applyFill="1" applyAlignment="1">
      <alignment horizontal="left" vertical="top" readingOrder="1"/>
    </xf>
    <xf numFmtId="0" fontId="19" fillId="0" borderId="0" xfId="0" applyFont="1">
      <alignment wrapText="1"/>
    </xf>
    <xf numFmtId="0" fontId="19" fillId="0" borderId="7" xfId="0" applyFont="1" applyBorder="1">
      <alignment wrapText="1"/>
    </xf>
    <xf numFmtId="0" fontId="18" fillId="0" borderId="0" xfId="0" applyFont="1" applyAlignment="1"/>
    <xf numFmtId="0" fontId="18" fillId="0" borderId="7" xfId="0" applyFont="1" applyBorder="1" applyAlignment="1"/>
    <xf numFmtId="43" fontId="18" fillId="0" borderId="7" xfId="1" applyFont="1" applyBorder="1" applyAlignment="1"/>
    <xf numFmtId="43" fontId="20" fillId="0" borderId="7" xfId="1" applyFont="1" applyBorder="1"/>
    <xf numFmtId="4" fontId="18" fillId="0" borderId="7" xfId="0" applyNumberFormat="1" applyFont="1" applyBorder="1" applyAlignment="1"/>
    <xf numFmtId="0" fontId="19" fillId="0" borderId="7" xfId="6" applyFont="1" applyBorder="1" applyAlignment="1">
      <alignment horizontal="center"/>
    </xf>
    <xf numFmtId="0" fontId="20" fillId="0" borderId="7" xfId="6" applyFont="1" applyBorder="1"/>
    <xf numFmtId="0" fontId="20" fillId="0" borderId="7" xfId="6" applyFont="1" applyBorder="1" applyAlignment="1">
      <alignment wrapText="1"/>
    </xf>
    <xf numFmtId="0" fontId="19" fillId="0" borderId="7" xfId="6" applyFont="1" applyBorder="1" applyAlignment="1">
      <alignment horizontal="center" vertical="center" wrapText="1"/>
    </xf>
    <xf numFmtId="4" fontId="20" fillId="0" borderId="7" xfId="6" applyNumberFormat="1" applyFont="1" applyBorder="1"/>
    <xf numFmtId="172" fontId="20" fillId="0" borderId="7" xfId="7" applyFont="1" applyBorder="1"/>
    <xf numFmtId="172" fontId="20" fillId="0" borderId="7" xfId="6" applyNumberFormat="1" applyFont="1" applyBorder="1"/>
    <xf numFmtId="4" fontId="20" fillId="0" borderId="7" xfId="8" applyNumberFormat="1" applyFont="1" applyFill="1" applyBorder="1"/>
    <xf numFmtId="0" fontId="1" fillId="0" borderId="0" xfId="3" applyAlignment="1">
      <alignment wrapText="1"/>
    </xf>
    <xf numFmtId="0" fontId="1" fillId="0" borderId="0" xfId="6" applyAlignment="1">
      <alignment wrapText="1"/>
    </xf>
    <xf numFmtId="0" fontId="17" fillId="0" borderId="0" xfId="0" applyFont="1" applyAlignment="1"/>
    <xf numFmtId="0" fontId="12" fillId="0" borderId="0" xfId="4" applyAlignment="1"/>
    <xf numFmtId="0" fontId="19" fillId="0" borderId="7" xfId="0" applyFont="1" applyBorder="1" applyAlignment="1">
      <alignment horizontal="center" vertical="center" wrapText="1"/>
    </xf>
    <xf numFmtId="0" fontId="0" fillId="0" borderId="0" xfId="0" applyAlignment="1">
      <alignment vertical="center" wrapText="1"/>
    </xf>
    <xf numFmtId="0" fontId="18" fillId="0" borderId="7" xfId="0" applyFont="1" applyBorder="1" applyAlignment="1">
      <alignment vertical="center" wrapText="1"/>
    </xf>
    <xf numFmtId="0" fontId="18" fillId="0" borderId="7" xfId="0" applyFont="1" applyBorder="1" applyAlignment="1">
      <alignment vertical="center"/>
    </xf>
    <xf numFmtId="2" fontId="18" fillId="0" borderId="7" xfId="0" applyNumberFormat="1" applyFont="1" applyBorder="1" applyAlignment="1">
      <alignment vertical="center"/>
    </xf>
    <xf numFmtId="10" fontId="20" fillId="0" borderId="7" xfId="2" applyNumberFormat="1" applyFont="1" applyBorder="1" applyAlignment="1">
      <alignment vertical="center"/>
    </xf>
    <xf numFmtId="4" fontId="18" fillId="0" borderId="7" xfId="0" applyNumberFormat="1" applyFont="1" applyBorder="1" applyAlignment="1">
      <alignment vertical="center"/>
    </xf>
    <xf numFmtId="0" fontId="19" fillId="0" borderId="7" xfId="9" applyFont="1" applyBorder="1" applyAlignment="1">
      <alignment horizontal="center"/>
    </xf>
    <xf numFmtId="0" fontId="19" fillId="0" borderId="0" xfId="9" applyFont="1" applyAlignment="1">
      <alignment horizontal="center"/>
    </xf>
    <xf numFmtId="0" fontId="20" fillId="0" borderId="7" xfId="9" applyFont="1" applyBorder="1"/>
    <xf numFmtId="0" fontId="20" fillId="0" borderId="7" xfId="9" applyFont="1" applyBorder="1" applyAlignment="1">
      <alignment wrapText="1"/>
    </xf>
    <xf numFmtId="0" fontId="20" fillId="0" borderId="0" xfId="9" applyFont="1" applyAlignment="1">
      <alignment horizontal="center"/>
    </xf>
    <xf numFmtId="0" fontId="19" fillId="0" borderId="7" xfId="9" applyFont="1" applyBorder="1" applyAlignment="1">
      <alignment horizontal="center" vertical="center" wrapText="1"/>
    </xf>
    <xf numFmtId="0" fontId="20" fillId="0" borderId="7" xfId="9" applyFont="1" applyBorder="1" applyAlignment="1">
      <alignment horizontal="left" vertical="center"/>
    </xf>
    <xf numFmtId="0" fontId="20" fillId="0" borderId="7" xfId="9" applyFont="1" applyBorder="1" applyAlignment="1">
      <alignment vertical="center" wrapText="1"/>
    </xf>
    <xf numFmtId="4" fontId="20" fillId="0" borderId="7" xfId="6" applyNumberFormat="1" applyFont="1" applyBorder="1" applyAlignment="1">
      <alignment horizontal="right" vertical="center"/>
    </xf>
    <xf numFmtId="10" fontId="20" fillId="0" borderId="7" xfId="8" applyNumberFormat="1" applyFont="1" applyFill="1" applyBorder="1" applyAlignment="1">
      <alignment vertical="center"/>
    </xf>
    <xf numFmtId="0" fontId="8" fillId="0" borderId="0" xfId="6" applyFont="1" applyAlignment="1">
      <alignment horizontal="center" vertical="center"/>
    </xf>
    <xf numFmtId="0" fontId="14" fillId="0" borderId="0" xfId="6" applyFont="1" applyAlignment="1">
      <alignment wrapText="1"/>
    </xf>
    <xf numFmtId="4" fontId="10" fillId="0" borderId="0" xfId="6" applyNumberFormat="1" applyFont="1"/>
    <xf numFmtId="0" fontId="20" fillId="0" borderId="7" xfId="6" applyFont="1" applyBorder="1" applyAlignment="1">
      <alignment vertical="center"/>
    </xf>
    <xf numFmtId="0" fontId="20" fillId="0" borderId="7" xfId="6" applyFont="1" applyBorder="1" applyAlignment="1">
      <alignment vertical="center" wrapText="1"/>
    </xf>
    <xf numFmtId="4" fontId="20" fillId="0" borderId="7" xfId="6" applyNumberFormat="1" applyFont="1" applyBorder="1" applyAlignment="1">
      <alignment vertical="center"/>
    </xf>
    <xf numFmtId="2" fontId="20" fillId="0" borderId="7" xfId="6" applyNumberFormat="1" applyFont="1" applyBorder="1" applyAlignment="1">
      <alignment vertical="center"/>
    </xf>
    <xf numFmtId="4" fontId="20" fillId="0" borderId="7" xfId="8" applyNumberFormat="1" applyFont="1" applyFill="1" applyBorder="1" applyAlignment="1">
      <alignment vertical="center"/>
    </xf>
    <xf numFmtId="0" fontId="22" fillId="0" borderId="13" xfId="0" applyFont="1" applyBorder="1" applyAlignment="1">
      <alignment horizontal="center" vertical="center" readingOrder="1"/>
    </xf>
    <xf numFmtId="0" fontId="5" fillId="2" borderId="0" xfId="3" applyFont="1" applyFill="1" applyAlignment="1">
      <alignment horizontal="left" vertical="center" wrapText="1" readingOrder="1"/>
    </xf>
    <xf numFmtId="0" fontId="5" fillId="2" borderId="0" xfId="3" applyFont="1" applyFill="1" applyAlignment="1">
      <alignment horizontal="right" vertical="center" wrapText="1" readingOrder="1"/>
    </xf>
    <xf numFmtId="0" fontId="2" fillId="2" borderId="4" xfId="0" applyFont="1" applyFill="1" applyBorder="1" applyAlignment="1">
      <alignment horizontal="center" vertical="center" wrapText="1" readingOrder="1"/>
    </xf>
    <xf numFmtId="170" fontId="23" fillId="2" borderId="4" xfId="0" applyNumberFormat="1" applyFont="1" applyFill="1" applyBorder="1" applyAlignment="1">
      <alignment horizontal="right" vertical="center" wrapText="1" readingOrder="1"/>
    </xf>
    <xf numFmtId="0" fontId="23" fillId="2" borderId="4" xfId="0" applyFont="1" applyFill="1" applyBorder="1" applyAlignment="1">
      <alignment horizontal="right" vertical="center" wrapText="1" readingOrder="1"/>
    </xf>
    <xf numFmtId="0" fontId="23" fillId="2" borderId="0" xfId="0" applyFont="1" applyFill="1" applyAlignment="1">
      <alignment horizontal="right" vertical="top" wrapText="1" readingOrder="1"/>
    </xf>
    <xf numFmtId="0" fontId="23" fillId="2" borderId="4" xfId="0" applyFont="1" applyFill="1" applyBorder="1" applyAlignment="1">
      <alignment horizontal="left" vertical="center" wrapText="1" readingOrder="1"/>
    </xf>
    <xf numFmtId="0" fontId="23" fillId="2" borderId="0" xfId="0" applyFont="1" applyFill="1" applyAlignment="1">
      <alignment horizontal="left" vertical="center" wrapText="1" readingOrder="1"/>
    </xf>
    <xf numFmtId="0" fontId="23" fillId="2" borderId="0" xfId="0" applyFont="1" applyFill="1" applyAlignment="1">
      <alignment horizontal="right" vertical="center" wrapText="1" readingOrder="1"/>
    </xf>
    <xf numFmtId="0" fontId="24" fillId="3" borderId="0" xfId="4" applyFont="1" applyFill="1" applyBorder="1" applyAlignment="1">
      <alignment horizontal="center" vertical="center" wrapText="1"/>
    </xf>
    <xf numFmtId="0" fontId="0" fillId="0" borderId="0" xfId="0" applyAlignment="1">
      <alignment horizontal="center" vertical="center" wrapText="1"/>
    </xf>
    <xf numFmtId="0" fontId="16" fillId="0" borderId="0" xfId="5" applyAlignment="1">
      <alignment vertical="center" wrapText="1"/>
    </xf>
    <xf numFmtId="0" fontId="9" fillId="0" borderId="0" xfId="0" applyFont="1" applyAlignment="1"/>
    <xf numFmtId="0" fontId="9" fillId="0" borderId="0" xfId="0" applyFont="1" applyAlignment="1">
      <alignment horizontal="left"/>
    </xf>
    <xf numFmtId="0" fontId="16" fillId="0" borderId="0" xfId="5" applyAlignment="1">
      <alignment horizontal="left"/>
    </xf>
    <xf numFmtId="0" fontId="11" fillId="0" borderId="0" xfId="5" applyFont="1" applyAlignment="1">
      <alignment vertical="center" wrapText="1"/>
    </xf>
    <xf numFmtId="0" fontId="11" fillId="0" borderId="0" xfId="5" applyFont="1" applyAlignment="1">
      <alignment horizontal="left"/>
    </xf>
    <xf numFmtId="173" fontId="0" fillId="0" borderId="0" xfId="0" applyNumberFormat="1">
      <alignment wrapText="1"/>
    </xf>
    <xf numFmtId="0" fontId="2" fillId="2" borderId="7" xfId="0" applyFont="1" applyFill="1" applyBorder="1" applyAlignment="1">
      <alignment horizontal="center" vertical="center" wrapText="1" readingOrder="1"/>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11" fillId="0" borderId="0" xfId="5" applyFont="1" applyAlignment="1">
      <alignment horizontal="center" vertical="center" wrapText="1"/>
    </xf>
    <xf numFmtId="0" fontId="3" fillId="2" borderId="7" xfId="0" applyFont="1" applyFill="1" applyBorder="1" applyAlignment="1">
      <alignment horizontal="left" vertical="center" wrapText="1" readingOrder="1"/>
    </xf>
    <xf numFmtId="0" fontId="3" fillId="2" borderId="8" xfId="0" applyFont="1" applyFill="1" applyBorder="1" applyAlignment="1">
      <alignment horizontal="left" vertical="center" wrapText="1" readingOrder="1"/>
    </xf>
    <xf numFmtId="0" fontId="3" fillId="2" borderId="9" xfId="0" applyFont="1" applyFill="1" applyBorder="1" applyAlignment="1">
      <alignment horizontal="left" vertical="center" wrapText="1" readingOrder="1"/>
    </xf>
    <xf numFmtId="0" fontId="3" fillId="2" borderId="10" xfId="0" applyFont="1" applyFill="1" applyBorder="1" applyAlignment="1">
      <alignment horizontal="left" vertical="center" wrapText="1" readingOrder="1"/>
    </xf>
    <xf numFmtId="0" fontId="3" fillId="2" borderId="0" xfId="0" applyFont="1" applyFill="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9" fillId="0" borderId="7" xfId="6" applyFont="1" applyBorder="1" applyAlignment="1">
      <alignment horizontal="center" wrapText="1"/>
    </xf>
    <xf numFmtId="0" fontId="19" fillId="0" borderId="7" xfId="6" applyFont="1" applyBorder="1" applyAlignment="1">
      <alignment horizontal="center"/>
    </xf>
    <xf numFmtId="43" fontId="20" fillId="0" borderId="7" xfId="1" applyFont="1" applyBorder="1" applyAlignment="1">
      <alignment horizontal="center"/>
    </xf>
    <xf numFmtId="0" fontId="20" fillId="0" borderId="7" xfId="6" applyFont="1" applyBorder="1" applyAlignment="1">
      <alignment horizontal="left" vertical="center" wrapText="1"/>
    </xf>
    <xf numFmtId="0" fontId="19" fillId="0" borderId="7" xfId="6" applyFont="1" applyBorder="1" applyAlignment="1">
      <alignment horizontal="center" vertical="center"/>
    </xf>
    <xf numFmtId="0" fontId="19" fillId="0" borderId="11" xfId="6" applyFont="1" applyBorder="1" applyAlignment="1">
      <alignment horizontal="center" vertical="center" wrapText="1"/>
    </xf>
    <xf numFmtId="0" fontId="19" fillId="0" borderId="12" xfId="6" applyFont="1" applyBorder="1" applyAlignment="1">
      <alignment horizontal="center" vertical="center" wrapText="1"/>
    </xf>
    <xf numFmtId="0" fontId="9" fillId="0" borderId="0" xfId="5" applyFont="1" applyAlignment="1">
      <alignment horizontal="center" vertical="center" wrapText="1"/>
    </xf>
    <xf numFmtId="0" fontId="3" fillId="0" borderId="0" xfId="0" quotePrefix="1" applyFont="1" applyAlignment="1">
      <alignment horizontal="left" vertical="center" wrapText="1" readingOrder="1"/>
    </xf>
    <xf numFmtId="0" fontId="3" fillId="0" borderId="0" xfId="0" applyFont="1" applyAlignment="1">
      <alignment horizontal="left" vertical="center" wrapText="1" readingOrder="1"/>
    </xf>
    <xf numFmtId="0" fontId="17" fillId="2" borderId="0" xfId="0" applyFont="1" applyFill="1" applyAlignment="1">
      <alignment horizontal="left" vertical="top" readingOrder="1"/>
    </xf>
    <xf numFmtId="0" fontId="19" fillId="0" borderId="8" xfId="6" applyFont="1" applyBorder="1" applyAlignment="1">
      <alignment horizontal="center" wrapText="1"/>
    </xf>
    <xf numFmtId="0" fontId="19" fillId="0" borderId="9" xfId="6" applyFont="1" applyBorder="1" applyAlignment="1">
      <alignment horizontal="center" wrapText="1"/>
    </xf>
    <xf numFmtId="0" fontId="19" fillId="0" borderId="10" xfId="6" applyFont="1" applyBorder="1" applyAlignment="1">
      <alignment horizontal="center" wrapText="1"/>
    </xf>
    <xf numFmtId="0" fontId="19" fillId="0" borderId="8" xfId="6" applyFont="1" applyBorder="1" applyAlignment="1">
      <alignment horizontal="center"/>
    </xf>
    <xf numFmtId="0" fontId="19" fillId="0" borderId="10" xfId="6" applyFont="1" applyBorder="1" applyAlignment="1">
      <alignment horizontal="center"/>
    </xf>
    <xf numFmtId="43" fontId="20" fillId="0" borderId="8" xfId="1" applyFont="1" applyBorder="1" applyAlignment="1">
      <alignment horizontal="center"/>
    </xf>
    <xf numFmtId="43" fontId="20" fillId="0" borderId="9" xfId="1" applyFont="1" applyBorder="1" applyAlignment="1">
      <alignment horizontal="center"/>
    </xf>
    <xf numFmtId="43" fontId="20" fillId="0" borderId="10" xfId="1" applyFont="1" applyBorder="1" applyAlignment="1">
      <alignment horizontal="center"/>
    </xf>
    <xf numFmtId="0" fontId="20" fillId="0" borderId="7" xfId="6" applyFont="1" applyBorder="1" applyAlignment="1">
      <alignment horizontal="center"/>
    </xf>
    <xf numFmtId="0" fontId="17" fillId="2" borderId="8" xfId="0" applyFont="1" applyFill="1" applyBorder="1" applyAlignment="1">
      <alignment horizontal="left" vertical="top" readingOrder="1"/>
    </xf>
    <xf numFmtId="0" fontId="17" fillId="2" borderId="9" xfId="0" applyFont="1" applyFill="1" applyBorder="1" applyAlignment="1">
      <alignment horizontal="left" vertical="top" readingOrder="1"/>
    </xf>
    <xf numFmtId="0" fontId="17" fillId="2" borderId="10" xfId="0" applyFont="1" applyFill="1" applyBorder="1" applyAlignment="1">
      <alignment horizontal="left" vertical="top" readingOrder="1"/>
    </xf>
    <xf numFmtId="0" fontId="19" fillId="0" borderId="8" xfId="9" applyFont="1" applyBorder="1" applyAlignment="1">
      <alignment horizontal="center" vertical="center" wrapText="1"/>
    </xf>
    <xf numFmtId="0" fontId="19" fillId="0" borderId="10" xfId="9" applyFont="1" applyBorder="1" applyAlignment="1">
      <alignment horizontal="center" vertical="center" wrapText="1"/>
    </xf>
    <xf numFmtId="0" fontId="19" fillId="0" borderId="7" xfId="9" applyFont="1" applyBorder="1" applyAlignment="1">
      <alignment horizontal="center" vertical="center"/>
    </xf>
    <xf numFmtId="0" fontId="20" fillId="0" borderId="8" xfId="9" applyFont="1" applyBorder="1" applyAlignment="1">
      <alignment horizontal="left" wrapText="1"/>
    </xf>
    <xf numFmtId="0" fontId="20" fillId="0" borderId="9" xfId="9" applyFont="1" applyBorder="1" applyAlignment="1">
      <alignment horizontal="left" wrapText="1"/>
    </xf>
    <xf numFmtId="0" fontId="20" fillId="0" borderId="10" xfId="9" applyFont="1" applyBorder="1" applyAlignment="1">
      <alignment horizontal="left" wrapText="1"/>
    </xf>
    <xf numFmtId="0" fontId="20" fillId="0" borderId="8" xfId="1" applyNumberFormat="1" applyFont="1" applyBorder="1" applyAlignment="1">
      <alignment horizontal="center" vertical="center"/>
    </xf>
    <xf numFmtId="0" fontId="20" fillId="0" borderId="10" xfId="1" applyNumberFormat="1" applyFont="1" applyBorder="1" applyAlignment="1">
      <alignment horizontal="center" vertical="center"/>
    </xf>
    <xf numFmtId="0" fontId="19" fillId="0" borderId="8" xfId="9" applyFont="1" applyBorder="1" applyAlignment="1">
      <alignment horizontal="center"/>
    </xf>
    <xf numFmtId="0" fontId="19" fillId="0" borderId="9" xfId="9" applyFont="1" applyBorder="1" applyAlignment="1">
      <alignment horizontal="center"/>
    </xf>
    <xf numFmtId="0" fontId="19" fillId="0" borderId="10" xfId="9" applyFont="1" applyBorder="1" applyAlignment="1">
      <alignment horizontal="center"/>
    </xf>
    <xf numFmtId="0" fontId="19" fillId="0" borderId="8" xfId="9" applyFont="1" applyBorder="1" applyAlignment="1">
      <alignment horizontal="center" vertical="center"/>
    </xf>
    <xf numFmtId="0" fontId="19" fillId="0" borderId="9" xfId="9" applyFont="1" applyBorder="1" applyAlignment="1">
      <alignment horizontal="center" vertical="center"/>
    </xf>
    <xf numFmtId="0" fontId="19" fillId="0" borderId="10" xfId="9" applyFont="1" applyBorder="1" applyAlignment="1">
      <alignment horizontal="center" vertical="center"/>
    </xf>
    <xf numFmtId="0" fontId="17" fillId="2" borderId="7" xfId="0" applyFont="1" applyFill="1" applyBorder="1" applyAlignment="1">
      <alignment horizontal="left" vertical="top" readingOrder="1"/>
    </xf>
    <xf numFmtId="43" fontId="20" fillId="0" borderId="7" xfId="1" applyFont="1" applyBorder="1" applyAlignment="1">
      <alignment vertical="center"/>
    </xf>
    <xf numFmtId="43" fontId="20" fillId="0" borderId="7" xfId="1" applyFont="1" applyBorder="1" applyAlignment="1">
      <alignment horizontal="center" vertical="center"/>
    </xf>
  </cellXfs>
  <cellStyles count="10">
    <cellStyle name="Comma" xfId="1" builtinId="3"/>
    <cellStyle name="Comma 2" xfId="7" xr:uid="{FC2F009F-06E1-4408-B695-84570D045632}"/>
    <cellStyle name="Hyperlink 2" xfId="4" xr:uid="{2DE66E95-F8AB-4952-99E8-3EA5037C9691}"/>
    <cellStyle name="Normal" xfId="0" builtinId="0"/>
    <cellStyle name="Normal 2" xfId="3" xr:uid="{4B34776F-6C4B-47A6-9C23-F64E21AB2144}"/>
    <cellStyle name="Normal 2 2" xfId="6" xr:uid="{8F08116C-0E40-4D20-89DD-B1601DFB0920}"/>
    <cellStyle name="Normal 2 2 3" xfId="9" xr:uid="{17769B36-375B-48CB-BDC7-0D6755AF09B1}"/>
    <cellStyle name="Normal 3" xfId="5" xr:uid="{02CE18E9-67EB-479D-AE94-F7D0F1F4186D}"/>
    <cellStyle name="Percent" xfId="2" builtinId="5"/>
    <cellStyle name="Percent 2" xfId="8" xr:uid="{E1AF5471-62DD-4D94-8137-B498D1D410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139700</xdr:colOff>
      <xdr:row>26</xdr:row>
      <xdr:rowOff>28575</xdr:rowOff>
    </xdr:to>
    <xdr:pic>
      <xdr:nvPicPr>
        <xdr:cNvPr id="2" name="Picture 1">
          <a:extLst>
            <a:ext uri="{FF2B5EF4-FFF2-40B4-BE49-F238E27FC236}">
              <a16:creationId xmlns:a16="http://schemas.microsoft.com/office/drawing/2014/main" id="{EC7599B4-1AE2-4186-894F-9535FD1EB57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23575" y="3517900"/>
          <a:ext cx="3349625" cy="167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114300</xdr:colOff>
      <xdr:row>29</xdr:row>
      <xdr:rowOff>190500</xdr:rowOff>
    </xdr:from>
    <xdr:to>
      <xdr:col>14</xdr:col>
      <xdr:colOff>269875</xdr:colOff>
      <xdr:row>34</xdr:row>
      <xdr:rowOff>104775</xdr:rowOff>
    </xdr:to>
    <xdr:pic>
      <xdr:nvPicPr>
        <xdr:cNvPr id="3" name="Picture 2">
          <a:extLst>
            <a:ext uri="{FF2B5EF4-FFF2-40B4-BE49-F238E27FC236}">
              <a16:creationId xmlns:a16="http://schemas.microsoft.com/office/drawing/2014/main" id="{3F4AC399-EB95-4911-A9FC-A58508803D5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909300" y="6400800"/>
          <a:ext cx="3394075" cy="175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111125</xdr:colOff>
      <xdr:row>12</xdr:row>
      <xdr:rowOff>104775</xdr:rowOff>
    </xdr:to>
    <xdr:pic>
      <xdr:nvPicPr>
        <xdr:cNvPr id="4" name="Picture 3">
          <a:extLst>
            <a:ext uri="{FF2B5EF4-FFF2-40B4-BE49-F238E27FC236}">
              <a16:creationId xmlns:a16="http://schemas.microsoft.com/office/drawing/2014/main" id="{FAB41DE7-E6DC-4825-80A1-F63D85B6426B}"/>
            </a:ext>
          </a:extLst>
        </xdr:cNvPr>
        <xdr:cNvPicPr preferRelativeResize="0">
          <a:picLocks noChangeAspect="1"/>
        </xdr:cNvPicPr>
      </xdr:nvPicPr>
      <xdr:blipFill>
        <a:blip xmlns:r="http://schemas.openxmlformats.org/officeDocument/2006/relationships" r:embed="rId2"/>
        <a:stretch>
          <a:fillRect/>
        </a:stretch>
      </xdr:blipFill>
      <xdr:spPr>
        <a:xfrm>
          <a:off x="10795000" y="711200"/>
          <a:ext cx="3349625" cy="202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279400</xdr:colOff>
      <xdr:row>26</xdr:row>
      <xdr:rowOff>285750</xdr:rowOff>
    </xdr:to>
    <xdr:pic>
      <xdr:nvPicPr>
        <xdr:cNvPr id="2" name="Picture 1">
          <a:extLst>
            <a:ext uri="{FF2B5EF4-FFF2-40B4-BE49-F238E27FC236}">
              <a16:creationId xmlns:a16="http://schemas.microsoft.com/office/drawing/2014/main" id="{A1B8CCB1-30F4-416C-BB59-4273FD87D8F8}"/>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0524" y="3660775"/>
          <a:ext cx="3375026" cy="179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523875</xdr:colOff>
      <xdr:row>30</xdr:row>
      <xdr:rowOff>152400</xdr:rowOff>
    </xdr:from>
    <xdr:to>
      <xdr:col>14</xdr:col>
      <xdr:colOff>241301</xdr:colOff>
      <xdr:row>35</xdr:row>
      <xdr:rowOff>85725</xdr:rowOff>
    </xdr:to>
    <xdr:pic>
      <xdr:nvPicPr>
        <xdr:cNvPr id="3" name="Picture 2">
          <a:extLst>
            <a:ext uri="{FF2B5EF4-FFF2-40B4-BE49-F238E27FC236}">
              <a16:creationId xmlns:a16="http://schemas.microsoft.com/office/drawing/2014/main" id="{A6D01863-C730-4333-AE88-A24B022BD3C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12425" y="6578600"/>
          <a:ext cx="3375026" cy="177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317500</xdr:colOff>
      <xdr:row>12</xdr:row>
      <xdr:rowOff>38100</xdr:rowOff>
    </xdr:to>
    <xdr:pic>
      <xdr:nvPicPr>
        <xdr:cNvPr id="4" name="Picture 3">
          <a:extLst>
            <a:ext uri="{FF2B5EF4-FFF2-40B4-BE49-F238E27FC236}">
              <a16:creationId xmlns:a16="http://schemas.microsoft.com/office/drawing/2014/main" id="{7765FFCF-707F-4563-BFC9-206614B3FF59}"/>
            </a:ext>
          </a:extLst>
        </xdr:cNvPr>
        <xdr:cNvPicPr preferRelativeResize="0">
          <a:picLocks noChangeAspect="1"/>
        </xdr:cNvPicPr>
      </xdr:nvPicPr>
      <xdr:blipFill>
        <a:blip xmlns:r="http://schemas.openxmlformats.org/officeDocument/2006/relationships" r:embed="rId2"/>
        <a:stretch>
          <a:fillRect/>
        </a:stretch>
      </xdr:blipFill>
      <xdr:spPr>
        <a:xfrm>
          <a:off x="10569575" y="644525"/>
          <a:ext cx="3394075" cy="202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422275</xdr:colOff>
      <xdr:row>26</xdr:row>
      <xdr:rowOff>171450</xdr:rowOff>
    </xdr:to>
    <xdr:pic>
      <xdr:nvPicPr>
        <xdr:cNvPr id="2" name="Picture 1">
          <a:extLst>
            <a:ext uri="{FF2B5EF4-FFF2-40B4-BE49-F238E27FC236}">
              <a16:creationId xmlns:a16="http://schemas.microsoft.com/office/drawing/2014/main" id="{A2711F37-824A-4176-97DC-A075A24872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45775" y="3527426"/>
          <a:ext cx="3422650" cy="181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508000</xdr:colOff>
      <xdr:row>41</xdr:row>
      <xdr:rowOff>152401</xdr:rowOff>
    </xdr:to>
    <xdr:pic>
      <xdr:nvPicPr>
        <xdr:cNvPr id="3" name="Picture 2">
          <a:extLst>
            <a:ext uri="{FF2B5EF4-FFF2-40B4-BE49-F238E27FC236}">
              <a16:creationId xmlns:a16="http://schemas.microsoft.com/office/drawing/2014/main" id="{AB6B8C52-D16C-42D6-8705-F7F386704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36250" y="6299201"/>
          <a:ext cx="3517900"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133349</xdr:rowOff>
    </xdr:from>
    <xdr:to>
      <xdr:col>14</xdr:col>
      <xdr:colOff>377824</xdr:colOff>
      <xdr:row>12</xdr:row>
      <xdr:rowOff>47624</xdr:rowOff>
    </xdr:to>
    <xdr:pic>
      <xdr:nvPicPr>
        <xdr:cNvPr id="4" name="Picture 3">
          <a:extLst>
            <a:ext uri="{FF2B5EF4-FFF2-40B4-BE49-F238E27FC236}">
              <a16:creationId xmlns:a16="http://schemas.microsoft.com/office/drawing/2014/main" id="{ECF97696-01A9-4F88-B7D4-774395ED1EDC}"/>
            </a:ext>
          </a:extLst>
        </xdr:cNvPr>
        <xdr:cNvPicPr preferRelativeResize="0">
          <a:picLocks noChangeAspect="1"/>
        </xdr:cNvPicPr>
      </xdr:nvPicPr>
      <xdr:blipFill>
        <a:blip xmlns:r="http://schemas.openxmlformats.org/officeDocument/2006/relationships" r:embed="rId2"/>
        <a:stretch>
          <a:fillRect/>
        </a:stretch>
      </xdr:blipFill>
      <xdr:spPr>
        <a:xfrm>
          <a:off x="10655299" y="577849"/>
          <a:ext cx="3368675" cy="2098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501650</xdr:colOff>
      <xdr:row>26</xdr:row>
      <xdr:rowOff>180975</xdr:rowOff>
    </xdr:to>
    <xdr:pic>
      <xdr:nvPicPr>
        <xdr:cNvPr id="2" name="Picture 1">
          <a:extLst>
            <a:ext uri="{FF2B5EF4-FFF2-40B4-BE49-F238E27FC236}">
              <a16:creationId xmlns:a16="http://schemas.microsoft.com/office/drawing/2014/main" id="{5D3E2C7C-EF2A-470F-86FB-EC6C5FB15A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55301" y="3517900"/>
          <a:ext cx="3492499" cy="183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365125</xdr:colOff>
      <xdr:row>34</xdr:row>
      <xdr:rowOff>9526</xdr:rowOff>
    </xdr:to>
    <xdr:pic>
      <xdr:nvPicPr>
        <xdr:cNvPr id="3" name="Picture 2">
          <a:extLst>
            <a:ext uri="{FF2B5EF4-FFF2-40B4-BE49-F238E27FC236}">
              <a16:creationId xmlns:a16="http://schemas.microsoft.com/office/drawing/2014/main" id="{689645A1-7247-44C7-BF63-AFC9D8440F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4825" y="6296026"/>
          <a:ext cx="3346450" cy="17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422275</xdr:colOff>
      <xdr:row>12</xdr:row>
      <xdr:rowOff>66675</xdr:rowOff>
    </xdr:to>
    <xdr:pic>
      <xdr:nvPicPr>
        <xdr:cNvPr id="4" name="Picture 3">
          <a:extLst>
            <a:ext uri="{FF2B5EF4-FFF2-40B4-BE49-F238E27FC236}">
              <a16:creationId xmlns:a16="http://schemas.microsoft.com/office/drawing/2014/main" id="{0D157777-CC2A-4307-989A-F3CAAAF969C5}"/>
            </a:ext>
          </a:extLst>
        </xdr:cNvPr>
        <xdr:cNvPicPr preferRelativeResize="0">
          <a:picLocks noChangeAspect="1"/>
        </xdr:cNvPicPr>
      </xdr:nvPicPr>
      <xdr:blipFill>
        <a:blip xmlns:r="http://schemas.openxmlformats.org/officeDocument/2006/relationships" r:embed="rId2"/>
        <a:stretch>
          <a:fillRect/>
        </a:stretch>
      </xdr:blipFill>
      <xdr:spPr>
        <a:xfrm>
          <a:off x="10674350" y="673100"/>
          <a:ext cx="3394075" cy="202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393700</xdr:colOff>
      <xdr:row>26</xdr:row>
      <xdr:rowOff>9525</xdr:rowOff>
    </xdr:to>
    <xdr:pic>
      <xdr:nvPicPr>
        <xdr:cNvPr id="2" name="Picture 1">
          <a:extLst>
            <a:ext uri="{FF2B5EF4-FFF2-40B4-BE49-F238E27FC236}">
              <a16:creationId xmlns:a16="http://schemas.microsoft.com/office/drawing/2014/main" id="{87F4B896-8E73-4C2F-B9FA-991064F40F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69575" y="3406776"/>
          <a:ext cx="3470275"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374650</xdr:colOff>
      <xdr:row>40</xdr:row>
      <xdr:rowOff>79375</xdr:rowOff>
    </xdr:to>
    <xdr:pic>
      <xdr:nvPicPr>
        <xdr:cNvPr id="3" name="Picture 2">
          <a:extLst>
            <a:ext uri="{FF2B5EF4-FFF2-40B4-BE49-F238E27FC236}">
              <a16:creationId xmlns:a16="http://schemas.microsoft.com/office/drawing/2014/main" id="{875D0331-9EC3-4469-894E-22E6A9B7B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02900" y="6054727"/>
          <a:ext cx="3517900" cy="1809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3</xdr:row>
      <xdr:rowOff>0</xdr:rowOff>
    </xdr:from>
    <xdr:to>
      <xdr:col>14</xdr:col>
      <xdr:colOff>365125</xdr:colOff>
      <xdr:row>12</xdr:row>
      <xdr:rowOff>104775</xdr:rowOff>
    </xdr:to>
    <xdr:pic>
      <xdr:nvPicPr>
        <xdr:cNvPr id="4" name="Picture 3">
          <a:extLst>
            <a:ext uri="{FF2B5EF4-FFF2-40B4-BE49-F238E27FC236}">
              <a16:creationId xmlns:a16="http://schemas.microsoft.com/office/drawing/2014/main" id="{1DAAE2C6-F676-41AA-8FEF-94DA1F67F0BD}"/>
            </a:ext>
          </a:extLst>
        </xdr:cNvPr>
        <xdr:cNvPicPr preferRelativeResize="0">
          <a:picLocks noChangeAspect="1"/>
        </xdr:cNvPicPr>
      </xdr:nvPicPr>
      <xdr:blipFill>
        <a:blip xmlns:r="http://schemas.openxmlformats.org/officeDocument/2006/relationships" r:embed="rId2"/>
        <a:stretch>
          <a:fillRect/>
        </a:stretch>
      </xdr:blipFill>
      <xdr:spPr>
        <a:xfrm>
          <a:off x="10617200" y="711200"/>
          <a:ext cx="3394075" cy="202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431800</xdr:colOff>
      <xdr:row>26</xdr:row>
      <xdr:rowOff>200025</xdr:rowOff>
    </xdr:to>
    <xdr:pic>
      <xdr:nvPicPr>
        <xdr:cNvPr id="2" name="Picture 1">
          <a:extLst>
            <a:ext uri="{FF2B5EF4-FFF2-40B4-BE49-F238E27FC236}">
              <a16:creationId xmlns:a16="http://schemas.microsoft.com/office/drawing/2014/main" id="{769D963B-4B5E-4D05-9585-2C5FBAB993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3517901"/>
          <a:ext cx="3479800" cy="1851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469900</xdr:colOff>
      <xdr:row>34</xdr:row>
      <xdr:rowOff>257175</xdr:rowOff>
    </xdr:to>
    <xdr:pic>
      <xdr:nvPicPr>
        <xdr:cNvPr id="3" name="Picture 2">
          <a:extLst>
            <a:ext uri="{FF2B5EF4-FFF2-40B4-BE49-F238E27FC236}">
              <a16:creationId xmlns:a16="http://schemas.microsoft.com/office/drawing/2014/main" id="{62127D36-F136-4AAB-9616-B206CFDC9B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6210301"/>
          <a:ext cx="3517900" cy="1793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387350</xdr:colOff>
      <xdr:row>12</xdr:row>
      <xdr:rowOff>152400</xdr:rowOff>
    </xdr:to>
    <xdr:pic>
      <xdr:nvPicPr>
        <xdr:cNvPr id="4" name="Picture 3">
          <a:extLst>
            <a:ext uri="{FF2B5EF4-FFF2-40B4-BE49-F238E27FC236}">
              <a16:creationId xmlns:a16="http://schemas.microsoft.com/office/drawing/2014/main" id="{3000ACE1-DB7A-41BA-BB5C-FE31D7B8D660}"/>
            </a:ext>
          </a:extLst>
        </xdr:cNvPr>
        <xdr:cNvPicPr preferRelativeResize="0">
          <a:picLocks noChangeAspect="1"/>
        </xdr:cNvPicPr>
      </xdr:nvPicPr>
      <xdr:blipFill>
        <a:blip xmlns:r="http://schemas.openxmlformats.org/officeDocument/2006/relationships" r:embed="rId2"/>
        <a:stretch>
          <a:fillRect/>
        </a:stretch>
      </xdr:blipFill>
      <xdr:spPr>
        <a:xfrm>
          <a:off x="10579100" y="692150"/>
          <a:ext cx="3454400" cy="2089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488951</xdr:colOff>
      <xdr:row>26</xdr:row>
      <xdr:rowOff>123825</xdr:rowOff>
    </xdr:to>
    <xdr:pic>
      <xdr:nvPicPr>
        <xdr:cNvPr id="2" name="Picture 1">
          <a:extLst>
            <a:ext uri="{FF2B5EF4-FFF2-40B4-BE49-F238E27FC236}">
              <a16:creationId xmlns:a16="http://schemas.microsoft.com/office/drawing/2014/main" id="{0B1C58BC-D389-413E-8E79-3226F8D3EA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6724" y="3444876"/>
          <a:ext cx="3508377"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473076</xdr:colOff>
      <xdr:row>33</xdr:row>
      <xdr:rowOff>263524</xdr:rowOff>
    </xdr:to>
    <xdr:pic>
      <xdr:nvPicPr>
        <xdr:cNvPr id="3" name="Picture 2">
          <a:extLst>
            <a:ext uri="{FF2B5EF4-FFF2-40B4-BE49-F238E27FC236}">
              <a16:creationId xmlns:a16="http://schemas.microsoft.com/office/drawing/2014/main" id="{CA234FE8-5DE4-42DB-900F-22D43B3E8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2" y="5946775"/>
          <a:ext cx="3521074"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14</xdr:col>
      <xdr:colOff>596900</xdr:colOff>
      <xdr:row>12</xdr:row>
      <xdr:rowOff>47625</xdr:rowOff>
    </xdr:to>
    <xdr:pic>
      <xdr:nvPicPr>
        <xdr:cNvPr id="4" name="Picture 3">
          <a:extLst>
            <a:ext uri="{FF2B5EF4-FFF2-40B4-BE49-F238E27FC236}">
              <a16:creationId xmlns:a16="http://schemas.microsoft.com/office/drawing/2014/main" id="{47B92B02-1C68-4CD5-BC0D-6AA28F50417F}"/>
            </a:ext>
          </a:extLst>
        </xdr:cNvPr>
        <xdr:cNvPicPr preferRelativeResize="0">
          <a:picLocks noChangeAspect="1"/>
        </xdr:cNvPicPr>
      </xdr:nvPicPr>
      <xdr:blipFill>
        <a:blip xmlns:r="http://schemas.openxmlformats.org/officeDocument/2006/relationships" r:embed="rId2"/>
        <a:stretch>
          <a:fillRect/>
        </a:stretch>
      </xdr:blipFill>
      <xdr:spPr>
        <a:xfrm>
          <a:off x="10750549" y="625475"/>
          <a:ext cx="3492501" cy="205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457201</xdr:colOff>
      <xdr:row>11</xdr:row>
      <xdr:rowOff>104775</xdr:rowOff>
    </xdr:to>
    <xdr:pic>
      <xdr:nvPicPr>
        <xdr:cNvPr id="2" name="Picture 1">
          <a:extLst>
            <a:ext uri="{FF2B5EF4-FFF2-40B4-BE49-F238E27FC236}">
              <a16:creationId xmlns:a16="http://schemas.microsoft.com/office/drawing/2014/main" id="{912184E9-6F51-4F6C-9746-FC49162CE1FE}"/>
            </a:ext>
          </a:extLst>
        </xdr:cNvPr>
        <xdr:cNvPicPr>
          <a:picLocks noChangeAspect="1"/>
        </xdr:cNvPicPr>
      </xdr:nvPicPr>
      <xdr:blipFill>
        <a:blip xmlns:r="http://schemas.openxmlformats.org/officeDocument/2006/relationships" r:embed="rId1"/>
        <a:stretch>
          <a:fillRect/>
        </a:stretch>
      </xdr:blipFill>
      <xdr:spPr>
        <a:xfrm>
          <a:off x="11207751" y="539751"/>
          <a:ext cx="3276600" cy="20161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8A10F691-21A0-4106-BD34-588FC1393C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60150" y="595312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95250</xdr:rowOff>
    </xdr:from>
    <xdr:to>
      <xdr:col>14</xdr:col>
      <xdr:colOff>495300</xdr:colOff>
      <xdr:row>25</xdr:row>
      <xdr:rowOff>47625</xdr:rowOff>
    </xdr:to>
    <xdr:pic>
      <xdr:nvPicPr>
        <xdr:cNvPr id="4" name="Picture 2">
          <a:extLst>
            <a:ext uri="{FF2B5EF4-FFF2-40B4-BE49-F238E27FC236}">
              <a16:creationId xmlns:a16="http://schemas.microsoft.com/office/drawing/2014/main" id="{71FB78A6-E562-484B-8926-3FF29CACC070}"/>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217276" y="3257550"/>
          <a:ext cx="3305174"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19053</xdr:colOff>
      <xdr:row>13</xdr:row>
      <xdr:rowOff>190501</xdr:rowOff>
    </xdr:from>
    <xdr:to>
      <xdr:col>14</xdr:col>
      <xdr:colOff>133350</xdr:colOff>
      <xdr:row>19</xdr:row>
      <xdr:rowOff>514350</xdr:rowOff>
    </xdr:to>
    <xdr:pic>
      <xdr:nvPicPr>
        <xdr:cNvPr id="2" name="Picture 1">
          <a:extLst>
            <a:ext uri="{FF2B5EF4-FFF2-40B4-BE49-F238E27FC236}">
              <a16:creationId xmlns:a16="http://schemas.microsoft.com/office/drawing/2014/main" id="{32D7873E-C45D-4186-B77A-8C2BC552F2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17203" y="3416301"/>
          <a:ext cx="3562347"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38101</xdr:colOff>
      <xdr:row>2</xdr:row>
      <xdr:rowOff>142874</xdr:rowOff>
    </xdr:from>
    <xdr:to>
      <xdr:col>14</xdr:col>
      <xdr:colOff>25401</xdr:colOff>
      <xdr:row>11</xdr:row>
      <xdr:rowOff>19050</xdr:rowOff>
    </xdr:to>
    <xdr:pic>
      <xdr:nvPicPr>
        <xdr:cNvPr id="3" name="Picture 2">
          <a:extLst>
            <a:ext uri="{FF2B5EF4-FFF2-40B4-BE49-F238E27FC236}">
              <a16:creationId xmlns:a16="http://schemas.microsoft.com/office/drawing/2014/main" id="{05A2D108-AB4B-4229-B6D5-B235559D26D3}"/>
            </a:ext>
          </a:extLst>
        </xdr:cNvPr>
        <xdr:cNvPicPr>
          <a:picLocks/>
        </xdr:cNvPicPr>
      </xdr:nvPicPr>
      <xdr:blipFill>
        <a:blip xmlns:r="http://schemas.openxmlformats.org/officeDocument/2006/relationships" r:embed="rId2"/>
        <a:stretch>
          <a:fillRect/>
        </a:stretch>
      </xdr:blipFill>
      <xdr:spPr>
        <a:xfrm>
          <a:off x="10636251" y="587374"/>
          <a:ext cx="3435350" cy="20732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288925</xdr:colOff>
      <xdr:row>25</xdr:row>
      <xdr:rowOff>28574</xdr:rowOff>
    </xdr:to>
    <xdr:pic>
      <xdr:nvPicPr>
        <xdr:cNvPr id="2" name="Picture 1">
          <a:extLst>
            <a:ext uri="{FF2B5EF4-FFF2-40B4-BE49-F238E27FC236}">
              <a16:creationId xmlns:a16="http://schemas.microsoft.com/office/drawing/2014/main" id="{E8E6F363-7F94-4A43-8036-2CE61E300A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12425" y="3267075"/>
          <a:ext cx="3422650"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17083C59-3CB5-43F7-AB63-026D41F2D5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93375" y="5765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270867</xdr:colOff>
      <xdr:row>12</xdr:row>
      <xdr:rowOff>95250</xdr:rowOff>
    </xdr:to>
    <xdr:pic>
      <xdr:nvPicPr>
        <xdr:cNvPr id="4" name="Picture 3">
          <a:extLst>
            <a:ext uri="{FF2B5EF4-FFF2-40B4-BE49-F238E27FC236}">
              <a16:creationId xmlns:a16="http://schemas.microsoft.com/office/drawing/2014/main" id="{7A82BE53-3DDC-4587-891C-20AA698F5947}"/>
            </a:ext>
          </a:extLst>
        </xdr:cNvPr>
        <xdr:cNvPicPr>
          <a:picLocks noChangeAspect="1"/>
        </xdr:cNvPicPr>
      </xdr:nvPicPr>
      <xdr:blipFill>
        <a:blip xmlns:r="http://schemas.openxmlformats.org/officeDocument/2006/relationships" r:embed="rId2"/>
        <a:stretch>
          <a:fillRect/>
        </a:stretch>
      </xdr:blipFill>
      <xdr:spPr>
        <a:xfrm>
          <a:off x="10598150" y="711200"/>
          <a:ext cx="3318867" cy="201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AA9-2A3A-4BDB-B486-A3EC9B256BFE}">
  <dimension ref="A1:C11"/>
  <sheetViews>
    <sheetView tabSelected="1"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6" width="8.85546875" style="36"/>
    <col min="7" max="7" width="10.85546875" style="36" bestFit="1" customWidth="1"/>
    <col min="8" max="16384" width="8.85546875" style="36"/>
  </cols>
  <sheetData>
    <row r="1" spans="1:3" x14ac:dyDescent="0.25">
      <c r="A1" s="34" t="s">
        <v>458</v>
      </c>
      <c r="B1" s="35" t="s">
        <v>459</v>
      </c>
      <c r="C1" s="35" t="s">
        <v>460</v>
      </c>
    </row>
    <row r="2" spans="1:3" x14ac:dyDescent="0.25">
      <c r="A2" s="37">
        <v>1</v>
      </c>
      <c r="B2" s="38" t="s">
        <v>461</v>
      </c>
      <c r="C2" s="39" t="s">
        <v>1</v>
      </c>
    </row>
    <row r="3" spans="1:3" x14ac:dyDescent="0.25">
      <c r="A3" s="37">
        <v>2</v>
      </c>
      <c r="B3" s="38" t="s">
        <v>462</v>
      </c>
      <c r="C3" s="39" t="s">
        <v>125</v>
      </c>
    </row>
    <row r="4" spans="1:3" x14ac:dyDescent="0.25">
      <c r="A4" s="37">
        <v>3</v>
      </c>
      <c r="B4" s="38" t="s">
        <v>463</v>
      </c>
      <c r="C4" s="39" t="s">
        <v>164</v>
      </c>
    </row>
    <row r="5" spans="1:3" x14ac:dyDescent="0.25">
      <c r="A5" s="37">
        <v>4</v>
      </c>
      <c r="B5" s="38" t="s">
        <v>464</v>
      </c>
      <c r="C5" s="39" t="s">
        <v>187</v>
      </c>
    </row>
    <row r="6" spans="1:3" x14ac:dyDescent="0.25">
      <c r="A6" s="37">
        <v>5</v>
      </c>
      <c r="B6" s="38" t="s">
        <v>465</v>
      </c>
      <c r="C6" s="39" t="s">
        <v>234</v>
      </c>
    </row>
    <row r="7" spans="1:3" x14ac:dyDescent="0.25">
      <c r="A7" s="37">
        <v>6</v>
      </c>
      <c r="B7" s="38" t="s">
        <v>466</v>
      </c>
      <c r="C7" s="39" t="s">
        <v>326</v>
      </c>
    </row>
    <row r="8" spans="1:3" x14ac:dyDescent="0.25">
      <c r="A8" s="37">
        <v>7</v>
      </c>
      <c r="B8" s="38" t="s">
        <v>467</v>
      </c>
      <c r="C8" s="39" t="s">
        <v>350</v>
      </c>
    </row>
    <row r="9" spans="1:3" x14ac:dyDescent="0.25">
      <c r="A9" s="37">
        <v>8</v>
      </c>
      <c r="B9" s="38" t="s">
        <v>468</v>
      </c>
      <c r="C9" s="39" t="s">
        <v>390</v>
      </c>
    </row>
    <row r="10" spans="1:3" x14ac:dyDescent="0.25">
      <c r="A10" s="37">
        <v>9</v>
      </c>
      <c r="B10" s="38" t="s">
        <v>469</v>
      </c>
      <c r="C10" s="39" t="s">
        <v>396</v>
      </c>
    </row>
    <row r="11" spans="1:3" x14ac:dyDescent="0.25">
      <c r="A11" s="37">
        <v>10</v>
      </c>
      <c r="B11" s="38" t="s">
        <v>470</v>
      </c>
      <c r="C11" s="39" t="s">
        <v>451</v>
      </c>
    </row>
  </sheetData>
  <hyperlinks>
    <hyperlink ref="B3" location="SFRSTP!A1" display="SFRSTP" xr:uid="{703D4F31-7448-412B-871A-0293F3D623C5}"/>
    <hyperlink ref="B4" location="SMMF!A1" display="SMMF" xr:uid="{74826645-8F47-404D-BBD1-0B6A01BFC7C5}"/>
    <hyperlink ref="B5" location="SPLDF!A1" display="SPLDF" xr:uid="{99A25738-8D0C-4D55-B485-E107F3D7BC10}"/>
    <hyperlink ref="B6" location="SPMON!A1" display="SPMON" xr:uid="{E0497C27-281D-4A38-AE31-3C2AC0C0A7AB}"/>
    <hyperlink ref="B7" location="SPSDF!A1" display="SPSDF" xr:uid="{7FF72868-3512-4D29-8A13-27ADA995A29E}"/>
    <hyperlink ref="B8" location="SPUSDF!A1" display="SPUSDF" xr:uid="{24F9BDEC-8865-49C7-8FDB-426C4BFE6059}"/>
    <hyperlink ref="B9" location="SUNBDS!A1" display="SUNBDS" xr:uid="{C5DE8F19-0212-4606-942C-1BB54255F138}"/>
    <hyperlink ref="B10" location="SUNMIA!A1" display="SUNMIA" xr:uid="{556B4FC7-DAE1-45F2-A231-CFD604091A33}"/>
    <hyperlink ref="B11" location="SUNONF!A1" display="SUNONF" xr:uid="{7F21AFE5-9913-4F25-A848-06E85640DA47}"/>
    <hyperlink ref="B2" location="SFRLTP!A1" display="SFRLTP" xr:uid="{FE17742C-0614-46A4-8FA5-B527FD114D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6.7109375" bestFit="1" customWidth="1"/>
    <col min="10" max="10" width="11.5703125" style="40" bestFit="1" customWidth="1"/>
    <col min="11" max="15" width="8.7109375" style="40"/>
  </cols>
  <sheetData>
    <row r="1" spans="1:15" ht="18" customHeight="1" x14ac:dyDescent="0.2">
      <c r="A1" s="110" t="s">
        <v>0</v>
      </c>
      <c r="B1" s="110"/>
      <c r="C1" s="110"/>
      <c r="D1" s="110"/>
      <c r="E1" s="110"/>
      <c r="F1" s="110"/>
      <c r="G1" s="110"/>
      <c r="H1" s="110"/>
      <c r="I1" s="101" t="s">
        <v>591</v>
      </c>
    </row>
    <row r="2" spans="1:15" ht="17.100000000000001" customHeight="1" x14ac:dyDescent="0.2">
      <c r="A2" s="110" t="s">
        <v>1</v>
      </c>
      <c r="B2" s="110"/>
      <c r="C2" s="110"/>
      <c r="D2" s="110"/>
      <c r="E2" s="110"/>
      <c r="F2" s="110"/>
      <c r="G2" s="110"/>
      <c r="H2" s="110"/>
      <c r="J2" s="116" t="s">
        <v>592</v>
      </c>
      <c r="K2" s="116"/>
      <c r="L2" s="116"/>
      <c r="M2" s="116"/>
      <c r="N2" s="116"/>
    </row>
    <row r="3" spans="1:15" ht="21" customHeight="1" x14ac:dyDescent="0.2">
      <c r="A3" s="110" t="s">
        <v>589</v>
      </c>
      <c r="B3" s="110"/>
      <c r="C3" s="110"/>
      <c r="D3" s="110"/>
      <c r="E3" s="110"/>
      <c r="F3" s="110"/>
      <c r="G3" s="110"/>
      <c r="H3" s="110"/>
    </row>
    <row r="4" spans="1:15" ht="30" x14ac:dyDescent="0.2">
      <c r="A4" s="94" t="s">
        <v>2</v>
      </c>
      <c r="B4" s="94" t="s">
        <v>3</v>
      </c>
      <c r="C4" s="94" t="s">
        <v>4</v>
      </c>
      <c r="D4" s="94" t="s">
        <v>5</v>
      </c>
      <c r="E4" s="94" t="s">
        <v>6</v>
      </c>
      <c r="F4" s="94" t="s">
        <v>7</v>
      </c>
      <c r="G4" s="94" t="s">
        <v>8</v>
      </c>
      <c r="H4" s="91" t="s">
        <v>563</v>
      </c>
      <c r="I4" s="102"/>
      <c r="J4" s="103"/>
      <c r="K4" s="103"/>
      <c r="L4" s="103"/>
      <c r="M4" s="103"/>
      <c r="N4" s="103"/>
      <c r="O4" s="103"/>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04" t="s">
        <v>593</v>
      </c>
      <c r="K16" s="104"/>
      <c r="L16" s="104"/>
      <c r="M16" s="104"/>
      <c r="N16" s="104"/>
      <c r="O16" s="104"/>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
      <c r="A28" s="8">
        <v>1</v>
      </c>
      <c r="B28" s="9" t="s">
        <v>21</v>
      </c>
      <c r="C28" s="9" t="s">
        <v>22</v>
      </c>
      <c r="D28" s="9" t="s">
        <v>23</v>
      </c>
      <c r="E28" s="10">
        <v>7000</v>
      </c>
      <c r="F28" s="11">
        <v>6962.4939999999997</v>
      </c>
      <c r="G28" s="12">
        <v>7.8055009999999994E-2</v>
      </c>
      <c r="H28" s="11">
        <v>7.4382999999999999</v>
      </c>
    </row>
    <row r="29" spans="1:15" ht="29.1" customHeight="1" x14ac:dyDescent="0.25">
      <c r="A29" s="8">
        <v>2</v>
      </c>
      <c r="B29" s="9" t="s">
        <v>24</v>
      </c>
      <c r="C29" s="9" t="s">
        <v>25</v>
      </c>
      <c r="D29" s="9" t="s">
        <v>23</v>
      </c>
      <c r="E29" s="10">
        <v>6000</v>
      </c>
      <c r="F29" s="11">
        <v>5977.152</v>
      </c>
      <c r="G29" s="12">
        <v>6.7008559999999995E-2</v>
      </c>
      <c r="H29" s="11">
        <v>7.5796999999999999</v>
      </c>
      <c r="J29" s="104" t="s">
        <v>594</v>
      </c>
      <c r="O29"/>
    </row>
    <row r="30" spans="1:15" ht="29.1" customHeight="1" x14ac:dyDescent="0.2">
      <c r="A30" s="8">
        <v>3</v>
      </c>
      <c r="B30" s="9" t="s">
        <v>26</v>
      </c>
      <c r="C30" s="9" t="s">
        <v>27</v>
      </c>
      <c r="D30" s="9" t="s">
        <v>23</v>
      </c>
      <c r="E30" s="10">
        <v>5000</v>
      </c>
      <c r="F30" s="11">
        <v>4992.4399999999996</v>
      </c>
      <c r="G30" s="12">
        <v>5.5969159999999997E-2</v>
      </c>
      <c r="H30" s="11">
        <v>7.5646000000000004</v>
      </c>
      <c r="O30"/>
    </row>
    <row r="31" spans="1:15" ht="29.1" customHeight="1" x14ac:dyDescent="0.2">
      <c r="A31" s="8">
        <v>4</v>
      </c>
      <c r="B31" s="9" t="s">
        <v>28</v>
      </c>
      <c r="C31" s="9" t="s">
        <v>29</v>
      </c>
      <c r="D31" s="9" t="s">
        <v>23</v>
      </c>
      <c r="E31" s="10">
        <v>5000</v>
      </c>
      <c r="F31" s="11">
        <v>4977.6899999999996</v>
      </c>
      <c r="G31" s="12">
        <v>5.5803800000000001E-2</v>
      </c>
      <c r="H31" s="11">
        <v>7.39</v>
      </c>
      <c r="O31"/>
    </row>
    <row r="32" spans="1:15" ht="29.1" customHeight="1" x14ac:dyDescent="0.2">
      <c r="A32" s="8">
        <v>5</v>
      </c>
      <c r="B32" s="9" t="s">
        <v>30</v>
      </c>
      <c r="C32" s="9" t="s">
        <v>31</v>
      </c>
      <c r="D32" s="9" t="s">
        <v>23</v>
      </c>
      <c r="E32" s="10">
        <v>4000</v>
      </c>
      <c r="F32" s="11">
        <v>3995.7159999999999</v>
      </c>
      <c r="G32" s="12">
        <v>4.4795109999999999E-2</v>
      </c>
      <c r="H32" s="11">
        <v>7.4850000000000003</v>
      </c>
      <c r="O32"/>
    </row>
    <row r="33" spans="1:15" ht="29.1" customHeight="1" x14ac:dyDescent="0.2">
      <c r="A33" s="8">
        <v>6</v>
      </c>
      <c r="B33" s="9" t="s">
        <v>32</v>
      </c>
      <c r="C33" s="9" t="s">
        <v>33</v>
      </c>
      <c r="D33" s="9" t="s">
        <v>23</v>
      </c>
      <c r="E33" s="10">
        <v>300</v>
      </c>
      <c r="F33" s="11">
        <v>2999.88</v>
      </c>
      <c r="G33" s="12">
        <v>3.3631000000000001E-2</v>
      </c>
      <c r="H33" s="11">
        <v>7.7976000000000001</v>
      </c>
      <c r="O33"/>
    </row>
    <row r="34" spans="1:15" ht="29.1" customHeight="1" x14ac:dyDescent="0.2">
      <c r="A34" s="8">
        <v>7</v>
      </c>
      <c r="B34" s="9" t="s">
        <v>34</v>
      </c>
      <c r="C34" s="9" t="s">
        <v>35</v>
      </c>
      <c r="D34" s="9" t="s">
        <v>23</v>
      </c>
      <c r="E34" s="10">
        <v>300</v>
      </c>
      <c r="F34" s="11">
        <v>2996.7840000000001</v>
      </c>
      <c r="G34" s="12">
        <v>3.3596300000000003E-2</v>
      </c>
      <c r="H34" s="11">
        <v>7.7194000000000003</v>
      </c>
      <c r="O34"/>
    </row>
    <row r="35" spans="1:15" ht="17.100000000000001" customHeight="1" x14ac:dyDescent="0.2">
      <c r="A35" s="8">
        <v>8</v>
      </c>
      <c r="B35" s="9" t="s">
        <v>36</v>
      </c>
      <c r="C35" s="9" t="s">
        <v>37</v>
      </c>
      <c r="D35" s="9" t="s">
        <v>23</v>
      </c>
      <c r="E35" s="10">
        <v>250</v>
      </c>
      <c r="F35" s="11">
        <v>2550.3049999999998</v>
      </c>
      <c r="G35" s="12">
        <v>2.8590919999999999E-2</v>
      </c>
      <c r="H35" s="11">
        <v>7.4889999999999999</v>
      </c>
      <c r="O35"/>
    </row>
    <row r="36" spans="1:15" ht="29.1" customHeight="1" x14ac:dyDescent="0.2">
      <c r="A36" s="8">
        <v>9</v>
      </c>
      <c r="B36" s="9" t="s">
        <v>38</v>
      </c>
      <c r="C36" s="9" t="s">
        <v>39</v>
      </c>
      <c r="D36" s="9" t="s">
        <v>23</v>
      </c>
      <c r="E36" s="10">
        <v>2500</v>
      </c>
      <c r="F36" s="11">
        <v>2500.8425000000002</v>
      </c>
      <c r="G36" s="12">
        <v>2.80364E-2</v>
      </c>
      <c r="H36" s="11">
        <v>7.39</v>
      </c>
    </row>
    <row r="37" spans="1:15" ht="29.1" customHeight="1" x14ac:dyDescent="0.2">
      <c r="A37" s="8">
        <v>10</v>
      </c>
      <c r="B37" s="9" t="s">
        <v>40</v>
      </c>
      <c r="C37" s="9" t="s">
        <v>41</v>
      </c>
      <c r="D37" s="9" t="s">
        <v>23</v>
      </c>
      <c r="E37" s="10">
        <v>2500</v>
      </c>
      <c r="F37" s="11">
        <v>2499.0949999999998</v>
      </c>
      <c r="G37" s="12">
        <v>2.801681E-2</v>
      </c>
      <c r="H37" s="11">
        <v>7.5197000000000003</v>
      </c>
    </row>
    <row r="38" spans="1:15" ht="17.100000000000001" customHeight="1" x14ac:dyDescent="0.2">
      <c r="A38" s="8">
        <v>11</v>
      </c>
      <c r="B38" s="9" t="s">
        <v>42</v>
      </c>
      <c r="C38" s="9" t="s">
        <v>43</v>
      </c>
      <c r="D38" s="9" t="s">
        <v>23</v>
      </c>
      <c r="E38" s="10">
        <v>2500</v>
      </c>
      <c r="F38" s="11">
        <v>2498.1350000000002</v>
      </c>
      <c r="G38" s="12">
        <v>2.8006050000000001E-2</v>
      </c>
      <c r="H38" s="11">
        <v>7.47</v>
      </c>
    </row>
    <row r="39" spans="1:15" ht="17.100000000000001" customHeight="1" x14ac:dyDescent="0.2">
      <c r="A39" s="8">
        <v>12</v>
      </c>
      <c r="B39" s="9" t="s">
        <v>44</v>
      </c>
      <c r="C39" s="9" t="s">
        <v>45</v>
      </c>
      <c r="D39" s="9" t="s">
        <v>46</v>
      </c>
      <c r="E39" s="10">
        <v>250</v>
      </c>
      <c r="F39" s="11">
        <v>2496.6224999999999</v>
      </c>
      <c r="G39" s="12">
        <v>2.7989090000000001E-2</v>
      </c>
      <c r="H39" s="11">
        <v>7.65</v>
      </c>
    </row>
    <row r="40" spans="1:15" ht="29.1" customHeight="1" x14ac:dyDescent="0.2">
      <c r="A40" s="8">
        <v>13</v>
      </c>
      <c r="B40" s="9" t="s">
        <v>47</v>
      </c>
      <c r="C40" s="9" t="s">
        <v>48</v>
      </c>
      <c r="D40" s="9" t="s">
        <v>23</v>
      </c>
      <c r="E40" s="10">
        <v>2500</v>
      </c>
      <c r="F40" s="11">
        <v>2495.9575</v>
      </c>
      <c r="G40" s="12">
        <v>2.7981639999999999E-2</v>
      </c>
      <c r="H40" s="11">
        <v>7.89</v>
      </c>
    </row>
    <row r="41" spans="1:15" ht="17.100000000000001" customHeight="1" x14ac:dyDescent="0.2">
      <c r="A41" s="8">
        <v>14</v>
      </c>
      <c r="B41" s="9" t="s">
        <v>49</v>
      </c>
      <c r="C41" s="9" t="s">
        <v>471</v>
      </c>
      <c r="D41" s="9" t="s">
        <v>23</v>
      </c>
      <c r="E41" s="10">
        <v>250</v>
      </c>
      <c r="F41" s="11">
        <v>2494.8474999999999</v>
      </c>
      <c r="G41" s="12">
        <v>2.7969190000000001E-2</v>
      </c>
      <c r="H41" s="11">
        <v>7.1950000000000003</v>
      </c>
    </row>
    <row r="42" spans="1:15" ht="29.1" customHeight="1" x14ac:dyDescent="0.2">
      <c r="A42" s="8">
        <v>15</v>
      </c>
      <c r="B42" s="9" t="s">
        <v>50</v>
      </c>
      <c r="C42" s="9" t="s">
        <v>51</v>
      </c>
      <c r="D42" s="9" t="s">
        <v>23</v>
      </c>
      <c r="E42" s="10">
        <v>2500</v>
      </c>
      <c r="F42" s="11">
        <v>2486.9324999999999</v>
      </c>
      <c r="G42" s="12">
        <v>2.7880459999999999E-2</v>
      </c>
      <c r="H42" s="11">
        <v>7.7975000000000003</v>
      </c>
    </row>
    <row r="43" spans="1:15" ht="29.1" customHeight="1" x14ac:dyDescent="0.2">
      <c r="A43" s="8">
        <v>16</v>
      </c>
      <c r="B43" s="9" t="s">
        <v>52</v>
      </c>
      <c r="C43" s="9" t="s">
        <v>53</v>
      </c>
      <c r="D43" s="9" t="s">
        <v>46</v>
      </c>
      <c r="E43" s="10">
        <v>250</v>
      </c>
      <c r="F43" s="11">
        <v>2479.8249999999998</v>
      </c>
      <c r="G43" s="12">
        <v>2.7800780000000001E-2</v>
      </c>
      <c r="H43" s="11">
        <v>7.1950000000000003</v>
      </c>
    </row>
    <row r="44" spans="1:15" ht="29.1" customHeight="1" x14ac:dyDescent="0.2">
      <c r="A44" s="8">
        <v>17</v>
      </c>
      <c r="B44" s="9" t="s">
        <v>54</v>
      </c>
      <c r="C44" s="9" t="s">
        <v>55</v>
      </c>
      <c r="D44" s="9" t="s">
        <v>23</v>
      </c>
      <c r="E44" s="10">
        <v>250</v>
      </c>
      <c r="F44" s="11">
        <v>2473.4825000000001</v>
      </c>
      <c r="G44" s="12">
        <v>2.772968E-2</v>
      </c>
      <c r="H44" s="11">
        <v>7.5288000000000004</v>
      </c>
    </row>
    <row r="45" spans="1:15" ht="29.1" customHeight="1" x14ac:dyDescent="0.2">
      <c r="A45" s="8">
        <v>18</v>
      </c>
      <c r="B45" s="9" t="s">
        <v>56</v>
      </c>
      <c r="C45" s="9" t="s">
        <v>57</v>
      </c>
      <c r="D45" s="9" t="s">
        <v>23</v>
      </c>
      <c r="E45" s="10">
        <v>1500</v>
      </c>
      <c r="F45" s="11">
        <v>1501.6455000000001</v>
      </c>
      <c r="G45" s="12">
        <v>1.6834620000000002E-2</v>
      </c>
      <c r="H45" s="11">
        <v>7.7778</v>
      </c>
    </row>
    <row r="46" spans="1:15" ht="29.1" customHeight="1" x14ac:dyDescent="0.2">
      <c r="A46" s="8">
        <v>19</v>
      </c>
      <c r="B46" s="9" t="s">
        <v>58</v>
      </c>
      <c r="C46" s="9" t="s">
        <v>59</v>
      </c>
      <c r="D46" s="9" t="s">
        <v>46</v>
      </c>
      <c r="E46" s="10">
        <v>100</v>
      </c>
      <c r="F46" s="11">
        <v>1002.242</v>
      </c>
      <c r="G46" s="12">
        <v>1.123592E-2</v>
      </c>
      <c r="H46" s="11">
        <v>6.95</v>
      </c>
    </row>
    <row r="47" spans="1:15" ht="17.100000000000001" customHeight="1" x14ac:dyDescent="0.2">
      <c r="A47" s="8">
        <v>20</v>
      </c>
      <c r="B47" s="9" t="s">
        <v>60</v>
      </c>
      <c r="C47" s="9" t="s">
        <v>61</v>
      </c>
      <c r="D47" s="9" t="s">
        <v>62</v>
      </c>
      <c r="E47" s="10">
        <v>1000</v>
      </c>
      <c r="F47" s="11">
        <v>1000.374</v>
      </c>
      <c r="G47" s="12">
        <v>1.1214979999999999E-2</v>
      </c>
      <c r="H47" s="11">
        <v>6.8849999999999998</v>
      </c>
    </row>
    <row r="48" spans="1:15" ht="29.1" customHeight="1" x14ac:dyDescent="0.2">
      <c r="A48" s="8">
        <v>21</v>
      </c>
      <c r="B48" s="9" t="s">
        <v>63</v>
      </c>
      <c r="C48" s="9" t="s">
        <v>64</v>
      </c>
      <c r="D48" s="9" t="s">
        <v>46</v>
      </c>
      <c r="E48" s="10">
        <v>80</v>
      </c>
      <c r="F48" s="11">
        <v>1000.208</v>
      </c>
      <c r="G48" s="12">
        <v>1.121312E-2</v>
      </c>
      <c r="H48" s="11">
        <v>6.9649999999999999</v>
      </c>
    </row>
    <row r="49" spans="1:8" ht="17.100000000000001" customHeight="1" x14ac:dyDescent="0.2">
      <c r="A49" s="8">
        <v>22</v>
      </c>
      <c r="B49" s="9" t="s">
        <v>65</v>
      </c>
      <c r="C49" s="9" t="s">
        <v>66</v>
      </c>
      <c r="D49" s="9" t="s">
        <v>23</v>
      </c>
      <c r="E49" s="10">
        <v>1000</v>
      </c>
      <c r="F49" s="11">
        <v>1000.0890000000001</v>
      </c>
      <c r="G49" s="12">
        <v>1.1211779999999999E-2</v>
      </c>
      <c r="H49" s="11">
        <v>7.4349999999999996</v>
      </c>
    </row>
    <row r="50" spans="1:8" ht="29.1" customHeight="1" x14ac:dyDescent="0.2">
      <c r="A50" s="8">
        <v>23</v>
      </c>
      <c r="B50" s="9" t="s">
        <v>67</v>
      </c>
      <c r="C50" s="9" t="s">
        <v>68</v>
      </c>
      <c r="D50" s="9" t="s">
        <v>23</v>
      </c>
      <c r="E50" s="10">
        <v>1000</v>
      </c>
      <c r="F50" s="11">
        <v>998.19899999999996</v>
      </c>
      <c r="G50" s="12">
        <v>1.119059E-2</v>
      </c>
      <c r="H50" s="11">
        <v>8.1173999999999999</v>
      </c>
    </row>
    <row r="51" spans="1:8" ht="29.1" customHeight="1" x14ac:dyDescent="0.2">
      <c r="A51" s="8">
        <v>24</v>
      </c>
      <c r="B51" s="9" t="s">
        <v>69</v>
      </c>
      <c r="C51" s="9" t="s">
        <v>70</v>
      </c>
      <c r="D51" s="9" t="s">
        <v>23</v>
      </c>
      <c r="E51" s="10">
        <v>1000</v>
      </c>
      <c r="F51" s="11">
        <v>996.50400000000002</v>
      </c>
      <c r="G51" s="12">
        <v>1.117159E-2</v>
      </c>
      <c r="H51" s="11">
        <v>7.58</v>
      </c>
    </row>
    <row r="52" spans="1:8" ht="29.1" customHeight="1" x14ac:dyDescent="0.2">
      <c r="A52" s="8">
        <v>25</v>
      </c>
      <c r="B52" s="9" t="s">
        <v>71</v>
      </c>
      <c r="C52" s="9" t="s">
        <v>72</v>
      </c>
      <c r="D52" s="9" t="s">
        <v>46</v>
      </c>
      <c r="E52" s="10">
        <v>40</v>
      </c>
      <c r="F52" s="11">
        <v>503.78899999999999</v>
      </c>
      <c r="G52" s="12">
        <v>5.6478700000000001E-3</v>
      </c>
      <c r="H52" s="11">
        <v>7.2949999999999999</v>
      </c>
    </row>
    <row r="53" spans="1:8" ht="29.1" customHeight="1" x14ac:dyDescent="0.2">
      <c r="A53" s="8">
        <v>26</v>
      </c>
      <c r="B53" s="9" t="s">
        <v>73</v>
      </c>
      <c r="C53" s="9" t="s">
        <v>74</v>
      </c>
      <c r="D53" s="9" t="s">
        <v>23</v>
      </c>
      <c r="E53" s="10">
        <v>500</v>
      </c>
      <c r="F53" s="11">
        <v>500.17250000000001</v>
      </c>
      <c r="G53" s="12">
        <v>5.6073299999999998E-3</v>
      </c>
      <c r="H53" s="11">
        <v>7.4615999999999998</v>
      </c>
    </row>
    <row r="54" spans="1:8" ht="29.1" customHeight="1" x14ac:dyDescent="0.2">
      <c r="A54" s="8">
        <v>27</v>
      </c>
      <c r="B54" s="9" t="s">
        <v>75</v>
      </c>
      <c r="C54" s="9" t="s">
        <v>76</v>
      </c>
      <c r="D54" s="9" t="s">
        <v>23</v>
      </c>
      <c r="E54" s="10">
        <v>500</v>
      </c>
      <c r="F54" s="11">
        <v>499.11900000000003</v>
      </c>
      <c r="G54" s="12">
        <v>5.5955199999999997E-3</v>
      </c>
      <c r="H54" s="11">
        <v>7.89</v>
      </c>
    </row>
    <row r="55" spans="1:8" ht="14.1" customHeight="1" x14ac:dyDescent="0.2">
      <c r="A55" s="1"/>
      <c r="B55" s="1"/>
      <c r="C55" s="2" t="s">
        <v>11</v>
      </c>
      <c r="D55" s="1"/>
      <c r="E55" s="1" t="s">
        <v>12</v>
      </c>
      <c r="F55" s="7">
        <v>66880.543000000005</v>
      </c>
      <c r="G55" s="4">
        <v>0.74978328000000005</v>
      </c>
      <c r="H55" s="11"/>
    </row>
    <row r="56" spans="1:8" ht="14.1" customHeight="1" x14ac:dyDescent="0.2">
      <c r="A56" s="1"/>
      <c r="B56" s="1"/>
      <c r="C56" s="5"/>
      <c r="D56" s="1"/>
      <c r="E56" s="1"/>
      <c r="F56" s="6"/>
      <c r="G56" s="6"/>
      <c r="H56" s="11"/>
    </row>
    <row r="57" spans="1:8" ht="14.1" customHeight="1" x14ac:dyDescent="0.2">
      <c r="A57" s="1"/>
      <c r="B57" s="1"/>
      <c r="C57" s="2" t="s">
        <v>77</v>
      </c>
      <c r="D57" s="1"/>
      <c r="E57" s="1"/>
      <c r="F57" s="1"/>
      <c r="G57" s="1"/>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78</v>
      </c>
      <c r="D60" s="1"/>
      <c r="E60" s="1"/>
      <c r="F60" s="1"/>
      <c r="G60" s="1"/>
      <c r="H60" s="11"/>
    </row>
    <row r="61" spans="1:8" ht="29.1" customHeight="1" x14ac:dyDescent="0.2">
      <c r="A61" s="8">
        <v>1</v>
      </c>
      <c r="B61" s="9" t="s">
        <v>79</v>
      </c>
      <c r="C61" s="9" t="s">
        <v>80</v>
      </c>
      <c r="D61" s="9" t="s">
        <v>81</v>
      </c>
      <c r="E61" s="10">
        <v>7500000</v>
      </c>
      <c r="F61" s="11">
        <v>7493.4674999999997</v>
      </c>
      <c r="G61" s="12">
        <v>8.4007639999999995E-2</v>
      </c>
      <c r="H61" s="11">
        <v>7.2032999999999996</v>
      </c>
    </row>
    <row r="62" spans="1:8" ht="29.1" customHeight="1" x14ac:dyDescent="0.2">
      <c r="A62" s="8">
        <v>2</v>
      </c>
      <c r="B62" s="9" t="s">
        <v>82</v>
      </c>
      <c r="C62" s="9" t="s">
        <v>83</v>
      </c>
      <c r="D62" s="9" t="s">
        <v>81</v>
      </c>
      <c r="E62" s="10">
        <v>2500000</v>
      </c>
      <c r="F62" s="11">
        <v>2525.6325000000002</v>
      </c>
      <c r="G62" s="12">
        <v>2.831432E-2</v>
      </c>
      <c r="H62" s="11">
        <v>7.2035</v>
      </c>
    </row>
    <row r="63" spans="1:8" ht="29.1" customHeight="1" x14ac:dyDescent="0.2">
      <c r="A63" s="8">
        <v>3</v>
      </c>
      <c r="B63" s="9" t="s">
        <v>84</v>
      </c>
      <c r="C63" s="9" t="s">
        <v>85</v>
      </c>
      <c r="D63" s="9" t="s">
        <v>81</v>
      </c>
      <c r="E63" s="10">
        <v>2500000</v>
      </c>
      <c r="F63" s="11">
        <v>2525.4499999999998</v>
      </c>
      <c r="G63" s="12">
        <v>2.831227E-2</v>
      </c>
      <c r="H63" s="11">
        <v>7.2367999999999997</v>
      </c>
    </row>
    <row r="64" spans="1:8" ht="29.1" customHeight="1" x14ac:dyDescent="0.2">
      <c r="A64" s="8">
        <v>4</v>
      </c>
      <c r="B64" s="9" t="s">
        <v>86</v>
      </c>
      <c r="C64" s="9" t="s">
        <v>87</v>
      </c>
      <c r="D64" s="9" t="s">
        <v>81</v>
      </c>
      <c r="E64" s="10">
        <v>2500000</v>
      </c>
      <c r="F64" s="11">
        <v>2513.9549999999999</v>
      </c>
      <c r="G64" s="12">
        <v>2.8183400000000001E-2</v>
      </c>
      <c r="H64" s="11">
        <v>6.9678000000000004</v>
      </c>
    </row>
    <row r="65" spans="1:8" ht="29.1" customHeight="1" x14ac:dyDescent="0.2">
      <c r="A65" s="8">
        <v>5</v>
      </c>
      <c r="B65" s="9" t="s">
        <v>88</v>
      </c>
      <c r="C65" s="9" t="s">
        <v>89</v>
      </c>
      <c r="D65" s="9" t="s">
        <v>81</v>
      </c>
      <c r="E65" s="10">
        <v>500000</v>
      </c>
      <c r="F65" s="11">
        <v>501.3845</v>
      </c>
      <c r="G65" s="12">
        <v>5.6209099999999998E-3</v>
      </c>
      <c r="H65" s="11">
        <v>6.9428000000000001</v>
      </c>
    </row>
    <row r="66" spans="1:8" ht="14.1" customHeight="1" x14ac:dyDescent="0.2">
      <c r="A66" s="1"/>
      <c r="B66" s="1"/>
      <c r="C66" s="2" t="s">
        <v>11</v>
      </c>
      <c r="D66" s="1"/>
      <c r="E66" s="1" t="s">
        <v>12</v>
      </c>
      <c r="F66" s="7">
        <v>15559.889499999999</v>
      </c>
      <c r="G66" s="4">
        <v>0.17443854</v>
      </c>
      <c r="H66" s="11"/>
    </row>
    <row r="67" spans="1:8" ht="14.1" customHeight="1" x14ac:dyDescent="0.2">
      <c r="A67" s="1"/>
      <c r="B67" s="1"/>
      <c r="C67" s="5"/>
      <c r="D67" s="1"/>
      <c r="E67" s="1"/>
      <c r="F67" s="6"/>
      <c r="G67" s="6"/>
      <c r="H67" s="11"/>
    </row>
    <row r="68" spans="1:8" ht="14.1" customHeight="1" x14ac:dyDescent="0.2">
      <c r="A68" s="1"/>
      <c r="B68" s="1"/>
      <c r="C68" s="2" t="s">
        <v>90</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91</v>
      </c>
      <c r="D71" s="1"/>
      <c r="E71" s="1"/>
      <c r="F71" s="7">
        <v>82440.432499999995</v>
      </c>
      <c r="G71" s="4">
        <v>0.92422181999999997</v>
      </c>
      <c r="H71" s="11"/>
    </row>
    <row r="72" spans="1:8" ht="14.1" customHeight="1" x14ac:dyDescent="0.2">
      <c r="A72" s="1"/>
      <c r="B72" s="1"/>
      <c r="C72" s="5"/>
      <c r="D72" s="1"/>
      <c r="E72" s="1"/>
      <c r="F72" s="6"/>
      <c r="G72" s="6"/>
      <c r="H72" s="11"/>
    </row>
    <row r="73" spans="1:8" ht="14.1" customHeight="1" x14ac:dyDescent="0.2">
      <c r="A73" s="1"/>
      <c r="B73" s="1"/>
      <c r="C73" s="2" t="s">
        <v>92</v>
      </c>
      <c r="D73" s="1"/>
      <c r="E73" s="1"/>
      <c r="F73" s="6"/>
      <c r="G73" s="6"/>
      <c r="H73" s="11"/>
    </row>
    <row r="74" spans="1:8" ht="14.1" customHeight="1" x14ac:dyDescent="0.2">
      <c r="A74" s="1"/>
      <c r="B74" s="1"/>
      <c r="C74" s="2" t="s">
        <v>93</v>
      </c>
      <c r="D74" s="1"/>
      <c r="E74" s="1"/>
      <c r="F74" s="6"/>
      <c r="G74" s="6"/>
      <c r="H74" s="11"/>
    </row>
    <row r="75" spans="1:8" ht="14.1" customHeight="1" x14ac:dyDescent="0.2">
      <c r="A75" s="1"/>
      <c r="B75" s="1"/>
      <c r="C75" s="2" t="s">
        <v>11</v>
      </c>
      <c r="D75" s="1"/>
      <c r="E75" s="1" t="s">
        <v>12</v>
      </c>
      <c r="F75" s="3" t="s">
        <v>13</v>
      </c>
      <c r="G75" s="4">
        <v>0</v>
      </c>
      <c r="H75" s="11"/>
    </row>
    <row r="76" spans="1:8" ht="14.1" customHeight="1" x14ac:dyDescent="0.2">
      <c r="A76" s="1"/>
      <c r="B76" s="1"/>
      <c r="C76" s="5"/>
      <c r="D76" s="1"/>
      <c r="E76" s="1"/>
      <c r="F76" s="6"/>
      <c r="G76" s="6"/>
      <c r="H76" s="11"/>
    </row>
    <row r="77" spans="1:8" ht="14.1" customHeight="1" x14ac:dyDescent="0.2">
      <c r="A77" s="1"/>
      <c r="B77" s="1"/>
      <c r="C77" s="2" t="s">
        <v>94</v>
      </c>
      <c r="D77" s="1"/>
      <c r="E77" s="1"/>
      <c r="F77" s="6"/>
      <c r="G77" s="6"/>
      <c r="H77" s="11"/>
    </row>
    <row r="78" spans="1:8" ht="14.1" customHeight="1" x14ac:dyDescent="0.2">
      <c r="A78" s="1"/>
      <c r="B78" s="1"/>
      <c r="C78" s="2" t="s">
        <v>11</v>
      </c>
      <c r="D78" s="1"/>
      <c r="E78" s="1" t="s">
        <v>12</v>
      </c>
      <c r="F78" s="3" t="s">
        <v>13</v>
      </c>
      <c r="G78" s="4">
        <v>0</v>
      </c>
      <c r="H78" s="11"/>
    </row>
    <row r="79" spans="1:8" ht="14.1" customHeight="1" x14ac:dyDescent="0.2">
      <c r="A79" s="1"/>
      <c r="B79" s="1"/>
      <c r="C79" s="5"/>
      <c r="D79" s="1"/>
      <c r="E79" s="1"/>
      <c r="F79" s="6"/>
      <c r="G79" s="6"/>
      <c r="H79" s="11"/>
    </row>
    <row r="80" spans="1:8" ht="14.1" customHeight="1" x14ac:dyDescent="0.2">
      <c r="A80" s="1"/>
      <c r="B80" s="1"/>
      <c r="C80" s="2" t="s">
        <v>95</v>
      </c>
      <c r="D80" s="1"/>
      <c r="E80" s="1"/>
      <c r="F80" s="6"/>
      <c r="G80" s="6"/>
      <c r="H80" s="11"/>
    </row>
    <row r="81" spans="1:9" ht="14.1" customHeight="1" x14ac:dyDescent="0.2">
      <c r="A81" s="1"/>
      <c r="B81" s="1"/>
      <c r="C81" s="2" t="s">
        <v>11</v>
      </c>
      <c r="D81" s="1"/>
      <c r="E81" s="1" t="s">
        <v>12</v>
      </c>
      <c r="F81" s="3" t="s">
        <v>13</v>
      </c>
      <c r="G81" s="4">
        <v>0</v>
      </c>
      <c r="H81" s="11"/>
    </row>
    <row r="82" spans="1:9" ht="14.1" customHeight="1" x14ac:dyDescent="0.2">
      <c r="A82" s="1"/>
      <c r="B82" s="1"/>
      <c r="C82" s="5"/>
      <c r="D82" s="1"/>
      <c r="E82" s="1"/>
      <c r="F82" s="6"/>
      <c r="G82" s="6"/>
      <c r="H82" s="11"/>
    </row>
    <row r="83" spans="1:9" ht="14.1" customHeight="1" x14ac:dyDescent="0.2">
      <c r="A83" s="1"/>
      <c r="B83" s="1"/>
      <c r="C83" s="2" t="s">
        <v>96</v>
      </c>
      <c r="D83" s="1"/>
      <c r="E83" s="1"/>
      <c r="F83" s="6"/>
      <c r="G83" s="6"/>
      <c r="H83" s="11"/>
    </row>
    <row r="84" spans="1:9" ht="17.100000000000001" customHeight="1" x14ac:dyDescent="0.2">
      <c r="A84" s="8">
        <v>1</v>
      </c>
      <c r="B84" s="9"/>
      <c r="C84" s="9" t="s">
        <v>97</v>
      </c>
      <c r="D84" s="9"/>
      <c r="E84" s="13"/>
      <c r="F84" s="11">
        <v>3592.1216807820001</v>
      </c>
      <c r="G84" s="12">
        <v>4.0270500000000001E-2</v>
      </c>
      <c r="H84" s="11">
        <v>6.7573016869821334</v>
      </c>
    </row>
    <row r="85" spans="1:9" ht="17.100000000000001" customHeight="1" x14ac:dyDescent="0.2">
      <c r="A85" s="8">
        <v>2</v>
      </c>
      <c r="B85" s="9"/>
      <c r="C85" s="9" t="s">
        <v>98</v>
      </c>
      <c r="D85" s="9"/>
      <c r="E85" s="13"/>
      <c r="F85" s="11">
        <v>2942.7213161999998</v>
      </c>
      <c r="G85" s="12">
        <v>3.2990209999999999E-2</v>
      </c>
      <c r="H85" s="11">
        <v>6.796603293503404</v>
      </c>
      <c r="I85" s="109"/>
    </row>
    <row r="86" spans="1:9" ht="14.1" customHeight="1" x14ac:dyDescent="0.2">
      <c r="A86" s="1"/>
      <c r="B86" s="1"/>
      <c r="C86" s="2" t="s">
        <v>11</v>
      </c>
      <c r="D86" s="1"/>
      <c r="E86" s="1" t="s">
        <v>12</v>
      </c>
      <c r="F86" s="7">
        <v>6534.8429969819999</v>
      </c>
      <c r="G86" s="4">
        <v>7.3260710000000007E-2</v>
      </c>
      <c r="H86" s="11"/>
    </row>
    <row r="87" spans="1:9" ht="14.1" customHeight="1" x14ac:dyDescent="0.2">
      <c r="A87" s="1"/>
      <c r="B87" s="1"/>
      <c r="C87" s="5"/>
      <c r="D87" s="1"/>
      <c r="E87" s="1"/>
      <c r="F87" s="6"/>
      <c r="G87" s="6"/>
      <c r="H87" s="11"/>
    </row>
    <row r="88" spans="1:9" ht="14.1" customHeight="1" x14ac:dyDescent="0.2">
      <c r="A88" s="1"/>
      <c r="B88" s="1"/>
      <c r="C88" s="2" t="s">
        <v>99</v>
      </c>
      <c r="D88" s="1"/>
      <c r="E88" s="1"/>
      <c r="F88" s="7">
        <v>6534.8429969819999</v>
      </c>
      <c r="G88" s="4">
        <v>7.3260710000000007E-2</v>
      </c>
      <c r="H88" s="11"/>
    </row>
    <row r="89" spans="1:9" ht="14.1" customHeight="1" x14ac:dyDescent="0.2">
      <c r="A89" s="1"/>
      <c r="B89" s="1"/>
      <c r="C89" s="6"/>
      <c r="D89" s="1"/>
      <c r="E89" s="1"/>
      <c r="F89" s="1"/>
      <c r="G89" s="1"/>
      <c r="H89" s="11"/>
    </row>
    <row r="90" spans="1:9" ht="14.1" customHeight="1" x14ac:dyDescent="0.2">
      <c r="A90" s="1"/>
      <c r="B90" s="1"/>
      <c r="C90" s="2" t="s">
        <v>100</v>
      </c>
      <c r="D90" s="1"/>
      <c r="E90" s="1"/>
      <c r="F90" s="1"/>
      <c r="G90" s="1"/>
      <c r="H90" s="11"/>
    </row>
    <row r="91" spans="1:9" ht="14.1" customHeight="1" x14ac:dyDescent="0.2">
      <c r="A91" s="1"/>
      <c r="B91" s="1"/>
      <c r="C91" s="2" t="s">
        <v>101</v>
      </c>
      <c r="D91" s="1"/>
      <c r="E91" s="1"/>
      <c r="F91" s="1"/>
      <c r="G91" s="1"/>
      <c r="H91" s="11"/>
    </row>
    <row r="92" spans="1:9" ht="14.1" customHeight="1" x14ac:dyDescent="0.2">
      <c r="A92" s="1"/>
      <c r="B92" s="1"/>
      <c r="C92" s="2" t="s">
        <v>11</v>
      </c>
      <c r="D92" s="1"/>
      <c r="E92" s="1" t="s">
        <v>12</v>
      </c>
      <c r="F92" s="3" t="s">
        <v>13</v>
      </c>
      <c r="G92" s="4">
        <v>0</v>
      </c>
      <c r="H92" s="11"/>
    </row>
    <row r="93" spans="1:9" ht="14.1" customHeight="1" x14ac:dyDescent="0.2">
      <c r="A93" s="1"/>
      <c r="B93" s="1"/>
      <c r="C93" s="5"/>
      <c r="D93" s="1"/>
      <c r="E93" s="1"/>
      <c r="F93" s="6"/>
      <c r="G93" s="6"/>
      <c r="H93" s="11"/>
    </row>
    <row r="94" spans="1:9" ht="14.1" customHeight="1" x14ac:dyDescent="0.2">
      <c r="A94" s="1"/>
      <c r="B94" s="1"/>
      <c r="C94" s="2" t="s">
        <v>102</v>
      </c>
      <c r="D94" s="1"/>
      <c r="E94" s="1"/>
      <c r="F94" s="1"/>
      <c r="G94" s="1"/>
      <c r="H94" s="11"/>
    </row>
    <row r="95" spans="1:9" ht="14.1" customHeight="1" x14ac:dyDescent="0.2">
      <c r="A95" s="1"/>
      <c r="B95" s="1"/>
      <c r="C95" s="2" t="s">
        <v>103</v>
      </c>
      <c r="D95" s="1"/>
      <c r="E95" s="1"/>
      <c r="F95" s="1"/>
      <c r="G95" s="1"/>
      <c r="H95" s="11"/>
    </row>
    <row r="96" spans="1:9" ht="14.1" customHeight="1" x14ac:dyDescent="0.2">
      <c r="A96" s="1"/>
      <c r="B96" s="1"/>
      <c r="C96" s="2" t="s">
        <v>11</v>
      </c>
      <c r="D96" s="1"/>
      <c r="E96" s="1" t="s">
        <v>12</v>
      </c>
      <c r="F96" s="3" t="s">
        <v>13</v>
      </c>
      <c r="G96" s="4">
        <v>0</v>
      </c>
      <c r="H96" s="11"/>
    </row>
    <row r="97" spans="1:8" ht="14.1" customHeight="1" x14ac:dyDescent="0.2">
      <c r="A97" s="1"/>
      <c r="B97" s="1"/>
      <c r="C97" s="5"/>
      <c r="D97" s="1"/>
      <c r="E97" s="1"/>
      <c r="F97" s="6"/>
      <c r="G97" s="6"/>
      <c r="H97" s="11"/>
    </row>
    <row r="98" spans="1:8" ht="24" customHeight="1" x14ac:dyDescent="0.2">
      <c r="A98" s="1"/>
      <c r="B98" s="1"/>
      <c r="C98" s="2" t="s">
        <v>104</v>
      </c>
      <c r="D98" s="1"/>
      <c r="E98" s="1"/>
      <c r="F98" s="6"/>
      <c r="G98" s="6"/>
      <c r="H98" s="11"/>
    </row>
    <row r="99" spans="1:8" ht="14.1" customHeight="1" x14ac:dyDescent="0.2">
      <c r="A99" s="1"/>
      <c r="B99" s="1"/>
      <c r="C99" s="2" t="s">
        <v>11</v>
      </c>
      <c r="D99" s="1"/>
      <c r="E99" s="1" t="s">
        <v>12</v>
      </c>
      <c r="F99" s="3" t="s">
        <v>13</v>
      </c>
      <c r="G99" s="4">
        <v>0</v>
      </c>
      <c r="H99" s="11"/>
    </row>
    <row r="100" spans="1:8" ht="14.1" customHeight="1" x14ac:dyDescent="0.2">
      <c r="A100" s="1"/>
      <c r="B100" s="1"/>
      <c r="C100" s="5"/>
      <c r="D100" s="1"/>
      <c r="E100" s="1"/>
      <c r="F100" s="6"/>
      <c r="G100" s="6"/>
      <c r="H100" s="11"/>
    </row>
    <row r="101" spans="1:8" ht="14.1" customHeight="1" x14ac:dyDescent="0.2">
      <c r="A101" s="1"/>
      <c r="B101" s="9"/>
      <c r="C101" s="9"/>
      <c r="D101" s="2"/>
      <c r="E101" s="1"/>
      <c r="F101" s="9"/>
      <c r="G101" s="13"/>
      <c r="H101" s="11"/>
    </row>
    <row r="102" spans="1:8" ht="18" customHeight="1" x14ac:dyDescent="0.2">
      <c r="A102" s="13"/>
      <c r="B102" s="9"/>
      <c r="C102" s="9" t="s">
        <v>105</v>
      </c>
      <c r="D102" s="9"/>
      <c r="E102" s="13"/>
      <c r="F102" s="11">
        <v>224.55848578999999</v>
      </c>
      <c r="G102" s="12">
        <v>2.5174799999999999E-3</v>
      </c>
      <c r="H102" s="11"/>
    </row>
    <row r="103" spans="1:8" ht="14.1" customHeight="1" x14ac:dyDescent="0.2">
      <c r="A103" s="5"/>
      <c r="B103" s="5"/>
      <c r="C103" s="2" t="s">
        <v>106</v>
      </c>
      <c r="D103" s="6"/>
      <c r="E103" s="6"/>
      <c r="F103" s="7">
        <v>89199.833982772005</v>
      </c>
      <c r="G103" s="14">
        <v>1.0000000099999999</v>
      </c>
      <c r="H103" s="11"/>
    </row>
    <row r="104" spans="1:8" ht="14.1" customHeight="1" x14ac:dyDescent="0.2">
      <c r="A104" s="15"/>
      <c r="B104" s="15"/>
      <c r="C104" s="15"/>
      <c r="D104" s="16"/>
      <c r="E104" s="16"/>
      <c r="F104" s="16"/>
      <c r="G104" s="16"/>
    </row>
    <row r="105" spans="1:8" ht="17.100000000000001" customHeight="1" x14ac:dyDescent="0.2">
      <c r="A105" s="17"/>
      <c r="B105" s="121" t="s">
        <v>107</v>
      </c>
      <c r="C105" s="121"/>
      <c r="D105" s="121"/>
      <c r="E105" s="121"/>
      <c r="F105" s="121"/>
      <c r="G105" s="19"/>
    </row>
    <row r="106" spans="1:8" ht="17.100000000000001" customHeight="1" x14ac:dyDescent="0.2">
      <c r="A106" s="17"/>
      <c r="B106" s="121" t="s">
        <v>108</v>
      </c>
      <c r="C106" s="121"/>
      <c r="D106" s="121"/>
      <c r="E106" s="121"/>
      <c r="F106" s="121"/>
      <c r="G106" s="19"/>
    </row>
    <row r="107" spans="1:8" ht="14.1" customHeight="1" x14ac:dyDescent="0.2">
      <c r="A107" s="17"/>
      <c r="B107" s="17"/>
      <c r="C107" s="17"/>
      <c r="D107" s="19"/>
      <c r="E107" s="19"/>
      <c r="F107" s="19"/>
      <c r="G107" s="19"/>
    </row>
    <row r="108" spans="1:8" ht="14.1" customHeight="1" x14ac:dyDescent="0.2">
      <c r="A108" s="17"/>
      <c r="B108" s="122" t="s">
        <v>109</v>
      </c>
      <c r="C108" s="123"/>
      <c r="D108" s="124"/>
      <c r="E108" s="20"/>
      <c r="F108" s="19"/>
      <c r="G108" s="19"/>
    </row>
    <row r="109" spans="1:8" ht="29.1" customHeight="1" x14ac:dyDescent="0.2">
      <c r="A109" s="17"/>
      <c r="B109" s="114" t="s">
        <v>110</v>
      </c>
      <c r="C109" s="115"/>
      <c r="D109" s="2" t="s">
        <v>111</v>
      </c>
      <c r="E109" s="20"/>
      <c r="F109" s="19"/>
      <c r="G109" s="19"/>
    </row>
    <row r="110" spans="1:8" ht="17.100000000000001" customHeight="1" x14ac:dyDescent="0.2">
      <c r="A110" s="17"/>
      <c r="B110" s="114" t="s">
        <v>112</v>
      </c>
      <c r="C110" s="115"/>
      <c r="D110" s="2" t="s">
        <v>111</v>
      </c>
      <c r="E110" s="20"/>
      <c r="F110" s="19"/>
      <c r="G110" s="19"/>
    </row>
    <row r="111" spans="1:8" ht="17.100000000000001" customHeight="1" x14ac:dyDescent="0.2">
      <c r="A111" s="17"/>
      <c r="B111" s="114" t="s">
        <v>113</v>
      </c>
      <c r="C111" s="115"/>
      <c r="D111" s="6" t="s">
        <v>12</v>
      </c>
      <c r="E111" s="20"/>
      <c r="F111" s="19"/>
      <c r="G111" s="19"/>
    </row>
    <row r="112" spans="1:8" ht="24" customHeight="1" x14ac:dyDescent="0.2">
      <c r="A112" s="21"/>
      <c r="B112" s="22" t="s">
        <v>12</v>
      </c>
      <c r="C112" s="22" t="s">
        <v>114</v>
      </c>
      <c r="D112" s="22" t="s">
        <v>115</v>
      </c>
      <c r="E112" s="21"/>
      <c r="F112" s="21"/>
      <c r="G112" s="21"/>
    </row>
    <row r="113" spans="1:7" ht="18" customHeight="1" x14ac:dyDescent="0.2">
      <c r="A113" s="21"/>
      <c r="B113" s="23" t="s">
        <v>116</v>
      </c>
      <c r="C113" s="22" t="s">
        <v>590</v>
      </c>
      <c r="D113" s="22" t="s">
        <v>117</v>
      </c>
      <c r="E113" s="21"/>
      <c r="F113" s="21"/>
      <c r="G113" s="21"/>
    </row>
    <row r="114" spans="1:7" ht="17.100000000000001" customHeight="1" x14ac:dyDescent="0.2">
      <c r="A114" s="21"/>
      <c r="B114" s="9" t="s">
        <v>118</v>
      </c>
      <c r="C114" s="24">
        <v>35.473700000000001</v>
      </c>
      <c r="D114" s="24">
        <v>35.517499999999998</v>
      </c>
      <c r="E114" s="21"/>
      <c r="F114" s="18"/>
      <c r="G114" s="25"/>
    </row>
    <row r="115" spans="1:7" ht="29.1" customHeight="1" x14ac:dyDescent="0.2">
      <c r="A115" s="21"/>
      <c r="B115" s="9" t="s">
        <v>568</v>
      </c>
      <c r="C115" s="24">
        <v>16.0565</v>
      </c>
      <c r="D115" s="24">
        <v>16.0563</v>
      </c>
      <c r="E115" s="21"/>
      <c r="F115" s="18"/>
      <c r="G115" s="25"/>
    </row>
    <row r="116" spans="1:7" ht="29.1" customHeight="1" x14ac:dyDescent="0.2">
      <c r="A116" s="21"/>
      <c r="B116" s="9" t="s">
        <v>569</v>
      </c>
      <c r="C116" s="24">
        <v>17.843699999999998</v>
      </c>
      <c r="D116" s="24">
        <v>17.790700000000001</v>
      </c>
      <c r="E116" s="21"/>
      <c r="F116" s="18"/>
      <c r="G116" s="25"/>
    </row>
    <row r="117" spans="1:7" ht="29.1" customHeight="1" x14ac:dyDescent="0.2">
      <c r="A117" s="21"/>
      <c r="B117" s="9" t="s">
        <v>570</v>
      </c>
      <c r="C117" s="24">
        <v>16.110600000000002</v>
      </c>
      <c r="D117" s="24">
        <v>16.130500000000001</v>
      </c>
      <c r="E117" s="21"/>
      <c r="F117" s="18"/>
      <c r="G117" s="25"/>
    </row>
    <row r="118" spans="1:7" ht="29.1" customHeight="1" x14ac:dyDescent="0.2">
      <c r="A118" s="21"/>
      <c r="B118" s="9" t="s">
        <v>571</v>
      </c>
      <c r="C118" s="24">
        <v>16.055199999999999</v>
      </c>
      <c r="D118" s="24">
        <v>16.074999999999999</v>
      </c>
      <c r="E118" s="21"/>
      <c r="F118" s="18"/>
      <c r="G118" s="25"/>
    </row>
    <row r="119" spans="1:7" ht="17.100000000000001" customHeight="1" x14ac:dyDescent="0.2">
      <c r="A119" s="21"/>
      <c r="B119" s="9" t="s">
        <v>119</v>
      </c>
      <c r="C119" s="24">
        <v>34.464799999999997</v>
      </c>
      <c r="D119" s="24">
        <v>34.504100000000001</v>
      </c>
      <c r="E119" s="21"/>
      <c r="F119" s="18"/>
      <c r="G119" s="25"/>
    </row>
    <row r="120" spans="1:7" ht="29.1" customHeight="1" x14ac:dyDescent="0.2">
      <c r="A120" s="21"/>
      <c r="B120" s="9" t="s">
        <v>572</v>
      </c>
      <c r="C120" s="24">
        <v>15.243399999999999</v>
      </c>
      <c r="D120" s="24">
        <v>15.2408</v>
      </c>
      <c r="E120" s="21"/>
      <c r="F120" s="18"/>
      <c r="G120" s="25"/>
    </row>
    <row r="121" spans="1:7" ht="29.1" customHeight="1" x14ac:dyDescent="0.2">
      <c r="A121" s="21"/>
      <c r="B121" s="9" t="s">
        <v>573</v>
      </c>
      <c r="C121" s="24">
        <v>17.384499999999999</v>
      </c>
      <c r="D121" s="24">
        <v>17.3294</v>
      </c>
      <c r="E121" s="21"/>
      <c r="F121" s="18"/>
      <c r="G121" s="25"/>
    </row>
    <row r="122" spans="1:7" ht="29.1" customHeight="1" x14ac:dyDescent="0.2">
      <c r="A122" s="21"/>
      <c r="B122" s="9" t="s">
        <v>574</v>
      </c>
      <c r="C122" s="24">
        <v>16.057300000000001</v>
      </c>
      <c r="D122" s="24">
        <v>16.075600000000001</v>
      </c>
      <c r="E122" s="21"/>
      <c r="F122" s="18"/>
      <c r="G122" s="25"/>
    </row>
    <row r="123" spans="1:7" ht="29.1" customHeight="1" x14ac:dyDescent="0.2">
      <c r="A123" s="21"/>
      <c r="B123" s="9" t="s">
        <v>575</v>
      </c>
      <c r="C123" s="24">
        <v>15.6388</v>
      </c>
      <c r="D123" s="24">
        <v>15.656599999999999</v>
      </c>
      <c r="E123" s="21"/>
      <c r="F123" s="18"/>
      <c r="G123" s="25"/>
    </row>
    <row r="124" spans="1:7" ht="14.1" customHeight="1" x14ac:dyDescent="0.2">
      <c r="A124" s="21"/>
      <c r="B124" s="21"/>
      <c r="C124" s="21"/>
      <c r="D124" s="21"/>
      <c r="E124" s="21"/>
      <c r="F124" s="21"/>
      <c r="G124" s="21"/>
    </row>
    <row r="125" spans="1:7" ht="17.100000000000001" customHeight="1" x14ac:dyDescent="0.2">
      <c r="A125" s="21"/>
      <c r="B125" s="114" t="s">
        <v>576</v>
      </c>
      <c r="C125" s="115"/>
      <c r="D125" s="2" t="s">
        <v>12</v>
      </c>
      <c r="E125" s="21"/>
      <c r="F125" s="21"/>
      <c r="G125" s="21"/>
    </row>
    <row r="126" spans="1:7" ht="18" customHeight="1" x14ac:dyDescent="0.2">
      <c r="A126" s="21"/>
      <c r="B126" s="26" t="s">
        <v>116</v>
      </c>
      <c r="C126" s="27" t="s">
        <v>120</v>
      </c>
      <c r="D126" s="27" t="s">
        <v>121</v>
      </c>
      <c r="E126" s="21"/>
      <c r="F126" s="21"/>
      <c r="G126" s="21"/>
    </row>
    <row r="127" spans="1:7" ht="29.1" customHeight="1" x14ac:dyDescent="0.2">
      <c r="A127" s="21"/>
      <c r="B127" s="9" t="s">
        <v>568</v>
      </c>
      <c r="C127" s="28">
        <v>0.02</v>
      </c>
      <c r="D127" s="13" t="s">
        <v>122</v>
      </c>
      <c r="E127" s="21"/>
      <c r="F127" s="18"/>
      <c r="G127" s="25"/>
    </row>
    <row r="128" spans="1:7" ht="29.1" customHeight="1" x14ac:dyDescent="0.2">
      <c r="A128" s="21"/>
      <c r="B128" s="9" t="s">
        <v>569</v>
      </c>
      <c r="C128" s="28">
        <v>7.4999999999999997E-2</v>
      </c>
      <c r="D128" s="13" t="s">
        <v>122</v>
      </c>
      <c r="E128" s="21"/>
      <c r="F128" s="18"/>
      <c r="G128" s="25"/>
    </row>
    <row r="129" spans="1:7" ht="29.1" customHeight="1" x14ac:dyDescent="0.2">
      <c r="A129" s="21"/>
      <c r="B129" s="9" t="s">
        <v>572</v>
      </c>
      <c r="C129" s="28">
        <v>0.02</v>
      </c>
      <c r="D129" s="13" t="s">
        <v>122</v>
      </c>
      <c r="E129" s="21"/>
      <c r="F129" s="18"/>
      <c r="G129" s="25"/>
    </row>
    <row r="130" spans="1:7" ht="29.1" customHeight="1" x14ac:dyDescent="0.2">
      <c r="A130" s="21"/>
      <c r="B130" s="9" t="s">
        <v>573</v>
      </c>
      <c r="C130" s="28">
        <v>7.4999999999999997E-2</v>
      </c>
      <c r="D130" s="28">
        <v>7.4999999999999997E-2</v>
      </c>
      <c r="E130" s="21"/>
      <c r="F130" s="18"/>
      <c r="G130" s="25"/>
    </row>
    <row r="131" spans="1:7" ht="14.1" customHeight="1" x14ac:dyDescent="0.2">
      <c r="A131" s="21"/>
      <c r="B131" s="29"/>
      <c r="C131" s="29"/>
      <c r="D131" s="30"/>
      <c r="E131" s="21"/>
      <c r="F131" s="18"/>
      <c r="G131" s="25"/>
    </row>
    <row r="132" spans="1:7" ht="18" customHeight="1" x14ac:dyDescent="0.2">
      <c r="A132" s="21"/>
      <c r="B132" s="33"/>
      <c r="C132" s="33"/>
      <c r="D132" s="33"/>
      <c r="E132" s="21"/>
      <c r="F132" s="21"/>
      <c r="G132" s="21"/>
    </row>
    <row r="133" spans="1:7" ht="29.1" customHeight="1" x14ac:dyDescent="0.2">
      <c r="A133" s="21"/>
      <c r="B133" s="114" t="s">
        <v>123</v>
      </c>
      <c r="C133" s="115"/>
      <c r="D133" s="2" t="s">
        <v>111</v>
      </c>
      <c r="E133" s="31"/>
      <c r="F133" s="21"/>
      <c r="G133" s="21"/>
    </row>
    <row r="134" spans="1:7" ht="29.1" customHeight="1" x14ac:dyDescent="0.2">
      <c r="A134" s="21"/>
      <c r="B134" s="114" t="s">
        <v>124</v>
      </c>
      <c r="C134" s="115"/>
      <c r="D134" s="2" t="s">
        <v>111</v>
      </c>
      <c r="E134" s="31"/>
      <c r="F134" s="21"/>
      <c r="G134" s="21"/>
    </row>
    <row r="135" spans="1:7" ht="17.100000000000001" customHeight="1" x14ac:dyDescent="0.2">
      <c r="A135" s="21"/>
      <c r="B135" s="114" t="s">
        <v>499</v>
      </c>
      <c r="C135" s="115"/>
      <c r="D135" s="2" t="s">
        <v>111</v>
      </c>
      <c r="E135" s="31"/>
      <c r="F135" s="21"/>
      <c r="G135" s="21"/>
    </row>
    <row r="137" spans="1:7" x14ac:dyDescent="0.2">
      <c r="B137" s="111" t="s">
        <v>500</v>
      </c>
      <c r="C137" s="112"/>
      <c r="D137" s="113"/>
    </row>
    <row r="138" spans="1:7" ht="25.5" x14ac:dyDescent="0.2">
      <c r="B138" s="117" t="s">
        <v>501</v>
      </c>
      <c r="C138" s="117"/>
      <c r="D138" s="41" t="s">
        <v>1</v>
      </c>
    </row>
    <row r="139" spans="1:7" x14ac:dyDescent="0.2">
      <c r="B139" s="117" t="s">
        <v>502</v>
      </c>
      <c r="C139" s="117"/>
      <c r="D139" s="42"/>
    </row>
    <row r="140" spans="1:7" x14ac:dyDescent="0.2">
      <c r="B140" s="118"/>
      <c r="C140" s="120"/>
      <c r="D140" s="43"/>
    </row>
    <row r="141" spans="1:7" x14ac:dyDescent="0.2">
      <c r="B141" s="117" t="s">
        <v>503</v>
      </c>
      <c r="C141" s="117"/>
      <c r="D141" s="32">
        <v>7.4037096371808744</v>
      </c>
    </row>
    <row r="142" spans="1:7" x14ac:dyDescent="0.2">
      <c r="B142" s="118"/>
      <c r="C142" s="120"/>
      <c r="D142" s="43"/>
    </row>
    <row r="143" spans="1:7" x14ac:dyDescent="0.2">
      <c r="B143" s="117" t="s">
        <v>504</v>
      </c>
      <c r="C143" s="117"/>
      <c r="D143" s="32">
        <v>2.6470539964722302</v>
      </c>
    </row>
    <row r="144" spans="1:7" x14ac:dyDescent="0.2">
      <c r="B144" s="117" t="s">
        <v>505</v>
      </c>
      <c r="C144" s="117"/>
      <c r="D144" s="32">
        <v>3.3165435431712527</v>
      </c>
    </row>
    <row r="145" spans="2:15" x14ac:dyDescent="0.2">
      <c r="B145" s="118"/>
      <c r="C145" s="120"/>
      <c r="D145" s="43"/>
    </row>
    <row r="146" spans="2:15" x14ac:dyDescent="0.2">
      <c r="B146" s="117" t="s">
        <v>506</v>
      </c>
      <c r="C146" s="117"/>
      <c r="D146" s="44">
        <v>45107</v>
      </c>
    </row>
    <row r="147" spans="2:15" x14ac:dyDescent="0.2">
      <c r="B147" s="118" t="s">
        <v>507</v>
      </c>
      <c r="C147" s="119"/>
      <c r="D147" s="120"/>
    </row>
    <row r="151" spans="2:15" x14ac:dyDescent="0.2">
      <c r="J151"/>
      <c r="K151"/>
      <c r="L151"/>
      <c r="M151"/>
      <c r="N151"/>
      <c r="O151"/>
    </row>
  </sheetData>
  <mergeCells count="25">
    <mergeCell ref="J2:N2"/>
    <mergeCell ref="B146:C146"/>
    <mergeCell ref="B147:D147"/>
    <mergeCell ref="B141:C141"/>
    <mergeCell ref="B142:C142"/>
    <mergeCell ref="B143:C143"/>
    <mergeCell ref="B144:C144"/>
    <mergeCell ref="B145:C145"/>
    <mergeCell ref="B138:C138"/>
    <mergeCell ref="B139:C139"/>
    <mergeCell ref="B140:C140"/>
    <mergeCell ref="B105:F105"/>
    <mergeCell ref="B106:F106"/>
    <mergeCell ref="B134:C134"/>
    <mergeCell ref="B135:C135"/>
    <mergeCell ref="B108:D108"/>
    <mergeCell ref="A1:H1"/>
    <mergeCell ref="A2:H2"/>
    <mergeCell ref="A3:H3"/>
    <mergeCell ref="B137:D137"/>
    <mergeCell ref="B109:C109"/>
    <mergeCell ref="B110:C110"/>
    <mergeCell ref="B111:C111"/>
    <mergeCell ref="B125:C125"/>
    <mergeCell ref="B133:C133"/>
  </mergeCells>
  <hyperlinks>
    <hyperlink ref="I1" location="Index!B2" display="Index" xr:uid="{39BF556A-4DAB-4124-956B-229B635F3B5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4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0" t="s">
        <v>0</v>
      </c>
      <c r="B1" s="110"/>
      <c r="C1" s="110"/>
      <c r="D1" s="110"/>
      <c r="E1" s="110"/>
      <c r="F1" s="110"/>
      <c r="G1" s="110"/>
      <c r="H1" s="110"/>
      <c r="I1" s="101" t="s">
        <v>591</v>
      </c>
    </row>
    <row r="2" spans="1:14" ht="17.100000000000001" customHeight="1" x14ac:dyDescent="0.2">
      <c r="A2" s="110" t="s">
        <v>125</v>
      </c>
      <c r="B2" s="110"/>
      <c r="C2" s="110"/>
      <c r="D2" s="110"/>
      <c r="E2" s="110"/>
      <c r="F2" s="110"/>
      <c r="G2" s="110"/>
      <c r="H2" s="110"/>
      <c r="J2" s="116" t="s">
        <v>592</v>
      </c>
      <c r="K2" s="116"/>
      <c r="L2" s="116"/>
      <c r="M2" s="116"/>
      <c r="N2" s="116"/>
    </row>
    <row r="3" spans="1:14" ht="21" customHeight="1" x14ac:dyDescent="0.2">
      <c r="A3" s="110" t="s">
        <v>589</v>
      </c>
      <c r="B3" s="110"/>
      <c r="C3" s="110"/>
      <c r="D3" s="110"/>
      <c r="E3" s="110"/>
      <c r="F3" s="110"/>
      <c r="G3" s="110"/>
      <c r="H3" s="110"/>
    </row>
    <row r="4" spans="1:14" ht="30" x14ac:dyDescent="0.2">
      <c r="A4" s="94" t="s">
        <v>2</v>
      </c>
      <c r="B4" s="94" t="s">
        <v>3</v>
      </c>
      <c r="C4" s="94" t="s">
        <v>4</v>
      </c>
      <c r="D4" s="94" t="s">
        <v>5</v>
      </c>
      <c r="E4" s="94" t="s">
        <v>6</v>
      </c>
      <c r="F4" s="94" t="s">
        <v>7</v>
      </c>
      <c r="G4" s="94" t="s">
        <v>8</v>
      </c>
      <c r="H4" s="91" t="s">
        <v>563</v>
      </c>
      <c r="I4" s="102"/>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J17" s="105" t="s">
        <v>595</v>
      </c>
      <c r="K17" s="104"/>
      <c r="L17" s="104"/>
      <c r="M17" s="104"/>
      <c r="N17" s="106"/>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126</v>
      </c>
      <c r="C28" s="9" t="s">
        <v>127</v>
      </c>
      <c r="D28" s="9" t="s">
        <v>46</v>
      </c>
      <c r="E28" s="10">
        <v>300</v>
      </c>
      <c r="F28" s="11">
        <v>2999.8560000000002</v>
      </c>
      <c r="G28" s="12">
        <v>6.5199160000000006E-2</v>
      </c>
      <c r="H28" s="11">
        <v>7.335</v>
      </c>
    </row>
    <row r="29" spans="1:14" ht="29.1" customHeight="1" x14ac:dyDescent="0.2">
      <c r="A29" s="8">
        <v>2</v>
      </c>
      <c r="B29" s="9" t="s">
        <v>128</v>
      </c>
      <c r="C29" s="9" t="s">
        <v>129</v>
      </c>
      <c r="D29" s="9" t="s">
        <v>46</v>
      </c>
      <c r="E29" s="10">
        <v>250</v>
      </c>
      <c r="F29" s="11">
        <v>2505.0374999999999</v>
      </c>
      <c r="G29" s="12">
        <v>5.4444720000000002E-2</v>
      </c>
      <c r="H29" s="11">
        <v>7.77</v>
      </c>
    </row>
    <row r="30" spans="1:14" ht="17.100000000000001" customHeight="1" x14ac:dyDescent="0.25">
      <c r="A30" s="8">
        <v>3</v>
      </c>
      <c r="B30" s="9" t="s">
        <v>130</v>
      </c>
      <c r="C30" s="9" t="s">
        <v>131</v>
      </c>
      <c r="D30" s="9" t="s">
        <v>46</v>
      </c>
      <c r="E30" s="10">
        <v>250</v>
      </c>
      <c r="F30" s="11">
        <v>2504.5425</v>
      </c>
      <c r="G30" s="12">
        <v>5.4433969999999998E-2</v>
      </c>
      <c r="H30" s="11">
        <v>7.49</v>
      </c>
      <c r="J30" s="104" t="s">
        <v>594</v>
      </c>
    </row>
    <row r="31" spans="1:14" ht="29.1" customHeight="1" x14ac:dyDescent="0.2">
      <c r="A31" s="8">
        <v>4</v>
      </c>
      <c r="B31" s="9" t="s">
        <v>132</v>
      </c>
      <c r="C31" s="9" t="s">
        <v>133</v>
      </c>
      <c r="D31" s="9" t="s">
        <v>46</v>
      </c>
      <c r="E31" s="10">
        <v>250</v>
      </c>
      <c r="F31" s="11">
        <v>2496.1125000000002</v>
      </c>
      <c r="G31" s="12">
        <v>5.425075E-2</v>
      </c>
      <c r="H31" s="11">
        <v>7.4649999999999999</v>
      </c>
    </row>
    <row r="32" spans="1:14" ht="29.1" customHeight="1" x14ac:dyDescent="0.2">
      <c r="A32" s="8">
        <v>5</v>
      </c>
      <c r="B32" s="9" t="s">
        <v>134</v>
      </c>
      <c r="C32" s="9" t="s">
        <v>135</v>
      </c>
      <c r="D32" s="9" t="s">
        <v>23</v>
      </c>
      <c r="E32" s="10">
        <v>250</v>
      </c>
      <c r="F32" s="11">
        <v>2487.8649999999998</v>
      </c>
      <c r="G32" s="12">
        <v>5.407149E-2</v>
      </c>
      <c r="H32" s="11">
        <v>7.3650000000000002</v>
      </c>
    </row>
    <row r="33" spans="1:8" ht="29.1" customHeight="1" x14ac:dyDescent="0.2">
      <c r="A33" s="8">
        <v>6</v>
      </c>
      <c r="B33" s="9" t="s">
        <v>21</v>
      </c>
      <c r="C33" s="9" t="s">
        <v>22</v>
      </c>
      <c r="D33" s="9" t="s">
        <v>23</v>
      </c>
      <c r="E33" s="10">
        <v>2500</v>
      </c>
      <c r="F33" s="11">
        <v>2486.605</v>
      </c>
      <c r="G33" s="12">
        <v>5.4044109999999999E-2</v>
      </c>
      <c r="H33" s="11">
        <v>7.4382999999999999</v>
      </c>
    </row>
    <row r="34" spans="1:8" ht="29.1" customHeight="1" x14ac:dyDescent="0.2">
      <c r="A34" s="8">
        <v>7</v>
      </c>
      <c r="B34" s="9" t="s">
        <v>136</v>
      </c>
      <c r="C34" s="9" t="s">
        <v>137</v>
      </c>
      <c r="D34" s="9" t="s">
        <v>46</v>
      </c>
      <c r="E34" s="10">
        <v>250</v>
      </c>
      <c r="F34" s="11">
        <v>2425.7049999999999</v>
      </c>
      <c r="G34" s="12">
        <v>5.2720499999999997E-2</v>
      </c>
      <c r="H34" s="11">
        <v>7.3449999999999998</v>
      </c>
    </row>
    <row r="35" spans="1:8" ht="29.1" customHeight="1" x14ac:dyDescent="0.2">
      <c r="A35" s="8">
        <v>8</v>
      </c>
      <c r="B35" s="9" t="s">
        <v>138</v>
      </c>
      <c r="C35" s="9" t="s">
        <v>139</v>
      </c>
      <c r="D35" s="9" t="s">
        <v>23</v>
      </c>
      <c r="E35" s="10">
        <v>250</v>
      </c>
      <c r="F35" s="11">
        <v>2406.86</v>
      </c>
      <c r="G35" s="12">
        <v>5.2310919999999997E-2</v>
      </c>
      <c r="H35" s="11">
        <v>7.7249999999999996</v>
      </c>
    </row>
    <row r="36" spans="1:8" ht="29.1" customHeight="1" x14ac:dyDescent="0.2">
      <c r="A36" s="8">
        <v>9</v>
      </c>
      <c r="B36" s="9" t="s">
        <v>140</v>
      </c>
      <c r="C36" s="9" t="s">
        <v>141</v>
      </c>
      <c r="D36" s="9" t="s">
        <v>46</v>
      </c>
      <c r="E36" s="10">
        <v>200</v>
      </c>
      <c r="F36" s="11">
        <v>1997.77</v>
      </c>
      <c r="G36" s="12">
        <v>4.3419720000000002E-2</v>
      </c>
      <c r="H36" s="11">
        <v>7.57</v>
      </c>
    </row>
    <row r="37" spans="1:8" ht="29.1" customHeight="1" x14ac:dyDescent="0.2">
      <c r="A37" s="8">
        <v>10</v>
      </c>
      <c r="B37" s="9" t="s">
        <v>142</v>
      </c>
      <c r="C37" s="9" t="s">
        <v>143</v>
      </c>
      <c r="D37" s="9" t="s">
        <v>46</v>
      </c>
      <c r="E37" s="10">
        <v>200</v>
      </c>
      <c r="F37" s="11">
        <v>1991.202</v>
      </c>
      <c r="G37" s="12">
        <v>4.3276969999999998E-2</v>
      </c>
      <c r="H37" s="11">
        <v>7.5650000000000004</v>
      </c>
    </row>
    <row r="38" spans="1:8" ht="29.1" customHeight="1" x14ac:dyDescent="0.2">
      <c r="A38" s="8">
        <v>11</v>
      </c>
      <c r="B38" s="9" t="s">
        <v>144</v>
      </c>
      <c r="C38" s="9" t="s">
        <v>145</v>
      </c>
      <c r="D38" s="9" t="s">
        <v>46</v>
      </c>
      <c r="E38" s="10">
        <v>200</v>
      </c>
      <c r="F38" s="11">
        <v>1921.1559999999999</v>
      </c>
      <c r="G38" s="12">
        <v>4.1754590000000001E-2</v>
      </c>
      <c r="H38" s="11">
        <v>7.5288000000000004</v>
      </c>
    </row>
    <row r="39" spans="1:8" ht="17.100000000000001" customHeight="1" x14ac:dyDescent="0.2">
      <c r="A39" s="8">
        <v>12</v>
      </c>
      <c r="B39" s="9" t="s">
        <v>146</v>
      </c>
      <c r="C39" s="9" t="s">
        <v>147</v>
      </c>
      <c r="D39" s="9" t="s">
        <v>46</v>
      </c>
      <c r="E39" s="10">
        <v>150</v>
      </c>
      <c r="F39" s="11">
        <v>1503.087</v>
      </c>
      <c r="G39" s="12">
        <v>3.2668240000000001E-2</v>
      </c>
      <c r="H39" s="11">
        <v>7.43</v>
      </c>
    </row>
    <row r="40" spans="1:8" ht="29.1" customHeight="1" x14ac:dyDescent="0.2">
      <c r="A40" s="8">
        <v>13</v>
      </c>
      <c r="B40" s="9" t="s">
        <v>73</v>
      </c>
      <c r="C40" s="9" t="s">
        <v>74</v>
      </c>
      <c r="D40" s="9" t="s">
        <v>23</v>
      </c>
      <c r="E40" s="10">
        <v>1500</v>
      </c>
      <c r="F40" s="11">
        <v>1500.5174999999999</v>
      </c>
      <c r="G40" s="12">
        <v>3.2612389999999998E-2</v>
      </c>
      <c r="H40" s="11">
        <v>7.4615999999999998</v>
      </c>
    </row>
    <row r="41" spans="1:8" ht="29.1" customHeight="1" x14ac:dyDescent="0.2">
      <c r="A41" s="8">
        <v>14</v>
      </c>
      <c r="B41" s="9" t="s">
        <v>40</v>
      </c>
      <c r="C41" s="9" t="s">
        <v>41</v>
      </c>
      <c r="D41" s="9" t="s">
        <v>23</v>
      </c>
      <c r="E41" s="10">
        <v>1500</v>
      </c>
      <c r="F41" s="11">
        <v>1499.4570000000001</v>
      </c>
      <c r="G41" s="12">
        <v>3.2589340000000001E-2</v>
      </c>
      <c r="H41" s="11">
        <v>7.5197000000000003</v>
      </c>
    </row>
    <row r="42" spans="1:8" ht="29.1" customHeight="1" x14ac:dyDescent="0.2">
      <c r="A42" s="8">
        <v>15</v>
      </c>
      <c r="B42" s="9" t="s">
        <v>69</v>
      </c>
      <c r="C42" s="9" t="s">
        <v>70</v>
      </c>
      <c r="D42" s="9" t="s">
        <v>23</v>
      </c>
      <c r="E42" s="10">
        <v>1500</v>
      </c>
      <c r="F42" s="11">
        <v>1494.7560000000001</v>
      </c>
      <c r="G42" s="12">
        <v>3.2487170000000003E-2</v>
      </c>
      <c r="H42" s="11">
        <v>7.58</v>
      </c>
    </row>
    <row r="43" spans="1:8" ht="29.1" customHeight="1" x14ac:dyDescent="0.2">
      <c r="A43" s="8">
        <v>16</v>
      </c>
      <c r="B43" s="9" t="s">
        <v>148</v>
      </c>
      <c r="C43" s="9" t="s">
        <v>149</v>
      </c>
      <c r="D43" s="9" t="s">
        <v>46</v>
      </c>
      <c r="E43" s="10">
        <v>500</v>
      </c>
      <c r="F43" s="11">
        <v>1469.454</v>
      </c>
      <c r="G43" s="12">
        <v>3.193725E-2</v>
      </c>
      <c r="H43" s="11">
        <v>7.4850000000000003</v>
      </c>
    </row>
    <row r="44" spans="1:8" ht="29.1" customHeight="1" x14ac:dyDescent="0.2">
      <c r="A44" s="8">
        <v>17</v>
      </c>
      <c r="B44" s="9" t="s">
        <v>150</v>
      </c>
      <c r="C44" s="9" t="s">
        <v>151</v>
      </c>
      <c r="D44" s="9" t="s">
        <v>23</v>
      </c>
      <c r="E44" s="10">
        <v>100</v>
      </c>
      <c r="F44" s="11">
        <v>1001.842</v>
      </c>
      <c r="G44" s="12">
        <v>2.1774129999999999E-2</v>
      </c>
      <c r="H44" s="11">
        <v>7.73</v>
      </c>
    </row>
    <row r="45" spans="1:8" ht="29.1" customHeight="1" x14ac:dyDescent="0.2">
      <c r="A45" s="8">
        <v>18</v>
      </c>
      <c r="B45" s="9" t="s">
        <v>152</v>
      </c>
      <c r="C45" s="9" t="s">
        <v>153</v>
      </c>
      <c r="D45" s="9" t="s">
        <v>46</v>
      </c>
      <c r="E45" s="10">
        <v>100</v>
      </c>
      <c r="F45" s="11">
        <v>979.26099999999997</v>
      </c>
      <c r="G45" s="12">
        <v>2.1283349999999999E-2</v>
      </c>
      <c r="H45" s="11">
        <v>7.7050000000000001</v>
      </c>
    </row>
    <row r="46" spans="1:8" ht="29.1" customHeight="1" x14ac:dyDescent="0.2">
      <c r="A46" s="8">
        <v>19</v>
      </c>
      <c r="B46" s="9" t="s">
        <v>75</v>
      </c>
      <c r="C46" s="9" t="s">
        <v>76</v>
      </c>
      <c r="D46" s="9" t="s">
        <v>23</v>
      </c>
      <c r="E46" s="10">
        <v>500</v>
      </c>
      <c r="F46" s="11">
        <v>499.11900000000003</v>
      </c>
      <c r="G46" s="12">
        <v>1.0847900000000001E-2</v>
      </c>
      <c r="H46" s="11">
        <v>7.89</v>
      </c>
    </row>
    <row r="47" spans="1:8" ht="29.1" customHeight="1" x14ac:dyDescent="0.2">
      <c r="A47" s="8">
        <v>20</v>
      </c>
      <c r="B47" s="9" t="s">
        <v>154</v>
      </c>
      <c r="C47" s="9" t="s">
        <v>155</v>
      </c>
      <c r="D47" s="9" t="s">
        <v>46</v>
      </c>
      <c r="E47" s="10">
        <v>50</v>
      </c>
      <c r="F47" s="11">
        <v>498.59449999999998</v>
      </c>
      <c r="G47" s="12">
        <v>1.0836500000000001E-2</v>
      </c>
      <c r="H47" s="11">
        <v>7.5750000000000002</v>
      </c>
    </row>
    <row r="48" spans="1:8" ht="14.1" customHeight="1" x14ac:dyDescent="0.2">
      <c r="A48" s="1"/>
      <c r="B48" s="1"/>
      <c r="C48" s="2" t="s">
        <v>11</v>
      </c>
      <c r="D48" s="1"/>
      <c r="E48" s="1" t="s">
        <v>12</v>
      </c>
      <c r="F48" s="7">
        <v>36668.799500000001</v>
      </c>
      <c r="G48" s="4">
        <v>0.79696317000000005</v>
      </c>
      <c r="H48" s="11"/>
    </row>
    <row r="49" spans="1:8" ht="14.1" customHeight="1" x14ac:dyDescent="0.2">
      <c r="A49" s="1"/>
      <c r="B49" s="1"/>
      <c r="C49" s="5"/>
      <c r="D49" s="1"/>
      <c r="E49" s="1"/>
      <c r="F49" s="6"/>
      <c r="G49" s="6"/>
      <c r="H49" s="11"/>
    </row>
    <row r="50" spans="1:8" ht="14.1" customHeight="1" x14ac:dyDescent="0.2">
      <c r="A50" s="1"/>
      <c r="B50" s="1"/>
      <c r="C50" s="2" t="s">
        <v>77</v>
      </c>
      <c r="D50" s="1"/>
      <c r="E50" s="1"/>
      <c r="F50" s="1"/>
      <c r="G50" s="1"/>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78</v>
      </c>
      <c r="D53" s="1"/>
      <c r="E53" s="1"/>
      <c r="F53" s="1"/>
      <c r="G53" s="1"/>
      <c r="H53" s="11"/>
    </row>
    <row r="54" spans="1:8" ht="29.1" customHeight="1" x14ac:dyDescent="0.2">
      <c r="A54" s="8">
        <v>1</v>
      </c>
      <c r="B54" s="9" t="s">
        <v>156</v>
      </c>
      <c r="C54" s="9" t="s">
        <v>157</v>
      </c>
      <c r="D54" s="9" t="s">
        <v>81</v>
      </c>
      <c r="E54" s="10">
        <v>2500000</v>
      </c>
      <c r="F54" s="11">
        <v>2402.4250000000002</v>
      </c>
      <c r="G54" s="12">
        <v>5.2214530000000002E-2</v>
      </c>
      <c r="H54" s="11">
        <v>7.1821000000000002</v>
      </c>
    </row>
    <row r="55" spans="1:8" ht="29.1" customHeight="1" x14ac:dyDescent="0.2">
      <c r="A55" s="8">
        <v>2</v>
      </c>
      <c r="B55" s="9" t="s">
        <v>82</v>
      </c>
      <c r="C55" s="9" t="s">
        <v>83</v>
      </c>
      <c r="D55" s="9" t="s">
        <v>81</v>
      </c>
      <c r="E55" s="10">
        <v>2000000</v>
      </c>
      <c r="F55" s="11">
        <v>2020.5060000000001</v>
      </c>
      <c r="G55" s="12">
        <v>4.3913870000000001E-2</v>
      </c>
      <c r="H55" s="11">
        <v>7.2035</v>
      </c>
    </row>
    <row r="56" spans="1:8" ht="14.1" customHeight="1" x14ac:dyDescent="0.2">
      <c r="A56" s="1"/>
      <c r="B56" s="1"/>
      <c r="C56" s="2" t="s">
        <v>11</v>
      </c>
      <c r="D56" s="1"/>
      <c r="E56" s="1" t="s">
        <v>12</v>
      </c>
      <c r="F56" s="7">
        <v>4422.9309999999996</v>
      </c>
      <c r="G56" s="4">
        <v>9.6128400000000003E-2</v>
      </c>
      <c r="H56" s="11"/>
    </row>
    <row r="57" spans="1:8" ht="14.1" customHeight="1" x14ac:dyDescent="0.2">
      <c r="A57" s="1"/>
      <c r="B57" s="1"/>
      <c r="C57" s="5"/>
      <c r="D57" s="1"/>
      <c r="E57" s="1"/>
      <c r="F57" s="6"/>
      <c r="G57" s="6"/>
      <c r="H57" s="11"/>
    </row>
    <row r="58" spans="1:8" ht="14.1" customHeight="1" x14ac:dyDescent="0.2">
      <c r="A58" s="1"/>
      <c r="B58" s="1"/>
      <c r="C58" s="2" t="s">
        <v>90</v>
      </c>
      <c r="D58" s="1"/>
      <c r="E58" s="1"/>
      <c r="F58" s="6"/>
      <c r="G58" s="6"/>
      <c r="H58" s="11"/>
    </row>
    <row r="59" spans="1:8" ht="14.1" customHeight="1" x14ac:dyDescent="0.2">
      <c r="A59" s="1"/>
      <c r="B59" s="1"/>
      <c r="C59" s="2" t="s">
        <v>11</v>
      </c>
      <c r="D59" s="1"/>
      <c r="E59" s="1" t="s">
        <v>12</v>
      </c>
      <c r="F59" s="3" t="s">
        <v>13</v>
      </c>
      <c r="G59" s="4">
        <v>0</v>
      </c>
      <c r="H59" s="11"/>
    </row>
    <row r="60" spans="1:8" ht="14.1" customHeight="1" x14ac:dyDescent="0.2">
      <c r="A60" s="1"/>
      <c r="B60" s="1"/>
      <c r="C60" s="5"/>
      <c r="D60" s="1"/>
      <c r="E60" s="1"/>
      <c r="F60" s="6"/>
      <c r="G60" s="6"/>
      <c r="H60" s="11"/>
    </row>
    <row r="61" spans="1:8" ht="14.1" customHeight="1" x14ac:dyDescent="0.2">
      <c r="A61" s="1"/>
      <c r="B61" s="1"/>
      <c r="C61" s="2" t="s">
        <v>91</v>
      </c>
      <c r="D61" s="1"/>
      <c r="E61" s="1"/>
      <c r="F61" s="7">
        <v>41091.730499999998</v>
      </c>
      <c r="G61" s="4">
        <v>0.89309156999999995</v>
      </c>
      <c r="H61" s="11"/>
    </row>
    <row r="62" spans="1:8" ht="14.1" customHeight="1" x14ac:dyDescent="0.2">
      <c r="A62" s="1"/>
      <c r="B62" s="1"/>
      <c r="C62" s="5"/>
      <c r="D62" s="1"/>
      <c r="E62" s="1"/>
      <c r="F62" s="6"/>
      <c r="G62" s="6"/>
      <c r="H62" s="11"/>
    </row>
    <row r="63" spans="1:8" ht="14.1" customHeight="1" x14ac:dyDescent="0.2">
      <c r="A63" s="1"/>
      <c r="B63" s="1"/>
      <c r="C63" s="2" t="s">
        <v>92</v>
      </c>
      <c r="D63" s="1"/>
      <c r="E63" s="1"/>
      <c r="F63" s="6"/>
      <c r="G63" s="6"/>
      <c r="H63" s="11"/>
    </row>
    <row r="64" spans="1:8" ht="14.1" customHeight="1" x14ac:dyDescent="0.2">
      <c r="A64" s="1"/>
      <c r="B64" s="1"/>
      <c r="C64" s="2" t="s">
        <v>93</v>
      </c>
      <c r="D64" s="1"/>
      <c r="E64" s="1"/>
      <c r="F64" s="6"/>
      <c r="G64" s="6"/>
      <c r="H64" s="11"/>
    </row>
    <row r="65" spans="1:8" ht="17.100000000000001" customHeight="1" x14ac:dyDescent="0.2">
      <c r="A65" s="8">
        <v>1</v>
      </c>
      <c r="B65" s="9" t="s">
        <v>158</v>
      </c>
      <c r="C65" s="9" t="s">
        <v>159</v>
      </c>
      <c r="D65" s="9" t="s">
        <v>160</v>
      </c>
      <c r="E65" s="10">
        <v>400</v>
      </c>
      <c r="F65" s="11">
        <v>1972.972</v>
      </c>
      <c r="G65" s="12">
        <v>4.2880759999999997E-2</v>
      </c>
      <c r="H65" s="11">
        <v>6.8498000000000001</v>
      </c>
    </row>
    <row r="66" spans="1:8" ht="14.1" customHeight="1" x14ac:dyDescent="0.2">
      <c r="A66" s="1"/>
      <c r="B66" s="1"/>
      <c r="C66" s="2" t="s">
        <v>11</v>
      </c>
      <c r="D66" s="1"/>
      <c r="E66" s="1" t="s">
        <v>12</v>
      </c>
      <c r="F66" s="7">
        <v>1972.972</v>
      </c>
      <c r="G66" s="4">
        <v>4.2880759999999997E-2</v>
      </c>
      <c r="H66" s="11"/>
    </row>
    <row r="67" spans="1:8" ht="14.1" customHeight="1" x14ac:dyDescent="0.2">
      <c r="A67" s="1"/>
      <c r="B67" s="1"/>
      <c r="C67" s="5"/>
      <c r="D67" s="1"/>
      <c r="E67" s="1"/>
      <c r="F67" s="6"/>
      <c r="G67" s="6"/>
      <c r="H67" s="11"/>
    </row>
    <row r="68" spans="1:8" ht="14.1" customHeight="1" x14ac:dyDescent="0.2">
      <c r="A68" s="1"/>
      <c r="B68" s="1"/>
      <c r="C68" s="2" t="s">
        <v>94</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95</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96</v>
      </c>
      <c r="D74" s="1"/>
      <c r="E74" s="1"/>
      <c r="F74" s="6"/>
      <c r="G74" s="6"/>
      <c r="H74" s="11"/>
    </row>
    <row r="75" spans="1:8" ht="17.100000000000001" customHeight="1" x14ac:dyDescent="0.2">
      <c r="A75" s="8">
        <v>1</v>
      </c>
      <c r="B75" s="9"/>
      <c r="C75" s="9" t="s">
        <v>97</v>
      </c>
      <c r="D75" s="9"/>
      <c r="E75" s="13"/>
      <c r="F75" s="11">
        <v>883.55860629699998</v>
      </c>
      <c r="G75" s="12">
        <v>1.9203350000000001E-2</v>
      </c>
      <c r="H75" s="11">
        <v>6.7573016869821334</v>
      </c>
    </row>
    <row r="76" spans="1:8" ht="17.100000000000001" customHeight="1" x14ac:dyDescent="0.2">
      <c r="A76" s="8">
        <v>2</v>
      </c>
      <c r="B76" s="9"/>
      <c r="C76" s="9" t="s">
        <v>98</v>
      </c>
      <c r="D76" s="9"/>
      <c r="E76" s="13"/>
      <c r="F76" s="11">
        <v>723.8247983</v>
      </c>
      <c r="G76" s="12">
        <v>1.5731680000000001E-2</v>
      </c>
      <c r="H76" s="11">
        <v>6.796603293503404</v>
      </c>
    </row>
    <row r="77" spans="1:8" ht="14.1" customHeight="1" x14ac:dyDescent="0.2">
      <c r="A77" s="1"/>
      <c r="B77" s="1"/>
      <c r="C77" s="2" t="s">
        <v>11</v>
      </c>
      <c r="D77" s="1"/>
      <c r="E77" s="1" t="s">
        <v>12</v>
      </c>
      <c r="F77" s="7">
        <v>1607.383404597</v>
      </c>
      <c r="G77" s="4">
        <v>3.4935029999999999E-2</v>
      </c>
      <c r="H77" s="11"/>
    </row>
    <row r="78" spans="1:8" ht="14.1" customHeight="1" x14ac:dyDescent="0.2">
      <c r="A78" s="1"/>
      <c r="B78" s="1"/>
      <c r="C78" s="5"/>
      <c r="D78" s="1"/>
      <c r="E78" s="1"/>
      <c r="F78" s="6"/>
      <c r="G78" s="6"/>
      <c r="H78" s="11"/>
    </row>
    <row r="79" spans="1:8" ht="14.1" customHeight="1" x14ac:dyDescent="0.2">
      <c r="A79" s="1"/>
      <c r="B79" s="1"/>
      <c r="C79" s="2" t="s">
        <v>99</v>
      </c>
      <c r="D79" s="1"/>
      <c r="E79" s="1"/>
      <c r="F79" s="7">
        <v>3580.355404597</v>
      </c>
      <c r="G79" s="4">
        <v>7.7815789999999996E-2</v>
      </c>
      <c r="H79" s="11"/>
    </row>
    <row r="80" spans="1:8" ht="14.1" customHeight="1" x14ac:dyDescent="0.2">
      <c r="A80" s="1"/>
      <c r="B80" s="1"/>
      <c r="C80" s="6"/>
      <c r="D80" s="1"/>
      <c r="E80" s="1"/>
      <c r="F80" s="1"/>
      <c r="G80" s="1"/>
      <c r="H80" s="11"/>
    </row>
    <row r="81" spans="1:8" ht="14.1" customHeight="1" x14ac:dyDescent="0.2">
      <c r="A81" s="1"/>
      <c r="B81" s="1"/>
      <c r="C81" s="2" t="s">
        <v>100</v>
      </c>
      <c r="D81" s="1"/>
      <c r="E81" s="1"/>
      <c r="F81" s="1"/>
      <c r="G81" s="1"/>
      <c r="H81" s="11"/>
    </row>
    <row r="82" spans="1:8" ht="14.1" customHeight="1" x14ac:dyDescent="0.2">
      <c r="A82" s="1"/>
      <c r="B82" s="1"/>
      <c r="C82" s="2" t="s">
        <v>101</v>
      </c>
      <c r="D82" s="1"/>
      <c r="E82" s="1"/>
      <c r="F82" s="1"/>
      <c r="G82" s="1"/>
      <c r="H82" s="11"/>
    </row>
    <row r="83" spans="1:8" ht="14.1" customHeight="1" x14ac:dyDescent="0.2">
      <c r="A83" s="1"/>
      <c r="B83" s="1"/>
      <c r="C83" s="2" t="s">
        <v>11</v>
      </c>
      <c r="D83" s="1"/>
      <c r="E83" s="1" t="s">
        <v>12</v>
      </c>
      <c r="F83" s="3" t="s">
        <v>13</v>
      </c>
      <c r="G83" s="4">
        <v>0</v>
      </c>
      <c r="H83" s="11"/>
    </row>
    <row r="84" spans="1:8" ht="14.1" customHeight="1" x14ac:dyDescent="0.2">
      <c r="A84" s="1"/>
      <c r="B84" s="1"/>
      <c r="C84" s="5"/>
      <c r="D84" s="1"/>
      <c r="E84" s="1"/>
      <c r="F84" s="6"/>
      <c r="G84" s="6"/>
      <c r="H84" s="11"/>
    </row>
    <row r="85" spans="1:8" ht="14.1" customHeight="1" x14ac:dyDescent="0.2">
      <c r="A85" s="1"/>
      <c r="B85" s="1"/>
      <c r="C85" s="2" t="s">
        <v>102</v>
      </c>
      <c r="D85" s="1"/>
      <c r="E85" s="1"/>
      <c r="F85" s="1"/>
      <c r="G85" s="1"/>
      <c r="H85" s="11"/>
    </row>
    <row r="86" spans="1:8" ht="14.1" customHeight="1" x14ac:dyDescent="0.2">
      <c r="A86" s="1"/>
      <c r="B86" s="1"/>
      <c r="C86" s="2" t="s">
        <v>103</v>
      </c>
      <c r="D86" s="1"/>
      <c r="E86" s="1"/>
      <c r="F86" s="1"/>
      <c r="G86" s="1"/>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24" customHeight="1" x14ac:dyDescent="0.2">
      <c r="A89" s="1"/>
      <c r="B89" s="1"/>
      <c r="C89" s="2" t="s">
        <v>104</v>
      </c>
      <c r="D89" s="1"/>
      <c r="E89" s="1"/>
      <c r="F89" s="6"/>
      <c r="G89" s="6"/>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14.1" customHeight="1" x14ac:dyDescent="0.2">
      <c r="A92" s="1"/>
      <c r="B92" s="9"/>
      <c r="C92" s="9"/>
      <c r="D92" s="2"/>
      <c r="E92" s="1"/>
      <c r="F92" s="9"/>
      <c r="G92" s="13"/>
      <c r="H92" s="11"/>
    </row>
    <row r="93" spans="1:8" ht="18" customHeight="1" x14ac:dyDescent="0.2">
      <c r="A93" s="13"/>
      <c r="B93" s="9"/>
      <c r="C93" s="9" t="s">
        <v>105</v>
      </c>
      <c r="D93" s="9"/>
      <c r="E93" s="13"/>
      <c r="F93" s="11">
        <v>1338.57152984</v>
      </c>
      <c r="G93" s="12">
        <v>2.9092639999999999E-2</v>
      </c>
      <c r="H93" s="11"/>
    </row>
    <row r="94" spans="1:8" ht="14.1" customHeight="1" x14ac:dyDescent="0.2">
      <c r="A94" s="5"/>
      <c r="B94" s="5"/>
      <c r="C94" s="2" t="s">
        <v>106</v>
      </c>
      <c r="D94" s="6"/>
      <c r="E94" s="6"/>
      <c r="F94" s="7">
        <v>46010.657434437002</v>
      </c>
      <c r="G94" s="14">
        <v>1</v>
      </c>
      <c r="H94" s="11"/>
    </row>
    <row r="95" spans="1:8" ht="14.1" customHeight="1" x14ac:dyDescent="0.2">
      <c r="A95" s="15"/>
      <c r="B95" s="15"/>
      <c r="C95" s="15"/>
      <c r="D95" s="16"/>
      <c r="E95" s="16"/>
      <c r="F95" s="16"/>
      <c r="G95" s="16"/>
    </row>
    <row r="96" spans="1:8" ht="17.100000000000001" customHeight="1" x14ac:dyDescent="0.2">
      <c r="A96" s="17"/>
      <c r="B96" s="121" t="s">
        <v>107</v>
      </c>
      <c r="C96" s="121"/>
      <c r="D96" s="121"/>
      <c r="E96" s="121"/>
      <c r="F96" s="121"/>
      <c r="G96" s="19"/>
    </row>
    <row r="97" spans="1:7" ht="17.100000000000001" customHeight="1" x14ac:dyDescent="0.2">
      <c r="A97" s="17"/>
      <c r="B97" s="121" t="s">
        <v>108</v>
      </c>
      <c r="C97" s="121"/>
      <c r="D97" s="121"/>
      <c r="E97" s="121"/>
      <c r="F97" s="121"/>
      <c r="G97" s="19"/>
    </row>
    <row r="98" spans="1:7" ht="14.1" customHeight="1" x14ac:dyDescent="0.2">
      <c r="A98" s="17"/>
      <c r="B98" s="17"/>
      <c r="C98" s="17"/>
      <c r="D98" s="19"/>
      <c r="E98" s="19"/>
      <c r="F98" s="19"/>
      <c r="G98" s="19"/>
    </row>
    <row r="99" spans="1:7" ht="14.1" customHeight="1" x14ac:dyDescent="0.2">
      <c r="A99" s="17"/>
      <c r="B99" s="122" t="s">
        <v>109</v>
      </c>
      <c r="C99" s="123"/>
      <c r="D99" s="124"/>
      <c r="E99" s="20"/>
      <c r="F99" s="19"/>
      <c r="G99" s="19"/>
    </row>
    <row r="100" spans="1:7" ht="29.1" customHeight="1" x14ac:dyDescent="0.2">
      <c r="A100" s="17"/>
      <c r="B100" s="114" t="s">
        <v>110</v>
      </c>
      <c r="C100" s="115"/>
      <c r="D100" s="2" t="s">
        <v>111</v>
      </c>
      <c r="E100" s="20"/>
      <c r="F100" s="19"/>
      <c r="G100" s="19"/>
    </row>
    <row r="101" spans="1:7" ht="17.100000000000001" customHeight="1" x14ac:dyDescent="0.2">
      <c r="A101" s="17"/>
      <c r="B101" s="114" t="s">
        <v>112</v>
      </c>
      <c r="C101" s="115"/>
      <c r="D101" s="2" t="s">
        <v>111</v>
      </c>
      <c r="E101" s="20"/>
      <c r="F101" s="19"/>
      <c r="G101" s="19"/>
    </row>
    <row r="102" spans="1:7" ht="17.100000000000001" customHeight="1" x14ac:dyDescent="0.2">
      <c r="A102" s="17"/>
      <c r="B102" s="114" t="s">
        <v>113</v>
      </c>
      <c r="C102" s="115"/>
      <c r="D102" s="6" t="s">
        <v>12</v>
      </c>
      <c r="E102" s="20"/>
      <c r="F102" s="19"/>
      <c r="G102" s="19"/>
    </row>
    <row r="103" spans="1:7" ht="24" customHeight="1" x14ac:dyDescent="0.2">
      <c r="A103" s="21"/>
      <c r="B103" s="22" t="s">
        <v>12</v>
      </c>
      <c r="C103" s="22" t="s">
        <v>114</v>
      </c>
      <c r="D103" s="22" t="s">
        <v>115</v>
      </c>
      <c r="E103" s="21"/>
      <c r="F103" s="21"/>
      <c r="G103" s="21"/>
    </row>
    <row r="104" spans="1:7" ht="18" customHeight="1" x14ac:dyDescent="0.2">
      <c r="A104" s="21"/>
      <c r="B104" s="23" t="s">
        <v>116</v>
      </c>
      <c r="C104" s="22" t="s">
        <v>590</v>
      </c>
      <c r="D104" s="22" t="s">
        <v>117</v>
      </c>
      <c r="E104" s="21"/>
      <c r="F104" s="21"/>
      <c r="G104" s="21"/>
    </row>
    <row r="105" spans="1:7" ht="17.100000000000001" customHeight="1" x14ac:dyDescent="0.2">
      <c r="A105" s="21"/>
      <c r="B105" s="9" t="s">
        <v>118</v>
      </c>
      <c r="C105" s="24">
        <v>37.343499999999999</v>
      </c>
      <c r="D105" s="24">
        <v>37.393799999999999</v>
      </c>
      <c r="E105" s="21"/>
      <c r="F105" s="18"/>
      <c r="G105" s="25"/>
    </row>
    <row r="106" spans="1:7" ht="17.100000000000001" customHeight="1" x14ac:dyDescent="0.2">
      <c r="A106" s="21"/>
      <c r="B106" s="9" t="s">
        <v>161</v>
      </c>
      <c r="C106" s="24">
        <v>18.681699999999999</v>
      </c>
      <c r="D106" s="24">
        <v>18.706900000000001</v>
      </c>
      <c r="E106" s="21"/>
      <c r="F106" s="18"/>
      <c r="G106" s="25"/>
    </row>
    <row r="107" spans="1:7" ht="29.1" customHeight="1" x14ac:dyDescent="0.2">
      <c r="A107" s="21"/>
      <c r="B107" s="9" t="s">
        <v>577</v>
      </c>
      <c r="C107" s="24">
        <v>10.23</v>
      </c>
      <c r="D107" s="24">
        <v>10.23</v>
      </c>
      <c r="E107" s="21"/>
      <c r="F107" s="18"/>
      <c r="G107" s="25"/>
    </row>
    <row r="108" spans="1:7" ht="29.1" customHeight="1" x14ac:dyDescent="0.2">
      <c r="A108" s="21"/>
      <c r="B108" s="9" t="s">
        <v>578</v>
      </c>
      <c r="C108" s="24">
        <v>12.1265</v>
      </c>
      <c r="D108" s="24">
        <v>12.144</v>
      </c>
      <c r="E108" s="21"/>
      <c r="F108" s="18"/>
      <c r="G108" s="25"/>
    </row>
    <row r="109" spans="1:7" ht="29.1" customHeight="1" x14ac:dyDescent="0.2">
      <c r="A109" s="21"/>
      <c r="B109" s="9" t="s">
        <v>568</v>
      </c>
      <c r="C109" s="24">
        <v>11.559699999999999</v>
      </c>
      <c r="D109" s="24">
        <v>11.5174</v>
      </c>
      <c r="E109" s="21"/>
      <c r="F109" s="18"/>
      <c r="G109" s="25"/>
    </row>
    <row r="110" spans="1:7" ht="17.100000000000001" customHeight="1" x14ac:dyDescent="0.2">
      <c r="A110" s="21"/>
      <c r="B110" s="9" t="s">
        <v>162</v>
      </c>
      <c r="C110" s="24">
        <v>33.278199999999998</v>
      </c>
      <c r="D110" s="24">
        <v>33.321100000000001</v>
      </c>
      <c r="E110" s="21"/>
      <c r="F110" s="18"/>
      <c r="G110" s="25"/>
    </row>
    <row r="111" spans="1:7" ht="29.1" customHeight="1" x14ac:dyDescent="0.2">
      <c r="A111" s="21"/>
      <c r="B111" s="9" t="s">
        <v>579</v>
      </c>
      <c r="C111" s="24">
        <v>11.5161</v>
      </c>
      <c r="D111" s="24">
        <v>11.474600000000001</v>
      </c>
      <c r="E111" s="21"/>
      <c r="F111" s="18"/>
      <c r="G111" s="25"/>
    </row>
    <row r="112" spans="1:7" ht="17.100000000000001" customHeight="1" x14ac:dyDescent="0.2">
      <c r="A112" s="21"/>
      <c r="B112" s="9" t="s">
        <v>119</v>
      </c>
      <c r="C112" s="24">
        <v>36.926000000000002</v>
      </c>
      <c r="D112" s="24">
        <v>36.973700000000001</v>
      </c>
      <c r="E112" s="21"/>
      <c r="F112" s="18"/>
      <c r="G112" s="25"/>
    </row>
    <row r="113" spans="1:7" ht="17.100000000000001" customHeight="1" x14ac:dyDescent="0.2">
      <c r="A113" s="21"/>
      <c r="B113" s="9" t="s">
        <v>163</v>
      </c>
      <c r="C113" s="24">
        <v>18.620699999999999</v>
      </c>
      <c r="D113" s="24">
        <v>18.6448</v>
      </c>
      <c r="E113" s="21"/>
      <c r="F113" s="18"/>
      <c r="G113" s="25"/>
    </row>
    <row r="114" spans="1:7" ht="29.1" customHeight="1" x14ac:dyDescent="0.2">
      <c r="A114" s="21"/>
      <c r="B114" s="9" t="s">
        <v>580</v>
      </c>
      <c r="C114" s="24">
        <v>10.355</v>
      </c>
      <c r="D114" s="24">
        <v>10.355</v>
      </c>
      <c r="E114" s="21"/>
      <c r="F114" s="18"/>
      <c r="G114" s="25"/>
    </row>
    <row r="115" spans="1:7" ht="29.1" customHeight="1" x14ac:dyDescent="0.2">
      <c r="A115" s="21"/>
      <c r="B115" s="9" t="s">
        <v>581</v>
      </c>
      <c r="C115" s="24">
        <v>12.1052</v>
      </c>
      <c r="D115" s="24">
        <v>12.1022</v>
      </c>
      <c r="E115" s="21"/>
      <c r="F115" s="18"/>
      <c r="G115" s="25"/>
    </row>
    <row r="116" spans="1:7" ht="29.1" customHeight="1" x14ac:dyDescent="0.2">
      <c r="A116" s="21"/>
      <c r="B116" s="9" t="s">
        <v>572</v>
      </c>
      <c r="C116" s="24">
        <v>11.611599999999999</v>
      </c>
      <c r="D116" s="24">
        <v>11.569800000000001</v>
      </c>
      <c r="E116" s="21"/>
      <c r="F116" s="18"/>
      <c r="G116" s="25"/>
    </row>
    <row r="117" spans="1:7" ht="14.1" customHeight="1" x14ac:dyDescent="0.2">
      <c r="A117" s="21"/>
      <c r="B117" s="21"/>
      <c r="C117" s="21"/>
      <c r="D117" s="21"/>
      <c r="E117" s="21"/>
      <c r="F117" s="21"/>
      <c r="G117" s="21"/>
    </row>
    <row r="118" spans="1:7" ht="17.100000000000001" customHeight="1" x14ac:dyDescent="0.2">
      <c r="A118" s="21"/>
      <c r="B118" s="114" t="s">
        <v>576</v>
      </c>
      <c r="C118" s="115"/>
      <c r="D118" s="2" t="s">
        <v>12</v>
      </c>
      <c r="E118" s="21"/>
      <c r="F118" s="21"/>
      <c r="G118" s="21"/>
    </row>
    <row r="119" spans="1:7" ht="18" customHeight="1" x14ac:dyDescent="0.2">
      <c r="A119" s="21"/>
      <c r="B119" s="26" t="s">
        <v>116</v>
      </c>
      <c r="C119" s="27" t="s">
        <v>120</v>
      </c>
      <c r="D119" s="27" t="s">
        <v>121</v>
      </c>
      <c r="E119" s="21"/>
      <c r="F119" s="21"/>
      <c r="G119" s="21"/>
    </row>
    <row r="120" spans="1:7" ht="29.1" customHeight="1" x14ac:dyDescent="0.2">
      <c r="A120" s="21"/>
      <c r="B120" s="9" t="s">
        <v>577</v>
      </c>
      <c r="C120" s="95">
        <v>1.3776E-2</v>
      </c>
      <c r="D120" s="96" t="s">
        <v>122</v>
      </c>
      <c r="E120" s="21"/>
      <c r="F120" s="18"/>
      <c r="G120" s="25"/>
    </row>
    <row r="121" spans="1:7" ht="29.1" customHeight="1" x14ac:dyDescent="0.2">
      <c r="A121" s="21"/>
      <c r="B121" s="9" t="s">
        <v>568</v>
      </c>
      <c r="C121" s="95">
        <v>5.79E-2</v>
      </c>
      <c r="D121" s="96" t="s">
        <v>122</v>
      </c>
      <c r="E121" s="21"/>
      <c r="F121" s="18"/>
      <c r="G121" s="25"/>
    </row>
    <row r="122" spans="1:7" ht="29.1" customHeight="1" x14ac:dyDescent="0.2">
      <c r="A122" s="21"/>
      <c r="B122" s="9" t="s">
        <v>579</v>
      </c>
      <c r="C122" s="95">
        <v>5.6300000000000003E-2</v>
      </c>
      <c r="D122" s="95">
        <v>5.6300000000000003E-2</v>
      </c>
      <c r="E122" s="21"/>
      <c r="F122" s="18"/>
      <c r="G122" s="25"/>
    </row>
    <row r="123" spans="1:7" ht="29.1" customHeight="1" x14ac:dyDescent="0.2">
      <c r="A123" s="21"/>
      <c r="B123" s="9" t="s">
        <v>580</v>
      </c>
      <c r="C123" s="95">
        <v>1.3351999999999999E-2</v>
      </c>
      <c r="D123" s="96" t="s">
        <v>122</v>
      </c>
      <c r="E123" s="21"/>
      <c r="F123" s="18"/>
      <c r="G123" s="25"/>
    </row>
    <row r="124" spans="1:7" ht="29.1" customHeight="1" x14ac:dyDescent="0.2">
      <c r="A124" s="21"/>
      <c r="B124" s="9" t="s">
        <v>581</v>
      </c>
      <c r="C124" s="95">
        <v>2.5999999999999999E-2</v>
      </c>
      <c r="D124" s="96" t="s">
        <v>122</v>
      </c>
      <c r="E124" s="21"/>
      <c r="F124" s="18"/>
      <c r="G124" s="25"/>
    </row>
    <row r="125" spans="1:7" ht="29.1" customHeight="1" x14ac:dyDescent="0.2">
      <c r="A125" s="21"/>
      <c r="B125" s="9" t="s">
        <v>572</v>
      </c>
      <c r="C125" s="95">
        <v>5.6800000000000003E-2</v>
      </c>
      <c r="D125" s="95">
        <v>5.6800000000000003E-2</v>
      </c>
      <c r="E125" s="21"/>
      <c r="F125" s="18"/>
      <c r="G125" s="25"/>
    </row>
    <row r="126" spans="1:7" ht="14.1" customHeight="1" x14ac:dyDescent="0.2">
      <c r="A126" s="21"/>
      <c r="B126" s="29"/>
      <c r="C126" s="29"/>
      <c r="D126" s="30"/>
      <c r="E126" s="21"/>
      <c r="F126" s="18"/>
      <c r="G126" s="25"/>
    </row>
    <row r="127" spans="1:7" ht="17.100000000000001" customHeight="1" x14ac:dyDescent="0.2">
      <c r="A127" s="21"/>
      <c r="B127" s="114" t="s">
        <v>508</v>
      </c>
      <c r="C127" s="115"/>
      <c r="D127" s="2" t="s">
        <v>111</v>
      </c>
      <c r="E127" s="21"/>
      <c r="F127" s="18"/>
      <c r="G127" s="25"/>
    </row>
    <row r="128" spans="1:7" ht="29.1" customHeight="1" x14ac:dyDescent="0.2">
      <c r="A128" s="21"/>
      <c r="B128" s="114" t="s">
        <v>509</v>
      </c>
      <c r="C128" s="115"/>
      <c r="D128" s="2" t="s">
        <v>111</v>
      </c>
      <c r="E128" s="31"/>
      <c r="F128" s="21"/>
      <c r="G128" s="21"/>
    </row>
    <row r="129" spans="1:14" ht="29.1" customHeight="1" x14ac:dyDescent="0.2">
      <c r="A129" s="21"/>
      <c r="B129" s="114" t="s">
        <v>510</v>
      </c>
      <c r="C129" s="115"/>
      <c r="D129" s="2" t="s">
        <v>111</v>
      </c>
      <c r="E129" s="31"/>
      <c r="F129" s="21"/>
      <c r="G129" s="21"/>
    </row>
    <row r="130" spans="1:14" ht="17.100000000000001" customHeight="1" x14ac:dyDescent="0.2">
      <c r="A130" s="21"/>
      <c r="B130" s="114" t="s">
        <v>511</v>
      </c>
      <c r="C130" s="115"/>
      <c r="D130" s="2" t="s">
        <v>111</v>
      </c>
      <c r="E130" s="31"/>
      <c r="F130" s="21"/>
      <c r="G130" s="21"/>
      <c r="J130"/>
      <c r="K130"/>
      <c r="L130"/>
      <c r="M130"/>
      <c r="N130"/>
    </row>
    <row r="131" spans="1:14" x14ac:dyDescent="0.2">
      <c r="A131" s="33"/>
      <c r="B131" s="33"/>
      <c r="C131" s="33"/>
      <c r="D131" s="33"/>
      <c r="E131" s="33"/>
      <c r="F131" s="33"/>
      <c r="G131" s="33"/>
    </row>
    <row r="132" spans="1:14" x14ac:dyDescent="0.2">
      <c r="B132" s="111" t="s">
        <v>500</v>
      </c>
      <c r="C132" s="112"/>
      <c r="D132" s="113"/>
    </row>
    <row r="133" spans="1:14" ht="25.5" x14ac:dyDescent="0.2">
      <c r="B133" s="117" t="s">
        <v>501</v>
      </c>
      <c r="C133" s="117"/>
      <c r="D133" s="41" t="s">
        <v>125</v>
      </c>
    </row>
    <row r="134" spans="1:14" x14ac:dyDescent="0.2">
      <c r="B134" s="117" t="s">
        <v>502</v>
      </c>
      <c r="C134" s="117"/>
      <c r="D134" s="42"/>
    </row>
    <row r="135" spans="1:14" x14ac:dyDescent="0.2">
      <c r="B135" s="117"/>
      <c r="C135" s="117"/>
      <c r="D135" s="43"/>
    </row>
    <row r="136" spans="1:14" x14ac:dyDescent="0.2">
      <c r="B136" s="117" t="s">
        <v>503</v>
      </c>
      <c r="C136" s="117"/>
      <c r="D136" s="32">
        <v>7.4329855142237093</v>
      </c>
    </row>
    <row r="137" spans="1:14" x14ac:dyDescent="0.2">
      <c r="B137" s="117"/>
      <c r="C137" s="117"/>
      <c r="D137" s="43"/>
    </row>
    <row r="138" spans="1:14" x14ac:dyDescent="0.2">
      <c r="B138" s="117" t="s">
        <v>504</v>
      </c>
      <c r="C138" s="117"/>
      <c r="D138" s="32">
        <v>2.3950299109997717</v>
      </c>
    </row>
    <row r="139" spans="1:14" x14ac:dyDescent="0.2">
      <c r="B139" s="117" t="s">
        <v>505</v>
      </c>
      <c r="C139" s="117"/>
      <c r="D139" s="32">
        <v>2.6747072804732204</v>
      </c>
    </row>
    <row r="140" spans="1:14" x14ac:dyDescent="0.2">
      <c r="B140" s="117"/>
      <c r="C140" s="117"/>
      <c r="D140" s="43"/>
    </row>
    <row r="141" spans="1:14" x14ac:dyDescent="0.2">
      <c r="B141" s="117" t="s">
        <v>506</v>
      </c>
      <c r="C141" s="117"/>
      <c r="D141" s="44">
        <v>45107</v>
      </c>
    </row>
    <row r="142" spans="1:14" x14ac:dyDescent="0.2">
      <c r="B142" s="118" t="s">
        <v>507</v>
      </c>
      <c r="C142" s="119"/>
      <c r="D142" s="120"/>
    </row>
  </sheetData>
  <mergeCells count="26">
    <mergeCell ref="J2:N2"/>
    <mergeCell ref="B139:C139"/>
    <mergeCell ref="B140:C140"/>
    <mergeCell ref="B141:C141"/>
    <mergeCell ref="B142:D142"/>
    <mergeCell ref="B134:C134"/>
    <mergeCell ref="B135:C135"/>
    <mergeCell ref="B136:C136"/>
    <mergeCell ref="B137:C137"/>
    <mergeCell ref="B138:C138"/>
    <mergeCell ref="B129:C129"/>
    <mergeCell ref="B130:C130"/>
    <mergeCell ref="B133:C133"/>
    <mergeCell ref="B132:D132"/>
    <mergeCell ref="A1:H1"/>
    <mergeCell ref="A2:H2"/>
    <mergeCell ref="A3:H3"/>
    <mergeCell ref="B128:C128"/>
    <mergeCell ref="B96:F96"/>
    <mergeCell ref="B97:F97"/>
    <mergeCell ref="B127:C127"/>
    <mergeCell ref="B99:D99"/>
    <mergeCell ref="B100:C100"/>
    <mergeCell ref="B101:C101"/>
    <mergeCell ref="B102:C102"/>
    <mergeCell ref="B118:C118"/>
  </mergeCells>
  <hyperlinks>
    <hyperlink ref="I1" location="Index!B3" display="Index" xr:uid="{07E81084-7830-44AA-89EA-E96A1C5A48B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2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0" t="s">
        <v>0</v>
      </c>
      <c r="B1" s="110"/>
      <c r="C1" s="110"/>
      <c r="D1" s="110"/>
      <c r="E1" s="110"/>
      <c r="F1" s="110"/>
      <c r="G1" s="110"/>
      <c r="H1" s="110"/>
      <c r="I1" s="101" t="s">
        <v>591</v>
      </c>
    </row>
    <row r="2" spans="1:14" ht="17.100000000000001" customHeight="1" x14ac:dyDescent="0.2">
      <c r="A2" s="110" t="s">
        <v>164</v>
      </c>
      <c r="B2" s="110"/>
      <c r="C2" s="110"/>
      <c r="D2" s="110"/>
      <c r="E2" s="110"/>
      <c r="F2" s="110"/>
      <c r="G2" s="110"/>
      <c r="H2" s="110"/>
      <c r="J2" s="116" t="s">
        <v>592</v>
      </c>
      <c r="K2" s="116"/>
      <c r="L2" s="116"/>
      <c r="M2" s="116"/>
      <c r="N2" s="116"/>
    </row>
    <row r="3" spans="1:14" ht="21" customHeight="1" x14ac:dyDescent="0.2">
      <c r="A3" s="110" t="s">
        <v>589</v>
      </c>
      <c r="B3" s="110"/>
      <c r="C3" s="110"/>
      <c r="D3" s="110"/>
      <c r="E3" s="110"/>
      <c r="F3" s="110"/>
      <c r="G3" s="110"/>
      <c r="H3" s="110"/>
    </row>
    <row r="4" spans="1:14" ht="30" x14ac:dyDescent="0.2">
      <c r="A4" s="94" t="s">
        <v>2</v>
      </c>
      <c r="B4" s="94" t="s">
        <v>3</v>
      </c>
      <c r="C4" s="94" t="s">
        <v>4</v>
      </c>
      <c r="D4" s="94" t="s">
        <v>5</v>
      </c>
      <c r="E4" s="94" t="s">
        <v>6</v>
      </c>
      <c r="F4" s="94" t="s">
        <v>7</v>
      </c>
      <c r="G4" s="94" t="s">
        <v>8</v>
      </c>
      <c r="H4" s="91" t="s">
        <v>588</v>
      </c>
      <c r="I4" s="102"/>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5" t="s">
        <v>596</v>
      </c>
      <c r="K16" s="106"/>
      <c r="L16" s="106"/>
      <c r="M16" s="106"/>
      <c r="N16" s="106"/>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77</v>
      </c>
      <c r="D30" s="1"/>
      <c r="E30" s="1"/>
      <c r="F30" s="1"/>
      <c r="G30" s="1"/>
      <c r="H30" s="11"/>
    </row>
    <row r="31" spans="1:14" ht="14.1" customHeight="1" x14ac:dyDescent="0.25">
      <c r="A31" s="1"/>
      <c r="B31" s="1"/>
      <c r="C31" s="2" t="s">
        <v>11</v>
      </c>
      <c r="D31" s="1"/>
      <c r="E31" s="1" t="s">
        <v>12</v>
      </c>
      <c r="F31" s="3" t="s">
        <v>13</v>
      </c>
      <c r="G31" s="4">
        <v>0</v>
      </c>
      <c r="H31" s="11"/>
      <c r="J31" s="105" t="s">
        <v>597</v>
      </c>
      <c r="K31" s="106"/>
      <c r="L31" s="106"/>
      <c r="M31" s="106"/>
      <c r="N31" s="106"/>
    </row>
    <row r="32" spans="1:14" ht="14.1" customHeight="1" x14ac:dyDescent="0.2">
      <c r="A32" s="1"/>
      <c r="B32" s="1"/>
      <c r="C32" s="5"/>
      <c r="D32" s="1"/>
      <c r="E32" s="1"/>
      <c r="F32" s="6"/>
      <c r="G32" s="6"/>
      <c r="H32" s="11"/>
    </row>
    <row r="33" spans="1:8" ht="14.1" customHeight="1" x14ac:dyDescent="0.2">
      <c r="A33" s="1"/>
      <c r="B33" s="1"/>
      <c r="C33" s="2" t="s">
        <v>78</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90</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91</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92</v>
      </c>
      <c r="D41" s="1"/>
      <c r="E41" s="1"/>
      <c r="F41" s="6"/>
      <c r="G41" s="6"/>
      <c r="H41" s="11"/>
    </row>
    <row r="42" spans="1:8" ht="14.1" customHeight="1" x14ac:dyDescent="0.2">
      <c r="A42" s="1"/>
      <c r="B42" s="1"/>
      <c r="C42" s="2" t="s">
        <v>93</v>
      </c>
      <c r="D42" s="1"/>
      <c r="E42" s="1"/>
      <c r="F42" s="6"/>
      <c r="G42" s="6"/>
      <c r="H42" s="11"/>
    </row>
    <row r="43" spans="1:8" ht="17.100000000000001" customHeight="1" x14ac:dyDescent="0.2">
      <c r="A43" s="8">
        <v>1</v>
      </c>
      <c r="B43" s="9" t="s">
        <v>165</v>
      </c>
      <c r="C43" s="9" t="s">
        <v>478</v>
      </c>
      <c r="D43" s="9" t="s">
        <v>166</v>
      </c>
      <c r="E43" s="10">
        <v>100</v>
      </c>
      <c r="F43" s="11">
        <v>481.44200000000001</v>
      </c>
      <c r="G43" s="12">
        <v>5.0772159999999997E-2</v>
      </c>
      <c r="H43" s="11">
        <v>7.29</v>
      </c>
    </row>
    <row r="44" spans="1:8" ht="17.100000000000001" customHeight="1" x14ac:dyDescent="0.2">
      <c r="A44" s="8">
        <v>2</v>
      </c>
      <c r="B44" s="9" t="s">
        <v>167</v>
      </c>
      <c r="C44" s="9" t="s">
        <v>168</v>
      </c>
      <c r="D44" s="9" t="s">
        <v>169</v>
      </c>
      <c r="E44" s="10">
        <v>100</v>
      </c>
      <c r="F44" s="11">
        <v>480.75049999999999</v>
      </c>
      <c r="G44" s="12">
        <v>5.069924E-2</v>
      </c>
      <c r="H44" s="11">
        <v>7.2350000000000003</v>
      </c>
    </row>
    <row r="45" spans="1:8" ht="29.1" customHeight="1" x14ac:dyDescent="0.2">
      <c r="A45" s="8">
        <v>3</v>
      </c>
      <c r="B45" s="9" t="s">
        <v>170</v>
      </c>
      <c r="C45" s="9" t="s">
        <v>171</v>
      </c>
      <c r="D45" s="9" t="s">
        <v>169</v>
      </c>
      <c r="E45" s="10">
        <v>100</v>
      </c>
      <c r="F45" s="11">
        <v>480.29300000000001</v>
      </c>
      <c r="G45" s="12">
        <v>5.065099E-2</v>
      </c>
      <c r="H45" s="11">
        <v>7.2701000000000002</v>
      </c>
    </row>
    <row r="46" spans="1:8" ht="17.100000000000001" customHeight="1" x14ac:dyDescent="0.2">
      <c r="A46" s="8">
        <v>4</v>
      </c>
      <c r="B46" s="9" t="s">
        <v>172</v>
      </c>
      <c r="C46" s="9" t="s">
        <v>475</v>
      </c>
      <c r="D46" s="9" t="s">
        <v>169</v>
      </c>
      <c r="E46" s="10">
        <v>100</v>
      </c>
      <c r="F46" s="11">
        <v>477.6465</v>
      </c>
      <c r="G46" s="12">
        <v>5.0371890000000002E-2</v>
      </c>
      <c r="H46" s="11">
        <v>7.3</v>
      </c>
    </row>
    <row r="47" spans="1:8" ht="29.1" customHeight="1" x14ac:dyDescent="0.2">
      <c r="A47" s="8">
        <v>5</v>
      </c>
      <c r="B47" s="9" t="s">
        <v>173</v>
      </c>
      <c r="C47" s="9" t="s">
        <v>476</v>
      </c>
      <c r="D47" s="9" t="s">
        <v>169</v>
      </c>
      <c r="E47" s="10">
        <v>100</v>
      </c>
      <c r="F47" s="11">
        <v>476.38049999999998</v>
      </c>
      <c r="G47" s="12">
        <v>5.0238379999999999E-2</v>
      </c>
      <c r="H47" s="11">
        <v>7.21</v>
      </c>
    </row>
    <row r="48" spans="1:8" ht="29.1" customHeight="1" x14ac:dyDescent="0.2">
      <c r="A48" s="8">
        <v>6</v>
      </c>
      <c r="B48" s="9" t="s">
        <v>174</v>
      </c>
      <c r="C48" s="9" t="s">
        <v>175</v>
      </c>
      <c r="D48" s="9" t="s">
        <v>169</v>
      </c>
      <c r="E48" s="10">
        <v>100</v>
      </c>
      <c r="F48" s="11">
        <v>475.54050000000001</v>
      </c>
      <c r="G48" s="12">
        <v>5.0149800000000001E-2</v>
      </c>
      <c r="H48" s="11">
        <v>7.3049999999999997</v>
      </c>
    </row>
    <row r="49" spans="1:8" ht="17.100000000000001" customHeight="1" x14ac:dyDescent="0.2">
      <c r="A49" s="8">
        <v>7</v>
      </c>
      <c r="B49" s="9" t="s">
        <v>176</v>
      </c>
      <c r="C49" s="9" t="s">
        <v>177</v>
      </c>
      <c r="D49" s="9" t="s">
        <v>160</v>
      </c>
      <c r="E49" s="10">
        <v>100</v>
      </c>
      <c r="F49" s="11">
        <v>475.04700000000003</v>
      </c>
      <c r="G49" s="12">
        <v>5.0097750000000003E-2</v>
      </c>
      <c r="H49" s="11">
        <v>7.29</v>
      </c>
    </row>
    <row r="50" spans="1:8" ht="17.100000000000001" customHeight="1" x14ac:dyDescent="0.2">
      <c r="A50" s="8">
        <v>8</v>
      </c>
      <c r="B50" s="9" t="s">
        <v>178</v>
      </c>
      <c r="C50" s="9" t="s">
        <v>179</v>
      </c>
      <c r="D50" s="9" t="s">
        <v>166</v>
      </c>
      <c r="E50" s="10">
        <v>100</v>
      </c>
      <c r="F50" s="11">
        <v>474.49400000000003</v>
      </c>
      <c r="G50" s="12">
        <v>5.0039430000000003E-2</v>
      </c>
      <c r="H50" s="11">
        <v>7.24</v>
      </c>
    </row>
    <row r="51" spans="1:8" ht="14.1" customHeight="1" x14ac:dyDescent="0.2">
      <c r="A51" s="1"/>
      <c r="B51" s="1"/>
      <c r="C51" s="2" t="s">
        <v>11</v>
      </c>
      <c r="D51" s="1"/>
      <c r="E51" s="1" t="s">
        <v>12</v>
      </c>
      <c r="F51" s="7">
        <v>3821.5940000000001</v>
      </c>
      <c r="G51" s="4">
        <v>0.40301964000000001</v>
      </c>
      <c r="H51" s="11"/>
    </row>
    <row r="52" spans="1:8" ht="14.1" customHeight="1" x14ac:dyDescent="0.2">
      <c r="A52" s="1"/>
      <c r="B52" s="1"/>
      <c r="C52" s="5"/>
      <c r="D52" s="1"/>
      <c r="E52" s="1"/>
      <c r="F52" s="6"/>
      <c r="G52" s="6"/>
      <c r="H52" s="11"/>
    </row>
    <row r="53" spans="1:8" ht="14.1" customHeight="1" x14ac:dyDescent="0.2">
      <c r="A53" s="1"/>
      <c r="B53" s="1"/>
      <c r="C53" s="2" t="s">
        <v>94</v>
      </c>
      <c r="D53" s="1"/>
      <c r="E53" s="1"/>
      <c r="F53" s="6"/>
      <c r="G53" s="6"/>
      <c r="H53" s="11"/>
    </row>
    <row r="54" spans="1:8" ht="29.1" customHeight="1" x14ac:dyDescent="0.2">
      <c r="A54" s="8">
        <v>1</v>
      </c>
      <c r="B54" s="9" t="s">
        <v>180</v>
      </c>
      <c r="C54" s="9" t="s">
        <v>181</v>
      </c>
      <c r="D54" s="9" t="s">
        <v>169</v>
      </c>
      <c r="E54" s="10">
        <v>100</v>
      </c>
      <c r="F54" s="11">
        <v>478.85199999999998</v>
      </c>
      <c r="G54" s="12">
        <v>5.0499019999999999E-2</v>
      </c>
      <c r="H54" s="11">
        <v>7.75</v>
      </c>
    </row>
    <row r="55" spans="1:8" ht="17.100000000000001" customHeight="1" x14ac:dyDescent="0.2">
      <c r="A55" s="8">
        <v>2</v>
      </c>
      <c r="B55" s="9" t="s">
        <v>182</v>
      </c>
      <c r="C55" s="9" t="s">
        <v>473</v>
      </c>
      <c r="D55" s="9" t="s">
        <v>169</v>
      </c>
      <c r="E55" s="10">
        <v>100</v>
      </c>
      <c r="F55" s="11">
        <v>474.34899999999999</v>
      </c>
      <c r="G55" s="12">
        <v>5.0024140000000002E-2</v>
      </c>
      <c r="H55" s="11">
        <v>7.5049999999999999</v>
      </c>
    </row>
    <row r="56" spans="1:8" ht="14.1" customHeight="1" x14ac:dyDescent="0.2">
      <c r="A56" s="1"/>
      <c r="B56" s="1"/>
      <c r="C56" s="2" t="s">
        <v>11</v>
      </c>
      <c r="D56" s="1"/>
      <c r="E56" s="1" t="s">
        <v>12</v>
      </c>
      <c r="F56" s="7">
        <v>953.20100000000002</v>
      </c>
      <c r="G56" s="4">
        <v>0.10052316</v>
      </c>
      <c r="H56" s="11"/>
    </row>
    <row r="57" spans="1:8" ht="14.1" customHeight="1" x14ac:dyDescent="0.2">
      <c r="A57" s="1"/>
      <c r="B57" s="1"/>
      <c r="C57" s="5"/>
      <c r="D57" s="1"/>
      <c r="E57" s="1"/>
      <c r="F57" s="6"/>
      <c r="G57" s="6"/>
      <c r="H57" s="11"/>
    </row>
    <row r="58" spans="1:8" ht="14.1" customHeight="1" x14ac:dyDescent="0.2">
      <c r="A58" s="1"/>
      <c r="B58" s="1"/>
      <c r="C58" s="2" t="s">
        <v>95</v>
      </c>
      <c r="D58" s="1"/>
      <c r="E58" s="1"/>
      <c r="F58" s="6"/>
      <c r="G58" s="6"/>
      <c r="H58" s="11"/>
    </row>
    <row r="59" spans="1:8" ht="17.100000000000001" customHeight="1" x14ac:dyDescent="0.2">
      <c r="A59" s="8">
        <v>1</v>
      </c>
      <c r="B59" s="9" t="s">
        <v>183</v>
      </c>
      <c r="C59" s="9" t="s">
        <v>184</v>
      </c>
      <c r="D59" s="9" t="s">
        <v>81</v>
      </c>
      <c r="E59" s="10">
        <v>4000000</v>
      </c>
      <c r="F59" s="11">
        <v>3820.6439999999998</v>
      </c>
      <c r="G59" s="12">
        <v>0.40291945000000001</v>
      </c>
      <c r="H59" s="11">
        <v>6.8537999999999997</v>
      </c>
    </row>
    <row r="60" spans="1:8" ht="17.100000000000001" customHeight="1" x14ac:dyDescent="0.2">
      <c r="A60" s="8">
        <v>2</v>
      </c>
      <c r="B60" s="9" t="s">
        <v>185</v>
      </c>
      <c r="C60" s="9" t="s">
        <v>186</v>
      </c>
      <c r="D60" s="9" t="s">
        <v>81</v>
      </c>
      <c r="E60" s="10">
        <v>500000</v>
      </c>
      <c r="F60" s="11">
        <v>476.31150000000002</v>
      </c>
      <c r="G60" s="12">
        <v>5.0231100000000001E-2</v>
      </c>
      <c r="H60" s="11">
        <v>6.85</v>
      </c>
    </row>
    <row r="61" spans="1:8" ht="14.1" customHeight="1" x14ac:dyDescent="0.2">
      <c r="A61" s="1"/>
      <c r="B61" s="1"/>
      <c r="C61" s="2" t="s">
        <v>11</v>
      </c>
      <c r="D61" s="1"/>
      <c r="E61" s="1" t="s">
        <v>12</v>
      </c>
      <c r="F61" s="7">
        <v>4296.9555</v>
      </c>
      <c r="G61" s="4">
        <v>0.45315054999999999</v>
      </c>
      <c r="H61" s="11"/>
    </row>
    <row r="62" spans="1:8" ht="14.1" customHeight="1" x14ac:dyDescent="0.2">
      <c r="A62" s="1"/>
      <c r="B62" s="1"/>
      <c r="C62" s="5"/>
      <c r="D62" s="1"/>
      <c r="E62" s="1"/>
      <c r="F62" s="6"/>
      <c r="G62" s="6"/>
      <c r="H62" s="11"/>
    </row>
    <row r="63" spans="1:8" ht="14.1" customHeight="1" x14ac:dyDescent="0.2">
      <c r="A63" s="1"/>
      <c r="B63" s="1"/>
      <c r="C63" s="2" t="s">
        <v>96</v>
      </c>
      <c r="D63" s="1"/>
      <c r="E63" s="1"/>
      <c r="F63" s="6"/>
      <c r="G63" s="6"/>
      <c r="H63" s="11"/>
    </row>
    <row r="64" spans="1:8" ht="17.100000000000001" customHeight="1" x14ac:dyDescent="0.2">
      <c r="A64" s="8">
        <v>1</v>
      </c>
      <c r="B64" s="9"/>
      <c r="C64" s="9" t="s">
        <v>97</v>
      </c>
      <c r="D64" s="9"/>
      <c r="E64" s="13"/>
      <c r="F64" s="11">
        <v>777.14659449999999</v>
      </c>
      <c r="G64" s="12">
        <v>8.1956730000000005E-2</v>
      </c>
      <c r="H64" s="11">
        <v>6.7573016869821334</v>
      </c>
    </row>
    <row r="65" spans="1:8" ht="17.100000000000001" customHeight="1" x14ac:dyDescent="0.2">
      <c r="A65" s="8">
        <v>2</v>
      </c>
      <c r="B65" s="9"/>
      <c r="C65" s="9" t="s">
        <v>98</v>
      </c>
      <c r="D65" s="9"/>
      <c r="E65" s="13"/>
      <c r="F65" s="11">
        <v>636.65044169999999</v>
      </c>
      <c r="G65" s="12">
        <v>6.7140210000000006E-2</v>
      </c>
      <c r="H65" s="11">
        <v>6.796603293503404</v>
      </c>
    </row>
    <row r="66" spans="1:8" ht="14.1" customHeight="1" x14ac:dyDescent="0.2">
      <c r="A66" s="1"/>
      <c r="B66" s="1"/>
      <c r="C66" s="2" t="s">
        <v>11</v>
      </c>
      <c r="D66" s="1"/>
      <c r="E66" s="1" t="s">
        <v>12</v>
      </c>
      <c r="F66" s="7">
        <v>1413.7970362000001</v>
      </c>
      <c r="G66" s="4">
        <v>0.14909694000000001</v>
      </c>
      <c r="H66" s="11"/>
    </row>
    <row r="67" spans="1:8" ht="14.1" customHeight="1" x14ac:dyDescent="0.2">
      <c r="A67" s="1"/>
      <c r="B67" s="1"/>
      <c r="C67" s="5"/>
      <c r="D67" s="1"/>
      <c r="E67" s="1"/>
      <c r="F67" s="6"/>
      <c r="G67" s="6"/>
      <c r="H67" s="11"/>
    </row>
    <row r="68" spans="1:8" ht="14.1" customHeight="1" x14ac:dyDescent="0.2">
      <c r="A68" s="1"/>
      <c r="B68" s="1"/>
      <c r="C68" s="2" t="s">
        <v>99</v>
      </c>
      <c r="D68" s="1"/>
      <c r="E68" s="1"/>
      <c r="F68" s="7">
        <v>10485.5475362</v>
      </c>
      <c r="G68" s="4">
        <v>1.1057902900000001</v>
      </c>
      <c r="H68" s="11"/>
    </row>
    <row r="69" spans="1:8" ht="14.1" customHeight="1" x14ac:dyDescent="0.2">
      <c r="A69" s="1"/>
      <c r="B69" s="1"/>
      <c r="C69" s="6"/>
      <c r="D69" s="1"/>
      <c r="E69" s="1"/>
      <c r="F69" s="1"/>
      <c r="G69" s="1"/>
      <c r="H69" s="11"/>
    </row>
    <row r="70" spans="1:8" ht="14.1" customHeight="1" x14ac:dyDescent="0.2">
      <c r="A70" s="1"/>
      <c r="B70" s="1"/>
      <c r="C70" s="2" t="s">
        <v>100</v>
      </c>
      <c r="D70" s="1"/>
      <c r="E70" s="1"/>
      <c r="F70" s="1"/>
      <c r="G70" s="1"/>
      <c r="H70" s="11"/>
    </row>
    <row r="71" spans="1:8" ht="14.1" customHeight="1" x14ac:dyDescent="0.2">
      <c r="A71" s="1"/>
      <c r="B71" s="1"/>
      <c r="C71" s="2" t="s">
        <v>101</v>
      </c>
      <c r="D71" s="1"/>
      <c r="E71" s="1"/>
      <c r="F71" s="1"/>
      <c r="G71" s="1"/>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102</v>
      </c>
      <c r="D74" s="1"/>
      <c r="E74" s="1"/>
      <c r="F74" s="1"/>
      <c r="G74" s="1"/>
      <c r="H74" s="11"/>
    </row>
    <row r="75" spans="1:8" ht="14.1" customHeight="1" x14ac:dyDescent="0.2">
      <c r="A75" s="1"/>
      <c r="B75" s="1"/>
      <c r="C75" s="2" t="s">
        <v>103</v>
      </c>
      <c r="D75" s="1"/>
      <c r="E75" s="1"/>
      <c r="F75" s="1"/>
      <c r="G75" s="1"/>
      <c r="H75" s="11"/>
    </row>
    <row r="76" spans="1:8" ht="14.1" customHeight="1" x14ac:dyDescent="0.2">
      <c r="A76" s="1"/>
      <c r="B76" s="1"/>
      <c r="C76" s="2" t="s">
        <v>11</v>
      </c>
      <c r="D76" s="1"/>
      <c r="E76" s="1" t="s">
        <v>12</v>
      </c>
      <c r="F76" s="3" t="s">
        <v>13</v>
      </c>
      <c r="G76" s="4">
        <v>0</v>
      </c>
      <c r="H76" s="11"/>
    </row>
    <row r="77" spans="1:8" ht="14.1" customHeight="1" x14ac:dyDescent="0.2">
      <c r="A77" s="1"/>
      <c r="B77" s="1"/>
      <c r="C77" s="5"/>
      <c r="D77" s="1"/>
      <c r="E77" s="1"/>
      <c r="F77" s="6"/>
      <c r="G77" s="6"/>
      <c r="H77" s="11"/>
    </row>
    <row r="78" spans="1:8" ht="24" customHeight="1" x14ac:dyDescent="0.2">
      <c r="A78" s="1"/>
      <c r="B78" s="1"/>
      <c r="C78" s="2" t="s">
        <v>104</v>
      </c>
      <c r="D78" s="1"/>
      <c r="E78" s="1"/>
      <c r="F78" s="6"/>
      <c r="G78" s="6"/>
      <c r="H78" s="11"/>
    </row>
    <row r="79" spans="1:8" ht="14.1" customHeight="1" x14ac:dyDescent="0.2">
      <c r="A79" s="1"/>
      <c r="B79" s="1"/>
      <c r="C79" s="2" t="s">
        <v>11</v>
      </c>
      <c r="D79" s="1"/>
      <c r="E79" s="1" t="s">
        <v>12</v>
      </c>
      <c r="F79" s="3" t="s">
        <v>13</v>
      </c>
      <c r="G79" s="4">
        <v>0</v>
      </c>
      <c r="H79" s="11"/>
    </row>
    <row r="80" spans="1:8" ht="14.1" customHeight="1" x14ac:dyDescent="0.2">
      <c r="A80" s="1"/>
      <c r="B80" s="1"/>
      <c r="C80" s="5"/>
      <c r="D80" s="1"/>
      <c r="E80" s="1"/>
      <c r="F80" s="6"/>
      <c r="G80" s="6"/>
      <c r="H80" s="11"/>
    </row>
    <row r="81" spans="1:8" ht="14.1" customHeight="1" x14ac:dyDescent="0.2">
      <c r="A81" s="1"/>
      <c r="B81" s="9"/>
      <c r="C81" s="9"/>
      <c r="D81" s="2"/>
      <c r="E81" s="1"/>
      <c r="F81" s="9"/>
      <c r="G81" s="13"/>
      <c r="H81" s="11"/>
    </row>
    <row r="82" spans="1:8" ht="18" customHeight="1" x14ac:dyDescent="0.2">
      <c r="A82" s="13"/>
      <c r="B82" s="9"/>
      <c r="C82" s="9" t="s">
        <v>105</v>
      </c>
      <c r="D82" s="9"/>
      <c r="E82" s="13"/>
      <c r="F82" s="11">
        <v>-1003.14601364</v>
      </c>
      <c r="G82" s="12">
        <v>-0.10579029</v>
      </c>
      <c r="H82" s="11"/>
    </row>
    <row r="83" spans="1:8" ht="14.1" customHeight="1" x14ac:dyDescent="0.2">
      <c r="A83" s="5"/>
      <c r="B83" s="5"/>
      <c r="C83" s="2" t="s">
        <v>106</v>
      </c>
      <c r="D83" s="6"/>
      <c r="E83" s="6"/>
      <c r="F83" s="7">
        <v>9482.4015225599996</v>
      </c>
      <c r="G83" s="14">
        <v>1</v>
      </c>
      <c r="H83" s="11"/>
    </row>
    <row r="84" spans="1:8" ht="14.1" customHeight="1" x14ac:dyDescent="0.2">
      <c r="A84" s="15"/>
      <c r="B84" s="15"/>
      <c r="C84" s="15"/>
      <c r="D84" s="16"/>
      <c r="E84" s="16"/>
      <c r="F84" s="16"/>
      <c r="G84" s="16"/>
    </row>
    <row r="85" spans="1:8" ht="17.100000000000001" customHeight="1" x14ac:dyDescent="0.2">
      <c r="A85" s="17"/>
      <c r="B85" s="121" t="s">
        <v>107</v>
      </c>
      <c r="C85" s="121"/>
      <c r="D85" s="121"/>
      <c r="E85" s="121"/>
      <c r="F85" s="121"/>
      <c r="G85" s="19"/>
    </row>
    <row r="86" spans="1:8" ht="17.100000000000001" customHeight="1" x14ac:dyDescent="0.2">
      <c r="A86" s="17"/>
      <c r="B86" s="121" t="s">
        <v>108</v>
      </c>
      <c r="C86" s="121"/>
      <c r="D86" s="121"/>
      <c r="E86" s="121"/>
      <c r="F86" s="121"/>
      <c r="G86" s="19"/>
    </row>
    <row r="87" spans="1:8" ht="14.1" customHeight="1" x14ac:dyDescent="0.2">
      <c r="A87" s="17"/>
      <c r="B87" s="17"/>
      <c r="C87" s="17"/>
      <c r="D87" s="19"/>
      <c r="E87" s="19"/>
      <c r="F87" s="19"/>
      <c r="G87" s="19"/>
    </row>
    <row r="88" spans="1:8" ht="14.1" customHeight="1" x14ac:dyDescent="0.2">
      <c r="A88" s="17"/>
      <c r="B88" s="122" t="s">
        <v>109</v>
      </c>
      <c r="C88" s="123"/>
      <c r="D88" s="124"/>
      <c r="E88" s="20"/>
      <c r="F88" s="19"/>
      <c r="G88" s="19"/>
    </row>
    <row r="89" spans="1:8" ht="29.1" customHeight="1" x14ac:dyDescent="0.2">
      <c r="A89" s="17"/>
      <c r="B89" s="114" t="s">
        <v>110</v>
      </c>
      <c r="C89" s="115"/>
      <c r="D89" s="2" t="s">
        <v>111</v>
      </c>
      <c r="E89" s="20"/>
      <c r="F89" s="19"/>
      <c r="G89" s="19"/>
    </row>
    <row r="90" spans="1:8" ht="17.100000000000001" customHeight="1" x14ac:dyDescent="0.2">
      <c r="A90" s="17"/>
      <c r="B90" s="114" t="s">
        <v>112</v>
      </c>
      <c r="C90" s="115"/>
      <c r="D90" s="2" t="s">
        <v>111</v>
      </c>
      <c r="E90" s="20"/>
      <c r="F90" s="19"/>
      <c r="G90" s="19"/>
    </row>
    <row r="91" spans="1:8" ht="17.100000000000001" customHeight="1" x14ac:dyDescent="0.2">
      <c r="A91" s="17"/>
      <c r="B91" s="114" t="s">
        <v>113</v>
      </c>
      <c r="C91" s="115"/>
      <c r="D91" s="6" t="s">
        <v>12</v>
      </c>
      <c r="E91" s="20"/>
      <c r="F91" s="19"/>
      <c r="G91" s="19"/>
    </row>
    <row r="92" spans="1:8" ht="24" customHeight="1" x14ac:dyDescent="0.2">
      <c r="A92" s="21"/>
      <c r="B92" s="22" t="s">
        <v>12</v>
      </c>
      <c r="C92" s="22" t="s">
        <v>114</v>
      </c>
      <c r="D92" s="22" t="s">
        <v>115</v>
      </c>
      <c r="E92" s="21"/>
      <c r="F92" s="21"/>
      <c r="G92" s="21"/>
    </row>
    <row r="93" spans="1:8" ht="18" customHeight="1" x14ac:dyDescent="0.2">
      <c r="A93" s="21"/>
      <c r="B93" s="23" t="s">
        <v>116</v>
      </c>
      <c r="C93" s="22" t="s">
        <v>590</v>
      </c>
      <c r="D93" s="22" t="s">
        <v>117</v>
      </c>
      <c r="E93" s="21"/>
      <c r="F93" s="21"/>
      <c r="G93" s="21"/>
    </row>
    <row r="94" spans="1:8" ht="17.100000000000001" customHeight="1" x14ac:dyDescent="0.2">
      <c r="A94" s="21"/>
      <c r="B94" s="9" t="s">
        <v>118</v>
      </c>
      <c r="C94" s="24">
        <v>12.997400000000001</v>
      </c>
      <c r="D94" s="24">
        <v>13.0327</v>
      </c>
      <c r="E94" s="21"/>
      <c r="F94" s="18"/>
      <c r="G94" s="25"/>
    </row>
    <row r="95" spans="1:8" ht="29.1" customHeight="1" x14ac:dyDescent="0.2">
      <c r="A95" s="21"/>
      <c r="B95" s="9" t="s">
        <v>577</v>
      </c>
      <c r="C95" s="24">
        <v>10.061999999999999</v>
      </c>
      <c r="D95" s="24">
        <v>10.061999999999999</v>
      </c>
      <c r="E95" s="21"/>
      <c r="F95" s="18"/>
      <c r="G95" s="25"/>
    </row>
    <row r="96" spans="1:8" ht="29.1" customHeight="1" x14ac:dyDescent="0.2">
      <c r="A96" s="21"/>
      <c r="B96" s="9" t="s">
        <v>582</v>
      </c>
      <c r="C96" s="24">
        <v>10.3589</v>
      </c>
      <c r="D96" s="13" t="s">
        <v>122</v>
      </c>
      <c r="E96" s="21"/>
      <c r="F96" s="18"/>
      <c r="G96" s="25"/>
    </row>
    <row r="97" spans="1:14" ht="29.1" customHeight="1" x14ac:dyDescent="0.2">
      <c r="A97" s="21"/>
      <c r="B97" s="9" t="s">
        <v>568</v>
      </c>
      <c r="C97" s="24">
        <v>11.214399999999999</v>
      </c>
      <c r="D97" s="24">
        <v>11.1797</v>
      </c>
      <c r="E97" s="21"/>
      <c r="F97" s="18"/>
      <c r="G97" s="25"/>
    </row>
    <row r="98" spans="1:14" ht="29.1" customHeight="1" x14ac:dyDescent="0.2">
      <c r="A98" s="21"/>
      <c r="B98" s="9" t="s">
        <v>569</v>
      </c>
      <c r="C98" s="24">
        <v>11.685600000000001</v>
      </c>
      <c r="D98" s="24">
        <v>11.642200000000001</v>
      </c>
      <c r="E98" s="21"/>
      <c r="F98" s="18"/>
      <c r="G98" s="25"/>
    </row>
    <row r="99" spans="1:14" ht="17.100000000000001" customHeight="1" x14ac:dyDescent="0.2">
      <c r="A99" s="21"/>
      <c r="B99" s="9" t="s">
        <v>119</v>
      </c>
      <c r="C99" s="24">
        <v>12.9421</v>
      </c>
      <c r="D99" s="24">
        <v>12.976800000000001</v>
      </c>
      <c r="E99" s="21"/>
      <c r="F99" s="18"/>
      <c r="G99" s="25"/>
    </row>
    <row r="100" spans="1:14" ht="29.1" customHeight="1" x14ac:dyDescent="0.2">
      <c r="A100" s="21"/>
      <c r="B100" s="9" t="s">
        <v>580</v>
      </c>
      <c r="C100" s="24">
        <v>10.061999999999999</v>
      </c>
      <c r="D100" s="24">
        <v>10.061999999999999</v>
      </c>
      <c r="E100" s="21"/>
      <c r="F100" s="18"/>
      <c r="G100" s="25"/>
    </row>
    <row r="101" spans="1:14" ht="29.1" customHeight="1" x14ac:dyDescent="0.2">
      <c r="A101" s="21"/>
      <c r="B101" s="9" t="s">
        <v>581</v>
      </c>
      <c r="C101" s="24">
        <v>10.4915</v>
      </c>
      <c r="D101" s="24">
        <v>10.494</v>
      </c>
      <c r="E101" s="21"/>
      <c r="F101" s="18"/>
      <c r="G101" s="25"/>
    </row>
    <row r="102" spans="1:14" ht="29.1" customHeight="1" x14ac:dyDescent="0.2">
      <c r="A102" s="21"/>
      <c r="B102" s="9" t="s">
        <v>572</v>
      </c>
      <c r="C102" s="24">
        <v>11.1937</v>
      </c>
      <c r="D102" s="24">
        <v>11.1595</v>
      </c>
      <c r="E102" s="21"/>
      <c r="F102" s="18"/>
      <c r="G102" s="25"/>
    </row>
    <row r="103" spans="1:14" ht="29.1" customHeight="1" x14ac:dyDescent="0.2">
      <c r="A103" s="21"/>
      <c r="B103" s="9" t="s">
        <v>573</v>
      </c>
      <c r="C103" s="24">
        <v>11.634399999999999</v>
      </c>
      <c r="D103" s="24">
        <v>11.5905</v>
      </c>
      <c r="E103" s="21"/>
      <c r="F103" s="18"/>
      <c r="G103" s="25"/>
    </row>
    <row r="104" spans="1:14" ht="14.1" customHeight="1" x14ac:dyDescent="0.2">
      <c r="A104" s="21"/>
      <c r="B104" s="21"/>
      <c r="C104" s="21"/>
      <c r="D104" s="21"/>
      <c r="E104" s="21"/>
      <c r="F104" s="21"/>
      <c r="G104" s="21"/>
    </row>
    <row r="105" spans="1:14" ht="17.100000000000001" customHeight="1" x14ac:dyDescent="0.2">
      <c r="A105" s="21"/>
      <c r="B105" s="114" t="s">
        <v>576</v>
      </c>
      <c r="C105" s="115"/>
      <c r="D105" s="2" t="s">
        <v>12</v>
      </c>
      <c r="E105" s="21"/>
      <c r="F105" s="21"/>
      <c r="G105" s="21"/>
    </row>
    <row r="106" spans="1:14" ht="18" customHeight="1" x14ac:dyDescent="0.2">
      <c r="A106" s="21"/>
      <c r="B106" s="26" t="s">
        <v>116</v>
      </c>
      <c r="C106" s="27" t="s">
        <v>120</v>
      </c>
      <c r="D106" s="27" t="s">
        <v>121</v>
      </c>
      <c r="E106" s="21"/>
      <c r="F106" s="21"/>
      <c r="G106" s="21"/>
    </row>
    <row r="107" spans="1:14" ht="29.1" customHeight="1" x14ac:dyDescent="0.2">
      <c r="A107" s="97"/>
      <c r="B107" s="98" t="s">
        <v>577</v>
      </c>
      <c r="C107" s="95">
        <v>2.7241999999999999E-2</v>
      </c>
      <c r="D107" s="96" t="s">
        <v>122</v>
      </c>
      <c r="E107" s="97"/>
      <c r="F107" s="99"/>
      <c r="G107" s="100"/>
    </row>
    <row r="108" spans="1:14" ht="29.1" customHeight="1" x14ac:dyDescent="0.2">
      <c r="A108" s="97"/>
      <c r="B108" s="98" t="s">
        <v>568</v>
      </c>
      <c r="C108" s="95">
        <v>6.5000000000000002E-2</v>
      </c>
      <c r="D108" s="96" t="s">
        <v>122</v>
      </c>
      <c r="E108" s="97"/>
      <c r="F108" s="99"/>
      <c r="G108" s="100"/>
    </row>
    <row r="109" spans="1:14" ht="29.1" customHeight="1" x14ac:dyDescent="0.2">
      <c r="A109" s="97"/>
      <c r="B109" s="98" t="s">
        <v>569</v>
      </c>
      <c r="C109" s="95">
        <v>7.4999999999999997E-2</v>
      </c>
      <c r="D109" s="96" t="s">
        <v>122</v>
      </c>
      <c r="E109" s="97"/>
      <c r="F109" s="99"/>
      <c r="G109" s="100"/>
      <c r="J109"/>
      <c r="K109"/>
      <c r="L109"/>
      <c r="M109"/>
      <c r="N109"/>
    </row>
    <row r="110" spans="1:14" ht="29.1" customHeight="1" x14ac:dyDescent="0.2">
      <c r="A110" s="97"/>
      <c r="B110" s="98" t="s">
        <v>580</v>
      </c>
      <c r="C110" s="95">
        <v>2.6952E-2</v>
      </c>
      <c r="D110" s="96" t="s">
        <v>122</v>
      </c>
      <c r="E110" s="97"/>
      <c r="F110" s="99"/>
      <c r="G110" s="100"/>
    </row>
    <row r="111" spans="1:14" ht="29.1" customHeight="1" x14ac:dyDescent="0.2">
      <c r="A111" s="97"/>
      <c r="B111" s="98" t="s">
        <v>581</v>
      </c>
      <c r="C111" s="95">
        <v>3.9800000000000002E-2</v>
      </c>
      <c r="D111" s="96" t="s">
        <v>122</v>
      </c>
      <c r="E111" s="97"/>
      <c r="F111" s="99"/>
      <c r="G111" s="100"/>
    </row>
    <row r="112" spans="1:14" ht="29.1" customHeight="1" x14ac:dyDescent="0.2">
      <c r="A112" s="97"/>
      <c r="B112" s="98" t="s">
        <v>572</v>
      </c>
      <c r="C112" s="95">
        <v>6.4699999999999994E-2</v>
      </c>
      <c r="D112" s="96" t="s">
        <v>122</v>
      </c>
      <c r="E112" s="97"/>
      <c r="F112" s="99"/>
      <c r="G112" s="100"/>
    </row>
    <row r="113" spans="1:7" ht="29.1" customHeight="1" x14ac:dyDescent="0.2">
      <c r="A113" s="97"/>
      <c r="B113" s="98" t="s">
        <v>573</v>
      </c>
      <c r="C113" s="95">
        <v>7.4999999999999997E-2</v>
      </c>
      <c r="D113" s="96" t="s">
        <v>122</v>
      </c>
      <c r="E113" s="97"/>
      <c r="F113" s="99"/>
      <c r="G113" s="100"/>
    </row>
    <row r="114" spans="1:7" ht="14.1" customHeight="1" x14ac:dyDescent="0.2">
      <c r="A114" s="21"/>
      <c r="B114" s="29"/>
      <c r="C114" s="29"/>
      <c r="D114" s="30"/>
      <c r="E114" s="21"/>
      <c r="F114" s="18"/>
      <c r="G114" s="25"/>
    </row>
    <row r="115" spans="1:7" ht="29.1" customHeight="1" x14ac:dyDescent="0.2">
      <c r="A115" s="21"/>
      <c r="B115" s="114" t="s">
        <v>123</v>
      </c>
      <c r="C115" s="115"/>
      <c r="D115" s="2" t="s">
        <v>111</v>
      </c>
      <c r="E115" s="31"/>
      <c r="F115" s="21"/>
      <c r="G115" s="21"/>
    </row>
    <row r="116" spans="1:7" ht="29.1" customHeight="1" x14ac:dyDescent="0.2">
      <c r="A116" s="21"/>
      <c r="B116" s="114" t="s">
        <v>124</v>
      </c>
      <c r="C116" s="115"/>
      <c r="D116" s="2" t="s">
        <v>111</v>
      </c>
      <c r="E116" s="31"/>
      <c r="F116" s="21"/>
      <c r="G116" s="21"/>
    </row>
    <row r="117" spans="1:7" ht="17.100000000000001" customHeight="1" x14ac:dyDescent="0.2">
      <c r="A117" s="21"/>
      <c r="B117" s="114" t="s">
        <v>499</v>
      </c>
      <c r="C117" s="115"/>
      <c r="D117" s="2" t="s">
        <v>111</v>
      </c>
      <c r="E117" s="31"/>
      <c r="F117" s="21"/>
      <c r="G117" s="21"/>
    </row>
    <row r="119" spans="1:7" x14ac:dyDescent="0.2">
      <c r="B119" s="111" t="s">
        <v>500</v>
      </c>
      <c r="C119" s="112"/>
      <c r="D119" s="113"/>
    </row>
    <row r="120" spans="1:7" ht="25.5" x14ac:dyDescent="0.2">
      <c r="B120" s="117" t="s">
        <v>501</v>
      </c>
      <c r="C120" s="117"/>
      <c r="D120" s="41" t="s">
        <v>164</v>
      </c>
    </row>
    <row r="121" spans="1:7" x14ac:dyDescent="0.2">
      <c r="B121" s="117" t="s">
        <v>502</v>
      </c>
      <c r="C121" s="117"/>
      <c r="D121" s="42"/>
    </row>
    <row r="122" spans="1:7" x14ac:dyDescent="0.2">
      <c r="B122" s="117"/>
      <c r="C122" s="117"/>
      <c r="D122" s="43"/>
    </row>
    <row r="123" spans="1:7" x14ac:dyDescent="0.2">
      <c r="B123" s="117" t="s">
        <v>503</v>
      </c>
      <c r="C123" s="117"/>
      <c r="D123" s="32">
        <v>7.09505723037352</v>
      </c>
    </row>
    <row r="124" spans="1:7" x14ac:dyDescent="0.2">
      <c r="B124" s="117"/>
      <c r="C124" s="117"/>
      <c r="D124" s="43"/>
    </row>
    <row r="125" spans="1:7" x14ac:dyDescent="0.2">
      <c r="B125" s="117" t="s">
        <v>504</v>
      </c>
      <c r="C125" s="117"/>
      <c r="D125" s="32">
        <v>0.6397656343217798</v>
      </c>
    </row>
    <row r="126" spans="1:7" x14ac:dyDescent="0.2">
      <c r="B126" s="117" t="s">
        <v>505</v>
      </c>
      <c r="C126" s="117"/>
      <c r="D126" s="32">
        <v>0.6397656343217798</v>
      </c>
    </row>
    <row r="127" spans="1:7" x14ac:dyDescent="0.2">
      <c r="B127" s="117"/>
      <c r="C127" s="117"/>
      <c r="D127" s="43"/>
    </row>
    <row r="128" spans="1:7" x14ac:dyDescent="0.2">
      <c r="B128" s="117" t="s">
        <v>506</v>
      </c>
      <c r="C128" s="117"/>
      <c r="D128" s="44">
        <v>45107</v>
      </c>
    </row>
    <row r="129" spans="2:4" x14ac:dyDescent="0.2">
      <c r="B129" s="118" t="s">
        <v>507</v>
      </c>
      <c r="C129" s="119"/>
      <c r="D129" s="120"/>
    </row>
  </sheetData>
  <mergeCells count="25">
    <mergeCell ref="B116:C116"/>
    <mergeCell ref="J2:N2"/>
    <mergeCell ref="B128:C128"/>
    <mergeCell ref="B129:D129"/>
    <mergeCell ref="B123:C123"/>
    <mergeCell ref="B124:C124"/>
    <mergeCell ref="B125:C125"/>
    <mergeCell ref="B126:C126"/>
    <mergeCell ref="B127:C127"/>
    <mergeCell ref="B119:D119"/>
    <mergeCell ref="B121:C121"/>
    <mergeCell ref="B122:C122"/>
    <mergeCell ref="B85:F85"/>
    <mergeCell ref="B86:F86"/>
    <mergeCell ref="B117:C117"/>
    <mergeCell ref="B120:C120"/>
    <mergeCell ref="A1:H1"/>
    <mergeCell ref="A2:H2"/>
    <mergeCell ref="A3:H3"/>
    <mergeCell ref="B115:C115"/>
    <mergeCell ref="B89:C89"/>
    <mergeCell ref="B90:C90"/>
    <mergeCell ref="B91:C91"/>
    <mergeCell ref="B105:C105"/>
    <mergeCell ref="B88:D88"/>
  </mergeCells>
  <hyperlinks>
    <hyperlink ref="I1" location="Index!B4" display="Index" xr:uid="{21964030-3918-499C-BD2E-FAC8FE6E197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8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0" t="s">
        <v>0</v>
      </c>
      <c r="B1" s="110"/>
      <c r="C1" s="110"/>
      <c r="D1" s="110"/>
      <c r="E1" s="110"/>
      <c r="F1" s="110"/>
      <c r="G1" s="110"/>
      <c r="H1" s="110"/>
      <c r="I1" s="101" t="s">
        <v>591</v>
      </c>
    </row>
    <row r="2" spans="1:14" ht="17.100000000000001" customHeight="1" x14ac:dyDescent="0.2">
      <c r="A2" s="110" t="s">
        <v>187</v>
      </c>
      <c r="B2" s="110"/>
      <c r="C2" s="110"/>
      <c r="D2" s="110"/>
      <c r="E2" s="110"/>
      <c r="F2" s="110"/>
      <c r="G2" s="110"/>
      <c r="H2" s="110"/>
      <c r="J2" s="116" t="s">
        <v>592</v>
      </c>
      <c r="K2" s="116"/>
      <c r="L2" s="116"/>
      <c r="M2" s="116"/>
      <c r="N2" s="116"/>
    </row>
    <row r="3" spans="1:14" ht="21" customHeight="1" x14ac:dyDescent="0.2">
      <c r="A3" s="110" t="s">
        <v>589</v>
      </c>
      <c r="B3" s="110"/>
      <c r="C3" s="110"/>
      <c r="D3" s="110"/>
      <c r="E3" s="110"/>
      <c r="F3" s="110"/>
      <c r="G3" s="110"/>
      <c r="H3" s="110"/>
    </row>
    <row r="4" spans="1:14" ht="30" x14ac:dyDescent="0.2">
      <c r="A4" s="94" t="s">
        <v>2</v>
      </c>
      <c r="B4" s="94" t="s">
        <v>3</v>
      </c>
      <c r="C4" s="94" t="s">
        <v>4</v>
      </c>
      <c r="D4" s="94" t="s">
        <v>5</v>
      </c>
      <c r="E4" s="94" t="s">
        <v>6</v>
      </c>
      <c r="F4" s="94" t="s">
        <v>7</v>
      </c>
      <c r="G4" s="94" t="s">
        <v>8</v>
      </c>
      <c r="H4" s="91" t="s">
        <v>563</v>
      </c>
      <c r="I4" s="102"/>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5" t="s">
        <v>598</v>
      </c>
      <c r="K16" s="106"/>
      <c r="L16" s="106"/>
      <c r="M16" s="106"/>
      <c r="N16" s="106"/>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188</v>
      </c>
      <c r="C28" s="9" t="s">
        <v>189</v>
      </c>
      <c r="D28" s="9" t="s">
        <v>62</v>
      </c>
      <c r="E28" s="10">
        <v>150</v>
      </c>
      <c r="F28" s="11">
        <v>1492.3979999999999</v>
      </c>
      <c r="G28" s="12">
        <v>3.6990769999999999E-2</v>
      </c>
      <c r="H28" s="11">
        <v>7.18</v>
      </c>
    </row>
    <row r="29" spans="1:14" ht="29.1" customHeight="1" x14ac:dyDescent="0.25">
      <c r="A29" s="8">
        <v>2</v>
      </c>
      <c r="B29" s="9" t="s">
        <v>190</v>
      </c>
      <c r="C29" s="9" t="s">
        <v>191</v>
      </c>
      <c r="D29" s="9" t="s">
        <v>192</v>
      </c>
      <c r="E29" s="10">
        <v>150</v>
      </c>
      <c r="F29" s="11">
        <v>1488.1485</v>
      </c>
      <c r="G29" s="12">
        <v>3.6885439999999999E-2</v>
      </c>
      <c r="H29" s="11">
        <v>8.15</v>
      </c>
      <c r="J29" s="105" t="s">
        <v>599</v>
      </c>
      <c r="K29" s="106"/>
      <c r="L29" s="106"/>
      <c r="M29" s="106"/>
      <c r="N29" s="106"/>
    </row>
    <row r="30" spans="1:14" ht="29.1" customHeight="1" x14ac:dyDescent="0.2">
      <c r="A30" s="8">
        <v>3</v>
      </c>
      <c r="B30" s="9" t="s">
        <v>150</v>
      </c>
      <c r="C30" s="9" t="s">
        <v>151</v>
      </c>
      <c r="D30" s="9" t="s">
        <v>23</v>
      </c>
      <c r="E30" s="10">
        <v>100</v>
      </c>
      <c r="F30" s="11">
        <v>1001.842</v>
      </c>
      <c r="G30" s="12">
        <v>2.4831780000000001E-2</v>
      </c>
      <c r="H30" s="11">
        <v>7.73</v>
      </c>
    </row>
    <row r="31" spans="1:14" ht="29.1" customHeight="1" x14ac:dyDescent="0.2">
      <c r="A31" s="8">
        <v>4</v>
      </c>
      <c r="B31" s="9" t="s">
        <v>193</v>
      </c>
      <c r="C31" s="9" t="s">
        <v>194</v>
      </c>
      <c r="D31" s="9" t="s">
        <v>23</v>
      </c>
      <c r="E31" s="10">
        <v>1000</v>
      </c>
      <c r="F31" s="11">
        <v>1001.838</v>
      </c>
      <c r="G31" s="12">
        <v>2.4831679999999998E-2</v>
      </c>
      <c r="H31" s="11">
        <v>7.3049999999999997</v>
      </c>
    </row>
    <row r="32" spans="1:14" ht="29.1" customHeight="1" x14ac:dyDescent="0.2">
      <c r="A32" s="8">
        <v>5</v>
      </c>
      <c r="B32" s="9" t="s">
        <v>195</v>
      </c>
      <c r="C32" s="9" t="s">
        <v>196</v>
      </c>
      <c r="D32" s="9" t="s">
        <v>197</v>
      </c>
      <c r="E32" s="10">
        <v>90444</v>
      </c>
      <c r="F32" s="11">
        <v>712.38216599999998</v>
      </c>
      <c r="G32" s="12">
        <v>1.7657200000000001E-2</v>
      </c>
      <c r="H32" s="11">
        <v>11.0006</v>
      </c>
    </row>
    <row r="33" spans="1:8" ht="29.1" customHeight="1" x14ac:dyDescent="0.2">
      <c r="A33" s="8">
        <v>6</v>
      </c>
      <c r="B33" s="9" t="s">
        <v>198</v>
      </c>
      <c r="C33" s="9" t="s">
        <v>199</v>
      </c>
      <c r="D33" s="9" t="s">
        <v>23</v>
      </c>
      <c r="E33" s="10">
        <v>500</v>
      </c>
      <c r="F33" s="11">
        <v>500.90899999999999</v>
      </c>
      <c r="G33" s="12">
        <v>1.2415590000000001E-2</v>
      </c>
      <c r="H33" s="11">
        <v>7.7975000000000003</v>
      </c>
    </row>
    <row r="34" spans="1:8" ht="29.1" customHeight="1" x14ac:dyDescent="0.2">
      <c r="A34" s="8">
        <v>7</v>
      </c>
      <c r="B34" s="9" t="s">
        <v>75</v>
      </c>
      <c r="C34" s="9" t="s">
        <v>76</v>
      </c>
      <c r="D34" s="9" t="s">
        <v>23</v>
      </c>
      <c r="E34" s="10">
        <v>500</v>
      </c>
      <c r="F34" s="11">
        <v>499.11900000000003</v>
      </c>
      <c r="G34" s="12">
        <v>1.237123E-2</v>
      </c>
      <c r="H34" s="11">
        <v>7.89</v>
      </c>
    </row>
    <row r="35" spans="1:8" ht="29.1" customHeight="1" x14ac:dyDescent="0.2">
      <c r="A35" s="8">
        <v>8</v>
      </c>
      <c r="B35" s="9" t="s">
        <v>67</v>
      </c>
      <c r="C35" s="9" t="s">
        <v>68</v>
      </c>
      <c r="D35" s="9" t="s">
        <v>23</v>
      </c>
      <c r="E35" s="10">
        <v>500</v>
      </c>
      <c r="F35" s="11">
        <v>499.09949999999998</v>
      </c>
      <c r="G35" s="12">
        <v>1.237074E-2</v>
      </c>
      <c r="H35" s="11">
        <v>8.1173999999999999</v>
      </c>
    </row>
    <row r="36" spans="1:8" ht="29.1" customHeight="1" x14ac:dyDescent="0.2">
      <c r="A36" s="8">
        <v>9</v>
      </c>
      <c r="B36" s="9" t="s">
        <v>200</v>
      </c>
      <c r="C36" s="9" t="s">
        <v>201</v>
      </c>
      <c r="D36" s="9" t="s">
        <v>46</v>
      </c>
      <c r="E36" s="10">
        <v>50</v>
      </c>
      <c r="F36" s="11">
        <v>497.55450000000002</v>
      </c>
      <c r="G36" s="12">
        <v>1.233245E-2</v>
      </c>
      <c r="H36" s="11">
        <v>7.9</v>
      </c>
    </row>
    <row r="37" spans="1:8" ht="14.1" customHeight="1" x14ac:dyDescent="0.2">
      <c r="A37" s="1"/>
      <c r="B37" s="1"/>
      <c r="C37" s="2" t="s">
        <v>11</v>
      </c>
      <c r="D37" s="1"/>
      <c r="E37" s="1" t="s">
        <v>12</v>
      </c>
      <c r="F37" s="7">
        <v>7693.2906659999999</v>
      </c>
      <c r="G37" s="4">
        <v>0.19068688</v>
      </c>
      <c r="H37" s="11"/>
    </row>
    <row r="38" spans="1:8" ht="14.1" customHeight="1" x14ac:dyDescent="0.2">
      <c r="A38" s="1"/>
      <c r="B38" s="1"/>
      <c r="C38" s="5"/>
      <c r="D38" s="1"/>
      <c r="E38" s="1"/>
      <c r="F38" s="6"/>
      <c r="G38" s="6"/>
      <c r="H38" s="11"/>
    </row>
    <row r="39" spans="1:8" ht="14.1" customHeight="1" x14ac:dyDescent="0.2">
      <c r="A39" s="1"/>
      <c r="B39" s="1"/>
      <c r="C39" s="2" t="s">
        <v>77</v>
      </c>
      <c r="D39" s="1"/>
      <c r="E39" s="1"/>
      <c r="F39" s="1"/>
      <c r="G39" s="1"/>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78</v>
      </c>
      <c r="D42" s="1"/>
      <c r="E42" s="1"/>
      <c r="F42" s="1"/>
      <c r="G42" s="1"/>
      <c r="H42" s="11"/>
    </row>
    <row r="43" spans="1:8" ht="29.1" customHeight="1" x14ac:dyDescent="0.2">
      <c r="A43" s="8">
        <v>1</v>
      </c>
      <c r="B43" s="9" t="s">
        <v>202</v>
      </c>
      <c r="C43" s="9" t="s">
        <v>203</v>
      </c>
      <c r="D43" s="9" t="s">
        <v>81</v>
      </c>
      <c r="E43" s="10">
        <v>500000</v>
      </c>
      <c r="F43" s="11">
        <v>484.15199999999999</v>
      </c>
      <c r="G43" s="12">
        <v>1.200025E-2</v>
      </c>
      <c r="H43" s="11">
        <v>7.1017999999999999</v>
      </c>
    </row>
    <row r="44" spans="1:8" ht="14.1" customHeight="1" x14ac:dyDescent="0.2">
      <c r="A44" s="1"/>
      <c r="B44" s="1"/>
      <c r="C44" s="2" t="s">
        <v>11</v>
      </c>
      <c r="D44" s="1"/>
      <c r="E44" s="1" t="s">
        <v>12</v>
      </c>
      <c r="F44" s="7">
        <v>484.15199999999999</v>
      </c>
      <c r="G44" s="4">
        <v>1.200025E-2</v>
      </c>
      <c r="H44" s="11"/>
    </row>
    <row r="45" spans="1:8" ht="14.1" customHeight="1" x14ac:dyDescent="0.2">
      <c r="A45" s="1"/>
      <c r="B45" s="1"/>
      <c r="C45" s="5"/>
      <c r="D45" s="1"/>
      <c r="E45" s="1"/>
      <c r="F45" s="6"/>
      <c r="G45" s="6"/>
      <c r="H45" s="11"/>
    </row>
    <row r="46" spans="1:8" ht="14.1" customHeight="1" x14ac:dyDescent="0.2">
      <c r="A46" s="1"/>
      <c r="B46" s="1"/>
      <c r="C46" s="2" t="s">
        <v>90</v>
      </c>
      <c r="D46" s="1"/>
      <c r="E46" s="1"/>
      <c r="F46" s="6"/>
      <c r="G46" s="6"/>
      <c r="H46" s="11"/>
    </row>
    <row r="47" spans="1:8" ht="14.1" customHeight="1" x14ac:dyDescent="0.2">
      <c r="A47" s="1"/>
      <c r="B47" s="1"/>
      <c r="C47" s="2" t="s">
        <v>11</v>
      </c>
      <c r="D47" s="1"/>
      <c r="E47" s="1" t="s">
        <v>12</v>
      </c>
      <c r="F47" s="3" t="s">
        <v>13</v>
      </c>
      <c r="G47" s="4">
        <v>0</v>
      </c>
      <c r="H47" s="11"/>
    </row>
    <row r="48" spans="1:8" ht="14.1" customHeight="1" x14ac:dyDescent="0.2">
      <c r="A48" s="1"/>
      <c r="B48" s="1"/>
      <c r="C48" s="5"/>
      <c r="D48" s="1"/>
      <c r="E48" s="1"/>
      <c r="F48" s="6"/>
      <c r="G48" s="6"/>
      <c r="H48" s="11"/>
    </row>
    <row r="49" spans="1:8" ht="14.1" customHeight="1" x14ac:dyDescent="0.2">
      <c r="A49" s="1"/>
      <c r="B49" s="1"/>
      <c r="C49" s="2" t="s">
        <v>91</v>
      </c>
      <c r="D49" s="1"/>
      <c r="E49" s="1"/>
      <c r="F49" s="7">
        <v>8177.4426659999999</v>
      </c>
      <c r="G49" s="4">
        <v>0.20268712999999999</v>
      </c>
      <c r="H49" s="11"/>
    </row>
    <row r="50" spans="1:8" ht="14.1" customHeight="1" x14ac:dyDescent="0.2">
      <c r="A50" s="1"/>
      <c r="B50" s="1"/>
      <c r="C50" s="5"/>
      <c r="D50" s="1"/>
      <c r="E50" s="1"/>
      <c r="F50" s="6"/>
      <c r="G50" s="6"/>
      <c r="H50" s="11"/>
    </row>
    <row r="51" spans="1:8" ht="14.1" customHeight="1" x14ac:dyDescent="0.2">
      <c r="A51" s="1"/>
      <c r="B51" s="1"/>
      <c r="C51" s="2" t="s">
        <v>92</v>
      </c>
      <c r="D51" s="1"/>
      <c r="E51" s="1"/>
      <c r="F51" s="6"/>
      <c r="G51" s="6"/>
      <c r="H51" s="11"/>
    </row>
    <row r="52" spans="1:8" ht="14.1" customHeight="1" x14ac:dyDescent="0.2">
      <c r="A52" s="1"/>
      <c r="B52" s="1"/>
      <c r="C52" s="2" t="s">
        <v>93</v>
      </c>
      <c r="D52" s="1"/>
      <c r="E52" s="1"/>
      <c r="F52" s="6"/>
      <c r="G52" s="6"/>
      <c r="H52" s="11"/>
    </row>
    <row r="53" spans="1:8" ht="17.100000000000001" customHeight="1" x14ac:dyDescent="0.2">
      <c r="A53" s="8">
        <v>1</v>
      </c>
      <c r="B53" s="9" t="s">
        <v>204</v>
      </c>
      <c r="C53" s="9" t="s">
        <v>205</v>
      </c>
      <c r="D53" s="9" t="s">
        <v>169</v>
      </c>
      <c r="E53" s="10">
        <v>500</v>
      </c>
      <c r="F53" s="11">
        <v>2426.7350000000001</v>
      </c>
      <c r="G53" s="12">
        <v>6.0149359999999999E-2</v>
      </c>
      <c r="H53" s="11">
        <v>7.2024999999999997</v>
      </c>
    </row>
    <row r="54" spans="1:8" ht="17.100000000000001" customHeight="1" x14ac:dyDescent="0.2">
      <c r="A54" s="8">
        <v>2</v>
      </c>
      <c r="B54" s="9" t="s">
        <v>206</v>
      </c>
      <c r="C54" s="9" t="s">
        <v>207</v>
      </c>
      <c r="D54" s="9" t="s">
        <v>169</v>
      </c>
      <c r="E54" s="10">
        <v>500</v>
      </c>
      <c r="F54" s="11">
        <v>2382.0925000000002</v>
      </c>
      <c r="G54" s="12">
        <v>5.9042850000000001E-2</v>
      </c>
      <c r="H54" s="11">
        <v>7.2850000000000001</v>
      </c>
    </row>
    <row r="55" spans="1:8" ht="17.100000000000001" customHeight="1" x14ac:dyDescent="0.2">
      <c r="A55" s="8">
        <v>3</v>
      </c>
      <c r="B55" s="9" t="s">
        <v>165</v>
      </c>
      <c r="C55" s="9" t="s">
        <v>478</v>
      </c>
      <c r="D55" s="9" t="s">
        <v>166</v>
      </c>
      <c r="E55" s="10">
        <v>400</v>
      </c>
      <c r="F55" s="11">
        <v>1925.768</v>
      </c>
      <c r="G55" s="12">
        <v>4.7732330000000003E-2</v>
      </c>
      <c r="H55" s="11">
        <v>7.29</v>
      </c>
    </row>
    <row r="56" spans="1:8" ht="29.1" customHeight="1" x14ac:dyDescent="0.2">
      <c r="A56" s="8">
        <v>4</v>
      </c>
      <c r="B56" s="9" t="s">
        <v>170</v>
      </c>
      <c r="C56" s="9" t="s">
        <v>171</v>
      </c>
      <c r="D56" s="9" t="s">
        <v>169</v>
      </c>
      <c r="E56" s="10">
        <v>400</v>
      </c>
      <c r="F56" s="11">
        <v>1921.172</v>
      </c>
      <c r="G56" s="12">
        <v>4.761841E-2</v>
      </c>
      <c r="H56" s="11">
        <v>7.2701000000000002</v>
      </c>
    </row>
    <row r="57" spans="1:8" ht="29.1" customHeight="1" x14ac:dyDescent="0.2">
      <c r="A57" s="8">
        <v>5</v>
      </c>
      <c r="B57" s="9" t="s">
        <v>173</v>
      </c>
      <c r="C57" s="9" t="s">
        <v>476</v>
      </c>
      <c r="D57" s="9" t="s">
        <v>169</v>
      </c>
      <c r="E57" s="10">
        <v>400</v>
      </c>
      <c r="F57" s="11">
        <v>1905.5219999999999</v>
      </c>
      <c r="G57" s="12">
        <v>4.7230510000000003E-2</v>
      </c>
      <c r="H57" s="11">
        <v>7.21</v>
      </c>
    </row>
    <row r="58" spans="1:8" ht="29.1" customHeight="1" x14ac:dyDescent="0.2">
      <c r="A58" s="8">
        <v>6</v>
      </c>
      <c r="B58" s="9" t="s">
        <v>174</v>
      </c>
      <c r="C58" s="9" t="s">
        <v>175</v>
      </c>
      <c r="D58" s="9" t="s">
        <v>169</v>
      </c>
      <c r="E58" s="10">
        <v>400</v>
      </c>
      <c r="F58" s="11">
        <v>1902.162</v>
      </c>
      <c r="G58" s="12">
        <v>4.7147229999999998E-2</v>
      </c>
      <c r="H58" s="11">
        <v>7.3049999999999997</v>
      </c>
    </row>
    <row r="59" spans="1:8" ht="17.100000000000001" customHeight="1" x14ac:dyDescent="0.2">
      <c r="A59" s="8">
        <v>7</v>
      </c>
      <c r="B59" s="9" t="s">
        <v>158</v>
      </c>
      <c r="C59" s="9" t="s">
        <v>159</v>
      </c>
      <c r="D59" s="9" t="s">
        <v>160</v>
      </c>
      <c r="E59" s="10">
        <v>300</v>
      </c>
      <c r="F59" s="11">
        <v>1479.729</v>
      </c>
      <c r="G59" s="12">
        <v>3.6676750000000001E-2</v>
      </c>
      <c r="H59" s="11">
        <v>6.8498000000000001</v>
      </c>
    </row>
    <row r="60" spans="1:8" ht="17.100000000000001" customHeight="1" x14ac:dyDescent="0.2">
      <c r="A60" s="8">
        <v>8</v>
      </c>
      <c r="B60" s="9" t="s">
        <v>208</v>
      </c>
      <c r="C60" s="9" t="s">
        <v>483</v>
      </c>
      <c r="D60" s="9" t="s">
        <v>169</v>
      </c>
      <c r="E60" s="10">
        <v>300</v>
      </c>
      <c r="F60" s="11">
        <v>1475.1945000000001</v>
      </c>
      <c r="G60" s="12">
        <v>3.6564359999999997E-2</v>
      </c>
      <c r="H60" s="11">
        <v>7.0549999999999997</v>
      </c>
    </row>
    <row r="61" spans="1:8" ht="17.100000000000001" customHeight="1" x14ac:dyDescent="0.2">
      <c r="A61" s="8">
        <v>9</v>
      </c>
      <c r="B61" s="9" t="s">
        <v>172</v>
      </c>
      <c r="C61" s="9" t="s">
        <v>475</v>
      </c>
      <c r="D61" s="9" t="s">
        <v>169</v>
      </c>
      <c r="E61" s="10">
        <v>300</v>
      </c>
      <c r="F61" s="11">
        <v>1432.9395</v>
      </c>
      <c r="G61" s="12">
        <v>3.5517020000000003E-2</v>
      </c>
      <c r="H61" s="11">
        <v>7.3</v>
      </c>
    </row>
    <row r="62" spans="1:8" ht="29.1" customHeight="1" x14ac:dyDescent="0.2">
      <c r="A62" s="8">
        <v>10</v>
      </c>
      <c r="B62" s="9" t="s">
        <v>209</v>
      </c>
      <c r="C62" s="9" t="s">
        <v>210</v>
      </c>
      <c r="D62" s="9" t="s">
        <v>169</v>
      </c>
      <c r="E62" s="10">
        <v>300</v>
      </c>
      <c r="F62" s="11">
        <v>1427.6265000000001</v>
      </c>
      <c r="G62" s="12">
        <v>3.538533E-2</v>
      </c>
      <c r="H62" s="11">
        <v>7.2</v>
      </c>
    </row>
    <row r="63" spans="1:8" ht="17.100000000000001" customHeight="1" x14ac:dyDescent="0.2">
      <c r="A63" s="8">
        <v>11</v>
      </c>
      <c r="B63" s="9" t="s">
        <v>211</v>
      </c>
      <c r="C63" s="9" t="s">
        <v>212</v>
      </c>
      <c r="D63" s="9" t="s">
        <v>166</v>
      </c>
      <c r="E63" s="10">
        <v>200</v>
      </c>
      <c r="F63" s="11">
        <v>973.56600000000003</v>
      </c>
      <c r="G63" s="12">
        <v>2.4130929999999998E-2</v>
      </c>
      <c r="H63" s="11">
        <v>7.13</v>
      </c>
    </row>
    <row r="64" spans="1:8" ht="17.100000000000001" customHeight="1" x14ac:dyDescent="0.2">
      <c r="A64" s="8">
        <v>12</v>
      </c>
      <c r="B64" s="9" t="s">
        <v>213</v>
      </c>
      <c r="C64" s="9" t="s">
        <v>477</v>
      </c>
      <c r="D64" s="9" t="s">
        <v>169</v>
      </c>
      <c r="E64" s="10">
        <v>200</v>
      </c>
      <c r="F64" s="11">
        <v>966.12400000000002</v>
      </c>
      <c r="G64" s="12">
        <v>2.3946470000000001E-2</v>
      </c>
      <c r="H64" s="11">
        <v>7.1498999999999997</v>
      </c>
    </row>
    <row r="65" spans="1:8" ht="14.1" customHeight="1" x14ac:dyDescent="0.2">
      <c r="A65" s="1"/>
      <c r="B65" s="1"/>
      <c r="C65" s="2" t="s">
        <v>11</v>
      </c>
      <c r="D65" s="1"/>
      <c r="E65" s="1" t="s">
        <v>12</v>
      </c>
      <c r="F65" s="7">
        <v>20218.631000000001</v>
      </c>
      <c r="G65" s="4">
        <v>0.50114155000000005</v>
      </c>
      <c r="H65" s="11"/>
    </row>
    <row r="66" spans="1:8" ht="14.1" customHeight="1" x14ac:dyDescent="0.2">
      <c r="A66" s="1"/>
      <c r="B66" s="1"/>
      <c r="C66" s="5"/>
      <c r="D66" s="1"/>
      <c r="E66" s="1"/>
      <c r="F66" s="6"/>
      <c r="G66" s="6"/>
      <c r="H66" s="11"/>
    </row>
    <row r="67" spans="1:8" ht="14.1" customHeight="1" x14ac:dyDescent="0.2">
      <c r="A67" s="1"/>
      <c r="B67" s="1"/>
      <c r="C67" s="2" t="s">
        <v>94</v>
      </c>
      <c r="D67" s="1"/>
      <c r="E67" s="1"/>
      <c r="F67" s="6"/>
      <c r="G67" s="6"/>
      <c r="H67" s="11"/>
    </row>
    <row r="68" spans="1:8" ht="17.100000000000001" customHeight="1" x14ac:dyDescent="0.2">
      <c r="A68" s="8">
        <v>1</v>
      </c>
      <c r="B68" s="9" t="s">
        <v>214</v>
      </c>
      <c r="C68" s="9" t="s">
        <v>215</v>
      </c>
      <c r="D68" s="9" t="s">
        <v>169</v>
      </c>
      <c r="E68" s="10">
        <v>300</v>
      </c>
      <c r="F68" s="11">
        <v>1480.7460000000001</v>
      </c>
      <c r="G68" s="12">
        <v>3.6701959999999999E-2</v>
      </c>
      <c r="H68" s="11">
        <v>7.91</v>
      </c>
    </row>
    <row r="69" spans="1:8" ht="29.1" customHeight="1" x14ac:dyDescent="0.2">
      <c r="A69" s="8">
        <v>2</v>
      </c>
      <c r="B69" s="9" t="s">
        <v>216</v>
      </c>
      <c r="C69" s="9" t="s">
        <v>217</v>
      </c>
      <c r="D69" s="9" t="s">
        <v>169</v>
      </c>
      <c r="E69" s="10">
        <v>200</v>
      </c>
      <c r="F69" s="11">
        <v>996.29100000000005</v>
      </c>
      <c r="G69" s="12">
        <v>2.4694199999999999E-2</v>
      </c>
      <c r="H69" s="11">
        <v>7.55</v>
      </c>
    </row>
    <row r="70" spans="1:8" ht="29.1" customHeight="1" x14ac:dyDescent="0.2">
      <c r="A70" s="8">
        <v>3</v>
      </c>
      <c r="B70" s="9" t="s">
        <v>218</v>
      </c>
      <c r="C70" s="9" t="s">
        <v>219</v>
      </c>
      <c r="D70" s="9" t="s">
        <v>169</v>
      </c>
      <c r="E70" s="10">
        <v>200</v>
      </c>
      <c r="F70" s="11">
        <v>972.45799999999997</v>
      </c>
      <c r="G70" s="12">
        <v>2.4103469999999998E-2</v>
      </c>
      <c r="H70" s="11">
        <v>7.28</v>
      </c>
    </row>
    <row r="71" spans="1:8" ht="29.1" customHeight="1" x14ac:dyDescent="0.2">
      <c r="A71" s="8">
        <v>4</v>
      </c>
      <c r="B71" s="9" t="s">
        <v>220</v>
      </c>
      <c r="C71" s="9" t="s">
        <v>221</v>
      </c>
      <c r="D71" s="9" t="s">
        <v>169</v>
      </c>
      <c r="E71" s="10">
        <v>200</v>
      </c>
      <c r="F71" s="11">
        <v>970.50599999999997</v>
      </c>
      <c r="G71" s="12">
        <v>2.4055090000000001E-2</v>
      </c>
      <c r="H71" s="11">
        <v>7.6498999999999997</v>
      </c>
    </row>
    <row r="72" spans="1:8" ht="29.1" customHeight="1" x14ac:dyDescent="0.2">
      <c r="A72" s="8">
        <v>5</v>
      </c>
      <c r="B72" s="9" t="s">
        <v>222</v>
      </c>
      <c r="C72" s="9" t="s">
        <v>480</v>
      </c>
      <c r="D72" s="9" t="s">
        <v>169</v>
      </c>
      <c r="E72" s="10">
        <v>200</v>
      </c>
      <c r="F72" s="11">
        <v>965.78099999999995</v>
      </c>
      <c r="G72" s="12">
        <v>2.3937969999999999E-2</v>
      </c>
      <c r="H72" s="11">
        <v>8.2899999999999991</v>
      </c>
    </row>
    <row r="73" spans="1:8" ht="29.1" customHeight="1" x14ac:dyDescent="0.2">
      <c r="A73" s="8">
        <v>6</v>
      </c>
      <c r="B73" s="9" t="s">
        <v>223</v>
      </c>
      <c r="C73" s="9" t="s">
        <v>224</v>
      </c>
      <c r="D73" s="9" t="s">
        <v>169</v>
      </c>
      <c r="E73" s="10">
        <v>200</v>
      </c>
      <c r="F73" s="11">
        <v>947.30100000000004</v>
      </c>
      <c r="G73" s="12">
        <v>2.3479920000000001E-2</v>
      </c>
      <c r="H73" s="11">
        <v>7.75</v>
      </c>
    </row>
    <row r="74" spans="1:8" ht="17.100000000000001" customHeight="1" x14ac:dyDescent="0.2">
      <c r="A74" s="8">
        <v>7</v>
      </c>
      <c r="B74" s="9" t="s">
        <v>225</v>
      </c>
      <c r="C74" s="9" t="s">
        <v>226</v>
      </c>
      <c r="D74" s="9" t="s">
        <v>169</v>
      </c>
      <c r="E74" s="10">
        <v>200</v>
      </c>
      <c r="F74" s="11">
        <v>929.23099999999999</v>
      </c>
      <c r="G74" s="12">
        <v>2.303204E-2</v>
      </c>
      <c r="H74" s="11">
        <v>8.1999999999999993</v>
      </c>
    </row>
    <row r="75" spans="1:8" ht="17.100000000000001" customHeight="1" x14ac:dyDescent="0.2">
      <c r="A75" s="8">
        <v>8</v>
      </c>
      <c r="B75" s="9" t="s">
        <v>227</v>
      </c>
      <c r="C75" s="9" t="s">
        <v>228</v>
      </c>
      <c r="D75" s="9" t="s">
        <v>169</v>
      </c>
      <c r="E75" s="10">
        <v>100</v>
      </c>
      <c r="F75" s="11">
        <v>487.64049999999997</v>
      </c>
      <c r="G75" s="12">
        <v>1.208672E-2</v>
      </c>
      <c r="H75" s="11">
        <v>7.84</v>
      </c>
    </row>
    <row r="76" spans="1:8" ht="14.1" customHeight="1" x14ac:dyDescent="0.2">
      <c r="A76" s="1"/>
      <c r="B76" s="1"/>
      <c r="C76" s="2" t="s">
        <v>11</v>
      </c>
      <c r="D76" s="1"/>
      <c r="E76" s="1" t="s">
        <v>12</v>
      </c>
      <c r="F76" s="7">
        <v>7749.9544999999998</v>
      </c>
      <c r="G76" s="4">
        <v>0.19209137000000001</v>
      </c>
      <c r="H76" s="11"/>
    </row>
    <row r="77" spans="1:8" ht="14.1" customHeight="1" x14ac:dyDescent="0.2">
      <c r="A77" s="1"/>
      <c r="B77" s="1"/>
      <c r="C77" s="5"/>
      <c r="D77" s="1"/>
      <c r="E77" s="1"/>
      <c r="F77" s="6"/>
      <c r="G77" s="6"/>
      <c r="H77" s="11"/>
    </row>
    <row r="78" spans="1:8" ht="14.1" customHeight="1" x14ac:dyDescent="0.2">
      <c r="A78" s="1"/>
      <c r="B78" s="1"/>
      <c r="C78" s="2" t="s">
        <v>95</v>
      </c>
      <c r="D78" s="1"/>
      <c r="E78" s="1"/>
      <c r="F78" s="6"/>
      <c r="G78" s="6"/>
      <c r="H78" s="11"/>
    </row>
    <row r="79" spans="1:8" ht="17.100000000000001" customHeight="1" x14ac:dyDescent="0.2">
      <c r="A79" s="8">
        <v>1</v>
      </c>
      <c r="B79" s="9" t="s">
        <v>229</v>
      </c>
      <c r="C79" s="9" t="s">
        <v>230</v>
      </c>
      <c r="D79" s="9" t="s">
        <v>81</v>
      </c>
      <c r="E79" s="10">
        <v>1000000</v>
      </c>
      <c r="F79" s="11">
        <v>988.87</v>
      </c>
      <c r="G79" s="12">
        <v>2.4510259999999999E-2</v>
      </c>
      <c r="H79" s="11">
        <v>6.7351000000000001</v>
      </c>
    </row>
    <row r="80" spans="1:8" ht="17.100000000000001" customHeight="1" x14ac:dyDescent="0.2">
      <c r="A80" s="8">
        <v>2</v>
      </c>
      <c r="B80" s="9" t="s">
        <v>231</v>
      </c>
      <c r="C80" s="9" t="s">
        <v>232</v>
      </c>
      <c r="D80" s="9" t="s">
        <v>81</v>
      </c>
      <c r="E80" s="10">
        <v>1000000</v>
      </c>
      <c r="F80" s="11">
        <v>984.96199999999999</v>
      </c>
      <c r="G80" s="12">
        <v>2.441339E-2</v>
      </c>
      <c r="H80" s="11">
        <v>6.7145000000000001</v>
      </c>
    </row>
    <row r="81" spans="1:8" ht="17.100000000000001" customHeight="1" x14ac:dyDescent="0.2">
      <c r="A81" s="8">
        <v>3</v>
      </c>
      <c r="B81" s="9" t="s">
        <v>233</v>
      </c>
      <c r="C81" s="9" t="s">
        <v>494</v>
      </c>
      <c r="D81" s="9" t="s">
        <v>81</v>
      </c>
      <c r="E81" s="10">
        <v>1000000</v>
      </c>
      <c r="F81" s="11">
        <v>974.92899999999997</v>
      </c>
      <c r="G81" s="12">
        <v>2.4164709999999999E-2</v>
      </c>
      <c r="H81" s="11">
        <v>6.8018000000000001</v>
      </c>
    </row>
    <row r="82" spans="1:8" ht="17.100000000000001" customHeight="1" x14ac:dyDescent="0.2">
      <c r="A82" s="8">
        <v>4</v>
      </c>
      <c r="B82" s="9" t="s">
        <v>183</v>
      </c>
      <c r="C82" s="9" t="s">
        <v>184</v>
      </c>
      <c r="D82" s="9" t="s">
        <v>81</v>
      </c>
      <c r="E82" s="10">
        <v>1000000</v>
      </c>
      <c r="F82" s="11">
        <v>955.16099999999994</v>
      </c>
      <c r="G82" s="12">
        <v>2.367474E-2</v>
      </c>
      <c r="H82" s="11">
        <v>6.8537999999999997</v>
      </c>
    </row>
    <row r="83" spans="1:8" ht="14.1" customHeight="1" x14ac:dyDescent="0.2">
      <c r="A83" s="1"/>
      <c r="B83" s="1"/>
      <c r="C83" s="2" t="s">
        <v>11</v>
      </c>
      <c r="D83" s="1"/>
      <c r="E83" s="1" t="s">
        <v>12</v>
      </c>
      <c r="F83" s="7">
        <v>3903.922</v>
      </c>
      <c r="G83" s="4">
        <v>9.6763100000000005E-2</v>
      </c>
      <c r="H83" s="11"/>
    </row>
    <row r="84" spans="1:8" ht="14.1" customHeight="1" x14ac:dyDescent="0.2">
      <c r="A84" s="1"/>
      <c r="B84" s="1"/>
      <c r="C84" s="5"/>
      <c r="D84" s="1"/>
      <c r="E84" s="1"/>
      <c r="F84" s="6"/>
      <c r="G84" s="6"/>
      <c r="H84" s="11"/>
    </row>
    <row r="85" spans="1:8" ht="14.1" customHeight="1" x14ac:dyDescent="0.2">
      <c r="A85" s="1"/>
      <c r="B85" s="1"/>
      <c r="C85" s="2" t="s">
        <v>96</v>
      </c>
      <c r="D85" s="1"/>
      <c r="E85" s="1"/>
      <c r="F85" s="6"/>
      <c r="G85" s="6"/>
      <c r="H85" s="11"/>
    </row>
    <row r="86" spans="1:8" ht="17.100000000000001" customHeight="1" x14ac:dyDescent="0.2">
      <c r="A86" s="8">
        <v>1</v>
      </c>
      <c r="B86" s="9"/>
      <c r="C86" s="9" t="s">
        <v>97</v>
      </c>
      <c r="D86" s="9"/>
      <c r="E86" s="13"/>
      <c r="F86" s="11">
        <v>554.60649249799997</v>
      </c>
      <c r="G86" s="12">
        <v>1.374655E-2</v>
      </c>
      <c r="H86" s="11">
        <v>6.7573016869821334</v>
      </c>
    </row>
    <row r="87" spans="1:8" ht="17.100000000000001" customHeight="1" x14ac:dyDescent="0.2">
      <c r="A87" s="8">
        <v>2</v>
      </c>
      <c r="B87" s="9"/>
      <c r="C87" s="9" t="s">
        <v>98</v>
      </c>
      <c r="D87" s="9"/>
      <c r="E87" s="13"/>
      <c r="F87" s="11">
        <v>454.34216889999999</v>
      </c>
      <c r="G87" s="12">
        <v>1.126138E-2</v>
      </c>
      <c r="H87" s="11">
        <v>6.796603293503404</v>
      </c>
    </row>
    <row r="88" spans="1:8" ht="14.1" customHeight="1" x14ac:dyDescent="0.2">
      <c r="A88" s="1"/>
      <c r="B88" s="1"/>
      <c r="C88" s="2" t="s">
        <v>11</v>
      </c>
      <c r="D88" s="1"/>
      <c r="E88" s="1" t="s">
        <v>12</v>
      </c>
      <c r="F88" s="7">
        <v>1008.948661398</v>
      </c>
      <c r="G88" s="4">
        <v>2.5007930000000001E-2</v>
      </c>
      <c r="H88" s="11"/>
    </row>
    <row r="89" spans="1:8" ht="14.1" customHeight="1" x14ac:dyDescent="0.2">
      <c r="A89" s="1"/>
      <c r="B89" s="1"/>
      <c r="C89" s="5"/>
      <c r="D89" s="1"/>
      <c r="E89" s="1"/>
      <c r="F89" s="6"/>
      <c r="G89" s="6"/>
      <c r="H89" s="11"/>
    </row>
    <row r="90" spans="1:8" ht="14.1" customHeight="1" x14ac:dyDescent="0.2">
      <c r="A90" s="1"/>
      <c r="B90" s="1"/>
      <c r="C90" s="2" t="s">
        <v>99</v>
      </c>
      <c r="D90" s="1"/>
      <c r="E90" s="1"/>
      <c r="F90" s="7">
        <v>32881.456161397997</v>
      </c>
      <c r="G90" s="4">
        <v>0.81500395000000003</v>
      </c>
      <c r="H90" s="11"/>
    </row>
    <row r="91" spans="1:8" ht="14.1" customHeight="1" x14ac:dyDescent="0.2">
      <c r="A91" s="1"/>
      <c r="B91" s="1"/>
      <c r="C91" s="6"/>
      <c r="D91" s="1"/>
      <c r="E91" s="1"/>
      <c r="F91" s="1"/>
      <c r="G91" s="1"/>
      <c r="H91" s="11"/>
    </row>
    <row r="92" spans="1:8" ht="14.1" customHeight="1" x14ac:dyDescent="0.2">
      <c r="A92" s="1"/>
      <c r="B92" s="1"/>
      <c r="C92" s="2" t="s">
        <v>100</v>
      </c>
      <c r="D92" s="1"/>
      <c r="E92" s="1"/>
      <c r="F92" s="1"/>
      <c r="G92" s="1"/>
      <c r="H92" s="11"/>
    </row>
    <row r="93" spans="1:8" ht="14.1" customHeight="1" x14ac:dyDescent="0.2">
      <c r="A93" s="1"/>
      <c r="B93" s="1"/>
      <c r="C93" s="2" t="s">
        <v>101</v>
      </c>
      <c r="D93" s="1"/>
      <c r="E93" s="1"/>
      <c r="F93" s="1"/>
      <c r="G93" s="1"/>
      <c r="H93" s="11"/>
    </row>
    <row r="94" spans="1:8" ht="14.1" customHeight="1" x14ac:dyDescent="0.2">
      <c r="A94" s="1"/>
      <c r="B94" s="1"/>
      <c r="C94" s="2" t="s">
        <v>11</v>
      </c>
      <c r="D94" s="1"/>
      <c r="E94" s="1" t="s">
        <v>12</v>
      </c>
      <c r="F94" s="3" t="s">
        <v>13</v>
      </c>
      <c r="G94" s="4">
        <v>0</v>
      </c>
      <c r="H94" s="11"/>
    </row>
    <row r="95" spans="1:8" ht="14.1" customHeight="1" x14ac:dyDescent="0.2">
      <c r="A95" s="1"/>
      <c r="B95" s="1"/>
      <c r="C95" s="5"/>
      <c r="D95" s="1"/>
      <c r="E95" s="1"/>
      <c r="F95" s="6"/>
      <c r="G95" s="6"/>
      <c r="H95" s="11"/>
    </row>
    <row r="96" spans="1:8" ht="14.1" customHeight="1" x14ac:dyDescent="0.2">
      <c r="A96" s="1"/>
      <c r="B96" s="1"/>
      <c r="C96" s="2" t="s">
        <v>102</v>
      </c>
      <c r="D96" s="1"/>
      <c r="E96" s="1"/>
      <c r="F96" s="1"/>
      <c r="G96" s="1"/>
      <c r="H96" s="11"/>
    </row>
    <row r="97" spans="1:8" ht="14.1" customHeight="1" x14ac:dyDescent="0.2">
      <c r="A97" s="1"/>
      <c r="B97" s="1"/>
      <c r="C97" s="2" t="s">
        <v>103</v>
      </c>
      <c r="D97" s="1"/>
      <c r="E97" s="1"/>
      <c r="F97" s="1"/>
      <c r="G97" s="1"/>
      <c r="H97" s="11"/>
    </row>
    <row r="98" spans="1:8" ht="14.1" customHeight="1" x14ac:dyDescent="0.2">
      <c r="A98" s="1"/>
      <c r="B98" s="1"/>
      <c r="C98" s="2" t="s">
        <v>11</v>
      </c>
      <c r="D98" s="1"/>
      <c r="E98" s="1" t="s">
        <v>12</v>
      </c>
      <c r="F98" s="3" t="s">
        <v>13</v>
      </c>
      <c r="G98" s="4">
        <v>0</v>
      </c>
      <c r="H98" s="11"/>
    </row>
    <row r="99" spans="1:8" ht="14.1" customHeight="1" x14ac:dyDescent="0.2">
      <c r="A99" s="1"/>
      <c r="B99" s="1"/>
      <c r="C99" s="5"/>
      <c r="D99" s="1"/>
      <c r="E99" s="1"/>
      <c r="F99" s="6"/>
      <c r="G99" s="6"/>
      <c r="H99" s="11"/>
    </row>
    <row r="100" spans="1:8" ht="24" customHeight="1" x14ac:dyDescent="0.2">
      <c r="A100" s="1"/>
      <c r="B100" s="1"/>
      <c r="C100" s="2" t="s">
        <v>104</v>
      </c>
      <c r="D100" s="1"/>
      <c r="E100" s="1"/>
      <c r="F100" s="6"/>
      <c r="G100" s="6"/>
      <c r="H100" s="11"/>
    </row>
    <row r="101" spans="1:8" ht="14.1" customHeight="1" x14ac:dyDescent="0.2">
      <c r="A101" s="1"/>
      <c r="B101" s="1"/>
      <c r="C101" s="2" t="s">
        <v>11</v>
      </c>
      <c r="D101" s="1"/>
      <c r="E101" s="1" t="s">
        <v>12</v>
      </c>
      <c r="F101" s="3" t="s">
        <v>13</v>
      </c>
      <c r="G101" s="4">
        <v>0</v>
      </c>
      <c r="H101" s="11"/>
    </row>
    <row r="102" spans="1:8" ht="14.1" customHeight="1" x14ac:dyDescent="0.2">
      <c r="A102" s="1"/>
      <c r="B102" s="1"/>
      <c r="C102" s="5"/>
      <c r="D102" s="1"/>
      <c r="E102" s="1"/>
      <c r="F102" s="6"/>
      <c r="G102" s="6"/>
      <c r="H102" s="11"/>
    </row>
    <row r="103" spans="1:8" ht="14.1" customHeight="1" x14ac:dyDescent="0.2">
      <c r="A103" s="1"/>
      <c r="B103" s="9"/>
      <c r="C103" s="9"/>
      <c r="D103" s="2"/>
      <c r="E103" s="1"/>
      <c r="F103" s="9"/>
      <c r="G103" s="13"/>
      <c r="H103" s="11"/>
    </row>
    <row r="104" spans="1:8" ht="18" customHeight="1" x14ac:dyDescent="0.2">
      <c r="A104" s="13"/>
      <c r="B104" s="9"/>
      <c r="C104" s="9" t="s">
        <v>105</v>
      </c>
      <c r="D104" s="9"/>
      <c r="E104" s="13"/>
      <c r="F104" s="11">
        <v>-713.74916957999994</v>
      </c>
      <c r="G104" s="12">
        <v>-1.7691080000000001E-2</v>
      </c>
      <c r="H104" s="11"/>
    </row>
    <row r="105" spans="1:8" ht="14.1" customHeight="1" x14ac:dyDescent="0.2">
      <c r="A105" s="5"/>
      <c r="B105" s="5"/>
      <c r="C105" s="2" t="s">
        <v>106</v>
      </c>
      <c r="D105" s="6"/>
      <c r="E105" s="6"/>
      <c r="F105" s="7">
        <v>40345.149657818001</v>
      </c>
      <c r="G105" s="14">
        <v>1</v>
      </c>
      <c r="H105" s="11"/>
    </row>
    <row r="106" spans="1:8" ht="14.1" customHeight="1" x14ac:dyDescent="0.2">
      <c r="A106" s="15"/>
      <c r="B106" s="15"/>
      <c r="C106" s="15"/>
      <c r="D106" s="16"/>
      <c r="E106" s="16"/>
      <c r="F106" s="16"/>
      <c r="G106" s="16"/>
    </row>
    <row r="107" spans="1:8" ht="17.100000000000001" customHeight="1" x14ac:dyDescent="0.2">
      <c r="A107" s="17"/>
      <c r="B107" s="121" t="s">
        <v>107</v>
      </c>
      <c r="C107" s="121"/>
      <c r="D107" s="121"/>
      <c r="E107" s="121"/>
      <c r="F107" s="121"/>
      <c r="G107" s="19"/>
    </row>
    <row r="108" spans="1:8" ht="17.100000000000001" customHeight="1" x14ac:dyDescent="0.2">
      <c r="A108" s="17"/>
      <c r="B108" s="121" t="s">
        <v>108</v>
      </c>
      <c r="C108" s="121"/>
      <c r="D108" s="121"/>
      <c r="E108" s="121"/>
      <c r="F108" s="121"/>
      <c r="G108" s="19"/>
    </row>
    <row r="109" spans="1:8" ht="14.1" customHeight="1" x14ac:dyDescent="0.2">
      <c r="A109" s="17"/>
      <c r="B109" s="17"/>
      <c r="C109" s="17"/>
      <c r="D109" s="19"/>
      <c r="E109" s="19"/>
      <c r="F109" s="19"/>
      <c r="G109" s="19"/>
    </row>
    <row r="110" spans="1:8" ht="14.1" customHeight="1" x14ac:dyDescent="0.2">
      <c r="A110" s="17"/>
      <c r="B110" s="122" t="s">
        <v>109</v>
      </c>
      <c r="C110" s="123"/>
      <c r="D110" s="124"/>
      <c r="E110" s="20"/>
      <c r="F110" s="19"/>
      <c r="G110" s="19"/>
    </row>
    <row r="111" spans="1:8" ht="29.1" customHeight="1" x14ac:dyDescent="0.2">
      <c r="A111" s="17"/>
      <c r="B111" s="114" t="s">
        <v>110</v>
      </c>
      <c r="C111" s="115"/>
      <c r="D111" s="2" t="s">
        <v>565</v>
      </c>
      <c r="E111" s="20"/>
      <c r="F111" s="19"/>
      <c r="G111" s="19"/>
    </row>
    <row r="112" spans="1:8" ht="17.100000000000001" customHeight="1" x14ac:dyDescent="0.2">
      <c r="A112" s="17"/>
      <c r="B112" s="114" t="s">
        <v>112</v>
      </c>
      <c r="C112" s="115"/>
      <c r="D112" s="2" t="s">
        <v>111</v>
      </c>
      <c r="E112" s="20"/>
      <c r="F112" s="19"/>
      <c r="G112" s="19"/>
    </row>
    <row r="113" spans="1:7" ht="17.100000000000001" customHeight="1" x14ac:dyDescent="0.2">
      <c r="A113" s="17"/>
      <c r="B113" s="114" t="s">
        <v>113</v>
      </c>
      <c r="C113" s="115"/>
      <c r="D113" s="6" t="s">
        <v>12</v>
      </c>
      <c r="E113" s="20"/>
      <c r="F113" s="19"/>
      <c r="G113" s="19"/>
    </row>
    <row r="114" spans="1:7" ht="24" customHeight="1" x14ac:dyDescent="0.2">
      <c r="A114" s="21"/>
      <c r="B114" s="22" t="s">
        <v>12</v>
      </c>
      <c r="C114" s="22" t="s">
        <v>114</v>
      </c>
      <c r="D114" s="22" t="s">
        <v>115</v>
      </c>
      <c r="E114" s="21"/>
      <c r="F114" s="21"/>
      <c r="G114" s="21"/>
    </row>
    <row r="115" spans="1:7" ht="18" customHeight="1" x14ac:dyDescent="0.2">
      <c r="A115" s="21"/>
      <c r="B115" s="23" t="s">
        <v>116</v>
      </c>
      <c r="C115" s="22" t="s">
        <v>590</v>
      </c>
      <c r="D115" s="22" t="s">
        <v>117</v>
      </c>
      <c r="E115" s="21"/>
      <c r="F115" s="21"/>
      <c r="G115" s="21"/>
    </row>
    <row r="116" spans="1:7" ht="17.100000000000001" customHeight="1" x14ac:dyDescent="0.2">
      <c r="A116" s="21"/>
      <c r="B116" s="9" t="s">
        <v>118</v>
      </c>
      <c r="C116" s="24">
        <v>3177.5994999999998</v>
      </c>
      <c r="D116" s="24">
        <v>3186.261</v>
      </c>
      <c r="E116" s="21"/>
      <c r="F116" s="18"/>
      <c r="G116" s="25"/>
    </row>
    <row r="117" spans="1:7" ht="29.1" customHeight="1" x14ac:dyDescent="0.2">
      <c r="A117" s="21"/>
      <c r="B117" s="9" t="s">
        <v>577</v>
      </c>
      <c r="C117" s="24">
        <v>1008.2604</v>
      </c>
      <c r="D117" s="24">
        <v>1008.2604</v>
      </c>
      <c r="E117" s="21"/>
      <c r="F117" s="18"/>
      <c r="G117" s="25"/>
    </row>
    <row r="118" spans="1:7" ht="29.1" customHeight="1" x14ac:dyDescent="0.2">
      <c r="A118" s="21"/>
      <c r="B118" s="9" t="s">
        <v>578</v>
      </c>
      <c r="C118" s="24">
        <v>1006.0533</v>
      </c>
      <c r="D118" s="24">
        <v>1006.1484</v>
      </c>
      <c r="E118" s="21"/>
      <c r="F118" s="18"/>
      <c r="G118" s="25"/>
    </row>
    <row r="119" spans="1:7" ht="29.1" customHeight="1" x14ac:dyDescent="0.2">
      <c r="A119" s="21"/>
      <c r="B119" s="9" t="s">
        <v>582</v>
      </c>
      <c r="C119" s="24">
        <v>1096.0782999999999</v>
      </c>
      <c r="D119" s="24">
        <v>1099.0663999999999</v>
      </c>
      <c r="E119" s="21"/>
      <c r="F119" s="18"/>
      <c r="G119" s="25"/>
    </row>
    <row r="120" spans="1:7" ht="29.1" customHeight="1" x14ac:dyDescent="0.2">
      <c r="A120" s="21"/>
      <c r="B120" s="9" t="s">
        <v>568</v>
      </c>
      <c r="C120" s="24">
        <v>1101.0476000000001</v>
      </c>
      <c r="D120" s="24">
        <v>1097.5266999999999</v>
      </c>
      <c r="E120" s="21"/>
      <c r="F120" s="18"/>
      <c r="G120" s="25"/>
    </row>
    <row r="121" spans="1:7" ht="29.1" customHeight="1" x14ac:dyDescent="0.2">
      <c r="A121" s="21"/>
      <c r="B121" s="9" t="s">
        <v>569</v>
      </c>
      <c r="C121" s="24">
        <v>1148.8481999999999</v>
      </c>
      <c r="D121" s="24">
        <v>1144.4765</v>
      </c>
      <c r="E121" s="21"/>
      <c r="F121" s="18"/>
      <c r="G121" s="25"/>
    </row>
    <row r="122" spans="1:7" ht="17.100000000000001" customHeight="1" x14ac:dyDescent="0.2">
      <c r="A122" s="21"/>
      <c r="B122" s="9" t="s">
        <v>119</v>
      </c>
      <c r="C122" s="24">
        <v>3007.5862999999999</v>
      </c>
      <c r="D122" s="24">
        <v>3014.6102999999998</v>
      </c>
      <c r="E122" s="21"/>
      <c r="F122" s="18"/>
      <c r="G122" s="25"/>
    </row>
    <row r="123" spans="1:7" ht="17.100000000000001" customHeight="1" x14ac:dyDescent="0.2">
      <c r="A123" s="21"/>
      <c r="B123" s="9" t="s">
        <v>163</v>
      </c>
      <c r="C123" s="24">
        <v>1164.7574</v>
      </c>
      <c r="D123" s="24">
        <v>1167.4777999999999</v>
      </c>
      <c r="E123" s="21"/>
      <c r="F123" s="18"/>
      <c r="G123" s="25"/>
    </row>
    <row r="124" spans="1:7" ht="29.1" customHeight="1" x14ac:dyDescent="0.2">
      <c r="A124" s="21"/>
      <c r="B124" s="9" t="s">
        <v>580</v>
      </c>
      <c r="C124" s="24">
        <v>1014.6123</v>
      </c>
      <c r="D124" s="24">
        <v>1014.6123</v>
      </c>
      <c r="E124" s="21"/>
      <c r="F124" s="18"/>
      <c r="G124" s="25"/>
    </row>
    <row r="125" spans="1:7" ht="29.1" customHeight="1" x14ac:dyDescent="0.2">
      <c r="A125" s="21"/>
      <c r="B125" s="9" t="s">
        <v>581</v>
      </c>
      <c r="C125" s="24">
        <v>1009.1248000000001</v>
      </c>
      <c r="D125" s="24">
        <v>1009.1889</v>
      </c>
      <c r="E125" s="21"/>
      <c r="F125" s="18"/>
      <c r="G125" s="25"/>
    </row>
    <row r="126" spans="1:7" ht="29.1" customHeight="1" x14ac:dyDescent="0.2">
      <c r="A126" s="21"/>
      <c r="B126" s="9" t="s">
        <v>583</v>
      </c>
      <c r="C126" s="24">
        <v>1086.2021</v>
      </c>
      <c r="D126" s="24">
        <v>1088.7389000000001</v>
      </c>
      <c r="E126" s="21"/>
      <c r="F126" s="18"/>
      <c r="G126" s="25"/>
    </row>
    <row r="127" spans="1:7" ht="29.1" customHeight="1" x14ac:dyDescent="0.2">
      <c r="A127" s="21"/>
      <c r="B127" s="9" t="s">
        <v>572</v>
      </c>
      <c r="C127" s="24">
        <v>1090.4734000000001</v>
      </c>
      <c r="D127" s="24">
        <v>1087.4096</v>
      </c>
      <c r="E127" s="21"/>
      <c r="F127" s="18"/>
      <c r="G127" s="25"/>
    </row>
    <row r="128" spans="1:7" ht="29.1" customHeight="1" x14ac:dyDescent="0.2">
      <c r="A128" s="21"/>
      <c r="B128" s="9" t="s">
        <v>573</v>
      </c>
      <c r="C128" s="24">
        <v>1125.6433</v>
      </c>
      <c r="D128" s="24">
        <v>1120.7698</v>
      </c>
      <c r="E128" s="21"/>
      <c r="F128" s="18"/>
      <c r="G128" s="25"/>
    </row>
    <row r="129" spans="1:7" ht="14.1" customHeight="1" x14ac:dyDescent="0.2">
      <c r="A129" s="21"/>
      <c r="B129" s="21"/>
      <c r="C129" s="21"/>
      <c r="D129" s="21"/>
      <c r="E129" s="21"/>
      <c r="F129" s="21"/>
      <c r="G129" s="21"/>
    </row>
    <row r="130" spans="1:7" ht="17.100000000000001" customHeight="1" x14ac:dyDescent="0.2">
      <c r="A130" s="21"/>
      <c r="B130" s="114" t="s">
        <v>576</v>
      </c>
      <c r="C130" s="115"/>
      <c r="D130" s="2" t="s">
        <v>12</v>
      </c>
      <c r="E130" s="21"/>
      <c r="F130" s="21"/>
      <c r="G130" s="21"/>
    </row>
    <row r="131" spans="1:7" ht="18" customHeight="1" x14ac:dyDescent="0.2">
      <c r="A131" s="21"/>
      <c r="B131" s="26" t="s">
        <v>116</v>
      </c>
      <c r="C131" s="27" t="s">
        <v>120</v>
      </c>
      <c r="D131" s="27" t="s">
        <v>121</v>
      </c>
      <c r="E131" s="21"/>
      <c r="F131" s="21"/>
      <c r="G131" s="21"/>
    </row>
    <row r="132" spans="1:7" ht="29.1" customHeight="1" x14ac:dyDescent="0.2">
      <c r="A132" s="21"/>
      <c r="B132" s="9" t="s">
        <v>577</v>
      </c>
      <c r="C132" s="95">
        <v>2.7470059999999998</v>
      </c>
      <c r="D132" s="95">
        <v>2.7470059999999998</v>
      </c>
      <c r="E132" s="21"/>
      <c r="F132" s="18"/>
      <c r="G132" s="25"/>
    </row>
    <row r="133" spans="1:7" ht="29.1" customHeight="1" x14ac:dyDescent="0.2">
      <c r="A133" s="21"/>
      <c r="B133" s="9" t="s">
        <v>578</v>
      </c>
      <c r="C133" s="95">
        <v>3.7913000000000001</v>
      </c>
      <c r="D133" s="96" t="s">
        <v>122</v>
      </c>
      <c r="E133" s="21"/>
      <c r="F133" s="18"/>
      <c r="G133" s="25"/>
    </row>
    <row r="134" spans="1:7" ht="29.1" customHeight="1" x14ac:dyDescent="0.2">
      <c r="A134" s="21"/>
      <c r="B134" s="9" t="s">
        <v>582</v>
      </c>
      <c r="C134" s="95">
        <v>4.1364000000000001</v>
      </c>
      <c r="D134" s="96" t="s">
        <v>122</v>
      </c>
      <c r="E134" s="21"/>
      <c r="F134" s="18"/>
      <c r="G134" s="25"/>
    </row>
    <row r="135" spans="1:7" ht="29.1" customHeight="1" x14ac:dyDescent="0.2">
      <c r="A135" s="21"/>
      <c r="B135" s="9" t="s">
        <v>568</v>
      </c>
      <c r="C135" s="95">
        <v>6.5075000000000003</v>
      </c>
      <c r="D135" s="95">
        <v>6.5075000000000003</v>
      </c>
      <c r="E135" s="21"/>
      <c r="F135" s="18"/>
      <c r="G135" s="25"/>
    </row>
    <row r="136" spans="1:7" ht="29.1" customHeight="1" x14ac:dyDescent="0.2">
      <c r="A136" s="21"/>
      <c r="B136" s="9" t="s">
        <v>569</v>
      </c>
      <c r="C136" s="95">
        <v>7.5</v>
      </c>
      <c r="D136" s="95">
        <v>7.5</v>
      </c>
      <c r="E136" s="21"/>
      <c r="F136" s="18"/>
      <c r="G136" s="25"/>
    </row>
    <row r="137" spans="1:7" ht="29.1" customHeight="1" x14ac:dyDescent="0.2">
      <c r="A137" s="21"/>
      <c r="B137" s="9" t="s">
        <v>580</v>
      </c>
      <c r="C137" s="95">
        <v>2.3665820000000002</v>
      </c>
      <c r="D137" s="95">
        <v>2.3665820000000002</v>
      </c>
      <c r="E137" s="21"/>
      <c r="F137" s="18"/>
      <c r="G137" s="25"/>
    </row>
    <row r="138" spans="1:7" ht="29.1" customHeight="1" x14ac:dyDescent="0.2">
      <c r="A138" s="21"/>
      <c r="B138" s="9" t="s">
        <v>581</v>
      </c>
      <c r="C138" s="95">
        <v>2.9889000000000001</v>
      </c>
      <c r="D138" s="95">
        <v>2.9889000000000001</v>
      </c>
      <c r="E138" s="21"/>
      <c r="F138" s="18"/>
      <c r="G138" s="25"/>
    </row>
    <row r="139" spans="1:7" ht="29.1" customHeight="1" x14ac:dyDescent="0.2">
      <c r="A139" s="21"/>
      <c r="B139" s="9" t="s">
        <v>583</v>
      </c>
      <c r="C139" s="95">
        <v>3.5057</v>
      </c>
      <c r="D139" s="96" t="s">
        <v>122</v>
      </c>
      <c r="E139" s="21"/>
      <c r="F139" s="18"/>
      <c r="G139" s="25"/>
    </row>
    <row r="140" spans="1:7" ht="29.1" customHeight="1" x14ac:dyDescent="0.2">
      <c r="A140" s="21"/>
      <c r="B140" s="9" t="s">
        <v>572</v>
      </c>
      <c r="C140" s="95">
        <v>5.6003999999999996</v>
      </c>
      <c r="D140" s="95">
        <v>5.6003999999999996</v>
      </c>
      <c r="E140" s="21"/>
      <c r="F140" s="18"/>
      <c r="G140" s="25"/>
    </row>
    <row r="141" spans="1:7" ht="29.1" customHeight="1" x14ac:dyDescent="0.2">
      <c r="A141" s="21"/>
      <c r="B141" s="9" t="s">
        <v>573</v>
      </c>
      <c r="C141" s="95">
        <v>7.5</v>
      </c>
      <c r="D141" s="95">
        <v>7.5</v>
      </c>
      <c r="E141" s="21"/>
      <c r="F141" s="18"/>
      <c r="G141" s="25"/>
    </row>
    <row r="142" spans="1:7" ht="14.1" customHeight="1" x14ac:dyDescent="0.2">
      <c r="A142" s="21"/>
      <c r="B142" s="29"/>
      <c r="C142" s="29"/>
      <c r="D142" s="30"/>
      <c r="E142" s="21"/>
      <c r="F142" s="18"/>
      <c r="G142" s="25"/>
    </row>
    <row r="143" spans="1:7" ht="14.1" customHeight="1" x14ac:dyDescent="0.2">
      <c r="A143" s="21"/>
      <c r="B143" s="29"/>
      <c r="C143" s="29"/>
      <c r="D143" s="30"/>
      <c r="E143" s="21"/>
      <c r="F143" s="18"/>
      <c r="G143" s="25"/>
    </row>
    <row r="144" spans="1:7" ht="17.100000000000001" customHeight="1" x14ac:dyDescent="0.2">
      <c r="A144" s="21"/>
      <c r="B144" s="114" t="s">
        <v>508</v>
      </c>
      <c r="C144" s="115"/>
      <c r="D144" s="2" t="s">
        <v>111</v>
      </c>
      <c r="G144" s="25"/>
    </row>
    <row r="145" spans="1:14" ht="29.1" customHeight="1" x14ac:dyDescent="0.2">
      <c r="A145" s="21"/>
      <c r="B145" s="114" t="s">
        <v>509</v>
      </c>
      <c r="C145" s="115"/>
      <c r="D145" s="2" t="s">
        <v>111</v>
      </c>
      <c r="E145" s="31"/>
      <c r="F145" s="21"/>
      <c r="G145" s="21"/>
    </row>
    <row r="146" spans="1:14" ht="29.1" customHeight="1" x14ac:dyDescent="0.2">
      <c r="A146" s="21"/>
      <c r="B146" s="114" t="s">
        <v>510</v>
      </c>
      <c r="C146" s="115"/>
      <c r="D146" s="2" t="s">
        <v>111</v>
      </c>
      <c r="E146" s="31"/>
      <c r="F146" s="21"/>
      <c r="G146" s="21"/>
    </row>
    <row r="147" spans="1:14" ht="17.100000000000001" customHeight="1" x14ac:dyDescent="0.2">
      <c r="A147" s="21"/>
      <c r="B147" s="114" t="s">
        <v>511</v>
      </c>
      <c r="C147" s="115"/>
      <c r="D147" s="2" t="s">
        <v>111</v>
      </c>
      <c r="E147" s="31"/>
      <c r="F147" s="21"/>
      <c r="G147" s="21"/>
      <c r="J147"/>
      <c r="K147"/>
      <c r="L147"/>
      <c r="M147"/>
      <c r="N147"/>
    </row>
    <row r="149" spans="1:14" x14ac:dyDescent="0.2">
      <c r="B149" s="45" t="s">
        <v>560</v>
      </c>
      <c r="C149" s="45"/>
      <c r="D149" s="45"/>
      <c r="E149" s="45"/>
      <c r="F149" s="45"/>
      <c r="G149" s="45"/>
      <c r="H149" s="45"/>
    </row>
    <row r="150" spans="1:14" x14ac:dyDescent="0.2">
      <c r="B150" s="46"/>
      <c r="C150" s="46"/>
      <c r="D150" s="46"/>
      <c r="E150" s="46"/>
      <c r="F150" s="46"/>
      <c r="G150" s="46"/>
      <c r="H150" s="46"/>
    </row>
    <row r="151" spans="1:14" ht="51" x14ac:dyDescent="0.2">
      <c r="A151" s="47"/>
      <c r="B151" s="48" t="s">
        <v>512</v>
      </c>
      <c r="C151" s="48" t="s">
        <v>513</v>
      </c>
      <c r="D151" s="48" t="s">
        <v>514</v>
      </c>
      <c r="E151" s="48" t="s">
        <v>515</v>
      </c>
      <c r="F151" s="48" t="s">
        <v>516</v>
      </c>
      <c r="G151" s="46"/>
      <c r="H151" s="46"/>
    </row>
    <row r="152" spans="1:14" x14ac:dyDescent="0.2">
      <c r="A152" s="49"/>
      <c r="B152" s="50" t="s">
        <v>517</v>
      </c>
      <c r="C152" s="50" t="s">
        <v>518</v>
      </c>
      <c r="D152" s="51">
        <v>0</v>
      </c>
      <c r="E152" s="52">
        <v>0</v>
      </c>
      <c r="F152" s="53">
        <v>300</v>
      </c>
      <c r="G152" s="46"/>
      <c r="H152" s="46"/>
    </row>
    <row r="153" spans="1:14" x14ac:dyDescent="0.2">
      <c r="A153" s="33"/>
      <c r="B153" s="33"/>
      <c r="C153" s="33"/>
      <c r="D153" s="33"/>
      <c r="E153" s="33"/>
      <c r="F153" s="33"/>
      <c r="G153" s="33"/>
      <c r="I153" s="40"/>
    </row>
    <row r="154" spans="1:14" x14ac:dyDescent="0.2">
      <c r="B154" s="54" t="s">
        <v>519</v>
      </c>
      <c r="C154" s="54" t="s">
        <v>520</v>
      </c>
      <c r="D154" s="125" t="s">
        <v>514</v>
      </c>
      <c r="E154" s="125"/>
      <c r="F154" s="125"/>
      <c r="G154" s="126" t="s">
        <v>515</v>
      </c>
      <c r="H154" s="126"/>
    </row>
    <row r="155" spans="1:14" ht="25.5" x14ac:dyDescent="0.2">
      <c r="B155" s="55" t="s">
        <v>521</v>
      </c>
      <c r="C155" s="56" t="s">
        <v>522</v>
      </c>
      <c r="D155" s="127">
        <v>0</v>
      </c>
      <c r="E155" s="127"/>
      <c r="F155" s="127"/>
      <c r="G155" s="127">
        <v>0</v>
      </c>
      <c r="H155" s="127"/>
    </row>
    <row r="156" spans="1:14" ht="25.5" x14ac:dyDescent="0.2">
      <c r="B156" s="55" t="s">
        <v>523</v>
      </c>
      <c r="C156" s="56" t="s">
        <v>524</v>
      </c>
      <c r="D156" s="127">
        <v>0</v>
      </c>
      <c r="E156" s="127"/>
      <c r="F156" s="127"/>
      <c r="G156" s="127">
        <v>0</v>
      </c>
      <c r="H156" s="127"/>
    </row>
    <row r="157" spans="1:14" ht="25.5" x14ac:dyDescent="0.2">
      <c r="B157" s="55" t="s">
        <v>525</v>
      </c>
      <c r="C157" s="56" t="s">
        <v>526</v>
      </c>
      <c r="D157" s="127">
        <v>0</v>
      </c>
      <c r="E157" s="127"/>
      <c r="F157" s="127"/>
      <c r="G157" s="127">
        <v>0</v>
      </c>
      <c r="H157" s="127"/>
    </row>
    <row r="159" spans="1:14" ht="15" x14ac:dyDescent="0.25">
      <c r="B159" s="126" t="s">
        <v>527</v>
      </c>
      <c r="C159" s="126"/>
      <c r="D159" s="126"/>
      <c r="E159" s="126"/>
      <c r="F159" s="126"/>
      <c r="G159" s="126"/>
      <c r="H159" s="126"/>
      <c r="I159" s="62"/>
    </row>
    <row r="160" spans="1:14" x14ac:dyDescent="0.2">
      <c r="B160" s="129" t="s">
        <v>519</v>
      </c>
      <c r="C160" s="129" t="s">
        <v>520</v>
      </c>
      <c r="D160" s="129" t="s">
        <v>528</v>
      </c>
      <c r="E160" s="129"/>
      <c r="F160" s="129"/>
      <c r="G160" s="129"/>
      <c r="H160" s="130" t="s">
        <v>529</v>
      </c>
    </row>
    <row r="161" spans="2:14" ht="63.75" x14ac:dyDescent="0.2">
      <c r="B161" s="129"/>
      <c r="C161" s="129"/>
      <c r="D161" s="57" t="s">
        <v>530</v>
      </c>
      <c r="E161" s="57" t="s">
        <v>531</v>
      </c>
      <c r="F161" s="57" t="s">
        <v>532</v>
      </c>
      <c r="G161" s="57" t="s">
        <v>533</v>
      </c>
      <c r="H161" s="131"/>
    </row>
    <row r="162" spans="2:14" ht="25.5" x14ac:dyDescent="0.2">
      <c r="B162" s="55" t="s">
        <v>521</v>
      </c>
      <c r="C162" s="56" t="s">
        <v>522</v>
      </c>
      <c r="D162" s="58">
        <v>1500</v>
      </c>
      <c r="E162" s="58">
        <v>99.850684900000005</v>
      </c>
      <c r="F162" s="59">
        <v>36.275342200000004</v>
      </c>
      <c r="G162" s="60">
        <v>1636.1260271000001</v>
      </c>
      <c r="H162" s="61">
        <v>726.67232000000001</v>
      </c>
      <c r="I162" s="40"/>
    </row>
    <row r="163" spans="2:14" ht="25.5" x14ac:dyDescent="0.2">
      <c r="B163" s="55" t="s">
        <v>523</v>
      </c>
      <c r="C163" s="56" t="s">
        <v>524</v>
      </c>
      <c r="D163" s="58">
        <v>2517.2199999999998</v>
      </c>
      <c r="E163" s="58">
        <v>183.25361600000002</v>
      </c>
      <c r="F163" s="59">
        <v>45.813405699999997</v>
      </c>
      <c r="G163" s="60">
        <v>2746.2870217</v>
      </c>
      <c r="H163" s="61">
        <v>1225.53333</v>
      </c>
      <c r="I163" s="40"/>
    </row>
    <row r="164" spans="2:14" ht="25.5" x14ac:dyDescent="0.2">
      <c r="B164" s="55" t="s">
        <v>525</v>
      </c>
      <c r="C164" s="56" t="s">
        <v>526</v>
      </c>
      <c r="D164" s="58">
        <v>4882.25</v>
      </c>
      <c r="E164" s="58">
        <v>323.21163799999999</v>
      </c>
      <c r="F164" s="59">
        <v>117.42144879999999</v>
      </c>
      <c r="G164" s="60">
        <v>5322.8830868000005</v>
      </c>
      <c r="H164" s="61">
        <v>2364.0489899999998</v>
      </c>
      <c r="I164" s="40"/>
    </row>
    <row r="165" spans="2:14" x14ac:dyDescent="0.2">
      <c r="I165" s="40"/>
    </row>
    <row r="166" spans="2:14" s="63" customFormat="1" ht="27.75" customHeight="1" x14ac:dyDescent="0.25">
      <c r="B166" s="128" t="s">
        <v>534</v>
      </c>
      <c r="C166" s="128"/>
      <c r="D166" s="128"/>
      <c r="E166" s="128"/>
      <c r="F166" s="128"/>
      <c r="G166" s="128"/>
      <c r="H166" s="128"/>
      <c r="I166" s="40"/>
      <c r="J166" s="40"/>
      <c r="K166" s="40"/>
      <c r="L166" s="40"/>
      <c r="M166" s="40"/>
      <c r="N166" s="40"/>
    </row>
    <row r="168" spans="2:14" x14ac:dyDescent="0.2">
      <c r="B168" s="64" t="s">
        <v>535</v>
      </c>
    </row>
    <row r="169" spans="2:14" x14ac:dyDescent="0.2">
      <c r="B169" s="40"/>
      <c r="C169" s="40"/>
      <c r="D169" s="40"/>
      <c r="E169" s="40"/>
      <c r="F169" s="40"/>
      <c r="G169" s="40"/>
      <c r="H169" s="40"/>
    </row>
    <row r="170" spans="2:14" x14ac:dyDescent="0.2">
      <c r="B170" s="65" t="s">
        <v>536</v>
      </c>
      <c r="C170" s="40"/>
      <c r="D170" s="40"/>
      <c r="E170" s="40"/>
      <c r="F170" s="40"/>
      <c r="G170" s="40"/>
      <c r="H170" s="40"/>
    </row>
    <row r="171" spans="2:14" x14ac:dyDescent="0.2">
      <c r="B171" s="40"/>
      <c r="C171" s="40"/>
      <c r="D171" s="40"/>
      <c r="E171" s="40"/>
      <c r="F171" s="40"/>
      <c r="G171" s="40"/>
      <c r="H171" s="40"/>
    </row>
    <row r="172" spans="2:14" x14ac:dyDescent="0.2">
      <c r="B172" s="65" t="s">
        <v>537</v>
      </c>
      <c r="C172" s="40"/>
      <c r="D172" s="40"/>
      <c r="E172" s="40"/>
      <c r="F172" s="40"/>
      <c r="G172" s="40"/>
      <c r="H172" s="40"/>
    </row>
    <row r="174" spans="2:14" x14ac:dyDescent="0.2">
      <c r="B174" s="111" t="s">
        <v>500</v>
      </c>
      <c r="C174" s="112"/>
      <c r="D174" s="113"/>
    </row>
    <row r="175" spans="2:14" ht="25.5" x14ac:dyDescent="0.2">
      <c r="B175" s="117" t="s">
        <v>501</v>
      </c>
      <c r="C175" s="117"/>
      <c r="D175" s="41" t="s">
        <v>187</v>
      </c>
    </row>
    <row r="176" spans="2:14" x14ac:dyDescent="0.2">
      <c r="B176" s="117" t="s">
        <v>502</v>
      </c>
      <c r="C176" s="117"/>
      <c r="D176" s="42"/>
    </row>
    <row r="177" spans="2:4" x14ac:dyDescent="0.2">
      <c r="B177" s="117"/>
      <c r="C177" s="117"/>
      <c r="D177" s="43"/>
    </row>
    <row r="178" spans="2:4" x14ac:dyDescent="0.2">
      <c r="B178" s="117" t="s">
        <v>503</v>
      </c>
      <c r="C178" s="117"/>
      <c r="D178" s="32">
        <v>7.4334761314988382</v>
      </c>
    </row>
    <row r="179" spans="2:4" x14ac:dyDescent="0.2">
      <c r="B179" s="117"/>
      <c r="C179" s="117"/>
      <c r="D179" s="43"/>
    </row>
    <row r="180" spans="2:4" x14ac:dyDescent="0.2">
      <c r="B180" s="117" t="s">
        <v>504</v>
      </c>
      <c r="C180" s="117"/>
      <c r="D180" s="32">
        <v>0.72616374481731105</v>
      </c>
    </row>
    <row r="181" spans="2:4" x14ac:dyDescent="0.2">
      <c r="B181" s="117" t="s">
        <v>505</v>
      </c>
      <c r="C181" s="117"/>
      <c r="D181" s="32">
        <v>0.88201820028924482</v>
      </c>
    </row>
    <row r="182" spans="2:4" x14ac:dyDescent="0.2">
      <c r="B182" s="117"/>
      <c r="C182" s="117"/>
      <c r="D182" s="43"/>
    </row>
    <row r="183" spans="2:4" x14ac:dyDescent="0.2">
      <c r="B183" s="117" t="s">
        <v>506</v>
      </c>
      <c r="C183" s="117"/>
      <c r="D183" s="44">
        <v>45107</v>
      </c>
    </row>
    <row r="184" spans="2:4" x14ac:dyDescent="0.2">
      <c r="B184" s="118" t="s">
        <v>507</v>
      </c>
      <c r="C184" s="119"/>
      <c r="D184" s="120"/>
    </row>
  </sheetData>
  <mergeCells count="40">
    <mergeCell ref="J2:N2"/>
    <mergeCell ref="B184:D184"/>
    <mergeCell ref="B179:C179"/>
    <mergeCell ref="B180:C180"/>
    <mergeCell ref="B181:C181"/>
    <mergeCell ref="B182:C182"/>
    <mergeCell ref="B183:C183"/>
    <mergeCell ref="B174:D174"/>
    <mergeCell ref="B175:C175"/>
    <mergeCell ref="B176:C176"/>
    <mergeCell ref="B177:C177"/>
    <mergeCell ref="B178:C178"/>
    <mergeCell ref="B160:B161"/>
    <mergeCell ref="C160:C161"/>
    <mergeCell ref="D160:G160"/>
    <mergeCell ref="H160:H161"/>
    <mergeCell ref="B166:H166"/>
    <mergeCell ref="D156:F156"/>
    <mergeCell ref="G156:H156"/>
    <mergeCell ref="D157:F157"/>
    <mergeCell ref="G157:H157"/>
    <mergeCell ref="B159:H159"/>
    <mergeCell ref="D155:F155"/>
    <mergeCell ref="G155:H155"/>
    <mergeCell ref="B107:F107"/>
    <mergeCell ref="B108:F108"/>
    <mergeCell ref="B145:C145"/>
    <mergeCell ref="B146:C146"/>
    <mergeCell ref="B147:C147"/>
    <mergeCell ref="B110:D110"/>
    <mergeCell ref="B111:C111"/>
    <mergeCell ref="B112:C112"/>
    <mergeCell ref="B113:C113"/>
    <mergeCell ref="B130:C130"/>
    <mergeCell ref="B144:C144"/>
    <mergeCell ref="A1:H1"/>
    <mergeCell ref="A2:H2"/>
    <mergeCell ref="A3:H3"/>
    <mergeCell ref="D154:F154"/>
    <mergeCell ref="G154:H154"/>
  </mergeCells>
  <hyperlinks>
    <hyperlink ref="B170" r:id="rId1" xr:uid="{FD9DFFBE-C0A9-40C5-A7B9-618AEE589DBD}"/>
    <hyperlink ref="B172" r:id="rId2" xr:uid="{718E33BA-2466-4CCF-A942-324D61DBB917}"/>
    <hyperlink ref="I1" location="Index!B5" display="Index" xr:uid="{35426828-7D91-4296-B6B6-0E604E3E9AF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8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0" t="s">
        <v>0</v>
      </c>
      <c r="B1" s="110"/>
      <c r="C1" s="110"/>
      <c r="D1" s="110"/>
      <c r="E1" s="110"/>
      <c r="F1" s="110"/>
      <c r="G1" s="110"/>
      <c r="H1" s="110"/>
      <c r="I1" s="101" t="s">
        <v>591</v>
      </c>
    </row>
    <row r="2" spans="1:14" ht="17.100000000000001" customHeight="1" x14ac:dyDescent="0.2">
      <c r="A2" s="110" t="s">
        <v>234</v>
      </c>
      <c r="B2" s="110"/>
      <c r="C2" s="110"/>
      <c r="D2" s="110"/>
      <c r="E2" s="110"/>
      <c r="F2" s="110"/>
      <c r="G2" s="110"/>
      <c r="H2" s="110"/>
      <c r="J2" s="132" t="s">
        <v>592</v>
      </c>
      <c r="K2" s="132"/>
      <c r="L2" s="132"/>
      <c r="M2" s="132"/>
      <c r="N2" s="132"/>
    </row>
    <row r="3" spans="1:14" ht="21" customHeight="1" x14ac:dyDescent="0.2">
      <c r="A3" s="110" t="s">
        <v>589</v>
      </c>
      <c r="B3" s="110"/>
      <c r="C3" s="110"/>
      <c r="D3" s="110"/>
      <c r="E3" s="110"/>
      <c r="F3" s="110"/>
      <c r="G3" s="110"/>
      <c r="H3" s="110"/>
    </row>
    <row r="4" spans="1:14" ht="30" x14ac:dyDescent="0.2">
      <c r="A4" s="94" t="s">
        <v>2</v>
      </c>
      <c r="B4" s="94" t="s">
        <v>3</v>
      </c>
      <c r="C4" s="94" t="s">
        <v>4</v>
      </c>
      <c r="D4" s="94" t="s">
        <v>5</v>
      </c>
      <c r="E4" s="94" t="s">
        <v>6</v>
      </c>
      <c r="F4" s="94" t="s">
        <v>7</v>
      </c>
      <c r="G4" s="94" t="s">
        <v>8</v>
      </c>
      <c r="H4" s="91" t="s">
        <v>588</v>
      </c>
      <c r="I4" s="102"/>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5" t="s">
        <v>600</v>
      </c>
      <c r="K16" s="106"/>
      <c r="L16" s="106"/>
      <c r="M16" s="106"/>
      <c r="N16" s="106"/>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5">
      <c r="A30" s="1"/>
      <c r="B30" s="1"/>
      <c r="C30" s="2" t="s">
        <v>77</v>
      </c>
      <c r="D30" s="1"/>
      <c r="E30" s="1"/>
      <c r="F30" s="1"/>
      <c r="G30" s="1"/>
      <c r="H30" s="11"/>
      <c r="J30" s="105" t="s">
        <v>601</v>
      </c>
      <c r="K30" s="106"/>
      <c r="L30" s="106"/>
      <c r="M30" s="106"/>
      <c r="N30" s="106"/>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8" ht="14.1" customHeight="1" x14ac:dyDescent="0.2">
      <c r="A33" s="1"/>
      <c r="B33" s="1"/>
      <c r="C33" s="2" t="s">
        <v>78</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90</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91</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92</v>
      </c>
      <c r="D41" s="1"/>
      <c r="E41" s="1"/>
      <c r="F41" s="6"/>
      <c r="G41" s="6"/>
      <c r="H41" s="11"/>
    </row>
    <row r="42" spans="1:8" ht="14.1" customHeight="1" x14ac:dyDescent="0.2">
      <c r="A42" s="1"/>
      <c r="B42" s="1"/>
      <c r="C42" s="2" t="s">
        <v>93</v>
      </c>
      <c r="D42" s="1"/>
      <c r="E42" s="1"/>
      <c r="F42" s="6"/>
      <c r="G42" s="6"/>
      <c r="H42" s="11"/>
    </row>
    <row r="43" spans="1:8" ht="17.100000000000001" customHeight="1" x14ac:dyDescent="0.2">
      <c r="A43" s="8">
        <v>1</v>
      </c>
      <c r="B43" s="9" t="s">
        <v>235</v>
      </c>
      <c r="C43" s="9" t="s">
        <v>236</v>
      </c>
      <c r="D43" s="9" t="s">
        <v>169</v>
      </c>
      <c r="E43" s="10">
        <v>2000</v>
      </c>
      <c r="F43" s="11">
        <v>9888.89</v>
      </c>
      <c r="G43" s="12">
        <v>2.7305690000000001E-2</v>
      </c>
      <c r="H43" s="11">
        <v>6.9512</v>
      </c>
    </row>
    <row r="44" spans="1:8" ht="17.100000000000001" customHeight="1" x14ac:dyDescent="0.2">
      <c r="A44" s="8">
        <v>2</v>
      </c>
      <c r="B44" s="9" t="s">
        <v>237</v>
      </c>
      <c r="C44" s="9" t="s">
        <v>238</v>
      </c>
      <c r="D44" s="9" t="s">
        <v>169</v>
      </c>
      <c r="E44" s="10">
        <v>2000</v>
      </c>
      <c r="F44" s="11">
        <v>9861.0499999999993</v>
      </c>
      <c r="G44" s="12">
        <v>2.7228820000000001E-2</v>
      </c>
      <c r="H44" s="11">
        <v>6.9500999999999999</v>
      </c>
    </row>
    <row r="45" spans="1:8" ht="17.100000000000001" customHeight="1" x14ac:dyDescent="0.2">
      <c r="A45" s="8">
        <v>3</v>
      </c>
      <c r="B45" s="9" t="s">
        <v>239</v>
      </c>
      <c r="C45" s="9" t="s">
        <v>240</v>
      </c>
      <c r="D45" s="9" t="s">
        <v>169</v>
      </c>
      <c r="E45" s="10">
        <v>2000</v>
      </c>
      <c r="F45" s="11">
        <v>9852.1200000000008</v>
      </c>
      <c r="G45" s="12">
        <v>2.7204160000000002E-2</v>
      </c>
      <c r="H45" s="11">
        <v>6.9349999999999996</v>
      </c>
    </row>
    <row r="46" spans="1:8" ht="17.100000000000001" customHeight="1" x14ac:dyDescent="0.2">
      <c r="A46" s="8">
        <v>4</v>
      </c>
      <c r="B46" s="9" t="s">
        <v>241</v>
      </c>
      <c r="C46" s="9" t="s">
        <v>484</v>
      </c>
      <c r="D46" s="9" t="s">
        <v>169</v>
      </c>
      <c r="E46" s="10">
        <v>1500</v>
      </c>
      <c r="F46" s="11">
        <v>7437.2475000000004</v>
      </c>
      <c r="G46" s="12">
        <v>2.053609E-2</v>
      </c>
      <c r="H46" s="11">
        <v>7</v>
      </c>
    </row>
    <row r="47" spans="1:8" ht="29.1" customHeight="1" x14ac:dyDescent="0.2">
      <c r="A47" s="8">
        <v>5</v>
      </c>
      <c r="B47" s="9" t="s">
        <v>242</v>
      </c>
      <c r="C47" s="9" t="s">
        <v>243</v>
      </c>
      <c r="D47" s="9" t="s">
        <v>169</v>
      </c>
      <c r="E47" s="10">
        <v>1500</v>
      </c>
      <c r="F47" s="11">
        <v>7433.9025000000001</v>
      </c>
      <c r="G47" s="12">
        <v>2.0526860000000001E-2</v>
      </c>
      <c r="H47" s="11">
        <v>6.9051999999999998</v>
      </c>
    </row>
    <row r="48" spans="1:8" ht="17.100000000000001" customHeight="1" x14ac:dyDescent="0.2">
      <c r="A48" s="8">
        <v>6</v>
      </c>
      <c r="B48" s="9" t="s">
        <v>244</v>
      </c>
      <c r="C48" s="9" t="s">
        <v>245</v>
      </c>
      <c r="D48" s="9" t="s">
        <v>169</v>
      </c>
      <c r="E48" s="10">
        <v>1500</v>
      </c>
      <c r="F48" s="11">
        <v>7412.5124999999998</v>
      </c>
      <c r="G48" s="12">
        <v>2.046779E-2</v>
      </c>
      <c r="H48" s="11">
        <v>6.9489000000000001</v>
      </c>
    </row>
    <row r="49" spans="1:8" ht="17.100000000000001" customHeight="1" x14ac:dyDescent="0.2">
      <c r="A49" s="8">
        <v>7</v>
      </c>
      <c r="B49" s="9" t="s">
        <v>246</v>
      </c>
      <c r="C49" s="9" t="s">
        <v>247</v>
      </c>
      <c r="D49" s="9" t="s">
        <v>169</v>
      </c>
      <c r="E49" s="10">
        <v>1500</v>
      </c>
      <c r="F49" s="11">
        <v>7395.81</v>
      </c>
      <c r="G49" s="12">
        <v>2.0421669999999999E-2</v>
      </c>
      <c r="H49" s="11">
        <v>6.9489000000000001</v>
      </c>
    </row>
    <row r="50" spans="1:8" ht="17.100000000000001" customHeight="1" x14ac:dyDescent="0.2">
      <c r="A50" s="8">
        <v>8</v>
      </c>
      <c r="B50" s="9" t="s">
        <v>248</v>
      </c>
      <c r="C50" s="9" t="s">
        <v>249</v>
      </c>
      <c r="D50" s="9" t="s">
        <v>169</v>
      </c>
      <c r="E50" s="10">
        <v>1000</v>
      </c>
      <c r="F50" s="11">
        <v>4963.1949999999997</v>
      </c>
      <c r="G50" s="12">
        <v>1.3704620000000001E-2</v>
      </c>
      <c r="H50" s="11">
        <v>6.9401000000000002</v>
      </c>
    </row>
    <row r="51" spans="1:8" ht="17.100000000000001" customHeight="1" x14ac:dyDescent="0.2">
      <c r="A51" s="8">
        <v>9</v>
      </c>
      <c r="B51" s="9" t="s">
        <v>250</v>
      </c>
      <c r="C51" s="9" t="s">
        <v>251</v>
      </c>
      <c r="D51" s="9" t="s">
        <v>160</v>
      </c>
      <c r="E51" s="10">
        <v>1000</v>
      </c>
      <c r="F51" s="11">
        <v>4961.6049999999996</v>
      </c>
      <c r="G51" s="12">
        <v>1.3700230000000001E-2</v>
      </c>
      <c r="H51" s="11">
        <v>6.8895999999999997</v>
      </c>
    </row>
    <row r="52" spans="1:8" ht="17.100000000000001" customHeight="1" x14ac:dyDescent="0.2">
      <c r="A52" s="8">
        <v>10</v>
      </c>
      <c r="B52" s="9" t="s">
        <v>252</v>
      </c>
      <c r="C52" s="9" t="s">
        <v>253</v>
      </c>
      <c r="D52" s="9" t="s">
        <v>169</v>
      </c>
      <c r="E52" s="10">
        <v>1000</v>
      </c>
      <c r="F52" s="11">
        <v>4955.6850000000004</v>
      </c>
      <c r="G52" s="12">
        <v>1.3683880000000001E-2</v>
      </c>
      <c r="H52" s="11">
        <v>6.9451000000000001</v>
      </c>
    </row>
    <row r="53" spans="1:8" ht="17.100000000000001" customHeight="1" x14ac:dyDescent="0.2">
      <c r="A53" s="8">
        <v>11</v>
      </c>
      <c r="B53" s="9" t="s">
        <v>254</v>
      </c>
      <c r="C53" s="9" t="s">
        <v>487</v>
      </c>
      <c r="D53" s="9" t="s">
        <v>169</v>
      </c>
      <c r="E53" s="10">
        <v>1000</v>
      </c>
      <c r="F53" s="11">
        <v>4947.0749999999998</v>
      </c>
      <c r="G53" s="12">
        <v>1.366011E-2</v>
      </c>
      <c r="H53" s="11">
        <v>7.1</v>
      </c>
    </row>
    <row r="54" spans="1:8" ht="17.100000000000001" customHeight="1" x14ac:dyDescent="0.2">
      <c r="A54" s="8">
        <v>12</v>
      </c>
      <c r="B54" s="9" t="s">
        <v>255</v>
      </c>
      <c r="C54" s="9" t="s">
        <v>485</v>
      </c>
      <c r="D54" s="9" t="s">
        <v>169</v>
      </c>
      <c r="E54" s="10">
        <v>1000</v>
      </c>
      <c r="F54" s="11">
        <v>4940.915</v>
      </c>
      <c r="G54" s="12">
        <v>1.36431E-2</v>
      </c>
      <c r="H54" s="11">
        <v>7.04</v>
      </c>
    </row>
    <row r="55" spans="1:8" ht="17.100000000000001" customHeight="1" x14ac:dyDescent="0.2">
      <c r="A55" s="8">
        <v>13</v>
      </c>
      <c r="B55" s="9" t="s">
        <v>158</v>
      </c>
      <c r="C55" s="9" t="s">
        <v>159</v>
      </c>
      <c r="D55" s="9" t="s">
        <v>160</v>
      </c>
      <c r="E55" s="10">
        <v>1000</v>
      </c>
      <c r="F55" s="11">
        <v>4932.43</v>
      </c>
      <c r="G55" s="12">
        <v>1.361967E-2</v>
      </c>
      <c r="H55" s="11">
        <v>6.8498000000000001</v>
      </c>
    </row>
    <row r="56" spans="1:8" ht="17.100000000000001" customHeight="1" x14ac:dyDescent="0.2">
      <c r="A56" s="8">
        <v>14</v>
      </c>
      <c r="B56" s="9" t="s">
        <v>256</v>
      </c>
      <c r="C56" s="9" t="s">
        <v>257</v>
      </c>
      <c r="D56" s="9" t="s">
        <v>169</v>
      </c>
      <c r="E56" s="10">
        <v>500</v>
      </c>
      <c r="F56" s="11">
        <v>2482.5100000000002</v>
      </c>
      <c r="G56" s="12">
        <v>6.8548300000000001E-3</v>
      </c>
      <c r="H56" s="11">
        <v>6.9499000000000004</v>
      </c>
    </row>
    <row r="57" spans="1:8" ht="17.100000000000001" customHeight="1" x14ac:dyDescent="0.2">
      <c r="A57" s="8">
        <v>15</v>
      </c>
      <c r="B57" s="9" t="s">
        <v>258</v>
      </c>
      <c r="C57" s="9" t="s">
        <v>259</v>
      </c>
      <c r="D57" s="9" t="s">
        <v>160</v>
      </c>
      <c r="E57" s="10">
        <v>500</v>
      </c>
      <c r="F57" s="11">
        <v>2477.9825000000001</v>
      </c>
      <c r="G57" s="12">
        <v>6.8423299999999998E-3</v>
      </c>
      <c r="H57" s="11">
        <v>6.9</v>
      </c>
    </row>
    <row r="58" spans="1:8" ht="17.100000000000001" customHeight="1" x14ac:dyDescent="0.2">
      <c r="A58" s="8">
        <v>16</v>
      </c>
      <c r="B58" s="9" t="s">
        <v>260</v>
      </c>
      <c r="C58" s="9" t="s">
        <v>261</v>
      </c>
      <c r="D58" s="9" t="s">
        <v>169</v>
      </c>
      <c r="E58" s="10">
        <v>500</v>
      </c>
      <c r="F58" s="11">
        <v>2464.7474999999999</v>
      </c>
      <c r="G58" s="12">
        <v>6.80578E-3</v>
      </c>
      <c r="H58" s="11">
        <v>7.0549999999999997</v>
      </c>
    </row>
    <row r="59" spans="1:8" ht="14.1" customHeight="1" x14ac:dyDescent="0.2">
      <c r="A59" s="1"/>
      <c r="B59" s="1"/>
      <c r="C59" s="2" t="s">
        <v>11</v>
      </c>
      <c r="D59" s="1"/>
      <c r="E59" s="1" t="s">
        <v>12</v>
      </c>
      <c r="F59" s="7">
        <v>96407.677500000005</v>
      </c>
      <c r="G59" s="4">
        <v>0.26620563000000003</v>
      </c>
      <c r="H59" s="11"/>
    </row>
    <row r="60" spans="1:8" ht="14.1" customHeight="1" x14ac:dyDescent="0.2">
      <c r="A60" s="1"/>
      <c r="B60" s="1"/>
      <c r="C60" s="5"/>
      <c r="D60" s="1"/>
      <c r="E60" s="1"/>
      <c r="F60" s="6"/>
      <c r="G60" s="6"/>
      <c r="H60" s="11"/>
    </row>
    <row r="61" spans="1:8" ht="14.1" customHeight="1" x14ac:dyDescent="0.2">
      <c r="A61" s="1"/>
      <c r="B61" s="1"/>
      <c r="C61" s="2" t="s">
        <v>94</v>
      </c>
      <c r="D61" s="1"/>
      <c r="E61" s="1"/>
      <c r="F61" s="6"/>
      <c r="G61" s="6"/>
      <c r="H61" s="11"/>
    </row>
    <row r="62" spans="1:8" ht="29.1" customHeight="1" x14ac:dyDescent="0.2">
      <c r="A62" s="8">
        <v>1</v>
      </c>
      <c r="B62" s="9" t="s">
        <v>262</v>
      </c>
      <c r="C62" s="9" t="s">
        <v>263</v>
      </c>
      <c r="D62" s="9" t="s">
        <v>166</v>
      </c>
      <c r="E62" s="10">
        <v>2500</v>
      </c>
      <c r="F62" s="11">
        <v>12384.125</v>
      </c>
      <c r="G62" s="12">
        <v>3.4195660000000003E-2</v>
      </c>
      <c r="H62" s="11">
        <v>7.1150000000000002</v>
      </c>
    </row>
    <row r="63" spans="1:8" ht="29.1" customHeight="1" x14ac:dyDescent="0.2">
      <c r="A63" s="8">
        <v>2</v>
      </c>
      <c r="B63" s="9" t="s">
        <v>264</v>
      </c>
      <c r="C63" s="9" t="s">
        <v>265</v>
      </c>
      <c r="D63" s="9" t="s">
        <v>169</v>
      </c>
      <c r="E63" s="10">
        <v>2500</v>
      </c>
      <c r="F63" s="11">
        <v>12336.525</v>
      </c>
      <c r="G63" s="12">
        <v>3.4064219999999999E-2</v>
      </c>
      <c r="H63" s="11">
        <v>7.0099</v>
      </c>
    </row>
    <row r="64" spans="1:8" ht="17.100000000000001" customHeight="1" x14ac:dyDescent="0.2">
      <c r="A64" s="8">
        <v>3</v>
      </c>
      <c r="B64" s="9" t="s">
        <v>266</v>
      </c>
      <c r="C64" s="9" t="s">
        <v>267</v>
      </c>
      <c r="D64" s="9" t="s">
        <v>169</v>
      </c>
      <c r="E64" s="10">
        <v>2000</v>
      </c>
      <c r="F64" s="11">
        <v>9898.33</v>
      </c>
      <c r="G64" s="12">
        <v>2.733176E-2</v>
      </c>
      <c r="H64" s="11">
        <v>7.21</v>
      </c>
    </row>
    <row r="65" spans="1:8" ht="29.1" customHeight="1" x14ac:dyDescent="0.2">
      <c r="A65" s="8">
        <v>4</v>
      </c>
      <c r="B65" s="9" t="s">
        <v>268</v>
      </c>
      <c r="C65" s="9" t="s">
        <v>269</v>
      </c>
      <c r="D65" s="9" t="s">
        <v>169</v>
      </c>
      <c r="E65" s="10">
        <v>2000</v>
      </c>
      <c r="F65" s="11">
        <v>9861.94</v>
      </c>
      <c r="G65" s="12">
        <v>2.7231269999999998E-2</v>
      </c>
      <c r="H65" s="11">
        <v>6.9999000000000002</v>
      </c>
    </row>
    <row r="66" spans="1:8" ht="29.1" customHeight="1" x14ac:dyDescent="0.2">
      <c r="A66" s="8">
        <v>5</v>
      </c>
      <c r="B66" s="9" t="s">
        <v>270</v>
      </c>
      <c r="C66" s="9" t="s">
        <v>271</v>
      </c>
      <c r="D66" s="9" t="s">
        <v>169</v>
      </c>
      <c r="E66" s="10">
        <v>1500</v>
      </c>
      <c r="F66" s="11">
        <v>7404.6075000000001</v>
      </c>
      <c r="G66" s="12">
        <v>2.0445970000000001E-2</v>
      </c>
      <c r="H66" s="11">
        <v>6.9150999999999998</v>
      </c>
    </row>
    <row r="67" spans="1:8" ht="17.100000000000001" customHeight="1" x14ac:dyDescent="0.2">
      <c r="A67" s="8">
        <v>6</v>
      </c>
      <c r="B67" s="9" t="s">
        <v>272</v>
      </c>
      <c r="C67" s="9" t="s">
        <v>273</v>
      </c>
      <c r="D67" s="9" t="s">
        <v>169</v>
      </c>
      <c r="E67" s="10">
        <v>1500</v>
      </c>
      <c r="F67" s="11">
        <v>7404.2550000000001</v>
      </c>
      <c r="G67" s="12">
        <v>2.044499E-2</v>
      </c>
      <c r="H67" s="11">
        <v>7.0449999999999999</v>
      </c>
    </row>
    <row r="68" spans="1:8" ht="17.100000000000001" customHeight="1" x14ac:dyDescent="0.2">
      <c r="A68" s="8">
        <v>7</v>
      </c>
      <c r="B68" s="9" t="s">
        <v>274</v>
      </c>
      <c r="C68" s="9" t="s">
        <v>472</v>
      </c>
      <c r="D68" s="9" t="s">
        <v>169</v>
      </c>
      <c r="E68" s="10">
        <v>1500</v>
      </c>
      <c r="F68" s="11">
        <v>7401.75</v>
      </c>
      <c r="G68" s="12">
        <v>2.0438080000000001E-2</v>
      </c>
      <c r="H68" s="11">
        <v>7.125</v>
      </c>
    </row>
    <row r="69" spans="1:8" ht="17.100000000000001" customHeight="1" x14ac:dyDescent="0.2">
      <c r="A69" s="8">
        <v>8</v>
      </c>
      <c r="B69" s="9" t="s">
        <v>275</v>
      </c>
      <c r="C69" s="9" t="s">
        <v>276</v>
      </c>
      <c r="D69" s="9" t="s">
        <v>169</v>
      </c>
      <c r="E69" s="10">
        <v>1500</v>
      </c>
      <c r="F69" s="11">
        <v>7397.2049999999999</v>
      </c>
      <c r="G69" s="12">
        <v>2.0425530000000001E-2</v>
      </c>
      <c r="H69" s="11">
        <v>7.0449999999999999</v>
      </c>
    </row>
    <row r="70" spans="1:8" ht="17.100000000000001" customHeight="1" x14ac:dyDescent="0.2">
      <c r="A70" s="8">
        <v>9</v>
      </c>
      <c r="B70" s="9" t="s">
        <v>277</v>
      </c>
      <c r="C70" s="9" t="s">
        <v>278</v>
      </c>
      <c r="D70" s="9" t="s">
        <v>169</v>
      </c>
      <c r="E70" s="10">
        <v>1500</v>
      </c>
      <c r="F70" s="11">
        <v>7396.5225</v>
      </c>
      <c r="G70" s="12">
        <v>2.042364E-2</v>
      </c>
      <c r="H70" s="11">
        <v>6.9950000000000001</v>
      </c>
    </row>
    <row r="71" spans="1:8" ht="17.100000000000001" customHeight="1" x14ac:dyDescent="0.2">
      <c r="A71" s="8">
        <v>10</v>
      </c>
      <c r="B71" s="9" t="s">
        <v>279</v>
      </c>
      <c r="C71" s="9" t="s">
        <v>486</v>
      </c>
      <c r="D71" s="9" t="s">
        <v>169</v>
      </c>
      <c r="E71" s="10">
        <v>1500</v>
      </c>
      <c r="F71" s="11">
        <v>7392.0974999999999</v>
      </c>
      <c r="G71" s="12">
        <v>2.041142E-2</v>
      </c>
      <c r="H71" s="11">
        <v>7.4</v>
      </c>
    </row>
    <row r="72" spans="1:8" ht="29.1" customHeight="1" x14ac:dyDescent="0.2">
      <c r="A72" s="8">
        <v>11</v>
      </c>
      <c r="B72" s="9" t="s">
        <v>280</v>
      </c>
      <c r="C72" s="9" t="s">
        <v>281</v>
      </c>
      <c r="D72" s="9" t="s">
        <v>166</v>
      </c>
      <c r="E72" s="10">
        <v>1500</v>
      </c>
      <c r="F72" s="11">
        <v>7383.42</v>
      </c>
      <c r="G72" s="12">
        <v>2.038746E-2</v>
      </c>
      <c r="H72" s="11">
        <v>7.1150000000000002</v>
      </c>
    </row>
    <row r="73" spans="1:8" ht="29.1" customHeight="1" x14ac:dyDescent="0.2">
      <c r="A73" s="8">
        <v>12</v>
      </c>
      <c r="B73" s="9" t="s">
        <v>282</v>
      </c>
      <c r="C73" s="9" t="s">
        <v>283</v>
      </c>
      <c r="D73" s="9" t="s">
        <v>169</v>
      </c>
      <c r="E73" s="10">
        <v>1500</v>
      </c>
      <c r="F73" s="11">
        <v>7378.335</v>
      </c>
      <c r="G73" s="12">
        <v>2.037342E-2</v>
      </c>
      <c r="H73" s="11">
        <v>7.34</v>
      </c>
    </row>
    <row r="74" spans="1:8" ht="29.1" customHeight="1" x14ac:dyDescent="0.2">
      <c r="A74" s="8">
        <v>13</v>
      </c>
      <c r="B74" s="9" t="s">
        <v>284</v>
      </c>
      <c r="C74" s="9" t="s">
        <v>285</v>
      </c>
      <c r="D74" s="9" t="s">
        <v>169</v>
      </c>
      <c r="E74" s="10">
        <v>1200</v>
      </c>
      <c r="F74" s="11">
        <v>5907.0780000000004</v>
      </c>
      <c r="G74" s="12">
        <v>1.6310910000000001E-2</v>
      </c>
      <c r="H74" s="11">
        <v>7.5549999999999997</v>
      </c>
    </row>
    <row r="75" spans="1:8" ht="29.1" customHeight="1" x14ac:dyDescent="0.2">
      <c r="A75" s="8">
        <v>14</v>
      </c>
      <c r="B75" s="9" t="s">
        <v>286</v>
      </c>
      <c r="C75" s="9" t="s">
        <v>481</v>
      </c>
      <c r="D75" s="9" t="s">
        <v>169</v>
      </c>
      <c r="E75" s="10">
        <v>1000</v>
      </c>
      <c r="F75" s="11">
        <v>4971.45</v>
      </c>
      <c r="G75" s="12">
        <v>1.3727410000000001E-2</v>
      </c>
      <c r="H75" s="11">
        <v>8.0625</v>
      </c>
    </row>
    <row r="76" spans="1:8" ht="29.1" customHeight="1" x14ac:dyDescent="0.2">
      <c r="A76" s="8">
        <v>15</v>
      </c>
      <c r="B76" s="9" t="s">
        <v>287</v>
      </c>
      <c r="C76" s="9" t="s">
        <v>288</v>
      </c>
      <c r="D76" s="9" t="s">
        <v>169</v>
      </c>
      <c r="E76" s="10">
        <v>1000</v>
      </c>
      <c r="F76" s="11">
        <v>4958.16</v>
      </c>
      <c r="G76" s="12">
        <v>1.369072E-2</v>
      </c>
      <c r="H76" s="11">
        <v>6.9997999999999996</v>
      </c>
    </row>
    <row r="77" spans="1:8" ht="29.1" customHeight="1" x14ac:dyDescent="0.2">
      <c r="A77" s="8">
        <v>16</v>
      </c>
      <c r="B77" s="9" t="s">
        <v>289</v>
      </c>
      <c r="C77" s="9" t="s">
        <v>290</v>
      </c>
      <c r="D77" s="9" t="s">
        <v>169</v>
      </c>
      <c r="E77" s="10">
        <v>1000</v>
      </c>
      <c r="F77" s="11">
        <v>4951.57</v>
      </c>
      <c r="G77" s="12">
        <v>1.3672520000000001E-2</v>
      </c>
      <c r="H77" s="11">
        <v>6.9999000000000002</v>
      </c>
    </row>
    <row r="78" spans="1:8" ht="29.1" customHeight="1" x14ac:dyDescent="0.2">
      <c r="A78" s="8">
        <v>17</v>
      </c>
      <c r="B78" s="9" t="s">
        <v>291</v>
      </c>
      <c r="C78" s="9" t="s">
        <v>292</v>
      </c>
      <c r="D78" s="9" t="s">
        <v>169</v>
      </c>
      <c r="E78" s="10">
        <v>1000</v>
      </c>
      <c r="F78" s="11">
        <v>4942.12</v>
      </c>
      <c r="G78" s="12">
        <v>1.3646429999999999E-2</v>
      </c>
      <c r="H78" s="11">
        <v>7.37</v>
      </c>
    </row>
    <row r="79" spans="1:8" ht="17.100000000000001" customHeight="1" x14ac:dyDescent="0.2">
      <c r="A79" s="8">
        <v>18</v>
      </c>
      <c r="B79" s="9" t="s">
        <v>293</v>
      </c>
      <c r="C79" s="9" t="s">
        <v>294</v>
      </c>
      <c r="D79" s="9" t="s">
        <v>166</v>
      </c>
      <c r="E79" s="10">
        <v>1000</v>
      </c>
      <c r="F79" s="11">
        <v>4937.7049999999999</v>
      </c>
      <c r="G79" s="12">
        <v>1.3634230000000001E-2</v>
      </c>
      <c r="H79" s="11">
        <v>7.0846</v>
      </c>
    </row>
    <row r="80" spans="1:8" ht="29.1" customHeight="1" x14ac:dyDescent="0.2">
      <c r="A80" s="8">
        <v>19</v>
      </c>
      <c r="B80" s="9" t="s">
        <v>295</v>
      </c>
      <c r="C80" s="9" t="s">
        <v>296</v>
      </c>
      <c r="D80" s="9" t="s">
        <v>166</v>
      </c>
      <c r="E80" s="10">
        <v>1000</v>
      </c>
      <c r="F80" s="11">
        <v>4937.6149999999998</v>
      </c>
      <c r="G80" s="12">
        <v>1.363399E-2</v>
      </c>
      <c r="H80" s="11">
        <v>7.0949999999999998</v>
      </c>
    </row>
    <row r="81" spans="1:8" ht="29.1" customHeight="1" x14ac:dyDescent="0.2">
      <c r="A81" s="8">
        <v>20</v>
      </c>
      <c r="B81" s="9" t="s">
        <v>297</v>
      </c>
      <c r="C81" s="9" t="s">
        <v>298</v>
      </c>
      <c r="D81" s="9" t="s">
        <v>169</v>
      </c>
      <c r="E81" s="10">
        <v>1000</v>
      </c>
      <c r="F81" s="11">
        <v>4937.415</v>
      </c>
      <c r="G81" s="12">
        <v>1.363343E-2</v>
      </c>
      <c r="H81" s="11">
        <v>7.0099</v>
      </c>
    </row>
    <row r="82" spans="1:8" ht="17.100000000000001" customHeight="1" x14ac:dyDescent="0.2">
      <c r="A82" s="8">
        <v>21</v>
      </c>
      <c r="B82" s="9" t="s">
        <v>299</v>
      </c>
      <c r="C82" s="9" t="s">
        <v>300</v>
      </c>
      <c r="D82" s="9" t="s">
        <v>166</v>
      </c>
      <c r="E82" s="10">
        <v>1000</v>
      </c>
      <c r="F82" s="11">
        <v>4935.08</v>
      </c>
      <c r="G82" s="12">
        <v>1.362699E-2</v>
      </c>
      <c r="H82" s="11">
        <v>7.2750000000000004</v>
      </c>
    </row>
    <row r="83" spans="1:8" ht="17.100000000000001" customHeight="1" x14ac:dyDescent="0.2">
      <c r="A83" s="8">
        <v>22</v>
      </c>
      <c r="B83" s="9" t="s">
        <v>301</v>
      </c>
      <c r="C83" s="9" t="s">
        <v>302</v>
      </c>
      <c r="D83" s="9" t="s">
        <v>169</v>
      </c>
      <c r="E83" s="10">
        <v>1000</v>
      </c>
      <c r="F83" s="11">
        <v>4929.1499999999996</v>
      </c>
      <c r="G83" s="12">
        <v>1.361061E-2</v>
      </c>
      <c r="H83" s="11">
        <v>7.0899000000000001</v>
      </c>
    </row>
    <row r="84" spans="1:8" ht="29.1" customHeight="1" x14ac:dyDescent="0.2">
      <c r="A84" s="8">
        <v>23</v>
      </c>
      <c r="B84" s="9" t="s">
        <v>303</v>
      </c>
      <c r="C84" s="9" t="s">
        <v>304</v>
      </c>
      <c r="D84" s="9" t="s">
        <v>169</v>
      </c>
      <c r="E84" s="10">
        <v>1000</v>
      </c>
      <c r="F84" s="11">
        <v>4928.07</v>
      </c>
      <c r="G84" s="12">
        <v>1.3607630000000001E-2</v>
      </c>
      <c r="H84" s="11">
        <v>7.0099</v>
      </c>
    </row>
    <row r="85" spans="1:8" ht="29.1" customHeight="1" x14ac:dyDescent="0.2">
      <c r="A85" s="8">
        <v>24</v>
      </c>
      <c r="B85" s="9" t="s">
        <v>305</v>
      </c>
      <c r="C85" s="9" t="s">
        <v>306</v>
      </c>
      <c r="D85" s="9" t="s">
        <v>169</v>
      </c>
      <c r="E85" s="10">
        <v>1000</v>
      </c>
      <c r="F85" s="11">
        <v>4927.18</v>
      </c>
      <c r="G85" s="12">
        <v>1.360517E-2</v>
      </c>
      <c r="H85" s="11">
        <v>7.3901000000000003</v>
      </c>
    </row>
    <row r="86" spans="1:8" ht="17.100000000000001" customHeight="1" x14ac:dyDescent="0.2">
      <c r="A86" s="8">
        <v>25</v>
      </c>
      <c r="B86" s="9" t="s">
        <v>307</v>
      </c>
      <c r="C86" s="9" t="s">
        <v>474</v>
      </c>
      <c r="D86" s="9" t="s">
        <v>169</v>
      </c>
      <c r="E86" s="10">
        <v>1000</v>
      </c>
      <c r="F86" s="11">
        <v>4923.3850000000002</v>
      </c>
      <c r="G86" s="12">
        <v>1.359469E-2</v>
      </c>
      <c r="H86" s="11">
        <v>7.1901000000000002</v>
      </c>
    </row>
    <row r="87" spans="1:8" ht="29.1" customHeight="1" x14ac:dyDescent="0.2">
      <c r="A87" s="8">
        <v>26</v>
      </c>
      <c r="B87" s="9" t="s">
        <v>308</v>
      </c>
      <c r="C87" s="9" t="s">
        <v>309</v>
      </c>
      <c r="D87" s="9" t="s">
        <v>169</v>
      </c>
      <c r="E87" s="10">
        <v>1000</v>
      </c>
      <c r="F87" s="11">
        <v>4919.54</v>
      </c>
      <c r="G87" s="12">
        <v>1.358408E-2</v>
      </c>
      <c r="H87" s="11">
        <v>7.37</v>
      </c>
    </row>
    <row r="88" spans="1:8" ht="29.1" customHeight="1" x14ac:dyDescent="0.2">
      <c r="A88" s="8">
        <v>27</v>
      </c>
      <c r="B88" s="9" t="s">
        <v>310</v>
      </c>
      <c r="C88" s="9" t="s">
        <v>311</v>
      </c>
      <c r="D88" s="9" t="s">
        <v>169</v>
      </c>
      <c r="E88" s="10">
        <v>500</v>
      </c>
      <c r="F88" s="11">
        <v>2493.8474999999999</v>
      </c>
      <c r="G88" s="12">
        <v>6.8861299999999999E-3</v>
      </c>
      <c r="H88" s="11">
        <v>7.5049999999999999</v>
      </c>
    </row>
    <row r="89" spans="1:8" ht="17.100000000000001" customHeight="1" x14ac:dyDescent="0.2">
      <c r="A89" s="8">
        <v>28</v>
      </c>
      <c r="B89" s="9" t="s">
        <v>312</v>
      </c>
      <c r="C89" s="9" t="s">
        <v>313</v>
      </c>
      <c r="D89" s="9" t="s">
        <v>169</v>
      </c>
      <c r="E89" s="10">
        <v>500</v>
      </c>
      <c r="F89" s="11">
        <v>2490.8825000000002</v>
      </c>
      <c r="G89" s="12">
        <v>6.8779499999999999E-3</v>
      </c>
      <c r="H89" s="11">
        <v>7.86</v>
      </c>
    </row>
    <row r="90" spans="1:8" ht="29.1" customHeight="1" x14ac:dyDescent="0.2">
      <c r="A90" s="8">
        <v>29</v>
      </c>
      <c r="B90" s="9" t="s">
        <v>314</v>
      </c>
      <c r="C90" s="9" t="s">
        <v>315</v>
      </c>
      <c r="D90" s="9" t="s">
        <v>169</v>
      </c>
      <c r="E90" s="10">
        <v>500</v>
      </c>
      <c r="F90" s="11">
        <v>2490.5225</v>
      </c>
      <c r="G90" s="12">
        <v>6.8769499999999997E-3</v>
      </c>
      <c r="H90" s="11">
        <v>7.3101000000000003</v>
      </c>
    </row>
    <row r="91" spans="1:8" ht="29.1" customHeight="1" x14ac:dyDescent="0.2">
      <c r="A91" s="8">
        <v>30</v>
      </c>
      <c r="B91" s="9" t="s">
        <v>316</v>
      </c>
      <c r="C91" s="9" t="s">
        <v>482</v>
      </c>
      <c r="D91" s="9" t="s">
        <v>169</v>
      </c>
      <c r="E91" s="10">
        <v>500</v>
      </c>
      <c r="F91" s="11">
        <v>2464.3975</v>
      </c>
      <c r="G91" s="12">
        <v>6.8048199999999996E-3</v>
      </c>
      <c r="H91" s="11">
        <v>8.1125000000000007</v>
      </c>
    </row>
    <row r="92" spans="1:8" ht="14.1" customHeight="1" x14ac:dyDescent="0.2">
      <c r="A92" s="1"/>
      <c r="B92" s="1"/>
      <c r="C92" s="2" t="s">
        <v>11</v>
      </c>
      <c r="D92" s="1"/>
      <c r="E92" s="1" t="s">
        <v>12</v>
      </c>
      <c r="F92" s="7">
        <v>183684.28049999999</v>
      </c>
      <c r="G92" s="4">
        <v>0.50719808</v>
      </c>
      <c r="H92" s="11"/>
    </row>
    <row r="93" spans="1:8" ht="14.1" customHeight="1" x14ac:dyDescent="0.2">
      <c r="A93" s="1"/>
      <c r="B93" s="1"/>
      <c r="C93" s="5"/>
      <c r="D93" s="1"/>
      <c r="E93" s="1"/>
      <c r="F93" s="6"/>
      <c r="G93" s="6"/>
      <c r="H93" s="11"/>
    </row>
    <row r="94" spans="1:8" ht="14.1" customHeight="1" x14ac:dyDescent="0.2">
      <c r="A94" s="1"/>
      <c r="B94" s="1"/>
      <c r="C94" s="2" t="s">
        <v>95</v>
      </c>
      <c r="D94" s="1"/>
      <c r="E94" s="1"/>
      <c r="F94" s="6"/>
      <c r="G94" s="6"/>
      <c r="H94" s="11"/>
    </row>
    <row r="95" spans="1:8" ht="17.100000000000001" customHeight="1" x14ac:dyDescent="0.2">
      <c r="A95" s="8">
        <v>1</v>
      </c>
      <c r="B95" s="9" t="s">
        <v>317</v>
      </c>
      <c r="C95" s="9" t="s">
        <v>491</v>
      </c>
      <c r="D95" s="9" t="s">
        <v>81</v>
      </c>
      <c r="E95" s="10">
        <v>15000000</v>
      </c>
      <c r="F95" s="11">
        <v>14909.1</v>
      </c>
      <c r="G95" s="12">
        <v>4.1167740000000001E-2</v>
      </c>
      <c r="H95" s="11">
        <v>6.7441000000000004</v>
      </c>
    </row>
    <row r="96" spans="1:8" ht="17.100000000000001" customHeight="1" x14ac:dyDescent="0.2">
      <c r="A96" s="8">
        <v>2</v>
      </c>
      <c r="B96" s="9" t="s">
        <v>318</v>
      </c>
      <c r="C96" s="9" t="s">
        <v>319</v>
      </c>
      <c r="D96" s="9" t="s">
        <v>81</v>
      </c>
      <c r="E96" s="10">
        <v>10000000</v>
      </c>
      <c r="F96" s="11">
        <v>9965.76</v>
      </c>
      <c r="G96" s="12">
        <v>2.7517949999999999E-2</v>
      </c>
      <c r="H96" s="11">
        <v>6.6</v>
      </c>
    </row>
    <row r="97" spans="1:8" ht="17.100000000000001" customHeight="1" x14ac:dyDescent="0.2">
      <c r="A97" s="8">
        <v>3</v>
      </c>
      <c r="B97" s="9" t="s">
        <v>320</v>
      </c>
      <c r="C97" s="9" t="s">
        <v>321</v>
      </c>
      <c r="D97" s="9" t="s">
        <v>81</v>
      </c>
      <c r="E97" s="10">
        <v>10000000</v>
      </c>
      <c r="F97" s="11">
        <v>9951.43</v>
      </c>
      <c r="G97" s="12">
        <v>2.747838E-2</v>
      </c>
      <c r="H97" s="11">
        <v>6.5979999999999999</v>
      </c>
    </row>
    <row r="98" spans="1:8" ht="17.100000000000001" customHeight="1" x14ac:dyDescent="0.2">
      <c r="A98" s="8">
        <v>4</v>
      </c>
      <c r="B98" s="9" t="s">
        <v>322</v>
      </c>
      <c r="C98" s="9" t="s">
        <v>495</v>
      </c>
      <c r="D98" s="9" t="s">
        <v>81</v>
      </c>
      <c r="E98" s="10">
        <v>10000000</v>
      </c>
      <c r="F98" s="11">
        <v>9939.4</v>
      </c>
      <c r="G98" s="12">
        <v>2.744516E-2</v>
      </c>
      <c r="H98" s="11">
        <v>6.7441000000000004</v>
      </c>
    </row>
    <row r="99" spans="1:8" ht="17.100000000000001" customHeight="1" x14ac:dyDescent="0.2">
      <c r="A99" s="8">
        <v>5</v>
      </c>
      <c r="B99" s="9" t="s">
        <v>323</v>
      </c>
      <c r="C99" s="9" t="s">
        <v>490</v>
      </c>
      <c r="D99" s="9" t="s">
        <v>81</v>
      </c>
      <c r="E99" s="10">
        <v>7500000</v>
      </c>
      <c r="F99" s="11">
        <v>7474.3725000000004</v>
      </c>
      <c r="G99" s="12">
        <v>2.0638610000000002E-2</v>
      </c>
      <c r="H99" s="11">
        <v>6.5873999999999997</v>
      </c>
    </row>
    <row r="100" spans="1:8" ht="17.100000000000001" customHeight="1" x14ac:dyDescent="0.2">
      <c r="A100" s="8">
        <v>6</v>
      </c>
      <c r="B100" s="9" t="s">
        <v>324</v>
      </c>
      <c r="C100" s="9" t="s">
        <v>488</v>
      </c>
      <c r="D100" s="9" t="s">
        <v>81</v>
      </c>
      <c r="E100" s="10">
        <v>7500000</v>
      </c>
      <c r="F100" s="11">
        <v>7445.1225000000004</v>
      </c>
      <c r="G100" s="12">
        <v>2.0557840000000001E-2</v>
      </c>
      <c r="H100" s="11">
        <v>6.7260999999999997</v>
      </c>
    </row>
    <row r="101" spans="1:8" ht="17.100000000000001" customHeight="1" x14ac:dyDescent="0.2">
      <c r="A101" s="8">
        <v>7</v>
      </c>
      <c r="B101" s="9" t="s">
        <v>325</v>
      </c>
      <c r="C101" s="9" t="s">
        <v>489</v>
      </c>
      <c r="D101" s="9" t="s">
        <v>81</v>
      </c>
      <c r="E101" s="10">
        <v>500000</v>
      </c>
      <c r="F101" s="11">
        <v>497.66</v>
      </c>
      <c r="G101" s="12">
        <v>1.3741599999999999E-3</v>
      </c>
      <c r="H101" s="11">
        <v>6.6013999999999999</v>
      </c>
    </row>
    <row r="102" spans="1:8" ht="14.1" customHeight="1" x14ac:dyDescent="0.2">
      <c r="A102" s="1"/>
      <c r="B102" s="1"/>
      <c r="C102" s="2" t="s">
        <v>11</v>
      </c>
      <c r="D102" s="1"/>
      <c r="E102" s="1" t="s">
        <v>12</v>
      </c>
      <c r="F102" s="7">
        <v>60182.845000000001</v>
      </c>
      <c r="G102" s="4">
        <v>0.16617984</v>
      </c>
      <c r="H102" s="11"/>
    </row>
    <row r="103" spans="1:8" ht="14.1" customHeight="1" x14ac:dyDescent="0.2">
      <c r="A103" s="1"/>
      <c r="B103" s="1"/>
      <c r="C103" s="5"/>
      <c r="D103" s="1"/>
      <c r="E103" s="1"/>
      <c r="F103" s="6"/>
      <c r="G103" s="6"/>
      <c r="H103" s="11"/>
    </row>
    <row r="104" spans="1:8" ht="14.1" customHeight="1" x14ac:dyDescent="0.2">
      <c r="A104" s="1"/>
      <c r="B104" s="1"/>
      <c r="C104" s="2" t="s">
        <v>96</v>
      </c>
      <c r="D104" s="1"/>
      <c r="E104" s="1"/>
      <c r="F104" s="6"/>
      <c r="G104" s="6"/>
      <c r="H104" s="11"/>
    </row>
    <row r="105" spans="1:8" ht="17.100000000000001" customHeight="1" x14ac:dyDescent="0.2">
      <c r="A105" s="8">
        <v>1</v>
      </c>
      <c r="B105" s="9"/>
      <c r="C105" s="9" t="s">
        <v>97</v>
      </c>
      <c r="D105" s="9"/>
      <c r="E105" s="13"/>
      <c r="F105" s="11">
        <v>11999.535810062</v>
      </c>
      <c r="G105" s="12">
        <v>3.3133709999999997E-2</v>
      </c>
      <c r="H105" s="11">
        <v>6.7573016869821334</v>
      </c>
    </row>
    <row r="106" spans="1:8" ht="17.100000000000001" customHeight="1" x14ac:dyDescent="0.2">
      <c r="A106" s="8">
        <v>2</v>
      </c>
      <c r="B106" s="9"/>
      <c r="C106" s="9" t="s">
        <v>98</v>
      </c>
      <c r="D106" s="9"/>
      <c r="E106" s="13"/>
      <c r="F106" s="11">
        <v>9830.2042674000004</v>
      </c>
      <c r="G106" s="12">
        <v>2.714364E-2</v>
      </c>
      <c r="H106" s="11">
        <v>6.796603293503404</v>
      </c>
    </row>
    <row r="107" spans="1:8" ht="14.1" customHeight="1" x14ac:dyDescent="0.2">
      <c r="A107" s="1"/>
      <c r="B107" s="1"/>
      <c r="C107" s="2" t="s">
        <v>11</v>
      </c>
      <c r="D107" s="1"/>
      <c r="E107" s="1" t="s">
        <v>12</v>
      </c>
      <c r="F107" s="7">
        <v>21829.740077462</v>
      </c>
      <c r="G107" s="4">
        <v>6.027735E-2</v>
      </c>
      <c r="H107" s="11"/>
    </row>
    <row r="108" spans="1:8" ht="14.1" customHeight="1" x14ac:dyDescent="0.2">
      <c r="A108" s="1"/>
      <c r="B108" s="1"/>
      <c r="C108" s="5"/>
      <c r="D108" s="1"/>
      <c r="E108" s="1"/>
      <c r="F108" s="6"/>
      <c r="G108" s="6"/>
      <c r="H108" s="11"/>
    </row>
    <row r="109" spans="1:8" ht="14.1" customHeight="1" x14ac:dyDescent="0.2">
      <c r="A109" s="1"/>
      <c r="B109" s="1"/>
      <c r="C109" s="2" t="s">
        <v>99</v>
      </c>
      <c r="D109" s="1"/>
      <c r="E109" s="1"/>
      <c r="F109" s="7">
        <v>362104.543077462</v>
      </c>
      <c r="G109" s="4">
        <v>0.99986090000000005</v>
      </c>
      <c r="H109" s="11"/>
    </row>
    <row r="110" spans="1:8" ht="14.1" customHeight="1" x14ac:dyDescent="0.2">
      <c r="A110" s="1"/>
      <c r="B110" s="1"/>
      <c r="C110" s="6"/>
      <c r="D110" s="1"/>
      <c r="E110" s="1"/>
      <c r="F110" s="1"/>
      <c r="G110" s="1"/>
      <c r="H110" s="11"/>
    </row>
    <row r="111" spans="1:8" ht="14.1" customHeight="1" x14ac:dyDescent="0.2">
      <c r="A111" s="1"/>
      <c r="B111" s="1"/>
      <c r="C111" s="2" t="s">
        <v>100</v>
      </c>
      <c r="D111" s="1"/>
      <c r="E111" s="1"/>
      <c r="F111" s="1"/>
      <c r="G111" s="1"/>
      <c r="H111" s="11"/>
    </row>
    <row r="112" spans="1:8" ht="14.1" customHeight="1" x14ac:dyDescent="0.2">
      <c r="A112" s="1"/>
      <c r="B112" s="1"/>
      <c r="C112" s="2" t="s">
        <v>101</v>
      </c>
      <c r="D112" s="1"/>
      <c r="E112" s="1"/>
      <c r="F112" s="1"/>
      <c r="G112" s="1"/>
      <c r="H112" s="11"/>
    </row>
    <row r="113" spans="1:8" ht="14.1" customHeight="1" x14ac:dyDescent="0.2">
      <c r="A113" s="1"/>
      <c r="B113" s="1"/>
      <c r="C113" s="2" t="s">
        <v>11</v>
      </c>
      <c r="D113" s="1"/>
      <c r="E113" s="1" t="s">
        <v>12</v>
      </c>
      <c r="F113" s="3" t="s">
        <v>13</v>
      </c>
      <c r="G113" s="4">
        <v>0</v>
      </c>
      <c r="H113" s="11"/>
    </row>
    <row r="114" spans="1:8" ht="14.1" customHeight="1" x14ac:dyDescent="0.2">
      <c r="A114" s="1"/>
      <c r="B114" s="1"/>
      <c r="C114" s="5"/>
      <c r="D114" s="1"/>
      <c r="E114" s="1"/>
      <c r="F114" s="6"/>
      <c r="G114" s="6"/>
      <c r="H114" s="11"/>
    </row>
    <row r="115" spans="1:8" ht="14.1" customHeight="1" x14ac:dyDescent="0.2">
      <c r="A115" s="1"/>
      <c r="B115" s="1"/>
      <c r="C115" s="2" t="s">
        <v>102</v>
      </c>
      <c r="D115" s="1"/>
      <c r="E115" s="1"/>
      <c r="F115" s="1"/>
      <c r="G115" s="1"/>
      <c r="H115" s="11"/>
    </row>
    <row r="116" spans="1:8" ht="14.1" customHeight="1" x14ac:dyDescent="0.2">
      <c r="A116" s="1"/>
      <c r="B116" s="1"/>
      <c r="C116" s="2" t="s">
        <v>103</v>
      </c>
      <c r="D116" s="1"/>
      <c r="E116" s="1"/>
      <c r="F116" s="1"/>
      <c r="G116" s="1"/>
      <c r="H116" s="11"/>
    </row>
    <row r="117" spans="1:8" ht="14.1" customHeight="1" x14ac:dyDescent="0.2">
      <c r="A117" s="1"/>
      <c r="B117" s="1"/>
      <c r="C117" s="2" t="s">
        <v>11</v>
      </c>
      <c r="D117" s="1"/>
      <c r="E117" s="1" t="s">
        <v>12</v>
      </c>
      <c r="F117" s="3" t="s">
        <v>13</v>
      </c>
      <c r="G117" s="4">
        <v>0</v>
      </c>
      <c r="H117" s="11"/>
    </row>
    <row r="118" spans="1:8" ht="14.1" customHeight="1" x14ac:dyDescent="0.2">
      <c r="A118" s="1"/>
      <c r="B118" s="1"/>
      <c r="C118" s="5"/>
      <c r="D118" s="1"/>
      <c r="E118" s="1"/>
      <c r="F118" s="6"/>
      <c r="G118" s="6"/>
      <c r="H118" s="11"/>
    </row>
    <row r="119" spans="1:8" ht="24" customHeight="1" x14ac:dyDescent="0.2">
      <c r="A119" s="1"/>
      <c r="B119" s="1"/>
      <c r="C119" s="2" t="s">
        <v>104</v>
      </c>
      <c r="D119" s="1"/>
      <c r="E119" s="1"/>
      <c r="F119" s="6"/>
      <c r="G119" s="6"/>
      <c r="H119" s="11"/>
    </row>
    <row r="120" spans="1:8" ht="14.1" customHeight="1" x14ac:dyDescent="0.2">
      <c r="A120" s="1"/>
      <c r="B120" s="1"/>
      <c r="C120" s="2" t="s">
        <v>11</v>
      </c>
      <c r="D120" s="1"/>
      <c r="E120" s="1" t="s">
        <v>12</v>
      </c>
      <c r="F120" s="3" t="s">
        <v>13</v>
      </c>
      <c r="G120" s="4">
        <v>0</v>
      </c>
      <c r="H120" s="11"/>
    </row>
    <row r="121" spans="1:8" ht="14.1" customHeight="1" x14ac:dyDescent="0.2">
      <c r="A121" s="1"/>
      <c r="B121" s="1"/>
      <c r="C121" s="5"/>
      <c r="D121" s="1"/>
      <c r="E121" s="1"/>
      <c r="F121" s="6"/>
      <c r="G121" s="6"/>
      <c r="H121" s="11"/>
    </row>
    <row r="122" spans="1:8" ht="14.1" customHeight="1" x14ac:dyDescent="0.2">
      <c r="A122" s="1"/>
      <c r="B122" s="9"/>
      <c r="C122" s="9"/>
      <c r="D122" s="2"/>
      <c r="E122" s="1"/>
      <c r="F122" s="9"/>
      <c r="G122" s="13"/>
      <c r="H122" s="11"/>
    </row>
    <row r="123" spans="1:8" ht="18" customHeight="1" x14ac:dyDescent="0.2">
      <c r="A123" s="13"/>
      <c r="B123" s="9"/>
      <c r="C123" s="9" t="s">
        <v>105</v>
      </c>
      <c r="D123" s="9"/>
      <c r="E123" s="13"/>
      <c r="F123" s="11">
        <v>50.384143357978289</v>
      </c>
      <c r="G123" s="12">
        <v>1.391231751135533E-4</v>
      </c>
      <c r="H123" s="11"/>
    </row>
    <row r="124" spans="1:8" ht="14.1" customHeight="1" x14ac:dyDescent="0.2">
      <c r="A124" s="5"/>
      <c r="B124" s="5"/>
      <c r="C124" s="2" t="s">
        <v>497</v>
      </c>
      <c r="D124" s="6"/>
      <c r="E124" s="6"/>
      <c r="F124" s="7">
        <v>362154.92722081998</v>
      </c>
      <c r="G124" s="14">
        <v>1.00000003</v>
      </c>
      <c r="H124" s="11"/>
    </row>
    <row r="125" spans="1:8" ht="14.1" customHeight="1" x14ac:dyDescent="0.2">
      <c r="A125" s="15"/>
      <c r="B125" s="15"/>
      <c r="C125" s="15"/>
      <c r="D125" s="16"/>
      <c r="E125" s="16"/>
      <c r="F125" s="16"/>
      <c r="G125" s="16"/>
    </row>
    <row r="126" spans="1:8" ht="17.100000000000001" customHeight="1" x14ac:dyDescent="0.2">
      <c r="A126" s="17"/>
      <c r="B126" s="121" t="s">
        <v>107</v>
      </c>
      <c r="C126" s="121"/>
      <c r="D126" s="121"/>
      <c r="E126" s="121"/>
      <c r="F126" s="121"/>
      <c r="G126" s="19"/>
    </row>
    <row r="127" spans="1:8" ht="17.100000000000001" customHeight="1" x14ac:dyDescent="0.2">
      <c r="A127" s="17"/>
      <c r="B127" s="121" t="s">
        <v>108</v>
      </c>
      <c r="C127" s="121"/>
      <c r="D127" s="121"/>
      <c r="E127" s="121"/>
      <c r="F127" s="121"/>
      <c r="G127" s="19"/>
    </row>
    <row r="128" spans="1:8" ht="14.1" customHeight="1" x14ac:dyDescent="0.2">
      <c r="A128" s="17"/>
      <c r="B128" s="133" t="s">
        <v>498</v>
      </c>
      <c r="C128" s="134"/>
      <c r="D128" s="134"/>
      <c r="E128" s="134"/>
      <c r="F128" s="134"/>
      <c r="G128" s="19"/>
    </row>
    <row r="129" spans="1:7" ht="14.1" customHeight="1" x14ac:dyDescent="0.2">
      <c r="A129" s="17"/>
      <c r="B129" s="17"/>
      <c r="C129" s="17"/>
      <c r="D129" s="19"/>
      <c r="E129" s="19"/>
      <c r="F129" s="19"/>
      <c r="G129" s="19"/>
    </row>
    <row r="130" spans="1:7" ht="14.1" customHeight="1" x14ac:dyDescent="0.2">
      <c r="A130" s="17"/>
      <c r="B130" s="122" t="s">
        <v>109</v>
      </c>
      <c r="C130" s="123"/>
      <c r="D130" s="124"/>
      <c r="E130" s="20"/>
      <c r="F130" s="19"/>
      <c r="G130" s="19"/>
    </row>
    <row r="131" spans="1:7" ht="29.1" customHeight="1" x14ac:dyDescent="0.2">
      <c r="A131" s="17"/>
      <c r="B131" s="114" t="s">
        <v>110</v>
      </c>
      <c r="C131" s="115"/>
      <c r="D131" s="2" t="s">
        <v>565</v>
      </c>
      <c r="E131" s="20"/>
      <c r="F131" s="19"/>
      <c r="G131" s="19"/>
    </row>
    <row r="132" spans="1:7" ht="17.100000000000001" customHeight="1" x14ac:dyDescent="0.2">
      <c r="A132" s="17"/>
      <c r="B132" s="114" t="s">
        <v>112</v>
      </c>
      <c r="C132" s="115"/>
      <c r="D132" s="2" t="s">
        <v>111</v>
      </c>
      <c r="E132" s="20"/>
      <c r="F132" s="19"/>
      <c r="G132" s="19"/>
    </row>
    <row r="133" spans="1:7" ht="17.100000000000001" customHeight="1" x14ac:dyDescent="0.2">
      <c r="A133" s="17"/>
      <c r="B133" s="114" t="s">
        <v>113</v>
      </c>
      <c r="C133" s="115"/>
      <c r="D133" s="6" t="s">
        <v>12</v>
      </c>
      <c r="E133" s="20"/>
      <c r="F133" s="19"/>
      <c r="G133" s="19"/>
    </row>
    <row r="134" spans="1:7" ht="24" customHeight="1" x14ac:dyDescent="0.2">
      <c r="A134" s="21"/>
      <c r="B134" s="22" t="s">
        <v>12</v>
      </c>
      <c r="C134" s="22" t="s">
        <v>114</v>
      </c>
      <c r="D134" s="22" t="s">
        <v>115</v>
      </c>
      <c r="E134" s="21"/>
      <c r="F134" s="21"/>
      <c r="G134" s="21"/>
    </row>
    <row r="135" spans="1:7" ht="18" customHeight="1" x14ac:dyDescent="0.2">
      <c r="A135" s="21"/>
      <c r="B135" s="23" t="s">
        <v>116</v>
      </c>
      <c r="C135" s="22" t="s">
        <v>590</v>
      </c>
      <c r="D135" s="22" t="s">
        <v>117</v>
      </c>
      <c r="E135" s="21"/>
      <c r="F135" s="21"/>
      <c r="G135" s="21"/>
    </row>
    <row r="136" spans="1:7" ht="17.100000000000001" customHeight="1" x14ac:dyDescent="0.2">
      <c r="A136" s="21"/>
      <c r="B136" s="9" t="s">
        <v>118</v>
      </c>
      <c r="C136" s="24">
        <v>2016.5159000000001</v>
      </c>
      <c r="D136" s="24">
        <v>2021.9929999999999</v>
      </c>
      <c r="E136" s="21"/>
      <c r="F136" s="18"/>
      <c r="G136" s="25"/>
    </row>
    <row r="137" spans="1:7" ht="17.100000000000001" customHeight="1" x14ac:dyDescent="0.2">
      <c r="A137" s="21"/>
      <c r="B137" s="9" t="s">
        <v>161</v>
      </c>
      <c r="C137" s="24">
        <v>1108.9039</v>
      </c>
      <c r="D137" s="24">
        <v>1111.9159999999999</v>
      </c>
      <c r="E137" s="21"/>
      <c r="F137" s="18"/>
      <c r="G137" s="25"/>
    </row>
    <row r="138" spans="1:7" ht="29.1" customHeight="1" x14ac:dyDescent="0.2">
      <c r="A138" s="21"/>
      <c r="B138" s="9" t="s">
        <v>577</v>
      </c>
      <c r="C138" s="24">
        <v>1000.6367</v>
      </c>
      <c r="D138" s="24">
        <v>1000.6367</v>
      </c>
      <c r="E138" s="21"/>
      <c r="F138" s="18"/>
      <c r="G138" s="25"/>
    </row>
    <row r="139" spans="1:7" ht="29.1" customHeight="1" x14ac:dyDescent="0.2">
      <c r="A139" s="21"/>
      <c r="B139" s="9" t="s">
        <v>578</v>
      </c>
      <c r="C139" s="24">
        <v>1008.144</v>
      </c>
      <c r="D139" s="24">
        <v>1008.2576</v>
      </c>
      <c r="E139" s="21"/>
      <c r="F139" s="18"/>
      <c r="G139" s="25"/>
    </row>
    <row r="140" spans="1:7" ht="29.1" customHeight="1" x14ac:dyDescent="0.2">
      <c r="A140" s="21"/>
      <c r="B140" s="9" t="s">
        <v>582</v>
      </c>
      <c r="C140" s="24">
        <v>1025.3044</v>
      </c>
      <c r="D140" s="24">
        <v>1028.0888</v>
      </c>
      <c r="E140" s="21"/>
      <c r="F140" s="18"/>
      <c r="G140" s="25"/>
    </row>
    <row r="141" spans="1:7" ht="29.1" customHeight="1" x14ac:dyDescent="0.2">
      <c r="A141" s="21"/>
      <c r="B141" s="9" t="s">
        <v>568</v>
      </c>
      <c r="C141" s="24">
        <v>1029.6865</v>
      </c>
      <c r="D141" s="24">
        <v>1026.7665999999999</v>
      </c>
      <c r="E141" s="21"/>
      <c r="F141" s="18"/>
      <c r="G141" s="25"/>
    </row>
    <row r="142" spans="1:7" ht="29.1" customHeight="1" x14ac:dyDescent="0.2">
      <c r="A142" s="21"/>
      <c r="B142" s="9" t="s">
        <v>569</v>
      </c>
      <c r="C142" s="24">
        <v>1069.6402</v>
      </c>
      <c r="D142" s="24">
        <v>1065.0418999999999</v>
      </c>
      <c r="E142" s="21"/>
      <c r="F142" s="18"/>
      <c r="G142" s="25"/>
    </row>
    <row r="143" spans="1:7" ht="17.100000000000001" customHeight="1" x14ac:dyDescent="0.2">
      <c r="A143" s="21"/>
      <c r="B143" s="9" t="s">
        <v>119</v>
      </c>
      <c r="C143" s="24">
        <v>1999.7671</v>
      </c>
      <c r="D143" s="24">
        <v>2005.1</v>
      </c>
      <c r="E143" s="21"/>
      <c r="F143" s="18"/>
      <c r="G143" s="25"/>
    </row>
    <row r="144" spans="1:7" ht="17.100000000000001" customHeight="1" x14ac:dyDescent="0.2">
      <c r="A144" s="21"/>
      <c r="B144" s="9" t="s">
        <v>163</v>
      </c>
      <c r="C144" s="24">
        <v>1106.9326000000001</v>
      </c>
      <c r="D144" s="24">
        <v>1109.8846000000001</v>
      </c>
      <c r="E144" s="21"/>
      <c r="F144" s="18"/>
      <c r="G144" s="25"/>
    </row>
    <row r="145" spans="1:14" ht="29.1" customHeight="1" x14ac:dyDescent="0.2">
      <c r="A145" s="21"/>
      <c r="B145" s="9" t="s">
        <v>580</v>
      </c>
      <c r="C145" s="24">
        <v>1000.8893</v>
      </c>
      <c r="D145" s="24">
        <v>1000.8893</v>
      </c>
      <c r="E145" s="21"/>
      <c r="F145" s="18"/>
      <c r="G145" s="25"/>
    </row>
    <row r="146" spans="1:14" ht="29.1" customHeight="1" x14ac:dyDescent="0.2">
      <c r="A146" s="21"/>
      <c r="B146" s="9" t="s">
        <v>581</v>
      </c>
      <c r="C146" s="24">
        <v>1007.6652</v>
      </c>
      <c r="D146" s="24">
        <v>1007.7745</v>
      </c>
      <c r="E146" s="21"/>
      <c r="F146" s="18"/>
      <c r="G146" s="25"/>
    </row>
    <row r="147" spans="1:14" ht="29.1" customHeight="1" x14ac:dyDescent="0.2">
      <c r="A147" s="21"/>
      <c r="B147" s="9" t="s">
        <v>583</v>
      </c>
      <c r="C147" s="24">
        <v>1025.2348999999999</v>
      </c>
      <c r="D147" s="24">
        <v>1027.9691</v>
      </c>
      <c r="E147" s="21"/>
      <c r="F147" s="18"/>
      <c r="G147" s="25"/>
    </row>
    <row r="148" spans="1:14" ht="29.1" customHeight="1" x14ac:dyDescent="0.2">
      <c r="A148" s="21"/>
      <c r="B148" s="9" t="s">
        <v>572</v>
      </c>
      <c r="C148" s="24">
        <v>1029.5326</v>
      </c>
      <c r="D148" s="24">
        <v>1026.6642999999999</v>
      </c>
      <c r="E148" s="21"/>
      <c r="F148" s="18"/>
      <c r="G148" s="25"/>
    </row>
    <row r="149" spans="1:14" ht="29.1" customHeight="1" x14ac:dyDescent="0.2">
      <c r="A149" s="21"/>
      <c r="B149" s="9" t="s">
        <v>573</v>
      </c>
      <c r="C149" s="24">
        <v>1067.7149999999999</v>
      </c>
      <c r="D149" s="24">
        <v>1063.0598</v>
      </c>
      <c r="E149" s="21"/>
      <c r="F149" s="18"/>
      <c r="G149" s="25"/>
    </row>
    <row r="150" spans="1:14" ht="14.1" customHeight="1" x14ac:dyDescent="0.2">
      <c r="A150" s="21"/>
      <c r="B150" s="21"/>
      <c r="C150" s="21"/>
      <c r="D150" s="21"/>
      <c r="E150" s="21"/>
      <c r="F150" s="21"/>
      <c r="G150" s="21"/>
    </row>
    <row r="151" spans="1:14" ht="17.100000000000001" customHeight="1" x14ac:dyDescent="0.2">
      <c r="A151" s="21"/>
      <c r="B151" s="114" t="s">
        <v>576</v>
      </c>
      <c r="C151" s="115"/>
      <c r="D151" s="2" t="s">
        <v>12</v>
      </c>
      <c r="E151" s="21"/>
      <c r="F151" s="21"/>
      <c r="G151" s="21"/>
    </row>
    <row r="152" spans="1:14" ht="18" customHeight="1" x14ac:dyDescent="0.2">
      <c r="A152" s="21"/>
      <c r="B152" s="26" t="s">
        <v>116</v>
      </c>
      <c r="C152" s="27" t="s">
        <v>120</v>
      </c>
      <c r="D152" s="27" t="s">
        <v>121</v>
      </c>
      <c r="E152" s="21"/>
      <c r="F152" s="21"/>
      <c r="G152" s="21"/>
      <c r="I152" s="40"/>
      <c r="J152"/>
      <c r="K152"/>
      <c r="L152"/>
      <c r="M152"/>
      <c r="N152"/>
    </row>
    <row r="153" spans="1:14" ht="29.1" customHeight="1" x14ac:dyDescent="0.2">
      <c r="A153" s="21"/>
      <c r="B153" s="9" t="s">
        <v>577</v>
      </c>
      <c r="C153" s="95">
        <v>2.7206049999999999</v>
      </c>
      <c r="D153" s="95">
        <v>2.7206049999999999</v>
      </c>
      <c r="E153" s="21"/>
      <c r="F153" s="18"/>
      <c r="G153" s="25"/>
    </row>
    <row r="154" spans="1:14" ht="29.1" customHeight="1" x14ac:dyDescent="0.2">
      <c r="A154" s="21"/>
      <c r="B154" s="9" t="s">
        <v>578</v>
      </c>
      <c r="C154" s="95">
        <v>3.8445999999999998</v>
      </c>
      <c r="D154" s="96" t="s">
        <v>122</v>
      </c>
      <c r="E154" s="21"/>
      <c r="F154" s="18"/>
      <c r="G154" s="25"/>
    </row>
    <row r="155" spans="1:14" ht="29.1" customHeight="1" x14ac:dyDescent="0.2">
      <c r="A155" s="21"/>
      <c r="B155" s="9" t="s">
        <v>582</v>
      </c>
      <c r="C155" s="95">
        <v>3.9108000000000001</v>
      </c>
      <c r="D155" s="96" t="s">
        <v>122</v>
      </c>
      <c r="E155" s="21"/>
      <c r="F155" s="18"/>
      <c r="G155" s="25"/>
    </row>
    <row r="156" spans="1:14" ht="29.1" customHeight="1" x14ac:dyDescent="0.2">
      <c r="A156" s="21"/>
      <c r="B156" s="9" t="s">
        <v>568</v>
      </c>
      <c r="C156" s="95">
        <v>5.7030000000000003</v>
      </c>
      <c r="D156" s="96" t="s">
        <v>122</v>
      </c>
      <c r="E156" s="21"/>
      <c r="F156" s="18"/>
      <c r="G156" s="25"/>
    </row>
    <row r="157" spans="1:14" ht="29.1" customHeight="1" x14ac:dyDescent="0.2">
      <c r="A157" s="21"/>
      <c r="B157" s="9" t="s">
        <v>569</v>
      </c>
      <c r="C157" s="95">
        <v>7.5</v>
      </c>
      <c r="D157" s="96" t="s">
        <v>122</v>
      </c>
      <c r="E157" s="21"/>
      <c r="F157" s="18"/>
      <c r="G157" s="25"/>
    </row>
    <row r="158" spans="1:14" ht="29.1" customHeight="1" x14ac:dyDescent="0.2">
      <c r="A158" s="21"/>
      <c r="B158" s="9" t="s">
        <v>580</v>
      </c>
      <c r="C158" s="95">
        <v>2.665794</v>
      </c>
      <c r="D158" s="95">
        <v>2.665794</v>
      </c>
      <c r="E158" s="21"/>
      <c r="F158" s="18"/>
      <c r="G158" s="25"/>
    </row>
    <row r="159" spans="1:14" ht="29.1" customHeight="1" x14ac:dyDescent="0.2">
      <c r="A159" s="21"/>
      <c r="B159" s="9" t="s">
        <v>581</v>
      </c>
      <c r="C159" s="95">
        <v>3.7746</v>
      </c>
      <c r="D159" s="95">
        <v>3.7746</v>
      </c>
      <c r="E159" s="21"/>
      <c r="F159" s="18"/>
      <c r="G159" s="25"/>
    </row>
    <row r="160" spans="1:14" ht="29.1" customHeight="1" x14ac:dyDescent="0.2">
      <c r="A160" s="21"/>
      <c r="B160" s="9" t="s">
        <v>583</v>
      </c>
      <c r="C160" s="95">
        <v>3.8458000000000001</v>
      </c>
      <c r="D160" s="96" t="s">
        <v>122</v>
      </c>
      <c r="E160" s="21"/>
      <c r="F160" s="18"/>
      <c r="G160" s="25"/>
    </row>
    <row r="161" spans="1:14" ht="29.1" customHeight="1" x14ac:dyDescent="0.2">
      <c r="A161" s="21"/>
      <c r="B161" s="9" t="s">
        <v>572</v>
      </c>
      <c r="C161" s="95">
        <v>5.6010999999999997</v>
      </c>
      <c r="D161" s="95">
        <v>5.6010999999999997</v>
      </c>
      <c r="E161" s="21"/>
      <c r="F161" s="18"/>
      <c r="G161" s="25"/>
    </row>
    <row r="162" spans="1:14" ht="29.1" customHeight="1" x14ac:dyDescent="0.2">
      <c r="A162" s="21"/>
      <c r="B162" s="9" t="s">
        <v>573</v>
      </c>
      <c r="C162" s="95">
        <v>7.5</v>
      </c>
      <c r="D162" s="96" t="s">
        <v>122</v>
      </c>
      <c r="E162" s="21"/>
      <c r="F162" s="18"/>
      <c r="G162" s="25"/>
    </row>
    <row r="163" spans="1:14" ht="14.1" customHeight="1" x14ac:dyDescent="0.2">
      <c r="A163" s="21"/>
      <c r="B163" s="29"/>
      <c r="C163" s="29"/>
      <c r="D163" s="30"/>
      <c r="E163" s="21"/>
      <c r="F163" s="18"/>
      <c r="G163" s="25"/>
    </row>
    <row r="164" spans="1:14" ht="17.100000000000001" customHeight="1" x14ac:dyDescent="0.2">
      <c r="A164" s="21"/>
      <c r="B164" s="114" t="s">
        <v>508</v>
      </c>
      <c r="C164" s="115"/>
      <c r="D164" s="2" t="s">
        <v>111</v>
      </c>
      <c r="E164" s="25"/>
      <c r="F164" s="25"/>
      <c r="G164" s="25"/>
    </row>
    <row r="165" spans="1:14" ht="29.1" customHeight="1" x14ac:dyDescent="0.2">
      <c r="A165" s="21"/>
      <c r="B165" s="114" t="s">
        <v>509</v>
      </c>
      <c r="C165" s="115"/>
      <c r="D165" s="2" t="s">
        <v>111</v>
      </c>
      <c r="E165" s="31"/>
      <c r="F165" s="21"/>
      <c r="G165" s="21"/>
    </row>
    <row r="166" spans="1:14" ht="29.1" customHeight="1" x14ac:dyDescent="0.2">
      <c r="A166" s="21"/>
      <c r="B166" s="114" t="s">
        <v>510</v>
      </c>
      <c r="C166" s="115"/>
      <c r="D166" s="2" t="s">
        <v>111</v>
      </c>
      <c r="E166" s="31"/>
      <c r="F166" s="21"/>
      <c r="G166" s="21"/>
    </row>
    <row r="167" spans="1:14" ht="17.100000000000001" customHeight="1" x14ac:dyDescent="0.2">
      <c r="A167" s="21"/>
      <c r="B167" s="114" t="s">
        <v>511</v>
      </c>
      <c r="C167" s="115"/>
      <c r="D167" s="2" t="s">
        <v>111</v>
      </c>
      <c r="E167" s="31"/>
      <c r="F167" s="21"/>
      <c r="G167" s="21"/>
    </row>
    <row r="169" spans="1:14" x14ac:dyDescent="0.2">
      <c r="B169" s="45" t="s">
        <v>560</v>
      </c>
      <c r="C169" s="45"/>
      <c r="D169" s="45"/>
      <c r="E169" s="45"/>
      <c r="F169" s="45"/>
      <c r="G169" s="45"/>
      <c r="H169" s="45"/>
    </row>
    <row r="170" spans="1:14" x14ac:dyDescent="0.2">
      <c r="B170" s="45"/>
      <c r="C170" s="45"/>
      <c r="D170" s="45"/>
      <c r="E170" s="45"/>
      <c r="F170" s="45"/>
      <c r="G170" s="45"/>
      <c r="H170" s="45"/>
    </row>
    <row r="171" spans="1:14" ht="38.25" x14ac:dyDescent="0.2">
      <c r="B171" s="66" t="s">
        <v>513</v>
      </c>
      <c r="C171" s="66" t="s">
        <v>512</v>
      </c>
      <c r="D171" s="66" t="s">
        <v>538</v>
      </c>
      <c r="E171" s="66" t="s">
        <v>539</v>
      </c>
      <c r="F171" s="66" t="s">
        <v>516</v>
      </c>
    </row>
    <row r="172" spans="1:14" s="67" customFormat="1" ht="25.5" x14ac:dyDescent="0.2">
      <c r="B172" s="68" t="s">
        <v>518</v>
      </c>
      <c r="C172" s="69" t="s">
        <v>517</v>
      </c>
      <c r="D172" s="70">
        <v>0</v>
      </c>
      <c r="E172" s="71">
        <v>0</v>
      </c>
      <c r="F172" s="72">
        <v>5650</v>
      </c>
      <c r="I172"/>
      <c r="J172" s="40"/>
      <c r="K172" s="40"/>
      <c r="L172" s="40"/>
      <c r="M172" s="40"/>
      <c r="N172" s="40"/>
    </row>
    <row r="174" spans="1:14" x14ac:dyDescent="0.2">
      <c r="B174" s="111" t="s">
        <v>500</v>
      </c>
      <c r="C174" s="112"/>
      <c r="D174" s="113"/>
    </row>
    <row r="175" spans="1:14" ht="25.5" x14ac:dyDescent="0.2">
      <c r="B175" s="117" t="s">
        <v>501</v>
      </c>
      <c r="C175" s="117"/>
      <c r="D175" s="41" t="s">
        <v>234</v>
      </c>
    </row>
    <row r="176" spans="1:14" x14ac:dyDescent="0.2">
      <c r="B176" s="117" t="s">
        <v>502</v>
      </c>
      <c r="C176" s="117"/>
      <c r="D176" s="42"/>
    </row>
    <row r="177" spans="2:4" x14ac:dyDescent="0.2">
      <c r="B177" s="117"/>
      <c r="C177" s="117"/>
      <c r="D177" s="43"/>
    </row>
    <row r="178" spans="2:4" x14ac:dyDescent="0.2">
      <c r="B178" s="117" t="s">
        <v>503</v>
      </c>
      <c r="C178" s="117"/>
      <c r="D178" s="32">
        <v>7.0184251845326449</v>
      </c>
    </row>
    <row r="179" spans="2:4" x14ac:dyDescent="0.2">
      <c r="B179" s="117"/>
      <c r="C179" s="117"/>
      <c r="D179" s="43"/>
    </row>
    <row r="180" spans="2:4" x14ac:dyDescent="0.2">
      <c r="B180" s="117" t="s">
        <v>504</v>
      </c>
      <c r="C180" s="117"/>
      <c r="D180" s="32">
        <v>0.14722400616800538</v>
      </c>
    </row>
    <row r="181" spans="2:4" x14ac:dyDescent="0.2">
      <c r="B181" s="117" t="s">
        <v>505</v>
      </c>
      <c r="C181" s="117"/>
      <c r="D181" s="32">
        <v>0.14722400616800538</v>
      </c>
    </row>
    <row r="182" spans="2:4" x14ac:dyDescent="0.2">
      <c r="B182" s="117"/>
      <c r="C182" s="117"/>
      <c r="D182" s="43"/>
    </row>
    <row r="183" spans="2:4" x14ac:dyDescent="0.2">
      <c r="B183" s="117" t="s">
        <v>506</v>
      </c>
      <c r="C183" s="117"/>
      <c r="D183" s="44">
        <v>45107</v>
      </c>
    </row>
    <row r="184" spans="2:4" x14ac:dyDescent="0.2">
      <c r="B184" s="118" t="s">
        <v>507</v>
      </c>
      <c r="C184" s="119"/>
      <c r="D184" s="120"/>
    </row>
  </sheetData>
  <mergeCells count="27">
    <mergeCell ref="J2:N2"/>
    <mergeCell ref="B182:C182"/>
    <mergeCell ref="B183:C183"/>
    <mergeCell ref="B184:D184"/>
    <mergeCell ref="B177:C177"/>
    <mergeCell ref="B178:C178"/>
    <mergeCell ref="B179:C179"/>
    <mergeCell ref="B180:C180"/>
    <mergeCell ref="B181:C181"/>
    <mergeCell ref="B128:F128"/>
    <mergeCell ref="B164:C164"/>
    <mergeCell ref="B174:D174"/>
    <mergeCell ref="B175:C175"/>
    <mergeCell ref="B176:C176"/>
    <mergeCell ref="B166:C166"/>
    <mergeCell ref="B167:C167"/>
    <mergeCell ref="B165:C165"/>
    <mergeCell ref="B126:F126"/>
    <mergeCell ref="B127:F127"/>
    <mergeCell ref="A1:H1"/>
    <mergeCell ref="A2:H2"/>
    <mergeCell ref="A3:H3"/>
    <mergeCell ref="B130:D130"/>
    <mergeCell ref="B131:C131"/>
    <mergeCell ref="B132:C132"/>
    <mergeCell ref="B133:C133"/>
    <mergeCell ref="B151:C151"/>
  </mergeCells>
  <hyperlinks>
    <hyperlink ref="I1" location="Index!B6" display="Index" xr:uid="{EC7ADA83-8EE9-4361-80D5-C3DF08C4E0D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7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0" t="s">
        <v>0</v>
      </c>
      <c r="B1" s="110"/>
      <c r="C1" s="110"/>
      <c r="D1" s="110"/>
      <c r="E1" s="110"/>
      <c r="F1" s="110"/>
      <c r="G1" s="110"/>
      <c r="H1" s="110"/>
      <c r="I1" s="101" t="s">
        <v>591</v>
      </c>
    </row>
    <row r="2" spans="1:14" ht="17.100000000000001" customHeight="1" x14ac:dyDescent="0.2">
      <c r="A2" s="110" t="s">
        <v>326</v>
      </c>
      <c r="B2" s="110"/>
      <c r="C2" s="110"/>
      <c r="D2" s="110"/>
      <c r="E2" s="110"/>
      <c r="F2" s="110"/>
      <c r="G2" s="110"/>
      <c r="H2" s="110"/>
      <c r="J2" s="116" t="s">
        <v>592</v>
      </c>
      <c r="K2" s="116"/>
      <c r="L2" s="116"/>
      <c r="M2" s="116"/>
      <c r="N2" s="116"/>
    </row>
    <row r="3" spans="1:14" ht="21" customHeight="1" x14ac:dyDescent="0.2">
      <c r="A3" s="110" t="s">
        <v>589</v>
      </c>
      <c r="B3" s="110"/>
      <c r="C3" s="110"/>
      <c r="D3" s="110"/>
      <c r="E3" s="110"/>
      <c r="F3" s="110"/>
      <c r="G3" s="110"/>
      <c r="H3" s="110"/>
    </row>
    <row r="4" spans="1:14" ht="30" x14ac:dyDescent="0.2">
      <c r="A4" s="94" t="s">
        <v>2</v>
      </c>
      <c r="B4" s="94" t="s">
        <v>3</v>
      </c>
      <c r="C4" s="94" t="s">
        <v>4</v>
      </c>
      <c r="D4" s="94" t="s">
        <v>5</v>
      </c>
      <c r="E4" s="94" t="s">
        <v>6</v>
      </c>
      <c r="F4" s="94" t="s">
        <v>7</v>
      </c>
      <c r="G4" s="94" t="s">
        <v>8</v>
      </c>
      <c r="H4" s="91" t="s">
        <v>563</v>
      </c>
      <c r="I4" s="102"/>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5" t="s">
        <v>602</v>
      </c>
      <c r="K16" s="107"/>
      <c r="L16" s="107"/>
      <c r="M16" s="107"/>
      <c r="N16" s="107"/>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17.100000000000001" customHeight="1" x14ac:dyDescent="0.2">
      <c r="A28" s="8">
        <v>1</v>
      </c>
      <c r="B28" s="9" t="s">
        <v>327</v>
      </c>
      <c r="C28" s="9" t="s">
        <v>328</v>
      </c>
      <c r="D28" s="9" t="s">
        <v>23</v>
      </c>
      <c r="E28" s="10">
        <v>1000</v>
      </c>
      <c r="F28" s="11">
        <v>1011.9160000000001</v>
      </c>
      <c r="G28" s="12">
        <v>5.2135029999999999E-2</v>
      </c>
      <c r="H28" s="11">
        <v>7.3140000000000001</v>
      </c>
    </row>
    <row r="29" spans="1:10" ht="29.1" customHeight="1" x14ac:dyDescent="0.25">
      <c r="A29" s="8">
        <v>2</v>
      </c>
      <c r="B29" s="9" t="s">
        <v>329</v>
      </c>
      <c r="C29" s="9" t="s">
        <v>330</v>
      </c>
      <c r="D29" s="9" t="s">
        <v>23</v>
      </c>
      <c r="E29" s="10">
        <v>1000</v>
      </c>
      <c r="F29" s="11">
        <v>1011.8630000000001</v>
      </c>
      <c r="G29" s="12">
        <v>5.2132299999999999E-2</v>
      </c>
      <c r="H29" s="11">
        <v>7.78</v>
      </c>
      <c r="J29" s="105" t="s">
        <v>603</v>
      </c>
    </row>
    <row r="30" spans="1:10" ht="29.1" customHeight="1" x14ac:dyDescent="0.2">
      <c r="A30" s="8">
        <v>3</v>
      </c>
      <c r="B30" s="9" t="s">
        <v>331</v>
      </c>
      <c r="C30" s="9" t="s">
        <v>332</v>
      </c>
      <c r="D30" s="9" t="s">
        <v>23</v>
      </c>
      <c r="E30" s="10">
        <v>1000</v>
      </c>
      <c r="F30" s="11">
        <v>1008.828</v>
      </c>
      <c r="G30" s="12">
        <v>5.1975929999999997E-2</v>
      </c>
      <c r="H30" s="11">
        <v>7.5321999999999996</v>
      </c>
      <c r="J30"/>
    </row>
    <row r="31" spans="1:10" ht="29.1" customHeight="1" x14ac:dyDescent="0.2">
      <c r="A31" s="8">
        <v>4</v>
      </c>
      <c r="B31" s="9" t="s">
        <v>333</v>
      </c>
      <c r="C31" s="9" t="s">
        <v>334</v>
      </c>
      <c r="D31" s="9" t="s">
        <v>23</v>
      </c>
      <c r="E31" s="10">
        <v>1000</v>
      </c>
      <c r="F31" s="11">
        <v>1007.45</v>
      </c>
      <c r="G31" s="12">
        <v>5.1904939999999997E-2</v>
      </c>
      <c r="H31" s="11">
        <v>7.5250000000000004</v>
      </c>
      <c r="J31"/>
    </row>
    <row r="32" spans="1:10" ht="29.1" customHeight="1" x14ac:dyDescent="0.2">
      <c r="A32" s="8">
        <v>5</v>
      </c>
      <c r="B32" s="9" t="s">
        <v>40</v>
      </c>
      <c r="C32" s="9" t="s">
        <v>41</v>
      </c>
      <c r="D32" s="9" t="s">
        <v>23</v>
      </c>
      <c r="E32" s="10">
        <v>1000</v>
      </c>
      <c r="F32" s="11">
        <v>999.63800000000003</v>
      </c>
      <c r="G32" s="12">
        <v>5.1502449999999998E-2</v>
      </c>
      <c r="H32" s="11">
        <v>7.5197000000000003</v>
      </c>
      <c r="J32"/>
    </row>
    <row r="33" spans="1:10" ht="17.100000000000001" customHeight="1" x14ac:dyDescent="0.2">
      <c r="A33" s="8">
        <v>6</v>
      </c>
      <c r="B33" s="9" t="s">
        <v>335</v>
      </c>
      <c r="C33" s="9" t="s">
        <v>336</v>
      </c>
      <c r="D33" s="9" t="s">
        <v>46</v>
      </c>
      <c r="E33" s="10">
        <v>100</v>
      </c>
      <c r="F33" s="11">
        <v>999.12</v>
      </c>
      <c r="G33" s="12">
        <v>5.1475769999999997E-2</v>
      </c>
      <c r="H33" s="11">
        <v>7.5167000000000002</v>
      </c>
      <c r="J33"/>
    </row>
    <row r="34" spans="1:10" ht="29.1" customHeight="1" x14ac:dyDescent="0.2">
      <c r="A34" s="8">
        <v>7</v>
      </c>
      <c r="B34" s="9" t="s">
        <v>154</v>
      </c>
      <c r="C34" s="9" t="s">
        <v>155</v>
      </c>
      <c r="D34" s="9" t="s">
        <v>46</v>
      </c>
      <c r="E34" s="10">
        <v>100</v>
      </c>
      <c r="F34" s="11">
        <v>997.18899999999996</v>
      </c>
      <c r="G34" s="12">
        <v>5.1376280000000003E-2</v>
      </c>
      <c r="H34" s="11">
        <v>7.5750000000000002</v>
      </c>
      <c r="J34"/>
    </row>
    <row r="35" spans="1:10" ht="29.1" customHeight="1" x14ac:dyDescent="0.2">
      <c r="A35" s="8">
        <v>8</v>
      </c>
      <c r="B35" s="9" t="s">
        <v>152</v>
      </c>
      <c r="C35" s="9" t="s">
        <v>153</v>
      </c>
      <c r="D35" s="9" t="s">
        <v>46</v>
      </c>
      <c r="E35" s="10">
        <v>100</v>
      </c>
      <c r="F35" s="11">
        <v>979.26099999999997</v>
      </c>
      <c r="G35" s="12">
        <v>5.0452610000000002E-2</v>
      </c>
      <c r="H35" s="11">
        <v>7.7050000000000001</v>
      </c>
      <c r="J35"/>
    </row>
    <row r="36" spans="1:10" ht="29.1" customHeight="1" x14ac:dyDescent="0.2">
      <c r="A36" s="8">
        <v>9</v>
      </c>
      <c r="B36" s="9" t="s">
        <v>195</v>
      </c>
      <c r="C36" s="9" t="s">
        <v>196</v>
      </c>
      <c r="D36" s="9" t="s">
        <v>197</v>
      </c>
      <c r="E36" s="10">
        <v>79276</v>
      </c>
      <c r="F36" s="11">
        <v>624.41741400000001</v>
      </c>
      <c r="G36" s="12">
        <v>3.2170669999999998E-2</v>
      </c>
      <c r="H36" s="11">
        <v>11.0006</v>
      </c>
      <c r="J36"/>
    </row>
    <row r="37" spans="1:10" ht="29.1" customHeight="1" x14ac:dyDescent="0.2">
      <c r="A37" s="8">
        <v>10</v>
      </c>
      <c r="B37" s="9" t="s">
        <v>337</v>
      </c>
      <c r="C37" s="9" t="s">
        <v>338</v>
      </c>
      <c r="D37" s="9" t="s">
        <v>23</v>
      </c>
      <c r="E37" s="10">
        <v>50</v>
      </c>
      <c r="F37" s="11">
        <v>510.57549999999998</v>
      </c>
      <c r="G37" s="12">
        <v>2.6305410000000001E-2</v>
      </c>
      <c r="H37" s="11">
        <v>7.6993999999999998</v>
      </c>
    </row>
    <row r="38" spans="1:10" ht="29.1" customHeight="1" x14ac:dyDescent="0.2">
      <c r="A38" s="8">
        <v>11</v>
      </c>
      <c r="B38" s="9" t="s">
        <v>150</v>
      </c>
      <c r="C38" s="9" t="s">
        <v>151</v>
      </c>
      <c r="D38" s="9" t="s">
        <v>23</v>
      </c>
      <c r="E38" s="10">
        <v>50</v>
      </c>
      <c r="F38" s="11">
        <v>500.92099999999999</v>
      </c>
      <c r="G38" s="12">
        <v>2.5808000000000001E-2</v>
      </c>
      <c r="H38" s="11">
        <v>7.73</v>
      </c>
    </row>
    <row r="39" spans="1:10" ht="29.1" customHeight="1" x14ac:dyDescent="0.2">
      <c r="A39" s="8">
        <v>12</v>
      </c>
      <c r="B39" s="9" t="s">
        <v>198</v>
      </c>
      <c r="C39" s="9" t="s">
        <v>199</v>
      </c>
      <c r="D39" s="9" t="s">
        <v>23</v>
      </c>
      <c r="E39" s="10">
        <v>500</v>
      </c>
      <c r="F39" s="11">
        <v>500.90899999999999</v>
      </c>
      <c r="G39" s="12">
        <v>2.5807389999999999E-2</v>
      </c>
      <c r="H39" s="11">
        <v>7.7975000000000003</v>
      </c>
    </row>
    <row r="40" spans="1:10" ht="17.100000000000001" customHeight="1" x14ac:dyDescent="0.2">
      <c r="A40" s="8">
        <v>13</v>
      </c>
      <c r="B40" s="9" t="s">
        <v>339</v>
      </c>
      <c r="C40" s="9" t="s">
        <v>340</v>
      </c>
      <c r="D40" s="9" t="s">
        <v>23</v>
      </c>
      <c r="E40" s="10">
        <v>500</v>
      </c>
      <c r="F40" s="11">
        <v>500.51850000000002</v>
      </c>
      <c r="G40" s="12">
        <v>2.5787270000000001E-2</v>
      </c>
      <c r="H40" s="11">
        <v>7.4749999999999996</v>
      </c>
    </row>
    <row r="41" spans="1:10" ht="29.1" customHeight="1" x14ac:dyDescent="0.2">
      <c r="A41" s="8">
        <v>14</v>
      </c>
      <c r="B41" s="9" t="s">
        <v>73</v>
      </c>
      <c r="C41" s="9" t="s">
        <v>74</v>
      </c>
      <c r="D41" s="9" t="s">
        <v>23</v>
      </c>
      <c r="E41" s="10">
        <v>500</v>
      </c>
      <c r="F41" s="11">
        <v>500.17250000000001</v>
      </c>
      <c r="G41" s="12">
        <v>2.5769440000000001E-2</v>
      </c>
      <c r="H41" s="11">
        <v>7.4615999999999998</v>
      </c>
    </row>
    <row r="42" spans="1:10" ht="29.1" customHeight="1" x14ac:dyDescent="0.2">
      <c r="A42" s="8">
        <v>15</v>
      </c>
      <c r="B42" s="9" t="s">
        <v>32</v>
      </c>
      <c r="C42" s="9" t="s">
        <v>33</v>
      </c>
      <c r="D42" s="9" t="s">
        <v>23</v>
      </c>
      <c r="E42" s="10">
        <v>50</v>
      </c>
      <c r="F42" s="11">
        <v>499.98</v>
      </c>
      <c r="G42" s="12">
        <v>2.5759520000000001E-2</v>
      </c>
      <c r="H42" s="11">
        <v>7.7976000000000001</v>
      </c>
    </row>
    <row r="43" spans="1:10" ht="29.1" customHeight="1" x14ac:dyDescent="0.2">
      <c r="A43" s="8">
        <v>16</v>
      </c>
      <c r="B43" s="9" t="s">
        <v>341</v>
      </c>
      <c r="C43" s="9" t="s">
        <v>342</v>
      </c>
      <c r="D43" s="9" t="s">
        <v>23</v>
      </c>
      <c r="E43" s="10">
        <v>50</v>
      </c>
      <c r="F43" s="11">
        <v>499.63049999999998</v>
      </c>
      <c r="G43" s="12">
        <v>2.574152E-2</v>
      </c>
      <c r="H43" s="11">
        <v>7.0250000000000004</v>
      </c>
    </row>
    <row r="44" spans="1:10" ht="29.1" customHeight="1" x14ac:dyDescent="0.2">
      <c r="A44" s="8">
        <v>17</v>
      </c>
      <c r="B44" s="9" t="s">
        <v>67</v>
      </c>
      <c r="C44" s="9" t="s">
        <v>68</v>
      </c>
      <c r="D44" s="9" t="s">
        <v>23</v>
      </c>
      <c r="E44" s="10">
        <v>500</v>
      </c>
      <c r="F44" s="11">
        <v>499.09949999999998</v>
      </c>
      <c r="G44" s="12">
        <v>2.571416E-2</v>
      </c>
      <c r="H44" s="11">
        <v>8.1173999999999999</v>
      </c>
    </row>
    <row r="45" spans="1:10" ht="29.1" customHeight="1" x14ac:dyDescent="0.2">
      <c r="A45" s="8">
        <v>18</v>
      </c>
      <c r="B45" s="9" t="s">
        <v>200</v>
      </c>
      <c r="C45" s="9" t="s">
        <v>201</v>
      </c>
      <c r="D45" s="9" t="s">
        <v>46</v>
      </c>
      <c r="E45" s="10">
        <v>50</v>
      </c>
      <c r="F45" s="11">
        <v>497.55450000000002</v>
      </c>
      <c r="G45" s="12">
        <v>2.5634560000000001E-2</v>
      </c>
      <c r="H45" s="11">
        <v>7.9</v>
      </c>
    </row>
    <row r="46" spans="1:10" ht="29.1" customHeight="1" x14ac:dyDescent="0.2">
      <c r="A46" s="8">
        <v>19</v>
      </c>
      <c r="B46" s="9" t="s">
        <v>54</v>
      </c>
      <c r="C46" s="9" t="s">
        <v>55</v>
      </c>
      <c r="D46" s="9" t="s">
        <v>23</v>
      </c>
      <c r="E46" s="10">
        <v>50</v>
      </c>
      <c r="F46" s="11">
        <v>494.69650000000001</v>
      </c>
      <c r="G46" s="12">
        <v>2.5487309999999999E-2</v>
      </c>
      <c r="H46" s="11">
        <v>7.5288000000000004</v>
      </c>
    </row>
    <row r="47" spans="1:10" ht="29.1" customHeight="1" x14ac:dyDescent="0.2">
      <c r="A47" s="8">
        <v>20</v>
      </c>
      <c r="B47" s="9" t="s">
        <v>343</v>
      </c>
      <c r="C47" s="9" t="s">
        <v>344</v>
      </c>
      <c r="D47" s="9" t="s">
        <v>46</v>
      </c>
      <c r="E47" s="10">
        <v>35</v>
      </c>
      <c r="F47" s="11">
        <v>352.2491</v>
      </c>
      <c r="G47" s="12">
        <v>1.8148259999999999E-2</v>
      </c>
      <c r="H47" s="11">
        <v>7.23</v>
      </c>
    </row>
    <row r="48" spans="1:10" ht="14.1" customHeight="1" x14ac:dyDescent="0.2">
      <c r="A48" s="1"/>
      <c r="B48" s="1"/>
      <c r="C48" s="2" t="s">
        <v>11</v>
      </c>
      <c r="D48" s="1"/>
      <c r="E48" s="1" t="s">
        <v>12</v>
      </c>
      <c r="F48" s="7">
        <v>13995.989014000001</v>
      </c>
      <c r="G48" s="4">
        <v>0.72108881999999996</v>
      </c>
      <c r="H48" s="11"/>
    </row>
    <row r="49" spans="1:8" ht="14.1" customHeight="1" x14ac:dyDescent="0.2">
      <c r="A49" s="1"/>
      <c r="B49" s="1"/>
      <c r="C49" s="5"/>
      <c r="D49" s="1"/>
      <c r="E49" s="1"/>
      <c r="F49" s="6"/>
      <c r="G49" s="6"/>
      <c r="H49" s="11"/>
    </row>
    <row r="50" spans="1:8" ht="14.1" customHeight="1" x14ac:dyDescent="0.2">
      <c r="A50" s="1"/>
      <c r="B50" s="1"/>
      <c r="C50" s="2" t="s">
        <v>77</v>
      </c>
      <c r="D50" s="1"/>
      <c r="E50" s="1"/>
      <c r="F50" s="1"/>
      <c r="G50" s="1"/>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78</v>
      </c>
      <c r="D53" s="1"/>
      <c r="E53" s="1"/>
      <c r="F53" s="1"/>
      <c r="G53" s="1"/>
      <c r="H53" s="11"/>
    </row>
    <row r="54" spans="1:8" ht="29.1" customHeight="1" x14ac:dyDescent="0.2">
      <c r="A54" s="8">
        <v>1</v>
      </c>
      <c r="B54" s="9" t="s">
        <v>82</v>
      </c>
      <c r="C54" s="9" t="s">
        <v>83</v>
      </c>
      <c r="D54" s="9" t="s">
        <v>81</v>
      </c>
      <c r="E54" s="10">
        <v>1500000</v>
      </c>
      <c r="F54" s="11">
        <v>1515.3795</v>
      </c>
      <c r="G54" s="12">
        <v>7.8074019999999994E-2</v>
      </c>
      <c r="H54" s="11">
        <v>7.2035</v>
      </c>
    </row>
    <row r="55" spans="1:8" ht="29.1" customHeight="1" x14ac:dyDescent="0.2">
      <c r="A55" s="8">
        <v>2</v>
      </c>
      <c r="B55" s="9" t="s">
        <v>202</v>
      </c>
      <c r="C55" s="9" t="s">
        <v>203</v>
      </c>
      <c r="D55" s="9" t="s">
        <v>81</v>
      </c>
      <c r="E55" s="10">
        <v>1000000</v>
      </c>
      <c r="F55" s="11">
        <v>968.30399999999997</v>
      </c>
      <c r="G55" s="12">
        <v>4.9888090000000003E-2</v>
      </c>
      <c r="H55" s="11">
        <v>7.1017999999999999</v>
      </c>
    </row>
    <row r="56" spans="1:8" ht="29.1" customHeight="1" x14ac:dyDescent="0.2">
      <c r="A56" s="8">
        <v>3</v>
      </c>
      <c r="B56" s="9" t="s">
        <v>345</v>
      </c>
      <c r="C56" s="9" t="s">
        <v>346</v>
      </c>
      <c r="D56" s="9" t="s">
        <v>81</v>
      </c>
      <c r="E56" s="10">
        <v>500000</v>
      </c>
      <c r="F56" s="11">
        <v>499.10149999999999</v>
      </c>
      <c r="G56" s="12">
        <v>2.5714259999999999E-2</v>
      </c>
      <c r="H56" s="11">
        <v>6.9981999999999998</v>
      </c>
    </row>
    <row r="57" spans="1:8" ht="41.1" customHeight="1" x14ac:dyDescent="0.2">
      <c r="A57" s="8">
        <v>4</v>
      </c>
      <c r="B57" s="9" t="s">
        <v>347</v>
      </c>
      <c r="C57" s="9" t="s">
        <v>567</v>
      </c>
      <c r="D57" s="9" t="s">
        <v>81</v>
      </c>
      <c r="E57" s="10">
        <v>500000</v>
      </c>
      <c r="F57" s="11">
        <v>495.90600000000001</v>
      </c>
      <c r="G57" s="12">
        <v>2.5549619999999999E-2</v>
      </c>
      <c r="H57" s="11">
        <v>7.7953785666794797</v>
      </c>
    </row>
    <row r="58" spans="1:8" ht="29.1" customHeight="1" x14ac:dyDescent="0.2">
      <c r="A58" s="8">
        <v>5</v>
      </c>
      <c r="B58" s="9" t="s">
        <v>348</v>
      </c>
      <c r="C58" s="9" t="s">
        <v>349</v>
      </c>
      <c r="D58" s="9" t="s">
        <v>81</v>
      </c>
      <c r="E58" s="10">
        <v>400000</v>
      </c>
      <c r="F58" s="11">
        <v>406.07679999999999</v>
      </c>
      <c r="G58" s="12">
        <v>2.0921530000000001E-2</v>
      </c>
      <c r="H58" s="11">
        <v>7.3975999999999997</v>
      </c>
    </row>
    <row r="59" spans="1:8" ht="14.1" customHeight="1" x14ac:dyDescent="0.2">
      <c r="A59" s="1"/>
      <c r="B59" s="1"/>
      <c r="C59" s="2" t="s">
        <v>11</v>
      </c>
      <c r="D59" s="1"/>
      <c r="E59" s="1" t="s">
        <v>12</v>
      </c>
      <c r="F59" s="7">
        <v>3884.7678000000001</v>
      </c>
      <c r="G59" s="4">
        <v>0.20014752</v>
      </c>
      <c r="H59" s="11"/>
    </row>
    <row r="60" spans="1:8" ht="14.1" customHeight="1" x14ac:dyDescent="0.2">
      <c r="A60" s="1"/>
      <c r="B60" s="1"/>
      <c r="C60" s="5"/>
      <c r="D60" s="1"/>
      <c r="E60" s="1"/>
      <c r="F60" s="6"/>
      <c r="G60" s="6"/>
      <c r="H60" s="11"/>
    </row>
    <row r="61" spans="1:8" ht="14.1" customHeight="1" x14ac:dyDescent="0.2">
      <c r="A61" s="1"/>
      <c r="B61" s="1"/>
      <c r="C61" s="2" t="s">
        <v>90</v>
      </c>
      <c r="D61" s="1"/>
      <c r="E61" s="1"/>
      <c r="F61" s="6"/>
      <c r="G61" s="6"/>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91</v>
      </c>
      <c r="D64" s="1"/>
      <c r="E64" s="1"/>
      <c r="F64" s="7">
        <v>17880.756814</v>
      </c>
      <c r="G64" s="4">
        <v>0.92123633999999999</v>
      </c>
      <c r="H64" s="11"/>
    </row>
    <row r="65" spans="1:8" ht="14.1" customHeight="1" x14ac:dyDescent="0.2">
      <c r="A65" s="1"/>
      <c r="B65" s="1"/>
      <c r="C65" s="5"/>
      <c r="D65" s="1"/>
      <c r="E65" s="1"/>
      <c r="F65" s="6"/>
      <c r="G65" s="6"/>
      <c r="H65" s="11"/>
    </row>
    <row r="66" spans="1:8" ht="14.1" customHeight="1" x14ac:dyDescent="0.2">
      <c r="A66" s="1"/>
      <c r="B66" s="1"/>
      <c r="C66" s="2" t="s">
        <v>92</v>
      </c>
      <c r="D66" s="1"/>
      <c r="E66" s="1"/>
      <c r="F66" s="6"/>
      <c r="G66" s="6"/>
      <c r="H66" s="11"/>
    </row>
    <row r="67" spans="1:8" ht="14.1" customHeight="1" x14ac:dyDescent="0.2">
      <c r="A67" s="1"/>
      <c r="B67" s="1"/>
      <c r="C67" s="2" t="s">
        <v>93</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94</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95</v>
      </c>
      <c r="D73" s="1"/>
      <c r="E73" s="1"/>
      <c r="F73" s="6"/>
      <c r="G73" s="6"/>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1"/>
      <c r="C76" s="2" t="s">
        <v>96</v>
      </c>
      <c r="D76" s="1"/>
      <c r="E76" s="1"/>
      <c r="F76" s="6"/>
      <c r="G76" s="6"/>
      <c r="H76" s="11"/>
    </row>
    <row r="77" spans="1:8" ht="17.100000000000001" customHeight="1" x14ac:dyDescent="0.2">
      <c r="A77" s="8">
        <v>1</v>
      </c>
      <c r="B77" s="9"/>
      <c r="C77" s="9" t="s">
        <v>97</v>
      </c>
      <c r="D77" s="9"/>
      <c r="E77" s="13"/>
      <c r="F77" s="11">
        <v>705.48340379700005</v>
      </c>
      <c r="G77" s="12">
        <v>3.6347280000000003E-2</v>
      </c>
      <c r="H77" s="11">
        <v>6.7573016869821334</v>
      </c>
    </row>
    <row r="78" spans="1:8" ht="17.100000000000001" customHeight="1" x14ac:dyDescent="0.2">
      <c r="A78" s="8">
        <v>2</v>
      </c>
      <c r="B78" s="9"/>
      <c r="C78" s="9" t="s">
        <v>98</v>
      </c>
      <c r="D78" s="9"/>
      <c r="E78" s="13"/>
      <c r="F78" s="11">
        <v>577.94285330000002</v>
      </c>
      <c r="G78" s="12">
        <v>2.9776250000000001E-2</v>
      </c>
      <c r="H78" s="11">
        <v>6.796603293503404</v>
      </c>
    </row>
    <row r="79" spans="1:8" ht="14.1" customHeight="1" x14ac:dyDescent="0.2">
      <c r="A79" s="1"/>
      <c r="B79" s="1"/>
      <c r="C79" s="2" t="s">
        <v>11</v>
      </c>
      <c r="D79" s="1"/>
      <c r="E79" s="1" t="s">
        <v>12</v>
      </c>
      <c r="F79" s="7">
        <v>1283.426257097</v>
      </c>
      <c r="G79" s="4">
        <v>6.612353E-2</v>
      </c>
      <c r="H79" s="11"/>
    </row>
    <row r="80" spans="1:8" ht="14.1" customHeight="1" x14ac:dyDescent="0.2">
      <c r="A80" s="1"/>
      <c r="B80" s="1"/>
      <c r="C80" s="5"/>
      <c r="D80" s="1"/>
      <c r="E80" s="1"/>
      <c r="F80" s="6"/>
      <c r="G80" s="6"/>
      <c r="H80" s="11"/>
    </row>
    <row r="81" spans="1:8" ht="14.1" customHeight="1" x14ac:dyDescent="0.2">
      <c r="A81" s="1"/>
      <c r="B81" s="1"/>
      <c r="C81" s="2" t="s">
        <v>99</v>
      </c>
      <c r="D81" s="1"/>
      <c r="E81" s="1"/>
      <c r="F81" s="7">
        <v>1283.426257097</v>
      </c>
      <c r="G81" s="4">
        <v>6.612353E-2</v>
      </c>
      <c r="H81" s="11"/>
    </row>
    <row r="82" spans="1:8" ht="14.1" customHeight="1" x14ac:dyDescent="0.2">
      <c r="A82" s="1"/>
      <c r="B82" s="1"/>
      <c r="C82" s="6"/>
      <c r="D82" s="1"/>
      <c r="E82" s="1"/>
      <c r="F82" s="1"/>
      <c r="G82" s="1"/>
      <c r="H82" s="11"/>
    </row>
    <row r="83" spans="1:8" ht="14.1" customHeight="1" x14ac:dyDescent="0.2">
      <c r="A83" s="1"/>
      <c r="B83" s="1"/>
      <c r="C83" s="2" t="s">
        <v>100</v>
      </c>
      <c r="D83" s="1"/>
      <c r="E83" s="1"/>
      <c r="F83" s="1"/>
      <c r="G83" s="1"/>
      <c r="H83" s="11"/>
    </row>
    <row r="84" spans="1:8" ht="14.1" customHeight="1" x14ac:dyDescent="0.2">
      <c r="A84" s="1"/>
      <c r="B84" s="1"/>
      <c r="C84" s="2" t="s">
        <v>101</v>
      </c>
      <c r="D84" s="1"/>
      <c r="E84" s="1"/>
      <c r="F84" s="1"/>
      <c r="G84" s="1"/>
      <c r="H84" s="11"/>
    </row>
    <row r="85" spans="1:8" ht="14.1" customHeight="1" x14ac:dyDescent="0.2">
      <c r="A85" s="1"/>
      <c r="B85" s="1"/>
      <c r="C85" s="2" t="s">
        <v>11</v>
      </c>
      <c r="D85" s="1"/>
      <c r="E85" s="1" t="s">
        <v>12</v>
      </c>
      <c r="F85" s="3" t="s">
        <v>13</v>
      </c>
      <c r="G85" s="4">
        <v>0</v>
      </c>
      <c r="H85" s="11"/>
    </row>
    <row r="86" spans="1:8" ht="14.1" customHeight="1" x14ac:dyDescent="0.2">
      <c r="A86" s="1"/>
      <c r="B86" s="1"/>
      <c r="C86" s="5"/>
      <c r="D86" s="1"/>
      <c r="E86" s="1"/>
      <c r="F86" s="6"/>
      <c r="G86" s="6"/>
      <c r="H86" s="11"/>
    </row>
    <row r="87" spans="1:8" ht="14.1" customHeight="1" x14ac:dyDescent="0.2">
      <c r="A87" s="1"/>
      <c r="B87" s="1"/>
      <c r="C87" s="2" t="s">
        <v>102</v>
      </c>
      <c r="D87" s="1"/>
      <c r="E87" s="1"/>
      <c r="F87" s="1"/>
      <c r="G87" s="1"/>
      <c r="H87" s="11"/>
    </row>
    <row r="88" spans="1:8" ht="14.1" customHeight="1" x14ac:dyDescent="0.2">
      <c r="A88" s="1"/>
      <c r="B88" s="1"/>
      <c r="C88" s="2" t="s">
        <v>103</v>
      </c>
      <c r="D88" s="1"/>
      <c r="E88" s="1"/>
      <c r="F88" s="1"/>
      <c r="G88" s="1"/>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24" customHeight="1" x14ac:dyDescent="0.2">
      <c r="A91" s="1"/>
      <c r="B91" s="1"/>
      <c r="C91" s="2" t="s">
        <v>104</v>
      </c>
      <c r="D91" s="1"/>
      <c r="E91" s="1"/>
      <c r="F91" s="6"/>
      <c r="G91" s="6"/>
      <c r="H91" s="11"/>
    </row>
    <row r="92" spans="1:8" ht="14.1" customHeight="1" x14ac:dyDescent="0.2">
      <c r="A92" s="1"/>
      <c r="B92" s="1"/>
      <c r="C92" s="2" t="s">
        <v>11</v>
      </c>
      <c r="D92" s="1"/>
      <c r="E92" s="1" t="s">
        <v>12</v>
      </c>
      <c r="F92" s="3" t="s">
        <v>13</v>
      </c>
      <c r="G92" s="4">
        <v>0</v>
      </c>
      <c r="H92" s="11"/>
    </row>
    <row r="93" spans="1:8" ht="14.1" customHeight="1" x14ac:dyDescent="0.2">
      <c r="A93" s="1"/>
      <c r="B93" s="1"/>
      <c r="C93" s="5"/>
      <c r="D93" s="1"/>
      <c r="E93" s="1"/>
      <c r="F93" s="6"/>
      <c r="G93" s="6"/>
      <c r="H93" s="11"/>
    </row>
    <row r="94" spans="1:8" ht="14.1" customHeight="1" x14ac:dyDescent="0.2">
      <c r="A94" s="1"/>
      <c r="B94" s="9"/>
      <c r="C94" s="9"/>
      <c r="D94" s="2"/>
      <c r="E94" s="1"/>
      <c r="F94" s="9"/>
      <c r="G94" s="13"/>
      <c r="H94" s="11"/>
    </row>
    <row r="95" spans="1:8" ht="18" customHeight="1" x14ac:dyDescent="0.2">
      <c r="A95" s="13"/>
      <c r="B95" s="9"/>
      <c r="C95" s="9" t="s">
        <v>105</v>
      </c>
      <c r="D95" s="9"/>
      <c r="E95" s="13"/>
      <c r="F95" s="11">
        <v>245.33903516999999</v>
      </c>
      <c r="G95" s="12">
        <v>1.2640139999999999E-2</v>
      </c>
      <c r="H95" s="11"/>
    </row>
    <row r="96" spans="1:8" ht="14.1" customHeight="1" x14ac:dyDescent="0.2">
      <c r="A96" s="5"/>
      <c r="B96" s="5"/>
      <c r="C96" s="2" t="s">
        <v>106</v>
      </c>
      <c r="D96" s="6"/>
      <c r="E96" s="6"/>
      <c r="F96" s="7">
        <v>19409.522106266999</v>
      </c>
      <c r="G96" s="14">
        <v>1.0000000099999999</v>
      </c>
      <c r="H96" s="11"/>
    </row>
    <row r="97" spans="1:14" ht="14.1" customHeight="1" x14ac:dyDescent="0.2">
      <c r="A97" s="15"/>
      <c r="B97" s="15"/>
      <c r="C97" s="15"/>
      <c r="D97" s="16"/>
      <c r="E97" s="16"/>
      <c r="F97" s="16"/>
      <c r="G97" s="16"/>
    </row>
    <row r="98" spans="1:14" ht="17.100000000000001" customHeight="1" x14ac:dyDescent="0.2">
      <c r="A98" s="17"/>
      <c r="B98" s="121" t="s">
        <v>107</v>
      </c>
      <c r="C98" s="121"/>
      <c r="D98" s="121"/>
      <c r="E98" s="121"/>
      <c r="F98" s="121"/>
      <c r="G98" s="19"/>
    </row>
    <row r="99" spans="1:14" ht="17.100000000000001" customHeight="1" x14ac:dyDescent="0.2">
      <c r="A99" s="17"/>
      <c r="B99" s="121" t="s">
        <v>108</v>
      </c>
      <c r="C99" s="121"/>
      <c r="D99" s="121"/>
      <c r="E99" s="121"/>
      <c r="F99" s="121"/>
      <c r="G99" s="19"/>
    </row>
    <row r="100" spans="1:14" s="62" customFormat="1" ht="69.75" customHeight="1" x14ac:dyDescent="0.25">
      <c r="A100" s="92"/>
      <c r="B100" s="121" t="s">
        <v>566</v>
      </c>
      <c r="C100" s="121"/>
      <c r="D100" s="121"/>
      <c r="E100" s="121"/>
      <c r="F100" s="121"/>
      <c r="G100" s="93"/>
      <c r="H100" s="40"/>
      <c r="I100"/>
      <c r="J100" s="40"/>
      <c r="K100" s="40"/>
      <c r="L100" s="40"/>
      <c r="M100" s="40"/>
      <c r="N100" s="40"/>
    </row>
    <row r="101" spans="1:14" ht="14.1" customHeight="1" x14ac:dyDescent="0.2">
      <c r="A101" s="17"/>
      <c r="B101" s="17"/>
      <c r="C101" s="17"/>
      <c r="D101" s="19"/>
      <c r="E101" s="19"/>
      <c r="F101" s="19"/>
      <c r="G101" s="19"/>
    </row>
    <row r="102" spans="1:14" ht="14.1" customHeight="1" x14ac:dyDescent="0.2">
      <c r="A102" s="17"/>
      <c r="B102" s="122" t="s">
        <v>109</v>
      </c>
      <c r="C102" s="123"/>
      <c r="D102" s="124"/>
      <c r="E102" s="20"/>
      <c r="F102" s="19"/>
      <c r="G102" s="19"/>
    </row>
    <row r="103" spans="1:14" ht="29.1" customHeight="1" x14ac:dyDescent="0.2">
      <c r="A103" s="17"/>
      <c r="B103" s="114" t="s">
        <v>110</v>
      </c>
      <c r="C103" s="115"/>
      <c r="D103" s="2" t="s">
        <v>565</v>
      </c>
      <c r="E103" s="20"/>
      <c r="F103" s="19"/>
      <c r="G103" s="19"/>
    </row>
    <row r="104" spans="1:14" ht="17.100000000000001" customHeight="1" x14ac:dyDescent="0.2">
      <c r="A104" s="17"/>
      <c r="B104" s="114" t="s">
        <v>112</v>
      </c>
      <c r="C104" s="115"/>
      <c r="D104" s="2" t="s">
        <v>111</v>
      </c>
      <c r="E104" s="20"/>
      <c r="F104" s="19"/>
      <c r="G104" s="19"/>
    </row>
    <row r="105" spans="1:14" ht="17.100000000000001" customHeight="1" x14ac:dyDescent="0.2">
      <c r="A105" s="17"/>
      <c r="B105" s="114" t="s">
        <v>113</v>
      </c>
      <c r="C105" s="115"/>
      <c r="D105" s="6" t="s">
        <v>12</v>
      </c>
      <c r="E105" s="20"/>
      <c r="F105" s="19"/>
      <c r="G105" s="19"/>
    </row>
    <row r="106" spans="1:14" ht="24" customHeight="1" x14ac:dyDescent="0.2">
      <c r="A106" s="21"/>
      <c r="B106" s="22" t="s">
        <v>12</v>
      </c>
      <c r="C106" s="22" t="s">
        <v>114</v>
      </c>
      <c r="D106" s="22" t="s">
        <v>115</v>
      </c>
      <c r="E106" s="21"/>
      <c r="F106" s="21"/>
      <c r="G106" s="21"/>
    </row>
    <row r="107" spans="1:14" ht="18" customHeight="1" x14ac:dyDescent="0.2">
      <c r="A107" s="21"/>
      <c r="B107" s="23" t="s">
        <v>116</v>
      </c>
      <c r="C107" s="22" t="s">
        <v>590</v>
      </c>
      <c r="D107" s="22" t="s">
        <v>117</v>
      </c>
      <c r="E107" s="21"/>
      <c r="F107" s="21"/>
      <c r="G107" s="21"/>
    </row>
    <row r="108" spans="1:14" ht="17.100000000000001" customHeight="1" x14ac:dyDescent="0.2">
      <c r="A108" s="21"/>
      <c r="B108" s="9" t="s">
        <v>118</v>
      </c>
      <c r="C108" s="24">
        <v>40.758899999999997</v>
      </c>
      <c r="D108" s="24">
        <v>40.820599999999999</v>
      </c>
      <c r="E108" s="21"/>
      <c r="F108" s="18"/>
      <c r="G108" s="25"/>
    </row>
    <row r="109" spans="1:14" ht="29.1" customHeight="1" x14ac:dyDescent="0.2">
      <c r="A109" s="21"/>
      <c r="B109" s="9" t="s">
        <v>578</v>
      </c>
      <c r="C109" s="24">
        <v>12.892300000000001</v>
      </c>
      <c r="D109" s="24">
        <v>12.895899999999999</v>
      </c>
      <c r="E109" s="21"/>
      <c r="F109" s="18"/>
      <c r="G109" s="25"/>
    </row>
    <row r="110" spans="1:14" ht="29.1" customHeight="1" x14ac:dyDescent="0.2">
      <c r="A110" s="21"/>
      <c r="B110" s="9" t="s">
        <v>582</v>
      </c>
      <c r="C110" s="24">
        <v>12.892300000000001</v>
      </c>
      <c r="D110" s="24">
        <v>12.911799999999999</v>
      </c>
      <c r="E110" s="21"/>
      <c r="F110" s="18"/>
      <c r="G110" s="25"/>
    </row>
    <row r="111" spans="1:14" ht="29.1" customHeight="1" x14ac:dyDescent="0.2">
      <c r="A111" s="21"/>
      <c r="B111" s="9" t="s">
        <v>568</v>
      </c>
      <c r="C111" s="24">
        <v>12.9359</v>
      </c>
      <c r="D111" s="24">
        <v>12.8977</v>
      </c>
      <c r="E111" s="21"/>
      <c r="F111" s="18"/>
      <c r="G111" s="25"/>
    </row>
    <row r="112" spans="1:14" ht="29.1" customHeight="1" x14ac:dyDescent="0.2">
      <c r="A112" s="21"/>
      <c r="B112" s="9" t="s">
        <v>569</v>
      </c>
      <c r="C112" s="24">
        <v>13.6066</v>
      </c>
      <c r="D112" s="24">
        <v>13.552199999999999</v>
      </c>
      <c r="E112" s="21"/>
      <c r="F112" s="18"/>
      <c r="G112" s="25"/>
    </row>
    <row r="113" spans="1:7" ht="29.1" customHeight="1" x14ac:dyDescent="0.2">
      <c r="A113" s="21"/>
      <c r="B113" s="9" t="s">
        <v>570</v>
      </c>
      <c r="C113" s="24">
        <v>13.448399999999999</v>
      </c>
      <c r="D113" s="24">
        <v>13.4687</v>
      </c>
      <c r="E113" s="21"/>
      <c r="F113" s="18"/>
      <c r="G113" s="25"/>
    </row>
    <row r="114" spans="1:7" ht="29.1" customHeight="1" x14ac:dyDescent="0.2">
      <c r="A114" s="21"/>
      <c r="B114" s="9" t="s">
        <v>571</v>
      </c>
      <c r="C114" s="24">
        <v>13.291399999999999</v>
      </c>
      <c r="D114" s="24">
        <v>13.3116</v>
      </c>
      <c r="E114" s="21"/>
      <c r="F114" s="18"/>
      <c r="G114" s="25"/>
    </row>
    <row r="115" spans="1:7" ht="17.100000000000001" customHeight="1" x14ac:dyDescent="0.2">
      <c r="A115" s="21"/>
      <c r="B115" s="9" t="s">
        <v>119</v>
      </c>
      <c r="C115" s="24">
        <v>38.1081</v>
      </c>
      <c r="D115" s="24">
        <v>38.156700000000001</v>
      </c>
      <c r="E115" s="21"/>
      <c r="F115" s="18"/>
      <c r="G115" s="25"/>
    </row>
    <row r="116" spans="1:7" ht="17.100000000000001" customHeight="1" x14ac:dyDescent="0.2">
      <c r="A116" s="21"/>
      <c r="B116" s="9" t="s">
        <v>163</v>
      </c>
      <c r="C116" s="24">
        <v>13.765599999999999</v>
      </c>
      <c r="D116" s="24">
        <v>13.783200000000001</v>
      </c>
      <c r="E116" s="21"/>
      <c r="F116" s="18"/>
      <c r="G116" s="25"/>
    </row>
    <row r="117" spans="1:7" ht="29.1" customHeight="1" x14ac:dyDescent="0.2">
      <c r="A117" s="21"/>
      <c r="B117" s="9" t="s">
        <v>581</v>
      </c>
      <c r="C117" s="24">
        <v>12.856400000000001</v>
      </c>
      <c r="D117" s="24">
        <v>12.8598</v>
      </c>
      <c r="E117" s="21"/>
      <c r="F117" s="18"/>
      <c r="G117" s="25"/>
    </row>
    <row r="118" spans="1:7" ht="29.1" customHeight="1" x14ac:dyDescent="0.2">
      <c r="A118" s="21"/>
      <c r="B118" s="9" t="s">
        <v>583</v>
      </c>
      <c r="C118" s="24">
        <v>12.8565</v>
      </c>
      <c r="D118" s="24">
        <v>12.8729</v>
      </c>
      <c r="E118" s="21"/>
      <c r="F118" s="18"/>
      <c r="G118" s="25"/>
    </row>
    <row r="119" spans="1:7" ht="29.1" customHeight="1" x14ac:dyDescent="0.2">
      <c r="A119" s="21"/>
      <c r="B119" s="9" t="s">
        <v>572</v>
      </c>
      <c r="C119" s="24">
        <v>12.895099999999999</v>
      </c>
      <c r="D119" s="24">
        <v>12.860099999999999</v>
      </c>
      <c r="E119" s="21"/>
      <c r="F119" s="18"/>
      <c r="G119" s="25"/>
    </row>
    <row r="120" spans="1:7" ht="29.1" customHeight="1" x14ac:dyDescent="0.2">
      <c r="A120" s="21"/>
      <c r="B120" s="9" t="s">
        <v>573</v>
      </c>
      <c r="C120" s="24">
        <v>13.453200000000001</v>
      </c>
      <c r="D120" s="24">
        <v>13.3954</v>
      </c>
      <c r="E120" s="21"/>
      <c r="F120" s="18"/>
      <c r="G120" s="25"/>
    </row>
    <row r="121" spans="1:7" ht="29.1" customHeight="1" x14ac:dyDescent="0.2">
      <c r="A121" s="21"/>
      <c r="B121" s="9" t="s">
        <v>574</v>
      </c>
      <c r="C121" s="24">
        <v>13.294600000000001</v>
      </c>
      <c r="D121" s="24">
        <v>13.3116</v>
      </c>
      <c r="E121" s="21"/>
      <c r="F121" s="18"/>
      <c r="G121" s="25"/>
    </row>
    <row r="122" spans="1:7" ht="29.1" customHeight="1" x14ac:dyDescent="0.2">
      <c r="A122" s="21"/>
      <c r="B122" s="9" t="s">
        <v>575</v>
      </c>
      <c r="C122" s="24">
        <v>13.1396</v>
      </c>
      <c r="D122" s="24">
        <v>13.1563</v>
      </c>
      <c r="E122" s="21"/>
      <c r="F122" s="18"/>
      <c r="G122" s="25"/>
    </row>
    <row r="123" spans="1:7" ht="14.1" customHeight="1" x14ac:dyDescent="0.2">
      <c r="A123" s="21"/>
      <c r="B123" s="21"/>
      <c r="C123" s="21"/>
      <c r="D123" s="21"/>
      <c r="E123" s="21"/>
      <c r="F123" s="21"/>
      <c r="G123" s="21"/>
    </row>
    <row r="124" spans="1:7" ht="17.100000000000001" customHeight="1" x14ac:dyDescent="0.2">
      <c r="A124" s="21"/>
      <c r="B124" s="114" t="s">
        <v>576</v>
      </c>
      <c r="C124" s="115"/>
      <c r="D124" s="2" t="s">
        <v>12</v>
      </c>
      <c r="E124" s="21"/>
      <c r="F124" s="21"/>
      <c r="G124" s="21"/>
    </row>
    <row r="125" spans="1:7" ht="18" customHeight="1" x14ac:dyDescent="0.2">
      <c r="A125" s="21"/>
      <c r="B125" s="26" t="s">
        <v>116</v>
      </c>
      <c r="C125" s="27" t="s">
        <v>120</v>
      </c>
      <c r="D125" s="27" t="s">
        <v>121</v>
      </c>
      <c r="E125" s="21"/>
      <c r="F125" s="21"/>
      <c r="G125" s="21"/>
    </row>
    <row r="126" spans="1:7" ht="29.1" customHeight="1" x14ac:dyDescent="0.2">
      <c r="A126" s="21"/>
      <c r="B126" s="9" t="s">
        <v>578</v>
      </c>
      <c r="C126" s="95">
        <v>2.8799999999999999E-2</v>
      </c>
      <c r="D126" s="96" t="s">
        <v>122</v>
      </c>
      <c r="E126" s="21"/>
      <c r="F126" s="18"/>
      <c r="G126" s="25"/>
    </row>
    <row r="127" spans="1:7" ht="29.1" customHeight="1" x14ac:dyDescent="0.2">
      <c r="A127" s="21"/>
      <c r="B127" s="9" t="s">
        <v>582</v>
      </c>
      <c r="C127" s="95">
        <v>2.8799999999999999E-2</v>
      </c>
      <c r="D127" s="96" t="s">
        <v>122</v>
      </c>
      <c r="E127" s="21"/>
      <c r="F127" s="18"/>
      <c r="G127" s="25"/>
    </row>
    <row r="128" spans="1:7" ht="29.1" customHeight="1" x14ac:dyDescent="0.2">
      <c r="A128" s="21"/>
      <c r="B128" s="9" t="s">
        <v>568</v>
      </c>
      <c r="C128" s="95">
        <v>5.7700000000000001E-2</v>
      </c>
      <c r="D128" s="96" t="s">
        <v>122</v>
      </c>
      <c r="E128" s="21"/>
      <c r="F128" s="18"/>
      <c r="G128" s="25"/>
    </row>
    <row r="129" spans="1:14" ht="29.1" customHeight="1" x14ac:dyDescent="0.2">
      <c r="A129" s="21"/>
      <c r="B129" s="9" t="s">
        <v>569</v>
      </c>
      <c r="C129" s="95">
        <v>7.4999999999999997E-2</v>
      </c>
      <c r="D129" s="96" t="s">
        <v>122</v>
      </c>
      <c r="E129" s="21"/>
      <c r="F129" s="18"/>
      <c r="G129" s="25"/>
    </row>
    <row r="130" spans="1:14" ht="29.1" customHeight="1" x14ac:dyDescent="0.2">
      <c r="A130" s="21"/>
      <c r="B130" s="9" t="s">
        <v>581</v>
      </c>
      <c r="C130" s="95">
        <v>2.4500000000000001E-2</v>
      </c>
      <c r="D130" s="95">
        <v>2.4500000000000001E-2</v>
      </c>
      <c r="E130" s="21"/>
      <c r="F130" s="18"/>
      <c r="G130" s="25"/>
    </row>
    <row r="131" spans="1:14" ht="29.1" customHeight="1" x14ac:dyDescent="0.2">
      <c r="A131" s="21"/>
      <c r="B131" s="9" t="s">
        <v>583</v>
      </c>
      <c r="C131" s="95">
        <v>2.46E-2</v>
      </c>
      <c r="D131" s="96" t="s">
        <v>122</v>
      </c>
      <c r="E131" s="21"/>
      <c r="F131" s="18"/>
      <c r="G131" s="25"/>
      <c r="J131"/>
      <c r="K131"/>
      <c r="L131"/>
      <c r="M131"/>
      <c r="N131"/>
    </row>
    <row r="132" spans="1:14" ht="29.1" customHeight="1" x14ac:dyDescent="0.2">
      <c r="A132" s="21"/>
      <c r="B132" s="9" t="s">
        <v>572</v>
      </c>
      <c r="C132" s="95">
        <v>5.1400000000000001E-2</v>
      </c>
      <c r="D132" s="95">
        <v>5.1400000000000001E-2</v>
      </c>
      <c r="E132" s="21"/>
      <c r="F132" s="18"/>
      <c r="G132" s="25"/>
    </row>
    <row r="133" spans="1:14" ht="29.1" customHeight="1" x14ac:dyDescent="0.2">
      <c r="A133" s="21"/>
      <c r="B133" s="9" t="s">
        <v>573</v>
      </c>
      <c r="C133" s="95">
        <v>7.4999999999999997E-2</v>
      </c>
      <c r="D133" s="96" t="s">
        <v>122</v>
      </c>
      <c r="E133" s="21"/>
      <c r="F133" s="18"/>
      <c r="G133" s="25"/>
      <c r="J133"/>
      <c r="K133"/>
      <c r="L133"/>
      <c r="M133"/>
      <c r="N133"/>
    </row>
    <row r="134" spans="1:14" ht="14.1" customHeight="1" x14ac:dyDescent="0.2">
      <c r="A134" s="21"/>
      <c r="B134" s="29"/>
      <c r="C134" s="29"/>
      <c r="D134" s="30"/>
      <c r="E134" s="21"/>
      <c r="F134" s="18"/>
      <c r="G134" s="25"/>
    </row>
    <row r="135" spans="1:14" ht="17.100000000000001" customHeight="1" x14ac:dyDescent="0.2">
      <c r="A135" s="21"/>
      <c r="B135" s="114" t="s">
        <v>508</v>
      </c>
      <c r="C135" s="115"/>
      <c r="D135" s="2" t="s">
        <v>111</v>
      </c>
      <c r="E135" s="25"/>
      <c r="F135" s="25"/>
      <c r="G135" s="25"/>
    </row>
    <row r="136" spans="1:14" ht="29.1" customHeight="1" x14ac:dyDescent="0.2">
      <c r="A136" s="21"/>
      <c r="B136" s="114" t="s">
        <v>509</v>
      </c>
      <c r="C136" s="115"/>
      <c r="D136" s="2" t="s">
        <v>111</v>
      </c>
      <c r="E136" s="31"/>
      <c r="F136" s="21"/>
      <c r="G136" s="21"/>
    </row>
    <row r="137" spans="1:14" ht="29.1" customHeight="1" x14ac:dyDescent="0.2">
      <c r="A137" s="21"/>
      <c r="B137" s="114" t="s">
        <v>510</v>
      </c>
      <c r="C137" s="115"/>
      <c r="D137" s="2" t="s">
        <v>111</v>
      </c>
      <c r="E137" s="31"/>
      <c r="F137" s="21"/>
      <c r="G137" s="21"/>
    </row>
    <row r="138" spans="1:14" ht="17.100000000000001" customHeight="1" x14ac:dyDescent="0.2">
      <c r="A138" s="21"/>
      <c r="B138" s="114" t="s">
        <v>511</v>
      </c>
      <c r="C138" s="115"/>
      <c r="D138" s="2" t="s">
        <v>111</v>
      </c>
      <c r="E138" s="31"/>
      <c r="F138" s="21"/>
      <c r="G138" s="21"/>
    </row>
    <row r="140" spans="1:14" x14ac:dyDescent="0.2">
      <c r="B140" s="135" t="s">
        <v>560</v>
      </c>
      <c r="C140" s="135"/>
      <c r="D140" s="135"/>
      <c r="E140" s="135"/>
      <c r="F140" s="135"/>
      <c r="G140" s="135"/>
      <c r="H140" s="135"/>
    </row>
    <row r="141" spans="1:14" x14ac:dyDescent="0.2">
      <c r="B141" s="46"/>
      <c r="C141" s="46"/>
      <c r="D141" s="46"/>
      <c r="E141" s="46"/>
      <c r="F141" s="46"/>
      <c r="G141" s="46"/>
      <c r="H141" s="46"/>
    </row>
    <row r="142" spans="1:14" x14ac:dyDescent="0.2">
      <c r="B142" s="54" t="s">
        <v>519</v>
      </c>
      <c r="C142" s="54" t="s">
        <v>520</v>
      </c>
      <c r="D142" s="136" t="s">
        <v>514</v>
      </c>
      <c r="E142" s="137"/>
      <c r="F142" s="138"/>
      <c r="G142" s="139" t="s">
        <v>515</v>
      </c>
      <c r="H142" s="140"/>
    </row>
    <row r="143" spans="1:14" ht="25.5" x14ac:dyDescent="0.2">
      <c r="B143" s="55" t="s">
        <v>525</v>
      </c>
      <c r="C143" s="56" t="s">
        <v>540</v>
      </c>
      <c r="D143" s="141">
        <v>0</v>
      </c>
      <c r="E143" s="142"/>
      <c r="F143" s="143"/>
      <c r="G143" s="141">
        <v>0</v>
      </c>
      <c r="H143" s="143"/>
    </row>
    <row r="144" spans="1:14" ht="25.5" x14ac:dyDescent="0.2">
      <c r="B144" s="55" t="s">
        <v>521</v>
      </c>
      <c r="C144" s="56" t="s">
        <v>541</v>
      </c>
      <c r="D144" s="141">
        <v>0</v>
      </c>
      <c r="E144" s="142"/>
      <c r="F144" s="143"/>
      <c r="G144" s="141">
        <v>0</v>
      </c>
      <c r="H144" s="143"/>
    </row>
    <row r="145" spans="2:9" ht="25.5" x14ac:dyDescent="0.2">
      <c r="B145" s="55" t="s">
        <v>542</v>
      </c>
      <c r="C145" s="56" t="s">
        <v>543</v>
      </c>
      <c r="D145" s="141">
        <v>0</v>
      </c>
      <c r="E145" s="142"/>
      <c r="F145" s="143"/>
      <c r="G145" s="141">
        <v>0</v>
      </c>
      <c r="H145" s="143"/>
    </row>
    <row r="146" spans="2:9" ht="25.5" x14ac:dyDescent="0.2">
      <c r="B146" s="55" t="s">
        <v>523</v>
      </c>
      <c r="C146" s="56" t="s">
        <v>544</v>
      </c>
      <c r="D146" s="141">
        <v>0</v>
      </c>
      <c r="E146" s="142"/>
      <c r="F146" s="143"/>
      <c r="G146" s="141">
        <v>0</v>
      </c>
      <c r="H146" s="143"/>
    </row>
    <row r="147" spans="2:9" x14ac:dyDescent="0.2">
      <c r="B147" s="55"/>
      <c r="C147" s="55"/>
      <c r="D147" s="144"/>
      <c r="E147" s="144"/>
      <c r="F147" s="144"/>
      <c r="G147" s="144"/>
      <c r="H147" s="144"/>
    </row>
    <row r="148" spans="2:9" x14ac:dyDescent="0.2">
      <c r="B148" s="126" t="s">
        <v>527</v>
      </c>
      <c r="C148" s="126"/>
      <c r="D148" s="126"/>
      <c r="E148" s="126"/>
      <c r="F148" s="126"/>
      <c r="G148" s="126"/>
      <c r="H148" s="126"/>
    </row>
    <row r="149" spans="2:9" x14ac:dyDescent="0.2">
      <c r="B149" s="129" t="s">
        <v>519</v>
      </c>
      <c r="C149" s="129" t="s">
        <v>520</v>
      </c>
      <c r="D149" s="129" t="s">
        <v>528</v>
      </c>
      <c r="E149" s="129"/>
      <c r="F149" s="129"/>
      <c r="G149" s="129"/>
      <c r="H149" s="130" t="s">
        <v>545</v>
      </c>
    </row>
    <row r="150" spans="2:9" ht="63.75" x14ac:dyDescent="0.2">
      <c r="B150" s="129"/>
      <c r="C150" s="129"/>
      <c r="D150" s="57" t="s">
        <v>530</v>
      </c>
      <c r="E150" s="57" t="s">
        <v>531</v>
      </c>
      <c r="F150" s="57" t="s">
        <v>532</v>
      </c>
      <c r="G150" s="57" t="s">
        <v>546</v>
      </c>
      <c r="H150" s="131"/>
      <c r="I150" s="40"/>
    </row>
    <row r="151" spans="2:9" ht="25.5" x14ac:dyDescent="0.2">
      <c r="B151" s="55" t="s">
        <v>525</v>
      </c>
      <c r="C151" s="56" t="s">
        <v>540</v>
      </c>
      <c r="D151" s="58">
        <v>3000</v>
      </c>
      <c r="E151" s="58">
        <v>198.60410960000002</v>
      </c>
      <c r="F151" s="59">
        <v>72.152053199999997</v>
      </c>
      <c r="G151" s="60">
        <v>3270.7561627999999</v>
      </c>
      <c r="H151" s="61">
        <v>1452.6372699999999</v>
      </c>
    </row>
    <row r="152" spans="2:9" ht="25.5" x14ac:dyDescent="0.2">
      <c r="B152" s="55" t="s">
        <v>521</v>
      </c>
      <c r="C152" s="56" t="s">
        <v>541</v>
      </c>
      <c r="D152" s="58">
        <v>500</v>
      </c>
      <c r="E152" s="58">
        <v>33.283561599999999</v>
      </c>
      <c r="F152" s="59">
        <v>12.091777499999999</v>
      </c>
      <c r="G152" s="60">
        <f>D152+E152+F152</f>
        <v>545.37533910000002</v>
      </c>
      <c r="H152" s="61">
        <v>242.22076999999999</v>
      </c>
    </row>
    <row r="153" spans="2:9" ht="25.5" x14ac:dyDescent="0.2">
      <c r="B153" s="55" t="s">
        <v>542</v>
      </c>
      <c r="C153" s="56" t="s">
        <v>547</v>
      </c>
      <c r="D153" s="58">
        <v>2000</v>
      </c>
      <c r="E153" s="58">
        <v>39.762295099999996</v>
      </c>
      <c r="F153" s="59">
        <v>64.029485721917808</v>
      </c>
      <c r="G153" s="60">
        <v>2103.7917808219199</v>
      </c>
      <c r="H153" s="61">
        <v>933.64715000000001</v>
      </c>
    </row>
    <row r="154" spans="2:9" ht="25.5" x14ac:dyDescent="0.2">
      <c r="B154" s="55" t="s">
        <v>523</v>
      </c>
      <c r="C154" s="56" t="s">
        <v>544</v>
      </c>
      <c r="D154" s="58">
        <v>1882.78</v>
      </c>
      <c r="E154" s="58">
        <v>137.066384</v>
      </c>
      <c r="F154" s="59">
        <v>34.266601500000007</v>
      </c>
      <c r="G154" s="60">
        <v>2054.1129854999999</v>
      </c>
      <c r="H154" s="61">
        <v>916.65184999999997</v>
      </c>
    </row>
    <row r="155" spans="2:9" x14ac:dyDescent="0.2">
      <c r="B155" s="55"/>
      <c r="C155" s="55"/>
      <c r="D155" s="55"/>
      <c r="E155" s="55"/>
      <c r="F155" s="60"/>
      <c r="G155" s="60"/>
      <c r="H155" s="55"/>
    </row>
    <row r="156" spans="2:9" ht="43.5" customHeight="1" x14ac:dyDescent="0.2">
      <c r="B156" s="128" t="s">
        <v>548</v>
      </c>
      <c r="C156" s="128"/>
      <c r="D156" s="128"/>
      <c r="E156" s="128"/>
      <c r="F156" s="128"/>
      <c r="G156" s="128"/>
      <c r="H156" s="128"/>
    </row>
    <row r="157" spans="2:9" x14ac:dyDescent="0.2">
      <c r="B157" s="40"/>
      <c r="C157" s="40"/>
      <c r="D157" s="40"/>
      <c r="E157" s="40"/>
      <c r="F157" s="40"/>
      <c r="G157" s="40"/>
      <c r="H157" s="40"/>
    </row>
    <row r="158" spans="2:9" x14ac:dyDescent="0.2">
      <c r="B158" s="64" t="s">
        <v>535</v>
      </c>
      <c r="C158" s="40"/>
      <c r="D158" s="40"/>
      <c r="E158" s="40"/>
      <c r="F158" s="40"/>
      <c r="G158" s="40"/>
      <c r="H158" s="40"/>
      <c r="I158" s="40"/>
    </row>
    <row r="159" spans="2:9" x14ac:dyDescent="0.2">
      <c r="B159" s="40"/>
      <c r="C159" s="40"/>
      <c r="D159" s="40"/>
      <c r="E159" s="40"/>
      <c r="F159" s="40"/>
      <c r="G159" s="40"/>
      <c r="H159" s="40"/>
      <c r="I159" s="40"/>
    </row>
    <row r="160" spans="2:9" x14ac:dyDescent="0.2">
      <c r="B160" s="65" t="s">
        <v>536</v>
      </c>
      <c r="C160" s="40"/>
      <c r="D160" s="40"/>
      <c r="E160" s="40"/>
      <c r="F160" s="40"/>
      <c r="G160" s="40"/>
      <c r="H160" s="40"/>
      <c r="I160" s="40"/>
    </row>
    <row r="161" spans="2:9" x14ac:dyDescent="0.2">
      <c r="B161" s="40"/>
      <c r="C161" s="40"/>
      <c r="D161" s="40"/>
      <c r="E161" s="40"/>
      <c r="F161" s="40"/>
      <c r="G161" s="40"/>
      <c r="H161" s="40"/>
      <c r="I161" s="40"/>
    </row>
    <row r="162" spans="2:9" x14ac:dyDescent="0.2">
      <c r="B162" s="65" t="s">
        <v>537</v>
      </c>
      <c r="C162" s="40"/>
      <c r="D162" s="40"/>
      <c r="E162" s="40"/>
      <c r="F162" s="40"/>
      <c r="G162" s="40"/>
      <c r="H162" s="40"/>
    </row>
    <row r="164" spans="2:9" x14ac:dyDescent="0.2">
      <c r="B164" s="111" t="s">
        <v>500</v>
      </c>
      <c r="C164" s="112"/>
      <c r="D164" s="113"/>
    </row>
    <row r="165" spans="2:9" ht="25.5" x14ac:dyDescent="0.2">
      <c r="B165" s="117" t="s">
        <v>501</v>
      </c>
      <c r="C165" s="117"/>
      <c r="D165" s="41" t="s">
        <v>326</v>
      </c>
    </row>
    <row r="166" spans="2:9" x14ac:dyDescent="0.2">
      <c r="B166" s="117" t="s">
        <v>502</v>
      </c>
      <c r="C166" s="117"/>
      <c r="D166" s="42"/>
    </row>
    <row r="167" spans="2:9" x14ac:dyDescent="0.2">
      <c r="B167" s="117"/>
      <c r="C167" s="117"/>
      <c r="D167" s="43"/>
    </row>
    <row r="168" spans="2:9" x14ac:dyDescent="0.2">
      <c r="B168" s="117" t="s">
        <v>503</v>
      </c>
      <c r="C168" s="117"/>
      <c r="D168" s="32">
        <v>7.5815726604916938</v>
      </c>
    </row>
    <row r="169" spans="2:9" x14ac:dyDescent="0.2">
      <c r="B169" s="117"/>
      <c r="C169" s="117"/>
      <c r="D169" s="43"/>
    </row>
    <row r="170" spans="2:9" x14ac:dyDescent="0.2">
      <c r="B170" s="117" t="s">
        <v>504</v>
      </c>
      <c r="C170" s="117"/>
      <c r="D170" s="32">
        <v>2.7304396659111201</v>
      </c>
    </row>
    <row r="171" spans="2:9" x14ac:dyDescent="0.2">
      <c r="B171" s="117" t="s">
        <v>505</v>
      </c>
      <c r="C171" s="117"/>
      <c r="D171" s="32">
        <v>3.6985616889639976</v>
      </c>
    </row>
    <row r="172" spans="2:9" x14ac:dyDescent="0.2">
      <c r="B172" s="117"/>
      <c r="C172" s="117"/>
      <c r="D172" s="43"/>
    </row>
    <row r="173" spans="2:9" x14ac:dyDescent="0.2">
      <c r="B173" s="117" t="s">
        <v>506</v>
      </c>
      <c r="C173" s="117"/>
      <c r="D173" s="44">
        <v>45107</v>
      </c>
    </row>
    <row r="174" spans="2:9" x14ac:dyDescent="0.2">
      <c r="B174" s="118" t="s">
        <v>507</v>
      </c>
      <c r="C174" s="119"/>
      <c r="D174" s="120"/>
    </row>
  </sheetData>
  <mergeCells count="46">
    <mergeCell ref="J2:N2"/>
    <mergeCell ref="B174:D174"/>
    <mergeCell ref="B169:C169"/>
    <mergeCell ref="B170:C170"/>
    <mergeCell ref="B171:C171"/>
    <mergeCell ref="B172:C172"/>
    <mergeCell ref="B173:C173"/>
    <mergeCell ref="B164:D164"/>
    <mergeCell ref="B165:C165"/>
    <mergeCell ref="B166:C166"/>
    <mergeCell ref="B167:C167"/>
    <mergeCell ref="B168:C168"/>
    <mergeCell ref="B149:B150"/>
    <mergeCell ref="C149:C150"/>
    <mergeCell ref="D149:G149"/>
    <mergeCell ref="H149:H150"/>
    <mergeCell ref="B156:H156"/>
    <mergeCell ref="D146:F146"/>
    <mergeCell ref="G146:H146"/>
    <mergeCell ref="D147:F147"/>
    <mergeCell ref="G147:H147"/>
    <mergeCell ref="B148:H148"/>
    <mergeCell ref="D143:F143"/>
    <mergeCell ref="G143:H143"/>
    <mergeCell ref="D144:F144"/>
    <mergeCell ref="G144:H144"/>
    <mergeCell ref="D145:F145"/>
    <mergeCell ref="G145:H145"/>
    <mergeCell ref="B140:H140"/>
    <mergeCell ref="D142:F142"/>
    <mergeCell ref="G142:H142"/>
    <mergeCell ref="B98:F98"/>
    <mergeCell ref="B99:F99"/>
    <mergeCell ref="B137:C137"/>
    <mergeCell ref="B138:C138"/>
    <mergeCell ref="B102:D102"/>
    <mergeCell ref="B103:C103"/>
    <mergeCell ref="B104:C104"/>
    <mergeCell ref="B105:C105"/>
    <mergeCell ref="B124:C124"/>
    <mergeCell ref="B136:C136"/>
    <mergeCell ref="A1:H1"/>
    <mergeCell ref="A2:H2"/>
    <mergeCell ref="A3:H3"/>
    <mergeCell ref="B100:F100"/>
    <mergeCell ref="B135:C135"/>
  </mergeCells>
  <hyperlinks>
    <hyperlink ref="B160" r:id="rId1" xr:uid="{5C151BCC-244A-4D1A-8073-C9A95C572D98}"/>
    <hyperlink ref="B162" r:id="rId2" xr:uid="{D6D02387-1716-43DC-BD10-A2BA8E648019}"/>
    <hyperlink ref="I1" location="Index!B7" display="Index" xr:uid="{6C95362D-6812-45A4-B15B-36050B12B49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0" t="s">
        <v>0</v>
      </c>
      <c r="B1" s="110"/>
      <c r="C1" s="110"/>
      <c r="D1" s="110"/>
      <c r="E1" s="110"/>
      <c r="F1" s="110"/>
      <c r="G1" s="110"/>
      <c r="H1" s="110"/>
      <c r="I1" s="101" t="s">
        <v>591</v>
      </c>
    </row>
    <row r="2" spans="1:14" ht="17.100000000000001" customHeight="1" x14ac:dyDescent="0.2">
      <c r="A2" s="110" t="s">
        <v>350</v>
      </c>
      <c r="B2" s="110"/>
      <c r="C2" s="110"/>
      <c r="D2" s="110"/>
      <c r="E2" s="110"/>
      <c r="F2" s="110"/>
      <c r="G2" s="110"/>
      <c r="H2" s="110"/>
      <c r="J2" s="116" t="s">
        <v>604</v>
      </c>
      <c r="K2" s="116"/>
      <c r="L2" s="116"/>
      <c r="M2" s="116"/>
      <c r="N2" s="116"/>
    </row>
    <row r="3" spans="1:14" ht="21" customHeight="1" x14ac:dyDescent="0.2">
      <c r="A3" s="110" t="s">
        <v>589</v>
      </c>
      <c r="B3" s="110"/>
      <c r="C3" s="110"/>
      <c r="D3" s="110"/>
      <c r="E3" s="110"/>
      <c r="F3" s="110"/>
      <c r="G3" s="110"/>
      <c r="H3" s="110"/>
    </row>
    <row r="4" spans="1:14" ht="30" x14ac:dyDescent="0.2">
      <c r="A4" s="94" t="s">
        <v>2</v>
      </c>
      <c r="B4" s="94" t="s">
        <v>3</v>
      </c>
      <c r="C4" s="94" t="s">
        <v>4</v>
      </c>
      <c r="D4" s="94" t="s">
        <v>5</v>
      </c>
      <c r="E4" s="94" t="s">
        <v>6</v>
      </c>
      <c r="F4" s="94" t="s">
        <v>7</v>
      </c>
      <c r="G4" s="94" t="s">
        <v>8</v>
      </c>
      <c r="H4" s="91" t="s">
        <v>588</v>
      </c>
      <c r="I4" s="102"/>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5" t="s">
        <v>605</v>
      </c>
      <c r="K16" s="108"/>
      <c r="L16" s="108"/>
      <c r="M16" s="108"/>
      <c r="N16" s="108"/>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5">
      <c r="A28" s="8">
        <v>1</v>
      </c>
      <c r="B28" s="9" t="s">
        <v>188</v>
      </c>
      <c r="C28" s="9" t="s">
        <v>189</v>
      </c>
      <c r="D28" s="9" t="s">
        <v>62</v>
      </c>
      <c r="E28" s="10">
        <v>350</v>
      </c>
      <c r="F28" s="11">
        <v>3482.2620000000002</v>
      </c>
      <c r="G28" s="12">
        <v>2.36086E-2</v>
      </c>
      <c r="H28" s="11">
        <v>7.18</v>
      </c>
      <c r="J28" s="105" t="s">
        <v>606</v>
      </c>
      <c r="K28" s="108"/>
      <c r="L28" s="108"/>
      <c r="M28" s="108"/>
      <c r="N28" s="108"/>
    </row>
    <row r="29" spans="1:14" ht="29.1" customHeight="1" x14ac:dyDescent="0.2">
      <c r="A29" s="8">
        <v>2</v>
      </c>
      <c r="B29" s="9" t="s">
        <v>351</v>
      </c>
      <c r="C29" s="9" t="s">
        <v>352</v>
      </c>
      <c r="D29" s="9" t="s">
        <v>192</v>
      </c>
      <c r="E29" s="10">
        <v>250000</v>
      </c>
      <c r="F29" s="11">
        <v>2500.3024999999998</v>
      </c>
      <c r="G29" s="12">
        <v>1.6951239999999999E-2</v>
      </c>
      <c r="H29" s="11">
        <v>8.24</v>
      </c>
    </row>
    <row r="30" spans="1:14" ht="17.100000000000001" customHeight="1" x14ac:dyDescent="0.2">
      <c r="A30" s="8">
        <v>3</v>
      </c>
      <c r="B30" s="9" t="s">
        <v>335</v>
      </c>
      <c r="C30" s="9" t="s">
        <v>336</v>
      </c>
      <c r="D30" s="9" t="s">
        <v>46</v>
      </c>
      <c r="E30" s="10">
        <v>200</v>
      </c>
      <c r="F30" s="11">
        <v>1998.24</v>
      </c>
      <c r="G30" s="12">
        <v>1.3547419999999999E-2</v>
      </c>
      <c r="H30" s="11">
        <v>7.5167000000000002</v>
      </c>
    </row>
    <row r="31" spans="1:14" ht="29.1" customHeight="1" x14ac:dyDescent="0.2">
      <c r="A31" s="8">
        <v>4</v>
      </c>
      <c r="B31" s="9" t="s">
        <v>193</v>
      </c>
      <c r="C31" s="9" t="s">
        <v>194</v>
      </c>
      <c r="D31" s="9" t="s">
        <v>23</v>
      </c>
      <c r="E31" s="10">
        <v>1500</v>
      </c>
      <c r="F31" s="11">
        <v>1502.7570000000001</v>
      </c>
      <c r="G31" s="12">
        <v>1.01882E-2</v>
      </c>
      <c r="H31" s="11">
        <v>7.3049999999999997</v>
      </c>
    </row>
    <row r="32" spans="1:14" ht="29.1" customHeight="1" x14ac:dyDescent="0.2">
      <c r="A32" s="8">
        <v>5</v>
      </c>
      <c r="B32" s="9" t="s">
        <v>75</v>
      </c>
      <c r="C32" s="9" t="s">
        <v>76</v>
      </c>
      <c r="D32" s="9" t="s">
        <v>23</v>
      </c>
      <c r="E32" s="10">
        <v>1500</v>
      </c>
      <c r="F32" s="11">
        <v>1497.357</v>
      </c>
      <c r="G32" s="12">
        <v>1.015159E-2</v>
      </c>
      <c r="H32" s="11">
        <v>7.89</v>
      </c>
    </row>
    <row r="33" spans="1:8" ht="29.1" customHeight="1" x14ac:dyDescent="0.2">
      <c r="A33" s="8">
        <v>6</v>
      </c>
      <c r="B33" s="9" t="s">
        <v>67</v>
      </c>
      <c r="C33" s="9" t="s">
        <v>68</v>
      </c>
      <c r="D33" s="9" t="s">
        <v>23</v>
      </c>
      <c r="E33" s="10">
        <v>1500</v>
      </c>
      <c r="F33" s="11">
        <v>1497.2985000000001</v>
      </c>
      <c r="G33" s="12">
        <v>1.0151200000000001E-2</v>
      </c>
      <c r="H33" s="11">
        <v>8.1173999999999999</v>
      </c>
    </row>
    <row r="34" spans="1:8" ht="29.1" customHeight="1" x14ac:dyDescent="0.2">
      <c r="A34" s="8">
        <v>7</v>
      </c>
      <c r="B34" s="9" t="s">
        <v>190</v>
      </c>
      <c r="C34" s="9" t="s">
        <v>191</v>
      </c>
      <c r="D34" s="9" t="s">
        <v>192</v>
      </c>
      <c r="E34" s="10">
        <v>100</v>
      </c>
      <c r="F34" s="11">
        <v>992.09900000000005</v>
      </c>
      <c r="G34" s="12">
        <v>6.7261100000000004E-3</v>
      </c>
      <c r="H34" s="11">
        <v>8.15</v>
      </c>
    </row>
    <row r="35" spans="1:8" ht="14.1" customHeight="1" x14ac:dyDescent="0.2">
      <c r="A35" s="1"/>
      <c r="B35" s="1"/>
      <c r="C35" s="2" t="s">
        <v>11</v>
      </c>
      <c r="D35" s="1"/>
      <c r="E35" s="1" t="s">
        <v>12</v>
      </c>
      <c r="F35" s="7">
        <v>13470.316000000001</v>
      </c>
      <c r="G35" s="4">
        <v>9.1324359999999993E-2</v>
      </c>
      <c r="H35" s="11"/>
    </row>
    <row r="36" spans="1:8" ht="14.1" customHeight="1" x14ac:dyDescent="0.2">
      <c r="A36" s="1"/>
      <c r="B36" s="1"/>
      <c r="C36" s="5"/>
      <c r="D36" s="1"/>
      <c r="E36" s="1"/>
      <c r="F36" s="6"/>
      <c r="G36" s="6"/>
      <c r="H36" s="11"/>
    </row>
    <row r="37" spans="1:8" ht="14.1" customHeight="1" x14ac:dyDescent="0.2">
      <c r="A37" s="1"/>
      <c r="B37" s="1"/>
      <c r="C37" s="2" t="s">
        <v>77</v>
      </c>
      <c r="D37" s="1"/>
      <c r="E37" s="1"/>
      <c r="F37" s="1"/>
      <c r="G37" s="1"/>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78</v>
      </c>
      <c r="D40" s="1"/>
      <c r="E40" s="1"/>
      <c r="F40" s="1"/>
      <c r="G40" s="1"/>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90</v>
      </c>
      <c r="D43" s="1"/>
      <c r="E43" s="1"/>
      <c r="F43" s="6"/>
      <c r="G43" s="6"/>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4.1" customHeight="1" x14ac:dyDescent="0.2">
      <c r="A46" s="1"/>
      <c r="B46" s="1"/>
      <c r="C46" s="2" t="s">
        <v>91</v>
      </c>
      <c r="D46" s="1"/>
      <c r="E46" s="1"/>
      <c r="F46" s="7">
        <v>13470.316000000001</v>
      </c>
      <c r="G46" s="4">
        <v>9.1324359999999993E-2</v>
      </c>
      <c r="H46" s="11"/>
    </row>
    <row r="47" spans="1:8" ht="14.1" customHeight="1" x14ac:dyDescent="0.2">
      <c r="A47" s="1"/>
      <c r="B47" s="1"/>
      <c r="C47" s="5"/>
      <c r="D47" s="1"/>
      <c r="E47" s="1"/>
      <c r="F47" s="6"/>
      <c r="G47" s="6"/>
      <c r="H47" s="11"/>
    </row>
    <row r="48" spans="1:8" ht="14.1" customHeight="1" x14ac:dyDescent="0.2">
      <c r="A48" s="1"/>
      <c r="B48" s="1"/>
      <c r="C48" s="2" t="s">
        <v>92</v>
      </c>
      <c r="D48" s="1"/>
      <c r="E48" s="1"/>
      <c r="F48" s="6"/>
      <c r="G48" s="6"/>
      <c r="H48" s="11"/>
    </row>
    <row r="49" spans="1:8" ht="14.1" customHeight="1" x14ac:dyDescent="0.2">
      <c r="A49" s="1"/>
      <c r="B49" s="1"/>
      <c r="C49" s="2" t="s">
        <v>93</v>
      </c>
      <c r="D49" s="1"/>
      <c r="E49" s="1"/>
      <c r="F49" s="6"/>
      <c r="G49" s="6"/>
      <c r="H49" s="11"/>
    </row>
    <row r="50" spans="1:8" ht="17.100000000000001" customHeight="1" x14ac:dyDescent="0.2">
      <c r="A50" s="8">
        <v>1</v>
      </c>
      <c r="B50" s="9" t="s">
        <v>158</v>
      </c>
      <c r="C50" s="9" t="s">
        <v>159</v>
      </c>
      <c r="D50" s="9" t="s">
        <v>160</v>
      </c>
      <c r="E50" s="10">
        <v>1300</v>
      </c>
      <c r="F50" s="11">
        <v>6412.1589999999997</v>
      </c>
      <c r="G50" s="12">
        <v>4.347235E-2</v>
      </c>
      <c r="H50" s="11">
        <v>6.8498000000000001</v>
      </c>
    </row>
    <row r="51" spans="1:8" ht="17.100000000000001" customHeight="1" x14ac:dyDescent="0.2">
      <c r="A51" s="8">
        <v>2</v>
      </c>
      <c r="B51" s="9" t="s">
        <v>353</v>
      </c>
      <c r="C51" s="9" t="s">
        <v>354</v>
      </c>
      <c r="D51" s="9" t="s">
        <v>169</v>
      </c>
      <c r="E51" s="10">
        <v>1000</v>
      </c>
      <c r="F51" s="11">
        <v>4851.835</v>
      </c>
      <c r="G51" s="12">
        <v>3.2893859999999997E-2</v>
      </c>
      <c r="H51" s="11">
        <v>7.1451000000000002</v>
      </c>
    </row>
    <row r="52" spans="1:8" ht="29.1" customHeight="1" x14ac:dyDescent="0.2">
      <c r="A52" s="8">
        <v>3</v>
      </c>
      <c r="B52" s="9" t="s">
        <v>173</v>
      </c>
      <c r="C52" s="9" t="s">
        <v>476</v>
      </c>
      <c r="D52" s="9" t="s">
        <v>169</v>
      </c>
      <c r="E52" s="10">
        <v>1000</v>
      </c>
      <c r="F52" s="11">
        <v>4763.8050000000003</v>
      </c>
      <c r="G52" s="12">
        <v>3.2297039999999999E-2</v>
      </c>
      <c r="H52" s="11">
        <v>7.21</v>
      </c>
    </row>
    <row r="53" spans="1:8" ht="17.100000000000001" customHeight="1" x14ac:dyDescent="0.2">
      <c r="A53" s="8">
        <v>4</v>
      </c>
      <c r="B53" s="9" t="s">
        <v>208</v>
      </c>
      <c r="C53" s="9" t="s">
        <v>483</v>
      </c>
      <c r="D53" s="9" t="s">
        <v>169</v>
      </c>
      <c r="E53" s="10">
        <v>700</v>
      </c>
      <c r="F53" s="11">
        <v>3442.1205</v>
      </c>
      <c r="G53" s="12">
        <v>2.3336450000000002E-2</v>
      </c>
      <c r="H53" s="11">
        <v>7.0549999999999997</v>
      </c>
    </row>
    <row r="54" spans="1:8" ht="29.1" customHeight="1" x14ac:dyDescent="0.2">
      <c r="A54" s="8">
        <v>5</v>
      </c>
      <c r="B54" s="9" t="s">
        <v>209</v>
      </c>
      <c r="C54" s="9" t="s">
        <v>210</v>
      </c>
      <c r="D54" s="9" t="s">
        <v>169</v>
      </c>
      <c r="E54" s="10">
        <v>700</v>
      </c>
      <c r="F54" s="11">
        <v>3331.1284999999998</v>
      </c>
      <c r="G54" s="12">
        <v>2.258396E-2</v>
      </c>
      <c r="H54" s="11">
        <v>7.2</v>
      </c>
    </row>
    <row r="55" spans="1:8" ht="17.100000000000001" customHeight="1" x14ac:dyDescent="0.2">
      <c r="A55" s="8">
        <v>6</v>
      </c>
      <c r="B55" s="9" t="s">
        <v>172</v>
      </c>
      <c r="C55" s="9" t="s">
        <v>475</v>
      </c>
      <c r="D55" s="9" t="s">
        <v>169</v>
      </c>
      <c r="E55" s="10">
        <v>600</v>
      </c>
      <c r="F55" s="11">
        <v>2865.8789999999999</v>
      </c>
      <c r="G55" s="12">
        <v>1.9429720000000001E-2</v>
      </c>
      <c r="H55" s="11">
        <v>7.3</v>
      </c>
    </row>
    <row r="56" spans="1:8" ht="17.100000000000001" customHeight="1" x14ac:dyDescent="0.2">
      <c r="A56" s="8">
        <v>7</v>
      </c>
      <c r="B56" s="9" t="s">
        <v>355</v>
      </c>
      <c r="C56" s="9" t="s">
        <v>356</v>
      </c>
      <c r="D56" s="9" t="s">
        <v>169</v>
      </c>
      <c r="E56" s="10">
        <v>500</v>
      </c>
      <c r="F56" s="11">
        <v>2477.3474999999999</v>
      </c>
      <c r="G56" s="12">
        <v>1.6795609999999999E-2</v>
      </c>
      <c r="H56" s="11">
        <v>6.9532999999999996</v>
      </c>
    </row>
    <row r="57" spans="1:8" ht="17.100000000000001" customHeight="1" x14ac:dyDescent="0.2">
      <c r="A57" s="8">
        <v>8</v>
      </c>
      <c r="B57" s="9" t="s">
        <v>357</v>
      </c>
      <c r="C57" s="9" t="s">
        <v>358</v>
      </c>
      <c r="D57" s="9" t="s">
        <v>169</v>
      </c>
      <c r="E57" s="10">
        <v>500</v>
      </c>
      <c r="F57" s="11">
        <v>2475.0225</v>
      </c>
      <c r="G57" s="12">
        <v>1.6779849999999999E-2</v>
      </c>
      <c r="H57" s="11">
        <v>6.9503000000000004</v>
      </c>
    </row>
    <row r="58" spans="1:8" ht="17.100000000000001" customHeight="1" x14ac:dyDescent="0.2">
      <c r="A58" s="8">
        <v>9</v>
      </c>
      <c r="B58" s="9" t="s">
        <v>239</v>
      </c>
      <c r="C58" s="9" t="s">
        <v>240</v>
      </c>
      <c r="D58" s="9" t="s">
        <v>169</v>
      </c>
      <c r="E58" s="10">
        <v>500</v>
      </c>
      <c r="F58" s="11">
        <v>2463.0300000000002</v>
      </c>
      <c r="G58" s="12">
        <v>1.6698540000000001E-2</v>
      </c>
      <c r="H58" s="11">
        <v>6.9349999999999996</v>
      </c>
    </row>
    <row r="59" spans="1:8" ht="17.100000000000001" customHeight="1" x14ac:dyDescent="0.2">
      <c r="A59" s="8">
        <v>10</v>
      </c>
      <c r="B59" s="9" t="s">
        <v>359</v>
      </c>
      <c r="C59" s="9" t="s">
        <v>360</v>
      </c>
      <c r="D59" s="9" t="s">
        <v>160</v>
      </c>
      <c r="E59" s="10">
        <v>500</v>
      </c>
      <c r="F59" s="11">
        <v>2435.0174999999999</v>
      </c>
      <c r="G59" s="12">
        <v>1.6508620000000002E-2</v>
      </c>
      <c r="H59" s="11">
        <v>7.11</v>
      </c>
    </row>
    <row r="60" spans="1:8" ht="17.100000000000001" customHeight="1" x14ac:dyDescent="0.2">
      <c r="A60" s="8">
        <v>11</v>
      </c>
      <c r="B60" s="9" t="s">
        <v>361</v>
      </c>
      <c r="C60" s="9" t="s">
        <v>362</v>
      </c>
      <c r="D60" s="9" t="s">
        <v>169</v>
      </c>
      <c r="E60" s="10">
        <v>500</v>
      </c>
      <c r="F60" s="11">
        <v>2434.2824999999998</v>
      </c>
      <c r="G60" s="12">
        <v>1.650364E-2</v>
      </c>
      <c r="H60" s="11">
        <v>7.1924999999999999</v>
      </c>
    </row>
    <row r="61" spans="1:8" ht="17.100000000000001" customHeight="1" x14ac:dyDescent="0.2">
      <c r="A61" s="8">
        <v>12</v>
      </c>
      <c r="B61" s="9" t="s">
        <v>211</v>
      </c>
      <c r="C61" s="9" t="s">
        <v>212</v>
      </c>
      <c r="D61" s="9" t="s">
        <v>166</v>
      </c>
      <c r="E61" s="10">
        <v>500</v>
      </c>
      <c r="F61" s="11">
        <v>2433.915</v>
      </c>
      <c r="G61" s="12">
        <v>1.6501149999999999E-2</v>
      </c>
      <c r="H61" s="11">
        <v>7.13</v>
      </c>
    </row>
    <row r="62" spans="1:8" ht="17.100000000000001" customHeight="1" x14ac:dyDescent="0.2">
      <c r="A62" s="8">
        <v>13</v>
      </c>
      <c r="B62" s="9" t="s">
        <v>363</v>
      </c>
      <c r="C62" s="9" t="s">
        <v>479</v>
      </c>
      <c r="D62" s="9" t="s">
        <v>166</v>
      </c>
      <c r="E62" s="10">
        <v>500</v>
      </c>
      <c r="F62" s="11">
        <v>2388.3775000000001</v>
      </c>
      <c r="G62" s="12">
        <v>1.6192419999999999E-2</v>
      </c>
      <c r="H62" s="11">
        <v>7.29</v>
      </c>
    </row>
    <row r="63" spans="1:8" ht="17.100000000000001" customHeight="1" x14ac:dyDescent="0.2">
      <c r="A63" s="8">
        <v>14</v>
      </c>
      <c r="B63" s="9" t="s">
        <v>206</v>
      </c>
      <c r="C63" s="9" t="s">
        <v>207</v>
      </c>
      <c r="D63" s="9" t="s">
        <v>169</v>
      </c>
      <c r="E63" s="10">
        <v>500</v>
      </c>
      <c r="F63" s="11">
        <v>2382.0925000000002</v>
      </c>
      <c r="G63" s="12">
        <v>1.6149810000000001E-2</v>
      </c>
      <c r="H63" s="11">
        <v>7.2850000000000001</v>
      </c>
    </row>
    <row r="64" spans="1:8" ht="29.1" customHeight="1" x14ac:dyDescent="0.2">
      <c r="A64" s="8">
        <v>15</v>
      </c>
      <c r="B64" s="9" t="s">
        <v>364</v>
      </c>
      <c r="C64" s="9" t="s">
        <v>365</v>
      </c>
      <c r="D64" s="9" t="s">
        <v>169</v>
      </c>
      <c r="E64" s="10">
        <v>500</v>
      </c>
      <c r="F64" s="11">
        <v>2380.5774999999999</v>
      </c>
      <c r="G64" s="12">
        <v>1.6139540000000001E-2</v>
      </c>
      <c r="H64" s="11">
        <v>7.2950999999999997</v>
      </c>
    </row>
    <row r="65" spans="1:8" ht="17.100000000000001" customHeight="1" x14ac:dyDescent="0.2">
      <c r="A65" s="8">
        <v>16</v>
      </c>
      <c r="B65" s="9" t="s">
        <v>366</v>
      </c>
      <c r="C65" s="9" t="s">
        <v>367</v>
      </c>
      <c r="D65" s="9" t="s">
        <v>160</v>
      </c>
      <c r="E65" s="10">
        <v>500</v>
      </c>
      <c r="F65" s="11">
        <v>2379.41</v>
      </c>
      <c r="G65" s="12">
        <v>1.6131619999999999E-2</v>
      </c>
      <c r="H65" s="11">
        <v>7.1699000000000002</v>
      </c>
    </row>
    <row r="66" spans="1:8" ht="29.1" customHeight="1" x14ac:dyDescent="0.2">
      <c r="A66" s="8">
        <v>17</v>
      </c>
      <c r="B66" s="9" t="s">
        <v>368</v>
      </c>
      <c r="C66" s="9" t="s">
        <v>369</v>
      </c>
      <c r="D66" s="9" t="s">
        <v>169</v>
      </c>
      <c r="E66" s="10">
        <v>500</v>
      </c>
      <c r="F66" s="11">
        <v>2378.3125</v>
      </c>
      <c r="G66" s="12">
        <v>1.6124179999999998E-2</v>
      </c>
      <c r="H66" s="11">
        <v>7.2950999999999997</v>
      </c>
    </row>
    <row r="67" spans="1:8" ht="29.1" customHeight="1" x14ac:dyDescent="0.2">
      <c r="A67" s="8">
        <v>18</v>
      </c>
      <c r="B67" s="9" t="s">
        <v>174</v>
      </c>
      <c r="C67" s="9" t="s">
        <v>175</v>
      </c>
      <c r="D67" s="9" t="s">
        <v>169</v>
      </c>
      <c r="E67" s="10">
        <v>500</v>
      </c>
      <c r="F67" s="11">
        <v>2377.7024999999999</v>
      </c>
      <c r="G67" s="12">
        <v>1.612005E-2</v>
      </c>
      <c r="H67" s="11">
        <v>7.3049999999999997</v>
      </c>
    </row>
    <row r="68" spans="1:8" ht="17.100000000000001" customHeight="1" x14ac:dyDescent="0.2">
      <c r="A68" s="8">
        <v>19</v>
      </c>
      <c r="B68" s="9" t="s">
        <v>176</v>
      </c>
      <c r="C68" s="9" t="s">
        <v>177</v>
      </c>
      <c r="D68" s="9" t="s">
        <v>160</v>
      </c>
      <c r="E68" s="10">
        <v>500</v>
      </c>
      <c r="F68" s="11">
        <v>2375.2350000000001</v>
      </c>
      <c r="G68" s="12">
        <v>1.6103320000000001E-2</v>
      </c>
      <c r="H68" s="11">
        <v>7.29</v>
      </c>
    </row>
    <row r="69" spans="1:8" ht="17.100000000000001" customHeight="1" x14ac:dyDescent="0.2">
      <c r="A69" s="8">
        <v>20</v>
      </c>
      <c r="B69" s="9" t="s">
        <v>370</v>
      </c>
      <c r="C69" s="9" t="s">
        <v>371</v>
      </c>
      <c r="D69" s="9" t="s">
        <v>169</v>
      </c>
      <c r="E69" s="10">
        <v>500</v>
      </c>
      <c r="F69" s="11">
        <v>2347.63</v>
      </c>
      <c r="G69" s="12">
        <v>1.591617E-2</v>
      </c>
      <c r="H69" s="11">
        <v>7.38</v>
      </c>
    </row>
    <row r="70" spans="1:8" ht="29.1" customHeight="1" x14ac:dyDescent="0.2">
      <c r="A70" s="8">
        <v>21</v>
      </c>
      <c r="B70" s="9" t="s">
        <v>372</v>
      </c>
      <c r="C70" s="9" t="s">
        <v>373</v>
      </c>
      <c r="D70" s="9" t="s">
        <v>169</v>
      </c>
      <c r="E70" s="10">
        <v>500</v>
      </c>
      <c r="F70" s="11">
        <v>2340.7925</v>
      </c>
      <c r="G70" s="12">
        <v>1.5869810000000002E-2</v>
      </c>
      <c r="H70" s="11">
        <v>7.4550999999999998</v>
      </c>
    </row>
    <row r="71" spans="1:8" ht="29.1" customHeight="1" x14ac:dyDescent="0.2">
      <c r="A71" s="8">
        <v>22</v>
      </c>
      <c r="B71" s="9" t="s">
        <v>374</v>
      </c>
      <c r="C71" s="9" t="s">
        <v>375</v>
      </c>
      <c r="D71" s="9" t="s">
        <v>169</v>
      </c>
      <c r="E71" s="10">
        <v>500</v>
      </c>
      <c r="F71" s="11">
        <v>2337.2150000000001</v>
      </c>
      <c r="G71" s="12">
        <v>1.5845560000000002E-2</v>
      </c>
      <c r="H71" s="11">
        <v>7.4550999999999998</v>
      </c>
    </row>
    <row r="72" spans="1:8" ht="17.100000000000001" customHeight="1" x14ac:dyDescent="0.2">
      <c r="A72" s="8">
        <v>23</v>
      </c>
      <c r="B72" s="9" t="s">
        <v>213</v>
      </c>
      <c r="C72" s="9" t="s">
        <v>477</v>
      </c>
      <c r="D72" s="9" t="s">
        <v>169</v>
      </c>
      <c r="E72" s="10">
        <v>300</v>
      </c>
      <c r="F72" s="11">
        <v>1449.1859999999999</v>
      </c>
      <c r="G72" s="12">
        <v>9.8250100000000003E-3</v>
      </c>
      <c r="H72" s="11">
        <v>7.1498999999999997</v>
      </c>
    </row>
    <row r="73" spans="1:8" ht="14.1" customHeight="1" x14ac:dyDescent="0.2">
      <c r="A73" s="1"/>
      <c r="B73" s="1"/>
      <c r="C73" s="2" t="s">
        <v>11</v>
      </c>
      <c r="D73" s="1"/>
      <c r="E73" s="1" t="s">
        <v>12</v>
      </c>
      <c r="F73" s="7">
        <v>65522.072999999997</v>
      </c>
      <c r="G73" s="4">
        <v>0.44421828000000002</v>
      </c>
      <c r="H73" s="11"/>
    </row>
    <row r="74" spans="1:8" ht="14.1" customHeight="1" x14ac:dyDescent="0.2">
      <c r="A74" s="1"/>
      <c r="B74" s="1"/>
      <c r="C74" s="5"/>
      <c r="D74" s="1"/>
      <c r="E74" s="1"/>
      <c r="F74" s="6"/>
      <c r="G74" s="6"/>
      <c r="H74" s="11"/>
    </row>
    <row r="75" spans="1:8" ht="14.1" customHeight="1" x14ac:dyDescent="0.2">
      <c r="A75" s="1"/>
      <c r="B75" s="1"/>
      <c r="C75" s="2" t="s">
        <v>94</v>
      </c>
      <c r="D75" s="1"/>
      <c r="E75" s="1"/>
      <c r="F75" s="6"/>
      <c r="G75" s="6"/>
      <c r="H75" s="11"/>
    </row>
    <row r="76" spans="1:8" ht="29.1" customHeight="1" x14ac:dyDescent="0.2">
      <c r="A76" s="8">
        <v>1</v>
      </c>
      <c r="B76" s="9" t="s">
        <v>268</v>
      </c>
      <c r="C76" s="9" t="s">
        <v>269</v>
      </c>
      <c r="D76" s="9" t="s">
        <v>169</v>
      </c>
      <c r="E76" s="10">
        <v>1000</v>
      </c>
      <c r="F76" s="11">
        <v>4930.97</v>
      </c>
      <c r="G76" s="12">
        <v>3.3430370000000001E-2</v>
      </c>
      <c r="H76" s="11">
        <v>6.9999000000000002</v>
      </c>
    </row>
    <row r="77" spans="1:8" ht="29.1" customHeight="1" x14ac:dyDescent="0.2">
      <c r="A77" s="8">
        <v>2</v>
      </c>
      <c r="B77" s="9" t="s">
        <v>216</v>
      </c>
      <c r="C77" s="9" t="s">
        <v>217</v>
      </c>
      <c r="D77" s="9" t="s">
        <v>169</v>
      </c>
      <c r="E77" s="10">
        <v>800</v>
      </c>
      <c r="F77" s="11">
        <v>3985.1640000000002</v>
      </c>
      <c r="G77" s="12">
        <v>2.7018110000000001E-2</v>
      </c>
      <c r="H77" s="11">
        <v>7.55</v>
      </c>
    </row>
    <row r="78" spans="1:8" ht="29.1" customHeight="1" x14ac:dyDescent="0.2">
      <c r="A78" s="8">
        <v>3</v>
      </c>
      <c r="B78" s="9" t="s">
        <v>218</v>
      </c>
      <c r="C78" s="9" t="s">
        <v>219</v>
      </c>
      <c r="D78" s="9" t="s">
        <v>169</v>
      </c>
      <c r="E78" s="10">
        <v>800</v>
      </c>
      <c r="F78" s="11">
        <v>3889.8319999999999</v>
      </c>
      <c r="G78" s="12">
        <v>2.6371789999999999E-2</v>
      </c>
      <c r="H78" s="11">
        <v>7.28</v>
      </c>
    </row>
    <row r="79" spans="1:8" ht="29.1" customHeight="1" x14ac:dyDescent="0.2">
      <c r="A79" s="8">
        <v>4</v>
      </c>
      <c r="B79" s="9" t="s">
        <v>310</v>
      </c>
      <c r="C79" s="9" t="s">
        <v>311</v>
      </c>
      <c r="D79" s="9" t="s">
        <v>169</v>
      </c>
      <c r="E79" s="10">
        <v>500</v>
      </c>
      <c r="F79" s="11">
        <v>2493.8474999999999</v>
      </c>
      <c r="G79" s="12">
        <v>1.6907470000000001E-2</v>
      </c>
      <c r="H79" s="11">
        <v>7.5049999999999999</v>
      </c>
    </row>
    <row r="80" spans="1:8" ht="29.1" customHeight="1" x14ac:dyDescent="0.2">
      <c r="A80" s="8">
        <v>5</v>
      </c>
      <c r="B80" s="9" t="s">
        <v>286</v>
      </c>
      <c r="C80" s="9" t="s">
        <v>481</v>
      </c>
      <c r="D80" s="9" t="s">
        <v>169</v>
      </c>
      <c r="E80" s="10">
        <v>500</v>
      </c>
      <c r="F80" s="11">
        <v>2485.7249999999999</v>
      </c>
      <c r="G80" s="12">
        <v>1.68524E-2</v>
      </c>
      <c r="H80" s="11">
        <v>8.0625</v>
      </c>
    </row>
    <row r="81" spans="1:8" ht="17.100000000000001" customHeight="1" x14ac:dyDescent="0.2">
      <c r="A81" s="8">
        <v>6</v>
      </c>
      <c r="B81" s="9" t="s">
        <v>227</v>
      </c>
      <c r="C81" s="9" t="s">
        <v>228</v>
      </c>
      <c r="D81" s="9" t="s">
        <v>169</v>
      </c>
      <c r="E81" s="10">
        <v>500</v>
      </c>
      <c r="F81" s="11">
        <v>2438.2024999999999</v>
      </c>
      <c r="G81" s="12">
        <v>1.6530220000000002E-2</v>
      </c>
      <c r="H81" s="11">
        <v>7.84</v>
      </c>
    </row>
    <row r="82" spans="1:8" ht="17.100000000000001" customHeight="1" x14ac:dyDescent="0.2">
      <c r="A82" s="8">
        <v>7</v>
      </c>
      <c r="B82" s="9" t="s">
        <v>376</v>
      </c>
      <c r="C82" s="9" t="s">
        <v>377</v>
      </c>
      <c r="D82" s="9" t="s">
        <v>169</v>
      </c>
      <c r="E82" s="10">
        <v>500</v>
      </c>
      <c r="F82" s="11">
        <v>2409.5974999999999</v>
      </c>
      <c r="G82" s="12">
        <v>1.633629E-2</v>
      </c>
      <c r="H82" s="11">
        <v>8.1999999999999993</v>
      </c>
    </row>
    <row r="83" spans="1:8" ht="29.1" customHeight="1" x14ac:dyDescent="0.2">
      <c r="A83" s="8">
        <v>8</v>
      </c>
      <c r="B83" s="9" t="s">
        <v>378</v>
      </c>
      <c r="C83" s="9" t="s">
        <v>379</v>
      </c>
      <c r="D83" s="9" t="s">
        <v>169</v>
      </c>
      <c r="E83" s="10">
        <v>500</v>
      </c>
      <c r="F83" s="11">
        <v>2381.9499999999998</v>
      </c>
      <c r="G83" s="12">
        <v>1.6148840000000001E-2</v>
      </c>
      <c r="H83" s="11">
        <v>7.8650000000000002</v>
      </c>
    </row>
    <row r="84" spans="1:8" ht="29.1" customHeight="1" x14ac:dyDescent="0.2">
      <c r="A84" s="8">
        <v>9</v>
      </c>
      <c r="B84" s="9" t="s">
        <v>380</v>
      </c>
      <c r="C84" s="9" t="s">
        <v>381</v>
      </c>
      <c r="D84" s="9" t="s">
        <v>169</v>
      </c>
      <c r="E84" s="10">
        <v>500</v>
      </c>
      <c r="F84" s="11">
        <v>2375.1925000000001</v>
      </c>
      <c r="G84" s="12">
        <v>1.6103030000000001E-2</v>
      </c>
      <c r="H84" s="11">
        <v>7.2649999999999997</v>
      </c>
    </row>
    <row r="85" spans="1:8" ht="17.100000000000001" customHeight="1" x14ac:dyDescent="0.2">
      <c r="A85" s="8">
        <v>10</v>
      </c>
      <c r="B85" s="9" t="s">
        <v>182</v>
      </c>
      <c r="C85" s="9" t="s">
        <v>473</v>
      </c>
      <c r="D85" s="9" t="s">
        <v>169</v>
      </c>
      <c r="E85" s="10">
        <v>500</v>
      </c>
      <c r="F85" s="11">
        <v>2371.7449999999999</v>
      </c>
      <c r="G85" s="12">
        <v>1.6079659999999999E-2</v>
      </c>
      <c r="H85" s="11">
        <v>7.5049999999999999</v>
      </c>
    </row>
    <row r="86" spans="1:8" ht="29.1" customHeight="1" x14ac:dyDescent="0.2">
      <c r="A86" s="8">
        <v>11</v>
      </c>
      <c r="B86" s="9" t="s">
        <v>223</v>
      </c>
      <c r="C86" s="9" t="s">
        <v>224</v>
      </c>
      <c r="D86" s="9" t="s">
        <v>169</v>
      </c>
      <c r="E86" s="10">
        <v>500</v>
      </c>
      <c r="F86" s="11">
        <v>2368.2525000000001</v>
      </c>
      <c r="G86" s="12">
        <v>1.6055980000000001E-2</v>
      </c>
      <c r="H86" s="11">
        <v>7.75</v>
      </c>
    </row>
    <row r="87" spans="1:8" ht="29.1" customHeight="1" x14ac:dyDescent="0.2">
      <c r="A87" s="8">
        <v>12</v>
      </c>
      <c r="B87" s="9" t="s">
        <v>382</v>
      </c>
      <c r="C87" s="9" t="s">
        <v>383</v>
      </c>
      <c r="D87" s="9" t="s">
        <v>169</v>
      </c>
      <c r="E87" s="10">
        <v>500</v>
      </c>
      <c r="F87" s="11">
        <v>2336.835</v>
      </c>
      <c r="G87" s="12">
        <v>1.584298E-2</v>
      </c>
      <c r="H87" s="11">
        <v>7.77</v>
      </c>
    </row>
    <row r="88" spans="1:8" ht="17.100000000000001" customHeight="1" x14ac:dyDescent="0.2">
      <c r="A88" s="8">
        <v>13</v>
      </c>
      <c r="B88" s="9" t="s">
        <v>384</v>
      </c>
      <c r="C88" s="9" t="s">
        <v>385</v>
      </c>
      <c r="D88" s="9" t="s">
        <v>169</v>
      </c>
      <c r="E88" s="10">
        <v>500</v>
      </c>
      <c r="F88" s="11">
        <v>2332.8175000000001</v>
      </c>
      <c r="G88" s="12">
        <v>1.5815739999999998E-2</v>
      </c>
      <c r="H88" s="11">
        <v>8.1999999999999993</v>
      </c>
    </row>
    <row r="89" spans="1:8" ht="29.1" customHeight="1" x14ac:dyDescent="0.2">
      <c r="A89" s="8">
        <v>14</v>
      </c>
      <c r="B89" s="9" t="s">
        <v>284</v>
      </c>
      <c r="C89" s="9" t="s">
        <v>285</v>
      </c>
      <c r="D89" s="9" t="s">
        <v>169</v>
      </c>
      <c r="E89" s="10">
        <v>300</v>
      </c>
      <c r="F89" s="11">
        <v>1476.7695000000001</v>
      </c>
      <c r="G89" s="12">
        <v>1.001202E-2</v>
      </c>
      <c r="H89" s="11">
        <v>7.5549999999999997</v>
      </c>
    </row>
    <row r="90" spans="1:8" ht="29.1" customHeight="1" x14ac:dyDescent="0.2">
      <c r="A90" s="8">
        <v>15</v>
      </c>
      <c r="B90" s="9" t="s">
        <v>220</v>
      </c>
      <c r="C90" s="9" t="s">
        <v>221</v>
      </c>
      <c r="D90" s="9" t="s">
        <v>169</v>
      </c>
      <c r="E90" s="10">
        <v>300</v>
      </c>
      <c r="F90" s="11">
        <v>1455.759</v>
      </c>
      <c r="G90" s="12">
        <v>9.8695699999999994E-3</v>
      </c>
      <c r="H90" s="11">
        <v>7.6498999999999997</v>
      </c>
    </row>
    <row r="91" spans="1:8" ht="29.1" customHeight="1" x14ac:dyDescent="0.2">
      <c r="A91" s="8">
        <v>16</v>
      </c>
      <c r="B91" s="9" t="s">
        <v>222</v>
      </c>
      <c r="C91" s="9" t="s">
        <v>480</v>
      </c>
      <c r="D91" s="9" t="s">
        <v>169</v>
      </c>
      <c r="E91" s="10">
        <v>300</v>
      </c>
      <c r="F91" s="11">
        <v>1448.6714999999999</v>
      </c>
      <c r="G91" s="12">
        <v>9.8215200000000003E-3</v>
      </c>
      <c r="H91" s="11">
        <v>8.2899999999999991</v>
      </c>
    </row>
    <row r="92" spans="1:8" ht="17.100000000000001" customHeight="1" x14ac:dyDescent="0.2">
      <c r="A92" s="8">
        <v>17</v>
      </c>
      <c r="B92" s="9" t="s">
        <v>225</v>
      </c>
      <c r="C92" s="9" t="s">
        <v>226</v>
      </c>
      <c r="D92" s="9" t="s">
        <v>169</v>
      </c>
      <c r="E92" s="10">
        <v>300</v>
      </c>
      <c r="F92" s="11">
        <v>1393.8465000000001</v>
      </c>
      <c r="G92" s="12">
        <v>9.4498199999999994E-3</v>
      </c>
      <c r="H92" s="11">
        <v>8.1999999999999993</v>
      </c>
    </row>
    <row r="93" spans="1:8" ht="17.100000000000001" customHeight="1" x14ac:dyDescent="0.2">
      <c r="A93" s="8">
        <v>18</v>
      </c>
      <c r="B93" s="9" t="s">
        <v>214</v>
      </c>
      <c r="C93" s="9" t="s">
        <v>215</v>
      </c>
      <c r="D93" s="9" t="s">
        <v>169</v>
      </c>
      <c r="E93" s="10">
        <v>200</v>
      </c>
      <c r="F93" s="11">
        <v>987.16399999999999</v>
      </c>
      <c r="G93" s="12">
        <v>6.6926499999999996E-3</v>
      </c>
      <c r="H93" s="11">
        <v>7.91</v>
      </c>
    </row>
    <row r="94" spans="1:8" ht="29.1" customHeight="1" x14ac:dyDescent="0.2">
      <c r="A94" s="8">
        <v>19</v>
      </c>
      <c r="B94" s="9" t="s">
        <v>180</v>
      </c>
      <c r="C94" s="9" t="s">
        <v>181</v>
      </c>
      <c r="D94" s="9" t="s">
        <v>169</v>
      </c>
      <c r="E94" s="10">
        <v>200</v>
      </c>
      <c r="F94" s="11">
        <v>957.70399999999995</v>
      </c>
      <c r="G94" s="12">
        <v>6.4929200000000001E-3</v>
      </c>
      <c r="H94" s="11">
        <v>7.75</v>
      </c>
    </row>
    <row r="95" spans="1:8" ht="14.1" customHeight="1" x14ac:dyDescent="0.2">
      <c r="A95" s="1"/>
      <c r="B95" s="1"/>
      <c r="C95" s="2" t="s">
        <v>11</v>
      </c>
      <c r="D95" s="1"/>
      <c r="E95" s="1" t="s">
        <v>12</v>
      </c>
      <c r="F95" s="7">
        <v>44520.0455</v>
      </c>
      <c r="G95" s="4">
        <v>0.30183137999999998</v>
      </c>
      <c r="H95" s="11"/>
    </row>
    <row r="96" spans="1:8" ht="14.1" customHeight="1" x14ac:dyDescent="0.2">
      <c r="A96" s="1"/>
      <c r="B96" s="1"/>
      <c r="C96" s="5"/>
      <c r="D96" s="1"/>
      <c r="E96" s="1"/>
      <c r="F96" s="6"/>
      <c r="G96" s="6"/>
      <c r="H96" s="11"/>
    </row>
    <row r="97" spans="1:8" ht="14.1" customHeight="1" x14ac:dyDescent="0.2">
      <c r="A97" s="1"/>
      <c r="B97" s="1"/>
      <c r="C97" s="2" t="s">
        <v>95</v>
      </c>
      <c r="D97" s="1"/>
      <c r="E97" s="1"/>
      <c r="F97" s="6"/>
      <c r="G97" s="6"/>
      <c r="H97" s="11"/>
    </row>
    <row r="98" spans="1:8" ht="17.100000000000001" customHeight="1" x14ac:dyDescent="0.2">
      <c r="A98" s="8">
        <v>1</v>
      </c>
      <c r="B98" s="9" t="s">
        <v>231</v>
      </c>
      <c r="C98" s="9" t="s">
        <v>232</v>
      </c>
      <c r="D98" s="9" t="s">
        <v>81</v>
      </c>
      <c r="E98" s="10">
        <v>13500000</v>
      </c>
      <c r="F98" s="11">
        <v>13296.986999999999</v>
      </c>
      <c r="G98" s="12">
        <v>9.0149229999999997E-2</v>
      </c>
      <c r="H98" s="11">
        <v>6.7145000000000001</v>
      </c>
    </row>
    <row r="99" spans="1:8" ht="17.100000000000001" customHeight="1" x14ac:dyDescent="0.2">
      <c r="A99" s="8">
        <v>2</v>
      </c>
      <c r="B99" s="9" t="s">
        <v>386</v>
      </c>
      <c r="C99" s="9" t="s">
        <v>387</v>
      </c>
      <c r="D99" s="9" t="s">
        <v>81</v>
      </c>
      <c r="E99" s="10">
        <v>5500000</v>
      </c>
      <c r="F99" s="11">
        <v>5410.4160000000002</v>
      </c>
      <c r="G99" s="12">
        <v>3.6680860000000003E-2</v>
      </c>
      <c r="H99" s="11">
        <v>6.7149999999999999</v>
      </c>
    </row>
    <row r="100" spans="1:8" ht="17.100000000000001" customHeight="1" x14ac:dyDescent="0.2">
      <c r="A100" s="8">
        <v>3</v>
      </c>
      <c r="B100" s="9" t="s">
        <v>233</v>
      </c>
      <c r="C100" s="9" t="s">
        <v>494</v>
      </c>
      <c r="D100" s="9" t="s">
        <v>81</v>
      </c>
      <c r="E100" s="10">
        <v>4000000</v>
      </c>
      <c r="F100" s="11">
        <v>3899.7159999999999</v>
      </c>
      <c r="G100" s="12">
        <v>2.6438799999999998E-2</v>
      </c>
      <c r="H100" s="11">
        <v>6.8018000000000001</v>
      </c>
    </row>
    <row r="101" spans="1:8" ht="17.100000000000001" customHeight="1" x14ac:dyDescent="0.2">
      <c r="A101" s="8">
        <v>4</v>
      </c>
      <c r="B101" s="9" t="s">
        <v>388</v>
      </c>
      <c r="C101" s="9" t="s">
        <v>389</v>
      </c>
      <c r="D101" s="9" t="s">
        <v>81</v>
      </c>
      <c r="E101" s="10">
        <v>500000</v>
      </c>
      <c r="F101" s="11">
        <v>495.08150000000001</v>
      </c>
      <c r="G101" s="12">
        <v>3.3564900000000002E-3</v>
      </c>
      <c r="H101" s="11">
        <v>6.7149999999999999</v>
      </c>
    </row>
    <row r="102" spans="1:8" ht="14.1" customHeight="1" x14ac:dyDescent="0.2">
      <c r="A102" s="1"/>
      <c r="B102" s="1"/>
      <c r="C102" s="2" t="s">
        <v>11</v>
      </c>
      <c r="D102" s="1"/>
      <c r="E102" s="1" t="s">
        <v>12</v>
      </c>
      <c r="F102" s="7">
        <v>23102.200499999999</v>
      </c>
      <c r="G102" s="4">
        <v>0.15662538000000001</v>
      </c>
      <c r="H102" s="11"/>
    </row>
    <row r="103" spans="1:8" ht="14.1" customHeight="1" x14ac:dyDescent="0.2">
      <c r="A103" s="1"/>
      <c r="B103" s="1"/>
      <c r="C103" s="5"/>
      <c r="D103" s="1"/>
      <c r="E103" s="1"/>
      <c r="F103" s="6"/>
      <c r="G103" s="6"/>
      <c r="H103" s="11"/>
    </row>
    <row r="104" spans="1:8" ht="14.1" customHeight="1" x14ac:dyDescent="0.2">
      <c r="A104" s="1"/>
      <c r="B104" s="1"/>
      <c r="C104" s="2" t="s">
        <v>96</v>
      </c>
      <c r="D104" s="1"/>
      <c r="E104" s="1"/>
      <c r="F104" s="6"/>
      <c r="G104" s="6"/>
      <c r="H104" s="11"/>
    </row>
    <row r="105" spans="1:8" ht="17.100000000000001" customHeight="1" x14ac:dyDescent="0.2">
      <c r="A105" s="8">
        <v>1</v>
      </c>
      <c r="B105" s="9"/>
      <c r="C105" s="9" t="s">
        <v>97</v>
      </c>
      <c r="D105" s="9"/>
      <c r="E105" s="13"/>
      <c r="F105" s="11">
        <v>684.84518300100001</v>
      </c>
      <c r="G105" s="12">
        <v>4.6430300000000002E-3</v>
      </c>
      <c r="H105" s="11">
        <v>6.7573016869821334</v>
      </c>
    </row>
    <row r="106" spans="1:8" ht="17.100000000000001" customHeight="1" x14ac:dyDescent="0.2">
      <c r="A106" s="8">
        <v>2</v>
      </c>
      <c r="B106" s="9"/>
      <c r="C106" s="9" t="s">
        <v>98</v>
      </c>
      <c r="D106" s="9"/>
      <c r="E106" s="13"/>
      <c r="F106" s="11">
        <v>561.03570690000004</v>
      </c>
      <c r="G106" s="12">
        <v>3.8036400000000001E-3</v>
      </c>
      <c r="H106" s="11">
        <v>6.796603293503404</v>
      </c>
    </row>
    <row r="107" spans="1:8" ht="14.1" customHeight="1" x14ac:dyDescent="0.2">
      <c r="A107" s="1"/>
      <c r="B107" s="1"/>
      <c r="C107" s="2" t="s">
        <v>11</v>
      </c>
      <c r="D107" s="1"/>
      <c r="E107" s="1" t="s">
        <v>12</v>
      </c>
      <c r="F107" s="7">
        <v>1245.880889901</v>
      </c>
      <c r="G107" s="4">
        <v>8.4466699999999999E-3</v>
      </c>
      <c r="H107" s="11"/>
    </row>
    <row r="108" spans="1:8" ht="14.1" customHeight="1" x14ac:dyDescent="0.2">
      <c r="A108" s="1"/>
      <c r="B108" s="1"/>
      <c r="C108" s="5"/>
      <c r="D108" s="1"/>
      <c r="E108" s="1"/>
      <c r="F108" s="6"/>
      <c r="G108" s="6"/>
      <c r="H108" s="11"/>
    </row>
    <row r="109" spans="1:8" ht="14.1" customHeight="1" x14ac:dyDescent="0.2">
      <c r="A109" s="1"/>
      <c r="B109" s="1"/>
      <c r="C109" s="2" t="s">
        <v>99</v>
      </c>
      <c r="D109" s="1"/>
      <c r="E109" s="1"/>
      <c r="F109" s="7">
        <v>134390.19988990101</v>
      </c>
      <c r="G109" s="4">
        <v>0.91112170999999997</v>
      </c>
      <c r="H109" s="11"/>
    </row>
    <row r="110" spans="1:8" ht="14.1" customHeight="1" x14ac:dyDescent="0.2">
      <c r="A110" s="1"/>
      <c r="B110" s="1"/>
      <c r="C110" s="6"/>
      <c r="D110" s="1"/>
      <c r="E110" s="1"/>
      <c r="F110" s="1"/>
      <c r="G110" s="1"/>
      <c r="H110" s="11"/>
    </row>
    <row r="111" spans="1:8" ht="14.1" customHeight="1" x14ac:dyDescent="0.2">
      <c r="A111" s="1"/>
      <c r="B111" s="1"/>
      <c r="C111" s="2" t="s">
        <v>100</v>
      </c>
      <c r="D111" s="1"/>
      <c r="E111" s="1"/>
      <c r="F111" s="1"/>
      <c r="G111" s="1"/>
      <c r="H111" s="11"/>
    </row>
    <row r="112" spans="1:8" ht="14.1" customHeight="1" x14ac:dyDescent="0.2">
      <c r="A112" s="1"/>
      <c r="B112" s="1"/>
      <c r="C112" s="2" t="s">
        <v>101</v>
      </c>
      <c r="D112" s="1"/>
      <c r="E112" s="1"/>
      <c r="F112" s="1"/>
      <c r="G112" s="1"/>
      <c r="H112" s="11"/>
    </row>
    <row r="113" spans="1:8" ht="14.1" customHeight="1" x14ac:dyDescent="0.2">
      <c r="A113" s="1"/>
      <c r="B113" s="1"/>
      <c r="C113" s="2" t="s">
        <v>11</v>
      </c>
      <c r="D113" s="1"/>
      <c r="E113" s="1" t="s">
        <v>12</v>
      </c>
      <c r="F113" s="3" t="s">
        <v>13</v>
      </c>
      <c r="G113" s="4">
        <v>0</v>
      </c>
      <c r="H113" s="11"/>
    </row>
    <row r="114" spans="1:8" ht="14.1" customHeight="1" x14ac:dyDescent="0.2">
      <c r="A114" s="1"/>
      <c r="B114" s="1"/>
      <c r="C114" s="5"/>
      <c r="D114" s="1"/>
      <c r="E114" s="1"/>
      <c r="F114" s="6"/>
      <c r="G114" s="6"/>
      <c r="H114" s="11"/>
    </row>
    <row r="115" spans="1:8" ht="14.1" customHeight="1" x14ac:dyDescent="0.2">
      <c r="A115" s="1"/>
      <c r="B115" s="1"/>
      <c r="C115" s="2" t="s">
        <v>102</v>
      </c>
      <c r="D115" s="1"/>
      <c r="E115" s="1"/>
      <c r="F115" s="1"/>
      <c r="G115" s="1"/>
      <c r="H115" s="11"/>
    </row>
    <row r="116" spans="1:8" ht="14.1" customHeight="1" x14ac:dyDescent="0.2">
      <c r="A116" s="1"/>
      <c r="B116" s="1"/>
      <c r="C116" s="2" t="s">
        <v>103</v>
      </c>
      <c r="D116" s="1"/>
      <c r="E116" s="1"/>
      <c r="F116" s="1"/>
      <c r="G116" s="1"/>
      <c r="H116" s="11"/>
    </row>
    <row r="117" spans="1:8" ht="14.1" customHeight="1" x14ac:dyDescent="0.2">
      <c r="A117" s="1"/>
      <c r="B117" s="1"/>
      <c r="C117" s="2" t="s">
        <v>11</v>
      </c>
      <c r="D117" s="1"/>
      <c r="E117" s="1" t="s">
        <v>12</v>
      </c>
      <c r="F117" s="3" t="s">
        <v>13</v>
      </c>
      <c r="G117" s="4">
        <v>0</v>
      </c>
      <c r="H117" s="11"/>
    </row>
    <row r="118" spans="1:8" ht="14.1" customHeight="1" x14ac:dyDescent="0.2">
      <c r="A118" s="1"/>
      <c r="B118" s="1"/>
      <c r="C118" s="5"/>
      <c r="D118" s="1"/>
      <c r="E118" s="1"/>
      <c r="F118" s="6"/>
      <c r="G118" s="6"/>
      <c r="H118" s="11"/>
    </row>
    <row r="119" spans="1:8" ht="24" customHeight="1" x14ac:dyDescent="0.2">
      <c r="A119" s="1"/>
      <c r="B119" s="1"/>
      <c r="C119" s="2" t="s">
        <v>104</v>
      </c>
      <c r="D119" s="1"/>
      <c r="E119" s="1"/>
      <c r="F119" s="6"/>
      <c r="G119" s="6"/>
      <c r="H119" s="11"/>
    </row>
    <row r="120" spans="1:8" ht="14.1" customHeight="1" x14ac:dyDescent="0.2">
      <c r="A120" s="1"/>
      <c r="B120" s="1"/>
      <c r="C120" s="2" t="s">
        <v>11</v>
      </c>
      <c r="D120" s="1"/>
      <c r="E120" s="1" t="s">
        <v>12</v>
      </c>
      <c r="F120" s="3" t="s">
        <v>13</v>
      </c>
      <c r="G120" s="4">
        <v>0</v>
      </c>
      <c r="H120" s="11"/>
    </row>
    <row r="121" spans="1:8" ht="14.1" customHeight="1" x14ac:dyDescent="0.2">
      <c r="A121" s="1"/>
      <c r="B121" s="1"/>
      <c r="C121" s="5"/>
      <c r="D121" s="1"/>
      <c r="E121" s="1"/>
      <c r="F121" s="6"/>
      <c r="G121" s="6"/>
      <c r="H121" s="11"/>
    </row>
    <row r="122" spans="1:8" ht="14.1" customHeight="1" x14ac:dyDescent="0.2">
      <c r="A122" s="1"/>
      <c r="B122" s="9"/>
      <c r="C122" s="9"/>
      <c r="D122" s="2"/>
      <c r="E122" s="1"/>
      <c r="F122" s="9"/>
      <c r="G122" s="13"/>
      <c r="H122" s="11"/>
    </row>
    <row r="123" spans="1:8" ht="18" customHeight="1" x14ac:dyDescent="0.2">
      <c r="A123" s="13"/>
      <c r="B123" s="9"/>
      <c r="C123" s="9" t="s">
        <v>105</v>
      </c>
      <c r="D123" s="9"/>
      <c r="E123" s="13"/>
      <c r="F123" s="11">
        <v>-360.79168859999999</v>
      </c>
      <c r="G123" s="12">
        <v>-2.44605E-3</v>
      </c>
      <c r="H123" s="11"/>
    </row>
    <row r="124" spans="1:8" ht="14.1" customHeight="1" x14ac:dyDescent="0.2">
      <c r="A124" s="5"/>
      <c r="B124" s="5"/>
      <c r="C124" s="2" t="s">
        <v>106</v>
      </c>
      <c r="D124" s="6"/>
      <c r="E124" s="6"/>
      <c r="F124" s="7">
        <v>147499.724201301</v>
      </c>
      <c r="G124" s="14">
        <v>1.0000000200000001</v>
      </c>
      <c r="H124" s="11"/>
    </row>
    <row r="125" spans="1:8" ht="14.1" customHeight="1" x14ac:dyDescent="0.2">
      <c r="A125" s="15"/>
      <c r="B125" s="15"/>
      <c r="C125" s="15"/>
      <c r="D125" s="16"/>
      <c r="E125" s="16"/>
      <c r="F125" s="16"/>
      <c r="G125" s="16"/>
    </row>
    <row r="126" spans="1:8" ht="17.100000000000001" customHeight="1" x14ac:dyDescent="0.2">
      <c r="A126" s="17"/>
      <c r="B126" s="121" t="s">
        <v>107</v>
      </c>
      <c r="C126" s="121"/>
      <c r="D126" s="121"/>
      <c r="E126" s="121"/>
      <c r="F126" s="121"/>
      <c r="G126" s="19"/>
    </row>
    <row r="127" spans="1:8" ht="17.100000000000001" customHeight="1" x14ac:dyDescent="0.2">
      <c r="A127" s="17"/>
      <c r="B127" s="121" t="s">
        <v>108</v>
      </c>
      <c r="C127" s="121"/>
      <c r="D127" s="121"/>
      <c r="E127" s="121"/>
      <c r="F127" s="121"/>
      <c r="G127" s="19"/>
    </row>
    <row r="128" spans="1:8" ht="14.1" customHeight="1" x14ac:dyDescent="0.2">
      <c r="A128" s="17"/>
      <c r="B128" s="17"/>
      <c r="C128" s="17"/>
      <c r="D128" s="19"/>
      <c r="E128" s="19"/>
      <c r="F128" s="19"/>
      <c r="G128" s="19"/>
    </row>
    <row r="129" spans="1:14" ht="14.1" customHeight="1" x14ac:dyDescent="0.2">
      <c r="A129" s="17"/>
      <c r="B129" s="122" t="s">
        <v>109</v>
      </c>
      <c r="C129" s="123"/>
      <c r="D129" s="124"/>
      <c r="E129" s="20"/>
      <c r="F129" s="19"/>
      <c r="G129" s="19"/>
    </row>
    <row r="130" spans="1:14" ht="29.1" customHeight="1" x14ac:dyDescent="0.2">
      <c r="A130" s="17"/>
      <c r="B130" s="114" t="s">
        <v>110</v>
      </c>
      <c r="C130" s="115"/>
      <c r="D130" s="2" t="s">
        <v>564</v>
      </c>
      <c r="E130" s="20"/>
      <c r="F130" s="19"/>
      <c r="G130" s="19"/>
    </row>
    <row r="131" spans="1:14" ht="17.100000000000001" customHeight="1" x14ac:dyDescent="0.2">
      <c r="A131" s="17"/>
      <c r="B131" s="114" t="s">
        <v>112</v>
      </c>
      <c r="C131" s="115"/>
      <c r="D131" s="2" t="s">
        <v>111</v>
      </c>
      <c r="E131" s="20"/>
      <c r="F131" s="19"/>
      <c r="G131" s="19"/>
      <c r="J131"/>
      <c r="K131"/>
      <c r="L131"/>
      <c r="M131"/>
      <c r="N131"/>
    </row>
    <row r="132" spans="1:14" ht="17.100000000000001" customHeight="1" x14ac:dyDescent="0.2">
      <c r="A132" s="17"/>
      <c r="B132" s="114" t="s">
        <v>113</v>
      </c>
      <c r="C132" s="115"/>
      <c r="D132" s="6" t="s">
        <v>12</v>
      </c>
      <c r="E132" s="20"/>
      <c r="F132" s="19"/>
      <c r="G132" s="19"/>
    </row>
    <row r="133" spans="1:14" ht="24" customHeight="1" x14ac:dyDescent="0.2">
      <c r="A133" s="21"/>
      <c r="B133" s="22" t="s">
        <v>12</v>
      </c>
      <c r="C133" s="22" t="s">
        <v>114</v>
      </c>
      <c r="D133" s="22" t="s">
        <v>115</v>
      </c>
      <c r="E133" s="21"/>
      <c r="F133" s="21"/>
      <c r="G133" s="21"/>
    </row>
    <row r="134" spans="1:14" ht="18" customHeight="1" x14ac:dyDescent="0.2">
      <c r="A134" s="21"/>
      <c r="B134" s="23" t="s">
        <v>116</v>
      </c>
      <c r="C134" s="22" t="s">
        <v>590</v>
      </c>
      <c r="D134" s="22" t="s">
        <v>117</v>
      </c>
      <c r="E134" s="21"/>
      <c r="F134" s="21"/>
      <c r="G134" s="21"/>
    </row>
    <row r="135" spans="1:14" ht="17.100000000000001" customHeight="1" x14ac:dyDescent="0.2">
      <c r="A135" s="21"/>
      <c r="B135" s="9" t="s">
        <v>118</v>
      </c>
      <c r="C135" s="24">
        <v>2518.6869000000002</v>
      </c>
      <c r="D135" s="24">
        <v>2525.6417999999999</v>
      </c>
      <c r="E135" s="21"/>
      <c r="F135" s="18"/>
      <c r="G135" s="25"/>
    </row>
    <row r="136" spans="1:14" ht="29.1" customHeight="1" x14ac:dyDescent="0.2">
      <c r="A136" s="21"/>
      <c r="B136" s="9" t="s">
        <v>577</v>
      </c>
      <c r="C136" s="24">
        <v>1006.1763</v>
      </c>
      <c r="D136" s="24">
        <v>1006.1763</v>
      </c>
      <c r="E136" s="21"/>
      <c r="F136" s="18"/>
      <c r="G136" s="25"/>
    </row>
    <row r="137" spans="1:14" ht="29.1" customHeight="1" x14ac:dyDescent="0.2">
      <c r="A137" s="21"/>
      <c r="B137" s="9" t="s">
        <v>568</v>
      </c>
      <c r="C137" s="24">
        <v>1066.4114</v>
      </c>
      <c r="D137" s="24">
        <v>1063.0734</v>
      </c>
      <c r="E137" s="21"/>
      <c r="F137" s="18"/>
      <c r="G137" s="25"/>
    </row>
    <row r="138" spans="1:14" ht="29.1" customHeight="1" x14ac:dyDescent="0.2">
      <c r="A138" s="21"/>
      <c r="B138" s="9" t="s">
        <v>569</v>
      </c>
      <c r="C138" s="24">
        <v>1111.4735000000001</v>
      </c>
      <c r="D138" s="24">
        <v>1107.0361</v>
      </c>
      <c r="E138" s="21"/>
      <c r="F138" s="18"/>
      <c r="G138" s="25"/>
    </row>
    <row r="139" spans="1:14" ht="17.100000000000001" customHeight="1" x14ac:dyDescent="0.2">
      <c r="A139" s="21"/>
      <c r="B139" s="9" t="s">
        <v>119</v>
      </c>
      <c r="C139" s="24">
        <v>2368.3755999999998</v>
      </c>
      <c r="D139" s="24">
        <v>2373.7384000000002</v>
      </c>
      <c r="E139" s="21"/>
      <c r="F139" s="18"/>
      <c r="G139" s="25"/>
    </row>
    <row r="140" spans="1:14" ht="29.1" customHeight="1" x14ac:dyDescent="0.2">
      <c r="A140" s="21"/>
      <c r="B140" s="9" t="s">
        <v>580</v>
      </c>
      <c r="C140" s="24">
        <v>1005.43</v>
      </c>
      <c r="D140" s="24">
        <v>1005.43</v>
      </c>
      <c r="E140" s="21"/>
      <c r="F140" s="18"/>
      <c r="G140" s="25"/>
    </row>
    <row r="141" spans="1:14" ht="29.1" customHeight="1" x14ac:dyDescent="0.2">
      <c r="A141" s="21"/>
      <c r="B141" s="9" t="s">
        <v>581</v>
      </c>
      <c r="C141" s="24">
        <v>1020.1765</v>
      </c>
      <c r="D141" s="24">
        <v>1020.2355</v>
      </c>
      <c r="E141" s="21"/>
      <c r="F141" s="18"/>
      <c r="G141" s="25"/>
    </row>
    <row r="142" spans="1:14" ht="29.1" customHeight="1" x14ac:dyDescent="0.2">
      <c r="A142" s="21"/>
      <c r="B142" s="9" t="s">
        <v>583</v>
      </c>
      <c r="C142" s="24">
        <v>1061.046</v>
      </c>
      <c r="D142" s="24">
        <v>1063.4460999999999</v>
      </c>
      <c r="E142" s="21"/>
      <c r="F142" s="18"/>
      <c r="G142" s="25"/>
    </row>
    <row r="143" spans="1:14" ht="29.1" customHeight="1" x14ac:dyDescent="0.2">
      <c r="A143" s="21"/>
      <c r="B143" s="9" t="s">
        <v>572</v>
      </c>
      <c r="C143" s="24">
        <v>1064.9938999999999</v>
      </c>
      <c r="D143" s="24">
        <v>1062.1867</v>
      </c>
      <c r="E143" s="21"/>
      <c r="F143" s="18"/>
      <c r="G143" s="25"/>
    </row>
    <row r="144" spans="1:14" ht="29.1" customHeight="1" x14ac:dyDescent="0.2">
      <c r="A144" s="21"/>
      <c r="B144" s="9" t="s">
        <v>573</v>
      </c>
      <c r="C144" s="24">
        <v>1091.3226</v>
      </c>
      <c r="D144" s="24">
        <v>1086.2933</v>
      </c>
      <c r="E144" s="21"/>
      <c r="F144" s="18"/>
      <c r="G144" s="25"/>
    </row>
    <row r="145" spans="1:7" ht="14.1" customHeight="1" x14ac:dyDescent="0.2">
      <c r="A145" s="21"/>
      <c r="B145" s="21"/>
      <c r="C145" s="21"/>
      <c r="D145" s="21"/>
      <c r="E145" s="21"/>
      <c r="F145" s="21"/>
      <c r="G145" s="21"/>
    </row>
    <row r="146" spans="1:7" ht="17.100000000000001" customHeight="1" x14ac:dyDescent="0.2">
      <c r="A146" s="21"/>
      <c r="B146" s="114" t="s">
        <v>576</v>
      </c>
      <c r="C146" s="115"/>
      <c r="D146" s="2" t="s">
        <v>12</v>
      </c>
      <c r="E146" s="21"/>
      <c r="F146" s="21"/>
      <c r="G146" s="21"/>
    </row>
    <row r="147" spans="1:7" ht="18" customHeight="1" x14ac:dyDescent="0.2">
      <c r="A147" s="21"/>
      <c r="B147" s="26" t="s">
        <v>116</v>
      </c>
      <c r="C147" s="27" t="s">
        <v>120</v>
      </c>
      <c r="D147" s="27" t="s">
        <v>121</v>
      </c>
      <c r="E147" s="21"/>
      <c r="F147" s="21"/>
      <c r="G147" s="21"/>
    </row>
    <row r="148" spans="1:7" ht="29.1" customHeight="1" x14ac:dyDescent="0.2">
      <c r="A148" s="21"/>
      <c r="B148" s="9" t="s">
        <v>577</v>
      </c>
      <c r="C148" s="95">
        <v>2.767598</v>
      </c>
      <c r="D148" s="96" t="s">
        <v>122</v>
      </c>
      <c r="E148" s="21"/>
      <c r="F148" s="18"/>
      <c r="G148" s="25"/>
    </row>
    <row r="149" spans="1:7" ht="29.1" customHeight="1" x14ac:dyDescent="0.2">
      <c r="A149" s="21"/>
      <c r="B149" s="9" t="s">
        <v>568</v>
      </c>
      <c r="C149" s="95">
        <v>6.2643000000000004</v>
      </c>
      <c r="D149" s="96" t="s">
        <v>122</v>
      </c>
      <c r="E149" s="21"/>
      <c r="F149" s="18"/>
      <c r="G149" s="25"/>
    </row>
    <row r="150" spans="1:7" ht="29.1" customHeight="1" x14ac:dyDescent="0.2">
      <c r="A150" s="21"/>
      <c r="B150" s="9" t="s">
        <v>569</v>
      </c>
      <c r="C150" s="95">
        <v>7.5</v>
      </c>
      <c r="D150" s="96" t="s">
        <v>122</v>
      </c>
      <c r="E150" s="21"/>
      <c r="F150" s="18"/>
      <c r="G150" s="25"/>
    </row>
    <row r="151" spans="1:7" ht="29.1" customHeight="1" x14ac:dyDescent="0.2">
      <c r="A151" s="21"/>
      <c r="B151" s="9" t="s">
        <v>580</v>
      </c>
      <c r="C151" s="95">
        <v>2.2737370000000001</v>
      </c>
      <c r="D151" s="96" t="s">
        <v>122</v>
      </c>
      <c r="E151" s="21"/>
      <c r="F151" s="18"/>
      <c r="G151" s="25"/>
    </row>
    <row r="152" spans="1:7" ht="29.1" customHeight="1" x14ac:dyDescent="0.2">
      <c r="A152" s="21"/>
      <c r="B152" s="9" t="s">
        <v>581</v>
      </c>
      <c r="C152" s="95">
        <v>3.3146</v>
      </c>
      <c r="D152" s="95">
        <v>3.3146</v>
      </c>
      <c r="E152" s="21"/>
      <c r="F152" s="18"/>
      <c r="G152" s="25"/>
    </row>
    <row r="153" spans="1:7" ht="29.1" customHeight="1" x14ac:dyDescent="0.2">
      <c r="A153" s="21"/>
      <c r="B153" s="9" t="s">
        <v>583</v>
      </c>
      <c r="C153" s="95">
        <v>3.4632000000000001</v>
      </c>
      <c r="D153" s="96" t="s">
        <v>122</v>
      </c>
      <c r="E153" s="21"/>
      <c r="F153" s="18"/>
      <c r="G153" s="25"/>
    </row>
    <row r="154" spans="1:7" ht="29.1" customHeight="1" x14ac:dyDescent="0.2">
      <c r="A154" s="21"/>
      <c r="B154" s="9" t="s">
        <v>572</v>
      </c>
      <c r="C154" s="95">
        <v>5.2095000000000002</v>
      </c>
      <c r="D154" s="95">
        <v>5.2095000000000002</v>
      </c>
      <c r="E154" s="21"/>
      <c r="F154" s="18"/>
      <c r="G154" s="25"/>
    </row>
    <row r="155" spans="1:7" ht="29.1" customHeight="1" x14ac:dyDescent="0.2">
      <c r="A155" s="21"/>
      <c r="B155" s="9" t="s">
        <v>573</v>
      </c>
      <c r="C155" s="95">
        <v>7.5</v>
      </c>
      <c r="D155" s="96" t="s">
        <v>122</v>
      </c>
      <c r="E155" s="21"/>
      <c r="F155" s="18"/>
      <c r="G155" s="25"/>
    </row>
    <row r="156" spans="1:7" ht="14.1" customHeight="1" x14ac:dyDescent="0.2">
      <c r="A156" s="21"/>
      <c r="B156" s="29"/>
      <c r="C156" s="29"/>
      <c r="D156" s="30"/>
      <c r="E156" s="21"/>
      <c r="F156" s="18"/>
      <c r="G156" s="25"/>
    </row>
    <row r="157" spans="1:7" ht="29.1" customHeight="1" x14ac:dyDescent="0.2">
      <c r="A157" s="21"/>
      <c r="B157" s="114" t="s">
        <v>123</v>
      </c>
      <c r="C157" s="115"/>
      <c r="D157" s="2" t="s">
        <v>111</v>
      </c>
      <c r="E157" s="31"/>
      <c r="F157" s="21"/>
      <c r="G157" s="21"/>
    </row>
    <row r="158" spans="1:7" ht="29.1" customHeight="1" x14ac:dyDescent="0.2">
      <c r="A158" s="21"/>
      <c r="B158" s="114" t="s">
        <v>124</v>
      </c>
      <c r="C158" s="115"/>
      <c r="D158" s="2" t="s">
        <v>111</v>
      </c>
      <c r="E158" s="31"/>
      <c r="F158" s="21"/>
      <c r="G158" s="21"/>
    </row>
    <row r="159" spans="1:7" ht="17.100000000000001" customHeight="1" x14ac:dyDescent="0.2">
      <c r="A159" s="21"/>
      <c r="B159" s="114" t="s">
        <v>499</v>
      </c>
      <c r="C159" s="115"/>
      <c r="D159" s="2" t="s">
        <v>111</v>
      </c>
      <c r="E159" s="31"/>
      <c r="F159" s="21"/>
      <c r="G159" s="21"/>
    </row>
    <row r="161" spans="2:8" x14ac:dyDescent="0.2">
      <c r="B161" s="45" t="s">
        <v>561</v>
      </c>
      <c r="C161" s="45"/>
      <c r="D161" s="45"/>
      <c r="E161" s="45"/>
      <c r="F161" s="45"/>
      <c r="G161" s="45"/>
      <c r="H161" s="45"/>
    </row>
    <row r="162" spans="2:8" x14ac:dyDescent="0.2">
      <c r="B162" s="46"/>
      <c r="C162" s="46"/>
      <c r="D162" s="46"/>
      <c r="E162" s="46"/>
      <c r="F162" s="46"/>
      <c r="G162" s="46"/>
      <c r="H162" s="46"/>
    </row>
    <row r="163" spans="2:8" ht="51" x14ac:dyDescent="0.2">
      <c r="B163" s="48" t="s">
        <v>512</v>
      </c>
      <c r="C163" s="48" t="s">
        <v>513</v>
      </c>
      <c r="D163" s="48" t="s">
        <v>514</v>
      </c>
      <c r="E163" s="48" t="s">
        <v>515</v>
      </c>
      <c r="F163" s="48" t="s">
        <v>516</v>
      </c>
      <c r="G163" s="46"/>
      <c r="H163" s="46"/>
    </row>
    <row r="164" spans="2:8" x14ac:dyDescent="0.2">
      <c r="B164" s="50" t="s">
        <v>517</v>
      </c>
      <c r="C164" s="50" t="s">
        <v>518</v>
      </c>
      <c r="D164" s="51">
        <v>0</v>
      </c>
      <c r="E164" s="52">
        <v>0</v>
      </c>
      <c r="F164" s="53">
        <v>500</v>
      </c>
      <c r="G164" s="46"/>
      <c r="H164" s="46"/>
    </row>
    <row r="166" spans="2:8" x14ac:dyDescent="0.2">
      <c r="B166" s="111" t="s">
        <v>500</v>
      </c>
      <c r="C166" s="112"/>
      <c r="D166" s="113"/>
    </row>
    <row r="167" spans="2:8" ht="25.5" x14ac:dyDescent="0.2">
      <c r="B167" s="117" t="s">
        <v>501</v>
      </c>
      <c r="C167" s="117"/>
      <c r="D167" s="41" t="s">
        <v>350</v>
      </c>
    </row>
    <row r="168" spans="2:8" x14ac:dyDescent="0.2">
      <c r="B168" s="117" t="s">
        <v>502</v>
      </c>
      <c r="C168" s="117"/>
      <c r="D168" s="42"/>
    </row>
    <row r="169" spans="2:8" x14ac:dyDescent="0.2">
      <c r="B169" s="117"/>
      <c r="C169" s="117"/>
      <c r="D169" s="43"/>
    </row>
    <row r="170" spans="2:8" x14ac:dyDescent="0.2">
      <c r="B170" s="117" t="s">
        <v>503</v>
      </c>
      <c r="C170" s="117"/>
      <c r="D170" s="32">
        <v>7.2948208922145872</v>
      </c>
    </row>
    <row r="171" spans="2:8" x14ac:dyDescent="0.2">
      <c r="B171" s="117"/>
      <c r="C171" s="117"/>
      <c r="D171" s="43"/>
    </row>
    <row r="172" spans="2:8" x14ac:dyDescent="0.2">
      <c r="B172" s="117" t="s">
        <v>504</v>
      </c>
      <c r="C172" s="117"/>
      <c r="D172" s="32">
        <v>0.49057211191177919</v>
      </c>
    </row>
    <row r="173" spans="2:8" x14ac:dyDescent="0.2">
      <c r="B173" s="117" t="s">
        <v>505</v>
      </c>
      <c r="C173" s="117"/>
      <c r="D173" s="32">
        <v>0.51684433615225767</v>
      </c>
    </row>
    <row r="174" spans="2:8" x14ac:dyDescent="0.2">
      <c r="B174" s="117"/>
      <c r="C174" s="117"/>
      <c r="D174" s="43"/>
    </row>
    <row r="175" spans="2:8" x14ac:dyDescent="0.2">
      <c r="B175" s="117" t="s">
        <v>506</v>
      </c>
      <c r="C175" s="117"/>
      <c r="D175" s="44">
        <v>45107</v>
      </c>
    </row>
    <row r="176" spans="2:8" x14ac:dyDescent="0.2">
      <c r="B176" s="118" t="s">
        <v>507</v>
      </c>
      <c r="C176" s="119"/>
      <c r="D176" s="120"/>
    </row>
  </sheetData>
  <mergeCells count="25">
    <mergeCell ref="B167:C167"/>
    <mergeCell ref="B168:C168"/>
    <mergeCell ref="B126:F126"/>
    <mergeCell ref="B127:F127"/>
    <mergeCell ref="B159:C159"/>
    <mergeCell ref="B129:D129"/>
    <mergeCell ref="B130:C130"/>
    <mergeCell ref="B174:C174"/>
    <mergeCell ref="B175:C175"/>
    <mergeCell ref="B176:D176"/>
    <mergeCell ref="B169:C169"/>
    <mergeCell ref="B170:C170"/>
    <mergeCell ref="B171:C171"/>
    <mergeCell ref="B172:C172"/>
    <mergeCell ref="B173:C173"/>
    <mergeCell ref="A1:H1"/>
    <mergeCell ref="A2:H2"/>
    <mergeCell ref="A3:H3"/>
    <mergeCell ref="B157:C157"/>
    <mergeCell ref="J2:N2"/>
    <mergeCell ref="B166:D166"/>
    <mergeCell ref="B131:C131"/>
    <mergeCell ref="B132:C132"/>
    <mergeCell ref="B146:C146"/>
    <mergeCell ref="B158:C158"/>
  </mergeCells>
  <hyperlinks>
    <hyperlink ref="I1" location="Index!B8" display="Index" xr:uid="{F3B159A5-2777-402C-8677-3BE05740FD2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3.85546875" bestFit="1" customWidth="1"/>
    <col min="9" max="9" width="8.42578125" customWidth="1"/>
    <col min="10" max="10" width="9.28515625" bestFit="1" customWidth="1"/>
  </cols>
  <sheetData>
    <row r="1" spans="1:14" ht="18" customHeight="1" x14ac:dyDescent="0.2">
      <c r="A1" s="110" t="s">
        <v>0</v>
      </c>
      <c r="B1" s="110"/>
      <c r="C1" s="110"/>
      <c r="D1" s="110"/>
      <c r="E1" s="110"/>
      <c r="F1" s="110"/>
      <c r="G1" s="110"/>
      <c r="H1" s="110"/>
      <c r="I1" s="101" t="s">
        <v>591</v>
      </c>
      <c r="J1" s="40"/>
      <c r="K1" s="40"/>
      <c r="L1" s="40"/>
      <c r="M1" s="40"/>
      <c r="N1" s="40"/>
    </row>
    <row r="2" spans="1:14" ht="17.100000000000001" customHeight="1" x14ac:dyDescent="0.2">
      <c r="A2" s="110" t="s">
        <v>390</v>
      </c>
      <c r="B2" s="110"/>
      <c r="C2" s="110"/>
      <c r="D2" s="110"/>
      <c r="E2" s="110"/>
      <c r="F2" s="110"/>
      <c r="G2" s="110"/>
      <c r="H2" s="110"/>
      <c r="J2" s="116" t="s">
        <v>607</v>
      </c>
      <c r="K2" s="116"/>
      <c r="L2" s="116"/>
      <c r="M2" s="116"/>
      <c r="N2" s="116"/>
    </row>
    <row r="3" spans="1:14" ht="21" customHeight="1" x14ac:dyDescent="0.2">
      <c r="A3" s="110" t="s">
        <v>589</v>
      </c>
      <c r="B3" s="110"/>
      <c r="C3" s="110"/>
      <c r="D3" s="110"/>
      <c r="E3" s="110"/>
      <c r="F3" s="110"/>
      <c r="G3" s="110"/>
      <c r="H3" s="110"/>
      <c r="J3" s="40"/>
      <c r="K3" s="40"/>
      <c r="L3" s="40"/>
      <c r="M3" s="40"/>
      <c r="N3" s="40"/>
    </row>
    <row r="4" spans="1:14" ht="30" x14ac:dyDescent="0.2">
      <c r="A4" s="94" t="s">
        <v>2</v>
      </c>
      <c r="B4" s="94" t="s">
        <v>3</v>
      </c>
      <c r="C4" s="94" t="s">
        <v>4</v>
      </c>
      <c r="D4" s="94" t="s">
        <v>5</v>
      </c>
      <c r="E4" s="94" t="s">
        <v>6</v>
      </c>
      <c r="F4" s="94" t="s">
        <v>7</v>
      </c>
      <c r="G4" s="94" t="s">
        <v>8</v>
      </c>
      <c r="H4" s="91" t="s">
        <v>563</v>
      </c>
      <c r="I4" s="102"/>
      <c r="J4" s="103"/>
      <c r="K4" s="103"/>
      <c r="L4" s="103"/>
      <c r="M4" s="103"/>
      <c r="N4" s="103"/>
    </row>
    <row r="5" spans="1:14" ht="14.1" customHeight="1" x14ac:dyDescent="0.2">
      <c r="A5" s="1"/>
      <c r="B5" s="1"/>
      <c r="C5" s="2" t="s">
        <v>9</v>
      </c>
      <c r="D5" s="1"/>
      <c r="E5" s="1"/>
      <c r="F5" s="1"/>
      <c r="G5" s="1"/>
      <c r="H5" s="11"/>
      <c r="J5" s="40"/>
      <c r="K5" s="40"/>
      <c r="L5" s="40"/>
      <c r="M5" s="40"/>
      <c r="N5" s="40"/>
    </row>
    <row r="6" spans="1:14" ht="24" customHeight="1" x14ac:dyDescent="0.2">
      <c r="A6" s="1"/>
      <c r="B6" s="1"/>
      <c r="C6" s="2" t="s">
        <v>10</v>
      </c>
      <c r="D6" s="1"/>
      <c r="E6" s="1"/>
      <c r="F6" s="1"/>
      <c r="G6" s="1"/>
      <c r="H6" s="11"/>
      <c r="J6" s="40"/>
      <c r="K6" s="40"/>
      <c r="L6" s="40"/>
      <c r="M6" s="40"/>
      <c r="N6" s="40"/>
    </row>
    <row r="7" spans="1:14" ht="14.1" customHeight="1" x14ac:dyDescent="0.2">
      <c r="A7" s="1"/>
      <c r="B7" s="1"/>
      <c r="C7" s="2" t="s">
        <v>11</v>
      </c>
      <c r="D7" s="1"/>
      <c r="E7" s="1" t="s">
        <v>12</v>
      </c>
      <c r="F7" s="3" t="s">
        <v>13</v>
      </c>
      <c r="G7" s="4">
        <v>0</v>
      </c>
      <c r="H7" s="11"/>
      <c r="J7" s="40"/>
      <c r="K7" s="40"/>
      <c r="L7" s="40"/>
      <c r="M7" s="40"/>
      <c r="N7" s="40"/>
    </row>
    <row r="8" spans="1:14" ht="14.1" customHeight="1" x14ac:dyDescent="0.2">
      <c r="A8" s="1"/>
      <c r="B8" s="1"/>
      <c r="C8" s="5"/>
      <c r="D8" s="1"/>
      <c r="E8" s="1"/>
      <c r="F8" s="6"/>
      <c r="G8" s="6"/>
      <c r="H8" s="11"/>
      <c r="J8" s="40"/>
      <c r="K8" s="40"/>
      <c r="L8" s="40"/>
      <c r="M8" s="40"/>
      <c r="N8" s="40"/>
    </row>
    <row r="9" spans="1:14" ht="14.1" customHeight="1" x14ac:dyDescent="0.2">
      <c r="A9" s="1"/>
      <c r="B9" s="1"/>
      <c r="C9" s="2" t="s">
        <v>14</v>
      </c>
      <c r="D9" s="1"/>
      <c r="E9" s="1"/>
      <c r="F9" s="1"/>
      <c r="G9" s="1"/>
      <c r="H9" s="11"/>
      <c r="J9" s="40"/>
      <c r="K9" s="40"/>
      <c r="L9" s="40"/>
      <c r="M9" s="40"/>
      <c r="N9" s="40"/>
    </row>
    <row r="10" spans="1:14" ht="14.1" customHeight="1" x14ac:dyDescent="0.2">
      <c r="A10" s="1"/>
      <c r="B10" s="1"/>
      <c r="C10" s="2" t="s">
        <v>11</v>
      </c>
      <c r="D10" s="1"/>
      <c r="E10" s="1" t="s">
        <v>12</v>
      </c>
      <c r="F10" s="3" t="s">
        <v>13</v>
      </c>
      <c r="G10" s="4">
        <v>0</v>
      </c>
      <c r="H10" s="11"/>
      <c r="J10" s="40"/>
      <c r="K10" s="40"/>
      <c r="L10" s="40"/>
      <c r="M10" s="40"/>
      <c r="N10" s="40"/>
    </row>
    <row r="11" spans="1:14" ht="14.1" customHeight="1" x14ac:dyDescent="0.2">
      <c r="A11" s="1"/>
      <c r="B11" s="1"/>
      <c r="C11" s="5"/>
      <c r="D11" s="1"/>
      <c r="E11" s="1"/>
      <c r="F11" s="6"/>
      <c r="G11" s="6"/>
      <c r="H11" s="11"/>
      <c r="J11" s="40"/>
      <c r="K11" s="40"/>
      <c r="L11" s="40"/>
      <c r="M11" s="40"/>
      <c r="N11" s="40"/>
    </row>
    <row r="12" spans="1:14" ht="14.1" customHeight="1" x14ac:dyDescent="0.2">
      <c r="A12" s="1"/>
      <c r="B12" s="1"/>
      <c r="C12" s="2" t="s">
        <v>15</v>
      </c>
      <c r="D12" s="1"/>
      <c r="E12" s="1"/>
      <c r="F12" s="1"/>
      <c r="G12" s="1"/>
      <c r="H12" s="11"/>
      <c r="J12" s="40"/>
      <c r="K12" s="40"/>
      <c r="L12" s="40"/>
      <c r="M12" s="40"/>
      <c r="N12" s="40"/>
    </row>
    <row r="13" spans="1:14" ht="14.1" customHeight="1" x14ac:dyDescent="0.2">
      <c r="A13" s="1"/>
      <c r="B13" s="1"/>
      <c r="C13" s="2" t="s">
        <v>11</v>
      </c>
      <c r="D13" s="1"/>
      <c r="E13" s="1" t="s">
        <v>12</v>
      </c>
      <c r="F13" s="3" t="s">
        <v>13</v>
      </c>
      <c r="G13" s="4">
        <v>0</v>
      </c>
      <c r="H13" s="11"/>
      <c r="J13" s="40"/>
      <c r="K13" s="40"/>
      <c r="L13" s="40"/>
      <c r="M13" s="40"/>
      <c r="N13" s="40"/>
    </row>
    <row r="14" spans="1:14" ht="14.1" customHeight="1" x14ac:dyDescent="0.25">
      <c r="A14" s="1"/>
      <c r="B14" s="1"/>
      <c r="C14" s="5"/>
      <c r="D14" s="1"/>
      <c r="E14" s="1"/>
      <c r="F14" s="6"/>
      <c r="G14" s="6"/>
      <c r="H14" s="11"/>
      <c r="J14" s="105" t="s">
        <v>608</v>
      </c>
      <c r="K14" s="40"/>
      <c r="L14" s="40"/>
      <c r="M14" s="40"/>
      <c r="N14" s="40"/>
    </row>
    <row r="15" spans="1:14" ht="14.1" customHeight="1" x14ac:dyDescent="0.2">
      <c r="A15" s="1"/>
      <c r="B15" s="1"/>
      <c r="C15" s="2" t="s">
        <v>16</v>
      </c>
      <c r="D15" s="1"/>
      <c r="E15" s="1"/>
      <c r="F15" s="1"/>
      <c r="G15" s="1"/>
      <c r="H15" s="11"/>
      <c r="J15" s="40"/>
      <c r="K15" s="40"/>
      <c r="L15" s="40"/>
      <c r="M15" s="40"/>
      <c r="N15" s="40"/>
    </row>
    <row r="16" spans="1:14" ht="14.1" customHeight="1" x14ac:dyDescent="0.2">
      <c r="A16" s="1"/>
      <c r="B16" s="1"/>
      <c r="C16" s="2" t="s">
        <v>11</v>
      </c>
      <c r="D16" s="1"/>
      <c r="E16" s="1" t="s">
        <v>12</v>
      </c>
      <c r="F16" s="3" t="s">
        <v>13</v>
      </c>
      <c r="G16" s="4">
        <v>0</v>
      </c>
      <c r="H16" s="11"/>
      <c r="K16" s="106"/>
      <c r="L16" s="106"/>
      <c r="M16" s="106"/>
      <c r="N16" s="106"/>
    </row>
    <row r="17" spans="1:14" ht="14.1" customHeight="1" x14ac:dyDescent="0.2">
      <c r="A17" s="1"/>
      <c r="B17" s="1"/>
      <c r="C17" s="5"/>
      <c r="D17" s="1"/>
      <c r="E17" s="1"/>
      <c r="F17" s="6"/>
      <c r="G17" s="6"/>
      <c r="H17" s="11"/>
      <c r="J17" s="40"/>
      <c r="K17" s="40"/>
      <c r="L17" s="40"/>
      <c r="M17" s="40"/>
      <c r="N17" s="40"/>
    </row>
    <row r="18" spans="1:14" ht="14.1" customHeight="1" x14ac:dyDescent="0.2">
      <c r="A18" s="1"/>
      <c r="B18" s="1"/>
      <c r="C18" s="2" t="s">
        <v>17</v>
      </c>
      <c r="D18" s="1"/>
      <c r="E18" s="1"/>
      <c r="F18" s="6"/>
      <c r="G18" s="6"/>
      <c r="H18" s="11"/>
      <c r="J18" s="40"/>
      <c r="K18" s="40"/>
      <c r="L18" s="40"/>
      <c r="M18" s="40"/>
      <c r="N18" s="40"/>
    </row>
    <row r="19" spans="1:14" ht="14.1" customHeight="1" x14ac:dyDescent="0.2">
      <c r="A19" s="1"/>
      <c r="B19" s="1"/>
      <c r="C19" s="2" t="s">
        <v>11</v>
      </c>
      <c r="D19" s="1"/>
      <c r="E19" s="1" t="s">
        <v>12</v>
      </c>
      <c r="F19" s="3" t="s">
        <v>13</v>
      </c>
      <c r="G19" s="4">
        <v>0</v>
      </c>
      <c r="H19" s="11"/>
      <c r="J19" s="40"/>
      <c r="K19" s="40"/>
      <c r="L19" s="40"/>
      <c r="M19" s="40"/>
      <c r="N19" s="40"/>
    </row>
    <row r="20" spans="1:14" ht="14.1" customHeight="1" x14ac:dyDescent="0.2">
      <c r="A20" s="1"/>
      <c r="B20" s="1"/>
      <c r="C20" s="5"/>
      <c r="D20" s="1"/>
      <c r="E20" s="1"/>
      <c r="F20" s="6"/>
      <c r="G20" s="6"/>
      <c r="H20" s="11"/>
      <c r="J20" s="40"/>
      <c r="K20" s="40"/>
      <c r="L20" s="40"/>
      <c r="M20" s="40"/>
      <c r="N20" s="40"/>
    </row>
    <row r="21" spans="1:14" ht="14.1" customHeight="1" x14ac:dyDescent="0.2">
      <c r="A21" s="1"/>
      <c r="B21" s="1"/>
      <c r="C21" s="2" t="s">
        <v>18</v>
      </c>
      <c r="D21" s="1"/>
      <c r="E21" s="1"/>
      <c r="F21" s="6"/>
      <c r="G21" s="6"/>
      <c r="H21" s="11"/>
      <c r="J21" s="40"/>
      <c r="K21" s="40"/>
      <c r="L21" s="40"/>
      <c r="M21" s="40"/>
      <c r="N21" s="40"/>
    </row>
    <row r="22" spans="1:14" ht="14.1" customHeight="1" x14ac:dyDescent="0.2">
      <c r="A22" s="1"/>
      <c r="B22" s="1"/>
      <c r="C22" s="2" t="s">
        <v>11</v>
      </c>
      <c r="D22" s="1"/>
      <c r="E22" s="1" t="s">
        <v>12</v>
      </c>
      <c r="F22" s="3" t="s">
        <v>13</v>
      </c>
      <c r="G22" s="4">
        <v>0</v>
      </c>
      <c r="H22" s="11"/>
      <c r="J22" s="40"/>
      <c r="K22" s="40"/>
      <c r="L22" s="40"/>
      <c r="M22" s="40"/>
      <c r="N22" s="40"/>
    </row>
    <row r="23" spans="1:14" ht="14.1" customHeight="1" x14ac:dyDescent="0.2">
      <c r="A23" s="1"/>
      <c r="B23" s="1"/>
      <c r="C23" s="5"/>
      <c r="D23" s="1"/>
      <c r="E23" s="1"/>
      <c r="F23" s="6"/>
      <c r="G23" s="6"/>
      <c r="H23" s="11"/>
      <c r="J23" s="40"/>
      <c r="K23" s="40"/>
      <c r="L23" s="40"/>
      <c r="M23" s="40"/>
      <c r="N23" s="40"/>
    </row>
    <row r="24" spans="1:14" ht="18" customHeight="1" x14ac:dyDescent="0.2">
      <c r="A24" s="1"/>
      <c r="B24" s="1"/>
      <c r="C24" s="2" t="s">
        <v>19</v>
      </c>
      <c r="D24" s="1"/>
      <c r="E24" s="1"/>
      <c r="F24" s="7">
        <v>0</v>
      </c>
      <c r="G24" s="4">
        <v>0</v>
      </c>
      <c r="H24" s="11"/>
      <c r="J24" s="40"/>
      <c r="K24" s="40"/>
      <c r="L24" s="40"/>
      <c r="M24" s="40"/>
      <c r="N24" s="40"/>
    </row>
    <row r="25" spans="1:14" ht="14.1" customHeight="1" x14ac:dyDescent="0.2">
      <c r="A25" s="1"/>
      <c r="B25" s="1"/>
      <c r="C25" s="5"/>
      <c r="D25" s="1"/>
      <c r="E25" s="1"/>
      <c r="F25" s="6"/>
      <c r="G25" s="6"/>
      <c r="H25" s="11"/>
      <c r="J25" s="40"/>
      <c r="K25" s="40"/>
      <c r="L25" s="40"/>
      <c r="M25" s="40"/>
      <c r="N25" s="40"/>
    </row>
    <row r="26" spans="1:14" ht="14.1" customHeight="1" x14ac:dyDescent="0.2">
      <c r="A26" s="1"/>
      <c r="B26" s="1"/>
      <c r="C26" s="2" t="s">
        <v>20</v>
      </c>
      <c r="D26" s="1"/>
      <c r="E26" s="1"/>
      <c r="F26" s="6"/>
      <c r="G26" s="6"/>
      <c r="H26" s="11"/>
      <c r="J26" s="40"/>
      <c r="K26" s="40"/>
      <c r="L26" s="40"/>
      <c r="M26" s="40"/>
      <c r="N26" s="40"/>
    </row>
    <row r="27" spans="1:14" ht="24" customHeight="1" x14ac:dyDescent="0.2">
      <c r="A27" s="1"/>
      <c r="B27" s="1"/>
      <c r="C27" s="2" t="s">
        <v>10</v>
      </c>
      <c r="D27" s="1"/>
      <c r="E27" s="1"/>
      <c r="F27" s="6"/>
      <c r="G27" s="6"/>
      <c r="H27" s="11"/>
      <c r="J27" s="40"/>
      <c r="K27" s="40"/>
      <c r="L27" s="40"/>
      <c r="M27" s="40"/>
      <c r="N27" s="40"/>
    </row>
    <row r="28" spans="1:14" ht="14.1" customHeight="1" x14ac:dyDescent="0.2">
      <c r="A28" s="1"/>
      <c r="B28" s="1"/>
      <c r="C28" s="2" t="s">
        <v>11</v>
      </c>
      <c r="D28" s="1"/>
      <c r="E28" s="1" t="s">
        <v>12</v>
      </c>
      <c r="F28" s="3" t="s">
        <v>13</v>
      </c>
      <c r="G28" s="4">
        <v>0</v>
      </c>
      <c r="H28" s="11"/>
      <c r="J28" s="40"/>
      <c r="K28" s="40"/>
      <c r="L28" s="40"/>
      <c r="M28" s="40"/>
      <c r="N28" s="40"/>
    </row>
    <row r="29" spans="1:14" ht="14.1" customHeight="1" x14ac:dyDescent="0.25">
      <c r="A29" s="1"/>
      <c r="B29" s="1"/>
      <c r="C29" s="5"/>
      <c r="D29" s="1"/>
      <c r="E29" s="1"/>
      <c r="F29" s="6"/>
      <c r="G29" s="6"/>
      <c r="H29" s="11"/>
      <c r="J29" s="105" t="s">
        <v>609</v>
      </c>
      <c r="K29" s="40"/>
      <c r="L29" s="40"/>
      <c r="M29" s="40"/>
      <c r="N29" s="40"/>
    </row>
    <row r="30" spans="1:14" ht="14.1" customHeight="1" x14ac:dyDescent="0.2">
      <c r="A30" s="1"/>
      <c r="B30" s="1"/>
      <c r="C30" s="2" t="s">
        <v>77</v>
      </c>
      <c r="D30" s="1"/>
      <c r="E30" s="1"/>
      <c r="F30" s="1"/>
      <c r="G30" s="1"/>
      <c r="H30" s="11"/>
      <c r="K30" s="106"/>
      <c r="L30" s="106"/>
      <c r="M30" s="106"/>
      <c r="N30" s="106"/>
    </row>
    <row r="31" spans="1:14" ht="14.1" customHeight="1" x14ac:dyDescent="0.2">
      <c r="A31" s="1"/>
      <c r="B31" s="1"/>
      <c r="C31" s="2" t="s">
        <v>11</v>
      </c>
      <c r="D31" s="1"/>
      <c r="E31" s="1" t="s">
        <v>12</v>
      </c>
      <c r="F31" s="3" t="s">
        <v>13</v>
      </c>
      <c r="G31" s="4">
        <v>0</v>
      </c>
      <c r="H31" s="11"/>
      <c r="J31" s="40"/>
      <c r="K31" s="40"/>
      <c r="L31" s="40"/>
      <c r="M31" s="40"/>
      <c r="N31" s="40"/>
    </row>
    <row r="32" spans="1:14" ht="14.1" customHeight="1" x14ac:dyDescent="0.2">
      <c r="A32" s="1"/>
      <c r="B32" s="1"/>
      <c r="C32" s="5"/>
      <c r="D32" s="1"/>
      <c r="E32" s="1"/>
      <c r="F32" s="6"/>
      <c r="G32" s="6"/>
      <c r="H32" s="11"/>
      <c r="J32" s="40"/>
      <c r="K32" s="40"/>
      <c r="L32" s="40"/>
      <c r="M32" s="40"/>
      <c r="N32" s="40"/>
    </row>
    <row r="33" spans="1:14" ht="14.1" customHeight="1" x14ac:dyDescent="0.2">
      <c r="A33" s="1"/>
      <c r="B33" s="1"/>
      <c r="C33" s="2" t="s">
        <v>78</v>
      </c>
      <c r="D33" s="1"/>
      <c r="E33" s="1"/>
      <c r="F33" s="1"/>
      <c r="G33" s="1"/>
      <c r="H33" s="11"/>
      <c r="J33" s="40"/>
      <c r="K33" s="40"/>
      <c r="L33" s="40"/>
      <c r="M33" s="40"/>
      <c r="N33" s="40"/>
    </row>
    <row r="34" spans="1:14" ht="29.1" customHeight="1" x14ac:dyDescent="0.2">
      <c r="A34" s="8">
        <v>1</v>
      </c>
      <c r="B34" s="9" t="s">
        <v>156</v>
      </c>
      <c r="C34" s="9" t="s">
        <v>157</v>
      </c>
      <c r="D34" s="9" t="s">
        <v>81</v>
      </c>
      <c r="E34" s="10">
        <v>1500000</v>
      </c>
      <c r="F34" s="11">
        <v>1441.4549999999999</v>
      </c>
      <c r="G34" s="12">
        <v>0.31791805000000001</v>
      </c>
      <c r="H34" s="11">
        <v>7.1821000000000002</v>
      </c>
      <c r="J34" s="40"/>
      <c r="K34" s="40"/>
      <c r="L34" s="40"/>
      <c r="M34" s="40"/>
      <c r="N34" s="40"/>
    </row>
    <row r="35" spans="1:14" ht="29.1" customHeight="1" x14ac:dyDescent="0.2">
      <c r="A35" s="8">
        <v>2</v>
      </c>
      <c r="B35" s="9" t="s">
        <v>202</v>
      </c>
      <c r="C35" s="9" t="s">
        <v>203</v>
      </c>
      <c r="D35" s="9" t="s">
        <v>81</v>
      </c>
      <c r="E35" s="10">
        <v>1000000</v>
      </c>
      <c r="F35" s="11">
        <v>968.30399999999997</v>
      </c>
      <c r="G35" s="12">
        <v>0.21356290999999999</v>
      </c>
      <c r="H35" s="11">
        <v>7.1017999999999999</v>
      </c>
      <c r="J35" s="40"/>
      <c r="K35" s="40"/>
      <c r="L35" s="40"/>
      <c r="M35" s="40"/>
      <c r="N35" s="40"/>
    </row>
    <row r="36" spans="1:14" ht="29.1" customHeight="1" x14ac:dyDescent="0.2">
      <c r="A36" s="8">
        <v>3</v>
      </c>
      <c r="B36" s="9" t="s">
        <v>84</v>
      </c>
      <c r="C36" s="9" t="s">
        <v>85</v>
      </c>
      <c r="D36" s="9" t="s">
        <v>81</v>
      </c>
      <c r="E36" s="10">
        <v>500000</v>
      </c>
      <c r="F36" s="11">
        <v>505.09</v>
      </c>
      <c r="G36" s="12">
        <v>0.11139941</v>
      </c>
      <c r="H36" s="11">
        <v>7.2367999999999997</v>
      </c>
      <c r="J36" s="40"/>
      <c r="K36" s="40"/>
      <c r="L36" s="40"/>
      <c r="M36" s="40"/>
      <c r="N36" s="40"/>
    </row>
    <row r="37" spans="1:14" ht="29.1" customHeight="1" x14ac:dyDescent="0.2">
      <c r="A37" s="8">
        <v>4</v>
      </c>
      <c r="B37" s="9" t="s">
        <v>391</v>
      </c>
      <c r="C37" s="9" t="s">
        <v>392</v>
      </c>
      <c r="D37" s="9" t="s">
        <v>81</v>
      </c>
      <c r="E37" s="10">
        <v>500000</v>
      </c>
      <c r="F37" s="11">
        <v>503.55700000000002</v>
      </c>
      <c r="G37" s="12">
        <v>0.1110613</v>
      </c>
      <c r="H37" s="11">
        <v>7.2785000000000002</v>
      </c>
      <c r="J37" s="40"/>
      <c r="K37" s="40"/>
      <c r="L37" s="40"/>
      <c r="M37" s="40"/>
      <c r="N37" s="40"/>
    </row>
    <row r="38" spans="1:14" ht="29.1" customHeight="1" x14ac:dyDescent="0.2">
      <c r="A38" s="8">
        <v>5</v>
      </c>
      <c r="B38" s="9" t="s">
        <v>393</v>
      </c>
      <c r="C38" s="9" t="s">
        <v>394</v>
      </c>
      <c r="D38" s="9" t="s">
        <v>81</v>
      </c>
      <c r="E38" s="10">
        <v>500000</v>
      </c>
      <c r="F38" s="11">
        <v>479.9255</v>
      </c>
      <c r="G38" s="12">
        <v>0.10584928</v>
      </c>
      <c r="H38" s="11">
        <v>7.1482000000000001</v>
      </c>
      <c r="J38" s="40"/>
      <c r="K38" s="40"/>
      <c r="L38" s="40"/>
      <c r="M38" s="40"/>
      <c r="N38" s="40"/>
    </row>
    <row r="39" spans="1:14" ht="14.1" customHeight="1" x14ac:dyDescent="0.2">
      <c r="A39" s="1"/>
      <c r="B39" s="1"/>
      <c r="C39" s="2" t="s">
        <v>11</v>
      </c>
      <c r="D39" s="1"/>
      <c r="E39" s="1" t="s">
        <v>12</v>
      </c>
      <c r="F39" s="7">
        <v>3898.3314999999998</v>
      </c>
      <c r="G39" s="4">
        <v>0.85979095000000005</v>
      </c>
      <c r="H39" s="11"/>
      <c r="J39" s="40"/>
      <c r="K39" s="40"/>
      <c r="L39" s="40"/>
      <c r="M39" s="40"/>
      <c r="N39" s="40"/>
    </row>
    <row r="40" spans="1:14" ht="14.1" customHeight="1" x14ac:dyDescent="0.2">
      <c r="A40" s="1"/>
      <c r="B40" s="1"/>
      <c r="C40" s="5"/>
      <c r="D40" s="1"/>
      <c r="E40" s="1"/>
      <c r="F40" s="6"/>
      <c r="G40" s="6"/>
      <c r="H40" s="11"/>
    </row>
    <row r="41" spans="1:14" ht="14.1" customHeight="1" x14ac:dyDescent="0.2">
      <c r="A41" s="1"/>
      <c r="B41" s="1"/>
      <c r="C41" s="2" t="s">
        <v>90</v>
      </c>
      <c r="D41" s="1"/>
      <c r="E41" s="1"/>
      <c r="F41" s="6"/>
      <c r="G41" s="6"/>
      <c r="H41" s="11"/>
    </row>
    <row r="42" spans="1:14" ht="14.1" customHeight="1" x14ac:dyDescent="0.2">
      <c r="A42" s="1"/>
      <c r="B42" s="1"/>
      <c r="C42" s="2" t="s">
        <v>11</v>
      </c>
      <c r="D42" s="1"/>
      <c r="E42" s="1" t="s">
        <v>12</v>
      </c>
      <c r="F42" s="3" t="s">
        <v>13</v>
      </c>
      <c r="G42" s="4">
        <v>0</v>
      </c>
      <c r="H42" s="11"/>
    </row>
    <row r="43" spans="1:14" ht="14.1" customHeight="1" x14ac:dyDescent="0.2">
      <c r="A43" s="1"/>
      <c r="B43" s="1"/>
      <c r="C43" s="5"/>
      <c r="D43" s="1"/>
      <c r="E43" s="1"/>
      <c r="F43" s="6"/>
      <c r="G43" s="6"/>
      <c r="H43" s="11"/>
    </row>
    <row r="44" spans="1:14" ht="14.1" customHeight="1" x14ac:dyDescent="0.2">
      <c r="A44" s="1"/>
      <c r="B44" s="1"/>
      <c r="C44" s="2" t="s">
        <v>91</v>
      </c>
      <c r="D44" s="1"/>
      <c r="E44" s="1"/>
      <c r="F44" s="7">
        <v>3898.3314999999998</v>
      </c>
      <c r="G44" s="4">
        <v>0.85979095000000005</v>
      </c>
      <c r="H44" s="11"/>
    </row>
    <row r="45" spans="1:14" ht="14.1" customHeight="1" x14ac:dyDescent="0.2">
      <c r="A45" s="1"/>
      <c r="B45" s="1"/>
      <c r="C45" s="5"/>
      <c r="D45" s="1"/>
      <c r="E45" s="1"/>
      <c r="F45" s="6"/>
      <c r="G45" s="6"/>
      <c r="H45" s="11"/>
    </row>
    <row r="46" spans="1:14" ht="14.1" customHeight="1" x14ac:dyDescent="0.2">
      <c r="A46" s="1"/>
      <c r="B46" s="1"/>
      <c r="C46" s="2" t="s">
        <v>92</v>
      </c>
      <c r="D46" s="1"/>
      <c r="E46" s="1"/>
      <c r="F46" s="6"/>
      <c r="G46" s="6"/>
      <c r="H46" s="11"/>
    </row>
    <row r="47" spans="1:14" ht="14.1" customHeight="1" x14ac:dyDescent="0.2">
      <c r="A47" s="1"/>
      <c r="B47" s="1"/>
      <c r="C47" s="2" t="s">
        <v>93</v>
      </c>
      <c r="D47" s="1"/>
      <c r="E47" s="1"/>
      <c r="F47" s="6"/>
      <c r="G47" s="6"/>
      <c r="H47" s="11"/>
    </row>
    <row r="48" spans="1:14"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94</v>
      </c>
      <c r="D50" s="1"/>
      <c r="E50" s="1"/>
      <c r="F50" s="6"/>
      <c r="G50" s="6"/>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95</v>
      </c>
      <c r="D53" s="1"/>
      <c r="E53" s="1"/>
      <c r="F53" s="6"/>
      <c r="G53" s="6"/>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96</v>
      </c>
      <c r="D56" s="1"/>
      <c r="E56" s="1"/>
      <c r="F56" s="6"/>
      <c r="G56" s="6"/>
      <c r="H56" s="11"/>
    </row>
    <row r="57" spans="1:8" ht="17.100000000000001" customHeight="1" x14ac:dyDescent="0.2">
      <c r="A57" s="8">
        <v>1</v>
      </c>
      <c r="B57" s="9"/>
      <c r="C57" s="9" t="s">
        <v>97</v>
      </c>
      <c r="D57" s="9"/>
      <c r="E57" s="13"/>
      <c r="F57" s="11">
        <v>318.915898099</v>
      </c>
      <c r="G57" s="12">
        <v>7.0338040000000004E-2</v>
      </c>
      <c r="H57" s="11">
        <v>6.7573016869821334</v>
      </c>
    </row>
    <row r="58" spans="1:8" ht="17.100000000000001" customHeight="1" x14ac:dyDescent="0.2">
      <c r="A58" s="8">
        <v>2</v>
      </c>
      <c r="B58" s="9"/>
      <c r="C58" s="9" t="s">
        <v>98</v>
      </c>
      <c r="D58" s="9"/>
      <c r="E58" s="13"/>
      <c r="F58" s="11">
        <v>261.26080560000003</v>
      </c>
      <c r="G58" s="12">
        <v>5.7622E-2</v>
      </c>
      <c r="H58" s="11">
        <v>6.796603293503404</v>
      </c>
    </row>
    <row r="59" spans="1:8" ht="14.1" customHeight="1" x14ac:dyDescent="0.2">
      <c r="A59" s="1"/>
      <c r="B59" s="1"/>
      <c r="C59" s="2" t="s">
        <v>11</v>
      </c>
      <c r="D59" s="1"/>
      <c r="E59" s="1" t="s">
        <v>12</v>
      </c>
      <c r="F59" s="7">
        <v>580.17670369899997</v>
      </c>
      <c r="G59" s="4">
        <v>0.12796004</v>
      </c>
      <c r="H59" s="11"/>
    </row>
    <row r="60" spans="1:8" ht="14.1" customHeight="1" x14ac:dyDescent="0.2">
      <c r="A60" s="1"/>
      <c r="B60" s="1"/>
      <c r="C60" s="5"/>
      <c r="D60" s="1"/>
      <c r="E60" s="1"/>
      <c r="F60" s="6"/>
      <c r="G60" s="6"/>
      <c r="H60" s="11"/>
    </row>
    <row r="61" spans="1:8" ht="14.1" customHeight="1" x14ac:dyDescent="0.2">
      <c r="A61" s="1"/>
      <c r="B61" s="1"/>
      <c r="C61" s="2" t="s">
        <v>99</v>
      </c>
      <c r="D61" s="1"/>
      <c r="E61" s="1"/>
      <c r="F61" s="7">
        <v>580.17670369899997</v>
      </c>
      <c r="G61" s="4">
        <v>0.12796004</v>
      </c>
      <c r="H61" s="11"/>
    </row>
    <row r="62" spans="1:8" ht="14.1" customHeight="1" x14ac:dyDescent="0.2">
      <c r="A62" s="1"/>
      <c r="B62" s="1"/>
      <c r="C62" s="6"/>
      <c r="D62" s="1"/>
      <c r="E62" s="1"/>
      <c r="F62" s="1"/>
      <c r="G62" s="1"/>
      <c r="H62" s="11"/>
    </row>
    <row r="63" spans="1:8" ht="14.1" customHeight="1" x14ac:dyDescent="0.2">
      <c r="A63" s="1"/>
      <c r="B63" s="1"/>
      <c r="C63" s="2" t="s">
        <v>100</v>
      </c>
      <c r="D63" s="1"/>
      <c r="E63" s="1"/>
      <c r="F63" s="1"/>
      <c r="G63" s="1"/>
      <c r="H63" s="11"/>
    </row>
    <row r="64" spans="1:8" ht="14.1" customHeight="1" x14ac:dyDescent="0.2">
      <c r="A64" s="1"/>
      <c r="B64" s="1"/>
      <c r="C64" s="2" t="s">
        <v>101</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102</v>
      </c>
      <c r="D67" s="1"/>
      <c r="E67" s="1"/>
      <c r="F67" s="1"/>
      <c r="G67" s="1"/>
      <c r="H67" s="11"/>
    </row>
    <row r="68" spans="1:8" ht="14.1" customHeight="1" x14ac:dyDescent="0.2">
      <c r="A68" s="1"/>
      <c r="B68" s="1"/>
      <c r="C68" s="2" t="s">
        <v>103</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104</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105</v>
      </c>
      <c r="D75" s="9"/>
      <c r="E75" s="13"/>
      <c r="F75" s="11">
        <v>55.539268630999928</v>
      </c>
      <c r="G75" s="12">
        <f>F75/F76</f>
        <v>1.2249379603972004E-2</v>
      </c>
      <c r="H75" s="11"/>
    </row>
    <row r="76" spans="1:8" ht="14.1" customHeight="1" x14ac:dyDescent="0.2">
      <c r="A76" s="5"/>
      <c r="B76" s="5"/>
      <c r="C76" s="2" t="s">
        <v>106</v>
      </c>
      <c r="D76" s="6"/>
      <c r="E76" s="6"/>
      <c r="F76" s="7">
        <v>4534.0474723300003</v>
      </c>
      <c r="G76" s="14">
        <v>1</v>
      </c>
      <c r="H76" s="11"/>
    </row>
    <row r="77" spans="1:8" ht="14.1" customHeight="1" x14ac:dyDescent="0.2">
      <c r="A77" s="15"/>
      <c r="B77" s="15"/>
      <c r="C77" s="15"/>
      <c r="D77" s="16"/>
      <c r="E77" s="16"/>
      <c r="F77" s="16"/>
      <c r="G77" s="16"/>
    </row>
    <row r="78" spans="1:8" ht="17.100000000000001" customHeight="1" x14ac:dyDescent="0.2">
      <c r="A78" s="17"/>
      <c r="B78" s="121" t="s">
        <v>107</v>
      </c>
      <c r="C78" s="121"/>
      <c r="D78" s="121"/>
      <c r="E78" s="121"/>
      <c r="F78" s="121"/>
      <c r="G78" s="19"/>
    </row>
    <row r="79" spans="1:8" ht="17.100000000000001" customHeight="1" x14ac:dyDescent="0.2">
      <c r="A79" s="17"/>
      <c r="B79" s="121" t="s">
        <v>108</v>
      </c>
      <c r="C79" s="121"/>
      <c r="D79" s="121"/>
      <c r="E79" s="121"/>
      <c r="F79" s="121"/>
      <c r="G79" s="19"/>
    </row>
    <row r="80" spans="1:8" ht="14.1" customHeight="1" x14ac:dyDescent="0.2">
      <c r="A80" s="17"/>
      <c r="B80" s="17"/>
      <c r="C80" s="17"/>
      <c r="D80" s="19"/>
      <c r="E80" s="19"/>
      <c r="F80" s="19"/>
      <c r="G80" s="19"/>
    </row>
    <row r="81" spans="1:7" ht="14.1" customHeight="1" x14ac:dyDescent="0.2">
      <c r="A81" s="17"/>
      <c r="B81" s="122" t="s">
        <v>109</v>
      </c>
      <c r="C81" s="123"/>
      <c r="D81" s="124"/>
      <c r="E81" s="20"/>
      <c r="F81" s="19"/>
      <c r="G81" s="19"/>
    </row>
    <row r="82" spans="1:7" ht="29.1" customHeight="1" x14ac:dyDescent="0.2">
      <c r="A82" s="17"/>
      <c r="B82" s="114" t="s">
        <v>110</v>
      </c>
      <c r="C82" s="115"/>
      <c r="D82" s="2" t="s">
        <v>565</v>
      </c>
      <c r="E82" s="20"/>
      <c r="F82" s="19"/>
      <c r="G82" s="19"/>
    </row>
    <row r="83" spans="1:7" ht="17.100000000000001" customHeight="1" x14ac:dyDescent="0.2">
      <c r="A83" s="17"/>
      <c r="B83" s="114" t="s">
        <v>112</v>
      </c>
      <c r="C83" s="115"/>
      <c r="D83" s="2" t="s">
        <v>111</v>
      </c>
      <c r="E83" s="20"/>
      <c r="F83" s="19"/>
      <c r="G83" s="19"/>
    </row>
    <row r="84" spans="1:7" ht="17.100000000000001" customHeight="1" x14ac:dyDescent="0.2">
      <c r="A84" s="17"/>
      <c r="B84" s="114" t="s">
        <v>113</v>
      </c>
      <c r="C84" s="115"/>
      <c r="D84" s="6" t="s">
        <v>12</v>
      </c>
      <c r="E84" s="20"/>
      <c r="F84" s="19"/>
      <c r="G84" s="19"/>
    </row>
    <row r="85" spans="1:7" ht="24" customHeight="1" x14ac:dyDescent="0.2">
      <c r="A85" s="21"/>
      <c r="B85" s="22" t="s">
        <v>12</v>
      </c>
      <c r="C85" s="22" t="s">
        <v>114</v>
      </c>
      <c r="D85" s="22" t="s">
        <v>115</v>
      </c>
      <c r="E85" s="21"/>
      <c r="F85" s="21"/>
      <c r="G85" s="21"/>
    </row>
    <row r="86" spans="1:7" ht="18" customHeight="1" x14ac:dyDescent="0.2">
      <c r="A86" s="21"/>
      <c r="B86" s="23" t="s">
        <v>116</v>
      </c>
      <c r="C86" s="22" t="s">
        <v>590</v>
      </c>
      <c r="D86" s="22" t="s">
        <v>117</v>
      </c>
      <c r="E86" s="21"/>
      <c r="F86" s="21"/>
      <c r="G86" s="21"/>
    </row>
    <row r="87" spans="1:7" ht="17.100000000000001" customHeight="1" x14ac:dyDescent="0.2">
      <c r="A87" s="21"/>
      <c r="B87" s="9" t="s">
        <v>118</v>
      </c>
      <c r="C87" s="24">
        <v>67.202600000000004</v>
      </c>
      <c r="D87" s="24">
        <v>67.188199999999995</v>
      </c>
      <c r="E87" s="21"/>
      <c r="F87" s="18"/>
      <c r="G87" s="25"/>
    </row>
    <row r="88" spans="1:7" ht="29.1" customHeight="1" x14ac:dyDescent="0.2">
      <c r="A88" s="21"/>
      <c r="B88" s="9" t="s">
        <v>569</v>
      </c>
      <c r="C88" s="24">
        <v>24.558</v>
      </c>
      <c r="D88" s="24">
        <v>24.477900000000002</v>
      </c>
      <c r="E88" s="21"/>
      <c r="F88" s="18"/>
      <c r="G88" s="25"/>
    </row>
    <row r="89" spans="1:7" ht="29.1" customHeight="1" x14ac:dyDescent="0.2">
      <c r="A89" s="21"/>
      <c r="B89" s="9" t="s">
        <v>571</v>
      </c>
      <c r="C89" s="24">
        <v>13.854200000000001</v>
      </c>
      <c r="D89" s="24">
        <v>13.8512</v>
      </c>
      <c r="E89" s="21"/>
      <c r="F89" s="18"/>
      <c r="G89" s="25"/>
    </row>
    <row r="90" spans="1:7" ht="29.1" customHeight="1" x14ac:dyDescent="0.2">
      <c r="A90" s="21"/>
      <c r="B90" s="9" t="s">
        <v>395</v>
      </c>
      <c r="C90" s="24">
        <v>69.258899999999997</v>
      </c>
      <c r="D90" s="24">
        <v>69.218299999999999</v>
      </c>
      <c r="E90" s="21"/>
      <c r="F90" s="18"/>
      <c r="G90" s="25"/>
    </row>
    <row r="91" spans="1:7" ht="17.100000000000001" customHeight="1" x14ac:dyDescent="0.2">
      <c r="A91" s="21"/>
      <c r="B91" s="9" t="s">
        <v>119</v>
      </c>
      <c r="C91" s="24">
        <v>61.287999999999997</v>
      </c>
      <c r="D91" s="24">
        <v>61.252099999999999</v>
      </c>
      <c r="E91" s="21"/>
      <c r="F91" s="18"/>
      <c r="G91" s="25"/>
    </row>
    <row r="92" spans="1:7" ht="17.100000000000001" customHeight="1" x14ac:dyDescent="0.2">
      <c r="A92" s="21"/>
      <c r="B92" s="9" t="s">
        <v>163</v>
      </c>
      <c r="C92" s="24">
        <v>20.932500000000001</v>
      </c>
      <c r="D92" s="24">
        <v>20.920200000000001</v>
      </c>
      <c r="E92" s="21"/>
      <c r="F92" s="18"/>
      <c r="G92" s="25"/>
    </row>
    <row r="93" spans="1:7" ht="25.5" x14ac:dyDescent="0.2">
      <c r="A93" s="21"/>
      <c r="B93" s="9" t="s">
        <v>573</v>
      </c>
      <c r="C93" s="24">
        <v>12.584</v>
      </c>
      <c r="D93" s="24">
        <v>12.5017</v>
      </c>
      <c r="E93" s="21"/>
      <c r="F93" s="18"/>
      <c r="G93" s="25"/>
    </row>
    <row r="94" spans="1:7" ht="29.1" customHeight="1" x14ac:dyDescent="0.2">
      <c r="A94" s="21"/>
      <c r="B94" s="9" t="s">
        <v>574</v>
      </c>
      <c r="C94" s="24">
        <v>12.8482</v>
      </c>
      <c r="D94" s="24">
        <v>12.8406</v>
      </c>
      <c r="E94" s="21"/>
      <c r="F94" s="18"/>
      <c r="G94" s="25"/>
    </row>
    <row r="95" spans="1:7" ht="29.1" customHeight="1" x14ac:dyDescent="0.2">
      <c r="A95" s="21"/>
      <c r="B95" s="9" t="s">
        <v>575</v>
      </c>
      <c r="C95" s="24">
        <v>12.456</v>
      </c>
      <c r="D95" s="24">
        <v>12.448700000000001</v>
      </c>
      <c r="E95" s="21"/>
      <c r="F95" s="18"/>
      <c r="G95" s="25"/>
    </row>
    <row r="96" spans="1:7" ht="14.1" customHeight="1" x14ac:dyDescent="0.2">
      <c r="A96" s="21"/>
      <c r="B96" s="21"/>
      <c r="C96" s="21"/>
      <c r="D96" s="21"/>
      <c r="E96" s="21"/>
      <c r="F96" s="21"/>
      <c r="G96" s="21"/>
    </row>
    <row r="97" spans="1:14" ht="17.100000000000001" customHeight="1" x14ac:dyDescent="0.2">
      <c r="A97" s="21"/>
      <c r="B97" s="114" t="s">
        <v>576</v>
      </c>
      <c r="C97" s="115"/>
      <c r="D97" s="2" t="s">
        <v>12</v>
      </c>
      <c r="E97" s="21"/>
      <c r="F97" s="21"/>
      <c r="G97" s="21"/>
    </row>
    <row r="98" spans="1:14" ht="18" customHeight="1" x14ac:dyDescent="0.2">
      <c r="A98" s="21"/>
      <c r="B98" s="26" t="s">
        <v>116</v>
      </c>
      <c r="C98" s="27" t="s">
        <v>120</v>
      </c>
      <c r="D98" s="27" t="s">
        <v>121</v>
      </c>
      <c r="E98" s="21"/>
      <c r="F98" s="21"/>
      <c r="G98" s="21"/>
    </row>
    <row r="99" spans="1:14" ht="29.1" customHeight="1" x14ac:dyDescent="0.2">
      <c r="A99" s="21"/>
      <c r="B99" s="9" t="s">
        <v>569</v>
      </c>
      <c r="C99" s="95">
        <v>7.4999999999999997E-2</v>
      </c>
      <c r="D99" s="96" t="s">
        <v>122</v>
      </c>
      <c r="E99" s="21"/>
      <c r="F99" s="18"/>
      <c r="G99" s="25"/>
    </row>
    <row r="100" spans="1:14" ht="25.5" x14ac:dyDescent="0.2">
      <c r="A100" s="21"/>
      <c r="B100" s="9" t="s">
        <v>573</v>
      </c>
      <c r="C100" s="95">
        <v>7.4999999999999997E-2</v>
      </c>
      <c r="D100" s="95">
        <v>7.4999999999999997E-2</v>
      </c>
      <c r="E100" s="21"/>
      <c r="F100" s="18"/>
      <c r="G100" s="25"/>
    </row>
    <row r="101" spans="1:14" ht="14.1" customHeight="1" x14ac:dyDescent="0.2">
      <c r="A101" s="21"/>
      <c r="B101" s="29"/>
      <c r="C101" s="29"/>
      <c r="D101" s="30"/>
      <c r="E101" s="21"/>
      <c r="F101" s="18"/>
      <c r="G101" s="25"/>
    </row>
    <row r="102" spans="1:14" ht="17.100000000000001" customHeight="1" x14ac:dyDescent="0.2">
      <c r="A102" s="21"/>
      <c r="B102" s="114" t="s">
        <v>508</v>
      </c>
      <c r="C102" s="115"/>
      <c r="D102" s="2" t="s">
        <v>111</v>
      </c>
      <c r="E102" s="21"/>
      <c r="F102" s="18"/>
      <c r="G102" s="25"/>
    </row>
    <row r="103" spans="1:14" ht="29.1" customHeight="1" x14ac:dyDescent="0.2">
      <c r="A103" s="21"/>
      <c r="B103" s="114" t="s">
        <v>509</v>
      </c>
      <c r="C103" s="115"/>
      <c r="D103" s="2" t="s">
        <v>111</v>
      </c>
      <c r="E103" s="31"/>
      <c r="F103" s="21"/>
      <c r="G103" s="21"/>
    </row>
    <row r="104" spans="1:14" ht="29.1" customHeight="1" x14ac:dyDescent="0.2">
      <c r="A104" s="21"/>
      <c r="B104" s="114" t="s">
        <v>510</v>
      </c>
      <c r="C104" s="115"/>
      <c r="D104" s="2" t="s">
        <v>111</v>
      </c>
      <c r="E104" s="31"/>
      <c r="F104" s="21"/>
      <c r="G104" s="21"/>
    </row>
    <row r="105" spans="1:14" ht="17.100000000000001" customHeight="1" x14ac:dyDescent="0.2">
      <c r="A105" s="21"/>
      <c r="B105" s="114" t="s">
        <v>511</v>
      </c>
      <c r="C105" s="115"/>
      <c r="D105" s="2" t="s">
        <v>111</v>
      </c>
      <c r="E105" s="31"/>
      <c r="F105" s="21"/>
      <c r="G105" s="21"/>
    </row>
    <row r="107" spans="1:14" ht="15" x14ac:dyDescent="0.25">
      <c r="B107" s="145" t="s">
        <v>560</v>
      </c>
      <c r="C107" s="146"/>
      <c r="D107" s="146"/>
      <c r="E107" s="146"/>
      <c r="F107" s="146"/>
      <c r="G107" s="147"/>
      <c r="I107" s="63"/>
      <c r="J107" s="63"/>
      <c r="K107" s="63"/>
      <c r="L107" s="63"/>
      <c r="M107" s="63"/>
      <c r="N107" s="63"/>
    </row>
    <row r="108" spans="1:14" ht="29.25" customHeight="1" x14ac:dyDescent="0.25">
      <c r="B108" s="73" t="s">
        <v>519</v>
      </c>
      <c r="C108" s="73" t="s">
        <v>520</v>
      </c>
      <c r="D108" s="148" t="s">
        <v>514</v>
      </c>
      <c r="E108" s="149"/>
      <c r="F108" s="150" t="s">
        <v>515</v>
      </c>
      <c r="G108" s="150"/>
      <c r="H108" s="74"/>
      <c r="I108" s="63"/>
      <c r="J108" s="63"/>
      <c r="K108" s="63"/>
      <c r="L108" s="63"/>
      <c r="M108" s="63"/>
      <c r="N108" s="63"/>
    </row>
    <row r="109" spans="1:14" ht="26.25" x14ac:dyDescent="0.25">
      <c r="B109" s="75" t="s">
        <v>549</v>
      </c>
      <c r="C109" s="76" t="s">
        <v>550</v>
      </c>
      <c r="D109" s="154">
        <v>0</v>
      </c>
      <c r="E109" s="155"/>
      <c r="F109" s="154">
        <v>0</v>
      </c>
      <c r="G109" s="155"/>
      <c r="H109" s="77"/>
      <c r="I109" s="63"/>
      <c r="J109" s="63"/>
      <c r="K109" s="63"/>
      <c r="L109" s="63"/>
      <c r="M109" s="63"/>
      <c r="N109" s="63"/>
    </row>
    <row r="110" spans="1:14" ht="15" x14ac:dyDescent="0.25">
      <c r="B110" s="156" t="s">
        <v>551</v>
      </c>
      <c r="C110" s="157"/>
      <c r="D110" s="157"/>
      <c r="E110" s="157"/>
      <c r="F110" s="157"/>
      <c r="G110" s="158"/>
      <c r="H110" s="77"/>
      <c r="I110" s="63"/>
      <c r="J110" s="63"/>
      <c r="K110" s="63"/>
      <c r="L110" s="63"/>
      <c r="M110" s="63"/>
      <c r="N110" s="63"/>
    </row>
    <row r="111" spans="1:14" ht="15" x14ac:dyDescent="0.25">
      <c r="B111" s="150" t="s">
        <v>519</v>
      </c>
      <c r="C111" s="150" t="s">
        <v>520</v>
      </c>
      <c r="D111" s="159" t="s">
        <v>528</v>
      </c>
      <c r="E111" s="160"/>
      <c r="F111" s="161"/>
      <c r="G111" s="75"/>
      <c r="H111" s="77"/>
      <c r="I111" s="83"/>
      <c r="J111" s="83"/>
      <c r="K111" s="84"/>
      <c r="L111" s="84"/>
      <c r="M111" s="84"/>
      <c r="N111" s="63"/>
    </row>
    <row r="112" spans="1:14" ht="38.25" x14ac:dyDescent="0.25">
      <c r="B112" s="150"/>
      <c r="C112" s="150"/>
      <c r="D112" s="78" t="s">
        <v>530</v>
      </c>
      <c r="E112" s="78" t="s">
        <v>552</v>
      </c>
      <c r="F112" s="78" t="s">
        <v>533</v>
      </c>
      <c r="G112" s="78" t="s">
        <v>562</v>
      </c>
      <c r="H112" s="77"/>
      <c r="I112" s="85"/>
      <c r="J112" s="85"/>
      <c r="K112" s="84"/>
      <c r="L112" s="84"/>
      <c r="M112" s="84"/>
      <c r="N112" s="63"/>
    </row>
    <row r="113" spans="2:14" ht="25.5" x14ac:dyDescent="0.25">
      <c r="B113" s="79" t="s">
        <v>549</v>
      </c>
      <c r="C113" s="80" t="s">
        <v>550</v>
      </c>
      <c r="D113" s="81">
        <v>200</v>
      </c>
      <c r="E113" s="81">
        <v>6.8852450999999997</v>
      </c>
      <c r="F113" s="81">
        <v>206.88524509999999</v>
      </c>
      <c r="G113" s="82">
        <v>4.5600000000000002E-2</v>
      </c>
      <c r="H113" s="77"/>
      <c r="I113" s="84"/>
      <c r="J113" s="84"/>
      <c r="K113" s="84"/>
      <c r="L113" s="84"/>
      <c r="M113" s="84"/>
      <c r="N113" s="63"/>
    </row>
    <row r="114" spans="2:14" ht="27.75" customHeight="1" x14ac:dyDescent="0.2">
      <c r="B114" s="151" t="s">
        <v>553</v>
      </c>
      <c r="C114" s="152"/>
      <c r="D114" s="152"/>
      <c r="E114" s="152"/>
      <c r="F114" s="152"/>
      <c r="G114" s="153"/>
      <c r="H114" s="77"/>
    </row>
    <row r="115" spans="2:14" x14ac:dyDescent="0.2">
      <c r="H115" s="77"/>
    </row>
    <row r="116" spans="2:14" x14ac:dyDescent="0.2">
      <c r="B116" s="111" t="s">
        <v>500</v>
      </c>
      <c r="C116" s="112"/>
      <c r="D116" s="113"/>
    </row>
    <row r="117" spans="2:14" ht="25.5" x14ac:dyDescent="0.2">
      <c r="B117" s="117" t="s">
        <v>501</v>
      </c>
      <c r="C117" s="117"/>
      <c r="D117" s="41" t="s">
        <v>390</v>
      </c>
    </row>
    <row r="118" spans="2:14" x14ac:dyDescent="0.2">
      <c r="B118" s="117" t="s">
        <v>502</v>
      </c>
      <c r="C118" s="117"/>
      <c r="D118" s="42"/>
    </row>
    <row r="119" spans="2:14" x14ac:dyDescent="0.2">
      <c r="B119" s="117"/>
      <c r="C119" s="117"/>
      <c r="D119" s="43"/>
    </row>
    <row r="120" spans="2:14" x14ac:dyDescent="0.2">
      <c r="B120" s="117" t="s">
        <v>503</v>
      </c>
      <c r="C120" s="117"/>
      <c r="D120" s="32">
        <v>7.1261992803447987</v>
      </c>
    </row>
    <row r="121" spans="2:14" x14ac:dyDescent="0.2">
      <c r="B121" s="117"/>
      <c r="C121" s="117"/>
      <c r="D121" s="43"/>
    </row>
    <row r="122" spans="2:14" x14ac:dyDescent="0.2">
      <c r="B122" s="117" t="s">
        <v>504</v>
      </c>
      <c r="C122" s="117"/>
      <c r="D122" s="32">
        <v>3.1794033286977483</v>
      </c>
    </row>
    <row r="123" spans="2:14" x14ac:dyDescent="0.2">
      <c r="B123" s="117" t="s">
        <v>505</v>
      </c>
      <c r="C123" s="117"/>
      <c r="D123" s="32">
        <v>3.898089213865584</v>
      </c>
    </row>
    <row r="124" spans="2:14" x14ac:dyDescent="0.2">
      <c r="B124" s="117"/>
      <c r="C124" s="117"/>
      <c r="D124" s="43"/>
    </row>
    <row r="125" spans="2:14" x14ac:dyDescent="0.2">
      <c r="B125" s="117" t="s">
        <v>506</v>
      </c>
      <c r="C125" s="117"/>
      <c r="D125" s="44">
        <v>45107</v>
      </c>
    </row>
    <row r="126" spans="2:14" x14ac:dyDescent="0.2">
      <c r="B126" s="118" t="s">
        <v>507</v>
      </c>
      <c r="C126" s="119"/>
      <c r="D126" s="120"/>
    </row>
  </sheetData>
  <mergeCells count="36">
    <mergeCell ref="J2:N2"/>
    <mergeCell ref="B126:D126"/>
    <mergeCell ref="B120:C120"/>
    <mergeCell ref="B121:C121"/>
    <mergeCell ref="B122:C122"/>
    <mergeCell ref="B123:C123"/>
    <mergeCell ref="B124:C124"/>
    <mergeCell ref="B116:D116"/>
    <mergeCell ref="B117:C117"/>
    <mergeCell ref="B118:C118"/>
    <mergeCell ref="B119:C119"/>
    <mergeCell ref="B125:C125"/>
    <mergeCell ref="B110:G110"/>
    <mergeCell ref="B111:B112"/>
    <mergeCell ref="C111:C112"/>
    <mergeCell ref="D111:F111"/>
    <mergeCell ref="A1:H1"/>
    <mergeCell ref="A2:H2"/>
    <mergeCell ref="A3:H3"/>
    <mergeCell ref="D109:E109"/>
    <mergeCell ref="F109:G109"/>
    <mergeCell ref="B103:C103"/>
    <mergeCell ref="B78:F78"/>
    <mergeCell ref="B79:F79"/>
    <mergeCell ref="B102:C102"/>
    <mergeCell ref="B81:D81"/>
    <mergeCell ref="B82:C82"/>
    <mergeCell ref="B83:C83"/>
    <mergeCell ref="B84:C84"/>
    <mergeCell ref="B97:C97"/>
    <mergeCell ref="B104:C104"/>
    <mergeCell ref="B105:C105"/>
    <mergeCell ref="B107:G107"/>
    <mergeCell ref="D108:E108"/>
    <mergeCell ref="F108:G108"/>
    <mergeCell ref="B114:G114"/>
  </mergeCells>
  <hyperlinks>
    <hyperlink ref="I1" location="Index!B9" display="Index" xr:uid="{6036F121-5DFC-49F7-B9FC-A30FBAA627A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5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0" bestFit="1" customWidth="1"/>
    <col min="11" max="14" width="8.7109375" style="40"/>
  </cols>
  <sheetData>
    <row r="1" spans="1:14" ht="18" customHeight="1" x14ac:dyDescent="0.2">
      <c r="A1" s="110" t="s">
        <v>0</v>
      </c>
      <c r="B1" s="110"/>
      <c r="C1" s="110"/>
      <c r="D1" s="110"/>
      <c r="E1" s="110"/>
      <c r="F1" s="110"/>
      <c r="G1" s="110"/>
      <c r="H1" s="110"/>
      <c r="I1" s="101" t="s">
        <v>591</v>
      </c>
    </row>
    <row r="2" spans="1:14" ht="17.100000000000001" customHeight="1" x14ac:dyDescent="0.2">
      <c r="A2" s="110" t="s">
        <v>396</v>
      </c>
      <c r="B2" s="110"/>
      <c r="C2" s="110"/>
      <c r="D2" s="110"/>
      <c r="E2" s="110"/>
      <c r="F2" s="110"/>
      <c r="G2" s="110"/>
      <c r="H2" s="110"/>
      <c r="J2" s="116" t="s">
        <v>592</v>
      </c>
      <c r="K2" s="116"/>
      <c r="L2" s="116"/>
      <c r="M2" s="116"/>
      <c r="N2" s="116"/>
    </row>
    <row r="3" spans="1:14" ht="21" customHeight="1" x14ac:dyDescent="0.2">
      <c r="A3" s="110" t="s">
        <v>589</v>
      </c>
      <c r="B3" s="110"/>
      <c r="C3" s="110"/>
      <c r="D3" s="110"/>
      <c r="E3" s="110"/>
      <c r="F3" s="110"/>
      <c r="G3" s="110"/>
      <c r="H3" s="110"/>
    </row>
    <row r="4" spans="1:14" ht="30" x14ac:dyDescent="0.2">
      <c r="A4" s="94" t="s">
        <v>2</v>
      </c>
      <c r="B4" s="94" t="s">
        <v>3</v>
      </c>
      <c r="C4" s="94" t="s">
        <v>4</v>
      </c>
      <c r="D4" s="94" t="s">
        <v>5</v>
      </c>
      <c r="E4" s="94" t="s">
        <v>6</v>
      </c>
      <c r="F4" s="94" t="s">
        <v>7</v>
      </c>
      <c r="G4" s="94" t="s">
        <v>8</v>
      </c>
      <c r="H4" s="91" t="s">
        <v>563</v>
      </c>
      <c r="I4" s="102"/>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7.100000000000001" customHeight="1" x14ac:dyDescent="0.2">
      <c r="A7" s="8">
        <v>1</v>
      </c>
      <c r="B7" s="9" t="s">
        <v>397</v>
      </c>
      <c r="C7" s="9" t="s">
        <v>398</v>
      </c>
      <c r="D7" s="9" t="s">
        <v>399</v>
      </c>
      <c r="E7" s="10">
        <v>12672</v>
      </c>
      <c r="F7" s="11">
        <v>118.432512</v>
      </c>
      <c r="G7" s="12">
        <v>3.9953809999999999E-2</v>
      </c>
      <c r="H7" s="11"/>
    </row>
    <row r="8" spans="1:14" ht="17.100000000000001" customHeight="1" x14ac:dyDescent="0.2">
      <c r="A8" s="8">
        <v>2</v>
      </c>
      <c r="B8" s="9" t="s">
        <v>400</v>
      </c>
      <c r="C8" s="9" t="s">
        <v>401</v>
      </c>
      <c r="D8" s="9" t="s">
        <v>399</v>
      </c>
      <c r="E8" s="10">
        <v>4914</v>
      </c>
      <c r="F8" s="11">
        <v>83.606796000000003</v>
      </c>
      <c r="G8" s="12">
        <v>2.820518E-2</v>
      </c>
      <c r="H8" s="11"/>
    </row>
    <row r="9" spans="1:14" ht="17.100000000000001" customHeight="1" x14ac:dyDescent="0.2">
      <c r="A9" s="8">
        <v>3</v>
      </c>
      <c r="B9" s="9" t="s">
        <v>402</v>
      </c>
      <c r="C9" s="9" t="s">
        <v>403</v>
      </c>
      <c r="D9" s="9" t="s">
        <v>404</v>
      </c>
      <c r="E9" s="10">
        <v>2941</v>
      </c>
      <c r="F9" s="11">
        <v>72.805925500000001</v>
      </c>
      <c r="G9" s="12">
        <v>2.4561449999999999E-2</v>
      </c>
      <c r="H9" s="11"/>
    </row>
    <row r="10" spans="1:14" ht="17.100000000000001" customHeight="1" x14ac:dyDescent="0.2">
      <c r="A10" s="8">
        <v>4</v>
      </c>
      <c r="B10" s="9" t="s">
        <v>405</v>
      </c>
      <c r="C10" s="9" t="s">
        <v>406</v>
      </c>
      <c r="D10" s="9" t="s">
        <v>407</v>
      </c>
      <c r="E10" s="10">
        <v>2151</v>
      </c>
      <c r="F10" s="11">
        <v>54.855877499999998</v>
      </c>
      <c r="G10" s="12">
        <v>1.850591E-2</v>
      </c>
      <c r="H10" s="11"/>
    </row>
    <row r="11" spans="1:14" ht="17.100000000000001" customHeight="1" x14ac:dyDescent="0.2">
      <c r="A11" s="8">
        <v>5</v>
      </c>
      <c r="B11" s="9" t="s">
        <v>408</v>
      </c>
      <c r="C11" s="9" t="s">
        <v>409</v>
      </c>
      <c r="D11" s="9" t="s">
        <v>399</v>
      </c>
      <c r="E11" s="10">
        <v>5120</v>
      </c>
      <c r="F11" s="11">
        <v>50.55744</v>
      </c>
      <c r="G11" s="12">
        <v>1.7055810000000001E-2</v>
      </c>
      <c r="H11" s="11"/>
    </row>
    <row r="12" spans="1:14" ht="17.100000000000001" customHeight="1" x14ac:dyDescent="0.2">
      <c r="A12" s="8">
        <v>6</v>
      </c>
      <c r="B12" s="9" t="s">
        <v>410</v>
      </c>
      <c r="C12" s="9" t="s">
        <v>411</v>
      </c>
      <c r="D12" s="9" t="s">
        <v>412</v>
      </c>
      <c r="E12" s="10">
        <v>5000</v>
      </c>
      <c r="F12" s="11">
        <v>40.127499999999998</v>
      </c>
      <c r="G12" s="12">
        <v>1.3537220000000001E-2</v>
      </c>
      <c r="H12" s="11"/>
      <c r="K12" s="106"/>
      <c r="L12" s="106"/>
      <c r="M12" s="106"/>
      <c r="N12" s="106"/>
    </row>
    <row r="13" spans="1:14" ht="29.1" customHeight="1" x14ac:dyDescent="0.25">
      <c r="A13" s="8">
        <v>7</v>
      </c>
      <c r="B13" s="9" t="s">
        <v>413</v>
      </c>
      <c r="C13" s="9" t="s">
        <v>414</v>
      </c>
      <c r="D13" s="9" t="s">
        <v>415</v>
      </c>
      <c r="E13" s="10">
        <v>260</v>
      </c>
      <c r="F13" s="11">
        <v>37.243569999999998</v>
      </c>
      <c r="G13" s="12">
        <v>1.256431E-2</v>
      </c>
      <c r="H13" s="11"/>
      <c r="J13" s="105" t="s">
        <v>610</v>
      </c>
    </row>
    <row r="14" spans="1:14" ht="29.1" customHeight="1" x14ac:dyDescent="0.2">
      <c r="A14" s="8">
        <v>8</v>
      </c>
      <c r="B14" s="9" t="s">
        <v>416</v>
      </c>
      <c r="C14" s="9" t="s">
        <v>417</v>
      </c>
      <c r="D14" s="9" t="s">
        <v>418</v>
      </c>
      <c r="E14" s="10">
        <v>3116</v>
      </c>
      <c r="F14" s="11">
        <v>32.767856000000002</v>
      </c>
      <c r="G14" s="12">
        <v>1.1054400000000001E-2</v>
      </c>
      <c r="H14" s="11"/>
    </row>
    <row r="15" spans="1:14" ht="17.100000000000001" customHeight="1" x14ac:dyDescent="0.2">
      <c r="A15" s="8">
        <v>9</v>
      </c>
      <c r="B15" s="9" t="s">
        <v>419</v>
      </c>
      <c r="C15" s="9" t="s">
        <v>420</v>
      </c>
      <c r="D15" s="9" t="s">
        <v>421</v>
      </c>
      <c r="E15" s="10">
        <v>3065</v>
      </c>
      <c r="F15" s="11">
        <v>26.933687500000001</v>
      </c>
      <c r="G15" s="12">
        <v>9.0862200000000008E-3</v>
      </c>
      <c r="H15" s="11"/>
    </row>
    <row r="16" spans="1:14" ht="17.100000000000001" customHeight="1" x14ac:dyDescent="0.2">
      <c r="A16" s="8">
        <v>10</v>
      </c>
      <c r="B16" s="9" t="s">
        <v>422</v>
      </c>
      <c r="C16" s="9" t="s">
        <v>423</v>
      </c>
      <c r="D16" s="9" t="s">
        <v>424</v>
      </c>
      <c r="E16" s="10">
        <v>1855</v>
      </c>
      <c r="F16" s="11">
        <v>24.773524999999999</v>
      </c>
      <c r="G16" s="12">
        <v>8.3574700000000005E-3</v>
      </c>
      <c r="H16" s="11"/>
    </row>
    <row r="17" spans="1:14" ht="17.100000000000001" customHeight="1" x14ac:dyDescent="0.2">
      <c r="A17" s="8">
        <v>11</v>
      </c>
      <c r="B17" s="9" t="s">
        <v>425</v>
      </c>
      <c r="C17" s="9" t="s">
        <v>426</v>
      </c>
      <c r="D17" s="9" t="s">
        <v>427</v>
      </c>
      <c r="E17" s="10">
        <v>1174</v>
      </c>
      <c r="F17" s="11">
        <v>23.275137000000001</v>
      </c>
      <c r="G17" s="12">
        <v>7.8519899999999997E-3</v>
      </c>
      <c r="H17" s="11"/>
    </row>
    <row r="18" spans="1:14" ht="17.100000000000001" customHeight="1" x14ac:dyDescent="0.2">
      <c r="A18" s="8">
        <v>12</v>
      </c>
      <c r="B18" s="9" t="s">
        <v>428</v>
      </c>
      <c r="C18" s="9" t="s">
        <v>429</v>
      </c>
      <c r="D18" s="9" t="s">
        <v>399</v>
      </c>
      <c r="E18" s="10">
        <v>3845</v>
      </c>
      <c r="F18" s="11">
        <v>22.026082500000001</v>
      </c>
      <c r="G18" s="12">
        <v>7.4306099999999998E-3</v>
      </c>
      <c r="H18" s="11"/>
    </row>
    <row r="19" spans="1:14" ht="17.100000000000001" customHeight="1" x14ac:dyDescent="0.2">
      <c r="A19" s="8">
        <v>13</v>
      </c>
      <c r="B19" s="9" t="s">
        <v>430</v>
      </c>
      <c r="C19" s="9" t="s">
        <v>431</v>
      </c>
      <c r="D19" s="9" t="s">
        <v>424</v>
      </c>
      <c r="E19" s="10">
        <v>1848</v>
      </c>
      <c r="F19" s="11">
        <v>21.953316000000001</v>
      </c>
      <c r="G19" s="12">
        <v>7.4060599999999999E-3</v>
      </c>
      <c r="H19" s="11"/>
    </row>
    <row r="20" spans="1:14" ht="53.1" customHeight="1" x14ac:dyDescent="0.2">
      <c r="A20" s="8">
        <v>14</v>
      </c>
      <c r="B20" s="9" t="s">
        <v>432</v>
      </c>
      <c r="C20" s="9" t="s">
        <v>433</v>
      </c>
      <c r="D20" s="9" t="s">
        <v>434</v>
      </c>
      <c r="E20" s="10">
        <v>12950</v>
      </c>
      <c r="F20" s="11">
        <v>21.6783</v>
      </c>
      <c r="G20" s="12">
        <v>7.3132800000000001E-3</v>
      </c>
      <c r="H20" s="11"/>
    </row>
    <row r="21" spans="1:14" ht="29.1" customHeight="1" x14ac:dyDescent="0.2">
      <c r="A21" s="8">
        <v>15</v>
      </c>
      <c r="B21" s="9" t="s">
        <v>435</v>
      </c>
      <c r="C21" s="9" t="s">
        <v>436</v>
      </c>
      <c r="D21" s="9" t="s">
        <v>437</v>
      </c>
      <c r="E21" s="10">
        <v>515</v>
      </c>
      <c r="F21" s="11">
        <v>20.1970125</v>
      </c>
      <c r="G21" s="12">
        <v>6.8135599999999998E-3</v>
      </c>
      <c r="H21" s="11"/>
    </row>
    <row r="22" spans="1:14" ht="29.1" customHeight="1" x14ac:dyDescent="0.2">
      <c r="A22" s="8">
        <v>16</v>
      </c>
      <c r="B22" s="9" t="s">
        <v>438</v>
      </c>
      <c r="C22" s="9" t="s">
        <v>439</v>
      </c>
      <c r="D22" s="9" t="s">
        <v>418</v>
      </c>
      <c r="E22" s="10">
        <v>1813</v>
      </c>
      <c r="F22" s="11">
        <v>18.4010435</v>
      </c>
      <c r="G22" s="12">
        <v>6.2076900000000001E-3</v>
      </c>
      <c r="H22" s="11"/>
    </row>
    <row r="23" spans="1:14" ht="17.100000000000001" customHeight="1" x14ac:dyDescent="0.2">
      <c r="A23" s="8">
        <v>17</v>
      </c>
      <c r="B23" s="9" t="s">
        <v>440</v>
      </c>
      <c r="C23" s="9" t="s">
        <v>441</v>
      </c>
      <c r="D23" s="9" t="s">
        <v>424</v>
      </c>
      <c r="E23" s="10">
        <v>222</v>
      </c>
      <c r="F23" s="11">
        <v>11.537784</v>
      </c>
      <c r="G23" s="12">
        <v>3.8923299999999998E-3</v>
      </c>
      <c r="H23" s="11"/>
    </row>
    <row r="24" spans="1:14" ht="17.100000000000001" customHeight="1" x14ac:dyDescent="0.2">
      <c r="A24" s="8">
        <v>18</v>
      </c>
      <c r="B24" s="9" t="s">
        <v>442</v>
      </c>
      <c r="C24" s="9" t="s">
        <v>443</v>
      </c>
      <c r="D24" s="9" t="s">
        <v>412</v>
      </c>
      <c r="E24" s="10">
        <v>1145</v>
      </c>
      <c r="F24" s="11">
        <v>10.44469</v>
      </c>
      <c r="G24" s="12">
        <v>3.5235700000000002E-3</v>
      </c>
      <c r="H24" s="11"/>
    </row>
    <row r="25" spans="1:14" ht="29.1" customHeight="1" x14ac:dyDescent="0.2">
      <c r="A25" s="8">
        <v>19</v>
      </c>
      <c r="B25" s="9" t="s">
        <v>444</v>
      </c>
      <c r="C25" s="9" t="s">
        <v>445</v>
      </c>
      <c r="D25" s="9" t="s">
        <v>446</v>
      </c>
      <c r="E25" s="10">
        <v>125</v>
      </c>
      <c r="F25" s="11">
        <v>10.368437500000001</v>
      </c>
      <c r="G25" s="12">
        <v>3.4978499999999998E-3</v>
      </c>
      <c r="H25" s="11"/>
    </row>
    <row r="26" spans="1:14" ht="17.100000000000001" customHeight="1" x14ac:dyDescent="0.2">
      <c r="A26" s="8">
        <v>20</v>
      </c>
      <c r="B26" s="9" t="s">
        <v>447</v>
      </c>
      <c r="C26" s="9" t="s">
        <v>448</v>
      </c>
      <c r="D26" s="9" t="s">
        <v>449</v>
      </c>
      <c r="E26" s="10">
        <v>1429</v>
      </c>
      <c r="F26" s="11">
        <v>6.7641714999999998</v>
      </c>
      <c r="G26" s="12">
        <v>2.2819300000000002E-3</v>
      </c>
      <c r="H26" s="11"/>
    </row>
    <row r="27" spans="1:14" ht="17.100000000000001" customHeight="1" x14ac:dyDescent="0.2">
      <c r="A27" s="8">
        <v>21</v>
      </c>
      <c r="B27" s="9" t="s">
        <v>450</v>
      </c>
      <c r="C27" s="9" t="s">
        <v>496</v>
      </c>
      <c r="D27" s="9" t="s">
        <v>421</v>
      </c>
      <c r="E27" s="10">
        <v>218</v>
      </c>
      <c r="F27" s="11">
        <v>1.059153</v>
      </c>
      <c r="G27" s="12">
        <v>3.5731000000000001E-4</v>
      </c>
      <c r="H27" s="11"/>
    </row>
    <row r="28" spans="1:14" ht="14.1" customHeight="1" x14ac:dyDescent="0.2">
      <c r="A28" s="1"/>
      <c r="B28" s="1"/>
      <c r="C28" s="2" t="s">
        <v>11</v>
      </c>
      <c r="D28" s="1"/>
      <c r="E28" s="1" t="s">
        <v>12</v>
      </c>
      <c r="F28" s="7">
        <v>709.80981700000007</v>
      </c>
      <c r="G28" s="4">
        <v>0.23945795999999997</v>
      </c>
      <c r="H28" s="11"/>
    </row>
    <row r="29" spans="1:14" ht="14.1" customHeight="1" x14ac:dyDescent="0.25">
      <c r="A29" s="1"/>
      <c r="B29" s="1"/>
      <c r="C29" s="5"/>
      <c r="D29" s="1"/>
      <c r="E29" s="1"/>
      <c r="F29" s="6"/>
      <c r="G29" s="6"/>
      <c r="H29" s="11"/>
      <c r="J29" s="105"/>
      <c r="K29" s="106"/>
      <c r="L29" s="106"/>
      <c r="M29" s="106"/>
      <c r="N29" s="106"/>
    </row>
    <row r="30" spans="1:14" ht="14.1" customHeight="1" x14ac:dyDescent="0.2">
      <c r="A30" s="1"/>
      <c r="B30" s="1"/>
      <c r="C30" s="2" t="s">
        <v>14</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8" ht="14.1" customHeight="1" x14ac:dyDescent="0.2">
      <c r="A33" s="1"/>
      <c r="B33" s="1"/>
      <c r="C33" s="2" t="s">
        <v>15</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16</v>
      </c>
      <c r="D36" s="1"/>
      <c r="E36" s="1"/>
      <c r="F36" s="1"/>
      <c r="G36" s="1"/>
      <c r="H36" s="11"/>
    </row>
    <row r="37" spans="1:8" ht="14.1" customHeight="1" x14ac:dyDescent="0.2">
      <c r="A37" s="1"/>
      <c r="B37" s="1"/>
      <c r="C37" s="2" t="s">
        <v>11</v>
      </c>
      <c r="D37" s="1"/>
      <c r="E37" s="1" t="s">
        <v>12</v>
      </c>
      <c r="F37" s="7">
        <v>0</v>
      </c>
      <c r="G37" s="4">
        <v>0</v>
      </c>
      <c r="H37" s="11"/>
    </row>
    <row r="38" spans="1:8" ht="14.1" customHeight="1" x14ac:dyDescent="0.2">
      <c r="A38" s="1"/>
      <c r="B38" s="1"/>
      <c r="C38" s="5"/>
      <c r="D38" s="1"/>
      <c r="E38" s="1"/>
      <c r="F38" s="6"/>
      <c r="G38" s="6"/>
      <c r="H38" s="11"/>
    </row>
    <row r="39" spans="1:8" ht="14.1" customHeight="1" x14ac:dyDescent="0.2">
      <c r="A39" s="1"/>
      <c r="B39" s="1"/>
      <c r="C39" s="2" t="s">
        <v>17</v>
      </c>
      <c r="D39" s="1"/>
      <c r="E39" s="1"/>
      <c r="F39" s="6"/>
      <c r="G39" s="6"/>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18</v>
      </c>
      <c r="D42" s="1"/>
      <c r="E42" s="1"/>
      <c r="F42" s="6"/>
      <c r="G42" s="6"/>
      <c r="H42" s="11"/>
    </row>
    <row r="43" spans="1:8" ht="14.1" customHeight="1" x14ac:dyDescent="0.2">
      <c r="A43" s="1"/>
      <c r="B43" s="1"/>
      <c r="C43" s="2" t="s">
        <v>11</v>
      </c>
      <c r="D43" s="1"/>
      <c r="E43" s="1" t="s">
        <v>12</v>
      </c>
      <c r="F43" s="3" t="s">
        <v>13</v>
      </c>
      <c r="G43" s="4">
        <v>0</v>
      </c>
      <c r="H43" s="11"/>
    </row>
    <row r="44" spans="1:8" ht="14.1" customHeight="1" x14ac:dyDescent="0.2">
      <c r="A44" s="1"/>
      <c r="B44" s="1"/>
      <c r="C44" s="5"/>
      <c r="D44" s="1"/>
      <c r="E44" s="1"/>
      <c r="F44" s="6"/>
      <c r="G44" s="6"/>
      <c r="H44" s="11"/>
    </row>
    <row r="45" spans="1:8" ht="18" customHeight="1" x14ac:dyDescent="0.2">
      <c r="A45" s="1"/>
      <c r="B45" s="1"/>
      <c r="C45" s="2" t="s">
        <v>19</v>
      </c>
      <c r="D45" s="1"/>
      <c r="E45" s="1"/>
      <c r="F45" s="7">
        <v>709.80981699999995</v>
      </c>
      <c r="G45" s="4">
        <v>0.23945796</v>
      </c>
      <c r="H45" s="11"/>
    </row>
    <row r="46" spans="1:8" ht="14.1" customHeight="1" x14ac:dyDescent="0.2">
      <c r="A46" s="1"/>
      <c r="B46" s="1"/>
      <c r="C46" s="5"/>
      <c r="D46" s="1"/>
      <c r="E46" s="1"/>
      <c r="F46" s="6"/>
      <c r="G46" s="6"/>
      <c r="H46" s="11"/>
    </row>
    <row r="47" spans="1:8" ht="14.1" customHeight="1" x14ac:dyDescent="0.2">
      <c r="A47" s="1"/>
      <c r="B47" s="1"/>
      <c r="C47" s="2" t="s">
        <v>20</v>
      </c>
      <c r="D47" s="1"/>
      <c r="E47" s="1"/>
      <c r="F47" s="6"/>
      <c r="G47" s="6"/>
      <c r="H47" s="11"/>
    </row>
    <row r="48" spans="1:8" ht="24" customHeight="1" x14ac:dyDescent="0.2">
      <c r="A48" s="1"/>
      <c r="B48" s="1"/>
      <c r="C48" s="2" t="s">
        <v>10</v>
      </c>
      <c r="D48" s="1"/>
      <c r="E48" s="1"/>
      <c r="F48" s="6"/>
      <c r="G48" s="6"/>
      <c r="H48" s="11"/>
    </row>
    <row r="49" spans="1:8" ht="29.1" customHeight="1" x14ac:dyDescent="0.2">
      <c r="A49" s="8">
        <v>1</v>
      </c>
      <c r="B49" s="9" t="s">
        <v>195</v>
      </c>
      <c r="C49" s="9" t="s">
        <v>196</v>
      </c>
      <c r="D49" s="9" t="s">
        <v>197</v>
      </c>
      <c r="E49" s="10">
        <v>10238</v>
      </c>
      <c r="F49" s="11">
        <v>80.639606999999998</v>
      </c>
      <c r="G49" s="12">
        <v>2.7204180000000001E-2</v>
      </c>
      <c r="H49" s="11">
        <v>11.0006</v>
      </c>
    </row>
    <row r="50" spans="1:8" ht="14.1" customHeight="1" x14ac:dyDescent="0.2">
      <c r="A50" s="1"/>
      <c r="B50" s="1"/>
      <c r="C50" s="2" t="s">
        <v>11</v>
      </c>
      <c r="D50" s="1"/>
      <c r="E50" s="1" t="s">
        <v>12</v>
      </c>
      <c r="F50" s="7">
        <v>80.639606999999998</v>
      </c>
      <c r="G50" s="4">
        <v>2.7204180000000001E-2</v>
      </c>
      <c r="H50" s="11"/>
    </row>
    <row r="51" spans="1:8" ht="14.1" customHeight="1" x14ac:dyDescent="0.2">
      <c r="A51" s="1"/>
      <c r="B51" s="1"/>
      <c r="C51" s="5"/>
      <c r="D51" s="1"/>
      <c r="E51" s="1"/>
      <c r="F51" s="6"/>
      <c r="G51" s="6"/>
      <c r="H51" s="11"/>
    </row>
    <row r="52" spans="1:8" ht="14.1" customHeight="1" x14ac:dyDescent="0.2">
      <c r="A52" s="1"/>
      <c r="B52" s="1"/>
      <c r="C52" s="2" t="s">
        <v>77</v>
      </c>
      <c r="D52" s="1"/>
      <c r="E52" s="1"/>
      <c r="F52" s="1"/>
      <c r="G52" s="1"/>
      <c r="H52" s="11"/>
    </row>
    <row r="53" spans="1:8" ht="14.1" customHeight="1" x14ac:dyDescent="0.2">
      <c r="A53" s="1"/>
      <c r="B53" s="1"/>
      <c r="C53" s="2" t="s">
        <v>11</v>
      </c>
      <c r="D53" s="1"/>
      <c r="E53" s="1" t="s">
        <v>12</v>
      </c>
      <c r="F53" s="3" t="s">
        <v>13</v>
      </c>
      <c r="G53" s="4">
        <v>0</v>
      </c>
      <c r="H53" s="11"/>
    </row>
    <row r="54" spans="1:8" ht="14.1" customHeight="1" x14ac:dyDescent="0.2">
      <c r="A54" s="1"/>
      <c r="B54" s="1"/>
      <c r="C54" s="5"/>
      <c r="D54" s="1"/>
      <c r="E54" s="1"/>
      <c r="F54" s="6"/>
      <c r="G54" s="6"/>
      <c r="H54" s="11"/>
    </row>
    <row r="55" spans="1:8" ht="14.1" customHeight="1" x14ac:dyDescent="0.2">
      <c r="A55" s="1"/>
      <c r="B55" s="1"/>
      <c r="C55" s="2" t="s">
        <v>78</v>
      </c>
      <c r="D55" s="1"/>
      <c r="E55" s="1"/>
      <c r="F55" s="1"/>
      <c r="G55" s="1"/>
      <c r="H55" s="11"/>
    </row>
    <row r="56" spans="1:8" ht="29.1" customHeight="1" x14ac:dyDescent="0.2">
      <c r="A56" s="8">
        <v>1</v>
      </c>
      <c r="B56" s="9" t="s">
        <v>391</v>
      </c>
      <c r="C56" s="9" t="s">
        <v>392</v>
      </c>
      <c r="D56" s="9" t="s">
        <v>81</v>
      </c>
      <c r="E56" s="10">
        <v>1500000</v>
      </c>
      <c r="F56" s="11">
        <v>1510.671</v>
      </c>
      <c r="G56" s="12">
        <v>0.50963248999999999</v>
      </c>
      <c r="H56" s="11">
        <v>7.2785000000000002</v>
      </c>
    </row>
    <row r="57" spans="1:8" ht="14.1" customHeight="1" x14ac:dyDescent="0.2">
      <c r="A57" s="1"/>
      <c r="B57" s="1"/>
      <c r="C57" s="2" t="s">
        <v>11</v>
      </c>
      <c r="D57" s="1"/>
      <c r="E57" s="1" t="s">
        <v>12</v>
      </c>
      <c r="F57" s="7">
        <v>1510.671</v>
      </c>
      <c r="G57" s="4">
        <v>0.50963248999999999</v>
      </c>
      <c r="H57" s="11"/>
    </row>
    <row r="58" spans="1:8" ht="14.1" customHeight="1" x14ac:dyDescent="0.2">
      <c r="A58" s="1"/>
      <c r="B58" s="1"/>
      <c r="C58" s="5"/>
      <c r="D58" s="1"/>
      <c r="E58" s="1"/>
      <c r="F58" s="6"/>
      <c r="G58" s="6"/>
      <c r="H58" s="11"/>
    </row>
    <row r="59" spans="1:8" ht="14.1" customHeight="1" x14ac:dyDescent="0.2">
      <c r="A59" s="1"/>
      <c r="B59" s="1"/>
      <c r="C59" s="2" t="s">
        <v>90</v>
      </c>
      <c r="D59" s="1"/>
      <c r="E59" s="1"/>
      <c r="F59" s="6"/>
      <c r="G59" s="6"/>
      <c r="H59" s="11"/>
    </row>
    <row r="60" spans="1:8" ht="14.1" customHeight="1" x14ac:dyDescent="0.2">
      <c r="A60" s="1"/>
      <c r="B60" s="1"/>
      <c r="C60" s="2" t="s">
        <v>11</v>
      </c>
      <c r="D60" s="1"/>
      <c r="E60" s="1" t="s">
        <v>12</v>
      </c>
      <c r="F60" s="3" t="s">
        <v>13</v>
      </c>
      <c r="G60" s="4">
        <v>0</v>
      </c>
      <c r="H60" s="11"/>
    </row>
    <row r="61" spans="1:8" ht="14.1" customHeight="1" x14ac:dyDescent="0.2">
      <c r="A61" s="1"/>
      <c r="B61" s="1"/>
      <c r="C61" s="5"/>
      <c r="D61" s="1"/>
      <c r="E61" s="1"/>
      <c r="F61" s="6"/>
      <c r="G61" s="6"/>
      <c r="H61" s="11"/>
    </row>
    <row r="62" spans="1:8" ht="14.1" customHeight="1" x14ac:dyDescent="0.2">
      <c r="A62" s="1"/>
      <c r="B62" s="1"/>
      <c r="C62" s="2" t="s">
        <v>91</v>
      </c>
      <c r="D62" s="1"/>
      <c r="E62" s="1"/>
      <c r="F62" s="7">
        <v>1591.3106069999999</v>
      </c>
      <c r="G62" s="4">
        <v>0.53683667000000002</v>
      </c>
      <c r="H62" s="11"/>
    </row>
    <row r="63" spans="1:8" ht="14.1" customHeight="1" x14ac:dyDescent="0.2">
      <c r="A63" s="1"/>
      <c r="B63" s="1"/>
      <c r="C63" s="5"/>
      <c r="D63" s="1"/>
      <c r="E63" s="1"/>
      <c r="F63" s="6"/>
      <c r="G63" s="6"/>
      <c r="H63" s="11"/>
    </row>
    <row r="64" spans="1:8" ht="14.1" customHeight="1" x14ac:dyDescent="0.2">
      <c r="A64" s="1"/>
      <c r="B64" s="1"/>
      <c r="C64" s="2" t="s">
        <v>92</v>
      </c>
      <c r="D64" s="1"/>
      <c r="E64" s="1"/>
      <c r="F64" s="6"/>
      <c r="G64" s="6"/>
      <c r="H64" s="11"/>
    </row>
    <row r="65" spans="1:8" ht="14.1" customHeight="1" x14ac:dyDescent="0.2">
      <c r="A65" s="1"/>
      <c r="B65" s="1"/>
      <c r="C65" s="2" t="s">
        <v>93</v>
      </c>
      <c r="D65" s="1"/>
      <c r="E65" s="1"/>
      <c r="F65" s="6"/>
      <c r="G65" s="6"/>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14.1" customHeight="1" x14ac:dyDescent="0.2">
      <c r="A68" s="1"/>
      <c r="B68" s="1"/>
      <c r="C68" s="2" t="s">
        <v>94</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95</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96</v>
      </c>
      <c r="D74" s="1"/>
      <c r="E74" s="1"/>
      <c r="F74" s="6"/>
      <c r="G74" s="6"/>
      <c r="H74" s="11"/>
    </row>
    <row r="75" spans="1:8" ht="17.100000000000001" customHeight="1" x14ac:dyDescent="0.2">
      <c r="A75" s="8">
        <v>1</v>
      </c>
      <c r="B75" s="9"/>
      <c r="C75" s="9" t="s">
        <v>97</v>
      </c>
      <c r="D75" s="9"/>
      <c r="E75" s="13"/>
      <c r="F75" s="11">
        <v>331.79061379900003</v>
      </c>
      <c r="G75" s="12">
        <v>0.11193124</v>
      </c>
      <c r="H75" s="11">
        <v>6.7573016869821334</v>
      </c>
    </row>
    <row r="76" spans="1:8" ht="17.100000000000001" customHeight="1" x14ac:dyDescent="0.2">
      <c r="A76" s="8">
        <v>2</v>
      </c>
      <c r="B76" s="9"/>
      <c r="C76" s="9" t="s">
        <v>98</v>
      </c>
      <c r="D76" s="9"/>
      <c r="E76" s="13"/>
      <c r="F76" s="11">
        <v>271.80797150000001</v>
      </c>
      <c r="G76" s="12">
        <v>9.1695789999999999E-2</v>
      </c>
      <c r="H76" s="11">
        <v>6.796603293503404</v>
      </c>
    </row>
    <row r="77" spans="1:8" ht="14.1" customHeight="1" x14ac:dyDescent="0.2">
      <c r="A77" s="1"/>
      <c r="B77" s="1"/>
      <c r="C77" s="2" t="s">
        <v>11</v>
      </c>
      <c r="D77" s="1"/>
      <c r="E77" s="1" t="s">
        <v>12</v>
      </c>
      <c r="F77" s="7">
        <v>603.59858529899998</v>
      </c>
      <c r="G77" s="4">
        <v>0.20362702999999999</v>
      </c>
      <c r="H77" s="11"/>
    </row>
    <row r="78" spans="1:8" ht="14.1" customHeight="1" x14ac:dyDescent="0.2">
      <c r="A78" s="1"/>
      <c r="B78" s="1"/>
      <c r="C78" s="5"/>
      <c r="D78" s="1"/>
      <c r="E78" s="1"/>
      <c r="F78" s="6"/>
      <c r="G78" s="6"/>
      <c r="H78" s="11"/>
    </row>
    <row r="79" spans="1:8" ht="14.1" customHeight="1" x14ac:dyDescent="0.2">
      <c r="A79" s="1"/>
      <c r="B79" s="1"/>
      <c r="C79" s="2" t="s">
        <v>99</v>
      </c>
      <c r="D79" s="1"/>
      <c r="E79" s="1"/>
      <c r="F79" s="7">
        <v>603.59858529899998</v>
      </c>
      <c r="G79" s="4">
        <v>0.20362702999999999</v>
      </c>
      <c r="H79" s="11"/>
    </row>
    <row r="80" spans="1:8" ht="14.1" customHeight="1" x14ac:dyDescent="0.2">
      <c r="A80" s="1"/>
      <c r="B80" s="1"/>
      <c r="C80" s="6"/>
      <c r="D80" s="1"/>
      <c r="E80" s="1"/>
      <c r="F80" s="1"/>
      <c r="G80" s="1"/>
      <c r="H80" s="11"/>
    </row>
    <row r="81" spans="1:8" ht="14.1" customHeight="1" x14ac:dyDescent="0.2">
      <c r="A81" s="1"/>
      <c r="B81" s="1"/>
      <c r="C81" s="2" t="s">
        <v>100</v>
      </c>
      <c r="D81" s="1"/>
      <c r="E81" s="1"/>
      <c r="F81" s="1"/>
      <c r="G81" s="1"/>
      <c r="H81" s="11"/>
    </row>
    <row r="82" spans="1:8" ht="14.1" customHeight="1" x14ac:dyDescent="0.2">
      <c r="A82" s="1"/>
      <c r="B82" s="1"/>
      <c r="C82" s="2" t="s">
        <v>101</v>
      </c>
      <c r="D82" s="1"/>
      <c r="E82" s="1"/>
      <c r="F82" s="1"/>
      <c r="G82" s="1"/>
      <c r="H82" s="11"/>
    </row>
    <row r="83" spans="1:8" ht="14.1" customHeight="1" x14ac:dyDescent="0.2">
      <c r="A83" s="1"/>
      <c r="B83" s="1"/>
      <c r="C83" s="2" t="s">
        <v>11</v>
      </c>
      <c r="D83" s="1"/>
      <c r="E83" s="1" t="s">
        <v>12</v>
      </c>
      <c r="F83" s="3" t="s">
        <v>13</v>
      </c>
      <c r="G83" s="4">
        <v>0</v>
      </c>
      <c r="H83" s="11"/>
    </row>
    <row r="84" spans="1:8" ht="14.1" customHeight="1" x14ac:dyDescent="0.2">
      <c r="A84" s="1"/>
      <c r="B84" s="1"/>
      <c r="C84" s="5"/>
      <c r="D84" s="1"/>
      <c r="E84" s="1"/>
      <c r="F84" s="6"/>
      <c r="G84" s="6"/>
      <c r="H84" s="11"/>
    </row>
    <row r="85" spans="1:8" ht="14.1" customHeight="1" x14ac:dyDescent="0.2">
      <c r="A85" s="1"/>
      <c r="B85" s="1"/>
      <c r="C85" s="2" t="s">
        <v>102</v>
      </c>
      <c r="D85" s="1"/>
      <c r="E85" s="1"/>
      <c r="F85" s="1"/>
      <c r="G85" s="1"/>
      <c r="H85" s="11"/>
    </row>
    <row r="86" spans="1:8" ht="14.1" customHeight="1" x14ac:dyDescent="0.2">
      <c r="A86" s="1"/>
      <c r="B86" s="1"/>
      <c r="C86" s="2" t="s">
        <v>103</v>
      </c>
      <c r="D86" s="1"/>
      <c r="E86" s="1"/>
      <c r="F86" s="1"/>
      <c r="G86" s="1"/>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24" customHeight="1" x14ac:dyDescent="0.2">
      <c r="A89" s="1"/>
      <c r="B89" s="1"/>
      <c r="C89" s="2" t="s">
        <v>104</v>
      </c>
      <c r="D89" s="1"/>
      <c r="E89" s="1"/>
      <c r="F89" s="6"/>
      <c r="G89" s="6"/>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14.1" customHeight="1" x14ac:dyDescent="0.2">
      <c r="A92" s="1"/>
      <c r="B92" s="9"/>
      <c r="C92" s="9"/>
      <c r="D92" s="2"/>
      <c r="E92" s="1"/>
      <c r="F92" s="9"/>
      <c r="G92" s="13"/>
      <c r="H92" s="11"/>
    </row>
    <row r="93" spans="1:8" ht="18" customHeight="1" x14ac:dyDescent="0.2">
      <c r="A93" s="13"/>
      <c r="B93" s="9"/>
      <c r="C93" s="9" t="s">
        <v>105</v>
      </c>
      <c r="D93" s="9"/>
      <c r="E93" s="13"/>
      <c r="F93" s="11">
        <v>59.517041140000003</v>
      </c>
      <c r="G93" s="12">
        <v>2.0078370000000002E-2</v>
      </c>
      <c r="H93" s="11"/>
    </row>
    <row r="94" spans="1:8" ht="14.1" customHeight="1" x14ac:dyDescent="0.2">
      <c r="A94" s="5"/>
      <c r="B94" s="5"/>
      <c r="C94" s="2" t="s">
        <v>106</v>
      </c>
      <c r="D94" s="6"/>
      <c r="E94" s="6"/>
      <c r="F94" s="7">
        <v>2964.2360504389999</v>
      </c>
      <c r="G94" s="14">
        <v>1.00000003</v>
      </c>
      <c r="H94" s="11"/>
    </row>
    <row r="95" spans="1:8" ht="14.1" customHeight="1" x14ac:dyDescent="0.2">
      <c r="A95" s="15"/>
      <c r="B95" s="15"/>
      <c r="C95" s="15"/>
      <c r="D95" s="16"/>
      <c r="E95" s="16"/>
      <c r="F95" s="16"/>
      <c r="G95" s="16"/>
    </row>
    <row r="96" spans="1:8" ht="17.100000000000001" customHeight="1" x14ac:dyDescent="0.2">
      <c r="A96" s="17"/>
      <c r="B96" s="121" t="s">
        <v>107</v>
      </c>
      <c r="C96" s="121"/>
      <c r="D96" s="121"/>
      <c r="E96" s="121"/>
      <c r="F96" s="121"/>
      <c r="G96" s="19"/>
    </row>
    <row r="97" spans="1:7" ht="17.100000000000001" customHeight="1" x14ac:dyDescent="0.2">
      <c r="A97" s="17"/>
      <c r="B97" s="121" t="s">
        <v>108</v>
      </c>
      <c r="C97" s="121"/>
      <c r="D97" s="121"/>
      <c r="E97" s="121"/>
      <c r="F97" s="121"/>
      <c r="G97" s="19"/>
    </row>
    <row r="98" spans="1:7" ht="14.1" customHeight="1" x14ac:dyDescent="0.2">
      <c r="A98" s="17"/>
      <c r="B98" s="17"/>
      <c r="C98" s="17"/>
      <c r="D98" s="19"/>
      <c r="E98" s="19"/>
      <c r="F98" s="19"/>
      <c r="G98" s="19"/>
    </row>
    <row r="99" spans="1:7" ht="14.1" customHeight="1" x14ac:dyDescent="0.2">
      <c r="A99" s="17"/>
      <c r="B99" s="122" t="s">
        <v>109</v>
      </c>
      <c r="C99" s="123"/>
      <c r="D99" s="124"/>
      <c r="E99" s="20"/>
      <c r="F99" s="19"/>
      <c r="G99" s="19"/>
    </row>
    <row r="100" spans="1:7" ht="29.1" customHeight="1" x14ac:dyDescent="0.2">
      <c r="A100" s="17"/>
      <c r="B100" s="114" t="s">
        <v>110</v>
      </c>
      <c r="C100" s="115"/>
      <c r="D100" s="2" t="s">
        <v>564</v>
      </c>
      <c r="E100" s="20"/>
      <c r="F100" s="19"/>
      <c r="G100" s="19"/>
    </row>
    <row r="101" spans="1:7" ht="17.100000000000001" customHeight="1" x14ac:dyDescent="0.2">
      <c r="A101" s="17"/>
      <c r="B101" s="114" t="s">
        <v>112</v>
      </c>
      <c r="C101" s="115"/>
      <c r="D101" s="2" t="s">
        <v>111</v>
      </c>
      <c r="E101" s="20"/>
      <c r="F101" s="19"/>
      <c r="G101" s="19"/>
    </row>
    <row r="102" spans="1:7" ht="17.100000000000001" customHeight="1" x14ac:dyDescent="0.2">
      <c r="A102" s="17"/>
      <c r="B102" s="114" t="s">
        <v>113</v>
      </c>
      <c r="C102" s="115"/>
      <c r="D102" s="6" t="s">
        <v>12</v>
      </c>
      <c r="E102" s="20"/>
      <c r="F102" s="19"/>
      <c r="G102" s="19"/>
    </row>
    <row r="103" spans="1:7" ht="24" customHeight="1" x14ac:dyDescent="0.2">
      <c r="A103" s="21"/>
      <c r="B103" s="22" t="s">
        <v>12</v>
      </c>
      <c r="C103" s="22" t="s">
        <v>114</v>
      </c>
      <c r="D103" s="22" t="s">
        <v>115</v>
      </c>
      <c r="E103" s="21"/>
      <c r="F103" s="21"/>
      <c r="G103" s="21"/>
    </row>
    <row r="104" spans="1:7" ht="18" customHeight="1" x14ac:dyDescent="0.2">
      <c r="A104" s="21"/>
      <c r="B104" s="23" t="s">
        <v>116</v>
      </c>
      <c r="C104" s="22" t="s">
        <v>590</v>
      </c>
      <c r="D104" s="22" t="s">
        <v>117</v>
      </c>
      <c r="E104" s="21"/>
      <c r="F104" s="21"/>
      <c r="G104" s="21"/>
    </row>
    <row r="105" spans="1:7" ht="17.100000000000001" customHeight="1" x14ac:dyDescent="0.2">
      <c r="A105" s="21"/>
      <c r="B105" s="9" t="s">
        <v>118</v>
      </c>
      <c r="C105" s="24">
        <v>27.232399999999998</v>
      </c>
      <c r="D105" s="24">
        <v>27.385400000000001</v>
      </c>
      <c r="E105" s="21"/>
      <c r="F105" s="18"/>
      <c r="G105" s="25"/>
    </row>
    <row r="106" spans="1:7" ht="29.1" customHeight="1" x14ac:dyDescent="0.2">
      <c r="A106" s="21"/>
      <c r="B106" s="9" t="s">
        <v>568</v>
      </c>
      <c r="C106" s="24">
        <v>13.6037</v>
      </c>
      <c r="D106" s="24">
        <v>13.549899999999999</v>
      </c>
      <c r="E106" s="21"/>
      <c r="F106" s="18"/>
      <c r="G106" s="25"/>
    </row>
    <row r="107" spans="1:7" ht="29.1" customHeight="1" x14ac:dyDescent="0.2">
      <c r="A107" s="21"/>
      <c r="B107" s="9" t="s">
        <v>569</v>
      </c>
      <c r="C107" s="24">
        <v>18.203399999999998</v>
      </c>
      <c r="D107" s="24">
        <v>18.230599999999999</v>
      </c>
      <c r="E107" s="21"/>
      <c r="F107" s="18"/>
      <c r="G107" s="25"/>
    </row>
    <row r="108" spans="1:7" ht="29.1" customHeight="1" x14ac:dyDescent="0.2">
      <c r="A108" s="21"/>
      <c r="B108" s="9" t="s">
        <v>570</v>
      </c>
      <c r="C108" s="24">
        <v>18.113199999999999</v>
      </c>
      <c r="D108" s="24">
        <v>18.215</v>
      </c>
      <c r="E108" s="21"/>
      <c r="F108" s="18"/>
      <c r="G108" s="25"/>
    </row>
    <row r="109" spans="1:7" ht="17.100000000000001" customHeight="1" x14ac:dyDescent="0.2">
      <c r="A109" s="21"/>
      <c r="B109" s="9" t="s">
        <v>119</v>
      </c>
      <c r="C109" s="24">
        <v>25.196100000000001</v>
      </c>
      <c r="D109" s="24">
        <v>25.328299999999999</v>
      </c>
      <c r="E109" s="21"/>
      <c r="F109" s="18"/>
      <c r="G109" s="25"/>
    </row>
    <row r="110" spans="1:7" ht="29.1" customHeight="1" x14ac:dyDescent="0.2">
      <c r="A110" s="21"/>
      <c r="B110" s="9" t="s">
        <v>572</v>
      </c>
      <c r="C110" s="24">
        <v>13.4922</v>
      </c>
      <c r="D110" s="24">
        <v>13.4438</v>
      </c>
      <c r="E110" s="21"/>
      <c r="F110" s="18"/>
      <c r="G110" s="25"/>
    </row>
    <row r="111" spans="1:7" ht="29.1" customHeight="1" x14ac:dyDescent="0.2">
      <c r="A111" s="21"/>
      <c r="B111" s="9" t="s">
        <v>573</v>
      </c>
      <c r="C111" s="24">
        <v>16.767499999999998</v>
      </c>
      <c r="D111" s="24">
        <v>16.7804</v>
      </c>
      <c r="E111" s="21"/>
      <c r="F111" s="18"/>
      <c r="G111" s="25"/>
    </row>
    <row r="112" spans="1:7" ht="29.1" customHeight="1" x14ac:dyDescent="0.2">
      <c r="A112" s="21"/>
      <c r="B112" s="9" t="s">
        <v>574</v>
      </c>
      <c r="C112" s="24">
        <v>16.615200000000002</v>
      </c>
      <c r="D112" s="24">
        <v>16.702300000000001</v>
      </c>
      <c r="E112" s="21"/>
      <c r="F112" s="18"/>
      <c r="G112" s="25"/>
    </row>
    <row r="113" spans="1:8" ht="14.1" customHeight="1" x14ac:dyDescent="0.2">
      <c r="A113" s="21"/>
      <c r="B113" s="21"/>
      <c r="C113" s="21"/>
      <c r="D113" s="21"/>
      <c r="E113" s="21"/>
      <c r="F113" s="21"/>
      <c r="G113" s="21"/>
    </row>
    <row r="114" spans="1:8" ht="17.100000000000001" customHeight="1" x14ac:dyDescent="0.2">
      <c r="A114" s="21"/>
      <c r="B114" s="114" t="s">
        <v>576</v>
      </c>
      <c r="C114" s="115"/>
      <c r="D114" s="2" t="s">
        <v>12</v>
      </c>
      <c r="E114" s="21"/>
      <c r="F114" s="21"/>
      <c r="G114" s="21"/>
    </row>
    <row r="115" spans="1:8" ht="18" customHeight="1" x14ac:dyDescent="0.2">
      <c r="A115" s="21"/>
      <c r="B115" s="26" t="s">
        <v>116</v>
      </c>
      <c r="C115" s="27" t="s">
        <v>120</v>
      </c>
      <c r="D115" s="27" t="s">
        <v>121</v>
      </c>
      <c r="E115" s="21"/>
      <c r="F115" s="21"/>
      <c r="G115" s="21"/>
    </row>
    <row r="116" spans="1:8" ht="29.1" customHeight="1" x14ac:dyDescent="0.2">
      <c r="A116" s="21"/>
      <c r="B116" s="9" t="s">
        <v>568</v>
      </c>
      <c r="C116" s="95">
        <v>0.1298</v>
      </c>
      <c r="D116" s="13" t="s">
        <v>122</v>
      </c>
      <c r="E116" s="21"/>
      <c r="F116" s="18"/>
      <c r="G116" s="25"/>
    </row>
    <row r="117" spans="1:8" ht="29.1" customHeight="1" x14ac:dyDescent="0.2">
      <c r="A117" s="21"/>
      <c r="B117" s="9" t="s">
        <v>569</v>
      </c>
      <c r="C117" s="95">
        <v>7.4999999999999997E-2</v>
      </c>
      <c r="D117" s="13" t="s">
        <v>122</v>
      </c>
      <c r="E117" s="21"/>
      <c r="F117" s="18"/>
      <c r="G117" s="25"/>
    </row>
    <row r="118" spans="1:8" ht="29.1" customHeight="1" x14ac:dyDescent="0.2">
      <c r="A118" s="21"/>
      <c r="B118" s="9" t="s">
        <v>572</v>
      </c>
      <c r="C118" s="95">
        <v>0.1188</v>
      </c>
      <c r="D118" s="13" t="s">
        <v>122</v>
      </c>
      <c r="E118" s="21"/>
      <c r="F118" s="18"/>
      <c r="G118" s="25"/>
    </row>
    <row r="119" spans="1:8" ht="29.1" customHeight="1" x14ac:dyDescent="0.2">
      <c r="A119" s="21"/>
      <c r="B119" s="9" t="s">
        <v>573</v>
      </c>
      <c r="C119" s="95">
        <v>7.4999999999999997E-2</v>
      </c>
      <c r="D119" s="13" t="s">
        <v>122</v>
      </c>
      <c r="E119" s="21"/>
      <c r="F119" s="18"/>
      <c r="G119" s="25"/>
    </row>
    <row r="120" spans="1:8" ht="14.1" customHeight="1" x14ac:dyDescent="0.2">
      <c r="A120" s="21"/>
      <c r="B120" s="29"/>
      <c r="C120" s="29"/>
      <c r="D120" s="30"/>
      <c r="E120" s="21"/>
      <c r="F120" s="18"/>
      <c r="G120" s="25"/>
    </row>
    <row r="121" spans="1:8" ht="29.1" customHeight="1" x14ac:dyDescent="0.2">
      <c r="A121" s="21"/>
      <c r="B121" s="114" t="s">
        <v>123</v>
      </c>
      <c r="C121" s="115"/>
      <c r="D121" s="2" t="s">
        <v>111</v>
      </c>
      <c r="E121" s="31"/>
      <c r="F121" s="21"/>
      <c r="G121" s="21"/>
    </row>
    <row r="122" spans="1:8" ht="29.1" customHeight="1" x14ac:dyDescent="0.2">
      <c r="A122" s="21"/>
      <c r="B122" s="114" t="s">
        <v>124</v>
      </c>
      <c r="C122" s="115"/>
      <c r="D122" s="2" t="s">
        <v>111</v>
      </c>
      <c r="E122" s="31"/>
      <c r="F122" s="21"/>
      <c r="G122" s="21"/>
    </row>
    <row r="123" spans="1:8" ht="17.100000000000001" customHeight="1" x14ac:dyDescent="0.2">
      <c r="A123" s="21"/>
      <c r="B123" s="114" t="s">
        <v>499</v>
      </c>
      <c r="C123" s="115"/>
      <c r="D123" s="2" t="s">
        <v>111</v>
      </c>
      <c r="E123" s="31"/>
      <c r="F123" s="21"/>
      <c r="G123" s="21"/>
    </row>
    <row r="125" spans="1:8" x14ac:dyDescent="0.2">
      <c r="B125" s="162" t="s">
        <v>561</v>
      </c>
      <c r="C125" s="162"/>
      <c r="D125" s="162"/>
      <c r="E125" s="162"/>
      <c r="F125" s="162"/>
      <c r="G125" s="162"/>
      <c r="H125" s="162"/>
    </row>
    <row r="126" spans="1:8" x14ac:dyDescent="0.2">
      <c r="B126" s="54" t="s">
        <v>519</v>
      </c>
      <c r="C126" s="54" t="s">
        <v>520</v>
      </c>
      <c r="D126" s="125" t="s">
        <v>514</v>
      </c>
      <c r="E126" s="125"/>
      <c r="F126" s="125"/>
      <c r="G126" s="126" t="s">
        <v>515</v>
      </c>
      <c r="H126" s="126"/>
    </row>
    <row r="127" spans="1:8" ht="25.5" x14ac:dyDescent="0.2">
      <c r="B127" s="55" t="s">
        <v>542</v>
      </c>
      <c r="C127" s="56" t="s">
        <v>554</v>
      </c>
      <c r="D127" s="163">
        <v>0</v>
      </c>
      <c r="E127" s="163"/>
      <c r="F127" s="163"/>
      <c r="G127" s="164">
        <v>0</v>
      </c>
      <c r="H127" s="164"/>
    </row>
    <row r="128" spans="1:8" x14ac:dyDescent="0.2">
      <c r="B128" s="55"/>
      <c r="C128" s="55"/>
      <c r="D128" s="144"/>
      <c r="E128" s="144"/>
      <c r="F128" s="144"/>
      <c r="G128" s="144"/>
      <c r="H128" s="144"/>
    </row>
    <row r="129" spans="2:14" x14ac:dyDescent="0.2">
      <c r="B129" s="126" t="s">
        <v>527</v>
      </c>
      <c r="C129" s="126"/>
      <c r="D129" s="126"/>
      <c r="E129" s="126"/>
      <c r="F129" s="126"/>
      <c r="G129" s="126"/>
      <c r="H129" s="126"/>
    </row>
    <row r="130" spans="2:14" x14ac:dyDescent="0.2">
      <c r="B130" s="129" t="s">
        <v>519</v>
      </c>
      <c r="C130" s="129" t="s">
        <v>520</v>
      </c>
      <c r="D130" s="129" t="s">
        <v>528</v>
      </c>
      <c r="E130" s="129"/>
      <c r="F130" s="129"/>
      <c r="G130" s="129"/>
      <c r="H130" s="130" t="s">
        <v>529</v>
      </c>
    </row>
    <row r="131" spans="2:14" ht="63.75" x14ac:dyDescent="0.2">
      <c r="B131" s="129"/>
      <c r="C131" s="129"/>
      <c r="D131" s="57" t="s">
        <v>530</v>
      </c>
      <c r="E131" s="57" t="s">
        <v>531</v>
      </c>
      <c r="F131" s="57" t="s">
        <v>532</v>
      </c>
      <c r="G131" s="57" t="s">
        <v>533</v>
      </c>
      <c r="H131" s="131"/>
    </row>
    <row r="132" spans="2:14" s="67" customFormat="1" ht="25.5" x14ac:dyDescent="0.2">
      <c r="B132" s="86" t="s">
        <v>542</v>
      </c>
      <c r="C132" s="87" t="s">
        <v>555</v>
      </c>
      <c r="D132" s="88">
        <v>500</v>
      </c>
      <c r="E132" s="88">
        <v>9.9405737999999992</v>
      </c>
      <c r="F132" s="89">
        <v>16.00737140547945</v>
      </c>
      <c r="G132" s="88">
        <v>525.94794520547941</v>
      </c>
      <c r="H132" s="90">
        <v>233.40679</v>
      </c>
      <c r="I132"/>
      <c r="J132" s="40"/>
      <c r="K132" s="40"/>
      <c r="L132" s="40"/>
      <c r="M132" s="40"/>
      <c r="N132" s="40"/>
    </row>
    <row r="134" spans="2:14" x14ac:dyDescent="0.2">
      <c r="B134" s="64" t="s">
        <v>535</v>
      </c>
      <c r="J134"/>
      <c r="K134"/>
      <c r="L134"/>
      <c r="M134"/>
      <c r="N134"/>
    </row>
    <row r="135" spans="2:14" x14ac:dyDescent="0.2">
      <c r="B135" s="40"/>
      <c r="C135" s="40"/>
      <c r="D135" s="40"/>
      <c r="E135" s="40"/>
      <c r="F135" s="40"/>
      <c r="G135" s="40"/>
      <c r="H135" s="40"/>
    </row>
    <row r="136" spans="2:14" x14ac:dyDescent="0.2">
      <c r="B136" s="65" t="s">
        <v>536</v>
      </c>
      <c r="C136" s="40"/>
      <c r="D136" s="40"/>
      <c r="E136" s="40"/>
      <c r="F136" s="40"/>
      <c r="G136" s="40"/>
      <c r="H136" s="40"/>
    </row>
    <row r="137" spans="2:14" x14ac:dyDescent="0.2">
      <c r="B137" s="40"/>
      <c r="C137" s="40"/>
      <c r="D137" s="40"/>
      <c r="E137" s="40"/>
      <c r="F137" s="40"/>
      <c r="G137" s="40"/>
      <c r="H137" s="40"/>
    </row>
    <row r="138" spans="2:14" x14ac:dyDescent="0.2">
      <c r="B138" s="65" t="s">
        <v>537</v>
      </c>
      <c r="C138" s="40"/>
      <c r="D138" s="40"/>
      <c r="E138" s="40"/>
      <c r="F138" s="40"/>
      <c r="G138" s="40"/>
      <c r="H138" s="40"/>
    </row>
    <row r="140" spans="2:14" x14ac:dyDescent="0.2">
      <c r="B140" s="111" t="s">
        <v>500</v>
      </c>
      <c r="C140" s="112"/>
      <c r="D140" s="113"/>
    </row>
    <row r="141" spans="2:14" ht="38.25" x14ac:dyDescent="0.2">
      <c r="B141" s="117" t="s">
        <v>501</v>
      </c>
      <c r="C141" s="117"/>
      <c r="D141" s="41" t="s">
        <v>396</v>
      </c>
    </row>
    <row r="142" spans="2:14" x14ac:dyDescent="0.2">
      <c r="B142" s="117" t="s">
        <v>502</v>
      </c>
      <c r="C142" s="117"/>
      <c r="D142" s="42"/>
    </row>
    <row r="143" spans="2:14" x14ac:dyDescent="0.2">
      <c r="B143" s="117"/>
      <c r="C143" s="117"/>
      <c r="D143" s="43"/>
    </row>
    <row r="144" spans="2:14" x14ac:dyDescent="0.2">
      <c r="B144" s="117" t="s">
        <v>503</v>
      </c>
      <c r="C144" s="117"/>
      <c r="D144" s="32">
        <v>7.2771107785210267</v>
      </c>
    </row>
    <row r="145" spans="2:4" x14ac:dyDescent="0.2">
      <c r="B145" s="117"/>
      <c r="C145" s="117"/>
      <c r="D145" s="43"/>
    </row>
    <row r="146" spans="2:4" x14ac:dyDescent="0.2">
      <c r="B146" s="117" t="s">
        <v>556</v>
      </c>
      <c r="C146" s="117"/>
      <c r="D146" s="32">
        <v>4.7375546743607186</v>
      </c>
    </row>
    <row r="147" spans="2:4" x14ac:dyDescent="0.2">
      <c r="B147" s="117" t="s">
        <v>557</v>
      </c>
      <c r="C147" s="117"/>
      <c r="D147" s="32">
        <v>6.5909002055108008</v>
      </c>
    </row>
    <row r="148" spans="2:4" x14ac:dyDescent="0.2">
      <c r="B148" s="117"/>
      <c r="C148" s="117"/>
      <c r="D148" s="43"/>
    </row>
    <row r="149" spans="2:4" x14ac:dyDescent="0.2">
      <c r="B149" s="117" t="s">
        <v>506</v>
      </c>
      <c r="C149" s="117"/>
      <c r="D149" s="44">
        <v>45107</v>
      </c>
    </row>
    <row r="150" spans="2:4" x14ac:dyDescent="0.2">
      <c r="B150" s="118" t="s">
        <v>507</v>
      </c>
      <c r="C150" s="119"/>
      <c r="D150" s="120"/>
    </row>
  </sheetData>
  <mergeCells count="37">
    <mergeCell ref="J2:N2"/>
    <mergeCell ref="B146:C146"/>
    <mergeCell ref="B147:C147"/>
    <mergeCell ref="B148:C148"/>
    <mergeCell ref="B149:C149"/>
    <mergeCell ref="B130:B131"/>
    <mergeCell ref="C130:C131"/>
    <mergeCell ref="D130:G130"/>
    <mergeCell ref="H130:H131"/>
    <mergeCell ref="B140:D140"/>
    <mergeCell ref="D127:F127"/>
    <mergeCell ref="G127:H127"/>
    <mergeCell ref="D128:F128"/>
    <mergeCell ref="G128:H128"/>
    <mergeCell ref="B129:H129"/>
    <mergeCell ref="D126:F126"/>
    <mergeCell ref="B150:D150"/>
    <mergeCell ref="B141:C141"/>
    <mergeCell ref="B142:C142"/>
    <mergeCell ref="B143:C143"/>
    <mergeCell ref="B144:C144"/>
    <mergeCell ref="B145:C145"/>
    <mergeCell ref="G126:H126"/>
    <mergeCell ref="B96:F96"/>
    <mergeCell ref="B97:F97"/>
    <mergeCell ref="B123:C123"/>
    <mergeCell ref="B99:D99"/>
    <mergeCell ref="B100:C100"/>
    <mergeCell ref="B101:C101"/>
    <mergeCell ref="B102:C102"/>
    <mergeCell ref="B114:C114"/>
    <mergeCell ref="B122:C122"/>
    <mergeCell ref="A1:H1"/>
    <mergeCell ref="A2:H2"/>
    <mergeCell ref="A3:H3"/>
    <mergeCell ref="B121:C121"/>
    <mergeCell ref="B125:H125"/>
  </mergeCells>
  <hyperlinks>
    <hyperlink ref="B136" r:id="rId1" xr:uid="{28982151-3A28-4135-9FAC-975B62F955A1}"/>
    <hyperlink ref="B138" r:id="rId2" xr:uid="{FBE5FA88-FBBE-4163-86FC-C81EEB756183}"/>
    <hyperlink ref="I1" location="Index!B10" display="Index" xr:uid="{61604F95-E9B5-44BD-A7ED-056822998893}"/>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7"/>
  <sheetViews>
    <sheetView showGridLines="0" workbookViewId="0">
      <selection activeCell="A2" sqref="A2:H2"/>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0" t="s">
        <v>0</v>
      </c>
      <c r="B1" s="110"/>
      <c r="C1" s="110"/>
      <c r="D1" s="110"/>
      <c r="E1" s="110"/>
      <c r="F1" s="110"/>
      <c r="G1" s="110"/>
      <c r="H1" s="110"/>
      <c r="I1" s="101" t="s">
        <v>591</v>
      </c>
    </row>
    <row r="2" spans="1:14" ht="17.100000000000001" customHeight="1" x14ac:dyDescent="0.2">
      <c r="A2" s="110" t="s">
        <v>451</v>
      </c>
      <c r="B2" s="110"/>
      <c r="C2" s="110"/>
      <c r="D2" s="110"/>
      <c r="E2" s="110"/>
      <c r="F2" s="110"/>
      <c r="G2" s="110"/>
      <c r="H2" s="110"/>
      <c r="J2" s="116" t="s">
        <v>592</v>
      </c>
      <c r="K2" s="116"/>
      <c r="L2" s="116"/>
      <c r="M2" s="116"/>
      <c r="N2" s="116"/>
    </row>
    <row r="3" spans="1:14" ht="21" customHeight="1" x14ac:dyDescent="0.2">
      <c r="A3" s="110" t="s">
        <v>589</v>
      </c>
      <c r="B3" s="110"/>
      <c r="C3" s="110"/>
      <c r="D3" s="110"/>
      <c r="E3" s="110"/>
      <c r="F3" s="110"/>
      <c r="G3" s="110"/>
      <c r="H3" s="110"/>
    </row>
    <row r="4" spans="1:14" ht="30" x14ac:dyDescent="0.2">
      <c r="A4" s="94" t="s">
        <v>2</v>
      </c>
      <c r="B4" s="94" t="s">
        <v>3</v>
      </c>
      <c r="C4" s="94" t="s">
        <v>4</v>
      </c>
      <c r="D4" s="94" t="s">
        <v>5</v>
      </c>
      <c r="E4" s="94" t="s">
        <v>6</v>
      </c>
      <c r="F4" s="94" t="s">
        <v>7</v>
      </c>
      <c r="G4" s="94" t="s">
        <v>8</v>
      </c>
      <c r="H4" s="91" t="s">
        <v>588</v>
      </c>
      <c r="I4" s="102"/>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5">
      <c r="A15" s="1"/>
      <c r="B15" s="1"/>
      <c r="C15" s="2" t="s">
        <v>16</v>
      </c>
      <c r="D15" s="1"/>
      <c r="E15" s="1"/>
      <c r="F15" s="1"/>
      <c r="G15" s="1"/>
      <c r="H15" s="11"/>
      <c r="J15" s="105" t="s">
        <v>611</v>
      </c>
    </row>
    <row r="16" spans="1:14"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106"/>
      <c r="L18" s="106"/>
      <c r="M18" s="106"/>
      <c r="N18" s="106"/>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105" t="s">
        <v>612</v>
      </c>
    </row>
    <row r="29" spans="1:14" ht="14.1" customHeight="1" x14ac:dyDescent="0.2">
      <c r="A29" s="1"/>
      <c r="B29" s="1"/>
      <c r="C29" s="5"/>
      <c r="D29" s="1"/>
      <c r="E29" s="1"/>
      <c r="F29" s="6"/>
      <c r="G29" s="6"/>
      <c r="H29" s="11"/>
    </row>
    <row r="30" spans="1:14" ht="14.1" customHeight="1" x14ac:dyDescent="0.2">
      <c r="A30" s="1"/>
      <c r="B30" s="1"/>
      <c r="C30" s="2" t="s">
        <v>77</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78</v>
      </c>
      <c r="D33" s="1"/>
      <c r="E33" s="1"/>
      <c r="F33" s="1"/>
      <c r="G33" s="1"/>
      <c r="H33" s="11"/>
    </row>
    <row r="34" spans="1:14" ht="14.1" customHeight="1" x14ac:dyDescent="0.2">
      <c r="A34" s="1"/>
      <c r="B34" s="1"/>
      <c r="C34" s="2" t="s">
        <v>11</v>
      </c>
      <c r="D34" s="1"/>
      <c r="E34" s="1" t="s">
        <v>12</v>
      </c>
      <c r="F34" s="3" t="s">
        <v>13</v>
      </c>
      <c r="G34" s="4">
        <v>0</v>
      </c>
      <c r="H34" s="11"/>
      <c r="K34" s="106"/>
      <c r="L34" s="106"/>
      <c r="M34" s="106"/>
      <c r="N34" s="106"/>
    </row>
    <row r="35" spans="1:14" ht="14.1" customHeight="1" x14ac:dyDescent="0.2">
      <c r="A35" s="1"/>
      <c r="B35" s="1"/>
      <c r="C35" s="5"/>
      <c r="D35" s="1"/>
      <c r="E35" s="1"/>
      <c r="F35" s="6"/>
      <c r="G35" s="6"/>
      <c r="H35" s="11"/>
    </row>
    <row r="36" spans="1:14" ht="14.1" customHeight="1" x14ac:dyDescent="0.2">
      <c r="A36" s="1"/>
      <c r="B36" s="1"/>
      <c r="C36" s="2" t="s">
        <v>90</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91</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92</v>
      </c>
      <c r="D41" s="1"/>
      <c r="E41" s="1"/>
      <c r="F41" s="6"/>
      <c r="G41" s="6"/>
      <c r="H41" s="11"/>
    </row>
    <row r="42" spans="1:14" ht="14.1" customHeight="1" x14ac:dyDescent="0.2">
      <c r="A42" s="1"/>
      <c r="B42" s="1"/>
      <c r="C42" s="2" t="s">
        <v>93</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94</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95</v>
      </c>
      <c r="D48" s="1"/>
      <c r="E48" s="1"/>
      <c r="F48" s="6"/>
      <c r="G48" s="6"/>
      <c r="H48" s="11"/>
    </row>
    <row r="49" spans="1:8" ht="17.100000000000001" customHeight="1" x14ac:dyDescent="0.2">
      <c r="A49" s="8">
        <v>1</v>
      </c>
      <c r="B49" s="9" t="s">
        <v>452</v>
      </c>
      <c r="C49" s="9" t="s">
        <v>492</v>
      </c>
      <c r="D49" s="9" t="s">
        <v>81</v>
      </c>
      <c r="E49" s="10">
        <v>1000000</v>
      </c>
      <c r="F49" s="11">
        <v>999.1</v>
      </c>
      <c r="G49" s="12">
        <v>8.4328800000000002E-3</v>
      </c>
      <c r="H49" s="11">
        <v>6.5750000000000002</v>
      </c>
    </row>
    <row r="50" spans="1:8" ht="17.100000000000001" customHeight="1" x14ac:dyDescent="0.2">
      <c r="A50" s="8">
        <v>2</v>
      </c>
      <c r="B50" s="9" t="s">
        <v>453</v>
      </c>
      <c r="C50" s="9" t="s">
        <v>454</v>
      </c>
      <c r="D50" s="9" t="s">
        <v>81</v>
      </c>
      <c r="E50" s="10">
        <v>1000000</v>
      </c>
      <c r="F50" s="11">
        <v>997.851</v>
      </c>
      <c r="G50" s="12">
        <v>8.4223400000000004E-3</v>
      </c>
      <c r="H50" s="11">
        <v>6.55</v>
      </c>
    </row>
    <row r="51" spans="1:8" ht="17.100000000000001" customHeight="1" x14ac:dyDescent="0.2">
      <c r="A51" s="8">
        <v>3</v>
      </c>
      <c r="B51" s="9" t="s">
        <v>318</v>
      </c>
      <c r="C51" s="9" t="s">
        <v>319</v>
      </c>
      <c r="D51" s="9" t="s">
        <v>81</v>
      </c>
      <c r="E51" s="10">
        <v>1000000</v>
      </c>
      <c r="F51" s="11">
        <v>996.57600000000002</v>
      </c>
      <c r="G51" s="12">
        <v>8.4115700000000002E-3</v>
      </c>
      <c r="H51" s="11">
        <v>6.6</v>
      </c>
    </row>
    <row r="52" spans="1:8" ht="17.100000000000001" customHeight="1" x14ac:dyDescent="0.2">
      <c r="A52" s="8">
        <v>4</v>
      </c>
      <c r="B52" s="9" t="s">
        <v>455</v>
      </c>
      <c r="C52" s="9" t="s">
        <v>456</v>
      </c>
      <c r="D52" s="9" t="s">
        <v>81</v>
      </c>
      <c r="E52" s="10">
        <v>500000</v>
      </c>
      <c r="F52" s="11">
        <v>499.54700000000003</v>
      </c>
      <c r="G52" s="12">
        <v>4.2164100000000003E-3</v>
      </c>
      <c r="H52" s="11">
        <v>6.6224999999999996</v>
      </c>
    </row>
    <row r="53" spans="1:8" ht="17.100000000000001" customHeight="1" x14ac:dyDescent="0.2">
      <c r="A53" s="8">
        <v>5</v>
      </c>
      <c r="B53" s="9" t="s">
        <v>457</v>
      </c>
      <c r="C53" s="9" t="s">
        <v>493</v>
      </c>
      <c r="D53" s="9" t="s">
        <v>81</v>
      </c>
      <c r="E53" s="10">
        <v>500000</v>
      </c>
      <c r="F53" s="11">
        <v>497.66</v>
      </c>
      <c r="G53" s="12">
        <v>4.2004900000000003E-3</v>
      </c>
      <c r="H53" s="11">
        <v>6.6013999999999999</v>
      </c>
    </row>
    <row r="54" spans="1:8" ht="14.1" customHeight="1" x14ac:dyDescent="0.2">
      <c r="A54" s="1"/>
      <c r="B54" s="1"/>
      <c r="C54" s="2" t="s">
        <v>11</v>
      </c>
      <c r="D54" s="1"/>
      <c r="E54" s="1" t="s">
        <v>12</v>
      </c>
      <c r="F54" s="7">
        <v>3990.7339999999999</v>
      </c>
      <c r="G54" s="4">
        <v>3.3683690000000002E-2</v>
      </c>
      <c r="H54" s="11"/>
    </row>
    <row r="55" spans="1:8" ht="14.1" customHeight="1" x14ac:dyDescent="0.2">
      <c r="A55" s="1"/>
      <c r="B55" s="1"/>
      <c r="C55" s="5"/>
      <c r="D55" s="1"/>
      <c r="E55" s="1"/>
      <c r="F55" s="6"/>
      <c r="G55" s="6"/>
      <c r="H55" s="11"/>
    </row>
    <row r="56" spans="1:8" ht="14.1" customHeight="1" x14ac:dyDescent="0.2">
      <c r="A56" s="1"/>
      <c r="B56" s="1"/>
      <c r="C56" s="2" t="s">
        <v>96</v>
      </c>
      <c r="D56" s="1"/>
      <c r="E56" s="1"/>
      <c r="F56" s="6"/>
      <c r="G56" s="6"/>
      <c r="H56" s="11"/>
    </row>
    <row r="57" spans="1:8" ht="17.100000000000001" customHeight="1" x14ac:dyDescent="0.2">
      <c r="A57" s="8">
        <v>1</v>
      </c>
      <c r="B57" s="9"/>
      <c r="C57" s="9" t="s">
        <v>97</v>
      </c>
      <c r="D57" s="9"/>
      <c r="E57" s="13"/>
      <c r="F57" s="11">
        <v>62601.638383119003</v>
      </c>
      <c r="G57" s="12">
        <v>0.52838750999999995</v>
      </c>
      <c r="H57" s="11">
        <v>6.7573016869821334</v>
      </c>
    </row>
    <row r="58" spans="1:8" ht="17.100000000000001" customHeight="1" x14ac:dyDescent="0.2">
      <c r="A58" s="8">
        <v>2</v>
      </c>
      <c r="B58" s="9"/>
      <c r="C58" s="9" t="s">
        <v>98</v>
      </c>
      <c r="D58" s="9"/>
      <c r="E58" s="13"/>
      <c r="F58" s="11">
        <v>51284.224854499997</v>
      </c>
      <c r="G58" s="12">
        <v>0.43286317000000002</v>
      </c>
      <c r="H58" s="11">
        <v>6.796603293503404</v>
      </c>
    </row>
    <row r="59" spans="1:8" ht="14.1" customHeight="1" x14ac:dyDescent="0.2">
      <c r="A59" s="1"/>
      <c r="B59" s="1"/>
      <c r="C59" s="2" t="s">
        <v>11</v>
      </c>
      <c r="D59" s="1"/>
      <c r="E59" s="1" t="s">
        <v>12</v>
      </c>
      <c r="F59" s="7">
        <v>113885.86323761901</v>
      </c>
      <c r="G59" s="4">
        <v>0.96125068000000002</v>
      </c>
      <c r="H59" s="11"/>
    </row>
    <row r="60" spans="1:8" ht="14.1" customHeight="1" x14ac:dyDescent="0.2">
      <c r="A60" s="1"/>
      <c r="B60" s="1"/>
      <c r="C60" s="5"/>
      <c r="D60" s="1"/>
      <c r="E60" s="1"/>
      <c r="F60" s="6"/>
      <c r="G60" s="6"/>
      <c r="H60" s="11"/>
    </row>
    <row r="61" spans="1:8" ht="14.1" customHeight="1" x14ac:dyDescent="0.2">
      <c r="A61" s="1"/>
      <c r="B61" s="1"/>
      <c r="C61" s="2" t="s">
        <v>99</v>
      </c>
      <c r="D61" s="1"/>
      <c r="E61" s="1"/>
      <c r="F61" s="7">
        <v>117876.597237619</v>
      </c>
      <c r="G61" s="4">
        <v>0.99493436999999996</v>
      </c>
      <c r="H61" s="11"/>
    </row>
    <row r="62" spans="1:8" ht="14.1" customHeight="1" x14ac:dyDescent="0.2">
      <c r="A62" s="1"/>
      <c r="B62" s="1"/>
      <c r="C62" s="6"/>
      <c r="D62" s="1"/>
      <c r="E62" s="1"/>
      <c r="F62" s="1"/>
      <c r="G62" s="1"/>
      <c r="H62" s="11"/>
    </row>
    <row r="63" spans="1:8" ht="14.1" customHeight="1" x14ac:dyDescent="0.2">
      <c r="A63" s="1"/>
      <c r="B63" s="1"/>
      <c r="C63" s="2" t="s">
        <v>100</v>
      </c>
      <c r="D63" s="1"/>
      <c r="E63" s="1"/>
      <c r="F63" s="1"/>
      <c r="G63" s="1"/>
      <c r="H63" s="11"/>
    </row>
    <row r="64" spans="1:8" ht="14.1" customHeight="1" x14ac:dyDescent="0.2">
      <c r="A64" s="1"/>
      <c r="B64" s="1"/>
      <c r="C64" s="2" t="s">
        <v>101</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102</v>
      </c>
      <c r="D67" s="1"/>
      <c r="E67" s="1"/>
      <c r="F67" s="1"/>
      <c r="G67" s="1"/>
      <c r="H67" s="11"/>
    </row>
    <row r="68" spans="1:8" ht="14.1" customHeight="1" x14ac:dyDescent="0.2">
      <c r="A68" s="1"/>
      <c r="B68" s="1"/>
      <c r="C68" s="2" t="s">
        <v>103</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104</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105</v>
      </c>
      <c r="D75" s="9"/>
      <c r="E75" s="13"/>
      <c r="F75" s="11">
        <v>600.16046968000001</v>
      </c>
      <c r="G75" s="12">
        <v>5.0656399999999997E-3</v>
      </c>
      <c r="H75" s="11"/>
    </row>
    <row r="76" spans="1:8" ht="14.1" customHeight="1" x14ac:dyDescent="0.2">
      <c r="A76" s="5"/>
      <c r="B76" s="5"/>
      <c r="C76" s="2" t="s">
        <v>106</v>
      </c>
      <c r="D76" s="6"/>
      <c r="E76" s="6"/>
      <c r="F76" s="7">
        <v>118476.757707299</v>
      </c>
      <c r="G76" s="14">
        <v>1.0000000099999999</v>
      </c>
      <c r="H76" s="11"/>
    </row>
    <row r="77" spans="1:8" ht="14.1" customHeight="1" x14ac:dyDescent="0.2">
      <c r="A77" s="15"/>
      <c r="B77" s="15"/>
      <c r="C77" s="15"/>
      <c r="D77" s="16"/>
      <c r="E77" s="16"/>
      <c r="F77" s="16"/>
      <c r="G77" s="16"/>
    </row>
    <row r="78" spans="1:8" ht="17.100000000000001" customHeight="1" x14ac:dyDescent="0.2">
      <c r="A78" s="17"/>
      <c r="B78" s="121" t="s">
        <v>107</v>
      </c>
      <c r="C78" s="121"/>
      <c r="D78" s="121"/>
      <c r="E78" s="121"/>
      <c r="F78" s="121"/>
      <c r="G78" s="19"/>
    </row>
    <row r="79" spans="1:8" ht="17.100000000000001" customHeight="1" x14ac:dyDescent="0.2">
      <c r="A79" s="17"/>
      <c r="B79" s="121" t="s">
        <v>108</v>
      </c>
      <c r="C79" s="121"/>
      <c r="D79" s="121"/>
      <c r="E79" s="121"/>
      <c r="F79" s="121"/>
      <c r="G79" s="19"/>
    </row>
    <row r="80" spans="1:8" ht="14.1" customHeight="1" x14ac:dyDescent="0.2">
      <c r="A80" s="17"/>
      <c r="B80" s="17"/>
      <c r="C80" s="17"/>
      <c r="D80" s="19"/>
      <c r="E80" s="19"/>
      <c r="F80" s="19"/>
      <c r="G80" s="19"/>
    </row>
    <row r="81" spans="1:7" ht="14.1" customHeight="1" x14ac:dyDescent="0.2">
      <c r="A81" s="17"/>
      <c r="B81" s="122" t="s">
        <v>109</v>
      </c>
      <c r="C81" s="123"/>
      <c r="D81" s="124"/>
      <c r="E81" s="20"/>
      <c r="F81" s="19"/>
      <c r="G81" s="19"/>
    </row>
    <row r="82" spans="1:7" ht="29.1" customHeight="1" x14ac:dyDescent="0.2">
      <c r="A82" s="17"/>
      <c r="B82" s="114" t="s">
        <v>110</v>
      </c>
      <c r="C82" s="115"/>
      <c r="D82" s="2" t="s">
        <v>111</v>
      </c>
      <c r="E82" s="20"/>
      <c r="F82" s="19"/>
      <c r="G82" s="19"/>
    </row>
    <row r="83" spans="1:7" ht="17.100000000000001" customHeight="1" x14ac:dyDescent="0.2">
      <c r="A83" s="17"/>
      <c r="B83" s="114" t="s">
        <v>112</v>
      </c>
      <c r="C83" s="115"/>
      <c r="D83" s="2" t="s">
        <v>111</v>
      </c>
      <c r="E83" s="20"/>
      <c r="F83" s="19"/>
      <c r="G83" s="19"/>
    </row>
    <row r="84" spans="1:7" ht="17.100000000000001" customHeight="1" x14ac:dyDescent="0.2">
      <c r="A84" s="17"/>
      <c r="B84" s="114" t="s">
        <v>113</v>
      </c>
      <c r="C84" s="115"/>
      <c r="D84" s="6" t="s">
        <v>12</v>
      </c>
      <c r="E84" s="20"/>
      <c r="F84" s="19"/>
      <c r="G84" s="19"/>
    </row>
    <row r="85" spans="1:7" ht="24" customHeight="1" x14ac:dyDescent="0.2">
      <c r="A85" s="21"/>
      <c r="B85" s="22" t="s">
        <v>12</v>
      </c>
      <c r="C85" s="22" t="s">
        <v>114</v>
      </c>
      <c r="D85" s="22" t="s">
        <v>115</v>
      </c>
      <c r="E85" s="21"/>
      <c r="F85" s="21"/>
      <c r="G85" s="21"/>
    </row>
    <row r="86" spans="1:7" ht="18" customHeight="1" x14ac:dyDescent="0.2">
      <c r="A86" s="21"/>
      <c r="B86" s="23" t="s">
        <v>116</v>
      </c>
      <c r="C86" s="22" t="s">
        <v>590</v>
      </c>
      <c r="D86" s="22" t="s">
        <v>117</v>
      </c>
      <c r="E86" s="21"/>
      <c r="F86" s="21"/>
      <c r="G86" s="21"/>
    </row>
    <row r="87" spans="1:7" ht="17.100000000000001" customHeight="1" x14ac:dyDescent="0.2">
      <c r="A87" s="21"/>
      <c r="B87" s="9" t="s">
        <v>118</v>
      </c>
      <c r="C87" s="24">
        <v>1207.4054000000001</v>
      </c>
      <c r="D87" s="24">
        <v>1210.6455000000001</v>
      </c>
      <c r="E87" s="21"/>
      <c r="F87" s="18"/>
      <c r="G87" s="25"/>
    </row>
    <row r="88" spans="1:7" ht="29.1" customHeight="1" x14ac:dyDescent="0.2">
      <c r="A88" s="21"/>
      <c r="B88" s="9" t="s">
        <v>577</v>
      </c>
      <c r="C88" s="24">
        <v>1000.03</v>
      </c>
      <c r="D88" s="24">
        <v>1000.03</v>
      </c>
      <c r="E88" s="21"/>
      <c r="F88" s="18"/>
      <c r="G88" s="25"/>
    </row>
    <row r="89" spans="1:7" ht="29.1" customHeight="1" x14ac:dyDescent="0.2">
      <c r="A89" s="21"/>
      <c r="B89" s="9" t="s">
        <v>578</v>
      </c>
      <c r="C89" s="24">
        <v>1049.4009000000001</v>
      </c>
      <c r="D89" s="24">
        <v>1049.6378</v>
      </c>
      <c r="E89" s="21"/>
      <c r="F89" s="18"/>
      <c r="G89" s="25"/>
    </row>
    <row r="90" spans="1:7" ht="29.1" customHeight="1" x14ac:dyDescent="0.2">
      <c r="A90" s="21"/>
      <c r="B90" s="9" t="s">
        <v>582</v>
      </c>
      <c r="C90" s="24">
        <v>1064.6741999999999</v>
      </c>
      <c r="D90" s="24">
        <v>1067.5382</v>
      </c>
      <c r="E90" s="21"/>
      <c r="F90" s="18"/>
      <c r="G90" s="25"/>
    </row>
    <row r="91" spans="1:7" ht="29.1" customHeight="1" x14ac:dyDescent="0.2">
      <c r="A91" s="21"/>
      <c r="B91" s="9" t="s">
        <v>568</v>
      </c>
      <c r="C91" s="24">
        <v>1047.5838000000001</v>
      </c>
      <c r="D91" s="24">
        <v>1044.9260999999999</v>
      </c>
      <c r="E91" s="21"/>
      <c r="F91" s="18"/>
      <c r="G91" s="25"/>
    </row>
    <row r="92" spans="1:7" ht="17.100000000000001" customHeight="1" x14ac:dyDescent="0.2">
      <c r="A92" s="21"/>
      <c r="B92" s="9" t="s">
        <v>119</v>
      </c>
      <c r="C92" s="24">
        <v>1202.4249</v>
      </c>
      <c r="D92" s="24">
        <v>1205.6074000000001</v>
      </c>
      <c r="E92" s="21"/>
      <c r="F92" s="18"/>
      <c r="G92" s="25"/>
    </row>
    <row r="93" spans="1:7" ht="29.1" customHeight="1" x14ac:dyDescent="0.2">
      <c r="A93" s="21"/>
      <c r="B93" s="9" t="s">
        <v>580</v>
      </c>
      <c r="C93" s="24">
        <v>1000.03</v>
      </c>
      <c r="D93" s="24">
        <v>1000.03</v>
      </c>
      <c r="E93" s="21"/>
      <c r="F93" s="18"/>
      <c r="G93" s="25"/>
    </row>
    <row r="94" spans="1:7" ht="29.1" customHeight="1" x14ac:dyDescent="0.2">
      <c r="A94" s="21"/>
      <c r="B94" s="9" t="s">
        <v>581</v>
      </c>
      <c r="C94" s="24">
        <v>1048.3309999999999</v>
      </c>
      <c r="D94" s="24">
        <v>1052.8181999999999</v>
      </c>
      <c r="E94" s="21"/>
      <c r="F94" s="18"/>
      <c r="G94" s="25"/>
    </row>
    <row r="95" spans="1:7" ht="29.1" customHeight="1" x14ac:dyDescent="0.2">
      <c r="A95" s="21"/>
      <c r="B95" s="9" t="s">
        <v>583</v>
      </c>
      <c r="C95" s="24">
        <v>1066.1095</v>
      </c>
      <c r="D95" s="24">
        <v>1068.9294</v>
      </c>
      <c r="E95" s="21"/>
      <c r="F95" s="18"/>
      <c r="G95" s="25"/>
    </row>
    <row r="96" spans="1:7" ht="29.1" customHeight="1" x14ac:dyDescent="0.2">
      <c r="A96" s="21"/>
      <c r="B96" s="9" t="s">
        <v>572</v>
      </c>
      <c r="C96" s="24">
        <v>1043.7601999999999</v>
      </c>
      <c r="D96" s="24">
        <v>1041.2036000000001</v>
      </c>
      <c r="E96" s="21"/>
      <c r="F96" s="18"/>
      <c r="G96" s="25"/>
    </row>
    <row r="97" spans="1:14" ht="41.1" customHeight="1" x14ac:dyDescent="0.2">
      <c r="A97" s="21"/>
      <c r="B97" s="9" t="s">
        <v>584</v>
      </c>
      <c r="C97" s="24">
        <v>1000</v>
      </c>
      <c r="D97" s="24">
        <v>1000</v>
      </c>
      <c r="E97" s="21"/>
      <c r="F97" s="18"/>
      <c r="G97" s="25"/>
    </row>
    <row r="98" spans="1:14" ht="41.1" customHeight="1" x14ac:dyDescent="0.2">
      <c r="A98" s="21"/>
      <c r="B98" s="9" t="s">
        <v>585</v>
      </c>
      <c r="C98" s="24">
        <v>1075.4394</v>
      </c>
      <c r="D98" s="24">
        <v>1078.3266000000001</v>
      </c>
      <c r="E98" s="21"/>
      <c r="F98" s="18"/>
      <c r="G98" s="25"/>
    </row>
    <row r="99" spans="1:14" ht="41.1" customHeight="1" x14ac:dyDescent="0.2">
      <c r="A99" s="21"/>
      <c r="B99" s="9" t="s">
        <v>586</v>
      </c>
      <c r="C99" s="24">
        <v>1075.4286</v>
      </c>
      <c r="D99" s="24">
        <v>1078.3145999999999</v>
      </c>
      <c r="E99" s="21"/>
      <c r="F99" s="18"/>
      <c r="G99" s="25"/>
    </row>
    <row r="100" spans="1:14" ht="41.1" customHeight="1" x14ac:dyDescent="0.2">
      <c r="A100" s="21"/>
      <c r="B100" s="9" t="s">
        <v>587</v>
      </c>
      <c r="C100" s="24">
        <v>1000</v>
      </c>
      <c r="D100" s="24">
        <v>1000</v>
      </c>
      <c r="E100" s="21"/>
      <c r="F100" s="18"/>
      <c r="G100" s="25"/>
    </row>
    <row r="101" spans="1:14" ht="14.1" customHeight="1" x14ac:dyDescent="0.2">
      <c r="A101" s="21"/>
      <c r="B101" s="21"/>
      <c r="C101" s="21"/>
      <c r="D101" s="21"/>
      <c r="E101" s="21"/>
      <c r="F101" s="21"/>
      <c r="G101" s="21"/>
    </row>
    <row r="102" spans="1:14" ht="17.100000000000001" customHeight="1" x14ac:dyDescent="0.2">
      <c r="A102" s="21"/>
      <c r="B102" s="114" t="s">
        <v>576</v>
      </c>
      <c r="C102" s="115"/>
      <c r="D102" s="2" t="s">
        <v>12</v>
      </c>
      <c r="E102" s="21"/>
      <c r="F102" s="21"/>
      <c r="G102" s="21"/>
    </row>
    <row r="103" spans="1:14" ht="18" customHeight="1" x14ac:dyDescent="0.2">
      <c r="A103" s="21"/>
      <c r="B103" s="26" t="s">
        <v>116</v>
      </c>
      <c r="C103" s="27" t="s">
        <v>120</v>
      </c>
      <c r="D103" s="27" t="s">
        <v>121</v>
      </c>
      <c r="E103" s="21"/>
      <c r="F103" s="21"/>
      <c r="G103" s="21"/>
    </row>
    <row r="104" spans="1:14" ht="29.1" customHeight="1" x14ac:dyDescent="0.2">
      <c r="A104" s="21"/>
      <c r="B104" s="9" t="s">
        <v>577</v>
      </c>
      <c r="C104" s="95">
        <v>2.6659959999999998</v>
      </c>
      <c r="D104" s="96" t="s">
        <v>122</v>
      </c>
      <c r="E104" s="21"/>
      <c r="F104" s="18"/>
      <c r="G104" s="25"/>
      <c r="J104"/>
      <c r="K104"/>
      <c r="L104"/>
      <c r="M104"/>
      <c r="N104"/>
    </row>
    <row r="105" spans="1:14" ht="29.1" customHeight="1" x14ac:dyDescent="0.2">
      <c r="A105" s="21"/>
      <c r="B105" s="9" t="s">
        <v>578</v>
      </c>
      <c r="C105" s="95">
        <v>3.89</v>
      </c>
      <c r="D105" s="96" t="s">
        <v>122</v>
      </c>
      <c r="E105" s="21"/>
      <c r="F105" s="18"/>
      <c r="G105" s="25"/>
    </row>
    <row r="106" spans="1:14" ht="29.1" customHeight="1" x14ac:dyDescent="0.2">
      <c r="A106" s="21"/>
      <c r="B106" s="9" t="s">
        <v>582</v>
      </c>
      <c r="C106" s="95">
        <v>3.9864000000000002</v>
      </c>
      <c r="D106" s="96" t="s">
        <v>122</v>
      </c>
      <c r="E106" s="21"/>
      <c r="F106" s="18"/>
      <c r="G106" s="25"/>
    </row>
    <row r="107" spans="1:14" ht="29.1" customHeight="1" x14ac:dyDescent="0.2">
      <c r="A107" s="21"/>
      <c r="B107" s="9" t="s">
        <v>568</v>
      </c>
      <c r="C107" s="95">
        <v>5.4562999999999997</v>
      </c>
      <c r="D107" s="96" t="s">
        <v>122</v>
      </c>
      <c r="E107" s="21"/>
      <c r="F107" s="18"/>
      <c r="G107" s="25"/>
    </row>
    <row r="108" spans="1:14" ht="29.1" customHeight="1" x14ac:dyDescent="0.2">
      <c r="A108" s="21"/>
      <c r="B108" s="9" t="s">
        <v>580</v>
      </c>
      <c r="C108" s="95">
        <v>2.6299890000000001</v>
      </c>
      <c r="D108" s="96" t="s">
        <v>122</v>
      </c>
      <c r="E108" s="21"/>
      <c r="F108" s="18"/>
      <c r="G108" s="25"/>
    </row>
    <row r="109" spans="1:14" ht="29.1" customHeight="1" x14ac:dyDescent="0.2">
      <c r="A109" s="21"/>
      <c r="B109" s="9" t="s">
        <v>581</v>
      </c>
      <c r="C109" s="95">
        <v>8.1555999999999997</v>
      </c>
      <c r="D109" s="96" t="s">
        <v>122</v>
      </c>
      <c r="E109" s="21"/>
      <c r="F109" s="18"/>
      <c r="G109" s="25"/>
    </row>
    <row r="110" spans="1:14" ht="29.1" customHeight="1" x14ac:dyDescent="0.2">
      <c r="A110" s="21"/>
      <c r="B110" s="9" t="s">
        <v>583</v>
      </c>
      <c r="C110" s="95">
        <v>3.9293999999999998</v>
      </c>
      <c r="D110" s="96" t="s">
        <v>122</v>
      </c>
      <c r="E110" s="21"/>
      <c r="F110" s="18"/>
      <c r="G110" s="25"/>
    </row>
    <row r="111" spans="1:14" ht="29.1" customHeight="1" x14ac:dyDescent="0.2">
      <c r="A111" s="21"/>
      <c r="B111" s="9" t="s">
        <v>572</v>
      </c>
      <c r="C111" s="95">
        <v>5.3109000000000002</v>
      </c>
      <c r="D111" s="96" t="s">
        <v>122</v>
      </c>
      <c r="E111" s="21"/>
      <c r="F111" s="18"/>
      <c r="G111" s="25"/>
    </row>
    <row r="112" spans="1:14" ht="14.1" customHeight="1" x14ac:dyDescent="0.2">
      <c r="A112" s="21"/>
      <c r="B112" s="29"/>
      <c r="C112" s="29"/>
      <c r="D112" s="30"/>
      <c r="E112" s="21"/>
      <c r="F112" s="18"/>
      <c r="G112" s="25"/>
    </row>
    <row r="113" spans="1:7" ht="29.1" customHeight="1" x14ac:dyDescent="0.2">
      <c r="A113" s="21"/>
      <c r="B113" s="114" t="s">
        <v>123</v>
      </c>
      <c r="C113" s="115"/>
      <c r="D113" s="2" t="s">
        <v>111</v>
      </c>
      <c r="E113" s="21"/>
      <c r="F113" s="21"/>
      <c r="G113" s="21"/>
    </row>
    <row r="114" spans="1:7" ht="29.1" customHeight="1" x14ac:dyDescent="0.2">
      <c r="A114" s="21"/>
      <c r="B114" s="114" t="s">
        <v>124</v>
      </c>
      <c r="C114" s="115"/>
      <c r="D114" s="2" t="s">
        <v>111</v>
      </c>
      <c r="E114" s="31"/>
      <c r="F114" s="21"/>
      <c r="G114" s="21"/>
    </row>
    <row r="115" spans="1:7" ht="17.100000000000001" customHeight="1" x14ac:dyDescent="0.2">
      <c r="A115" s="21"/>
      <c r="B115" s="114" t="s">
        <v>499</v>
      </c>
      <c r="C115" s="115"/>
      <c r="D115" s="2" t="s">
        <v>111</v>
      </c>
      <c r="E115" s="31"/>
      <c r="F115" s="21"/>
      <c r="G115" s="21"/>
    </row>
    <row r="117" spans="1:7" x14ac:dyDescent="0.2">
      <c r="B117" s="111" t="s">
        <v>500</v>
      </c>
      <c r="C117" s="112"/>
      <c r="D117" s="113"/>
    </row>
    <row r="118" spans="1:7" ht="25.5" x14ac:dyDescent="0.2">
      <c r="B118" s="117" t="s">
        <v>501</v>
      </c>
      <c r="C118" s="117"/>
      <c r="D118" s="41" t="s">
        <v>451</v>
      </c>
    </row>
    <row r="119" spans="1:7" x14ac:dyDescent="0.2">
      <c r="B119" s="117" t="s">
        <v>502</v>
      </c>
      <c r="C119" s="117"/>
      <c r="D119" s="68"/>
    </row>
    <row r="120" spans="1:7" x14ac:dyDescent="0.2">
      <c r="B120" s="117"/>
      <c r="C120" s="117"/>
      <c r="D120" s="43"/>
    </row>
    <row r="121" spans="1:7" x14ac:dyDescent="0.2">
      <c r="B121" s="117" t="s">
        <v>503</v>
      </c>
      <c r="C121" s="117"/>
      <c r="D121" s="32">
        <v>6.7734061756574295</v>
      </c>
    </row>
    <row r="122" spans="1:7" x14ac:dyDescent="0.2">
      <c r="B122" s="117"/>
      <c r="C122" s="117"/>
      <c r="D122" s="43"/>
    </row>
    <row r="123" spans="1:7" x14ac:dyDescent="0.2">
      <c r="B123" s="117" t="s">
        <v>558</v>
      </c>
      <c r="C123" s="117"/>
      <c r="D123" s="32">
        <v>3</v>
      </c>
    </row>
    <row r="124" spans="1:7" x14ac:dyDescent="0.2">
      <c r="B124" s="117" t="s">
        <v>559</v>
      </c>
      <c r="C124" s="117"/>
      <c r="D124" s="32">
        <v>3</v>
      </c>
    </row>
    <row r="125" spans="1:7" x14ac:dyDescent="0.2">
      <c r="B125" s="117"/>
      <c r="C125" s="117"/>
      <c r="D125" s="43"/>
    </row>
    <row r="126" spans="1:7" x14ac:dyDescent="0.2">
      <c r="B126" s="117" t="s">
        <v>506</v>
      </c>
      <c r="C126" s="117"/>
      <c r="D126" s="44">
        <v>45107</v>
      </c>
    </row>
    <row r="127" spans="1:7" x14ac:dyDescent="0.2">
      <c r="B127" s="118" t="s">
        <v>507</v>
      </c>
      <c r="C127" s="119"/>
      <c r="D127" s="120"/>
    </row>
  </sheetData>
  <mergeCells count="25">
    <mergeCell ref="B114:C114"/>
    <mergeCell ref="J2:N2"/>
    <mergeCell ref="B126:C126"/>
    <mergeCell ref="B127:D127"/>
    <mergeCell ref="B121:C121"/>
    <mergeCell ref="B122:C122"/>
    <mergeCell ref="B123:C123"/>
    <mergeCell ref="B124:C124"/>
    <mergeCell ref="B125:C125"/>
    <mergeCell ref="B117:D117"/>
    <mergeCell ref="B119:C119"/>
    <mergeCell ref="B120:C120"/>
    <mergeCell ref="B78:F78"/>
    <mergeCell ref="B79:F79"/>
    <mergeCell ref="B115:C115"/>
    <mergeCell ref="B118:C118"/>
    <mergeCell ref="A1:H1"/>
    <mergeCell ref="A2:H2"/>
    <mergeCell ref="A3:H3"/>
    <mergeCell ref="B113:C113"/>
    <mergeCell ref="B82:C82"/>
    <mergeCell ref="B83:C83"/>
    <mergeCell ref="B84:C84"/>
    <mergeCell ref="B102:C102"/>
    <mergeCell ref="B81:D81"/>
  </mergeCells>
  <hyperlinks>
    <hyperlink ref="I1" location="Index!B11" display="Index" xr:uid="{CAC45EF1-DB87-4606-AB45-4330F660C91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2023-07-01T03:45:12Z</dcterms:created>
  <dcterms:modified xsi:type="dcterms:W3CDTF">2023-07-03T12:13:59Z</dcterms:modified>
</cp:coreProperties>
</file>