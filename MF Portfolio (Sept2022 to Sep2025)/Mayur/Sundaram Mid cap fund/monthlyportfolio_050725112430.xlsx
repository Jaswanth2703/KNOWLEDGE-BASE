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X:\DEBT_BACKOFFICE\Debt_Factsheets\2025 - Fortnightly Portfolio\30 Jun 2025\Working\"/>
    </mc:Choice>
  </mc:AlternateContent>
  <xr:revisionPtr revIDLastSave="0" documentId="13_ncr:1_{5933D8E1-F589-4CDD-B079-ADEBE69F0F0A}" xr6:coauthVersionLast="47" xr6:coauthVersionMax="47" xr10:uidLastSave="{00000000-0000-0000-0000-000000000000}"/>
  <bookViews>
    <workbookView xWindow="-120" yWindow="-120" windowWidth="24240" windowHeight="13020" tabRatio="837" xr2:uid="{7847365E-7684-4E5E-A8F6-7F403CED38C4}"/>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2" i="1" l="1"/>
  <c r="F111" i="1"/>
  <c r="F108" i="2"/>
  <c r="F109" i="2"/>
  <c r="F125" i="3"/>
  <c r="F126" i="3"/>
  <c r="G105" i="4"/>
  <c r="F105" i="4"/>
  <c r="F106" i="4"/>
  <c r="F147" i="5"/>
  <c r="G146" i="5" s="1"/>
  <c r="F146" i="5"/>
  <c r="F100" i="6"/>
  <c r="F99" i="6"/>
  <c r="F140" i="7"/>
  <c r="F139" i="7"/>
  <c r="F143" i="7" s="1"/>
  <c r="F138" i="7"/>
  <c r="F137" i="7"/>
  <c r="F86" i="8"/>
  <c r="F85" i="8"/>
  <c r="F98" i="9"/>
  <c r="F72" i="10"/>
  <c r="F71" i="10"/>
  <c r="J150" i="9" l="1"/>
  <c r="F13" i="9"/>
  <c r="F30" i="9" s="1"/>
  <c r="F48" i="9" s="1"/>
  <c r="G123" i="8"/>
  <c r="H179" i="7"/>
  <c r="H178" i="7"/>
  <c r="H177" i="7"/>
  <c r="H176" i="7"/>
  <c r="I185" i="7"/>
  <c r="F185" i="7"/>
  <c r="F8" i="7"/>
  <c r="F25" i="7" s="1"/>
  <c r="F142" i="7" s="1"/>
  <c r="I162" i="6"/>
  <c r="J162" i="6" s="1"/>
  <c r="I161" i="6"/>
  <c r="J161" i="6" s="1"/>
  <c r="I160" i="6"/>
  <c r="J160" i="6" s="1"/>
  <c r="G160" i="6"/>
  <c r="I159" i="6"/>
  <c r="J159" i="6" s="1"/>
  <c r="I185" i="5"/>
  <c r="F185" i="5"/>
  <c r="F8" i="5"/>
  <c r="F25" i="5" s="1"/>
  <c r="I167" i="4"/>
  <c r="F167" i="4"/>
  <c r="I162" i="4"/>
  <c r="J162" i="4" s="1"/>
  <c r="I161" i="4"/>
  <c r="J161" i="4" s="1"/>
  <c r="I160" i="4"/>
  <c r="J160" i="4" s="1"/>
  <c r="F8" i="4"/>
  <c r="F25" i="4" s="1"/>
  <c r="G89" i="9"/>
  <c r="F89" i="9"/>
  <c r="F99" i="9" s="1"/>
  <c r="G98" i="9" s="1"/>
  <c r="G76" i="8"/>
  <c r="F76" i="8"/>
  <c r="G127" i="7"/>
  <c r="F127" i="7"/>
  <c r="G90" i="6"/>
  <c r="F90" i="6"/>
  <c r="G137" i="5"/>
  <c r="F137" i="5"/>
  <c r="G96" i="4"/>
  <c r="F96" i="4"/>
  <c r="G116" i="3"/>
  <c r="F116" i="3"/>
  <c r="G99" i="2"/>
  <c r="F99" i="2"/>
  <c r="G102" i="1"/>
  <c r="F102" i="1"/>
  <c r="G13" i="9" l="1"/>
  <c r="G30" i="9" s="1"/>
  <c r="G48" i="9" s="1"/>
  <c r="G99" i="9" s="1"/>
  <c r="G142" i="7"/>
  <c r="G143" i="7" s="1"/>
</calcChain>
</file>

<file path=xl/sharedStrings.xml><?xml version="1.0" encoding="utf-8"?>
<sst xmlns="http://schemas.openxmlformats.org/spreadsheetml/2006/main" count="3454" uniqueCount="756">
  <si>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</si>
  <si>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</si>
  <si>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</si>
  <si>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</si>
  <si>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</si>
  <si>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</si>
  <si>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</si>
  <si>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</si>
  <si>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</si>
  <si>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</si>
  <si>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</si>
  <si>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</si>
  <si>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</si>
  <si>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</si>
  <si>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</si>
  <si>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</si>
  <si>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</si>
  <si>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</si>
  <si>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</si>
  <si>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</si>
  <si>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</si>
  <si>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</si>
  <si>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</si>
  <si>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</si>
  <si>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</si>
  <si>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</si>
  <si>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</si>
  <si>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</si>
  <si>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</si>
  <si>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</si>
  <si>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</si>
  <si>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</si>
  <si>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</si>
  <si>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INE040A08930</t>
  </si>
  <si>
    <t>HDFC Bank Ltd (Prev HDFC Ltd) - 7.65% - 25/05/2033**</t>
  </si>
  <si>
    <t>INE261F08EH1</t>
  </si>
  <si>
    <t>National Bank for Agriculture &amp; Rural Development - 7.62% - 10/05/2029**</t>
  </si>
  <si>
    <t>INE020B08EK4</t>
  </si>
  <si>
    <t>REC LTD - 7.46% - 30/06/2028</t>
  </si>
  <si>
    <t>INE053F08304</t>
  </si>
  <si>
    <t>Indian Railway Finance Corporation Ltd - 7.23% - 15/10/2026**</t>
  </si>
  <si>
    <t>INE020B08EL2</t>
  </si>
  <si>
    <t>REC LTD - 7.44% - 30/04/2026**</t>
  </si>
  <si>
    <t>INE134E08MX3</t>
  </si>
  <si>
    <t>Power Finance Corporation Ltd - 7.6% - 13/04/2029**</t>
  </si>
  <si>
    <t>INE242A08544</t>
  </si>
  <si>
    <t>Indian Oil Corporation Ltd - 7.44% - 25/11/2027**</t>
  </si>
  <si>
    <t>INE296A07SV1</t>
  </si>
  <si>
    <t>Bajaj Finance Ltd - 7.82% - 31/01/2034**</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</si>
  <si>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</si>
  <si>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</si>
  <si>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</si>
  <si>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</si>
  <si>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</si>
  <si>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</si>
  <si>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</si>
  <si>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</si>
  <si>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INE134E08IO0</t>
  </si>
  <si>
    <t>Power Finance Corporation Ltd - 7.23% - 05/01/2027**</t>
  </si>
  <si>
    <t>INE752E08783</t>
  </si>
  <si>
    <t>Power Grid Corporation of India Ltd - 6.94% - 15/04/2035**</t>
  </si>
  <si>
    <t>INE0KUG08084</t>
  </si>
  <si>
    <t>National Bank for Financing Infrastructure and Development - 7.04% - 07/04/2035**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</si>
  <si>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</si>
  <si>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</si>
  <si>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</si>
  <si>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</si>
  <si>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</si>
  <si>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</si>
  <si>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</si>
  <si>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</si>
  <si>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</si>
  <si>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</si>
  <si>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</si>
  <si>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</si>
  <si>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</si>
  <si>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</si>
  <si>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</si>
  <si>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</si>
  <si>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</si>
  <si>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</si>
  <si>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</si>
  <si>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IN0020230135</t>
  </si>
  <si>
    <t>7.32% Government Securities-13/11/2030</t>
  </si>
  <si>
    <t>IN3120240400</t>
  </si>
  <si>
    <t>6.96% Tamil Nadu State Government Securities - 04/12/2028</t>
  </si>
  <si>
    <t>IN0020230051</t>
  </si>
  <si>
    <t>7.30% Government Securities - 19/06/2053</t>
  </si>
  <si>
    <t>IN0020230077</t>
  </si>
  <si>
    <t>7.18%  Government Securities - 24/07/2037</t>
  </si>
  <si>
    <t>IN0020230101</t>
  </si>
  <si>
    <t>7.37% Government Securities-23/10/2028</t>
  </si>
  <si>
    <t>IN0020250026</t>
  </si>
  <si>
    <t>6.33% Central Government Securities 05/05/2035</t>
  </si>
  <si>
    <t>IN0020250018</t>
  </si>
  <si>
    <t>6.90% Central Government Securities 15/04/2065</t>
  </si>
  <si>
    <t>IN0020240019</t>
  </si>
  <si>
    <t>7.10% Central Government Securities 08/04/2034</t>
  </si>
  <si>
    <t>(d) Securitized Debt Instruments</t>
  </si>
  <si>
    <t>Total for Debt Instruments</t>
  </si>
  <si>
    <t>C) Money Market Instruments</t>
  </si>
  <si>
    <t>(a) Certificate of Deposits</t>
  </si>
  <si>
    <t>INE028A16HY6</t>
  </si>
  <si>
    <t>Bank of Baroda - 12/12/2025</t>
  </si>
  <si>
    <t>IND A1+</t>
  </si>
  <si>
    <t>INE692A16II0</t>
  </si>
  <si>
    <t>Union Bank of India - 18/12/2025</t>
  </si>
  <si>
    <t>ICRA A1+</t>
  </si>
  <si>
    <t>INE562A16NQ8</t>
  </si>
  <si>
    <t>Indian Bank - 04/12/2025</t>
  </si>
  <si>
    <t>CRISIL A1+</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</si>
  <si>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</si>
  <si>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</si>
  <si>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</si>
  <si>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</si>
  <si>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</si>
  <si>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</si>
  <si>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</si>
  <si>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</si>
  <si>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</si>
  <si>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</si>
  <si>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</si>
  <si>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</si>
  <si>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</si>
  <si>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</si>
  <si>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</si>
  <si>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</si>
  <si>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</si>
  <si>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</si>
  <si>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</si>
  <si>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</si>
  <si>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</si>
  <si>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</si>
  <si>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</si>
  <si>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</si>
  <si>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</si>
  <si>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</si>
  <si>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</si>
  <si>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</si>
  <si>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</si>
  <si>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</si>
  <si>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</si>
  <si>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</si>
  <si>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</si>
  <si>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</si>
  <si>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</si>
  <si>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</si>
  <si>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</si>
  <si>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</si>
  <si>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</si>
  <si>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</si>
  <si>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</si>
  <si>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</si>
  <si>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</si>
  <si>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</si>
  <si>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</si>
  <si>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</si>
  <si>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</si>
  <si>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INE261F08EO7</t>
  </si>
  <si>
    <t>National Bank for Agriculture &amp; Rural Development - 7.48% - 15/09/2028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</si>
  <si>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</si>
  <si>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</si>
  <si>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</si>
  <si>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</si>
  <si>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</si>
  <si>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</si>
  <si>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IN0020240027</t>
  </si>
  <si>
    <t>7.23% Central Government Securities 15/04/2039</t>
  </si>
  <si>
    <t>IN0020240050</t>
  </si>
  <si>
    <t>7.04% Central Government Securities 03/06/2029</t>
  </si>
  <si>
    <t>INE562A16ON3</t>
  </si>
  <si>
    <t>Indian Bank - 25/03/2026**</t>
  </si>
  <si>
    <t>INE514E16CJ9</t>
  </si>
  <si>
    <t>Export Import Bank of India - 04/03/2026**</t>
  </si>
  <si>
    <t>INE040A16GE5</t>
  </si>
  <si>
    <t>HDFC Bank Ltd - 04/02/2026</t>
  </si>
  <si>
    <t>INE514E16CK7</t>
  </si>
  <si>
    <t>Export Import Bank of India - 20/03/2026**</t>
  </si>
  <si>
    <t>Direct Plan - Bonus</t>
  </si>
  <si>
    <t>Regular Plan - Bonus</t>
  </si>
  <si>
    <t>Sundaram Money Market Fund</t>
  </si>
  <si>
    <t>IN3120160053</t>
  </si>
  <si>
    <t>8.07% Tamil Nadu State Development Loan - 15/06/2026</t>
  </si>
  <si>
    <t>IN3120150187</t>
  </si>
  <si>
    <t>8.38% Tamil Nadu State Development Loan - 27/01/2026</t>
  </si>
  <si>
    <t>INE160A16RK5</t>
  </si>
  <si>
    <t>Punjab National Bank - 18/03/2026**</t>
  </si>
  <si>
    <t>INE040A16GS5</t>
  </si>
  <si>
    <t>HDFC Bank Ltd - 24/03/2026</t>
  </si>
  <si>
    <t>INE562A16OG7</t>
  </si>
  <si>
    <t>Indian Bank - 06/03/2026**</t>
  </si>
  <si>
    <t>INE237A168Z9</t>
  </si>
  <si>
    <t>Kotak Mahindra Bank Ltd - 19/03/2026**</t>
  </si>
  <si>
    <t>INE476A16B64</t>
  </si>
  <si>
    <t>Canara Bank - 18/03/2026**</t>
  </si>
  <si>
    <t>INE556F16BG5</t>
  </si>
  <si>
    <t>Small Industries Development Bank of India - 26/03/2026</t>
  </si>
  <si>
    <t>INE261F16967</t>
  </si>
  <si>
    <t>National Bank for Agriculture &amp; Rural Development - 27/02/2026**</t>
  </si>
  <si>
    <t>INE556F16BB6</t>
  </si>
  <si>
    <t>Small Industries Development Bank of India - 27/02/2026**</t>
  </si>
  <si>
    <t>INE238AD6AM2</t>
  </si>
  <si>
    <t>Axis Bank Ltd - 04/02/2026**</t>
  </si>
  <si>
    <t>INE949L16CY1</t>
  </si>
  <si>
    <t>AU Small Finance Bank Ltd - 28/10/2025**</t>
  </si>
  <si>
    <t>INE095A16X85</t>
  </si>
  <si>
    <t>IndusInd Bank Ltd - 05/12/2025**</t>
  </si>
  <si>
    <t>INE238AD6AX9</t>
  </si>
  <si>
    <t>Axis Bank Ltd - 16/12/2025</t>
  </si>
  <si>
    <t>INE562A16OA0</t>
  </si>
  <si>
    <t>Indian Bank - 04/02/2026**</t>
  </si>
  <si>
    <t>INE261F16934</t>
  </si>
  <si>
    <t>National Bank for Agriculture &amp; Rural Development - 05/02/2026**</t>
  </si>
  <si>
    <t>INE084A16DC4</t>
  </si>
  <si>
    <t>Bank of India - 06/02/2026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</si>
  <si>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</si>
  <si>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</si>
  <si>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</si>
  <si>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</si>
  <si>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</si>
  <si>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</si>
  <si>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</si>
  <si>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</si>
  <si>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INE238AD6AN0</t>
  </si>
  <si>
    <t>Axis Bank Ltd - 04/03/2026**</t>
  </si>
  <si>
    <t>INE237A167Z1</t>
  </si>
  <si>
    <t>Kotak Mahindra Bank Ltd - 13/03/2026**</t>
  </si>
  <si>
    <t>INE476A16B31</t>
  </si>
  <si>
    <t>Canara Bank - 13/03/2026**</t>
  </si>
  <si>
    <t>INE040A16GW7</t>
  </si>
  <si>
    <t>HDFC Bank Ltd - 19/05/2026**</t>
  </si>
  <si>
    <t>INE238AD6AT7</t>
  </si>
  <si>
    <t>Axis Bank Ltd - 11/06/2026**</t>
  </si>
  <si>
    <t>INE040A16HB9</t>
  </si>
  <si>
    <t>HDFC Bank Ltd - 24/06/2026</t>
  </si>
  <si>
    <t>INE476A16ZT9</t>
  </si>
  <si>
    <t>Canara Bank - 18/12/2025</t>
  </si>
  <si>
    <t>INE092T16XX1</t>
  </si>
  <si>
    <t>IDFC First Bank Ltd - 23/01/2026**</t>
  </si>
  <si>
    <t>INE476A16A65</t>
  </si>
  <si>
    <t>Canara Bank - 24/02/2026**</t>
  </si>
  <si>
    <t>INE261F16AA7</t>
  </si>
  <si>
    <t>National Bank for Agriculture &amp; Rural Development - 25/03/2026**</t>
  </si>
  <si>
    <t>INE556F16BA8</t>
  </si>
  <si>
    <t>Small Industries Development Bank of India - 06/02/2026**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</si>
  <si>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</si>
  <si>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</si>
  <si>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</si>
  <si>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</si>
  <si>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</si>
  <si>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</si>
  <si>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</si>
  <si>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</si>
  <si>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</si>
  <si>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</si>
  <si>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</si>
  <si>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</si>
  <si>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</si>
  <si>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</si>
  <si>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</si>
  <si>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</si>
  <si>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</si>
  <si>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</si>
  <si>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INE790I14GC7</t>
  </si>
  <si>
    <t>HSBC InvestDirect Financial Services India Limited - 13/02/2026**</t>
  </si>
  <si>
    <t>INE572E14JM1</t>
  </si>
  <si>
    <t>PNB Housing Finance Ltd - 25/09/2025**</t>
  </si>
  <si>
    <t>INE121A14XG8</t>
  </si>
  <si>
    <t>Cholamandalam Investment and Finance Company Ltd - 14/11/2025**</t>
  </si>
  <si>
    <t>INE007N14EB3</t>
  </si>
  <si>
    <t>Fedbank Financial Services Ltd - 05/12/2025**</t>
  </si>
  <si>
    <t>INE338I14JF2</t>
  </si>
  <si>
    <t>Motilal Oswal Financial Services Ltd - 06/02/2026**</t>
  </si>
  <si>
    <t>INE144H14HM6</t>
  </si>
  <si>
    <t>Deutsche Investments India Private Ltd - 09/09/2025**</t>
  </si>
  <si>
    <t>INE121A14XK0</t>
  </si>
  <si>
    <t>Cholamandalam Investment and Finance Company Ltd - 22/05/2026**</t>
  </si>
  <si>
    <t>IN002024Z453</t>
  </si>
  <si>
    <t>364 Days - T Bill - 20/02/2026</t>
  </si>
  <si>
    <t>Sundaram Low Duration Fund</t>
  </si>
  <si>
    <t>INE721A07SB0</t>
  </si>
  <si>
    <t>Shriram Finance Ltd - 9.2% - 22/05/2026**</t>
  </si>
  <si>
    <t>CRISIL AA+</t>
  </si>
  <si>
    <t>INE477A07373</t>
  </si>
  <si>
    <t>Can Fin Homes Ltd - 8.45% - 27/05/2026**</t>
  </si>
  <si>
    <t>IND AA+</t>
  </si>
  <si>
    <t>INE020B08ED9</t>
  </si>
  <si>
    <t>REC LTD - 7.56% - 30/06/2026**</t>
  </si>
  <si>
    <t>INE403D08181</t>
  </si>
  <si>
    <t>Bharti Telecom Ltd - 8.9% - 04/12/2025**</t>
  </si>
  <si>
    <t>INE572E07183</t>
  </si>
  <si>
    <t>PNB Housing Finance Ltd - 8.15% - 29/07/2027**</t>
  </si>
  <si>
    <t>INE134E08IE1</t>
  </si>
  <si>
    <t>Power Finance Corporation Ltd - 8.03% - 02/05/2026**</t>
  </si>
  <si>
    <t>INE523H07CB9</t>
  </si>
  <si>
    <t>JM Financial Products Ltd - 8.92% - 16/11/2026**</t>
  </si>
  <si>
    <t>CRISIL AA</t>
  </si>
  <si>
    <t>INE414G07II5</t>
  </si>
  <si>
    <t>Muthoot Finance Ltd - 8.4% - 28/08/2028**</t>
  </si>
  <si>
    <t>INE414G07HI7</t>
  </si>
  <si>
    <t>Muthoot Finance Ltd - 8.3% - 06/01/2026**</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</si>
  <si>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</si>
  <si>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</si>
  <si>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</si>
  <si>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</si>
  <si>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</si>
  <si>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</si>
  <si>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</si>
  <si>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</si>
  <si>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ICRA AA+</t>
  </si>
  <si>
    <t>INE414G07JL7</t>
  </si>
  <si>
    <t>Muthoot Finance Ltd - 8.65% - 31/01/2028**</t>
  </si>
  <si>
    <t>IN0020220037</t>
  </si>
  <si>
    <t>7.38% Central Government Securities 20/06/2027</t>
  </si>
  <si>
    <t>INE092T16YI0</t>
  </si>
  <si>
    <t>IDFC First Bank Ltd - 25/05/2026**</t>
  </si>
  <si>
    <t>INE040A16GF2</t>
  </si>
  <si>
    <t>HDFC Bank Ltd - 06/02/2026**</t>
  </si>
  <si>
    <t>INE261F16983</t>
  </si>
  <si>
    <t>National Bank for Agriculture &amp; Rural Development - 13/03/2026</t>
  </si>
  <si>
    <t>Sundaram Liquid Fund</t>
  </si>
  <si>
    <t>INE115A07PZ0</t>
  </si>
  <si>
    <t>LIC Housing Finance Ltd - 7.38% - 18/08/2025**</t>
  </si>
  <si>
    <t>INE414G07HT4</t>
  </si>
  <si>
    <t>Muthoot Finance Ltd - 8.6% - 25/08/2025**</t>
  </si>
  <si>
    <t>INE134E08LO4</t>
  </si>
  <si>
    <t>Power Finance Corporation Ltd - 7.13% - 08/08/2025**</t>
  </si>
  <si>
    <t>INE160A16RV2</t>
  </si>
  <si>
    <t>Punjab National Bank - 14/08/2025</t>
  </si>
  <si>
    <t>INE160A16SE6</t>
  </si>
  <si>
    <t>Punjab National Bank - 04/09/2025**</t>
  </si>
  <si>
    <t>INE476A16D13</t>
  </si>
  <si>
    <t>Canara Bank - 23/09/2025**</t>
  </si>
  <si>
    <t>INE092T16YM2</t>
  </si>
  <si>
    <t>IDFC First Bank Ltd - 23/09/2025**</t>
  </si>
  <si>
    <t>INE238AD6918</t>
  </si>
  <si>
    <t>Axis Bank Ltd - 09/09/2025**</t>
  </si>
  <si>
    <t>INE565A16BB8</t>
  </si>
  <si>
    <t>Indian Overseas Bank - 22/08/2025**</t>
  </si>
  <si>
    <t>CARE A1+</t>
  </si>
  <si>
    <t>INE476A16C22</t>
  </si>
  <si>
    <t>Canara Bank - 26/08/2025</t>
  </si>
  <si>
    <t>INE028A16IX6</t>
  </si>
  <si>
    <t>Bank of Baroda - 03/09/2025**</t>
  </si>
  <si>
    <t>INE565A16BD4</t>
  </si>
  <si>
    <t>Indian Overseas Bank - 09/09/2025**</t>
  </si>
  <si>
    <t>INE040A16FM0</t>
  </si>
  <si>
    <t>HDFC Bank Ltd - 19/09/2025</t>
  </si>
  <si>
    <t>INE562A16OU8</t>
  </si>
  <si>
    <t>Indian Bank - 14/08/2025**</t>
  </si>
  <si>
    <t>INE028A16IY4</t>
  </si>
  <si>
    <t>Bank of Baroda - 04/09/2025**</t>
  </si>
  <si>
    <t>INE238AD6900</t>
  </si>
  <si>
    <t>Axis Bank Ltd - 04/09/2025**</t>
  </si>
  <si>
    <t>INE160A16SI7</t>
  </si>
  <si>
    <t>Punjab National Bank - 17/09/2025</t>
  </si>
  <si>
    <t>INE028A16JB0</t>
  </si>
  <si>
    <t>Bank of Baroda - 18/09/2025**</t>
  </si>
  <si>
    <t>INE476A16C71</t>
  </si>
  <si>
    <t>Canara Bank - 18/09/2025**</t>
  </si>
  <si>
    <t>INE238AD6868</t>
  </si>
  <si>
    <t>Axis Bank Ltd - 15/07/2025</t>
  </si>
  <si>
    <t>INE237A162Y5</t>
  </si>
  <si>
    <t>Kotak Mahindra Bank Ltd - 22/08/2025**</t>
  </si>
  <si>
    <t>INE040A16FJ6</t>
  </si>
  <si>
    <t>HDFC Bank Ltd - 22/08/2025**</t>
  </si>
  <si>
    <t>INE476A16C06</t>
  </si>
  <si>
    <t>Canara Bank - 22/08/2025**</t>
  </si>
  <si>
    <t>INE084A16DT8</t>
  </si>
  <si>
    <t>Bank of India - 10/09/2025**</t>
  </si>
  <si>
    <t>INE692A16JN8</t>
  </si>
  <si>
    <t>Union Bank of India - 23/09/2025**</t>
  </si>
  <si>
    <t>INE238AD6876</t>
  </si>
  <si>
    <t>Axis Bank Ltd - 16/07/2025**</t>
  </si>
  <si>
    <t>INE562A16NH7</t>
  </si>
  <si>
    <t>Indian Bank - 20/08/2025**</t>
  </si>
  <si>
    <t>INE110L14TM4</t>
  </si>
  <si>
    <t>Reliance Jio Infocomm Ltd - 16/07/2025**</t>
  </si>
  <si>
    <t>INE929O14DK9</t>
  </si>
  <si>
    <t>Reliance Retail Ventures Ltd - 14/08/2025**</t>
  </si>
  <si>
    <t>INE763G14YG2</t>
  </si>
  <si>
    <t>ICICI Securities Ltd - 08/08/2025**</t>
  </si>
  <si>
    <t>INE763G14YI8</t>
  </si>
  <si>
    <t>ICICI Securities Ltd - 12/08/2025**</t>
  </si>
  <si>
    <t>INE700G14OG5</t>
  </si>
  <si>
    <t>HDFC Securities Ltd - 13/08/2025**</t>
  </si>
  <si>
    <t>INE289B14JR7</t>
  </si>
  <si>
    <t>GIC Housing Finance Ltd - 26/08/2025**</t>
  </si>
  <si>
    <t>INE790I14FZ0</t>
  </si>
  <si>
    <t>HSBC InvestDirect Financial Services India Limited - 26/08/2025**</t>
  </si>
  <si>
    <t>INE002A14LJ9</t>
  </si>
  <si>
    <t>Reliance Industries Ltd - 08/09/2025**</t>
  </si>
  <si>
    <t>INE556F14LF1</t>
  </si>
  <si>
    <t>Small Industries Development Bank of India - 08/09/2025**</t>
  </si>
  <si>
    <t>INE110L14TU7</t>
  </si>
  <si>
    <t>Reliance Jio Infocomm Ltd - 12/09/2025**</t>
  </si>
  <si>
    <t>INE261F14NZ2</t>
  </si>
  <si>
    <t>National Bank for Agriculture &amp; Rural Development - 17/09/2025**</t>
  </si>
  <si>
    <t>INE982D14BF5</t>
  </si>
  <si>
    <t>Godrej &amp; Boyce Mfg Co Ltd - 16/09/2025**</t>
  </si>
  <si>
    <t>INE09OL14HQ2</t>
  </si>
  <si>
    <t>Birla Group Holdings Pvt Ltd - 22/09/2025**</t>
  </si>
  <si>
    <t>INE071G14GR4</t>
  </si>
  <si>
    <t>ICICI Home Finance Company Ltd - 16/07/2025**</t>
  </si>
  <si>
    <t>INE071G14GU8</t>
  </si>
  <si>
    <t>ICICI Home Finance Company Ltd - 14/08/2025**</t>
  </si>
  <si>
    <t>INE912E14MD2</t>
  </si>
  <si>
    <t>SBI FACTORS LTD - 20/08/2025**</t>
  </si>
  <si>
    <t>INE870H14VF1</t>
  </si>
  <si>
    <t>Network18 Media &amp; Investments Ltd - 28/08/2025**</t>
  </si>
  <si>
    <t>INE912E14MF7</t>
  </si>
  <si>
    <t>SBI FACTORS LTD - 28/08/2025**</t>
  </si>
  <si>
    <t>INE763G14YW9</t>
  </si>
  <si>
    <t>ICICI Securities Ltd - 04/09/2025**</t>
  </si>
  <si>
    <t>INE233A142N4</t>
  </si>
  <si>
    <t>Godrej Industries Ltd - 16/09/2025**</t>
  </si>
  <si>
    <t>INE245A14JY7</t>
  </si>
  <si>
    <t>TATA Power Company Ltd - 18/09/2025**</t>
  </si>
  <si>
    <t>INE103A14447</t>
  </si>
  <si>
    <t>Mangalore Refinery and Petrochemicals Ltd - 24/07/2025**</t>
  </si>
  <si>
    <t>INE338I14KD5</t>
  </si>
  <si>
    <t>Motilal Oswal Financial Services Ltd - 08/08/2025**</t>
  </si>
  <si>
    <t>INE01C314BP1</t>
  </si>
  <si>
    <t>Bajaj Financial Securities Ltd - 13/08/2025**</t>
  </si>
  <si>
    <t>INE572E14JU4</t>
  </si>
  <si>
    <t>PNB Housing Finance Ltd - 18/08/2025**</t>
  </si>
  <si>
    <t>INE261F14NT5</t>
  </si>
  <si>
    <t>National Bank for Agriculture &amp; Rural Development - 22/08/2025**</t>
  </si>
  <si>
    <t>INE144H14HO2</t>
  </si>
  <si>
    <t>Deutsche Investments India Private Ltd - 19/08/2025**</t>
  </si>
  <si>
    <t>INE850D14TZ4</t>
  </si>
  <si>
    <t>Godrej Agrovet Ltd - 26/08/2025**</t>
  </si>
  <si>
    <t>INE865C14NT0</t>
  </si>
  <si>
    <t>Aditya Birla Money Ltd - 25/08/2025**</t>
  </si>
  <si>
    <t>INE975F14A50</t>
  </si>
  <si>
    <t>Kotak Mahindra Investments Ltd - 29/08/2025**</t>
  </si>
  <si>
    <t>INE261F14NU3</t>
  </si>
  <si>
    <t>National Bank for Agriculture &amp; Rural Development - 03/09/2025**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</si>
  <si>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</si>
  <si>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</si>
  <si>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</si>
  <si>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</si>
  <si>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</si>
  <si>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</si>
  <si>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</si>
  <si>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</si>
  <si>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INE027214852</t>
  </si>
  <si>
    <t>BOBCARD Ltd - 18/09/2025**</t>
  </si>
  <si>
    <t>INE700G14NW4</t>
  </si>
  <si>
    <t>HDFC Securities Ltd - 15/07/2025**</t>
  </si>
  <si>
    <t>INE338I14KF0</t>
  </si>
  <si>
    <t>Motilal Oswal Financial Services Ltd - 14/08/2025**</t>
  </si>
  <si>
    <t>INE417C14959</t>
  </si>
  <si>
    <t>Pilani Investment and Industries Corporation Ltd. - 22/08/2025**</t>
  </si>
  <si>
    <t>INE975F14B34</t>
  </si>
  <si>
    <t>Kotak Mahindra Investments Ltd - 08/09/2025**</t>
  </si>
  <si>
    <t>IN002024Z222</t>
  </si>
  <si>
    <t>364 Days - T Bill - 28/08/2025</t>
  </si>
  <si>
    <t>IN002024Y498</t>
  </si>
  <si>
    <t>182 Days - T Bill - 18/09/2025</t>
  </si>
  <si>
    <t>IN002024Z214</t>
  </si>
  <si>
    <t>364 Days - T Bill - 21/08/2025</t>
  </si>
  <si>
    <t>IN002024Y506</t>
  </si>
  <si>
    <t>182 Days - T Bill - 25/09/2025</t>
  </si>
  <si>
    <t>IN002025X059</t>
  </si>
  <si>
    <t>91 Days - T Bill - 01/08/2025</t>
  </si>
  <si>
    <t>IN002025X109</t>
  </si>
  <si>
    <t>91 Days - T Bill - 04/09/2025</t>
  </si>
  <si>
    <t>Sundaram Short Duration Fund</t>
  </si>
  <si>
    <t>INE134E08MJ2</t>
  </si>
  <si>
    <t>Power Finance Corporation Ltd - 7.77% - 15/04/2028**</t>
  </si>
  <si>
    <t>INE121A07RZ4</t>
  </si>
  <si>
    <t>Cholamandalam Investment and Finance Company Ltd - 8.54% - 12/04/2029**</t>
  </si>
  <si>
    <t>INE020B08EI8</t>
  </si>
  <si>
    <t>REC LTD - 7.51% - 31/07/2026**</t>
  </si>
  <si>
    <t>INE146O07557</t>
  </si>
  <si>
    <t>Hinduja Leyland Finance Ltd - 8.4% - 06/05/2027**</t>
  </si>
  <si>
    <t>INE134E08LP1</t>
  </si>
  <si>
    <t>Power Finance Corporation Ltd - 7.13% - 15/07/2026**</t>
  </si>
  <si>
    <t>INE115A07PI6</t>
  </si>
  <si>
    <t>LIC Housing Finance Ltd - 6.17% - 03/09/2026**</t>
  </si>
  <si>
    <t>IN3120230484</t>
  </si>
  <si>
    <t>7.44% Tamil Nadu State Government Securities -20/03/2034</t>
  </si>
  <si>
    <t>Sundaram Ultra Short Duration Fund</t>
  </si>
  <si>
    <t>INE071G07637</t>
  </si>
  <si>
    <t>ICICI Home Finance Company Ltd - 8.061% - 25/03/2026**</t>
  </si>
  <si>
    <t>INE756I07EJ2</t>
  </si>
  <si>
    <t>HDB Financial Services Ltd - 7.65% - 10/09/2027**</t>
  </si>
  <si>
    <t>INE756I07EI4</t>
  </si>
  <si>
    <t>HDB Financial Services Ltd - 7.5% - 23/09/2025**</t>
  </si>
  <si>
    <t>INE756I07EN4</t>
  </si>
  <si>
    <t>HDB Financial Services Ltd - 7.84% - 14/07/2026**</t>
  </si>
  <si>
    <t>INE121A07SN8</t>
  </si>
  <si>
    <t>Cholamandalam Investment and Finance Company Ltd - 7.38% - 28/05/2027**</t>
  </si>
  <si>
    <t>INE556F16AX2</t>
  </si>
  <si>
    <t>Small Industries Development Bank of India - 05/12/2025</t>
  </si>
  <si>
    <t>INE171A16MM9</t>
  </si>
  <si>
    <t>The Federal Bank Ltd - 28/11/2025**</t>
  </si>
  <si>
    <t>INE238AD6991</t>
  </si>
  <si>
    <t>Axis Bank Ltd - 12/11/2025**</t>
  </si>
  <si>
    <t>INE238AD6983</t>
  </si>
  <si>
    <t>Axis Bank Ltd - 13/11/2025**</t>
  </si>
  <si>
    <t>INE692A16IC3</t>
  </si>
  <si>
    <t>Union Bank of India - 04/12/2025**</t>
  </si>
  <si>
    <t>INE476A16ZQ5</t>
  </si>
  <si>
    <t>Canara Bank - 12/12/2025**</t>
  </si>
  <si>
    <t>INE476A16A24</t>
  </si>
  <si>
    <t>Canara Bank - 03/02/2026**</t>
  </si>
  <si>
    <t>INE095A16Y50</t>
  </si>
  <si>
    <t>IndusInd Bank Ltd - 04/02/2026**</t>
  </si>
  <si>
    <t>INE171A16MK3</t>
  </si>
  <si>
    <t>The Federal Bank Ltd - 25/11/2025**</t>
  </si>
  <si>
    <t>INE040A16FY5</t>
  </si>
  <si>
    <t>HDFC Bank Ltd - 04/12/2025</t>
  </si>
  <si>
    <t>INE160A16QM3</t>
  </si>
  <si>
    <t>Punjab National Bank - 05/12/2025**</t>
  </si>
  <si>
    <t>INE556F16AY0</t>
  </si>
  <si>
    <t>Small Industries Development Bank of India - 13/01/2026**</t>
  </si>
  <si>
    <t>INE261F16975</t>
  </si>
  <si>
    <t>National Bank for Agriculture &amp; Rural Development - 10/03/2026**</t>
  </si>
  <si>
    <t>INE556F16BD2</t>
  </si>
  <si>
    <t>Small Industries Development Bank of India - 11/03/2026**</t>
  </si>
  <si>
    <t>INE498L14EE2</t>
  </si>
  <si>
    <t>L &amp; T Finance Ltd - 09/06/2026**</t>
  </si>
  <si>
    <t>INE121A14XQ7</t>
  </si>
  <si>
    <t>Cholamandalam Investment and Finance Company Ltd - 28/05/2026**</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</si>
  <si>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</si>
  <si>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</si>
  <si>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</si>
  <si>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</si>
  <si>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</si>
  <si>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</si>
  <si>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</si>
  <si>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</si>
  <si>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</si>
  <si>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</si>
  <si>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</si>
  <si>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</si>
  <si>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</si>
  <si>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</si>
  <si>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</si>
  <si>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</si>
  <si>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</si>
  <si>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</si>
  <si>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</si>
  <si>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</si>
  <si>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</si>
  <si>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</si>
  <si>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</si>
  <si>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</si>
  <si>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</si>
  <si>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</si>
  <si>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</si>
  <si>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</si>
  <si>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</si>
  <si>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INE481G01011</t>
  </si>
  <si>
    <t>Ultratech Cement Ltd</t>
  </si>
  <si>
    <t>Cement &amp; Cement Products</t>
  </si>
  <si>
    <t>INE018A01030</t>
  </si>
  <si>
    <t>Larsen &amp; Toubro Ltd</t>
  </si>
  <si>
    <t>Construction</t>
  </si>
  <si>
    <t>INE237A01028</t>
  </si>
  <si>
    <t>Kotak Mahindra Bank Ltd</t>
  </si>
  <si>
    <t>INE196A01026</t>
  </si>
  <si>
    <t>Marico Ltd</t>
  </si>
  <si>
    <t>Agricultural Food &amp; Other Products</t>
  </si>
  <si>
    <t>INE797F01020</t>
  </si>
  <si>
    <t>Jubilant Foodworks Ltd</t>
  </si>
  <si>
    <t>Leisure Services</t>
  </si>
  <si>
    <t>INE917I01010</t>
  </si>
  <si>
    <t>Bajaj Auto Ltd</t>
  </si>
  <si>
    <t>Automobiles</t>
  </si>
  <si>
    <t>INE726G01019</t>
  </si>
  <si>
    <t>ICICI Prudential Life Insurance Company Ltd</t>
  </si>
  <si>
    <t>Insurance</t>
  </si>
  <si>
    <t>INE603J01030</t>
  </si>
  <si>
    <t>PI Industries Ltd</t>
  </si>
  <si>
    <t>Fertilizers &amp; Agrochemicals</t>
  </si>
  <si>
    <t>INE854D01024</t>
  </si>
  <si>
    <t>United Spirits Ltd</t>
  </si>
  <si>
    <t>Beverages</t>
  </si>
  <si>
    <t>INE047A01021</t>
  </si>
  <si>
    <t>Grasim Industries Ltd</t>
  </si>
  <si>
    <t>INE585B01010</t>
  </si>
  <si>
    <t>Maruti Suzuki India Ltd</t>
  </si>
  <si>
    <t>INE540L01014</t>
  </si>
  <si>
    <t>Alkem Laboratories Ltd</t>
  </si>
  <si>
    <t>Pharmaceuticals &amp; Biotechnology</t>
  </si>
  <si>
    <t>IN9397D01014</t>
  </si>
  <si>
    <t>IN0020240118</t>
  </si>
  <si>
    <t>7.09% Central Government Securities 05/08/2054</t>
  </si>
  <si>
    <t>Sundaram Overnight Fund</t>
  </si>
  <si>
    <t>IN002025X026</t>
  </si>
  <si>
    <t>91 Days - T Bill - 11/07/2025</t>
  </si>
  <si>
    <t>IN002025X034</t>
  </si>
  <si>
    <t>91 Days - T Bill - 17/07/2025</t>
  </si>
  <si>
    <t>IN002024Z156</t>
  </si>
  <si>
    <t>364 Days - T Bill - 10/07/2025</t>
  </si>
  <si>
    <t>YTM (%)*</t>
  </si>
  <si>
    <t>Index</t>
  </si>
  <si>
    <t>Fortnightly Portfolio Statement as on 30 Jun 2025</t>
  </si>
  <si>
    <t>S. No.</t>
  </si>
  <si>
    <t>ACRONYM</t>
  </si>
  <si>
    <t>SCHEME NAME</t>
  </si>
  <si>
    <t>SFRLTP</t>
  </si>
  <si>
    <t>SFRSTP</t>
  </si>
  <si>
    <t>SMMF</t>
  </si>
  <si>
    <t>SPLDF</t>
  </si>
  <si>
    <t>SPMON</t>
  </si>
  <si>
    <t>SPSDF</t>
  </si>
  <si>
    <t>SPUSDF</t>
  </si>
  <si>
    <t>SUNBDS</t>
  </si>
  <si>
    <t>SUNMIA</t>
  </si>
  <si>
    <t>SUNONF</t>
  </si>
  <si>
    <t>**Non Traded Securities - Wherever applicable</t>
  </si>
  <si>
    <t>^ Net current assets includes interest accrued on fixed income securities - Wherever applicable</t>
  </si>
  <si>
    <t># percentage to NAV of security is less than 0.01% - Wherever applicable</t>
  </si>
  <si>
    <t>At the beginning</t>
  </si>
  <si>
    <t>(b) Corporate Debt Market Development Fund</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</si>
  <si>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</si>
  <si>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</si>
  <si>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</si>
  <si>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</si>
  <si>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</si>
  <si>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</si>
  <si>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</si>
  <si>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</si>
  <si>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</si>
  <si>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</si>
  <si>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</si>
  <si>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</si>
  <si>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</si>
  <si>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</si>
  <si>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</si>
  <si>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</si>
  <si>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</si>
  <si>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Aggregate Investments by Other schemes of Sundaram Mutual Fund - Rs.15,670.50 Lakhs</t>
  </si>
  <si>
    <t xml:space="preserve">                    NIFTY Money Market Index A-I</t>
  </si>
  <si>
    <t>INE0JEI23010</t>
  </si>
  <si>
    <t>Roadstar Infra Investment Trust (InvIT)</t>
  </si>
  <si>
    <t>Services</t>
  </si>
  <si>
    <t>#</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</si>
  <si>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</si>
  <si>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</si>
  <si>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</si>
  <si>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</si>
  <si>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</si>
  <si>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</si>
  <si>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</si>
  <si>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</si>
  <si>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</si>
  <si>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</si>
  <si>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</si>
  <si>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</si>
  <si>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</si>
  <si>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</si>
  <si>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</si>
  <si>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</si>
  <si>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</si>
  <si>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</si>
  <si>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</si>
  <si>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</si>
  <si>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</si>
  <si>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</si>
  <si>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</si>
  <si>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</si>
  <si>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</si>
  <si>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</si>
  <si>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</si>
  <si>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</si>
  <si>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</si>
  <si>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</si>
  <si>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</si>
  <si>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</si>
  <si>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</si>
  <si>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</si>
  <si>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</si>
  <si>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</si>
  <si>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</si>
  <si>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</si>
  <si>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66,362.26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</si>
  <si>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</si>
  <si>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</si>
  <si>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</si>
  <si>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</si>
  <si>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</si>
  <si>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</si>
  <si>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</si>
  <si>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</si>
  <si>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</si>
  <si>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</si>
  <si>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</si>
  <si>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</si>
  <si>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</si>
  <si>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</si>
  <si>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</si>
  <si>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</si>
  <si>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</si>
  <si>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</si>
  <si>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</si>
  <si>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</si>
  <si>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</si>
  <si>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</si>
  <si>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</si>
  <si>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</si>
  <si>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</si>
  <si>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</si>
  <si>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</si>
  <si>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</si>
  <si>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</si>
  <si>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</si>
  <si>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</si>
  <si>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</si>
  <si>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</si>
  <si>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</si>
  <si>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</si>
  <si>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</si>
  <si>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</si>
  <si>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</si>
  <si>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Regular Plan - Quarterly IDCW</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</si>
  <si>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</si>
  <si>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</si>
  <si>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</si>
  <si>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</si>
  <si>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</si>
  <si>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</si>
  <si>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</si>
  <si>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</si>
  <si>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</si>
  <si>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</si>
  <si>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</si>
  <si>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</si>
  <si>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</si>
  <si>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</si>
  <si>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</si>
  <si>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</si>
  <si>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</si>
  <si>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</si>
  <si>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</si>
  <si>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d) IDCW declared during the period (Rupees per unit)</t>
  </si>
  <si>
    <t>Macaulay Duration (Days)</t>
  </si>
  <si>
    <t>Average Maturity (Days)</t>
  </si>
  <si>
    <t xml:space="preserve">                        NIFTY 1D Rate Index</t>
  </si>
  <si>
    <t>Direct Plan - Monthly IDCW</t>
  </si>
  <si>
    <t>Direct Plan - Quarterly IDCW</t>
  </si>
  <si>
    <t>Direct Plan - Halfyearly IDCW</t>
  </si>
  <si>
    <t>Direct Plan - Annual IDCW</t>
  </si>
  <si>
    <t>Regular Plan - Monthly IDCW</t>
  </si>
  <si>
    <t>Regular Plan - Halfyearly IDCW</t>
  </si>
  <si>
    <t>Regular Plan - Annual IDCW</t>
  </si>
  <si>
    <t>30-Jun-2025</t>
  </si>
  <si>
    <t>i) Exposure to securities classified as below investment grade or default as on 30-Jun-2025:-</t>
  </si>
  <si>
    <t>h)  Hedging Positions through Swaps as on 30-Jun-2025:-</t>
  </si>
  <si>
    <t>% to AUM as on  30-Jun-2025</t>
  </si>
  <si>
    <t>h) Exposure to securities classified as below investment grade or default as on 30-Jun-2025:-</t>
  </si>
  <si>
    <t>YTM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</si>
</sst>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_(* #,##0.00_);_(* \(#,##0.00\);_(* &quot;-&quot;??_);_(@_)"/>
    <numFmt numFmtId="176" formatCode="dd/mmm/yyyy"/>
  </numFmts>
  <fonts count="38"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sz val="11"/>
      <color theme="0"/>
      <name val="Aptos Narrow"/>
      <family val="2"/>
      <scheme val="minor"/>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2">
    <xf numFmtId="0" fontId="0" fillId="0" borderId="0">
      <alignment wrapText="1"/>
    </xf>
    <xf numFmtId="9" fontId="6" fillId="0" borderId="0" applyFont="0" applyFill="0" applyBorder="0" applyAlignment="0" applyProtection="0"/>
    <xf numFmtId="43" fontId="9" fillId="0" borderId="0" applyFont="0" applyFill="0" applyBorder="0" applyAlignment="0" applyProtection="0"/>
    <xf numFmtId="0" fontId="11" fillId="0" borderId="0" applyNumberFormat="0" applyFill="0" applyBorder="0" applyAlignment="0" applyProtection="0">
      <alignment wrapText="1"/>
    </xf>
    <xf numFmtId="0" fontId="1" fillId="0" borderId="0"/>
    <xf numFmtId="0" fontId="1" fillId="0" borderId="0"/>
    <xf numFmtId="0" fontId="9" fillId="0" borderId="0">
      <alignment wrapText="1"/>
    </xf>
    <xf numFmtId="43" fontId="9" fillId="0" borderId="0" applyFont="0" applyFill="0" applyBorder="0" applyAlignment="0" applyProtection="0"/>
    <xf numFmtId="9" fontId="26" fillId="0" borderId="0" applyFont="0" applyFill="0" applyBorder="0" applyAlignment="0" applyProtection="0"/>
    <xf numFmtId="43" fontId="9" fillId="0" borderId="0" applyFont="0" applyFill="0" applyBorder="0" applyAlignment="0" applyProtection="0"/>
    <xf numFmtId="0" fontId="1" fillId="0" borderId="0"/>
    <xf numFmtId="0" fontId="1" fillId="0" borderId="0"/>
  </cellStyleXfs>
  <cellXfs count="244">
    <xf numFmtId="0" fontId="0" fillId="0" borderId="0" xfId="0">
      <alignment wrapText="1"/>
    </xf>
    <xf numFmtId="0" fontId="12" fillId="0" borderId="0" xfId="3" applyFont="1" applyFill="1" applyBorder="1" applyAlignment="1">
      <alignment horizontal="center" vertical="center" wrapText="1"/>
    </xf>
    <xf numFmtId="0" fontId="15" fillId="0" borderId="7" xfId="4" applyFont="1" applyBorder="1" applyAlignment="1">
      <alignment horizontal="center"/>
    </xf>
    <xf numFmtId="0" fontId="16" fillId="0" borderId="7" xfId="4" applyFont="1" applyBorder="1" applyAlignment="1">
      <alignment horizontal="center" vertical="center"/>
    </xf>
    <xf numFmtId="0" fontId="17" fillId="0" borderId="0" xfId="5" applyFont="1"/>
    <xf numFmtId="0" fontId="17" fillId="0" borderId="7" xfId="4" applyFont="1" applyBorder="1" applyAlignment="1">
      <alignment horizontal="center"/>
    </xf>
    <xf numFmtId="0" fontId="18" fillId="0" borderId="7" xfId="3" applyFont="1" applyFill="1" applyBorder="1" applyAlignment="1">
      <alignment vertical="center"/>
    </xf>
    <xf numFmtId="0" fontId="19" fillId="0" borderId="7" xfId="4" applyFont="1" applyBorder="1" applyAlignment="1">
      <alignment vertical="top"/>
    </xf>
    <xf numFmtId="4" fontId="25" fillId="0" borderId="12" xfId="8" applyNumberFormat="1" applyFont="1" applyFill="1" applyBorder="1"/>
    <xf numFmtId="4" fontId="25" fillId="0" borderId="0" xfId="8" applyNumberFormat="1" applyFont="1" applyFill="1" applyBorder="1"/>
    <xf numFmtId="43" fontId="25" fillId="0" borderId="12" xfId="9" applyFont="1" applyFill="1" applyBorder="1"/>
    <xf numFmtId="43" fontId="25" fillId="0" borderId="0" xfId="7" applyFont="1" applyFill="1" applyBorder="1"/>
    <xf numFmtId="43" fontId="25" fillId="0" borderId="7" xfId="9" applyFont="1" applyFill="1" applyBorder="1"/>
    <xf numFmtId="4" fontId="25" fillId="0" borderId="7" xfId="8" applyNumberFormat="1" applyFont="1" applyFill="1" applyBorder="1"/>
    <xf numFmtId="43" fontId="36" fillId="0" borderId="9" xfId="7" applyFont="1" applyFill="1" applyBorder="1" applyAlignment="1">
      <alignment horizontal="center" vertical="center"/>
    </xf>
    <xf numFmtId="43" fontId="36" fillId="0" borderId="11" xfId="7" applyFont="1" applyFill="1" applyBorder="1" applyAlignment="1">
      <alignment horizontal="center" vertical="center"/>
    </xf>
    <xf numFmtId="0" fontId="10" fillId="0" borderId="7" xfId="0" applyFont="1" applyFill="1" applyBorder="1" applyAlignment="1">
      <alignment horizontal="center" vertical="center" wrapText="1" readingOrder="1"/>
    </xf>
    <xf numFmtId="0" fontId="0" fillId="0" borderId="0" xfId="0" applyFill="1">
      <alignment wrapText="1"/>
    </xf>
    <xf numFmtId="0" fontId="10" fillId="0" borderId="7" xfId="0" applyFont="1" applyFill="1" applyBorder="1" applyAlignment="1">
      <alignment horizontal="center" vertical="center" wrapText="1" readingOrder="1"/>
    </xf>
    <xf numFmtId="43" fontId="10" fillId="0" borderId="7" xfId="2" applyFont="1" applyFill="1" applyBorder="1" applyAlignment="1">
      <alignment horizontal="center" vertical="center" wrapText="1" readingOrder="1"/>
    </xf>
    <xf numFmtId="0" fontId="0" fillId="0" borderId="0" xfId="0" applyFill="1" applyAlignment="1">
      <alignment horizontal="center" vertical="center" wrapText="1"/>
    </xf>
    <xf numFmtId="0" fontId="13" fillId="0" borderId="4" xfId="0" applyFont="1" applyFill="1" applyBorder="1" applyAlignment="1">
      <alignment horizontal="right" vertical="top" wrapText="1" readingOrder="1"/>
    </xf>
    <xf numFmtId="0" fontId="14" fillId="0" borderId="4" xfId="0" applyFont="1" applyFill="1" applyBorder="1" applyAlignment="1">
      <alignment horizontal="left" vertical="center" wrapText="1" readingOrder="1"/>
    </xf>
    <xf numFmtId="165" fontId="13" fillId="0" borderId="8" xfId="0" applyNumberFormat="1" applyFont="1" applyFill="1" applyBorder="1" applyAlignment="1">
      <alignment horizontal="right" vertical="center" wrapText="1" readingOrder="1"/>
    </xf>
    <xf numFmtId="0" fontId="2" fillId="0" borderId="4" xfId="0" applyFont="1" applyFill="1" applyBorder="1" applyAlignment="1">
      <alignment horizontal="right" vertical="top" wrapText="1" readingOrder="1"/>
    </xf>
    <xf numFmtId="0" fontId="3" fillId="0" borderId="4" xfId="0" applyFont="1" applyFill="1" applyBorder="1" applyAlignment="1">
      <alignment horizontal="left" vertical="center" wrapText="1" readingOrder="1"/>
    </xf>
    <xf numFmtId="0" fontId="3" fillId="0" borderId="4" xfId="0" applyFont="1" applyFill="1" applyBorder="1" applyAlignment="1">
      <alignment horizontal="right" vertical="center" wrapText="1" readingOrder="1"/>
    </xf>
    <xf numFmtId="164" fontId="3" fillId="0" borderId="4" xfId="0" applyNumberFormat="1" applyFont="1" applyFill="1" applyBorder="1" applyAlignment="1">
      <alignment horizontal="right" vertical="center" wrapText="1" readingOrder="1"/>
    </xf>
    <xf numFmtId="0" fontId="4" fillId="0" borderId="4" xfId="0" applyFont="1" applyFill="1" applyBorder="1" applyAlignment="1">
      <alignment horizontal="left" vertical="center" wrapText="1" readingOrder="1"/>
    </xf>
    <xf numFmtId="0" fontId="4" fillId="0" borderId="4" xfId="0" applyFont="1" applyFill="1" applyBorder="1" applyAlignment="1">
      <alignment horizontal="right" vertical="center" wrapText="1" readingOrder="1"/>
    </xf>
    <xf numFmtId="165" fontId="3" fillId="0" borderId="4" xfId="0" applyNumberFormat="1" applyFont="1" applyFill="1" applyBorder="1" applyAlignment="1">
      <alignment horizontal="right" vertical="center" wrapText="1" readingOrder="1"/>
    </xf>
    <xf numFmtId="166" fontId="2" fillId="0" borderId="4" xfId="0" applyNumberFormat="1" applyFont="1" applyFill="1" applyBorder="1" applyAlignment="1">
      <alignment horizontal="right" vertical="center" wrapText="1" readingOrder="1"/>
    </xf>
    <xf numFmtId="0" fontId="2" fillId="0" borderId="4" xfId="0" applyFont="1" applyFill="1" applyBorder="1" applyAlignment="1">
      <alignment horizontal="left" vertical="center" wrapText="1" readingOrder="1"/>
    </xf>
    <xf numFmtId="167" fontId="2" fillId="0" borderId="4" xfId="0" applyNumberFormat="1" applyFont="1" applyFill="1" applyBorder="1" applyAlignment="1">
      <alignment horizontal="right" vertical="center" wrapText="1" readingOrder="1"/>
    </xf>
    <xf numFmtId="165" fontId="2" fillId="0" borderId="4" xfId="0" applyNumberFormat="1" applyFont="1" applyFill="1" applyBorder="1" applyAlignment="1">
      <alignment horizontal="right" vertical="center" wrapText="1" readingOrder="1"/>
    </xf>
    <xf numFmtId="164" fontId="2" fillId="0" borderId="4" xfId="0" applyNumberFormat="1" applyFont="1" applyFill="1" applyBorder="1" applyAlignment="1">
      <alignment horizontal="right" vertical="center" wrapText="1" readingOrder="1"/>
    </xf>
    <xf numFmtId="0" fontId="2" fillId="0" borderId="4" xfId="0" applyFont="1" applyFill="1" applyBorder="1" applyAlignment="1">
      <alignment horizontal="right" vertical="center" wrapText="1" readingOrder="1"/>
    </xf>
    <xf numFmtId="169" fontId="3" fillId="0" borderId="4" xfId="0" applyNumberFormat="1" applyFont="1" applyFill="1" applyBorder="1" applyAlignment="1">
      <alignment horizontal="right" vertical="center" wrapText="1" readingOrder="1"/>
    </xf>
    <xf numFmtId="0" fontId="4" fillId="0" borderId="5" xfId="0" applyFont="1" applyFill="1" applyBorder="1" applyAlignment="1">
      <alignment horizontal="left" vertical="center" wrapText="1" readingOrder="1"/>
    </xf>
    <xf numFmtId="0" fontId="4" fillId="0" borderId="5" xfId="0" applyFont="1" applyFill="1" applyBorder="1" applyAlignment="1">
      <alignment horizontal="right" vertical="center" wrapText="1" readingOrder="1"/>
    </xf>
    <xf numFmtId="0" fontId="20" fillId="0" borderId="0" xfId="0" applyFont="1" applyFill="1" applyAlignment="1">
      <alignment horizontal="left" vertical="center" wrapText="1" readingOrder="1"/>
    </xf>
    <xf numFmtId="0" fontId="13" fillId="0" borderId="0" xfId="0" applyFont="1" applyFill="1" applyAlignment="1">
      <alignment horizontal="left" vertical="center" wrapText="1" readingOrder="1"/>
    </xf>
    <xf numFmtId="0" fontId="4" fillId="0" borderId="0" xfId="0" applyFont="1" applyFill="1" applyAlignment="1">
      <alignment horizontal="left" vertical="center" wrapText="1" readingOrder="1"/>
    </xf>
    <xf numFmtId="0" fontId="4" fillId="0" borderId="0" xfId="0" applyFont="1" applyFill="1" applyAlignment="1">
      <alignment horizontal="right" vertical="center" wrapText="1" readingOrder="1"/>
    </xf>
    <xf numFmtId="0" fontId="14" fillId="0" borderId="1" xfId="0" applyFont="1" applyFill="1" applyBorder="1" applyAlignment="1">
      <alignment horizontal="left" vertical="center" wrapText="1" readingOrder="1"/>
    </xf>
    <xf numFmtId="0" fontId="14" fillId="0" borderId="2" xfId="0" applyFont="1" applyFill="1" applyBorder="1" applyAlignment="1">
      <alignment horizontal="left" vertical="center" wrapText="1" readingOrder="1"/>
    </xf>
    <xf numFmtId="0" fontId="14" fillId="0" borderId="3" xfId="0" applyFont="1" applyFill="1" applyBorder="1" applyAlignment="1">
      <alignment horizontal="left" vertical="center" wrapText="1" readingOrder="1"/>
    </xf>
    <xf numFmtId="0" fontId="20" fillId="0" borderId="6" xfId="0" applyFont="1" applyFill="1" applyBorder="1" applyAlignment="1">
      <alignment horizontal="right" vertical="center" wrapText="1" readingOrder="1"/>
    </xf>
    <xf numFmtId="0" fontId="20" fillId="0" borderId="0" xfId="0" applyFont="1" applyFill="1" applyAlignment="1">
      <alignment horizontal="right" vertical="center" wrapText="1" readingOrder="1"/>
    </xf>
    <xf numFmtId="0" fontId="13" fillId="0" borderId="1" xfId="0" applyFont="1" applyFill="1" applyBorder="1" applyAlignment="1">
      <alignment horizontal="left" vertical="center" wrapText="1" readingOrder="1"/>
    </xf>
    <xf numFmtId="0" fontId="13" fillId="0" borderId="3" xfId="0" applyFont="1" applyFill="1" applyBorder="1" applyAlignment="1">
      <alignment horizontal="left" vertical="center" wrapText="1" readingOrder="1"/>
    </xf>
    <xf numFmtId="0" fontId="20" fillId="0" borderId="4" xfId="0" applyFont="1" applyFill="1" applyBorder="1" applyAlignment="1">
      <alignment horizontal="right" vertical="center" wrapText="1" readingOrder="1"/>
    </xf>
    <xf numFmtId="0" fontId="13" fillId="0" borderId="0" xfId="0" applyFont="1" applyFill="1" applyAlignment="1">
      <alignment horizontal="right" vertical="top" wrapText="1" readingOrder="1"/>
    </xf>
    <xf numFmtId="0" fontId="14" fillId="0" borderId="4" xfId="0" applyFont="1" applyFill="1" applyBorder="1" applyAlignment="1">
      <alignment horizontal="right" vertical="top" wrapText="1" readingOrder="1"/>
    </xf>
    <xf numFmtId="0" fontId="14" fillId="0" borderId="4" xfId="0" applyFont="1" applyFill="1" applyBorder="1" applyAlignment="1">
      <alignment horizontal="left" vertical="top" wrapText="1" readingOrder="1"/>
    </xf>
    <xf numFmtId="173" fontId="14" fillId="0" borderId="4" xfId="0" applyNumberFormat="1" applyFont="1" applyFill="1" applyBorder="1" applyAlignment="1">
      <alignment horizontal="right" vertical="top" wrapText="1" readingOrder="1"/>
    </xf>
    <xf numFmtId="0" fontId="2" fillId="0" borderId="0" xfId="0" applyFont="1" applyFill="1" applyAlignment="1">
      <alignment horizontal="right" vertical="top" wrapText="1" readingOrder="1"/>
    </xf>
    <xf numFmtId="170" fontId="2" fillId="0" borderId="4" xfId="0" applyNumberFormat="1" applyFont="1" applyFill="1" applyBorder="1" applyAlignment="1">
      <alignment horizontal="right" vertical="center" wrapText="1" readingOrder="1"/>
    </xf>
    <xf numFmtId="0" fontId="2" fillId="0" borderId="0" xfId="0" applyFont="1" applyFill="1" applyAlignment="1">
      <alignment horizontal="left" vertical="center" wrapText="1" readingOrder="1"/>
    </xf>
    <xf numFmtId="0" fontId="2" fillId="0" borderId="0" xfId="0" applyFont="1" applyFill="1" applyAlignment="1">
      <alignment horizontal="right" vertical="center" wrapText="1" readingOrder="1"/>
    </xf>
    <xf numFmtId="0" fontId="2" fillId="0" borderId="1" xfId="0" applyFont="1" applyFill="1" applyBorder="1" applyAlignment="1">
      <alignment horizontal="left" vertical="center" wrapText="1" readingOrder="1"/>
    </xf>
    <xf numFmtId="0" fontId="2" fillId="0" borderId="3" xfId="0" applyFont="1" applyFill="1" applyBorder="1" applyAlignment="1">
      <alignment horizontal="left" vertical="center" wrapText="1" readingOrder="1"/>
    </xf>
    <xf numFmtId="0" fontId="5" fillId="0" borderId="4" xfId="0" applyFont="1" applyFill="1" applyBorder="1" applyAlignment="1">
      <alignment horizontal="left" vertical="center" wrapText="1" readingOrder="1"/>
    </xf>
    <xf numFmtId="0" fontId="5" fillId="0" borderId="4" xfId="0" applyFont="1" applyFill="1" applyBorder="1" applyAlignment="1">
      <alignment horizontal="right" vertical="center" wrapText="1" readingOrder="1"/>
    </xf>
    <xf numFmtId="171" fontId="2" fillId="0" borderId="4" xfId="0" applyNumberFormat="1" applyFont="1" applyFill="1" applyBorder="1" applyAlignment="1">
      <alignment horizontal="right" vertical="center" wrapText="1" readingOrder="1"/>
    </xf>
    <xf numFmtId="0" fontId="3" fillId="0" borderId="0" xfId="0" applyFont="1" applyFill="1" applyAlignment="1">
      <alignment horizontal="left" vertical="center" wrapText="1" readingOrder="1"/>
    </xf>
    <xf numFmtId="0" fontId="13" fillId="0" borderId="12" xfId="0" applyFont="1" applyFill="1" applyBorder="1" applyAlignment="1">
      <alignment horizontal="left" vertical="center" wrapText="1" readingOrder="1"/>
    </xf>
    <xf numFmtId="0" fontId="14" fillId="0" borderId="12" xfId="0" applyFont="1" applyFill="1" applyBorder="1" applyAlignment="1">
      <alignment horizontal="left" vertical="center" wrapText="1" readingOrder="1"/>
    </xf>
    <xf numFmtId="0" fontId="13" fillId="0" borderId="22" xfId="0" applyFont="1" applyFill="1" applyBorder="1" applyAlignment="1">
      <alignment horizontal="left" vertical="center" wrapText="1" readingOrder="1"/>
    </xf>
    <xf numFmtId="0" fontId="13" fillId="0" borderId="23" xfId="0" applyFont="1" applyFill="1" applyBorder="1" applyAlignment="1">
      <alignment horizontal="left" vertical="center" wrapText="1" readingOrder="1"/>
    </xf>
    <xf numFmtId="0" fontId="14" fillId="0" borderId="24" xfId="0" applyFont="1" applyFill="1" applyBorder="1" applyAlignment="1">
      <alignment horizontal="left" vertical="center" wrapText="1" readingOrder="1"/>
    </xf>
    <xf numFmtId="0" fontId="13" fillId="0" borderId="6" xfId="0" applyFont="1" applyFill="1" applyBorder="1" applyAlignment="1">
      <alignment horizontal="right" vertical="top" wrapText="1" readingOrder="1"/>
    </xf>
    <xf numFmtId="0" fontId="9" fillId="0" borderId="0" xfId="6" applyFill="1">
      <alignment wrapText="1"/>
    </xf>
    <xf numFmtId="0" fontId="0" fillId="0" borderId="0" xfId="0" applyFill="1" applyAlignment="1">
      <alignment horizontal="center" vertical="top" readingOrder="1"/>
    </xf>
    <xf numFmtId="0" fontId="21" fillId="0" borderId="0" xfId="0" applyFont="1" applyFill="1" applyAlignment="1">
      <alignment vertical="center" wrapText="1"/>
    </xf>
    <xf numFmtId="0" fontId="22" fillId="0" borderId="9" xfId="0" applyFont="1" applyFill="1" applyBorder="1" applyAlignment="1">
      <alignment horizontal="center" vertical="center"/>
    </xf>
    <xf numFmtId="0" fontId="22" fillId="0" borderId="10" xfId="0" applyFont="1" applyFill="1" applyBorder="1" applyAlignment="1">
      <alignment horizontal="center" vertical="center"/>
    </xf>
    <xf numFmtId="0" fontId="22" fillId="0" borderId="11" xfId="0" applyFont="1" applyFill="1" applyBorder="1" applyAlignment="1">
      <alignment horizontal="center" vertical="center"/>
    </xf>
    <xf numFmtId="0" fontId="0" fillId="0" borderId="0" xfId="0" applyFill="1" applyAlignment="1">
      <alignment vertical="center" wrapText="1"/>
    </xf>
    <xf numFmtId="0" fontId="14" fillId="0" borderId="12" xfId="0" applyFont="1" applyFill="1" applyBorder="1" applyAlignment="1">
      <alignment horizontal="center" vertical="center" wrapText="1" readingOrder="1"/>
    </xf>
    <xf numFmtId="0" fontId="22" fillId="0" borderId="12" xfId="0" applyFont="1" applyFill="1" applyBorder="1" applyAlignment="1">
      <alignment horizontal="center" vertical="center" wrapText="1"/>
    </xf>
    <xf numFmtId="0" fontId="21" fillId="0" borderId="12" xfId="0" applyFont="1" applyFill="1" applyBorder="1" applyAlignment="1">
      <alignment vertical="center" wrapText="1"/>
    </xf>
    <xf numFmtId="0" fontId="21" fillId="0" borderId="12" xfId="0" applyFont="1" applyFill="1" applyBorder="1" applyAlignment="1">
      <alignment horizontal="justify" vertical="center" wrapText="1"/>
    </xf>
    <xf numFmtId="172" fontId="14" fillId="0" borderId="4" xfId="0" applyNumberFormat="1" applyFont="1" applyFill="1" applyBorder="1" applyAlignment="1">
      <alignment horizontal="left" vertical="center" wrapText="1" readingOrder="1"/>
    </xf>
    <xf numFmtId="174" fontId="14" fillId="0" borderId="4" xfId="0" applyNumberFormat="1" applyFont="1" applyFill="1" applyBorder="1" applyAlignment="1">
      <alignment horizontal="left" vertical="center" wrapText="1" readingOrder="1"/>
    </xf>
    <xf numFmtId="174" fontId="14" fillId="0" borderId="4" xfId="0" quotePrefix="1" applyNumberFormat="1" applyFont="1" applyFill="1" applyBorder="1" applyAlignment="1">
      <alignment horizontal="left" vertical="center" wrapText="1" readingOrder="1"/>
    </xf>
    <xf numFmtId="0" fontId="13" fillId="0" borderId="9" xfId="0" applyFont="1" applyFill="1" applyBorder="1" applyAlignment="1">
      <alignment horizontal="left" vertical="center" wrapText="1" readingOrder="1"/>
    </xf>
    <xf numFmtId="0" fontId="13" fillId="0" borderId="10" xfId="0" applyFont="1" applyFill="1" applyBorder="1" applyAlignment="1">
      <alignment horizontal="left" vertical="center" wrapText="1" readingOrder="1"/>
    </xf>
    <xf numFmtId="0" fontId="13" fillId="0" borderId="11" xfId="0" applyFont="1" applyFill="1" applyBorder="1" applyAlignment="1">
      <alignment horizontal="left" vertical="center" wrapText="1" readingOrder="1"/>
    </xf>
    <xf numFmtId="43" fontId="0" fillId="0" borderId="0" xfId="7" applyFont="1" applyFill="1" applyAlignment="1">
      <alignment wrapText="1"/>
    </xf>
    <xf numFmtId="0" fontId="23" fillId="0" borderId="0" xfId="0" applyFont="1" applyFill="1">
      <alignment wrapText="1"/>
    </xf>
    <xf numFmtId="0" fontId="23" fillId="0" borderId="0" xfId="0" applyFont="1" applyFill="1" applyAlignment="1"/>
    <xf numFmtId="0" fontId="0" fillId="0" borderId="0" xfId="0" applyFill="1" applyAlignment="1"/>
    <xf numFmtId="166" fontId="13" fillId="0" borderId="4" xfId="0" applyNumberFormat="1" applyFont="1" applyFill="1" applyBorder="1" applyAlignment="1">
      <alignment horizontal="right" vertical="center" wrapText="1" readingOrder="1"/>
    </xf>
    <xf numFmtId="0" fontId="13" fillId="0" borderId="4" xfId="0" applyFont="1" applyFill="1" applyBorder="1" applyAlignment="1">
      <alignment horizontal="left" vertical="center" wrapText="1" readingOrder="1"/>
    </xf>
    <xf numFmtId="167" fontId="13" fillId="0" borderId="4" xfId="0" applyNumberFormat="1" applyFont="1" applyFill="1" applyBorder="1" applyAlignment="1">
      <alignment horizontal="right" vertical="center" wrapText="1" readingOrder="1"/>
    </xf>
    <xf numFmtId="165" fontId="13" fillId="0" borderId="4" xfId="0" applyNumberFormat="1" applyFont="1" applyFill="1" applyBorder="1" applyAlignment="1">
      <alignment horizontal="right" vertical="center" wrapText="1" readingOrder="1"/>
    </xf>
    <xf numFmtId="164" fontId="13" fillId="0" borderId="4" xfId="0" applyNumberFormat="1" applyFont="1" applyFill="1" applyBorder="1" applyAlignment="1">
      <alignment horizontal="right" vertical="center" wrapText="1" readingOrder="1"/>
    </xf>
    <xf numFmtId="0" fontId="23" fillId="0" borderId="0" xfId="0" applyFont="1" applyFill="1" applyAlignment="1">
      <alignment horizontal="center" vertical="center" wrapText="1"/>
    </xf>
    <xf numFmtId="0" fontId="20" fillId="0" borderId="4" xfId="0" applyFont="1" applyFill="1" applyBorder="1" applyAlignment="1">
      <alignment horizontal="left" vertical="center" wrapText="1" readingOrder="1"/>
    </xf>
    <xf numFmtId="0" fontId="21" fillId="0" borderId="0" xfId="0" applyFont="1" applyFill="1">
      <alignment wrapText="1"/>
    </xf>
    <xf numFmtId="168" fontId="13" fillId="0" borderId="4" xfId="0" applyNumberFormat="1" applyFont="1" applyFill="1" applyBorder="1" applyAlignment="1">
      <alignment horizontal="right" vertical="center" wrapText="1" readingOrder="1"/>
    </xf>
    <xf numFmtId="165" fontId="14" fillId="0" borderId="4" xfId="0" applyNumberFormat="1" applyFont="1" applyFill="1" applyBorder="1" applyAlignment="1">
      <alignment horizontal="right" vertical="center" wrapText="1" readingOrder="1"/>
    </xf>
    <xf numFmtId="164" fontId="14" fillId="0" borderId="4" xfId="0" applyNumberFormat="1" applyFont="1" applyFill="1" applyBorder="1" applyAlignment="1">
      <alignment horizontal="right" vertical="center" wrapText="1" readingOrder="1"/>
    </xf>
    <xf numFmtId="0" fontId="2" fillId="0" borderId="5" xfId="0" applyFont="1" applyFill="1" applyBorder="1" applyAlignment="1">
      <alignment horizontal="left" vertical="center" wrapText="1" readingOrder="1"/>
    </xf>
    <xf numFmtId="0" fontId="3" fillId="0" borderId="5" xfId="0" applyFont="1" applyFill="1" applyBorder="1" applyAlignment="1">
      <alignment horizontal="left" vertical="center" wrapText="1" readingOrder="1"/>
    </xf>
    <xf numFmtId="14" fontId="21" fillId="0" borderId="12" xfId="0" quotePrefix="1" applyNumberFormat="1" applyFont="1" applyFill="1" applyBorder="1" applyAlignment="1">
      <alignment horizontal="justify" vertical="center" wrapText="1"/>
    </xf>
    <xf numFmtId="0" fontId="27" fillId="0" borderId="12" xfId="0" applyFont="1" applyFill="1" applyBorder="1" applyAlignment="1">
      <alignment horizontal="left" vertical="top" readingOrder="1"/>
    </xf>
    <xf numFmtId="0" fontId="24" fillId="0" borderId="12" xfId="4" applyFont="1" applyFill="1" applyBorder="1" applyAlignment="1">
      <alignment horizontal="center" vertical="center"/>
    </xf>
    <xf numFmtId="0" fontId="24" fillId="0" borderId="12" xfId="4" applyFont="1" applyFill="1" applyBorder="1" applyAlignment="1">
      <alignment horizontal="center" vertical="center" wrapText="1"/>
    </xf>
    <xf numFmtId="0" fontId="24" fillId="0" borderId="12" xfId="4" applyFont="1" applyFill="1" applyBorder="1" applyAlignment="1">
      <alignment horizontal="center" vertical="center"/>
    </xf>
    <xf numFmtId="0" fontId="9" fillId="0" borderId="0" xfId="6" applyFill="1" applyAlignment="1">
      <alignment vertical="center" wrapText="1"/>
    </xf>
    <xf numFmtId="0" fontId="25" fillId="0" borderId="12" xfId="4" applyFont="1" applyFill="1" applyBorder="1" applyAlignment="1">
      <alignment vertical="center"/>
    </xf>
    <xf numFmtId="0" fontId="25" fillId="0" borderId="12" xfId="4" applyFont="1" applyFill="1" applyBorder="1" applyAlignment="1">
      <alignment wrapText="1"/>
    </xf>
    <xf numFmtId="43" fontId="25" fillId="0" borderId="12" xfId="7" applyFont="1" applyFill="1" applyBorder="1" applyAlignment="1">
      <alignment horizontal="center"/>
    </xf>
    <xf numFmtId="0" fontId="25" fillId="0" borderId="12" xfId="4" applyFont="1" applyFill="1" applyBorder="1"/>
    <xf numFmtId="0" fontId="25" fillId="0" borderId="12" xfId="4" applyFont="1" applyFill="1" applyBorder="1" applyAlignment="1">
      <alignment horizontal="center"/>
    </xf>
    <xf numFmtId="0" fontId="24" fillId="0" borderId="12" xfId="4" applyFont="1" applyFill="1" applyBorder="1" applyAlignment="1">
      <alignment horizontal="center"/>
    </xf>
    <xf numFmtId="0" fontId="24" fillId="0" borderId="12" xfId="4" applyFont="1" applyFill="1" applyBorder="1" applyAlignment="1">
      <alignment horizontal="center" vertical="center" wrapText="1"/>
    </xf>
    <xf numFmtId="4" fontId="25" fillId="0" borderId="12" xfId="4" applyNumberFormat="1" applyFont="1" applyFill="1" applyBorder="1"/>
    <xf numFmtId="2" fontId="25" fillId="0" borderId="12" xfId="4" applyNumberFormat="1" applyFont="1" applyFill="1" applyBorder="1"/>
    <xf numFmtId="4" fontId="9" fillId="0" borderId="12" xfId="6" applyNumberFormat="1" applyFill="1" applyBorder="1">
      <alignment wrapText="1"/>
    </xf>
    <xf numFmtId="0" fontId="27" fillId="0" borderId="0" xfId="0" applyFont="1" applyFill="1" applyAlignment="1"/>
    <xf numFmtId="0" fontId="11" fillId="0" borderId="0" xfId="3" applyFill="1" applyAlignment="1"/>
    <xf numFmtId="0" fontId="13" fillId="0" borderId="0" xfId="0" applyFont="1" applyFill="1" applyAlignment="1">
      <alignment horizontal="right" vertical="center" wrapText="1" readingOrder="1"/>
    </xf>
    <xf numFmtId="0" fontId="13" fillId="0" borderId="0" xfId="0" applyFont="1" applyFill="1" applyAlignment="1">
      <alignment horizontal="left" vertical="center" wrapText="1" readingOrder="1"/>
    </xf>
    <xf numFmtId="0" fontId="7" fillId="0" borderId="0" xfId="11" applyFont="1" applyFill="1" applyAlignment="1">
      <alignment horizontal="center" vertical="center"/>
    </xf>
    <xf numFmtId="0" fontId="1" fillId="0" borderId="0" xfId="11" applyFill="1" applyAlignment="1">
      <alignment wrapText="1"/>
    </xf>
    <xf numFmtId="4" fontId="8" fillId="0" borderId="0" xfId="11" applyNumberFormat="1" applyFont="1" applyFill="1"/>
    <xf numFmtId="0" fontId="34" fillId="0" borderId="0" xfId="11" applyFont="1" applyFill="1" applyAlignment="1">
      <alignment wrapText="1"/>
    </xf>
    <xf numFmtId="0" fontId="22" fillId="0" borderId="9" xfId="0" applyFont="1" applyFill="1" applyBorder="1" applyAlignment="1">
      <alignment horizontal="left" vertical="center" readingOrder="1"/>
    </xf>
    <xf numFmtId="0" fontId="22" fillId="0" borderId="10" xfId="0" applyFont="1" applyFill="1" applyBorder="1" applyAlignment="1">
      <alignment horizontal="left" vertical="center" readingOrder="1"/>
    </xf>
    <xf numFmtId="0" fontId="22" fillId="0" borderId="11" xfId="0" applyFont="1" applyFill="1" applyBorder="1" applyAlignment="1">
      <alignment horizontal="left" vertical="center" readingOrder="1"/>
    </xf>
    <xf numFmtId="0" fontId="35" fillId="0" borderId="12" xfId="11" applyFont="1" applyFill="1" applyBorder="1" applyAlignment="1">
      <alignment horizontal="center" vertical="center"/>
    </xf>
    <xf numFmtId="0" fontId="35" fillId="0" borderId="9" xfId="11" applyFont="1" applyFill="1" applyBorder="1" applyAlignment="1">
      <alignment horizontal="center" vertical="center" wrapText="1"/>
    </xf>
    <xf numFmtId="0" fontId="35" fillId="0" borderId="11" xfId="11" applyFont="1" applyFill="1" applyBorder="1" applyAlignment="1">
      <alignment horizontal="center" vertical="center" wrapText="1"/>
    </xf>
    <xf numFmtId="0" fontId="35" fillId="0" borderId="12" xfId="11" applyFont="1" applyFill="1" applyBorder="1" applyAlignment="1">
      <alignment horizontal="center" vertical="center"/>
    </xf>
    <xf numFmtId="0" fontId="35" fillId="0" borderId="0" xfId="11" applyFont="1" applyFill="1" applyAlignment="1">
      <alignment horizontal="center" vertical="center"/>
    </xf>
    <xf numFmtId="0" fontId="36" fillId="0" borderId="12" xfId="11" applyFont="1" applyFill="1" applyBorder="1" applyAlignment="1">
      <alignment vertical="center"/>
    </xf>
    <xf numFmtId="0" fontId="36" fillId="0" borderId="12" xfId="11" applyFont="1" applyFill="1" applyBorder="1" applyAlignment="1">
      <alignment vertical="center" wrapText="1"/>
    </xf>
    <xf numFmtId="0" fontId="36" fillId="0" borderId="0" xfId="11" applyFont="1" applyFill="1" applyAlignment="1">
      <alignment horizontal="center" vertical="center"/>
    </xf>
    <xf numFmtId="0" fontId="35" fillId="0" borderId="9" xfId="11" applyFont="1" applyFill="1" applyBorder="1" applyAlignment="1">
      <alignment horizontal="center" vertical="center"/>
    </xf>
    <xf numFmtId="0" fontId="35" fillId="0" borderId="10" xfId="11" applyFont="1" applyFill="1" applyBorder="1" applyAlignment="1">
      <alignment horizontal="center" vertical="center"/>
    </xf>
    <xf numFmtId="0" fontId="35" fillId="0" borderId="11" xfId="11" applyFont="1" applyFill="1" applyBorder="1" applyAlignment="1">
      <alignment horizontal="center" vertical="center"/>
    </xf>
    <xf numFmtId="0" fontId="35" fillId="0" borderId="12" xfId="11" applyFont="1" applyFill="1" applyBorder="1" applyAlignment="1">
      <alignment horizontal="center" vertical="center" wrapText="1"/>
    </xf>
    <xf numFmtId="0" fontId="37" fillId="0" borderId="0" xfId="11" applyFont="1" applyFill="1" applyAlignment="1">
      <alignment horizontal="center" vertical="center"/>
    </xf>
    <xf numFmtId="0" fontId="36" fillId="0" borderId="12" xfId="11" applyFont="1" applyFill="1" applyBorder="1" applyAlignment="1">
      <alignment horizontal="left" vertical="center"/>
    </xf>
    <xf numFmtId="4" fontId="36" fillId="0" borderId="12" xfId="11" applyNumberFormat="1" applyFont="1" applyFill="1" applyBorder="1" applyAlignment="1">
      <alignment horizontal="right" vertical="center"/>
    </xf>
    <xf numFmtId="10" fontId="36" fillId="0" borderId="12" xfId="8" applyNumberFormat="1" applyFont="1" applyFill="1" applyBorder="1" applyAlignment="1">
      <alignment vertical="center"/>
    </xf>
    <xf numFmtId="43" fontId="34" fillId="0" borderId="0" xfId="7" applyFont="1" applyFill="1" applyAlignment="1">
      <alignment vertical="center"/>
    </xf>
    <xf numFmtId="0" fontId="36" fillId="0" borderId="9" xfId="11" applyFont="1" applyFill="1" applyBorder="1" applyAlignment="1">
      <alignment horizontal="left" vertical="center" wrapText="1"/>
    </xf>
    <xf numFmtId="0" fontId="36" fillId="0" borderId="10" xfId="11" applyFont="1" applyFill="1" applyBorder="1" applyAlignment="1">
      <alignment horizontal="left" vertical="center" wrapText="1"/>
    </xf>
    <xf numFmtId="0" fontId="36" fillId="0" borderId="11" xfId="11" applyFont="1" applyFill="1" applyBorder="1" applyAlignment="1">
      <alignment horizontal="left" vertical="center" wrapText="1"/>
    </xf>
    <xf numFmtId="43" fontId="36" fillId="0" borderId="0" xfId="7" applyFont="1" applyFill="1" applyAlignment="1">
      <alignment horizontal="center" vertical="center"/>
    </xf>
    <xf numFmtId="164" fontId="21" fillId="0" borderId="4" xfId="0" applyNumberFormat="1" applyFont="1" applyFill="1" applyBorder="1" applyAlignment="1">
      <alignment horizontal="right" vertical="center" wrapText="1" readingOrder="1"/>
    </xf>
    <xf numFmtId="165" fontId="13" fillId="0" borderId="12" xfId="0" applyNumberFormat="1" applyFont="1" applyFill="1" applyBorder="1" applyAlignment="1">
      <alignment horizontal="right" vertical="center" wrapText="1" readingOrder="1"/>
    </xf>
    <xf numFmtId="10" fontId="0" fillId="0" borderId="0" xfId="1" applyNumberFormat="1" applyFont="1" applyFill="1" applyAlignment="1">
      <alignment wrapText="1"/>
    </xf>
    <xf numFmtId="0" fontId="20" fillId="0" borderId="12" xfId="0" applyFont="1" applyFill="1" applyBorder="1" applyAlignment="1">
      <alignment horizontal="left" vertical="center" wrapText="1" readingOrder="1"/>
    </xf>
    <xf numFmtId="0" fontId="28" fillId="0" borderId="12" xfId="0" applyFont="1" applyFill="1" applyBorder="1">
      <alignment wrapText="1"/>
    </xf>
    <xf numFmtId="0" fontId="20" fillId="0" borderId="12" xfId="0" applyFont="1" applyFill="1" applyBorder="1" applyAlignment="1">
      <alignment horizontal="right" vertical="center" wrapText="1" readingOrder="1"/>
    </xf>
    <xf numFmtId="0" fontId="0" fillId="0" borderId="12" xfId="0" applyFill="1" applyBorder="1">
      <alignment wrapText="1"/>
    </xf>
    <xf numFmtId="0" fontId="13" fillId="0" borderId="0" xfId="0" applyFont="1" applyFill="1" applyAlignment="1">
      <alignment horizontal="justify" vertical="top" wrapText="1" readingOrder="1"/>
    </xf>
    <xf numFmtId="0" fontId="27" fillId="0" borderId="0" xfId="10" applyFont="1" applyFill="1"/>
    <xf numFmtId="0" fontId="0" fillId="0" borderId="0" xfId="0" applyFill="1" applyAlignment="1">
      <alignment horizontal="center" vertical="center"/>
    </xf>
    <xf numFmtId="0" fontId="29" fillId="0" borderId="7" xfId="0" applyFont="1" applyFill="1" applyBorder="1" applyAlignment="1">
      <alignment horizontal="center" vertical="center" wrapText="1"/>
    </xf>
    <xf numFmtId="0" fontId="30" fillId="0" borderId="7" xfId="0" applyFont="1" applyFill="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Fill="1" applyAlignment="1">
      <alignment vertical="center"/>
    </xf>
    <xf numFmtId="0" fontId="31" fillId="0" borderId="7" xfId="0" applyFont="1" applyFill="1" applyBorder="1" applyAlignment="1">
      <alignment vertical="center"/>
    </xf>
    <xf numFmtId="0" fontId="32" fillId="0" borderId="7" xfId="0" applyFont="1" applyFill="1" applyBorder="1" applyAlignment="1">
      <alignment vertical="center" wrapText="1"/>
    </xf>
    <xf numFmtId="0" fontId="32" fillId="0" borderId="7" xfId="0" applyFont="1" applyFill="1" applyBorder="1" applyAlignment="1">
      <alignment vertical="center"/>
    </xf>
    <xf numFmtId="43" fontId="31" fillId="0" borderId="7" xfId="7" applyFont="1" applyFill="1" applyBorder="1" applyAlignment="1">
      <alignment vertical="center"/>
    </xf>
    <xf numFmtId="176" fontId="31" fillId="0" borderId="7" xfId="0" applyNumberFormat="1" applyFont="1" applyFill="1" applyBorder="1" applyAlignment="1">
      <alignment vertical="center"/>
    </xf>
    <xf numFmtId="10" fontId="0" fillId="0" borderId="0" xfId="1" applyNumberFormat="1" applyFont="1" applyFill="1" applyAlignment="1">
      <alignment vertical="center" wrapText="1"/>
    </xf>
    <xf numFmtId="10" fontId="33" fillId="0" borderId="0" xfId="1" applyNumberFormat="1" applyFont="1" applyFill="1" applyAlignment="1"/>
    <xf numFmtId="0" fontId="33" fillId="0" borderId="0" xfId="0" applyFont="1" applyFill="1" applyAlignment="1"/>
    <xf numFmtId="0" fontId="22" fillId="0" borderId="0" xfId="0" applyFont="1" applyFill="1" applyAlignment="1">
      <alignment vertical="center" readingOrder="1"/>
    </xf>
    <xf numFmtId="0" fontId="24" fillId="0" borderId="18" xfId="4" applyFont="1" applyFill="1" applyBorder="1" applyAlignment="1">
      <alignment horizontal="center" vertical="center"/>
    </xf>
    <xf numFmtId="0" fontId="24" fillId="0" borderId="19" xfId="4" applyFont="1" applyFill="1" applyBorder="1" applyAlignment="1">
      <alignment horizontal="center" vertical="center"/>
    </xf>
    <xf numFmtId="0" fontId="24" fillId="0" borderId="20" xfId="4" applyFont="1" applyFill="1" applyBorder="1" applyAlignment="1">
      <alignment horizontal="center" vertical="center"/>
    </xf>
    <xf numFmtId="0" fontId="24" fillId="0" borderId="21" xfId="4" applyFont="1" applyFill="1" applyBorder="1" applyAlignment="1">
      <alignment horizontal="center" vertical="center"/>
    </xf>
    <xf numFmtId="0" fontId="24" fillId="0" borderId="19" xfId="4" applyFont="1" applyFill="1" applyBorder="1" applyAlignment="1">
      <alignment horizontal="center" vertical="center" wrapText="1"/>
    </xf>
    <xf numFmtId="0" fontId="24" fillId="0" borderId="20" xfId="4" applyFont="1" applyFill="1" applyBorder="1" applyAlignment="1">
      <alignment horizontal="center" vertical="center" wrapText="1"/>
    </xf>
    <xf numFmtId="0" fontId="24" fillId="0" borderId="21" xfId="4" applyFont="1" applyFill="1" applyBorder="1" applyAlignment="1">
      <alignment horizontal="center" vertical="center" wrapText="1"/>
    </xf>
    <xf numFmtId="0" fontId="24" fillId="0" borderId="15" xfId="4" applyFont="1" applyFill="1" applyBorder="1" applyAlignment="1">
      <alignment horizontal="center" vertical="center"/>
    </xf>
    <xf numFmtId="0" fontId="24" fillId="0" borderId="18" xfId="4" applyFont="1" applyFill="1" applyBorder="1" applyAlignment="1">
      <alignment horizontal="center" vertical="center" wrapText="1"/>
    </xf>
    <xf numFmtId="0" fontId="24" fillId="0" borderId="16" xfId="4" applyFont="1" applyFill="1" applyBorder="1" applyAlignment="1">
      <alignment horizontal="center" vertical="center" wrapText="1"/>
    </xf>
    <xf numFmtId="0" fontId="24" fillId="0" borderId="17" xfId="4" applyFont="1" applyFill="1" applyBorder="1" applyAlignment="1">
      <alignment horizontal="center" vertical="center" wrapText="1"/>
    </xf>
    <xf numFmtId="0" fontId="24" fillId="0" borderId="8" xfId="4" applyFont="1" applyFill="1" applyBorder="1" applyAlignment="1">
      <alignment horizontal="center" vertical="center"/>
    </xf>
    <xf numFmtId="0" fontId="24" fillId="0" borderId="8" xfId="4" applyFont="1" applyFill="1" applyBorder="1" applyAlignment="1">
      <alignment horizontal="center" vertical="center" wrapText="1"/>
    </xf>
    <xf numFmtId="0" fontId="24" fillId="0" borderId="7" xfId="4" applyFont="1" applyFill="1" applyBorder="1" applyAlignment="1">
      <alignment horizontal="center" vertical="center" wrapText="1"/>
    </xf>
    <xf numFmtId="0" fontId="25" fillId="0" borderId="7" xfId="4" applyFont="1" applyFill="1" applyBorder="1"/>
    <xf numFmtId="0" fontId="25" fillId="0" borderId="7" xfId="4" applyFont="1" applyFill="1" applyBorder="1" applyAlignment="1">
      <alignment wrapText="1"/>
    </xf>
    <xf numFmtId="4" fontId="21" fillId="0" borderId="7" xfId="0" applyNumberFormat="1" applyFont="1" applyFill="1" applyBorder="1" applyAlignment="1">
      <alignment vertical="center"/>
    </xf>
    <xf numFmtId="175" fontId="25" fillId="0" borderId="7" xfId="4" applyNumberFormat="1" applyFont="1" applyFill="1" applyBorder="1"/>
    <xf numFmtId="0" fontId="25" fillId="0" borderId="0" xfId="4" applyFont="1" applyFill="1"/>
    <xf numFmtId="0" fontId="25" fillId="0" borderId="0" xfId="4" applyFont="1" applyFill="1" applyAlignment="1">
      <alignment wrapText="1"/>
    </xf>
    <xf numFmtId="4" fontId="21" fillId="0" borderId="0" xfId="0" applyNumberFormat="1" applyFont="1" applyFill="1" applyAlignment="1">
      <alignment vertical="center"/>
    </xf>
    <xf numFmtId="175" fontId="25" fillId="0" borderId="0" xfId="4" applyNumberFormat="1" applyFont="1" applyFill="1"/>
    <xf numFmtId="0" fontId="25" fillId="0" borderId="0" xfId="4" applyFont="1" applyFill="1" applyAlignment="1">
      <alignment horizontal="justify" vertical="center" wrapText="1"/>
    </xf>
    <xf numFmtId="0" fontId="25" fillId="0" borderId="0" xfId="4" applyFont="1" applyFill="1" applyAlignment="1">
      <alignment vertical="center" wrapText="1"/>
    </xf>
    <xf numFmtId="0" fontId="22" fillId="0" borderId="19" xfId="0" applyFont="1" applyFill="1" applyBorder="1" applyAlignment="1">
      <alignment horizontal="center" vertical="center"/>
    </xf>
    <xf numFmtId="0" fontId="22" fillId="0" borderId="20" xfId="0" applyFont="1" applyFill="1" applyBorder="1" applyAlignment="1">
      <alignment horizontal="center" vertical="center"/>
    </xf>
    <xf numFmtId="0" fontId="22" fillId="0" borderId="21" xfId="0" applyFont="1" applyFill="1" applyBorder="1" applyAlignment="1">
      <alignment horizontal="center" vertical="center"/>
    </xf>
    <xf numFmtId="0" fontId="14" fillId="0" borderId="7" xfId="0" applyFont="1" applyFill="1" applyBorder="1" applyAlignment="1">
      <alignment horizontal="center" vertical="center" wrapText="1" readingOrder="1"/>
    </xf>
    <xf numFmtId="0" fontId="22" fillId="0" borderId="7" xfId="0" applyFont="1" applyFill="1" applyBorder="1" applyAlignment="1">
      <alignment horizontal="center" vertical="center" wrapText="1"/>
    </xf>
    <xf numFmtId="0" fontId="13" fillId="0" borderId="7" xfId="0" applyFont="1" applyFill="1" applyBorder="1" applyAlignment="1">
      <alignment horizontal="left" vertical="center" wrapText="1" readingOrder="1"/>
    </xf>
    <xf numFmtId="0" fontId="21" fillId="0" borderId="7" xfId="0" applyFont="1" applyFill="1" applyBorder="1" applyAlignment="1">
      <alignment vertical="center" wrapText="1"/>
    </xf>
    <xf numFmtId="0" fontId="21" fillId="0" borderId="7" xfId="0" applyFont="1" applyFill="1" applyBorder="1" applyAlignment="1">
      <alignment horizontal="justify" vertical="center" wrapText="1"/>
    </xf>
    <xf numFmtId="0" fontId="27" fillId="0" borderId="0" xfId="0" applyFont="1" applyFill="1" applyAlignment="1">
      <alignment horizontal="left" vertical="top" readingOrder="1"/>
    </xf>
    <xf numFmtId="0" fontId="27" fillId="0" borderId="0" xfId="0" applyFont="1" applyFill="1" applyAlignment="1">
      <alignment horizontal="left" vertical="top" readingOrder="1"/>
    </xf>
    <xf numFmtId="0" fontId="24" fillId="0" borderId="12" xfId="4" applyFont="1" applyFill="1" applyBorder="1" applyAlignment="1">
      <alignment horizontal="center"/>
    </xf>
    <xf numFmtId="0" fontId="24" fillId="0" borderId="9" xfId="4" applyFont="1" applyFill="1" applyBorder="1" applyAlignment="1">
      <alignment horizontal="center" wrapText="1"/>
    </xf>
    <xf numFmtId="0" fontId="24" fillId="0" borderId="10" xfId="4" applyFont="1" applyFill="1" applyBorder="1" applyAlignment="1">
      <alignment horizontal="center" wrapText="1"/>
    </xf>
    <xf numFmtId="0" fontId="24" fillId="0" borderId="11" xfId="4" applyFont="1" applyFill="1" applyBorder="1" applyAlignment="1">
      <alignment horizontal="center" wrapText="1"/>
    </xf>
    <xf numFmtId="0" fontId="24" fillId="0" borderId="9" xfId="4" applyFont="1" applyFill="1" applyBorder="1" applyAlignment="1">
      <alignment horizontal="center"/>
    </xf>
    <xf numFmtId="0" fontId="24" fillId="0" borderId="11" xfId="4" applyFont="1" applyFill="1" applyBorder="1" applyAlignment="1">
      <alignment horizontal="center"/>
    </xf>
    <xf numFmtId="43" fontId="25" fillId="0" borderId="9" xfId="7" applyFont="1" applyFill="1" applyBorder="1" applyAlignment="1">
      <alignment horizontal="center"/>
    </xf>
    <xf numFmtId="43" fontId="25" fillId="0" borderId="10" xfId="7" applyFont="1" applyFill="1" applyBorder="1" applyAlignment="1">
      <alignment horizontal="center"/>
    </xf>
    <xf numFmtId="43" fontId="25" fillId="0" borderId="11" xfId="7" applyFont="1" applyFill="1" applyBorder="1" applyAlignment="1">
      <alignment horizontal="center"/>
    </xf>
    <xf numFmtId="0" fontId="25" fillId="0" borderId="0" xfId="4" applyFont="1" applyFill="1" applyAlignment="1">
      <alignment horizontal="center"/>
    </xf>
    <xf numFmtId="0" fontId="24" fillId="0" borderId="0" xfId="4" applyFont="1" applyFill="1" applyAlignment="1">
      <alignment horizontal="center"/>
    </xf>
    <xf numFmtId="43" fontId="25" fillId="0" borderId="12" xfId="7" applyFont="1" applyFill="1" applyBorder="1"/>
    <xf numFmtId="175" fontId="25" fillId="0" borderId="12" xfId="4" applyNumberFormat="1" applyFont="1" applyFill="1" applyBorder="1"/>
    <xf numFmtId="4" fontId="25" fillId="0" borderId="0" xfId="4" applyNumberFormat="1" applyFont="1" applyFill="1"/>
    <xf numFmtId="0" fontId="25" fillId="0" borderId="0" xfId="4" applyFont="1" applyFill="1" applyAlignment="1">
      <alignment horizontal="left" vertical="center" wrapText="1"/>
    </xf>
    <xf numFmtId="0" fontId="13" fillId="0" borderId="0" xfId="0" quotePrefix="1" applyFont="1" applyFill="1" applyAlignment="1">
      <alignment horizontal="left" vertical="center" wrapText="1" readingOrder="1"/>
    </xf>
    <xf numFmtId="0" fontId="24" fillId="0" borderId="14" xfId="4" applyFont="1" applyFill="1" applyBorder="1" applyAlignment="1">
      <alignment horizontal="center" vertical="center"/>
    </xf>
    <xf numFmtId="0" fontId="24" fillId="0" borderId="9" xfId="4" applyFont="1" applyFill="1" applyBorder="1" applyAlignment="1">
      <alignment horizontal="center" vertical="center"/>
    </xf>
    <xf numFmtId="0" fontId="24" fillId="0" borderId="10" xfId="4" applyFont="1" applyFill="1" applyBorder="1" applyAlignment="1">
      <alignment horizontal="center" vertical="center"/>
    </xf>
    <xf numFmtId="0" fontId="24" fillId="0" borderId="11" xfId="4" applyFont="1" applyFill="1" applyBorder="1" applyAlignment="1">
      <alignment horizontal="center" vertical="center"/>
    </xf>
    <xf numFmtId="0" fontId="24" fillId="0" borderId="9" xfId="4" applyFont="1" applyFill="1" applyBorder="1" applyAlignment="1">
      <alignment horizontal="center" vertical="center" wrapText="1"/>
    </xf>
    <xf numFmtId="0" fontId="24" fillId="0" borderId="10" xfId="4" applyFont="1" applyFill="1" applyBorder="1" applyAlignment="1">
      <alignment horizontal="center" vertical="center" wrapText="1"/>
    </xf>
    <xf numFmtId="0" fontId="24" fillId="0" borderId="11" xfId="4" applyFont="1" applyFill="1" applyBorder="1" applyAlignment="1">
      <alignment horizontal="center" vertical="center" wrapText="1"/>
    </xf>
    <xf numFmtId="0" fontId="24" fillId="0" borderId="14" xfId="4" applyFont="1" applyFill="1" applyBorder="1" applyAlignment="1">
      <alignment horizontal="center" vertical="center" wrapText="1"/>
    </xf>
    <xf numFmtId="4" fontId="21" fillId="0" borderId="12" xfId="0" applyNumberFormat="1" applyFont="1" applyFill="1" applyBorder="1" applyAlignment="1">
      <alignment vertical="center"/>
    </xf>
    <xf numFmtId="0" fontId="14" fillId="0" borderId="0" xfId="0" applyFont="1" applyFill="1" applyAlignment="1">
      <alignment horizontal="left" vertical="center" wrapText="1" readingOrder="1"/>
    </xf>
    <xf numFmtId="0" fontId="24" fillId="0" borderId="12" xfId="4" applyFont="1" applyFill="1" applyBorder="1" applyAlignment="1">
      <alignment horizontal="center" wrapText="1"/>
    </xf>
    <xf numFmtId="0" fontId="20" fillId="0" borderId="0" xfId="6" applyFont="1" applyFill="1" applyAlignment="1">
      <alignment horizontal="left" vertical="center" wrapText="1" readingOrder="1"/>
    </xf>
    <xf numFmtId="0" fontId="13" fillId="0" borderId="0" xfId="6" quotePrefix="1" applyFont="1" applyFill="1" applyAlignment="1">
      <alignment horizontal="left" vertical="center" wrapText="1" readingOrder="1"/>
    </xf>
    <xf numFmtId="0" fontId="13" fillId="0" borderId="0" xfId="6" applyFont="1" applyFill="1" applyAlignment="1">
      <alignment horizontal="left" vertical="center" wrapText="1" readingOrder="1"/>
    </xf>
    <xf numFmtId="0" fontId="14" fillId="0" borderId="9" xfId="0" applyFont="1" applyFill="1" applyBorder="1" applyAlignment="1">
      <alignment horizontal="center" vertical="center" wrapText="1" readingOrder="1"/>
    </xf>
    <xf numFmtId="0" fontId="14" fillId="0" borderId="11" xfId="0" applyFont="1" applyFill="1" applyBorder="1" applyAlignment="1">
      <alignment horizontal="center" vertical="center" wrapText="1" readingOrder="1"/>
    </xf>
    <xf numFmtId="0" fontId="13" fillId="0" borderId="13" xfId="0" applyFont="1" applyFill="1" applyBorder="1" applyAlignment="1">
      <alignment horizontal="left" vertical="center" wrapText="1" readingOrder="1"/>
    </xf>
  </cellXfs>
  <cellStyles count="12">
    <cellStyle name="Comma 2" xfId="7" xr:uid="{4248B1EB-E676-44A8-91AB-5E5875F742F9}"/>
    <cellStyle name="Comma 2 2" xfId="9" xr:uid="{327D42C9-8AE8-4F68-A1D6-435259070424}"/>
    <cellStyle name="Comma 3" xfId="2" xr:uid="{31E2556A-C65F-40A1-A5F7-06085B30F2CA}"/>
    <cellStyle name="Hyperlink 2" xfId="3" xr:uid="{9540B33B-4BBB-4A21-A39A-9E8C07D451B3}"/>
    <cellStyle name="Normal" xfId="0" builtinId="0"/>
    <cellStyle name="Normal 2 2 2" xfId="4" xr:uid="{19921BD4-6908-45B5-9BF1-56699AE5EA9A}"/>
    <cellStyle name="Normal 2 2 3" xfId="11" xr:uid="{DC421A9B-1974-4785-95E2-E13B0B7CA14D}"/>
    <cellStyle name="Normal 2 3" xfId="5" xr:uid="{9B650391-4058-442F-AFBA-344CB2A57E16}"/>
    <cellStyle name="Normal 3" xfId="6" xr:uid="{197948AC-380A-4B9E-B057-393D0F0D6A66}"/>
    <cellStyle name="Normal 4" xfId="10" xr:uid="{1BDD83FB-6D01-45BA-926F-F55E41420417}"/>
    <cellStyle name="Percent" xfId="1" builtinId="5"/>
    <cellStyle name="Percent 2" xfId="8" xr:uid="{034813DF-54F3-45DC-B063-B60A0F8B46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159</xdr:row>
      <xdr:rowOff>0</xdr:rowOff>
    </xdr:from>
    <xdr:to>
      <xdr:col>2</xdr:col>
      <xdr:colOff>2066925</xdr:colOff>
      <xdr:row>160</xdr:row>
      <xdr:rowOff>27375</xdr:rowOff>
    </xdr:to>
    <xdr:pic>
      <xdr:nvPicPr>
        <xdr:cNvPr id="4" name="Picture 3">
          <a:extLst>
            <a:ext uri="{FF2B5EF4-FFF2-40B4-BE49-F238E27FC236}">
              <a16:creationId xmlns:a16="http://schemas.microsoft.com/office/drawing/2014/main" id="{3CDD335A-284B-4125-9DCD-4EABF2DDC8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31782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57152</xdr:colOff>
      <xdr:row>164</xdr:row>
      <xdr:rowOff>180976</xdr:rowOff>
    </xdr:from>
    <xdr:to>
      <xdr:col>2</xdr:col>
      <xdr:colOff>2028825</xdr:colOff>
      <xdr:row>165</xdr:row>
      <xdr:rowOff>65476</xdr:rowOff>
    </xdr:to>
    <xdr:pic>
      <xdr:nvPicPr>
        <xdr:cNvPr id="5" name="Picture 4">
          <a:extLst>
            <a:ext uri="{FF2B5EF4-FFF2-40B4-BE49-F238E27FC236}">
              <a16:creationId xmlns:a16="http://schemas.microsoft.com/office/drawing/2014/main" id="{548651A1-0B4C-4B73-9737-14BA093580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31099126"/>
          <a:ext cx="3352798"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156</xdr:row>
      <xdr:rowOff>0</xdr:rowOff>
    </xdr:from>
    <xdr:to>
      <xdr:col>2</xdr:col>
      <xdr:colOff>1838326</xdr:colOff>
      <xdr:row>168</xdr:row>
      <xdr:rowOff>36900</xdr:rowOff>
    </xdr:to>
    <xdr:pic>
      <xdr:nvPicPr>
        <xdr:cNvPr id="4" name="Picture 3">
          <a:extLst>
            <a:ext uri="{FF2B5EF4-FFF2-40B4-BE49-F238E27FC236}">
              <a16:creationId xmlns:a16="http://schemas.microsoft.com/office/drawing/2014/main" id="{64456AC3-FB25-411A-8B8E-5CE89758AE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284130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xdr:row>
      <xdr:rowOff>0</xdr:rowOff>
    </xdr:from>
    <xdr:to>
      <xdr:col>2</xdr:col>
      <xdr:colOff>1819275</xdr:colOff>
      <xdr:row>151</xdr:row>
      <xdr:rowOff>1980000</xdr:rowOff>
    </xdr:to>
    <xdr:pic>
      <xdr:nvPicPr>
        <xdr:cNvPr id="5" name="Picture 4">
          <a:extLst>
            <a:ext uri="{FF2B5EF4-FFF2-40B4-BE49-F238E27FC236}">
              <a16:creationId xmlns:a16="http://schemas.microsoft.com/office/drawing/2014/main" id="{5F0C3F62-1699-4573-99E8-B99685A46D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631775"/>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2005514</xdr:colOff>
      <xdr:row>171</xdr:row>
      <xdr:rowOff>27375</xdr:rowOff>
    </xdr:to>
    <xdr:pic>
      <xdr:nvPicPr>
        <xdr:cNvPr id="4" name="Picture 3">
          <a:extLst>
            <a:ext uri="{FF2B5EF4-FFF2-40B4-BE49-F238E27FC236}">
              <a16:creationId xmlns:a16="http://schemas.microsoft.com/office/drawing/2014/main" id="{D6E2DFD5-8024-40BE-A926-74100CF303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613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2005514</xdr:colOff>
      <xdr:row>176</xdr:row>
      <xdr:rowOff>1980000</xdr:rowOff>
    </xdr:to>
    <xdr:pic>
      <xdr:nvPicPr>
        <xdr:cNvPr id="5" name="Picture 4">
          <a:extLst>
            <a:ext uri="{FF2B5EF4-FFF2-40B4-BE49-F238E27FC236}">
              <a16:creationId xmlns:a16="http://schemas.microsoft.com/office/drawing/2014/main" id="{BB42D0A1-473F-4D80-B7AB-34469EBC85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3754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186</xdr:row>
      <xdr:rowOff>200025</xdr:rowOff>
    </xdr:from>
    <xdr:to>
      <xdr:col>2</xdr:col>
      <xdr:colOff>2209800</xdr:colOff>
      <xdr:row>186</xdr:row>
      <xdr:rowOff>2180025</xdr:rowOff>
    </xdr:to>
    <xdr:pic>
      <xdr:nvPicPr>
        <xdr:cNvPr id="4" name="Picture 3">
          <a:extLst>
            <a:ext uri="{FF2B5EF4-FFF2-40B4-BE49-F238E27FC236}">
              <a16:creationId xmlns:a16="http://schemas.microsoft.com/office/drawing/2014/main" id="{CCCA0832-93EE-4D5C-B8D9-81D507B5C0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994975"/>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181</xdr:row>
      <xdr:rowOff>0</xdr:rowOff>
    </xdr:from>
    <xdr:to>
      <xdr:col>2</xdr:col>
      <xdr:colOff>2190750</xdr:colOff>
      <xdr:row>182</xdr:row>
      <xdr:rowOff>151200</xdr:rowOff>
    </xdr:to>
    <xdr:pic>
      <xdr:nvPicPr>
        <xdr:cNvPr id="5" name="Picture 4">
          <a:extLst>
            <a:ext uri="{FF2B5EF4-FFF2-40B4-BE49-F238E27FC236}">
              <a16:creationId xmlns:a16="http://schemas.microsoft.com/office/drawing/2014/main" id="{ADF092C0-E7FC-4383-A7DF-519F424916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3194625"/>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2005514</xdr:colOff>
      <xdr:row>206</xdr:row>
      <xdr:rowOff>27375</xdr:rowOff>
    </xdr:to>
    <xdr:pic>
      <xdr:nvPicPr>
        <xdr:cNvPr id="4" name="Picture 3">
          <a:extLst>
            <a:ext uri="{FF2B5EF4-FFF2-40B4-BE49-F238E27FC236}">
              <a16:creationId xmlns:a16="http://schemas.microsoft.com/office/drawing/2014/main" id="{CA44E604-C621-407E-B497-4E6A843061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090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210</xdr:row>
      <xdr:rowOff>0</xdr:rowOff>
    </xdr:from>
    <xdr:to>
      <xdr:col>2</xdr:col>
      <xdr:colOff>2005514</xdr:colOff>
      <xdr:row>210</xdr:row>
      <xdr:rowOff>1980000</xdr:rowOff>
    </xdr:to>
    <xdr:pic>
      <xdr:nvPicPr>
        <xdr:cNvPr id="5" name="Picture 4">
          <a:extLst>
            <a:ext uri="{FF2B5EF4-FFF2-40B4-BE49-F238E27FC236}">
              <a16:creationId xmlns:a16="http://schemas.microsoft.com/office/drawing/2014/main" id="{4EB3F3FA-54F7-4F66-9CF5-764A1112CF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690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2000250</xdr:colOff>
      <xdr:row>176</xdr:row>
      <xdr:rowOff>27375</xdr:rowOff>
    </xdr:to>
    <xdr:pic>
      <xdr:nvPicPr>
        <xdr:cNvPr id="4" name="Picture 3">
          <a:extLst>
            <a:ext uri="{FF2B5EF4-FFF2-40B4-BE49-F238E27FC236}">
              <a16:creationId xmlns:a16="http://schemas.microsoft.com/office/drawing/2014/main" id="{356D0480-1FCF-401A-8DA1-178A84D44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09937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180</xdr:row>
      <xdr:rowOff>0</xdr:rowOff>
    </xdr:from>
    <xdr:to>
      <xdr:col>2</xdr:col>
      <xdr:colOff>2005515</xdr:colOff>
      <xdr:row>180</xdr:row>
      <xdr:rowOff>1980000</xdr:rowOff>
    </xdr:to>
    <xdr:pic>
      <xdr:nvPicPr>
        <xdr:cNvPr id="5" name="Picture 4">
          <a:extLst>
            <a:ext uri="{FF2B5EF4-FFF2-40B4-BE49-F238E27FC236}">
              <a16:creationId xmlns:a16="http://schemas.microsoft.com/office/drawing/2014/main" id="{3511C2A5-C9F4-4F64-B0B7-6F38E676B8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56997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2005514</xdr:colOff>
      <xdr:row>211</xdr:row>
      <xdr:rowOff>1980000</xdr:rowOff>
    </xdr:to>
    <xdr:pic>
      <xdr:nvPicPr>
        <xdr:cNvPr id="4" name="Picture 3">
          <a:extLst>
            <a:ext uri="{FF2B5EF4-FFF2-40B4-BE49-F238E27FC236}">
              <a16:creationId xmlns:a16="http://schemas.microsoft.com/office/drawing/2014/main" id="{3519FC46-D955-4147-9C05-7C5D332347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7859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xdr:row>
      <xdr:rowOff>0</xdr:rowOff>
    </xdr:from>
    <xdr:to>
      <xdr:col>2</xdr:col>
      <xdr:colOff>2005514</xdr:colOff>
      <xdr:row>206</xdr:row>
      <xdr:rowOff>27375</xdr:rowOff>
    </xdr:to>
    <xdr:pic>
      <xdr:nvPicPr>
        <xdr:cNvPr id="5" name="Picture 4">
          <a:extLst>
            <a:ext uri="{FF2B5EF4-FFF2-40B4-BE49-F238E27FC236}">
              <a16:creationId xmlns:a16="http://schemas.microsoft.com/office/drawing/2014/main" id="{0514A76E-4925-401C-AFAA-E47D9ADDDF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861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2066924</xdr:colOff>
      <xdr:row>139</xdr:row>
      <xdr:rowOff>27375</xdr:rowOff>
    </xdr:to>
    <xdr:pic>
      <xdr:nvPicPr>
        <xdr:cNvPr id="4" name="Picture 3">
          <a:extLst>
            <a:ext uri="{FF2B5EF4-FFF2-40B4-BE49-F238E27FC236}">
              <a16:creationId xmlns:a16="http://schemas.microsoft.com/office/drawing/2014/main" id="{3EDD6E34-92BF-4992-9E59-77AE26D345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974675"/>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143</xdr:row>
      <xdr:rowOff>38101</xdr:rowOff>
    </xdr:from>
    <xdr:to>
      <xdr:col>2</xdr:col>
      <xdr:colOff>2028824</xdr:colOff>
      <xdr:row>143</xdr:row>
      <xdr:rowOff>2018101</xdr:rowOff>
    </xdr:to>
    <xdr:pic>
      <xdr:nvPicPr>
        <xdr:cNvPr id="5" name="Picture 4">
          <a:extLst>
            <a:ext uri="{FF2B5EF4-FFF2-40B4-BE49-F238E27FC236}">
              <a16:creationId xmlns:a16="http://schemas.microsoft.com/office/drawing/2014/main" id="{EEF05BF5-5017-49A2-A93A-689915A231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8613101"/>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2066925</xdr:colOff>
      <xdr:row>163</xdr:row>
      <xdr:rowOff>28576</xdr:rowOff>
    </xdr:to>
    <xdr:pic>
      <xdr:nvPicPr>
        <xdr:cNvPr id="4" name="Picture 3">
          <a:extLst>
            <a:ext uri="{FF2B5EF4-FFF2-40B4-BE49-F238E27FC236}">
              <a16:creationId xmlns:a16="http://schemas.microsoft.com/office/drawing/2014/main" id="{829CA046-5F8B-431A-A3BB-D5DA273B77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2799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167</xdr:row>
      <xdr:rowOff>123825</xdr:rowOff>
    </xdr:from>
    <xdr:to>
      <xdr:col>2</xdr:col>
      <xdr:colOff>2019298</xdr:colOff>
      <xdr:row>168</xdr:row>
      <xdr:rowOff>8325</xdr:rowOff>
    </xdr:to>
    <xdr:pic>
      <xdr:nvPicPr>
        <xdr:cNvPr id="5" name="Picture 4">
          <a:extLst>
            <a:ext uri="{FF2B5EF4-FFF2-40B4-BE49-F238E27FC236}">
              <a16:creationId xmlns:a16="http://schemas.microsoft.com/office/drawing/2014/main" id="{73AB4D19-C78E-4BFC-9B89-1B135B8449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00412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115</xdr:row>
      <xdr:rowOff>161924</xdr:rowOff>
    </xdr:from>
    <xdr:to>
      <xdr:col>2</xdr:col>
      <xdr:colOff>2084098</xdr:colOff>
      <xdr:row>116</xdr:row>
      <xdr:rowOff>1979999</xdr:rowOff>
    </xdr:to>
    <xdr:pic>
      <xdr:nvPicPr>
        <xdr:cNvPr id="4" name="Picture 3">
          <a:extLst>
            <a:ext uri="{FF2B5EF4-FFF2-40B4-BE49-F238E27FC236}">
              <a16:creationId xmlns:a16="http://schemas.microsoft.com/office/drawing/2014/main" id="{4EE9F57E-DC91-4FE4-A88B-46081E71D8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21229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xdr:row>
      <xdr:rowOff>0</xdr:rowOff>
    </xdr:from>
    <xdr:to>
      <xdr:col>2</xdr:col>
      <xdr:colOff>2006475</xdr:colOff>
      <xdr:row>112</xdr:row>
      <xdr:rowOff>25899</xdr:rowOff>
    </xdr:to>
    <xdr:pic>
      <xdr:nvPicPr>
        <xdr:cNvPr id="5" name="Picture 4">
          <a:extLst>
            <a:ext uri="{FF2B5EF4-FFF2-40B4-BE49-F238E27FC236}">
              <a16:creationId xmlns:a16="http://schemas.microsoft.com/office/drawing/2014/main" id="{C81FFA2D-3033-490D-B3CF-6837E08BA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61197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3C25-3E65-49EE-B9E2-1DF6D6EB5A58}">
  <dimension ref="A1:C11"/>
  <sheetViews>
    <sheetView tabSelected="1" workbookViewId="0">
      <selection activeCell="B9" sqref="B9"/>
    </sheetView>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601</v>
      </c>
      <c r="B1" s="3" t="s">
        <v>602</v>
      </c>
      <c r="C1" s="3" t="s">
        <v>603</v>
      </c>
    </row>
    <row r="2" spans="1:3" x14ac:dyDescent="0.25">
      <c r="A2" s="5">
        <v>1</v>
      </c>
      <c r="B2" s="6" t="s">
        <v>604</v>
      </c>
      <c r="C2" s="7" t="s">
        <v>1</v>
      </c>
    </row>
    <row r="3" spans="1:3" x14ac:dyDescent="0.25">
      <c r="A3" s="5">
        <v>2</v>
      </c>
      <c r="B3" s="6" t="s">
        <v>605</v>
      </c>
      <c r="C3" s="7" t="s">
        <v>139</v>
      </c>
    </row>
    <row r="4" spans="1:3" x14ac:dyDescent="0.25">
      <c r="A4" s="5">
        <v>3</v>
      </c>
      <c r="B4" s="6" t="s">
        <v>606</v>
      </c>
      <c r="C4" s="7" t="s">
        <v>180</v>
      </c>
    </row>
    <row r="5" spans="1:3" x14ac:dyDescent="0.25">
      <c r="A5" s="5">
        <v>4</v>
      </c>
      <c r="B5" s="6" t="s">
        <v>607</v>
      </c>
      <c r="C5" s="7" t="s">
        <v>279</v>
      </c>
    </row>
    <row r="6" spans="1:3" x14ac:dyDescent="0.25">
      <c r="A6" s="5">
        <v>5</v>
      </c>
      <c r="B6" s="6" t="s">
        <v>608</v>
      </c>
      <c r="C6" s="7" t="s">
        <v>320</v>
      </c>
    </row>
    <row r="7" spans="1:3" x14ac:dyDescent="0.25">
      <c r="A7" s="5">
        <v>6</v>
      </c>
      <c r="B7" s="6" t="s">
        <v>609</v>
      </c>
      <c r="C7" s="7" t="s">
        <v>468</v>
      </c>
    </row>
    <row r="8" spans="1:3" x14ac:dyDescent="0.25">
      <c r="A8" s="5">
        <v>7</v>
      </c>
      <c r="B8" s="6" t="s">
        <v>610</v>
      </c>
      <c r="C8" s="7" t="s">
        <v>483</v>
      </c>
    </row>
    <row r="9" spans="1:3" x14ac:dyDescent="0.25">
      <c r="A9" s="5">
        <v>8</v>
      </c>
      <c r="B9" s="6" t="s">
        <v>611</v>
      </c>
      <c r="C9" s="7" t="s">
        <v>526</v>
      </c>
    </row>
    <row r="10" spans="1:3" x14ac:dyDescent="0.25">
      <c r="A10" s="5">
        <v>9</v>
      </c>
      <c r="B10" s="6" t="s">
        <v>612</v>
      </c>
      <c r="C10" s="7" t="s">
        <v>529</v>
      </c>
    </row>
    <row r="11" spans="1:3" x14ac:dyDescent="0.25">
      <c r="A11" s="5">
        <v>10</v>
      </c>
      <c r="B11" s="6" t="s">
        <v>613</v>
      </c>
      <c r="C11" s="7" t="s">
        <v>591</v>
      </c>
    </row>
  </sheetData>
  <hyperlinks>
    <hyperlink ref="B3" location="SFRSTP!A1" display="SFRSTP" xr:uid="{6EC81019-F447-465D-81D1-CAF7E5993D6E}"/>
    <hyperlink ref="B4" location="SMMF!A1" display="SMMF" xr:uid="{2576983F-B7DA-4F92-851E-78FDF72F97AA}"/>
    <hyperlink ref="B5" location="SPLDF!A1" display="SPLDF" xr:uid="{E729B14B-9DAA-464C-B4B7-1659E892E251}"/>
    <hyperlink ref="B6" location="SPMON!A1" display="SPMON" xr:uid="{27009A32-D838-476A-849F-75DABE09CA0F}"/>
    <hyperlink ref="B7" location="SPSDF!A1" display="SPSDF" xr:uid="{AC92A43C-D819-45C6-92BF-E414F9AF4B6D}"/>
    <hyperlink ref="B8" location="SPUSDF!A1" display="SPUSDF" xr:uid="{EBC9AE95-FBBB-414F-B28B-AFA10644434D}"/>
    <hyperlink ref="B9" location="SUNBDS!A1" display="SUNBDS" xr:uid="{20EA4DCF-4654-47CB-B928-3D54D3D48852}"/>
    <hyperlink ref="B10" location="SUNMIA!A1" display="SUNMIA" xr:uid="{F8250283-F0D0-4DF3-88C6-82CFEA53E89F}"/>
    <hyperlink ref="B11" location="SUNONF!A1" display="SUNONF" xr:uid="{882490EA-42FA-46A0-BB55-B763BCE868DD}"/>
    <hyperlink ref="B2" location="SFRLTP!A1" display="SFRLTP" xr:uid="{60F078BB-FD01-4993-A588-015F9EFFB4F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7788-9273-4A33-ACA2-177D1E122B79}">
  <sheetPr>
    <outlinePr summaryBelow="0" summaryRight="0"/>
  </sheetPr>
  <dimension ref="A1:Q165"/>
  <sheetViews>
    <sheetView showGridLines="0" workbookViewId="0">
      <selection sqref="A1:H1"/>
    </sheetView>
  </sheetViews>
  <sheetFormatPr defaultRowHeight="12.75" x14ac:dyDescent="0.2"/>
  <cols>
    <col min="1" max="1" width="5.85546875" style="17" bestFit="1" customWidth="1"/>
    <col min="2" max="2" width="20.7109375" style="17" customWidth="1"/>
    <col min="3" max="3" width="69.140625" style="17" bestFit="1" customWidth="1"/>
    <col min="4" max="4" width="10.7109375" style="17" bestFit="1" customWidth="1"/>
    <col min="5" max="5" width="9.42578125" style="17" bestFit="1" customWidth="1"/>
    <col min="6" max="6" width="10.140625" style="17" bestFit="1" customWidth="1"/>
    <col min="7" max="7" width="14" style="17" bestFit="1" customWidth="1"/>
    <col min="8" max="8" width="9.85546875" style="17" bestFit="1" customWidth="1"/>
    <col min="9" max="16384" width="9.140625" style="17"/>
  </cols>
  <sheetData>
    <row r="1" spans="1:9" ht="15" x14ac:dyDescent="0.2">
      <c r="A1" s="16" t="s">
        <v>0</v>
      </c>
      <c r="B1" s="16"/>
      <c r="C1" s="16"/>
      <c r="D1" s="16"/>
      <c r="E1" s="16"/>
      <c r="F1" s="16"/>
      <c r="G1" s="16"/>
      <c r="H1" s="16"/>
      <c r="I1" s="1" t="s">
        <v>599</v>
      </c>
    </row>
    <row r="2" spans="1:9" ht="15" x14ac:dyDescent="0.2">
      <c r="A2" s="16" t="s">
        <v>1</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598</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31">
        <v>1</v>
      </c>
      <c r="B28" s="32" t="s">
        <v>21</v>
      </c>
      <c r="C28" s="32" t="s">
        <v>22</v>
      </c>
      <c r="D28" s="32" t="s">
        <v>23</v>
      </c>
      <c r="E28" s="33">
        <v>5000</v>
      </c>
      <c r="F28" s="34">
        <v>5154.7349999999997</v>
      </c>
      <c r="G28" s="35">
        <v>6.6809350000000003E-2</v>
      </c>
      <c r="H28" s="23">
        <v>6.76</v>
      </c>
    </row>
    <row r="29" spans="1:8" x14ac:dyDescent="0.2">
      <c r="A29" s="31">
        <v>2</v>
      </c>
      <c r="B29" s="32" t="s">
        <v>24</v>
      </c>
      <c r="C29" s="32" t="s">
        <v>25</v>
      </c>
      <c r="D29" s="32" t="s">
        <v>23</v>
      </c>
      <c r="E29" s="33">
        <v>4000</v>
      </c>
      <c r="F29" s="34">
        <v>4088.74</v>
      </c>
      <c r="G29" s="35">
        <v>5.2993230000000002E-2</v>
      </c>
      <c r="H29" s="23">
        <v>6.73</v>
      </c>
    </row>
    <row r="30" spans="1:8" x14ac:dyDescent="0.2">
      <c r="A30" s="31">
        <v>3</v>
      </c>
      <c r="B30" s="32" t="s">
        <v>26</v>
      </c>
      <c r="C30" s="32" t="s">
        <v>27</v>
      </c>
      <c r="D30" s="32" t="s">
        <v>23</v>
      </c>
      <c r="E30" s="33">
        <v>4000</v>
      </c>
      <c r="F30" s="34">
        <v>4030.944</v>
      </c>
      <c r="G30" s="35">
        <v>5.2244150000000003E-2</v>
      </c>
      <c r="H30" s="23">
        <v>6.4500999999999999</v>
      </c>
    </row>
    <row r="31" spans="1:8" x14ac:dyDescent="0.2">
      <c r="A31" s="31">
        <v>4</v>
      </c>
      <c r="B31" s="32" t="s">
        <v>28</v>
      </c>
      <c r="C31" s="32" t="s">
        <v>29</v>
      </c>
      <c r="D31" s="32" t="s">
        <v>23</v>
      </c>
      <c r="E31" s="33">
        <v>300</v>
      </c>
      <c r="F31" s="34">
        <v>3054.4650000000001</v>
      </c>
      <c r="G31" s="35">
        <v>3.9588230000000002E-2</v>
      </c>
      <c r="H31" s="23">
        <v>6.97</v>
      </c>
    </row>
    <row r="32" spans="1:8" x14ac:dyDescent="0.2">
      <c r="A32" s="31">
        <v>5</v>
      </c>
      <c r="B32" s="32" t="s">
        <v>30</v>
      </c>
      <c r="C32" s="32" t="s">
        <v>31</v>
      </c>
      <c r="D32" s="32" t="s">
        <v>32</v>
      </c>
      <c r="E32" s="33">
        <v>2500</v>
      </c>
      <c r="F32" s="34">
        <v>2571.8225000000002</v>
      </c>
      <c r="G32" s="35">
        <v>3.3332809999999997E-2</v>
      </c>
      <c r="H32" s="23">
        <v>6.85</v>
      </c>
    </row>
    <row r="33" spans="1:8" x14ac:dyDescent="0.2">
      <c r="A33" s="31">
        <v>6</v>
      </c>
      <c r="B33" s="32" t="s">
        <v>33</v>
      </c>
      <c r="C33" s="32" t="s">
        <v>34</v>
      </c>
      <c r="D33" s="32" t="s">
        <v>23</v>
      </c>
      <c r="E33" s="33">
        <v>2500</v>
      </c>
      <c r="F33" s="34">
        <v>2567.1725000000001</v>
      </c>
      <c r="G33" s="35">
        <v>3.3272540000000003E-2</v>
      </c>
      <c r="H33" s="23">
        <v>5.7</v>
      </c>
    </row>
    <row r="34" spans="1:8" x14ac:dyDescent="0.2">
      <c r="A34" s="31">
        <v>7</v>
      </c>
      <c r="B34" s="32" t="s">
        <v>35</v>
      </c>
      <c r="C34" s="32" t="s">
        <v>36</v>
      </c>
      <c r="D34" s="32" t="s">
        <v>23</v>
      </c>
      <c r="E34" s="33">
        <v>2500</v>
      </c>
      <c r="F34" s="34">
        <v>2562.5925000000002</v>
      </c>
      <c r="G34" s="35">
        <v>3.3213180000000002E-2</v>
      </c>
      <c r="H34" s="23">
        <v>6.8502999999999998</v>
      </c>
    </row>
    <row r="35" spans="1:8" x14ac:dyDescent="0.2">
      <c r="A35" s="31">
        <v>8</v>
      </c>
      <c r="B35" s="32" t="s">
        <v>37</v>
      </c>
      <c r="C35" s="32" t="s">
        <v>38</v>
      </c>
      <c r="D35" s="32" t="s">
        <v>23</v>
      </c>
      <c r="E35" s="33">
        <v>2500</v>
      </c>
      <c r="F35" s="34">
        <v>2550.7474999999999</v>
      </c>
      <c r="G35" s="35">
        <v>3.3059659999999998E-2</v>
      </c>
      <c r="H35" s="23">
        <v>6.69</v>
      </c>
    </row>
    <row r="36" spans="1:8" x14ac:dyDescent="0.2">
      <c r="A36" s="31">
        <v>9</v>
      </c>
      <c r="B36" s="32" t="s">
        <v>39</v>
      </c>
      <c r="C36" s="32" t="s">
        <v>40</v>
      </c>
      <c r="D36" s="32" t="s">
        <v>23</v>
      </c>
      <c r="E36" s="33">
        <v>2500</v>
      </c>
      <c r="F36" s="34">
        <v>2522.7375000000002</v>
      </c>
      <c r="G36" s="35">
        <v>3.2696629999999997E-2</v>
      </c>
      <c r="H36" s="23">
        <v>6.4850000000000003</v>
      </c>
    </row>
    <row r="37" spans="1:8" x14ac:dyDescent="0.2">
      <c r="A37" s="31">
        <v>10</v>
      </c>
      <c r="B37" s="32" t="s">
        <v>41</v>
      </c>
      <c r="C37" s="32" t="s">
        <v>42</v>
      </c>
      <c r="D37" s="32" t="s">
        <v>23</v>
      </c>
      <c r="E37" s="33">
        <v>2500</v>
      </c>
      <c r="F37" s="34">
        <v>2518.8825000000002</v>
      </c>
      <c r="G37" s="35">
        <v>3.2646670000000003E-2</v>
      </c>
      <c r="H37" s="23">
        <v>6.48</v>
      </c>
    </row>
    <row r="38" spans="1:8" x14ac:dyDescent="0.2">
      <c r="A38" s="31">
        <v>11</v>
      </c>
      <c r="B38" s="32" t="s">
        <v>43</v>
      </c>
      <c r="C38" s="32" t="s">
        <v>44</v>
      </c>
      <c r="D38" s="32" t="s">
        <v>23</v>
      </c>
      <c r="E38" s="33">
        <v>2000</v>
      </c>
      <c r="F38" s="34">
        <v>2053.13</v>
      </c>
      <c r="G38" s="35">
        <v>2.6610149999999999E-2</v>
      </c>
      <c r="H38" s="23">
        <v>6.7702999999999998</v>
      </c>
    </row>
    <row r="39" spans="1:8" x14ac:dyDescent="0.2">
      <c r="A39" s="31">
        <v>12</v>
      </c>
      <c r="B39" s="32" t="s">
        <v>45</v>
      </c>
      <c r="C39" s="32" t="s">
        <v>46</v>
      </c>
      <c r="D39" s="32" t="s">
        <v>32</v>
      </c>
      <c r="E39" s="33">
        <v>200</v>
      </c>
      <c r="F39" s="34">
        <v>2040.4760000000001</v>
      </c>
      <c r="G39" s="35">
        <v>2.6446150000000002E-2</v>
      </c>
      <c r="H39" s="23">
        <v>6.4775</v>
      </c>
    </row>
    <row r="40" spans="1:8" x14ac:dyDescent="0.2">
      <c r="A40" s="31">
        <v>13</v>
      </c>
      <c r="B40" s="32" t="s">
        <v>47</v>
      </c>
      <c r="C40" s="32" t="s">
        <v>48</v>
      </c>
      <c r="D40" s="32" t="s">
        <v>23</v>
      </c>
      <c r="E40" s="33">
        <v>2000</v>
      </c>
      <c r="F40" s="34">
        <v>2035.0740000000001</v>
      </c>
      <c r="G40" s="35">
        <v>2.6376130000000001E-2</v>
      </c>
      <c r="H40" s="23">
        <v>7.5250000000000004</v>
      </c>
    </row>
    <row r="41" spans="1:8" x14ac:dyDescent="0.2">
      <c r="A41" s="31">
        <v>14</v>
      </c>
      <c r="B41" s="32" t="s">
        <v>49</v>
      </c>
      <c r="C41" s="32" t="s">
        <v>50</v>
      </c>
      <c r="D41" s="32" t="s">
        <v>23</v>
      </c>
      <c r="E41" s="33">
        <v>2000</v>
      </c>
      <c r="F41" s="34">
        <v>2018.72</v>
      </c>
      <c r="G41" s="35">
        <v>2.616417E-2</v>
      </c>
      <c r="H41" s="23">
        <v>6.4500999999999999</v>
      </c>
    </row>
    <row r="42" spans="1:8" x14ac:dyDescent="0.2">
      <c r="A42" s="31">
        <v>15</v>
      </c>
      <c r="B42" s="32" t="s">
        <v>51</v>
      </c>
      <c r="C42" s="32" t="s">
        <v>52</v>
      </c>
      <c r="D42" s="32" t="s">
        <v>23</v>
      </c>
      <c r="E42" s="33">
        <v>1500</v>
      </c>
      <c r="F42" s="34">
        <v>1557.8130000000001</v>
      </c>
      <c r="G42" s="35">
        <v>2.019046E-2</v>
      </c>
      <c r="H42" s="23">
        <v>7.1349999999999998</v>
      </c>
    </row>
    <row r="43" spans="1:8" x14ac:dyDescent="0.2">
      <c r="A43" s="31">
        <v>16</v>
      </c>
      <c r="B43" s="32" t="s">
        <v>53</v>
      </c>
      <c r="C43" s="32" t="s">
        <v>54</v>
      </c>
      <c r="D43" s="32" t="s">
        <v>23</v>
      </c>
      <c r="E43" s="33">
        <v>1500</v>
      </c>
      <c r="F43" s="34">
        <v>1521.4845</v>
      </c>
      <c r="G43" s="35">
        <v>1.971962E-2</v>
      </c>
      <c r="H43" s="23">
        <v>6.5</v>
      </c>
    </row>
    <row r="44" spans="1:8" x14ac:dyDescent="0.2">
      <c r="A44" s="31">
        <v>17</v>
      </c>
      <c r="B44" s="32" t="s">
        <v>55</v>
      </c>
      <c r="C44" s="32" t="s">
        <v>56</v>
      </c>
      <c r="D44" s="32" t="s">
        <v>23</v>
      </c>
      <c r="E44" s="33">
        <v>1500</v>
      </c>
      <c r="F44" s="34">
        <v>1514.6085</v>
      </c>
      <c r="G44" s="35">
        <v>1.9630499999999999E-2</v>
      </c>
      <c r="H44" s="23">
        <v>6.6</v>
      </c>
    </row>
    <row r="45" spans="1:8" x14ac:dyDescent="0.2">
      <c r="A45" s="31">
        <v>18</v>
      </c>
      <c r="B45" s="32" t="s">
        <v>57</v>
      </c>
      <c r="C45" s="32" t="s">
        <v>58</v>
      </c>
      <c r="D45" s="32" t="s">
        <v>32</v>
      </c>
      <c r="E45" s="33">
        <v>150</v>
      </c>
      <c r="F45" s="34">
        <v>1513.248</v>
      </c>
      <c r="G45" s="35">
        <v>1.9612859999999999E-2</v>
      </c>
      <c r="H45" s="23">
        <v>6.5650000000000004</v>
      </c>
    </row>
    <row r="46" spans="1:8" x14ac:dyDescent="0.2">
      <c r="A46" s="31">
        <v>19</v>
      </c>
      <c r="B46" s="32" t="s">
        <v>59</v>
      </c>
      <c r="C46" s="32" t="s">
        <v>60</v>
      </c>
      <c r="D46" s="32" t="s">
        <v>23</v>
      </c>
      <c r="E46" s="33">
        <v>1500</v>
      </c>
      <c r="F46" s="34">
        <v>1503.9045000000001</v>
      </c>
      <c r="G46" s="35">
        <v>1.9491769999999999E-2</v>
      </c>
      <c r="H46" s="23">
        <v>6.9</v>
      </c>
    </row>
    <row r="47" spans="1:8" x14ac:dyDescent="0.2">
      <c r="A47" s="31">
        <v>20</v>
      </c>
      <c r="B47" s="32" t="s">
        <v>61</v>
      </c>
      <c r="C47" s="32" t="s">
        <v>62</v>
      </c>
      <c r="D47" s="32" t="s">
        <v>23</v>
      </c>
      <c r="E47" s="33">
        <v>1500</v>
      </c>
      <c r="F47" s="34">
        <v>1487.856</v>
      </c>
      <c r="G47" s="35">
        <v>1.928376E-2</v>
      </c>
      <c r="H47" s="23">
        <v>7.1517999999999997</v>
      </c>
    </row>
    <row r="48" spans="1:8" x14ac:dyDescent="0.2">
      <c r="A48" s="31">
        <v>21</v>
      </c>
      <c r="B48" s="32" t="s">
        <v>63</v>
      </c>
      <c r="C48" s="32" t="s">
        <v>64</v>
      </c>
      <c r="D48" s="32" t="s">
        <v>23</v>
      </c>
      <c r="E48" s="33">
        <v>1400</v>
      </c>
      <c r="F48" s="34">
        <v>1404.5598</v>
      </c>
      <c r="G48" s="35">
        <v>1.820418E-2</v>
      </c>
      <c r="H48" s="23">
        <v>7.27</v>
      </c>
    </row>
    <row r="49" spans="1:8" x14ac:dyDescent="0.2">
      <c r="A49" s="31">
        <v>22</v>
      </c>
      <c r="B49" s="32" t="s">
        <v>65</v>
      </c>
      <c r="C49" s="32" t="s">
        <v>66</v>
      </c>
      <c r="D49" s="32" t="s">
        <v>23</v>
      </c>
      <c r="E49" s="33">
        <v>1300</v>
      </c>
      <c r="F49" s="34">
        <v>1296.6863000000001</v>
      </c>
      <c r="G49" s="35">
        <v>1.6806060000000001E-2</v>
      </c>
      <c r="H49" s="23">
        <v>6.7060000000000004</v>
      </c>
    </row>
    <row r="50" spans="1:8" x14ac:dyDescent="0.2">
      <c r="A50" s="31">
        <v>23</v>
      </c>
      <c r="B50" s="32" t="s">
        <v>67</v>
      </c>
      <c r="C50" s="32" t="s">
        <v>68</v>
      </c>
      <c r="D50" s="32" t="s">
        <v>23</v>
      </c>
      <c r="E50" s="33">
        <v>100</v>
      </c>
      <c r="F50" s="34">
        <v>1021.7910000000001</v>
      </c>
      <c r="G50" s="35">
        <v>1.32432E-2</v>
      </c>
      <c r="H50" s="23">
        <v>6.97</v>
      </c>
    </row>
    <row r="51" spans="1:8" x14ac:dyDescent="0.2">
      <c r="A51" s="31">
        <v>24</v>
      </c>
      <c r="B51" s="32" t="s">
        <v>69</v>
      </c>
      <c r="C51" s="32" t="s">
        <v>70</v>
      </c>
      <c r="D51" s="32" t="s">
        <v>23</v>
      </c>
      <c r="E51" s="33">
        <v>1000</v>
      </c>
      <c r="F51" s="34">
        <v>1017.516</v>
      </c>
      <c r="G51" s="35">
        <v>1.318779E-2</v>
      </c>
      <c r="H51" s="23">
        <v>7.1150000000000002</v>
      </c>
    </row>
    <row r="52" spans="1:8" x14ac:dyDescent="0.2">
      <c r="A52" s="31">
        <v>25</v>
      </c>
      <c r="B52" s="32" t="s">
        <v>71</v>
      </c>
      <c r="C52" s="32" t="s">
        <v>72</v>
      </c>
      <c r="D52" s="32" t="s">
        <v>23</v>
      </c>
      <c r="E52" s="33">
        <v>1000</v>
      </c>
      <c r="F52" s="34">
        <v>1008.927</v>
      </c>
      <c r="G52" s="35">
        <v>1.307647E-2</v>
      </c>
      <c r="H52" s="23">
        <v>6.58</v>
      </c>
    </row>
    <row r="53" spans="1:8" x14ac:dyDescent="0.2">
      <c r="A53" s="31">
        <v>26</v>
      </c>
      <c r="B53" s="32" t="s">
        <v>73</v>
      </c>
      <c r="C53" s="32" t="s">
        <v>74</v>
      </c>
      <c r="D53" s="32" t="s">
        <v>23</v>
      </c>
      <c r="E53" s="33">
        <v>500</v>
      </c>
      <c r="F53" s="34">
        <v>510.77949999999998</v>
      </c>
      <c r="G53" s="35">
        <v>6.6201000000000003E-3</v>
      </c>
      <c r="H53" s="23">
        <v>7.51</v>
      </c>
    </row>
    <row r="54" spans="1:8" x14ac:dyDescent="0.2">
      <c r="A54" s="31">
        <v>27</v>
      </c>
      <c r="B54" s="32" t="s">
        <v>75</v>
      </c>
      <c r="C54" s="32" t="s">
        <v>76</v>
      </c>
      <c r="D54" s="32" t="s">
        <v>23</v>
      </c>
      <c r="E54" s="33">
        <v>500</v>
      </c>
      <c r="F54" s="34">
        <v>509.94450000000001</v>
      </c>
      <c r="G54" s="35">
        <v>6.6092800000000004E-3</v>
      </c>
      <c r="H54" s="23">
        <v>6.64</v>
      </c>
    </row>
    <row r="55" spans="1:8" x14ac:dyDescent="0.2">
      <c r="A55" s="24"/>
      <c r="B55" s="24"/>
      <c r="C55" s="25" t="s">
        <v>11</v>
      </c>
      <c r="D55" s="24"/>
      <c r="E55" s="24" t="s">
        <v>12</v>
      </c>
      <c r="F55" s="30">
        <v>55639.357600000003</v>
      </c>
      <c r="G55" s="27">
        <v>0.72112909999999997</v>
      </c>
      <c r="H55" s="23" t="s">
        <v>12</v>
      </c>
    </row>
    <row r="56" spans="1:8" x14ac:dyDescent="0.2">
      <c r="A56" s="24"/>
      <c r="B56" s="24"/>
      <c r="C56" s="28"/>
      <c r="D56" s="24"/>
      <c r="E56" s="24"/>
      <c r="F56" s="29"/>
      <c r="G56" s="29"/>
      <c r="H56" s="23" t="s">
        <v>12</v>
      </c>
    </row>
    <row r="57" spans="1:8" x14ac:dyDescent="0.2">
      <c r="A57" s="24"/>
      <c r="B57" s="24"/>
      <c r="C57" s="25" t="s">
        <v>77</v>
      </c>
      <c r="D57" s="24"/>
      <c r="E57" s="24"/>
      <c r="F57" s="24"/>
      <c r="G57" s="24"/>
      <c r="H57" s="23" t="s">
        <v>12</v>
      </c>
    </row>
    <row r="58" spans="1:8" x14ac:dyDescent="0.2">
      <c r="A58" s="24"/>
      <c r="B58" s="24"/>
      <c r="C58" s="25" t="s">
        <v>11</v>
      </c>
      <c r="D58" s="24"/>
      <c r="E58" s="24" t="s">
        <v>12</v>
      </c>
      <c r="F58" s="26" t="s">
        <v>13</v>
      </c>
      <c r="G58" s="27">
        <v>0</v>
      </c>
      <c r="H58" s="23" t="s">
        <v>12</v>
      </c>
    </row>
    <row r="59" spans="1:8" x14ac:dyDescent="0.2">
      <c r="A59" s="24"/>
      <c r="B59" s="24"/>
      <c r="C59" s="28"/>
      <c r="D59" s="24"/>
      <c r="E59" s="24"/>
      <c r="F59" s="29"/>
      <c r="G59" s="29"/>
      <c r="H59" s="23" t="s">
        <v>12</v>
      </c>
    </row>
    <row r="60" spans="1:8" x14ac:dyDescent="0.2">
      <c r="A60" s="24"/>
      <c r="B60" s="24"/>
      <c r="C60" s="25" t="s">
        <v>78</v>
      </c>
      <c r="D60" s="24"/>
      <c r="E60" s="24"/>
      <c r="F60" s="24"/>
      <c r="G60" s="24"/>
      <c r="H60" s="23" t="s">
        <v>12</v>
      </c>
    </row>
    <row r="61" spans="1:8" x14ac:dyDescent="0.2">
      <c r="A61" s="31">
        <v>1</v>
      </c>
      <c r="B61" s="32" t="s">
        <v>79</v>
      </c>
      <c r="C61" s="32" t="s">
        <v>80</v>
      </c>
      <c r="D61" s="32" t="s">
        <v>81</v>
      </c>
      <c r="E61" s="33">
        <v>4000000</v>
      </c>
      <c r="F61" s="34">
        <v>4112.7719999999999</v>
      </c>
      <c r="G61" s="35">
        <v>5.3304709999999998E-2</v>
      </c>
      <c r="H61" s="23">
        <v>6.4821999999999997</v>
      </c>
    </row>
    <row r="62" spans="1:8" x14ac:dyDescent="0.2">
      <c r="A62" s="31">
        <v>2</v>
      </c>
      <c r="B62" s="32" t="s">
        <v>82</v>
      </c>
      <c r="C62" s="32" t="s">
        <v>83</v>
      </c>
      <c r="D62" s="32" t="s">
        <v>81</v>
      </c>
      <c r="E62" s="33">
        <v>2000000</v>
      </c>
      <c r="F62" s="34">
        <v>2107.3359999999998</v>
      </c>
      <c r="G62" s="35">
        <v>2.7312699999999999E-2</v>
      </c>
      <c r="H62" s="23">
        <v>6.2229000000000001</v>
      </c>
    </row>
    <row r="63" spans="1:8" x14ac:dyDescent="0.2">
      <c r="A63" s="31">
        <v>3</v>
      </c>
      <c r="B63" s="32" t="s">
        <v>84</v>
      </c>
      <c r="C63" s="32" t="s">
        <v>85</v>
      </c>
      <c r="D63" s="32" t="s">
        <v>81</v>
      </c>
      <c r="E63" s="33">
        <v>1500000</v>
      </c>
      <c r="F63" s="34">
        <v>1541.3309999999999</v>
      </c>
      <c r="G63" s="35">
        <v>1.9976839999999999E-2</v>
      </c>
      <c r="H63" s="23">
        <v>6.1467000000000001</v>
      </c>
    </row>
    <row r="64" spans="1:8" x14ac:dyDescent="0.2">
      <c r="A64" s="31">
        <v>4</v>
      </c>
      <c r="B64" s="32" t="s">
        <v>86</v>
      </c>
      <c r="C64" s="32" t="s">
        <v>87</v>
      </c>
      <c r="D64" s="32" t="s">
        <v>81</v>
      </c>
      <c r="E64" s="33">
        <v>1000000</v>
      </c>
      <c r="F64" s="34">
        <v>1031.0160000000001</v>
      </c>
      <c r="G64" s="35">
        <v>1.336276E-2</v>
      </c>
      <c r="H64" s="23">
        <v>7.1684999999999999</v>
      </c>
    </row>
    <row r="65" spans="1:8" x14ac:dyDescent="0.2">
      <c r="A65" s="31">
        <v>5</v>
      </c>
      <c r="B65" s="32" t="s">
        <v>88</v>
      </c>
      <c r="C65" s="32" t="s">
        <v>89</v>
      </c>
      <c r="D65" s="32" t="s">
        <v>81</v>
      </c>
      <c r="E65" s="33">
        <v>500000</v>
      </c>
      <c r="F65" s="34">
        <v>522.67600000000004</v>
      </c>
      <c r="G65" s="35">
        <v>6.7742899999999997E-3</v>
      </c>
      <c r="H65" s="23">
        <v>6.7370999999999999</v>
      </c>
    </row>
    <row r="66" spans="1:8" x14ac:dyDescent="0.2">
      <c r="A66" s="31">
        <v>6</v>
      </c>
      <c r="B66" s="32" t="s">
        <v>90</v>
      </c>
      <c r="C66" s="32" t="s">
        <v>91</v>
      </c>
      <c r="D66" s="32" t="s">
        <v>81</v>
      </c>
      <c r="E66" s="33">
        <v>500000</v>
      </c>
      <c r="F66" s="34">
        <v>521.40099999999995</v>
      </c>
      <c r="G66" s="35">
        <v>6.7577599999999998E-3</v>
      </c>
      <c r="H66" s="23">
        <v>6.0109000000000004</v>
      </c>
    </row>
    <row r="67" spans="1:8" x14ac:dyDescent="0.2">
      <c r="A67" s="31">
        <v>7</v>
      </c>
      <c r="B67" s="32" t="s">
        <v>92</v>
      </c>
      <c r="C67" s="32" t="s">
        <v>93</v>
      </c>
      <c r="D67" s="32" t="s">
        <v>81</v>
      </c>
      <c r="E67" s="33">
        <v>500000</v>
      </c>
      <c r="F67" s="34">
        <v>500.43950000000001</v>
      </c>
      <c r="G67" s="35">
        <v>6.48608E-3</v>
      </c>
      <c r="H67" s="23">
        <v>6.4161999999999999</v>
      </c>
    </row>
    <row r="68" spans="1:8" x14ac:dyDescent="0.2">
      <c r="A68" s="31">
        <v>8</v>
      </c>
      <c r="B68" s="32" t="s">
        <v>94</v>
      </c>
      <c r="C68" s="32" t="s">
        <v>95</v>
      </c>
      <c r="D68" s="32" t="s">
        <v>81</v>
      </c>
      <c r="E68" s="33">
        <v>500000</v>
      </c>
      <c r="F68" s="34">
        <v>487.18799999999999</v>
      </c>
      <c r="G68" s="35">
        <v>6.3143299999999999E-3</v>
      </c>
      <c r="H68" s="23">
        <v>7.2186000000000003</v>
      </c>
    </row>
    <row r="69" spans="1:8" x14ac:dyDescent="0.2">
      <c r="A69" s="31">
        <v>9</v>
      </c>
      <c r="B69" s="32" t="s">
        <v>96</v>
      </c>
      <c r="C69" s="32" t="s">
        <v>97</v>
      </c>
      <c r="D69" s="32" t="s">
        <v>81</v>
      </c>
      <c r="E69" s="33">
        <v>200000</v>
      </c>
      <c r="F69" s="34">
        <v>209.0848</v>
      </c>
      <c r="G69" s="35">
        <v>2.7098999999999999E-3</v>
      </c>
      <c r="H69" s="23">
        <v>6.5155000000000003</v>
      </c>
    </row>
    <row r="70" spans="1:8" x14ac:dyDescent="0.2">
      <c r="A70" s="24"/>
      <c r="B70" s="24"/>
      <c r="C70" s="25" t="s">
        <v>11</v>
      </c>
      <c r="D70" s="24"/>
      <c r="E70" s="24" t="s">
        <v>12</v>
      </c>
      <c r="F70" s="30">
        <v>11033.2443</v>
      </c>
      <c r="G70" s="27">
        <v>0.14299936999999999</v>
      </c>
      <c r="H70" s="23" t="s">
        <v>12</v>
      </c>
    </row>
    <row r="71" spans="1:8" x14ac:dyDescent="0.2">
      <c r="A71" s="24"/>
      <c r="B71" s="24"/>
      <c r="C71" s="28"/>
      <c r="D71" s="24"/>
      <c r="E71" s="24"/>
      <c r="F71" s="29"/>
      <c r="G71" s="29"/>
      <c r="H71" s="23" t="s">
        <v>12</v>
      </c>
    </row>
    <row r="72" spans="1:8" x14ac:dyDescent="0.2">
      <c r="A72" s="24"/>
      <c r="B72" s="24"/>
      <c r="C72" s="25" t="s">
        <v>98</v>
      </c>
      <c r="D72" s="24"/>
      <c r="E72" s="24"/>
      <c r="F72" s="29"/>
      <c r="G72" s="29"/>
      <c r="H72" s="23" t="s">
        <v>12</v>
      </c>
    </row>
    <row r="73" spans="1:8" x14ac:dyDescent="0.2">
      <c r="A73" s="24"/>
      <c r="B73" s="24"/>
      <c r="C73" s="25" t="s">
        <v>11</v>
      </c>
      <c r="D73" s="24"/>
      <c r="E73" s="24" t="s">
        <v>12</v>
      </c>
      <c r="F73" s="26" t="s">
        <v>13</v>
      </c>
      <c r="G73" s="27">
        <v>0</v>
      </c>
      <c r="H73" s="23" t="s">
        <v>12</v>
      </c>
    </row>
    <row r="74" spans="1:8" x14ac:dyDescent="0.2">
      <c r="A74" s="24"/>
      <c r="B74" s="24"/>
      <c r="C74" s="28"/>
      <c r="D74" s="24"/>
      <c r="E74" s="24"/>
      <c r="F74" s="29"/>
      <c r="G74" s="29"/>
      <c r="H74" s="23" t="s">
        <v>12</v>
      </c>
    </row>
    <row r="75" spans="1:8" x14ac:dyDescent="0.2">
      <c r="A75" s="24"/>
      <c r="B75" s="24"/>
      <c r="C75" s="25" t="s">
        <v>99</v>
      </c>
      <c r="D75" s="24"/>
      <c r="E75" s="24"/>
      <c r="F75" s="30">
        <v>66672.601899999994</v>
      </c>
      <c r="G75" s="27">
        <v>0.86412847000000004</v>
      </c>
      <c r="H75" s="23" t="s">
        <v>12</v>
      </c>
    </row>
    <row r="76" spans="1:8" x14ac:dyDescent="0.2">
      <c r="A76" s="24"/>
      <c r="B76" s="24"/>
      <c r="C76" s="28"/>
      <c r="D76" s="24"/>
      <c r="E76" s="24"/>
      <c r="F76" s="29"/>
      <c r="G76" s="29"/>
      <c r="H76" s="23" t="s">
        <v>12</v>
      </c>
    </row>
    <row r="77" spans="1:8" x14ac:dyDescent="0.2">
      <c r="A77" s="24"/>
      <c r="B77" s="24"/>
      <c r="C77" s="25" t="s">
        <v>100</v>
      </c>
      <c r="D77" s="24"/>
      <c r="E77" s="24"/>
      <c r="F77" s="29"/>
      <c r="G77" s="29"/>
      <c r="H77" s="23" t="s">
        <v>12</v>
      </c>
    </row>
    <row r="78" spans="1:8" x14ac:dyDescent="0.2">
      <c r="A78" s="24"/>
      <c r="B78" s="24"/>
      <c r="C78" s="25" t="s">
        <v>101</v>
      </c>
      <c r="D78" s="24"/>
      <c r="E78" s="24"/>
      <c r="F78" s="29"/>
      <c r="G78" s="29"/>
      <c r="H78" s="23" t="s">
        <v>12</v>
      </c>
    </row>
    <row r="79" spans="1:8" x14ac:dyDescent="0.2">
      <c r="A79" s="31">
        <v>1</v>
      </c>
      <c r="B79" s="32" t="s">
        <v>102</v>
      </c>
      <c r="C79" s="32" t="s">
        <v>103</v>
      </c>
      <c r="D79" s="32" t="s">
        <v>104</v>
      </c>
      <c r="E79" s="33">
        <v>600</v>
      </c>
      <c r="F79" s="34">
        <v>2919.84</v>
      </c>
      <c r="G79" s="35">
        <v>3.7843380000000003E-2</v>
      </c>
      <c r="H79" s="23">
        <v>6.11</v>
      </c>
    </row>
    <row r="80" spans="1:8" x14ac:dyDescent="0.2">
      <c r="A80" s="31">
        <v>2</v>
      </c>
      <c r="B80" s="32" t="s">
        <v>105</v>
      </c>
      <c r="C80" s="32" t="s">
        <v>106</v>
      </c>
      <c r="D80" s="32" t="s">
        <v>107</v>
      </c>
      <c r="E80" s="33">
        <v>500</v>
      </c>
      <c r="F80" s="34">
        <v>2430.8249999999998</v>
      </c>
      <c r="G80" s="35">
        <v>3.1505369999999998E-2</v>
      </c>
      <c r="H80" s="23">
        <v>6.1098999999999997</v>
      </c>
    </row>
    <row r="81" spans="1:8" x14ac:dyDescent="0.2">
      <c r="A81" s="31">
        <v>3</v>
      </c>
      <c r="B81" s="32" t="s">
        <v>108</v>
      </c>
      <c r="C81" s="32" t="s">
        <v>109</v>
      </c>
      <c r="D81" s="32" t="s">
        <v>110</v>
      </c>
      <c r="E81" s="33">
        <v>200</v>
      </c>
      <c r="F81" s="34">
        <v>974.61400000000003</v>
      </c>
      <c r="G81" s="35">
        <v>1.2631750000000001E-2</v>
      </c>
      <c r="H81" s="23">
        <v>6.0944000000000003</v>
      </c>
    </row>
    <row r="82" spans="1:8" x14ac:dyDescent="0.2">
      <c r="A82" s="24"/>
      <c r="B82" s="24"/>
      <c r="C82" s="25" t="s">
        <v>11</v>
      </c>
      <c r="D82" s="24"/>
      <c r="E82" s="24" t="s">
        <v>12</v>
      </c>
      <c r="F82" s="30">
        <v>6325.2790000000005</v>
      </c>
      <c r="G82" s="27">
        <v>8.1980499999999998E-2</v>
      </c>
      <c r="H82" s="23" t="s">
        <v>12</v>
      </c>
    </row>
    <row r="83" spans="1:8" x14ac:dyDescent="0.2">
      <c r="A83" s="24"/>
      <c r="B83" s="24"/>
      <c r="C83" s="28"/>
      <c r="D83" s="24"/>
      <c r="E83" s="24"/>
      <c r="F83" s="29"/>
      <c r="G83" s="29"/>
      <c r="H83" s="23" t="s">
        <v>12</v>
      </c>
    </row>
    <row r="84" spans="1:8" x14ac:dyDescent="0.2">
      <c r="A84" s="24"/>
      <c r="B84" s="24"/>
      <c r="C84" s="25" t="s">
        <v>111</v>
      </c>
      <c r="D84" s="24"/>
      <c r="E84" s="24"/>
      <c r="F84" s="29"/>
      <c r="G84" s="29"/>
      <c r="H84" s="23" t="s">
        <v>12</v>
      </c>
    </row>
    <row r="85" spans="1:8" x14ac:dyDescent="0.2">
      <c r="A85" s="24"/>
      <c r="B85" s="24"/>
      <c r="C85" s="25" t="s">
        <v>11</v>
      </c>
      <c r="D85" s="24"/>
      <c r="E85" s="24" t="s">
        <v>12</v>
      </c>
      <c r="F85" s="26" t="s">
        <v>13</v>
      </c>
      <c r="G85" s="27">
        <v>0</v>
      </c>
      <c r="H85" s="23" t="s">
        <v>12</v>
      </c>
    </row>
    <row r="86" spans="1:8" x14ac:dyDescent="0.2">
      <c r="A86" s="24"/>
      <c r="B86" s="24"/>
      <c r="C86" s="28"/>
      <c r="D86" s="24"/>
      <c r="E86" s="24"/>
      <c r="F86" s="29"/>
      <c r="G86" s="29"/>
      <c r="H86" s="23" t="s">
        <v>12</v>
      </c>
    </row>
    <row r="87" spans="1:8" x14ac:dyDescent="0.2">
      <c r="A87" s="24"/>
      <c r="B87" s="24"/>
      <c r="C87" s="25" t="s">
        <v>112</v>
      </c>
      <c r="D87" s="24"/>
      <c r="E87" s="24"/>
      <c r="F87" s="29"/>
      <c r="G87" s="29"/>
      <c r="H87" s="23" t="s">
        <v>12</v>
      </c>
    </row>
    <row r="88" spans="1:8" x14ac:dyDescent="0.2">
      <c r="A88" s="24"/>
      <c r="B88" s="24"/>
      <c r="C88" s="25" t="s">
        <v>11</v>
      </c>
      <c r="D88" s="24"/>
      <c r="E88" s="24" t="s">
        <v>12</v>
      </c>
      <c r="F88" s="26" t="s">
        <v>13</v>
      </c>
      <c r="G88" s="27">
        <v>0</v>
      </c>
      <c r="H88" s="23" t="s">
        <v>12</v>
      </c>
    </row>
    <row r="89" spans="1:8" x14ac:dyDescent="0.2">
      <c r="A89" s="24"/>
      <c r="B89" s="24"/>
      <c r="C89" s="28"/>
      <c r="D89" s="24"/>
      <c r="E89" s="24"/>
      <c r="F89" s="29"/>
      <c r="G89" s="29"/>
      <c r="H89" s="23" t="s">
        <v>12</v>
      </c>
    </row>
    <row r="90" spans="1:8" x14ac:dyDescent="0.2">
      <c r="A90" s="24"/>
      <c r="B90" s="24"/>
      <c r="C90" s="25" t="s">
        <v>113</v>
      </c>
      <c r="D90" s="24"/>
      <c r="E90" s="24"/>
      <c r="F90" s="29"/>
      <c r="G90" s="29"/>
      <c r="H90" s="23" t="s">
        <v>12</v>
      </c>
    </row>
    <row r="91" spans="1:8" x14ac:dyDescent="0.2">
      <c r="A91" s="31">
        <v>1</v>
      </c>
      <c r="B91" s="32"/>
      <c r="C91" s="32" t="s">
        <v>114</v>
      </c>
      <c r="D91" s="32"/>
      <c r="E91" s="36"/>
      <c r="F91" s="34">
        <v>2523.9238419980002</v>
      </c>
      <c r="G91" s="35">
        <v>3.2711999999999998E-2</v>
      </c>
      <c r="H91" s="23">
        <v>5.47</v>
      </c>
    </row>
    <row r="92" spans="1:8" x14ac:dyDescent="0.2">
      <c r="A92" s="24"/>
      <c r="B92" s="24"/>
      <c r="C92" s="25" t="s">
        <v>11</v>
      </c>
      <c r="D92" s="24"/>
      <c r="E92" s="24" t="s">
        <v>12</v>
      </c>
      <c r="F92" s="30">
        <v>2523.9238419980002</v>
      </c>
      <c r="G92" s="27">
        <v>3.2711999999999998E-2</v>
      </c>
      <c r="H92" s="23" t="s">
        <v>12</v>
      </c>
    </row>
    <row r="93" spans="1:8" x14ac:dyDescent="0.2">
      <c r="A93" s="24"/>
      <c r="B93" s="24"/>
      <c r="C93" s="28"/>
      <c r="D93" s="24"/>
      <c r="E93" s="24"/>
      <c r="F93" s="29"/>
      <c r="G93" s="29"/>
      <c r="H93" s="23" t="s">
        <v>12</v>
      </c>
    </row>
    <row r="94" spans="1:8" x14ac:dyDescent="0.2">
      <c r="A94" s="24"/>
      <c r="B94" s="24"/>
      <c r="C94" s="25" t="s">
        <v>115</v>
      </c>
      <c r="D94" s="24"/>
      <c r="E94" s="24"/>
      <c r="F94" s="30">
        <v>8849.2028419979997</v>
      </c>
      <c r="G94" s="27">
        <v>0.1146925</v>
      </c>
      <c r="H94" s="23" t="s">
        <v>12</v>
      </c>
    </row>
    <row r="95" spans="1:8" x14ac:dyDescent="0.2">
      <c r="A95" s="24"/>
      <c r="B95" s="24"/>
      <c r="C95" s="29"/>
      <c r="D95" s="24"/>
      <c r="E95" s="24"/>
      <c r="F95" s="24"/>
      <c r="G95" s="24"/>
      <c r="H95" s="23" t="s">
        <v>12</v>
      </c>
    </row>
    <row r="96" spans="1:8" x14ac:dyDescent="0.2">
      <c r="A96" s="24"/>
      <c r="B96" s="24"/>
      <c r="C96" s="25" t="s">
        <v>116</v>
      </c>
      <c r="D96" s="24"/>
      <c r="E96" s="24"/>
      <c r="F96" s="24"/>
      <c r="G96" s="24"/>
      <c r="H96" s="23" t="s">
        <v>12</v>
      </c>
    </row>
    <row r="97" spans="1:17" x14ac:dyDescent="0.2">
      <c r="A97" s="24"/>
      <c r="B97" s="24"/>
      <c r="C97" s="25" t="s">
        <v>117</v>
      </c>
      <c r="D97" s="24"/>
      <c r="E97" s="24"/>
      <c r="F97" s="24"/>
      <c r="G97" s="24"/>
      <c r="H97" s="23" t="s">
        <v>12</v>
      </c>
    </row>
    <row r="98" spans="1:17" x14ac:dyDescent="0.2">
      <c r="A98" s="24"/>
      <c r="B98" s="24"/>
      <c r="C98" s="25" t="s">
        <v>11</v>
      </c>
      <c r="D98" s="24"/>
      <c r="E98" s="24" t="s">
        <v>12</v>
      </c>
      <c r="F98" s="26" t="s">
        <v>13</v>
      </c>
      <c r="G98" s="27">
        <v>0</v>
      </c>
      <c r="H98" s="23" t="s">
        <v>12</v>
      </c>
    </row>
    <row r="99" spans="1:17" x14ac:dyDescent="0.2">
      <c r="A99" s="21"/>
      <c r="B99" s="21"/>
      <c r="C99" s="99"/>
      <c r="D99" s="21"/>
      <c r="E99" s="21"/>
      <c r="F99" s="51"/>
      <c r="G99" s="51"/>
      <c r="H99" s="23" t="s">
        <v>12</v>
      </c>
    </row>
    <row r="100" spans="1:17" x14ac:dyDescent="0.2">
      <c r="A100" s="21"/>
      <c r="B100" s="21"/>
      <c r="C100" s="22" t="s">
        <v>618</v>
      </c>
      <c r="D100" s="21"/>
      <c r="E100" s="21"/>
      <c r="F100" s="51"/>
      <c r="G100" s="51"/>
      <c r="H100" s="23" t="s">
        <v>12</v>
      </c>
      <c r="K100" s="72"/>
      <c r="L100" s="72"/>
      <c r="M100" s="72"/>
      <c r="N100" s="72"/>
      <c r="O100" s="100"/>
      <c r="P100" s="100"/>
      <c r="Q100" s="100"/>
    </row>
    <row r="101" spans="1:17" x14ac:dyDescent="0.2">
      <c r="A101" s="93">
        <v>1</v>
      </c>
      <c r="B101" s="94" t="s">
        <v>118</v>
      </c>
      <c r="C101" s="94" t="s">
        <v>119</v>
      </c>
      <c r="D101" s="94"/>
      <c r="E101" s="101">
        <v>2586.3710000000001</v>
      </c>
      <c r="F101" s="96">
        <v>290.79758883699998</v>
      </c>
      <c r="G101" s="97">
        <v>3.76896E-3</v>
      </c>
      <c r="H101" s="23"/>
    </row>
    <row r="102" spans="1:17" x14ac:dyDescent="0.2">
      <c r="A102" s="21"/>
      <c r="B102" s="21"/>
      <c r="C102" s="22" t="s">
        <v>11</v>
      </c>
      <c r="D102" s="21"/>
      <c r="E102" s="21" t="s">
        <v>12</v>
      </c>
      <c r="F102" s="102">
        <f>SUM(F101)</f>
        <v>290.79758883699998</v>
      </c>
      <c r="G102" s="103">
        <f>SUM(G101)</f>
        <v>3.76896E-3</v>
      </c>
      <c r="H102" s="23" t="s">
        <v>12</v>
      </c>
    </row>
    <row r="103" spans="1:17" x14ac:dyDescent="0.2">
      <c r="A103" s="24"/>
      <c r="B103" s="24"/>
      <c r="C103" s="28"/>
      <c r="D103" s="24"/>
      <c r="E103" s="24"/>
      <c r="F103" s="29"/>
      <c r="G103" s="29"/>
      <c r="H103" s="23" t="s">
        <v>12</v>
      </c>
    </row>
    <row r="104" spans="1:17" x14ac:dyDescent="0.2">
      <c r="A104" s="24"/>
      <c r="B104" s="24"/>
      <c r="C104" s="25" t="s">
        <v>120</v>
      </c>
      <c r="D104" s="24"/>
      <c r="E104" s="24"/>
      <c r="F104" s="24"/>
      <c r="G104" s="24"/>
      <c r="H104" s="23" t="s">
        <v>12</v>
      </c>
    </row>
    <row r="105" spans="1:17" x14ac:dyDescent="0.2">
      <c r="A105" s="24"/>
      <c r="B105" s="24"/>
      <c r="C105" s="25" t="s">
        <v>121</v>
      </c>
      <c r="D105" s="24"/>
      <c r="E105" s="24"/>
      <c r="F105" s="24"/>
      <c r="G105" s="24"/>
      <c r="H105" s="23" t="s">
        <v>12</v>
      </c>
    </row>
    <row r="106" spans="1:17" x14ac:dyDescent="0.2">
      <c r="A106" s="24"/>
      <c r="B106" s="24"/>
      <c r="C106" s="25" t="s">
        <v>11</v>
      </c>
      <c r="D106" s="24"/>
      <c r="E106" s="24" t="s">
        <v>12</v>
      </c>
      <c r="F106" s="26" t="s">
        <v>13</v>
      </c>
      <c r="G106" s="27">
        <v>0</v>
      </c>
      <c r="H106" s="23" t="s">
        <v>12</v>
      </c>
    </row>
    <row r="107" spans="1:17" x14ac:dyDescent="0.2">
      <c r="A107" s="24"/>
      <c r="B107" s="24"/>
      <c r="C107" s="28"/>
      <c r="D107" s="24"/>
      <c r="E107" s="24"/>
      <c r="F107" s="29"/>
      <c r="G107" s="29"/>
      <c r="H107" s="23" t="s">
        <v>12</v>
      </c>
    </row>
    <row r="108" spans="1:17" x14ac:dyDescent="0.2">
      <c r="A108" s="24"/>
      <c r="B108" s="24"/>
      <c r="C108" s="25" t="s">
        <v>122</v>
      </c>
      <c r="D108" s="24"/>
      <c r="E108" s="24"/>
      <c r="F108" s="29"/>
      <c r="G108" s="29"/>
      <c r="H108" s="23" t="s">
        <v>12</v>
      </c>
    </row>
    <row r="109" spans="1:17" x14ac:dyDescent="0.2">
      <c r="A109" s="24"/>
      <c r="B109" s="24"/>
      <c r="C109" s="25" t="s">
        <v>11</v>
      </c>
      <c r="D109" s="24"/>
      <c r="E109" s="24" t="s">
        <v>12</v>
      </c>
      <c r="F109" s="26" t="s">
        <v>13</v>
      </c>
      <c r="G109" s="27">
        <v>0</v>
      </c>
      <c r="H109" s="23" t="s">
        <v>12</v>
      </c>
    </row>
    <row r="110" spans="1:17" x14ac:dyDescent="0.2">
      <c r="A110" s="24"/>
      <c r="B110" s="24"/>
      <c r="C110" s="28"/>
      <c r="D110" s="24"/>
      <c r="E110" s="24"/>
      <c r="F110" s="29"/>
      <c r="G110" s="29"/>
      <c r="H110" s="23" t="s">
        <v>12</v>
      </c>
    </row>
    <row r="111" spans="1:17" x14ac:dyDescent="0.2">
      <c r="A111" s="36"/>
      <c r="B111" s="32"/>
      <c r="C111" s="32" t="s">
        <v>123</v>
      </c>
      <c r="D111" s="32"/>
      <c r="E111" s="36"/>
      <c r="F111" s="34">
        <f>1343.28886824-0.000189794998168945</f>
        <v>1343.2886784450018</v>
      </c>
      <c r="G111" s="35">
        <v>1.7410060000000002E-2</v>
      </c>
      <c r="H111" s="23" t="s">
        <v>12</v>
      </c>
    </row>
    <row r="112" spans="1:17" x14ac:dyDescent="0.2">
      <c r="A112" s="28"/>
      <c r="B112" s="28"/>
      <c r="C112" s="25" t="s">
        <v>124</v>
      </c>
      <c r="D112" s="29"/>
      <c r="E112" s="29"/>
      <c r="F112" s="30">
        <f>77155.891199075-0.000189794998168945</f>
        <v>77155.891009280007</v>
      </c>
      <c r="G112" s="37">
        <v>0.99999998999999995</v>
      </c>
      <c r="H112" s="23" t="s">
        <v>12</v>
      </c>
    </row>
    <row r="113" spans="1:8" x14ac:dyDescent="0.2">
      <c r="A113" s="38"/>
      <c r="B113" s="38"/>
      <c r="C113" s="38"/>
      <c r="D113" s="39"/>
      <c r="E113" s="39"/>
      <c r="F113" s="39"/>
      <c r="G113" s="39"/>
    </row>
    <row r="114" spans="1:8" x14ac:dyDescent="0.2">
      <c r="A114" s="40"/>
      <c r="B114" s="41" t="s">
        <v>614</v>
      </c>
      <c r="C114" s="41"/>
      <c r="D114" s="41"/>
      <c r="E114" s="41"/>
      <c r="F114" s="41"/>
      <c r="G114" s="41"/>
      <c r="H114" s="41"/>
    </row>
    <row r="115" spans="1:8" x14ac:dyDescent="0.2">
      <c r="A115" s="40"/>
      <c r="B115" s="41" t="s">
        <v>615</v>
      </c>
      <c r="C115" s="41"/>
      <c r="D115" s="41"/>
      <c r="E115" s="41"/>
      <c r="F115" s="41"/>
      <c r="G115" s="41"/>
      <c r="H115" s="41"/>
    </row>
    <row r="116" spans="1:8" x14ac:dyDescent="0.2">
      <c r="A116" s="40"/>
      <c r="B116" s="41" t="s">
        <v>616</v>
      </c>
      <c r="C116" s="41"/>
      <c r="D116" s="41"/>
      <c r="E116" s="41"/>
      <c r="F116" s="41"/>
      <c r="G116" s="41"/>
      <c r="H116" s="41"/>
    </row>
    <row r="117" spans="1:8" x14ac:dyDescent="0.2">
      <c r="A117" s="42"/>
      <c r="B117" s="42"/>
      <c r="C117" s="42"/>
      <c r="D117" s="43"/>
      <c r="E117" s="43"/>
      <c r="F117" s="43"/>
      <c r="G117" s="43"/>
    </row>
    <row r="118" spans="1:8" x14ac:dyDescent="0.2">
      <c r="A118" s="40"/>
      <c r="B118" s="44" t="s">
        <v>125</v>
      </c>
      <c r="C118" s="45"/>
      <c r="D118" s="46"/>
      <c r="E118" s="47"/>
      <c r="F118" s="48"/>
      <c r="G118" s="48"/>
    </row>
    <row r="119" spans="1:8" x14ac:dyDescent="0.2">
      <c r="A119" s="40"/>
      <c r="B119" s="49" t="s">
        <v>126</v>
      </c>
      <c r="C119" s="50"/>
      <c r="D119" s="22" t="s">
        <v>127</v>
      </c>
      <c r="E119" s="47"/>
      <c r="F119" s="48"/>
      <c r="G119" s="48"/>
    </row>
    <row r="120" spans="1:8" x14ac:dyDescent="0.2">
      <c r="A120" s="40"/>
      <c r="B120" s="49" t="s">
        <v>128</v>
      </c>
      <c r="C120" s="50"/>
      <c r="D120" s="22" t="s">
        <v>127</v>
      </c>
      <c r="E120" s="47"/>
      <c r="F120" s="48"/>
      <c r="G120" s="48"/>
    </row>
    <row r="121" spans="1:8" x14ac:dyDescent="0.2">
      <c r="A121" s="40"/>
      <c r="B121" s="49" t="s">
        <v>129</v>
      </c>
      <c r="C121" s="50"/>
      <c r="D121" s="51" t="s">
        <v>12</v>
      </c>
      <c r="E121" s="47"/>
      <c r="F121" s="48"/>
      <c r="G121" s="48"/>
    </row>
    <row r="122" spans="1:8" x14ac:dyDescent="0.2">
      <c r="A122" s="52"/>
      <c r="B122" s="53" t="s">
        <v>12</v>
      </c>
      <c r="C122" s="53" t="s">
        <v>617</v>
      </c>
      <c r="D122" s="53" t="s">
        <v>130</v>
      </c>
      <c r="E122" s="52"/>
      <c r="F122" s="52"/>
      <c r="G122" s="52"/>
    </row>
    <row r="123" spans="1:8" x14ac:dyDescent="0.2">
      <c r="A123" s="52"/>
      <c r="B123" s="54" t="s">
        <v>131</v>
      </c>
      <c r="C123" s="55">
        <v>45823</v>
      </c>
      <c r="D123" s="55">
        <v>45838</v>
      </c>
      <c r="E123" s="52"/>
      <c r="F123" s="52"/>
      <c r="G123" s="52"/>
    </row>
    <row r="124" spans="1:8" x14ac:dyDescent="0.2">
      <c r="A124" s="56"/>
      <c r="B124" s="32" t="s">
        <v>132</v>
      </c>
      <c r="C124" s="57">
        <v>41.578299999999999</v>
      </c>
      <c r="D124" s="57">
        <v>41.675800000000002</v>
      </c>
      <c r="E124" s="56"/>
      <c r="F124" s="58"/>
      <c r="G124" s="59"/>
    </row>
    <row r="125" spans="1:8" ht="25.5" x14ac:dyDescent="0.2">
      <c r="A125" s="56"/>
      <c r="B125" s="32" t="s">
        <v>743</v>
      </c>
      <c r="C125" s="57">
        <v>18.040700000000001</v>
      </c>
      <c r="D125" s="36"/>
      <c r="E125" s="56"/>
      <c r="F125" s="58"/>
      <c r="G125" s="59"/>
    </row>
    <row r="126" spans="1:8" ht="25.5" x14ac:dyDescent="0.2">
      <c r="A126" s="56"/>
      <c r="B126" s="32" t="s">
        <v>744</v>
      </c>
      <c r="C126" s="57">
        <v>19.9086</v>
      </c>
      <c r="D126" s="57">
        <v>19.955300000000001</v>
      </c>
      <c r="E126" s="56"/>
      <c r="F126" s="58"/>
      <c r="G126" s="59"/>
    </row>
    <row r="127" spans="1:8" ht="25.5" x14ac:dyDescent="0.2">
      <c r="A127" s="56"/>
      <c r="B127" s="32" t="s">
        <v>745</v>
      </c>
      <c r="C127" s="57">
        <v>17.741599999999998</v>
      </c>
      <c r="D127" s="36"/>
      <c r="E127" s="56"/>
      <c r="F127" s="58"/>
      <c r="G127" s="59"/>
    </row>
    <row r="128" spans="1:8" ht="25.5" x14ac:dyDescent="0.2">
      <c r="A128" s="56"/>
      <c r="B128" s="32" t="s">
        <v>746</v>
      </c>
      <c r="C128" s="57">
        <v>18.499400000000001</v>
      </c>
      <c r="D128" s="36"/>
      <c r="E128" s="56"/>
      <c r="F128" s="58"/>
      <c r="G128" s="59"/>
    </row>
    <row r="129" spans="1:7" x14ac:dyDescent="0.2">
      <c r="A129" s="56"/>
      <c r="B129" s="32" t="s">
        <v>133</v>
      </c>
      <c r="C129" s="57">
        <v>40.2102</v>
      </c>
      <c r="D129" s="57">
        <v>40.300800000000002</v>
      </c>
      <c r="E129" s="56"/>
      <c r="F129" s="58"/>
      <c r="G129" s="59"/>
    </row>
    <row r="130" spans="1:7" ht="25.5" x14ac:dyDescent="0.2">
      <c r="A130" s="56"/>
      <c r="B130" s="32" t="s">
        <v>747</v>
      </c>
      <c r="C130" s="57">
        <v>17.025200000000002</v>
      </c>
      <c r="D130" s="36"/>
      <c r="E130" s="56"/>
      <c r="F130" s="58"/>
      <c r="G130" s="59"/>
    </row>
    <row r="131" spans="1:7" ht="25.5" x14ac:dyDescent="0.2">
      <c r="A131" s="56"/>
      <c r="B131" s="32" t="s">
        <v>719</v>
      </c>
      <c r="C131" s="57">
        <v>19.289400000000001</v>
      </c>
      <c r="D131" s="57">
        <v>19.332899999999999</v>
      </c>
      <c r="E131" s="56"/>
      <c r="F131" s="58"/>
      <c r="G131" s="59"/>
    </row>
    <row r="132" spans="1:7" ht="25.5" x14ac:dyDescent="0.2">
      <c r="A132" s="56"/>
      <c r="B132" s="32" t="s">
        <v>748</v>
      </c>
      <c r="C132" s="57">
        <v>17.602599999999999</v>
      </c>
      <c r="D132" s="36"/>
      <c r="E132" s="56"/>
      <c r="F132" s="58"/>
      <c r="G132" s="59"/>
    </row>
    <row r="133" spans="1:7" ht="25.5" x14ac:dyDescent="0.2">
      <c r="A133" s="56"/>
      <c r="B133" s="32" t="s">
        <v>749</v>
      </c>
      <c r="C133" s="57">
        <v>17.928000000000001</v>
      </c>
      <c r="D133" s="36"/>
      <c r="E133" s="56"/>
      <c r="F133" s="58"/>
      <c r="G133" s="59"/>
    </row>
    <row r="134" spans="1:7" x14ac:dyDescent="0.2">
      <c r="A134" s="56"/>
      <c r="B134" s="56"/>
      <c r="C134" s="56"/>
      <c r="D134" s="56"/>
      <c r="E134" s="56"/>
      <c r="F134" s="56"/>
      <c r="G134" s="56"/>
    </row>
    <row r="135" spans="1:7" x14ac:dyDescent="0.2">
      <c r="A135" s="56"/>
      <c r="B135" s="60" t="s">
        <v>739</v>
      </c>
      <c r="C135" s="61"/>
      <c r="D135" s="25" t="s">
        <v>12</v>
      </c>
      <c r="E135" s="56"/>
      <c r="F135" s="56"/>
      <c r="G135" s="56"/>
    </row>
    <row r="136" spans="1:7" x14ac:dyDescent="0.2">
      <c r="A136" s="56"/>
      <c r="B136" s="62" t="s">
        <v>131</v>
      </c>
      <c r="C136" s="63" t="s">
        <v>134</v>
      </c>
      <c r="D136" s="63" t="s">
        <v>135</v>
      </c>
      <c r="E136" s="56"/>
      <c r="F136" s="56"/>
      <c r="G136" s="56"/>
    </row>
    <row r="137" spans="1:7" ht="25.5" x14ac:dyDescent="0.2">
      <c r="A137" s="56"/>
      <c r="B137" s="32" t="s">
        <v>743</v>
      </c>
      <c r="C137" s="64">
        <v>0.10299999999999999</v>
      </c>
      <c r="D137" s="36" t="s">
        <v>136</v>
      </c>
      <c r="E137" s="56"/>
      <c r="F137" s="58"/>
      <c r="G137" s="59"/>
    </row>
    <row r="138" spans="1:7" ht="25.5" x14ac:dyDescent="0.2">
      <c r="A138" s="56"/>
      <c r="B138" s="32" t="s">
        <v>744</v>
      </c>
      <c r="C138" s="64">
        <v>0.34300000000000003</v>
      </c>
      <c r="D138" s="36" t="s">
        <v>136</v>
      </c>
      <c r="E138" s="56"/>
      <c r="F138" s="58"/>
      <c r="G138" s="59"/>
    </row>
    <row r="139" spans="1:7" ht="25.5" x14ac:dyDescent="0.2">
      <c r="A139" s="56"/>
      <c r="B139" s="32" t="s">
        <v>747</v>
      </c>
      <c r="C139" s="64">
        <v>9.7000000000000003E-2</v>
      </c>
      <c r="D139" s="36" t="s">
        <v>136</v>
      </c>
      <c r="E139" s="56"/>
      <c r="F139" s="58"/>
      <c r="G139" s="59"/>
    </row>
    <row r="140" spans="1:7" ht="25.5" x14ac:dyDescent="0.2">
      <c r="A140" s="56"/>
      <c r="B140" s="32" t="s">
        <v>719</v>
      </c>
      <c r="C140" s="64">
        <v>0.33200000000000002</v>
      </c>
      <c r="D140" s="64">
        <v>0.33200000000000002</v>
      </c>
      <c r="E140" s="56"/>
      <c r="F140" s="58"/>
      <c r="G140" s="59"/>
    </row>
    <row r="141" spans="1:7" x14ac:dyDescent="0.2">
      <c r="A141" s="56"/>
      <c r="B141" s="104"/>
      <c r="C141" s="104"/>
      <c r="D141" s="105"/>
      <c r="E141" s="56"/>
      <c r="F141" s="58"/>
      <c r="G141" s="59"/>
    </row>
    <row r="142" spans="1:7" x14ac:dyDescent="0.2">
      <c r="A142" s="52"/>
      <c r="B142" s="49" t="s">
        <v>137</v>
      </c>
      <c r="C142" s="50"/>
      <c r="D142" s="22" t="s">
        <v>127</v>
      </c>
      <c r="E142" s="71"/>
      <c r="F142" s="52"/>
      <c r="G142" s="52"/>
    </row>
    <row r="143" spans="1:7" x14ac:dyDescent="0.2">
      <c r="A143" s="52"/>
      <c r="B143" s="49" t="s">
        <v>138</v>
      </c>
      <c r="C143" s="50"/>
      <c r="D143" s="22" t="s">
        <v>127</v>
      </c>
      <c r="E143" s="71"/>
      <c r="F143" s="52"/>
      <c r="G143" s="52"/>
    </row>
    <row r="144" spans="1:7" x14ac:dyDescent="0.2">
      <c r="A144" s="52"/>
      <c r="B144" s="49" t="s">
        <v>619</v>
      </c>
      <c r="C144" s="50"/>
      <c r="D144" s="22" t="s">
        <v>127</v>
      </c>
      <c r="E144" s="71"/>
      <c r="F144" s="52"/>
      <c r="G144" s="52"/>
    </row>
    <row r="145" spans="1:14" x14ac:dyDescent="0.2">
      <c r="A145" s="73"/>
      <c r="B145" s="73"/>
      <c r="C145" s="73"/>
      <c r="D145" s="73"/>
      <c r="E145" s="73"/>
      <c r="F145" s="73"/>
      <c r="G145" s="73"/>
    </row>
    <row r="146" spans="1:14" s="74" customFormat="1" x14ac:dyDescent="0.2">
      <c r="B146" s="75" t="s">
        <v>620</v>
      </c>
      <c r="C146" s="76"/>
      <c r="D146" s="77"/>
      <c r="H146" s="17"/>
      <c r="I146" s="17"/>
      <c r="J146" s="72"/>
      <c r="K146" s="72"/>
      <c r="L146" s="72"/>
      <c r="M146" s="72"/>
      <c r="N146" s="72"/>
    </row>
    <row r="147" spans="1:14" s="74" customFormat="1" ht="38.25" x14ac:dyDescent="0.2">
      <c r="B147" s="79" t="s">
        <v>621</v>
      </c>
      <c r="C147" s="79"/>
      <c r="D147" s="80" t="s">
        <v>1</v>
      </c>
      <c r="H147" s="17"/>
      <c r="I147" s="17"/>
      <c r="J147" s="72"/>
      <c r="K147" s="72"/>
      <c r="L147" s="72"/>
      <c r="M147" s="72"/>
      <c r="N147" s="72"/>
    </row>
    <row r="148" spans="1:14" s="74" customFormat="1" x14ac:dyDescent="0.2">
      <c r="B148" s="66" t="s">
        <v>622</v>
      </c>
      <c r="C148" s="66"/>
      <c r="D148" s="81"/>
      <c r="H148" s="17"/>
      <c r="I148" s="17"/>
      <c r="J148" s="72"/>
      <c r="K148" s="72"/>
      <c r="L148" s="72"/>
      <c r="M148" s="72"/>
      <c r="N148" s="72"/>
    </row>
    <row r="149" spans="1:14" s="74" customFormat="1" x14ac:dyDescent="0.2">
      <c r="B149" s="86"/>
      <c r="C149" s="88"/>
      <c r="D149" s="82"/>
      <c r="H149" s="17"/>
      <c r="I149" s="17"/>
      <c r="J149" s="72"/>
      <c r="K149" s="72"/>
      <c r="L149" s="72"/>
      <c r="M149" s="72"/>
      <c r="N149" s="72"/>
    </row>
    <row r="150" spans="1:14" s="74" customFormat="1" x14ac:dyDescent="0.2">
      <c r="B150" s="66" t="s">
        <v>623</v>
      </c>
      <c r="C150" s="66"/>
      <c r="D150" s="83">
        <v>6.5908421226805594</v>
      </c>
      <c r="H150" s="17"/>
      <c r="I150" s="17"/>
      <c r="J150" s="72"/>
      <c r="K150" s="72"/>
      <c r="L150" s="72"/>
      <c r="M150" s="72"/>
      <c r="N150" s="72"/>
    </row>
    <row r="151" spans="1:14" s="74" customFormat="1" x14ac:dyDescent="0.2">
      <c r="B151" s="86"/>
      <c r="C151" s="88"/>
      <c r="D151" s="82"/>
      <c r="H151" s="17"/>
      <c r="I151" s="17"/>
      <c r="J151" s="72"/>
      <c r="K151" s="72"/>
      <c r="L151" s="72"/>
      <c r="M151" s="72"/>
      <c r="N151" s="72"/>
    </row>
    <row r="152" spans="1:14" s="74" customFormat="1" x14ac:dyDescent="0.2">
      <c r="B152" s="66" t="s">
        <v>624</v>
      </c>
      <c r="C152" s="66"/>
      <c r="D152" s="83">
        <v>3.1695020971866144</v>
      </c>
      <c r="H152" s="17"/>
      <c r="I152" s="17"/>
      <c r="J152" s="72"/>
      <c r="K152" s="72"/>
      <c r="L152" s="72"/>
      <c r="M152" s="72"/>
      <c r="N152" s="72"/>
    </row>
    <row r="153" spans="1:14" s="74" customFormat="1" x14ac:dyDescent="0.2">
      <c r="B153" s="66" t="s">
        <v>625</v>
      </c>
      <c r="C153" s="66"/>
      <c r="D153" s="83">
        <v>4.2553180123999326</v>
      </c>
      <c r="H153" s="17"/>
      <c r="I153" s="17"/>
      <c r="J153" s="72"/>
      <c r="K153" s="72"/>
      <c r="L153" s="72"/>
      <c r="M153" s="72"/>
      <c r="N153" s="72"/>
    </row>
    <row r="154" spans="1:14" s="74" customFormat="1" x14ac:dyDescent="0.2">
      <c r="B154" s="86"/>
      <c r="C154" s="88"/>
      <c r="D154" s="82"/>
      <c r="I154" s="17"/>
      <c r="J154" s="72"/>
      <c r="K154" s="72"/>
      <c r="L154" s="72"/>
      <c r="M154" s="72"/>
      <c r="N154" s="72"/>
    </row>
    <row r="155" spans="1:14" s="74" customFormat="1" x14ac:dyDescent="0.2">
      <c r="B155" s="66" t="s">
        <v>626</v>
      </c>
      <c r="C155" s="66"/>
      <c r="D155" s="85" t="s">
        <v>750</v>
      </c>
      <c r="I155" s="17"/>
      <c r="J155" s="72"/>
      <c r="K155" s="72"/>
      <c r="L155" s="72"/>
      <c r="M155" s="72"/>
      <c r="N155" s="78"/>
    </row>
    <row r="156" spans="1:14" s="74" customFormat="1" x14ac:dyDescent="0.2">
      <c r="B156" s="86" t="s">
        <v>627</v>
      </c>
      <c r="C156" s="87"/>
      <c r="D156" s="88"/>
      <c r="I156" s="17"/>
      <c r="J156" s="72"/>
      <c r="K156" s="72"/>
      <c r="L156" s="72"/>
      <c r="M156" s="72"/>
      <c r="N156" s="72"/>
    </row>
    <row r="158" spans="1:14" x14ac:dyDescent="0.2">
      <c r="B158" s="90" t="s">
        <v>628</v>
      </c>
    </row>
    <row r="160" spans="1:14" ht="153.75" customHeight="1" x14ac:dyDescent="0.2"/>
    <row r="163" spans="2:4" x14ac:dyDescent="0.2">
      <c r="B163" s="91" t="s">
        <v>629</v>
      </c>
      <c r="C163" s="92"/>
      <c r="D163" s="91"/>
    </row>
    <row r="164" spans="2:4" x14ac:dyDescent="0.2">
      <c r="B164" s="91" t="s">
        <v>630</v>
      </c>
      <c r="D164" s="91"/>
    </row>
    <row r="165" spans="2:4" ht="165" customHeight="1" x14ac:dyDescent="0.2"/>
  </sheetData>
  <mergeCells count="25">
    <mergeCell ref="B144:C144"/>
    <mergeCell ref="B147:C147"/>
    <mergeCell ref="B135:C135"/>
    <mergeCell ref="B143:C143"/>
    <mergeCell ref="B142:C142"/>
    <mergeCell ref="B146:D146"/>
    <mergeCell ref="B116:H116"/>
    <mergeCell ref="B118:D118"/>
    <mergeCell ref="B119:C119"/>
    <mergeCell ref="B120:C120"/>
    <mergeCell ref="B121:C121"/>
    <mergeCell ref="A1:H1"/>
    <mergeCell ref="A2:H2"/>
    <mergeCell ref="A3:H3"/>
    <mergeCell ref="B114:H114"/>
    <mergeCell ref="B115:H115"/>
    <mergeCell ref="B153:C153"/>
    <mergeCell ref="B154:C154"/>
    <mergeCell ref="B155:C155"/>
    <mergeCell ref="B156:D156"/>
    <mergeCell ref="B148:C148"/>
    <mergeCell ref="B149:C149"/>
    <mergeCell ref="B150:C150"/>
    <mergeCell ref="B151:C151"/>
    <mergeCell ref="B152:C152"/>
  </mergeCells>
  <hyperlinks>
    <hyperlink ref="I1" location="Index!B2" display="Index" xr:uid="{04F45EDF-74E6-4589-B3F9-DECAF33DDE9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8DD63-B7F5-4680-9B35-C27A51D1EF85}">
  <sheetPr>
    <outlinePr summaryBelow="0" summaryRight="0"/>
  </sheetPr>
  <dimension ref="A1:R160"/>
  <sheetViews>
    <sheetView showGridLines="0" workbookViewId="0">
      <selection sqref="A1:H1"/>
    </sheetView>
  </sheetViews>
  <sheetFormatPr defaultRowHeight="12.75" x14ac:dyDescent="0.2"/>
  <cols>
    <col min="1" max="1" width="5.85546875" style="17" bestFit="1" customWidth="1"/>
    <col min="2" max="2" width="20.7109375" style="17" customWidth="1"/>
    <col min="3" max="3" width="69.140625" style="17" bestFit="1" customWidth="1"/>
    <col min="4" max="4" width="10.7109375" style="17" bestFit="1" customWidth="1"/>
    <col min="5" max="5" width="9.42578125" style="17" bestFit="1" customWidth="1"/>
    <col min="6" max="6" width="10.140625" style="17" bestFit="1" customWidth="1"/>
    <col min="7" max="7" width="14" style="17" bestFit="1" customWidth="1"/>
    <col min="8" max="8" width="9.85546875" style="17" bestFit="1" customWidth="1"/>
    <col min="9" max="16384" width="9.140625" style="17"/>
  </cols>
  <sheetData>
    <row r="1" spans="1:9" ht="15" x14ac:dyDescent="0.2">
      <c r="A1" s="16" t="s">
        <v>0</v>
      </c>
      <c r="B1" s="16"/>
      <c r="C1" s="16"/>
      <c r="D1" s="16"/>
      <c r="E1" s="16"/>
      <c r="F1" s="16"/>
      <c r="G1" s="16"/>
      <c r="H1" s="16"/>
      <c r="I1" s="1" t="s">
        <v>599</v>
      </c>
    </row>
    <row r="2" spans="1:9" ht="15" x14ac:dyDescent="0.2">
      <c r="A2" s="16" t="s">
        <v>139</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598</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31">
        <v>1</v>
      </c>
      <c r="B28" s="32" t="s">
        <v>45</v>
      </c>
      <c r="C28" s="32" t="s">
        <v>46</v>
      </c>
      <c r="D28" s="32" t="s">
        <v>32</v>
      </c>
      <c r="E28" s="33">
        <v>300</v>
      </c>
      <c r="F28" s="34">
        <v>3060.7139999999999</v>
      </c>
      <c r="G28" s="35">
        <v>6.5343150000000003E-2</v>
      </c>
      <c r="H28" s="23">
        <v>6.4775</v>
      </c>
    </row>
    <row r="29" spans="1:8" x14ac:dyDescent="0.2">
      <c r="A29" s="31">
        <v>2</v>
      </c>
      <c r="B29" s="32" t="s">
        <v>140</v>
      </c>
      <c r="C29" s="32" t="s">
        <v>141</v>
      </c>
      <c r="D29" s="32" t="s">
        <v>32</v>
      </c>
      <c r="E29" s="33">
        <v>250</v>
      </c>
      <c r="F29" s="34">
        <v>2553.7249999999999</v>
      </c>
      <c r="G29" s="35">
        <v>5.4519449999999997E-2</v>
      </c>
      <c r="H29" s="23">
        <v>6.65</v>
      </c>
    </row>
    <row r="30" spans="1:8" x14ac:dyDescent="0.2">
      <c r="A30" s="31">
        <v>3</v>
      </c>
      <c r="B30" s="32" t="s">
        <v>142</v>
      </c>
      <c r="C30" s="32" t="s">
        <v>143</v>
      </c>
      <c r="D30" s="32" t="s">
        <v>23</v>
      </c>
      <c r="E30" s="33">
        <v>2500</v>
      </c>
      <c r="F30" s="34">
        <v>2546.67</v>
      </c>
      <c r="G30" s="35">
        <v>5.436883E-2</v>
      </c>
      <c r="H30" s="23">
        <v>6.95</v>
      </c>
    </row>
    <row r="31" spans="1:8" x14ac:dyDescent="0.2">
      <c r="A31" s="31">
        <v>4</v>
      </c>
      <c r="B31" s="32" t="s">
        <v>144</v>
      </c>
      <c r="C31" s="32" t="s">
        <v>145</v>
      </c>
      <c r="D31" s="32" t="s">
        <v>32</v>
      </c>
      <c r="E31" s="33">
        <v>2500</v>
      </c>
      <c r="F31" s="34">
        <v>2490.5349999999999</v>
      </c>
      <c r="G31" s="35">
        <v>5.3170410000000001E-2</v>
      </c>
      <c r="H31" s="23">
        <v>6.9649999999999999</v>
      </c>
    </row>
    <row r="32" spans="1:8" x14ac:dyDescent="0.2">
      <c r="A32" s="31">
        <v>5</v>
      </c>
      <c r="B32" s="32" t="s">
        <v>146</v>
      </c>
      <c r="C32" s="32" t="s">
        <v>147</v>
      </c>
      <c r="D32" s="32" t="s">
        <v>23</v>
      </c>
      <c r="E32" s="33">
        <v>2000</v>
      </c>
      <c r="F32" s="34">
        <v>2041.1759999999999</v>
      </c>
      <c r="G32" s="35">
        <v>4.3577049999999999E-2</v>
      </c>
      <c r="H32" s="23">
        <v>6.48</v>
      </c>
    </row>
    <row r="33" spans="1:8" x14ac:dyDescent="0.2">
      <c r="A33" s="31">
        <v>6</v>
      </c>
      <c r="B33" s="32" t="s">
        <v>148</v>
      </c>
      <c r="C33" s="32" t="s">
        <v>149</v>
      </c>
      <c r="D33" s="32" t="s">
        <v>32</v>
      </c>
      <c r="E33" s="33">
        <v>200</v>
      </c>
      <c r="F33" s="34">
        <v>2010.4</v>
      </c>
      <c r="G33" s="35">
        <v>4.2920010000000001E-2</v>
      </c>
      <c r="H33" s="23">
        <v>6.45</v>
      </c>
    </row>
    <row r="34" spans="1:8" x14ac:dyDescent="0.2">
      <c r="A34" s="31">
        <v>7</v>
      </c>
      <c r="B34" s="32" t="s">
        <v>150</v>
      </c>
      <c r="C34" s="32" t="s">
        <v>151</v>
      </c>
      <c r="D34" s="32" t="s">
        <v>32</v>
      </c>
      <c r="E34" s="33">
        <v>200</v>
      </c>
      <c r="F34" s="34">
        <v>1989.77</v>
      </c>
      <c r="G34" s="35">
        <v>4.2479580000000003E-2</v>
      </c>
      <c r="H34" s="23">
        <v>6.54</v>
      </c>
    </row>
    <row r="35" spans="1:8" x14ac:dyDescent="0.2">
      <c r="A35" s="31">
        <v>8</v>
      </c>
      <c r="B35" s="32" t="s">
        <v>35</v>
      </c>
      <c r="C35" s="32" t="s">
        <v>36</v>
      </c>
      <c r="D35" s="32" t="s">
        <v>23</v>
      </c>
      <c r="E35" s="33">
        <v>1500</v>
      </c>
      <c r="F35" s="34">
        <v>1537.5554999999999</v>
      </c>
      <c r="G35" s="35">
        <v>3.2825260000000002E-2</v>
      </c>
      <c r="H35" s="23">
        <v>6.8502999999999998</v>
      </c>
    </row>
    <row r="36" spans="1:8" x14ac:dyDescent="0.2">
      <c r="A36" s="31">
        <v>9</v>
      </c>
      <c r="B36" s="32" t="s">
        <v>152</v>
      </c>
      <c r="C36" s="32" t="s">
        <v>153</v>
      </c>
      <c r="D36" s="32" t="s">
        <v>23</v>
      </c>
      <c r="E36" s="33">
        <v>1500</v>
      </c>
      <c r="F36" s="34">
        <v>1532.7270000000001</v>
      </c>
      <c r="G36" s="35">
        <v>3.2722170000000002E-2</v>
      </c>
      <c r="H36" s="23">
        <v>6.54</v>
      </c>
    </row>
    <row r="37" spans="1:8" x14ac:dyDescent="0.2">
      <c r="A37" s="31">
        <v>10</v>
      </c>
      <c r="B37" s="32" t="s">
        <v>39</v>
      </c>
      <c r="C37" s="32" t="s">
        <v>40</v>
      </c>
      <c r="D37" s="32" t="s">
        <v>23</v>
      </c>
      <c r="E37" s="33">
        <v>1500</v>
      </c>
      <c r="F37" s="34">
        <v>1513.6424999999999</v>
      </c>
      <c r="G37" s="35">
        <v>3.2314740000000002E-2</v>
      </c>
      <c r="H37" s="23">
        <v>6.4850000000000003</v>
      </c>
    </row>
    <row r="38" spans="1:8" x14ac:dyDescent="0.2">
      <c r="A38" s="31">
        <v>11</v>
      </c>
      <c r="B38" s="32" t="s">
        <v>154</v>
      </c>
      <c r="C38" s="32" t="s">
        <v>155</v>
      </c>
      <c r="D38" s="32" t="s">
        <v>23</v>
      </c>
      <c r="E38" s="33">
        <v>1000</v>
      </c>
      <c r="F38" s="34">
        <v>1028.415</v>
      </c>
      <c r="G38" s="35">
        <v>2.1955619999999999E-2</v>
      </c>
      <c r="H38" s="23">
        <v>6.9</v>
      </c>
    </row>
    <row r="39" spans="1:8" x14ac:dyDescent="0.2">
      <c r="A39" s="31">
        <v>12</v>
      </c>
      <c r="B39" s="32" t="s">
        <v>24</v>
      </c>
      <c r="C39" s="32" t="s">
        <v>25</v>
      </c>
      <c r="D39" s="32" t="s">
        <v>23</v>
      </c>
      <c r="E39" s="33">
        <v>1000</v>
      </c>
      <c r="F39" s="34">
        <v>1022.1849999999999</v>
      </c>
      <c r="G39" s="35">
        <v>2.1822620000000001E-2</v>
      </c>
      <c r="H39" s="23">
        <v>6.73</v>
      </c>
    </row>
    <row r="40" spans="1:8" x14ac:dyDescent="0.2">
      <c r="A40" s="31">
        <v>13</v>
      </c>
      <c r="B40" s="32" t="s">
        <v>156</v>
      </c>
      <c r="C40" s="32" t="s">
        <v>157</v>
      </c>
      <c r="D40" s="32" t="s">
        <v>32</v>
      </c>
      <c r="E40" s="33">
        <v>1000</v>
      </c>
      <c r="F40" s="34">
        <v>1018.874</v>
      </c>
      <c r="G40" s="35">
        <v>2.1751929999999999E-2</v>
      </c>
      <c r="H40" s="23">
        <v>6.73</v>
      </c>
    </row>
    <row r="41" spans="1:8" x14ac:dyDescent="0.2">
      <c r="A41" s="31">
        <v>14</v>
      </c>
      <c r="B41" s="32" t="s">
        <v>59</v>
      </c>
      <c r="C41" s="32" t="s">
        <v>60</v>
      </c>
      <c r="D41" s="32" t="s">
        <v>23</v>
      </c>
      <c r="E41" s="33">
        <v>1000</v>
      </c>
      <c r="F41" s="34">
        <v>1002.603</v>
      </c>
      <c r="G41" s="35">
        <v>2.140456E-2</v>
      </c>
      <c r="H41" s="23">
        <v>6.9</v>
      </c>
    </row>
    <row r="42" spans="1:8" x14ac:dyDescent="0.2">
      <c r="A42" s="31">
        <v>15</v>
      </c>
      <c r="B42" s="32" t="s">
        <v>65</v>
      </c>
      <c r="C42" s="32" t="s">
        <v>66</v>
      </c>
      <c r="D42" s="32" t="s">
        <v>23</v>
      </c>
      <c r="E42" s="33">
        <v>1000</v>
      </c>
      <c r="F42" s="34">
        <v>997.45100000000002</v>
      </c>
      <c r="G42" s="35">
        <v>2.1294569999999999E-2</v>
      </c>
      <c r="H42" s="23">
        <v>6.7060000000000004</v>
      </c>
    </row>
    <row r="43" spans="1:8" x14ac:dyDescent="0.2">
      <c r="A43" s="31">
        <v>16</v>
      </c>
      <c r="B43" s="32" t="s">
        <v>43</v>
      </c>
      <c r="C43" s="32" t="s">
        <v>44</v>
      </c>
      <c r="D43" s="32" t="s">
        <v>23</v>
      </c>
      <c r="E43" s="33">
        <v>500</v>
      </c>
      <c r="F43" s="34">
        <v>513.28250000000003</v>
      </c>
      <c r="G43" s="35">
        <v>1.095806E-2</v>
      </c>
      <c r="H43" s="23">
        <v>6.7702999999999998</v>
      </c>
    </row>
    <row r="44" spans="1:8" x14ac:dyDescent="0.2">
      <c r="A44" s="31">
        <v>17</v>
      </c>
      <c r="B44" s="32" t="s">
        <v>158</v>
      </c>
      <c r="C44" s="32" t="s">
        <v>159</v>
      </c>
      <c r="D44" s="32" t="s">
        <v>23</v>
      </c>
      <c r="E44" s="33">
        <v>500</v>
      </c>
      <c r="F44" s="34">
        <v>510.42</v>
      </c>
      <c r="G44" s="35">
        <v>1.0896950000000001E-2</v>
      </c>
      <c r="H44" s="23">
        <v>6.74</v>
      </c>
    </row>
    <row r="45" spans="1:8" x14ac:dyDescent="0.2">
      <c r="A45" s="31">
        <v>18</v>
      </c>
      <c r="B45" s="32" t="s">
        <v>160</v>
      </c>
      <c r="C45" s="32" t="s">
        <v>161</v>
      </c>
      <c r="D45" s="32" t="s">
        <v>23</v>
      </c>
      <c r="E45" s="33">
        <v>500</v>
      </c>
      <c r="F45" s="34">
        <v>509.05900000000003</v>
      </c>
      <c r="G45" s="35">
        <v>1.08679E-2</v>
      </c>
      <c r="H45" s="23">
        <v>7.15</v>
      </c>
    </row>
    <row r="46" spans="1:8" x14ac:dyDescent="0.2">
      <c r="A46" s="31">
        <v>19</v>
      </c>
      <c r="B46" s="32" t="s">
        <v>162</v>
      </c>
      <c r="C46" s="32" t="s">
        <v>163</v>
      </c>
      <c r="D46" s="32" t="s">
        <v>32</v>
      </c>
      <c r="E46" s="33">
        <v>500</v>
      </c>
      <c r="F46" s="34">
        <v>508.92349999999999</v>
      </c>
      <c r="G46" s="35">
        <v>1.0865E-2</v>
      </c>
      <c r="H46" s="23">
        <v>6.625</v>
      </c>
    </row>
    <row r="47" spans="1:8" x14ac:dyDescent="0.2">
      <c r="A47" s="31">
        <v>20</v>
      </c>
      <c r="B47" s="32" t="s">
        <v>69</v>
      </c>
      <c r="C47" s="32" t="s">
        <v>70</v>
      </c>
      <c r="D47" s="32" t="s">
        <v>23</v>
      </c>
      <c r="E47" s="33">
        <v>500</v>
      </c>
      <c r="F47" s="34">
        <v>508.75799999999998</v>
      </c>
      <c r="G47" s="35">
        <v>1.086147E-2</v>
      </c>
      <c r="H47" s="23">
        <v>7.1150000000000002</v>
      </c>
    </row>
    <row r="48" spans="1:8" x14ac:dyDescent="0.2">
      <c r="A48" s="31">
        <v>21</v>
      </c>
      <c r="B48" s="32" t="s">
        <v>164</v>
      </c>
      <c r="C48" s="32" t="s">
        <v>165</v>
      </c>
      <c r="D48" s="32" t="s">
        <v>23</v>
      </c>
      <c r="E48" s="33">
        <v>500</v>
      </c>
      <c r="F48" s="34">
        <v>507.61599999999999</v>
      </c>
      <c r="G48" s="35">
        <v>1.0837090000000001E-2</v>
      </c>
      <c r="H48" s="23">
        <v>6.4850000000000003</v>
      </c>
    </row>
    <row r="49" spans="1:8" x14ac:dyDescent="0.2">
      <c r="A49" s="31">
        <v>22</v>
      </c>
      <c r="B49" s="32" t="s">
        <v>53</v>
      </c>
      <c r="C49" s="32" t="s">
        <v>54</v>
      </c>
      <c r="D49" s="32" t="s">
        <v>23</v>
      </c>
      <c r="E49" s="33">
        <v>500</v>
      </c>
      <c r="F49" s="34">
        <v>507.16149999999999</v>
      </c>
      <c r="G49" s="35">
        <v>1.0827389999999999E-2</v>
      </c>
      <c r="H49" s="23">
        <v>6.5</v>
      </c>
    </row>
    <row r="50" spans="1:8" x14ac:dyDescent="0.2">
      <c r="A50" s="31">
        <v>23</v>
      </c>
      <c r="B50" s="32" t="s">
        <v>49</v>
      </c>
      <c r="C50" s="32" t="s">
        <v>50</v>
      </c>
      <c r="D50" s="32" t="s">
        <v>23</v>
      </c>
      <c r="E50" s="33">
        <v>500</v>
      </c>
      <c r="F50" s="34">
        <v>504.68</v>
      </c>
      <c r="G50" s="35">
        <v>1.077441E-2</v>
      </c>
      <c r="H50" s="23">
        <v>6.4500999999999999</v>
      </c>
    </row>
    <row r="51" spans="1:8" x14ac:dyDescent="0.2">
      <c r="A51" s="31">
        <v>24</v>
      </c>
      <c r="B51" s="32" t="s">
        <v>57</v>
      </c>
      <c r="C51" s="32" t="s">
        <v>58</v>
      </c>
      <c r="D51" s="32" t="s">
        <v>32</v>
      </c>
      <c r="E51" s="33">
        <v>50</v>
      </c>
      <c r="F51" s="34">
        <v>504.416</v>
      </c>
      <c r="G51" s="35">
        <v>1.076877E-2</v>
      </c>
      <c r="H51" s="23">
        <v>6.5650000000000004</v>
      </c>
    </row>
    <row r="52" spans="1:8" x14ac:dyDescent="0.2">
      <c r="A52" s="24"/>
      <c r="B52" s="24"/>
      <c r="C52" s="25" t="s">
        <v>11</v>
      </c>
      <c r="D52" s="24"/>
      <c r="E52" s="24" t="s">
        <v>12</v>
      </c>
      <c r="F52" s="30">
        <v>30920.7595</v>
      </c>
      <c r="G52" s="27">
        <v>0.66012698999999997</v>
      </c>
      <c r="H52" s="23" t="s">
        <v>12</v>
      </c>
    </row>
    <row r="53" spans="1:8" x14ac:dyDescent="0.2">
      <c r="A53" s="24"/>
      <c r="B53" s="24"/>
      <c r="C53" s="28"/>
      <c r="D53" s="24"/>
      <c r="E53" s="24"/>
      <c r="F53" s="29"/>
      <c r="G53" s="29"/>
      <c r="H53" s="23" t="s">
        <v>12</v>
      </c>
    </row>
    <row r="54" spans="1:8" x14ac:dyDescent="0.2">
      <c r="A54" s="24"/>
      <c r="B54" s="24"/>
      <c r="C54" s="25" t="s">
        <v>77</v>
      </c>
      <c r="D54" s="24"/>
      <c r="E54" s="24"/>
      <c r="F54" s="24"/>
      <c r="G54" s="24"/>
      <c r="H54" s="23" t="s">
        <v>12</v>
      </c>
    </row>
    <row r="55" spans="1:8" x14ac:dyDescent="0.2">
      <c r="A55" s="24"/>
      <c r="B55" s="24"/>
      <c r="C55" s="25" t="s">
        <v>11</v>
      </c>
      <c r="D55" s="24"/>
      <c r="E55" s="24" t="s">
        <v>12</v>
      </c>
      <c r="F55" s="26" t="s">
        <v>13</v>
      </c>
      <c r="G55" s="27">
        <v>0</v>
      </c>
      <c r="H55" s="23" t="s">
        <v>12</v>
      </c>
    </row>
    <row r="56" spans="1:8" x14ac:dyDescent="0.2">
      <c r="A56" s="24"/>
      <c r="B56" s="24"/>
      <c r="C56" s="28"/>
      <c r="D56" s="24"/>
      <c r="E56" s="24"/>
      <c r="F56" s="29"/>
      <c r="G56" s="29"/>
      <c r="H56" s="23" t="s">
        <v>12</v>
      </c>
    </row>
    <row r="57" spans="1:8" x14ac:dyDescent="0.2">
      <c r="A57" s="24"/>
      <c r="B57" s="24"/>
      <c r="C57" s="25" t="s">
        <v>78</v>
      </c>
      <c r="D57" s="24"/>
      <c r="E57" s="24"/>
      <c r="F57" s="24"/>
      <c r="G57" s="24"/>
      <c r="H57" s="23" t="s">
        <v>12</v>
      </c>
    </row>
    <row r="58" spans="1:8" x14ac:dyDescent="0.2">
      <c r="A58" s="31">
        <v>1</v>
      </c>
      <c r="B58" s="32" t="s">
        <v>79</v>
      </c>
      <c r="C58" s="32" t="s">
        <v>80</v>
      </c>
      <c r="D58" s="32" t="s">
        <v>81</v>
      </c>
      <c r="E58" s="33">
        <v>4000000</v>
      </c>
      <c r="F58" s="34">
        <v>4112.7719999999999</v>
      </c>
      <c r="G58" s="35">
        <v>8.7803530000000005E-2</v>
      </c>
      <c r="H58" s="23">
        <v>6.4821999999999997</v>
      </c>
    </row>
    <row r="59" spans="1:8" x14ac:dyDescent="0.2">
      <c r="A59" s="31">
        <v>2</v>
      </c>
      <c r="B59" s="32" t="s">
        <v>82</v>
      </c>
      <c r="C59" s="32" t="s">
        <v>83</v>
      </c>
      <c r="D59" s="32" t="s">
        <v>81</v>
      </c>
      <c r="E59" s="33">
        <v>1000000</v>
      </c>
      <c r="F59" s="34">
        <v>1053.6679999999999</v>
      </c>
      <c r="G59" s="35">
        <v>2.2494750000000001E-2</v>
      </c>
      <c r="H59" s="23">
        <v>6.2229000000000001</v>
      </c>
    </row>
    <row r="60" spans="1:8" x14ac:dyDescent="0.2">
      <c r="A60" s="31">
        <v>3</v>
      </c>
      <c r="B60" s="32" t="s">
        <v>84</v>
      </c>
      <c r="C60" s="32" t="s">
        <v>85</v>
      </c>
      <c r="D60" s="32" t="s">
        <v>81</v>
      </c>
      <c r="E60" s="33">
        <v>1000000</v>
      </c>
      <c r="F60" s="34">
        <v>1027.5540000000001</v>
      </c>
      <c r="G60" s="35">
        <v>2.193724E-2</v>
      </c>
      <c r="H60" s="23">
        <v>6.1467000000000001</v>
      </c>
    </row>
    <row r="61" spans="1:8" x14ac:dyDescent="0.2">
      <c r="A61" s="31">
        <v>4</v>
      </c>
      <c r="B61" s="32" t="s">
        <v>166</v>
      </c>
      <c r="C61" s="32" t="s">
        <v>167</v>
      </c>
      <c r="D61" s="32" t="s">
        <v>81</v>
      </c>
      <c r="E61" s="33">
        <v>500000</v>
      </c>
      <c r="F61" s="34">
        <v>524.54150000000004</v>
      </c>
      <c r="G61" s="35">
        <v>1.1198430000000001E-2</v>
      </c>
      <c r="H61" s="23">
        <v>6.7896999999999998</v>
      </c>
    </row>
    <row r="62" spans="1:8" x14ac:dyDescent="0.2">
      <c r="A62" s="31">
        <v>5</v>
      </c>
      <c r="B62" s="32" t="s">
        <v>168</v>
      </c>
      <c r="C62" s="32" t="s">
        <v>169</v>
      </c>
      <c r="D62" s="32" t="s">
        <v>81</v>
      </c>
      <c r="E62" s="33">
        <v>500000</v>
      </c>
      <c r="F62" s="34">
        <v>517.89</v>
      </c>
      <c r="G62" s="35">
        <v>1.1056430000000001E-2</v>
      </c>
      <c r="H62" s="23">
        <v>6.0907</v>
      </c>
    </row>
    <row r="63" spans="1:8" x14ac:dyDescent="0.2">
      <c r="A63" s="31">
        <v>6</v>
      </c>
      <c r="B63" s="32" t="s">
        <v>92</v>
      </c>
      <c r="C63" s="32" t="s">
        <v>93</v>
      </c>
      <c r="D63" s="32" t="s">
        <v>81</v>
      </c>
      <c r="E63" s="33">
        <v>500000</v>
      </c>
      <c r="F63" s="34">
        <v>500.43950000000001</v>
      </c>
      <c r="G63" s="35">
        <v>1.068388E-2</v>
      </c>
      <c r="H63" s="23">
        <v>6.4161999999999999</v>
      </c>
    </row>
    <row r="64" spans="1:8" x14ac:dyDescent="0.2">
      <c r="A64" s="31">
        <v>7</v>
      </c>
      <c r="B64" s="32" t="s">
        <v>94</v>
      </c>
      <c r="C64" s="32" t="s">
        <v>95</v>
      </c>
      <c r="D64" s="32" t="s">
        <v>81</v>
      </c>
      <c r="E64" s="33">
        <v>500000</v>
      </c>
      <c r="F64" s="34">
        <v>487.18799999999999</v>
      </c>
      <c r="G64" s="35">
        <v>1.0400970000000001E-2</v>
      </c>
      <c r="H64" s="23">
        <v>7.2186000000000003</v>
      </c>
    </row>
    <row r="65" spans="1:8" x14ac:dyDescent="0.2">
      <c r="A65" s="31">
        <v>8</v>
      </c>
      <c r="B65" s="32" t="s">
        <v>96</v>
      </c>
      <c r="C65" s="32" t="s">
        <v>97</v>
      </c>
      <c r="D65" s="32" t="s">
        <v>81</v>
      </c>
      <c r="E65" s="33">
        <v>200000</v>
      </c>
      <c r="F65" s="34">
        <v>209.0848</v>
      </c>
      <c r="G65" s="35">
        <v>4.4637499999999998E-3</v>
      </c>
      <c r="H65" s="23">
        <v>6.5155000000000003</v>
      </c>
    </row>
    <row r="66" spans="1:8" x14ac:dyDescent="0.2">
      <c r="A66" s="24"/>
      <c r="B66" s="24"/>
      <c r="C66" s="25" t="s">
        <v>11</v>
      </c>
      <c r="D66" s="24"/>
      <c r="E66" s="24" t="s">
        <v>12</v>
      </c>
      <c r="F66" s="30">
        <v>8433.1378000000004</v>
      </c>
      <c r="G66" s="27">
        <v>0.18003897999999999</v>
      </c>
      <c r="H66" s="23" t="s">
        <v>12</v>
      </c>
    </row>
    <row r="67" spans="1:8" x14ac:dyDescent="0.2">
      <c r="A67" s="24"/>
      <c r="B67" s="24"/>
      <c r="C67" s="28"/>
      <c r="D67" s="24"/>
      <c r="E67" s="24"/>
      <c r="F67" s="29"/>
      <c r="G67" s="29"/>
      <c r="H67" s="23" t="s">
        <v>12</v>
      </c>
    </row>
    <row r="68" spans="1:8" x14ac:dyDescent="0.2">
      <c r="A68" s="24"/>
      <c r="B68" s="24"/>
      <c r="C68" s="25" t="s">
        <v>98</v>
      </c>
      <c r="D68" s="24"/>
      <c r="E68" s="24"/>
      <c r="F68" s="29"/>
      <c r="G68" s="29"/>
      <c r="H68" s="23" t="s">
        <v>12</v>
      </c>
    </row>
    <row r="69" spans="1:8" x14ac:dyDescent="0.2">
      <c r="A69" s="24"/>
      <c r="B69" s="24"/>
      <c r="C69" s="25" t="s">
        <v>11</v>
      </c>
      <c r="D69" s="24"/>
      <c r="E69" s="24" t="s">
        <v>12</v>
      </c>
      <c r="F69" s="26" t="s">
        <v>13</v>
      </c>
      <c r="G69" s="27">
        <v>0</v>
      </c>
      <c r="H69" s="23" t="s">
        <v>12</v>
      </c>
    </row>
    <row r="70" spans="1:8" x14ac:dyDescent="0.2">
      <c r="A70" s="24"/>
      <c r="B70" s="24"/>
      <c r="C70" s="28"/>
      <c r="D70" s="24"/>
      <c r="E70" s="24"/>
      <c r="F70" s="29"/>
      <c r="G70" s="29"/>
      <c r="H70" s="23" t="s">
        <v>12</v>
      </c>
    </row>
    <row r="71" spans="1:8" x14ac:dyDescent="0.2">
      <c r="A71" s="24"/>
      <c r="B71" s="24"/>
      <c r="C71" s="25" t="s">
        <v>99</v>
      </c>
      <c r="D71" s="24"/>
      <c r="E71" s="24"/>
      <c r="F71" s="30">
        <v>39353.897299999997</v>
      </c>
      <c r="G71" s="27">
        <v>0.84016597000000004</v>
      </c>
      <c r="H71" s="23" t="s">
        <v>12</v>
      </c>
    </row>
    <row r="72" spans="1:8" x14ac:dyDescent="0.2">
      <c r="A72" s="24"/>
      <c r="B72" s="24"/>
      <c r="C72" s="28"/>
      <c r="D72" s="24"/>
      <c r="E72" s="24"/>
      <c r="F72" s="29"/>
      <c r="G72" s="29"/>
      <c r="H72" s="23" t="s">
        <v>12</v>
      </c>
    </row>
    <row r="73" spans="1:8" x14ac:dyDescent="0.2">
      <c r="A73" s="24"/>
      <c r="B73" s="24"/>
      <c r="C73" s="25" t="s">
        <v>100</v>
      </c>
      <c r="D73" s="24"/>
      <c r="E73" s="24"/>
      <c r="F73" s="29"/>
      <c r="G73" s="29"/>
      <c r="H73" s="23" t="s">
        <v>12</v>
      </c>
    </row>
    <row r="74" spans="1:8" x14ac:dyDescent="0.2">
      <c r="A74" s="24"/>
      <c r="B74" s="24"/>
      <c r="C74" s="25" t="s">
        <v>101</v>
      </c>
      <c r="D74" s="24"/>
      <c r="E74" s="24"/>
      <c r="F74" s="29"/>
      <c r="G74" s="29"/>
      <c r="H74" s="23" t="s">
        <v>12</v>
      </c>
    </row>
    <row r="75" spans="1:8" x14ac:dyDescent="0.2">
      <c r="A75" s="31">
        <v>1</v>
      </c>
      <c r="B75" s="32" t="s">
        <v>170</v>
      </c>
      <c r="C75" s="32" t="s">
        <v>171</v>
      </c>
      <c r="D75" s="32" t="s">
        <v>110</v>
      </c>
      <c r="E75" s="33">
        <v>400</v>
      </c>
      <c r="F75" s="34">
        <v>1913.43</v>
      </c>
      <c r="G75" s="35">
        <v>4.0849799999999999E-2</v>
      </c>
      <c r="H75" s="23">
        <v>6.1849999999999996</v>
      </c>
    </row>
    <row r="76" spans="1:8" x14ac:dyDescent="0.2">
      <c r="A76" s="31">
        <v>2</v>
      </c>
      <c r="B76" s="32" t="s">
        <v>172</v>
      </c>
      <c r="C76" s="32" t="s">
        <v>173</v>
      </c>
      <c r="D76" s="32" t="s">
        <v>110</v>
      </c>
      <c r="E76" s="33">
        <v>200</v>
      </c>
      <c r="F76" s="34">
        <v>960.07600000000002</v>
      </c>
      <c r="G76" s="35">
        <v>2.0496650000000002E-2</v>
      </c>
      <c r="H76" s="23">
        <v>6.17</v>
      </c>
    </row>
    <row r="77" spans="1:8" x14ac:dyDescent="0.2">
      <c r="A77" s="31">
        <v>3</v>
      </c>
      <c r="B77" s="32" t="s">
        <v>174</v>
      </c>
      <c r="C77" s="32" t="s">
        <v>175</v>
      </c>
      <c r="D77" s="32" t="s">
        <v>110</v>
      </c>
      <c r="E77" s="33">
        <v>100</v>
      </c>
      <c r="F77" s="34">
        <v>482.11799999999999</v>
      </c>
      <c r="G77" s="35">
        <v>1.029273E-2</v>
      </c>
      <c r="H77" s="23">
        <v>6.2100999999999997</v>
      </c>
    </row>
    <row r="78" spans="1:8" x14ac:dyDescent="0.2">
      <c r="A78" s="31">
        <v>4</v>
      </c>
      <c r="B78" s="32" t="s">
        <v>176</v>
      </c>
      <c r="C78" s="32" t="s">
        <v>177</v>
      </c>
      <c r="D78" s="32" t="s">
        <v>110</v>
      </c>
      <c r="E78" s="33">
        <v>100</v>
      </c>
      <c r="F78" s="34">
        <v>478.79500000000002</v>
      </c>
      <c r="G78" s="35">
        <v>1.022179E-2</v>
      </c>
      <c r="H78" s="23">
        <v>6.17</v>
      </c>
    </row>
    <row r="79" spans="1:8" x14ac:dyDescent="0.2">
      <c r="A79" s="24"/>
      <c r="B79" s="24"/>
      <c r="C79" s="25" t="s">
        <v>11</v>
      </c>
      <c r="D79" s="24"/>
      <c r="E79" s="24" t="s">
        <v>12</v>
      </c>
      <c r="F79" s="30">
        <v>3834.4189999999999</v>
      </c>
      <c r="G79" s="27">
        <v>8.1860970000000005E-2</v>
      </c>
      <c r="H79" s="23" t="s">
        <v>12</v>
      </c>
    </row>
    <row r="80" spans="1:8" x14ac:dyDescent="0.2">
      <c r="A80" s="24"/>
      <c r="B80" s="24"/>
      <c r="C80" s="28"/>
      <c r="D80" s="24"/>
      <c r="E80" s="24"/>
      <c r="F80" s="29"/>
      <c r="G80" s="29"/>
      <c r="H80" s="23" t="s">
        <v>12</v>
      </c>
    </row>
    <row r="81" spans="1:8" x14ac:dyDescent="0.2">
      <c r="A81" s="24"/>
      <c r="B81" s="24"/>
      <c r="C81" s="25" t="s">
        <v>111</v>
      </c>
      <c r="D81" s="24"/>
      <c r="E81" s="24"/>
      <c r="F81" s="29"/>
      <c r="G81" s="29"/>
      <c r="H81" s="23" t="s">
        <v>12</v>
      </c>
    </row>
    <row r="82" spans="1:8" x14ac:dyDescent="0.2">
      <c r="A82" s="24"/>
      <c r="B82" s="24"/>
      <c r="C82" s="25" t="s">
        <v>11</v>
      </c>
      <c r="D82" s="24"/>
      <c r="E82" s="24" t="s">
        <v>12</v>
      </c>
      <c r="F82" s="26" t="s">
        <v>13</v>
      </c>
      <c r="G82" s="27">
        <v>0</v>
      </c>
      <c r="H82" s="23" t="s">
        <v>12</v>
      </c>
    </row>
    <row r="83" spans="1:8" x14ac:dyDescent="0.2">
      <c r="A83" s="24"/>
      <c r="B83" s="24"/>
      <c r="C83" s="28"/>
      <c r="D83" s="24"/>
      <c r="E83" s="24"/>
      <c r="F83" s="29"/>
      <c r="G83" s="29"/>
      <c r="H83" s="23" t="s">
        <v>12</v>
      </c>
    </row>
    <row r="84" spans="1:8" x14ac:dyDescent="0.2">
      <c r="A84" s="24"/>
      <c r="B84" s="24"/>
      <c r="C84" s="25" t="s">
        <v>112</v>
      </c>
      <c r="D84" s="24"/>
      <c r="E84" s="24"/>
      <c r="F84" s="29"/>
      <c r="G84" s="29"/>
      <c r="H84" s="23" t="s">
        <v>12</v>
      </c>
    </row>
    <row r="85" spans="1:8" x14ac:dyDescent="0.2">
      <c r="A85" s="24"/>
      <c r="B85" s="24"/>
      <c r="C85" s="25" t="s">
        <v>11</v>
      </c>
      <c r="D85" s="24"/>
      <c r="E85" s="24" t="s">
        <v>12</v>
      </c>
      <c r="F85" s="26" t="s">
        <v>13</v>
      </c>
      <c r="G85" s="27">
        <v>0</v>
      </c>
      <c r="H85" s="23" t="s">
        <v>12</v>
      </c>
    </row>
    <row r="86" spans="1:8" x14ac:dyDescent="0.2">
      <c r="A86" s="24"/>
      <c r="B86" s="24"/>
      <c r="C86" s="28"/>
      <c r="D86" s="24"/>
      <c r="E86" s="24"/>
      <c r="F86" s="29"/>
      <c r="G86" s="29"/>
      <c r="H86" s="23" t="s">
        <v>12</v>
      </c>
    </row>
    <row r="87" spans="1:8" x14ac:dyDescent="0.2">
      <c r="A87" s="24"/>
      <c r="B87" s="24"/>
      <c r="C87" s="25" t="s">
        <v>113</v>
      </c>
      <c r="D87" s="24"/>
      <c r="E87" s="24"/>
      <c r="F87" s="29"/>
      <c r="G87" s="29"/>
      <c r="H87" s="23" t="s">
        <v>12</v>
      </c>
    </row>
    <row r="88" spans="1:8" x14ac:dyDescent="0.2">
      <c r="A88" s="31">
        <v>1</v>
      </c>
      <c r="B88" s="32"/>
      <c r="C88" s="32" t="s">
        <v>114</v>
      </c>
      <c r="D88" s="32"/>
      <c r="E88" s="36"/>
      <c r="F88" s="34">
        <v>2649.1871749920001</v>
      </c>
      <c r="G88" s="35">
        <v>5.6557469999999999E-2</v>
      </c>
      <c r="H88" s="23">
        <v>5.47</v>
      </c>
    </row>
    <row r="89" spans="1:8" x14ac:dyDescent="0.2">
      <c r="A89" s="24"/>
      <c r="B89" s="24"/>
      <c r="C89" s="25" t="s">
        <v>11</v>
      </c>
      <c r="D89" s="24"/>
      <c r="E89" s="24" t="s">
        <v>12</v>
      </c>
      <c r="F89" s="30">
        <v>2649.1871749920001</v>
      </c>
      <c r="G89" s="27">
        <v>5.6557469999999999E-2</v>
      </c>
      <c r="H89" s="23" t="s">
        <v>12</v>
      </c>
    </row>
    <row r="90" spans="1:8" x14ac:dyDescent="0.2">
      <c r="A90" s="24"/>
      <c r="B90" s="24"/>
      <c r="C90" s="28"/>
      <c r="D90" s="24"/>
      <c r="E90" s="24"/>
      <c r="F90" s="29"/>
      <c r="G90" s="29"/>
      <c r="H90" s="23" t="s">
        <v>12</v>
      </c>
    </row>
    <row r="91" spans="1:8" x14ac:dyDescent="0.2">
      <c r="A91" s="24"/>
      <c r="B91" s="24"/>
      <c r="C91" s="25" t="s">
        <v>115</v>
      </c>
      <c r="D91" s="24"/>
      <c r="E91" s="24"/>
      <c r="F91" s="30">
        <v>6483.606174992</v>
      </c>
      <c r="G91" s="27">
        <v>0.13841844</v>
      </c>
      <c r="H91" s="23" t="s">
        <v>12</v>
      </c>
    </row>
    <row r="92" spans="1:8" x14ac:dyDescent="0.2">
      <c r="A92" s="24"/>
      <c r="B92" s="24"/>
      <c r="C92" s="29"/>
      <c r="D92" s="24"/>
      <c r="E92" s="24"/>
      <c r="F92" s="24"/>
      <c r="G92" s="24"/>
      <c r="H92" s="23" t="s">
        <v>12</v>
      </c>
    </row>
    <row r="93" spans="1:8" x14ac:dyDescent="0.2">
      <c r="A93" s="24"/>
      <c r="B93" s="24"/>
      <c r="C93" s="25" t="s">
        <v>116</v>
      </c>
      <c r="D93" s="24"/>
      <c r="E93" s="24"/>
      <c r="F93" s="24"/>
      <c r="G93" s="24"/>
      <c r="H93" s="23" t="s">
        <v>12</v>
      </c>
    </row>
    <row r="94" spans="1:8" x14ac:dyDescent="0.2">
      <c r="A94" s="24"/>
      <c r="B94" s="24"/>
      <c r="C94" s="25" t="s">
        <v>117</v>
      </c>
      <c r="D94" s="24"/>
      <c r="E94" s="24"/>
      <c r="F94" s="24"/>
      <c r="G94" s="24"/>
      <c r="H94" s="23" t="s">
        <v>12</v>
      </c>
    </row>
    <row r="95" spans="1:8" x14ac:dyDescent="0.2">
      <c r="A95" s="24"/>
      <c r="B95" s="24"/>
      <c r="C95" s="25" t="s">
        <v>11</v>
      </c>
      <c r="D95" s="24"/>
      <c r="E95" s="24" t="s">
        <v>12</v>
      </c>
      <c r="F95" s="26" t="s">
        <v>13</v>
      </c>
      <c r="G95" s="27">
        <v>0</v>
      </c>
      <c r="H95" s="23" t="s">
        <v>12</v>
      </c>
    </row>
    <row r="96" spans="1:8" x14ac:dyDescent="0.2">
      <c r="A96" s="21"/>
      <c r="B96" s="21"/>
      <c r="C96" s="99"/>
      <c r="D96" s="21"/>
      <c r="E96" s="21"/>
      <c r="F96" s="51"/>
      <c r="G96" s="51"/>
      <c r="H96" s="23" t="s">
        <v>12</v>
      </c>
    </row>
    <row r="97" spans="1:17" x14ac:dyDescent="0.2">
      <c r="A97" s="21"/>
      <c r="B97" s="21"/>
      <c r="C97" s="22" t="s">
        <v>618</v>
      </c>
      <c r="D97" s="21"/>
      <c r="E97" s="21"/>
      <c r="F97" s="51"/>
      <c r="G97" s="51"/>
      <c r="H97" s="23" t="s">
        <v>12</v>
      </c>
      <c r="K97" s="72"/>
      <c r="L97" s="72"/>
      <c r="M97" s="72"/>
      <c r="N97" s="72"/>
      <c r="O97" s="100"/>
      <c r="P97" s="100"/>
      <c r="Q97" s="100"/>
    </row>
    <row r="98" spans="1:17" x14ac:dyDescent="0.2">
      <c r="A98" s="93">
        <v>1</v>
      </c>
      <c r="B98" s="94" t="s">
        <v>118</v>
      </c>
      <c r="C98" s="94" t="s">
        <v>119</v>
      </c>
      <c r="D98" s="94"/>
      <c r="E98" s="101">
        <v>1138.2429999999999</v>
      </c>
      <c r="F98" s="96">
        <v>127.97789640800001</v>
      </c>
      <c r="G98" s="97">
        <v>2.7322000000000002E-3</v>
      </c>
      <c r="H98" s="23"/>
    </row>
    <row r="99" spans="1:17" x14ac:dyDescent="0.2">
      <c r="A99" s="21"/>
      <c r="B99" s="21"/>
      <c r="C99" s="22" t="s">
        <v>11</v>
      </c>
      <c r="D99" s="21"/>
      <c r="E99" s="21" t="s">
        <v>12</v>
      </c>
      <c r="F99" s="102">
        <f>SUM(F98)</f>
        <v>127.97789640800001</v>
      </c>
      <c r="G99" s="103">
        <f>SUM(G98)</f>
        <v>2.7322000000000002E-3</v>
      </c>
      <c r="H99" s="23" t="s">
        <v>12</v>
      </c>
    </row>
    <row r="100" spans="1:17" x14ac:dyDescent="0.2">
      <c r="A100" s="24"/>
      <c r="B100" s="24"/>
      <c r="C100" s="28"/>
      <c r="D100" s="24"/>
      <c r="E100" s="24"/>
      <c r="F100" s="29"/>
      <c r="G100" s="29"/>
      <c r="H100" s="23" t="s">
        <v>12</v>
      </c>
    </row>
    <row r="101" spans="1:17" x14ac:dyDescent="0.2">
      <c r="A101" s="24"/>
      <c r="B101" s="24"/>
      <c r="C101" s="25" t="s">
        <v>120</v>
      </c>
      <c r="D101" s="24"/>
      <c r="E101" s="24"/>
      <c r="F101" s="24"/>
      <c r="G101" s="24"/>
      <c r="H101" s="23" t="s">
        <v>12</v>
      </c>
    </row>
    <row r="102" spans="1:17" x14ac:dyDescent="0.2">
      <c r="A102" s="24"/>
      <c r="B102" s="24"/>
      <c r="C102" s="25" t="s">
        <v>121</v>
      </c>
      <c r="D102" s="24"/>
      <c r="E102" s="24"/>
      <c r="F102" s="24"/>
      <c r="G102" s="24"/>
      <c r="H102" s="23" t="s">
        <v>12</v>
      </c>
    </row>
    <row r="103" spans="1:17" x14ac:dyDescent="0.2">
      <c r="A103" s="24"/>
      <c r="B103" s="24"/>
      <c r="C103" s="25" t="s">
        <v>11</v>
      </c>
      <c r="D103" s="24"/>
      <c r="E103" s="24" t="s">
        <v>12</v>
      </c>
      <c r="F103" s="26" t="s">
        <v>13</v>
      </c>
      <c r="G103" s="27">
        <v>0</v>
      </c>
      <c r="H103" s="23" t="s">
        <v>12</v>
      </c>
    </row>
    <row r="104" spans="1:17" x14ac:dyDescent="0.2">
      <c r="A104" s="24"/>
      <c r="B104" s="24"/>
      <c r="C104" s="28"/>
      <c r="D104" s="24"/>
      <c r="E104" s="24"/>
      <c r="F104" s="29"/>
      <c r="G104" s="29"/>
      <c r="H104" s="23" t="s">
        <v>12</v>
      </c>
    </row>
    <row r="105" spans="1:17" x14ac:dyDescent="0.2">
      <c r="A105" s="24"/>
      <c r="B105" s="24"/>
      <c r="C105" s="25" t="s">
        <v>122</v>
      </c>
      <c r="D105" s="24"/>
      <c r="E105" s="24"/>
      <c r="F105" s="29"/>
      <c r="G105" s="29"/>
      <c r="H105" s="23" t="s">
        <v>12</v>
      </c>
    </row>
    <row r="106" spans="1:17" x14ac:dyDescent="0.2">
      <c r="A106" s="24"/>
      <c r="B106" s="24"/>
      <c r="C106" s="25" t="s">
        <v>11</v>
      </c>
      <c r="D106" s="24"/>
      <c r="E106" s="24" t="s">
        <v>12</v>
      </c>
      <c r="F106" s="26" t="s">
        <v>13</v>
      </c>
      <c r="G106" s="27">
        <v>0</v>
      </c>
      <c r="H106" s="23" t="s">
        <v>12</v>
      </c>
    </row>
    <row r="107" spans="1:17" x14ac:dyDescent="0.2">
      <c r="A107" s="24"/>
      <c r="B107" s="24"/>
      <c r="C107" s="28"/>
      <c r="D107" s="24"/>
      <c r="E107" s="24"/>
      <c r="F107" s="29"/>
      <c r="G107" s="29"/>
      <c r="H107" s="23" t="s">
        <v>12</v>
      </c>
    </row>
    <row r="108" spans="1:17" x14ac:dyDescent="0.2">
      <c r="A108" s="36"/>
      <c r="B108" s="32"/>
      <c r="C108" s="32" t="s">
        <v>123</v>
      </c>
      <c r="D108" s="32"/>
      <c r="E108" s="36"/>
      <c r="F108" s="34">
        <f>875.14227507-0.0000880200004577637</f>
        <v>875.14218704999951</v>
      </c>
      <c r="G108" s="35">
        <v>1.8683399999999999E-2</v>
      </c>
      <c r="H108" s="23" t="s">
        <v>12</v>
      </c>
    </row>
    <row r="109" spans="1:17" x14ac:dyDescent="0.2">
      <c r="A109" s="28"/>
      <c r="B109" s="28"/>
      <c r="C109" s="25" t="s">
        <v>124</v>
      </c>
      <c r="D109" s="29"/>
      <c r="E109" s="29"/>
      <c r="F109" s="30">
        <f>46840.62364647-0.0000880200004577637</f>
        <v>46840.623558449995</v>
      </c>
      <c r="G109" s="37">
        <v>1.0000000099999999</v>
      </c>
      <c r="H109" s="23" t="s">
        <v>12</v>
      </c>
    </row>
    <row r="110" spans="1:17" x14ac:dyDescent="0.2">
      <c r="A110" s="38"/>
      <c r="B110" s="38"/>
      <c r="C110" s="38"/>
      <c r="D110" s="39"/>
      <c r="E110" s="39"/>
      <c r="F110" s="39"/>
      <c r="G110" s="39"/>
    </row>
    <row r="111" spans="1:17" x14ac:dyDescent="0.2">
      <c r="A111" s="40"/>
      <c r="B111" s="41" t="s">
        <v>614</v>
      </c>
      <c r="C111" s="41"/>
      <c r="D111" s="41"/>
      <c r="E111" s="41"/>
      <c r="F111" s="41"/>
      <c r="G111" s="41"/>
      <c r="H111" s="41"/>
    </row>
    <row r="112" spans="1:17" x14ac:dyDescent="0.2">
      <c r="A112" s="40"/>
      <c r="B112" s="41" t="s">
        <v>615</v>
      </c>
      <c r="C112" s="41"/>
      <c r="D112" s="41"/>
      <c r="E112" s="41"/>
      <c r="F112" s="41"/>
      <c r="G112" s="41"/>
      <c r="H112" s="41"/>
    </row>
    <row r="113" spans="1:8" x14ac:dyDescent="0.2">
      <c r="A113" s="40"/>
      <c r="B113" s="41" t="s">
        <v>616</v>
      </c>
      <c r="C113" s="41"/>
      <c r="D113" s="41"/>
      <c r="E113" s="41"/>
      <c r="F113" s="41"/>
      <c r="G113" s="41"/>
      <c r="H113" s="41"/>
    </row>
    <row r="114" spans="1:8" x14ac:dyDescent="0.2">
      <c r="A114" s="42"/>
      <c r="B114" s="42"/>
      <c r="C114" s="42"/>
      <c r="D114" s="43"/>
      <c r="E114" s="43"/>
      <c r="F114" s="43"/>
      <c r="G114" s="43"/>
    </row>
    <row r="115" spans="1:8" x14ac:dyDescent="0.2">
      <c r="A115" s="40"/>
      <c r="B115" s="44" t="s">
        <v>125</v>
      </c>
      <c r="C115" s="45"/>
      <c r="D115" s="46"/>
      <c r="E115" s="47"/>
      <c r="F115" s="48"/>
      <c r="G115" s="48"/>
    </row>
    <row r="116" spans="1:8" x14ac:dyDescent="0.2">
      <c r="A116" s="40"/>
      <c r="B116" s="49" t="s">
        <v>126</v>
      </c>
      <c r="C116" s="50"/>
      <c r="D116" s="22" t="s">
        <v>127</v>
      </c>
      <c r="E116" s="47"/>
      <c r="F116" s="48"/>
      <c r="G116" s="48"/>
    </row>
    <row r="117" spans="1:8" x14ac:dyDescent="0.2">
      <c r="A117" s="40"/>
      <c r="B117" s="49" t="s">
        <v>128</v>
      </c>
      <c r="C117" s="50"/>
      <c r="D117" s="22" t="s">
        <v>127</v>
      </c>
      <c r="E117" s="47"/>
      <c r="F117" s="48"/>
      <c r="G117" s="48"/>
    </row>
    <row r="118" spans="1:8" x14ac:dyDescent="0.2">
      <c r="A118" s="40"/>
      <c r="B118" s="49" t="s">
        <v>129</v>
      </c>
      <c r="C118" s="50"/>
      <c r="D118" s="51" t="s">
        <v>12</v>
      </c>
      <c r="E118" s="47"/>
      <c r="F118" s="48"/>
      <c r="G118" s="48"/>
    </row>
    <row r="119" spans="1:8" x14ac:dyDescent="0.2">
      <c r="A119" s="52"/>
      <c r="B119" s="53" t="s">
        <v>12</v>
      </c>
      <c r="C119" s="53" t="s">
        <v>617</v>
      </c>
      <c r="D119" s="53" t="s">
        <v>130</v>
      </c>
      <c r="E119" s="52"/>
      <c r="F119" s="52"/>
      <c r="G119" s="52"/>
    </row>
    <row r="120" spans="1:8" x14ac:dyDescent="0.2">
      <c r="A120" s="52"/>
      <c r="B120" s="54" t="s">
        <v>131</v>
      </c>
      <c r="C120" s="55">
        <v>45823</v>
      </c>
      <c r="D120" s="55">
        <v>45838</v>
      </c>
      <c r="E120" s="52"/>
      <c r="F120" s="52"/>
      <c r="G120" s="52"/>
    </row>
    <row r="121" spans="1:8" x14ac:dyDescent="0.2">
      <c r="A121" s="56"/>
      <c r="B121" s="32" t="s">
        <v>132</v>
      </c>
      <c r="C121" s="57">
        <v>43.722099999999998</v>
      </c>
      <c r="D121" s="57">
        <v>43.807400000000001</v>
      </c>
      <c r="E121" s="56"/>
      <c r="F121" s="58"/>
      <c r="G121" s="59"/>
    </row>
    <row r="122" spans="1:8" x14ac:dyDescent="0.2">
      <c r="A122" s="56"/>
      <c r="B122" s="32" t="s">
        <v>178</v>
      </c>
      <c r="C122" s="57">
        <v>21.872800000000002</v>
      </c>
      <c r="D122" s="36"/>
      <c r="E122" s="56"/>
      <c r="F122" s="58"/>
      <c r="G122" s="59"/>
    </row>
    <row r="123" spans="1:8" ht="25.5" x14ac:dyDescent="0.2">
      <c r="A123" s="56"/>
      <c r="B123" s="32" t="s">
        <v>743</v>
      </c>
      <c r="C123" s="57">
        <v>11.7445</v>
      </c>
      <c r="D123" s="57">
        <v>11.7004</v>
      </c>
      <c r="E123" s="56"/>
      <c r="F123" s="58"/>
      <c r="G123" s="59"/>
    </row>
    <row r="124" spans="1:8" x14ac:dyDescent="0.2">
      <c r="A124" s="56"/>
      <c r="B124" s="32" t="s">
        <v>133</v>
      </c>
      <c r="C124" s="57">
        <v>43.112400000000001</v>
      </c>
      <c r="D124" s="57">
        <v>43.194000000000003</v>
      </c>
      <c r="E124" s="56"/>
      <c r="F124" s="58"/>
      <c r="G124" s="59"/>
    </row>
    <row r="125" spans="1:8" x14ac:dyDescent="0.2">
      <c r="A125" s="56"/>
      <c r="B125" s="32" t="s">
        <v>179</v>
      </c>
      <c r="C125" s="57">
        <v>21.740300000000001</v>
      </c>
      <c r="D125" s="36"/>
      <c r="E125" s="56"/>
      <c r="F125" s="58"/>
      <c r="G125" s="59"/>
    </row>
    <row r="126" spans="1:8" ht="25.5" x14ac:dyDescent="0.2">
      <c r="A126" s="56"/>
      <c r="B126" s="32" t="s">
        <v>747</v>
      </c>
      <c r="C126" s="57">
        <v>11.790699999999999</v>
      </c>
      <c r="D126" s="57">
        <v>11.744999999999999</v>
      </c>
      <c r="E126" s="56"/>
      <c r="F126" s="58"/>
      <c r="G126" s="59"/>
    </row>
    <row r="127" spans="1:8" x14ac:dyDescent="0.2">
      <c r="A127" s="56"/>
      <c r="B127" s="56"/>
      <c r="C127" s="56"/>
      <c r="D127" s="56"/>
      <c r="E127" s="56"/>
      <c r="F127" s="56"/>
      <c r="G127" s="56"/>
    </row>
    <row r="128" spans="1:8" x14ac:dyDescent="0.2">
      <c r="A128" s="56"/>
      <c r="B128" s="60" t="s">
        <v>739</v>
      </c>
      <c r="C128" s="61"/>
      <c r="D128" s="25" t="s">
        <v>12</v>
      </c>
      <c r="E128" s="56"/>
      <c r="F128" s="56"/>
      <c r="G128" s="56"/>
    </row>
    <row r="129" spans="1:15" x14ac:dyDescent="0.2">
      <c r="A129" s="56"/>
      <c r="B129" s="62" t="s">
        <v>131</v>
      </c>
      <c r="C129" s="63" t="s">
        <v>134</v>
      </c>
      <c r="D129" s="63" t="s">
        <v>135</v>
      </c>
      <c r="E129" s="56"/>
      <c r="F129" s="56"/>
      <c r="G129" s="56"/>
    </row>
    <row r="130" spans="1:15" ht="25.5" x14ac:dyDescent="0.2">
      <c r="A130" s="56"/>
      <c r="B130" s="32" t="s">
        <v>743</v>
      </c>
      <c r="C130" s="64">
        <v>6.7000000000000004E-2</v>
      </c>
      <c r="D130" s="36" t="s">
        <v>136</v>
      </c>
      <c r="E130" s="56"/>
      <c r="F130" s="58"/>
      <c r="G130" s="59"/>
    </row>
    <row r="131" spans="1:15" ht="25.5" x14ac:dyDescent="0.2">
      <c r="A131" s="56"/>
      <c r="B131" s="32" t="s">
        <v>747</v>
      </c>
      <c r="C131" s="64">
        <v>6.8000000000000005E-2</v>
      </c>
      <c r="D131" s="64">
        <v>6.8000000000000005E-2</v>
      </c>
      <c r="E131" s="56"/>
      <c r="F131" s="58"/>
      <c r="G131" s="59"/>
    </row>
    <row r="132" spans="1:15" x14ac:dyDescent="0.2">
      <c r="A132" s="56"/>
      <c r="B132" s="104"/>
      <c r="C132" s="104"/>
      <c r="D132" s="105"/>
      <c r="E132" s="56"/>
      <c r="F132" s="58"/>
      <c r="G132" s="59"/>
    </row>
    <row r="133" spans="1:15" s="74" customFormat="1" x14ac:dyDescent="0.2">
      <c r="A133" s="124"/>
      <c r="B133" s="49" t="s">
        <v>631</v>
      </c>
      <c r="C133" s="50"/>
      <c r="D133" s="22" t="s">
        <v>127</v>
      </c>
      <c r="E133" s="124"/>
      <c r="F133" s="125"/>
      <c r="G133" s="124"/>
      <c r="I133" s="17"/>
      <c r="J133" s="17"/>
      <c r="K133" s="72"/>
      <c r="L133" s="72"/>
      <c r="M133" s="72"/>
      <c r="N133" s="72"/>
      <c r="O133" s="78"/>
    </row>
    <row r="134" spans="1:15" x14ac:dyDescent="0.2">
      <c r="A134" s="52"/>
      <c r="B134" s="49" t="s">
        <v>632</v>
      </c>
      <c r="C134" s="50"/>
      <c r="D134" s="22" t="s">
        <v>127</v>
      </c>
      <c r="E134" s="71"/>
      <c r="F134" s="52"/>
      <c r="G134" s="52"/>
    </row>
    <row r="135" spans="1:15" x14ac:dyDescent="0.2">
      <c r="A135" s="52"/>
      <c r="B135" s="49" t="s">
        <v>633</v>
      </c>
      <c r="C135" s="50"/>
      <c r="D135" s="22" t="s">
        <v>127</v>
      </c>
      <c r="E135" s="71"/>
      <c r="F135" s="52"/>
      <c r="G135" s="52"/>
    </row>
    <row r="136" spans="1:15" x14ac:dyDescent="0.2">
      <c r="A136" s="52"/>
      <c r="B136" s="49" t="s">
        <v>634</v>
      </c>
      <c r="C136" s="50"/>
      <c r="D136" s="22" t="s">
        <v>127</v>
      </c>
      <c r="E136" s="71"/>
      <c r="F136" s="52"/>
      <c r="G136" s="52"/>
    </row>
    <row r="137" spans="1:15" x14ac:dyDescent="0.2">
      <c r="A137" s="73"/>
      <c r="B137" s="73"/>
      <c r="C137" s="73"/>
      <c r="D137" s="73"/>
      <c r="E137" s="73"/>
      <c r="F137" s="73"/>
      <c r="G137" s="73"/>
    </row>
    <row r="138" spans="1:15" s="74" customFormat="1" x14ac:dyDescent="0.2">
      <c r="B138" s="75" t="s">
        <v>620</v>
      </c>
      <c r="C138" s="76"/>
      <c r="D138" s="77"/>
      <c r="I138" s="17"/>
      <c r="J138" s="20"/>
      <c r="K138" s="72"/>
      <c r="L138" s="72"/>
      <c r="M138" s="72"/>
      <c r="N138" s="72"/>
      <c r="O138" s="78"/>
    </row>
    <row r="139" spans="1:15" s="74" customFormat="1" ht="38.25" x14ac:dyDescent="0.2">
      <c r="B139" s="79" t="s">
        <v>621</v>
      </c>
      <c r="C139" s="79"/>
      <c r="D139" s="80" t="s">
        <v>139</v>
      </c>
      <c r="I139" s="17"/>
      <c r="J139" s="20"/>
      <c r="K139" s="72"/>
      <c r="L139" s="72"/>
      <c r="M139" s="72"/>
      <c r="N139" s="72"/>
      <c r="O139" s="78"/>
    </row>
    <row r="140" spans="1:15" s="74" customFormat="1" x14ac:dyDescent="0.2">
      <c r="B140" s="66" t="s">
        <v>622</v>
      </c>
      <c r="C140" s="66"/>
      <c r="D140" s="81"/>
      <c r="I140" s="17"/>
      <c r="J140" s="20"/>
      <c r="K140" s="72"/>
      <c r="L140" s="72"/>
      <c r="M140" s="72"/>
      <c r="N140" s="72"/>
      <c r="O140" s="78"/>
    </row>
    <row r="141" spans="1:15" s="74" customFormat="1" x14ac:dyDescent="0.2">
      <c r="B141" s="66"/>
      <c r="C141" s="66"/>
      <c r="D141" s="82"/>
      <c r="I141" s="17"/>
      <c r="J141" s="17"/>
      <c r="K141" s="72"/>
      <c r="L141" s="72"/>
      <c r="M141" s="72"/>
      <c r="N141" s="72"/>
      <c r="O141" s="78"/>
    </row>
    <row r="142" spans="1:15" s="74" customFormat="1" x14ac:dyDescent="0.2">
      <c r="B142" s="66" t="s">
        <v>623</v>
      </c>
      <c r="C142" s="66"/>
      <c r="D142" s="83">
        <v>6.5269828671852599</v>
      </c>
      <c r="I142" s="17"/>
      <c r="J142" s="17"/>
      <c r="K142" s="72"/>
      <c r="L142" s="72"/>
      <c r="M142" s="72"/>
      <c r="N142" s="72"/>
      <c r="O142" s="78"/>
    </row>
    <row r="143" spans="1:15" s="74" customFormat="1" x14ac:dyDescent="0.2">
      <c r="B143" s="66"/>
      <c r="C143" s="66"/>
      <c r="D143" s="82"/>
      <c r="I143" s="17"/>
      <c r="J143" s="20"/>
      <c r="K143" s="72"/>
      <c r="L143" s="72"/>
      <c r="M143" s="72"/>
      <c r="N143" s="72"/>
      <c r="O143" s="78"/>
    </row>
    <row r="144" spans="1:15" s="74" customFormat="1" x14ac:dyDescent="0.2">
      <c r="B144" s="66" t="s">
        <v>624</v>
      </c>
      <c r="C144" s="66"/>
      <c r="D144" s="83">
        <v>3.139283030345398</v>
      </c>
      <c r="I144" s="17"/>
      <c r="J144" s="20"/>
      <c r="K144" s="72"/>
      <c r="L144" s="72"/>
      <c r="M144" s="72"/>
      <c r="N144" s="72"/>
      <c r="O144" s="78"/>
    </row>
    <row r="145" spans="2:18" s="74" customFormat="1" x14ac:dyDescent="0.2">
      <c r="B145" s="66" t="s">
        <v>625</v>
      </c>
      <c r="C145" s="66"/>
      <c r="D145" s="83">
        <v>4.0474780455564385</v>
      </c>
      <c r="I145" s="17"/>
      <c r="J145" s="20"/>
      <c r="K145" s="72"/>
      <c r="L145" s="72"/>
      <c r="M145" s="72"/>
      <c r="N145" s="72"/>
      <c r="O145" s="78"/>
    </row>
    <row r="146" spans="2:18" s="74" customFormat="1" x14ac:dyDescent="0.2">
      <c r="B146" s="66"/>
      <c r="C146" s="66"/>
      <c r="D146" s="82"/>
      <c r="I146" s="17"/>
      <c r="J146" s="20"/>
      <c r="K146" s="72"/>
      <c r="L146" s="72"/>
      <c r="M146" s="72"/>
      <c r="N146" s="72"/>
      <c r="O146" s="78"/>
      <c r="R146" s="17"/>
    </row>
    <row r="147" spans="2:18" s="74" customFormat="1" x14ac:dyDescent="0.2">
      <c r="B147" s="66" t="s">
        <v>626</v>
      </c>
      <c r="C147" s="66"/>
      <c r="D147" s="85" t="s">
        <v>750</v>
      </c>
      <c r="I147" s="17"/>
      <c r="J147" s="20"/>
      <c r="K147" s="72"/>
      <c r="L147" s="72"/>
      <c r="M147" s="72"/>
      <c r="N147" s="72"/>
      <c r="O147" s="78"/>
    </row>
    <row r="148" spans="2:18" s="74" customFormat="1" x14ac:dyDescent="0.2">
      <c r="B148" s="86" t="s">
        <v>627</v>
      </c>
      <c r="C148" s="87"/>
      <c r="D148" s="88"/>
      <c r="I148" s="17"/>
      <c r="J148" s="20"/>
      <c r="K148" s="72"/>
      <c r="L148" s="72"/>
      <c r="M148" s="72"/>
      <c r="N148" s="72"/>
      <c r="O148" s="78"/>
      <c r="R148" s="17"/>
    </row>
    <row r="149" spans="2:18" x14ac:dyDescent="0.2">
      <c r="J149" s="20"/>
    </row>
    <row r="150" spans="2:18" x14ac:dyDescent="0.2">
      <c r="B150" s="90" t="s">
        <v>628</v>
      </c>
    </row>
    <row r="151" spans="2:18" ht="5.25" customHeight="1" x14ac:dyDescent="0.2"/>
    <row r="152" spans="2:18" ht="168" customHeight="1" x14ac:dyDescent="0.2"/>
    <row r="155" spans="2:18" x14ac:dyDescent="0.2">
      <c r="B155" s="91" t="s">
        <v>629</v>
      </c>
      <c r="C155" s="92"/>
      <c r="D155" s="91"/>
    </row>
    <row r="156" spans="2:18" x14ac:dyDescent="0.2">
      <c r="B156" s="91" t="s">
        <v>635</v>
      </c>
      <c r="D156" s="91"/>
    </row>
    <row r="158" spans="2:18" x14ac:dyDescent="0.2">
      <c r="J158" s="20"/>
    </row>
    <row r="159" spans="2:18" x14ac:dyDescent="0.2">
      <c r="J159" s="20"/>
    </row>
    <row r="160" spans="2:18" x14ac:dyDescent="0.2">
      <c r="J160" s="20"/>
    </row>
  </sheetData>
  <mergeCells count="26">
    <mergeCell ref="B113:H113"/>
    <mergeCell ref="B115:D115"/>
    <mergeCell ref="B116:C116"/>
    <mergeCell ref="B117:C117"/>
    <mergeCell ref="B128:C128"/>
    <mergeCell ref="A1:H1"/>
    <mergeCell ref="A2:H2"/>
    <mergeCell ref="A3:H3"/>
    <mergeCell ref="B111:H111"/>
    <mergeCell ref="B112:H112"/>
    <mergeCell ref="B118:C118"/>
    <mergeCell ref="B133:C133"/>
    <mergeCell ref="B138:D138"/>
    <mergeCell ref="B140:C140"/>
    <mergeCell ref="B141:C141"/>
    <mergeCell ref="B134:C134"/>
    <mergeCell ref="B135:C135"/>
    <mergeCell ref="B136:C136"/>
    <mergeCell ref="B139:C139"/>
    <mergeCell ref="B147:C147"/>
    <mergeCell ref="B148:D148"/>
    <mergeCell ref="B142:C142"/>
    <mergeCell ref="B143:C143"/>
    <mergeCell ref="B144:C144"/>
    <mergeCell ref="B145:C145"/>
    <mergeCell ref="B146:C146"/>
  </mergeCells>
  <hyperlinks>
    <hyperlink ref="I1" location="Index!B2" display="Index" xr:uid="{5B047E87-4332-4E56-9E26-41B36C722C0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8E79-D14D-4D07-A053-993DFC1290FE}">
  <sheetPr>
    <outlinePr summaryBelow="0" summaryRight="0"/>
  </sheetPr>
  <dimension ref="A1:Q181"/>
  <sheetViews>
    <sheetView showGridLines="0" workbookViewId="0">
      <selection sqref="A1:H1"/>
    </sheetView>
  </sheetViews>
  <sheetFormatPr defaultRowHeight="12.75" x14ac:dyDescent="0.2"/>
  <cols>
    <col min="1" max="1" width="5.85546875" style="17" bestFit="1" customWidth="1"/>
    <col min="2" max="2" width="20.7109375" style="17" customWidth="1"/>
    <col min="3" max="3" width="57.5703125" style="17" bestFit="1" customWidth="1"/>
    <col min="4" max="4" width="10.7109375" style="17" bestFit="1" customWidth="1"/>
    <col min="5" max="5" width="9.42578125" style="17" bestFit="1" customWidth="1"/>
    <col min="6" max="6" width="10.140625" style="17" bestFit="1" customWidth="1"/>
    <col min="7" max="7" width="14" style="17" bestFit="1" customWidth="1"/>
    <col min="8" max="8" width="9.85546875" style="17" bestFit="1" customWidth="1"/>
    <col min="9" max="16384" width="9.140625" style="17"/>
  </cols>
  <sheetData>
    <row r="1" spans="1:9" ht="15" x14ac:dyDescent="0.2">
      <c r="A1" s="16" t="s">
        <v>0</v>
      </c>
      <c r="B1" s="16"/>
      <c r="C1" s="16"/>
      <c r="D1" s="16"/>
      <c r="E1" s="16"/>
      <c r="F1" s="16"/>
      <c r="G1" s="16"/>
      <c r="H1" s="16"/>
      <c r="I1" s="1" t="s">
        <v>599</v>
      </c>
    </row>
    <row r="2" spans="1:9" ht="15" x14ac:dyDescent="0.2">
      <c r="A2" s="16" t="s">
        <v>180</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598</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24"/>
      <c r="B28" s="24"/>
      <c r="C28" s="25" t="s">
        <v>11</v>
      </c>
      <c r="D28" s="24"/>
      <c r="E28" s="24" t="s">
        <v>12</v>
      </c>
      <c r="F28" s="26" t="s">
        <v>13</v>
      </c>
      <c r="G28" s="27">
        <v>0</v>
      </c>
      <c r="H28" s="23" t="s">
        <v>12</v>
      </c>
    </row>
    <row r="29" spans="1:8" x14ac:dyDescent="0.2">
      <c r="A29" s="24"/>
      <c r="B29" s="24"/>
      <c r="C29" s="28"/>
      <c r="D29" s="24"/>
      <c r="E29" s="24"/>
      <c r="F29" s="29"/>
      <c r="G29" s="29"/>
      <c r="H29" s="23" t="s">
        <v>12</v>
      </c>
    </row>
    <row r="30" spans="1:8" x14ac:dyDescent="0.2">
      <c r="A30" s="24"/>
      <c r="B30" s="24"/>
      <c r="C30" s="25" t="s">
        <v>77</v>
      </c>
      <c r="D30" s="24"/>
      <c r="E30" s="24"/>
      <c r="F30" s="24"/>
      <c r="G30" s="24"/>
      <c r="H30" s="23" t="s">
        <v>12</v>
      </c>
    </row>
    <row r="31" spans="1:8" x14ac:dyDescent="0.2">
      <c r="A31" s="24"/>
      <c r="B31" s="24"/>
      <c r="C31" s="25" t="s">
        <v>11</v>
      </c>
      <c r="D31" s="24"/>
      <c r="E31" s="24" t="s">
        <v>12</v>
      </c>
      <c r="F31" s="26" t="s">
        <v>13</v>
      </c>
      <c r="G31" s="27">
        <v>0</v>
      </c>
      <c r="H31" s="23" t="s">
        <v>12</v>
      </c>
    </row>
    <row r="32" spans="1:8" x14ac:dyDescent="0.2">
      <c r="A32" s="24"/>
      <c r="B32" s="24"/>
      <c r="C32" s="28"/>
      <c r="D32" s="24"/>
      <c r="E32" s="24"/>
      <c r="F32" s="29"/>
      <c r="G32" s="29"/>
      <c r="H32" s="23" t="s">
        <v>12</v>
      </c>
    </row>
    <row r="33" spans="1:8" x14ac:dyDescent="0.2">
      <c r="A33" s="24"/>
      <c r="B33" s="24"/>
      <c r="C33" s="25" t="s">
        <v>78</v>
      </c>
      <c r="D33" s="24"/>
      <c r="E33" s="24"/>
      <c r="F33" s="24"/>
      <c r="G33" s="24"/>
      <c r="H33" s="23" t="s">
        <v>12</v>
      </c>
    </row>
    <row r="34" spans="1:8" x14ac:dyDescent="0.2">
      <c r="A34" s="31">
        <v>1</v>
      </c>
      <c r="B34" s="32" t="s">
        <v>181</v>
      </c>
      <c r="C34" s="32" t="s">
        <v>182</v>
      </c>
      <c r="D34" s="32" t="s">
        <v>81</v>
      </c>
      <c r="E34" s="33">
        <v>5000000</v>
      </c>
      <c r="F34" s="34">
        <v>5106.1450000000004</v>
      </c>
      <c r="G34" s="35">
        <v>3.656537E-2</v>
      </c>
      <c r="H34" s="23">
        <v>5.8327</v>
      </c>
    </row>
    <row r="35" spans="1:8" x14ac:dyDescent="0.2">
      <c r="A35" s="31">
        <v>2</v>
      </c>
      <c r="B35" s="32" t="s">
        <v>183</v>
      </c>
      <c r="C35" s="32" t="s">
        <v>184</v>
      </c>
      <c r="D35" s="32" t="s">
        <v>81</v>
      </c>
      <c r="E35" s="33">
        <v>4000000</v>
      </c>
      <c r="F35" s="34">
        <v>4059.5680000000002</v>
      </c>
      <c r="G35" s="35">
        <v>2.9070780000000001E-2</v>
      </c>
      <c r="H35" s="23">
        <v>5.7659000000000002</v>
      </c>
    </row>
    <row r="36" spans="1:8" x14ac:dyDescent="0.2">
      <c r="A36" s="24"/>
      <c r="B36" s="24"/>
      <c r="C36" s="25" t="s">
        <v>11</v>
      </c>
      <c r="D36" s="24"/>
      <c r="E36" s="24" t="s">
        <v>12</v>
      </c>
      <c r="F36" s="30">
        <v>9165.7129999999997</v>
      </c>
      <c r="G36" s="27">
        <v>6.5636150000000004E-2</v>
      </c>
      <c r="H36" s="23" t="s">
        <v>12</v>
      </c>
    </row>
    <row r="37" spans="1:8" x14ac:dyDescent="0.2">
      <c r="A37" s="24"/>
      <c r="B37" s="24"/>
      <c r="C37" s="28"/>
      <c r="D37" s="24"/>
      <c r="E37" s="24"/>
      <c r="F37" s="29"/>
      <c r="G37" s="29"/>
      <c r="H37" s="23" t="s">
        <v>12</v>
      </c>
    </row>
    <row r="38" spans="1:8" x14ac:dyDescent="0.2">
      <c r="A38" s="24"/>
      <c r="B38" s="24"/>
      <c r="C38" s="25" t="s">
        <v>98</v>
      </c>
      <c r="D38" s="24"/>
      <c r="E38" s="24"/>
      <c r="F38" s="29"/>
      <c r="G38" s="29"/>
      <c r="H38" s="23" t="s">
        <v>12</v>
      </c>
    </row>
    <row r="39" spans="1:8" x14ac:dyDescent="0.2">
      <c r="A39" s="24"/>
      <c r="B39" s="24"/>
      <c r="C39" s="25" t="s">
        <v>11</v>
      </c>
      <c r="D39" s="24"/>
      <c r="E39" s="24" t="s">
        <v>12</v>
      </c>
      <c r="F39" s="26" t="s">
        <v>13</v>
      </c>
      <c r="G39" s="27">
        <v>0</v>
      </c>
      <c r="H39" s="23" t="s">
        <v>12</v>
      </c>
    </row>
    <row r="40" spans="1:8" x14ac:dyDescent="0.2">
      <c r="A40" s="24"/>
      <c r="B40" s="24"/>
      <c r="C40" s="28"/>
      <c r="D40" s="24"/>
      <c r="E40" s="24"/>
      <c r="F40" s="29"/>
      <c r="G40" s="29"/>
      <c r="H40" s="23" t="s">
        <v>12</v>
      </c>
    </row>
    <row r="41" spans="1:8" x14ac:dyDescent="0.2">
      <c r="A41" s="24"/>
      <c r="B41" s="24"/>
      <c r="C41" s="25" t="s">
        <v>99</v>
      </c>
      <c r="D41" s="24"/>
      <c r="E41" s="24"/>
      <c r="F41" s="30">
        <v>9165.7129999999997</v>
      </c>
      <c r="G41" s="27">
        <v>6.5636150000000004E-2</v>
      </c>
      <c r="H41" s="23" t="s">
        <v>12</v>
      </c>
    </row>
    <row r="42" spans="1:8" x14ac:dyDescent="0.2">
      <c r="A42" s="24"/>
      <c r="B42" s="24"/>
      <c r="C42" s="28"/>
      <c r="D42" s="24"/>
      <c r="E42" s="24"/>
      <c r="F42" s="29"/>
      <c r="G42" s="29"/>
      <c r="H42" s="23" t="s">
        <v>12</v>
      </c>
    </row>
    <row r="43" spans="1:8" x14ac:dyDescent="0.2">
      <c r="A43" s="24"/>
      <c r="B43" s="24"/>
      <c r="C43" s="25" t="s">
        <v>100</v>
      </c>
      <c r="D43" s="24"/>
      <c r="E43" s="24"/>
      <c r="F43" s="29"/>
      <c r="G43" s="29"/>
      <c r="H43" s="23" t="s">
        <v>12</v>
      </c>
    </row>
    <row r="44" spans="1:8" x14ac:dyDescent="0.2">
      <c r="A44" s="24"/>
      <c r="B44" s="24"/>
      <c r="C44" s="25" t="s">
        <v>101</v>
      </c>
      <c r="D44" s="24"/>
      <c r="E44" s="24"/>
      <c r="F44" s="29"/>
      <c r="G44" s="29"/>
      <c r="H44" s="23" t="s">
        <v>12</v>
      </c>
    </row>
    <row r="45" spans="1:8" x14ac:dyDescent="0.2">
      <c r="A45" s="31">
        <v>1</v>
      </c>
      <c r="B45" s="32" t="s">
        <v>176</v>
      </c>
      <c r="C45" s="32" t="s">
        <v>177</v>
      </c>
      <c r="D45" s="32" t="s">
        <v>110</v>
      </c>
      <c r="E45" s="33">
        <v>1700</v>
      </c>
      <c r="F45" s="34">
        <v>8139.5150000000003</v>
      </c>
      <c r="G45" s="35">
        <v>5.8287489999999997E-2</v>
      </c>
      <c r="H45" s="23">
        <v>6.17</v>
      </c>
    </row>
    <row r="46" spans="1:8" x14ac:dyDescent="0.2">
      <c r="A46" s="31">
        <v>2</v>
      </c>
      <c r="B46" s="32" t="s">
        <v>185</v>
      </c>
      <c r="C46" s="32" t="s">
        <v>186</v>
      </c>
      <c r="D46" s="32" t="s">
        <v>110</v>
      </c>
      <c r="E46" s="33">
        <v>1500</v>
      </c>
      <c r="F46" s="34">
        <v>7182.2924999999996</v>
      </c>
      <c r="G46" s="35">
        <v>5.1432770000000003E-2</v>
      </c>
      <c r="H46" s="23">
        <v>6.21</v>
      </c>
    </row>
    <row r="47" spans="1:8" x14ac:dyDescent="0.2">
      <c r="A47" s="31">
        <v>3</v>
      </c>
      <c r="B47" s="32" t="s">
        <v>187</v>
      </c>
      <c r="C47" s="32" t="s">
        <v>188</v>
      </c>
      <c r="D47" s="32" t="s">
        <v>110</v>
      </c>
      <c r="E47" s="33">
        <v>1500</v>
      </c>
      <c r="F47" s="34">
        <v>7173.7725</v>
      </c>
      <c r="G47" s="35">
        <v>5.1371760000000002E-2</v>
      </c>
      <c r="H47" s="23">
        <v>6.24</v>
      </c>
    </row>
    <row r="48" spans="1:8" x14ac:dyDescent="0.2">
      <c r="A48" s="31">
        <v>4</v>
      </c>
      <c r="B48" s="32" t="s">
        <v>189</v>
      </c>
      <c r="C48" s="32" t="s">
        <v>190</v>
      </c>
      <c r="D48" s="32" t="s">
        <v>110</v>
      </c>
      <c r="E48" s="33">
        <v>1000</v>
      </c>
      <c r="F48" s="34">
        <v>4798.3549999999996</v>
      </c>
      <c r="G48" s="35">
        <v>3.4361269999999999E-2</v>
      </c>
      <c r="H48" s="23">
        <v>6.1849999999999996</v>
      </c>
    </row>
    <row r="49" spans="1:8" x14ac:dyDescent="0.2">
      <c r="A49" s="31">
        <v>5</v>
      </c>
      <c r="B49" s="32" t="s">
        <v>191</v>
      </c>
      <c r="C49" s="32" t="s">
        <v>192</v>
      </c>
      <c r="D49" s="32" t="s">
        <v>110</v>
      </c>
      <c r="E49" s="33">
        <v>1000</v>
      </c>
      <c r="F49" s="34">
        <v>4788.7250000000004</v>
      </c>
      <c r="G49" s="35">
        <v>3.4292309999999999E-2</v>
      </c>
      <c r="H49" s="23">
        <v>6.17</v>
      </c>
    </row>
    <row r="50" spans="1:8" x14ac:dyDescent="0.2">
      <c r="A50" s="31">
        <v>6</v>
      </c>
      <c r="B50" s="32" t="s">
        <v>193</v>
      </c>
      <c r="C50" s="32" t="s">
        <v>194</v>
      </c>
      <c r="D50" s="32" t="s">
        <v>110</v>
      </c>
      <c r="E50" s="33">
        <v>1000</v>
      </c>
      <c r="F50" s="34">
        <v>4788.6850000000004</v>
      </c>
      <c r="G50" s="35">
        <v>3.4292019999999999E-2</v>
      </c>
      <c r="H50" s="23">
        <v>6.1950000000000003</v>
      </c>
    </row>
    <row r="51" spans="1:8" x14ac:dyDescent="0.2">
      <c r="A51" s="31">
        <v>7</v>
      </c>
      <c r="B51" s="32" t="s">
        <v>195</v>
      </c>
      <c r="C51" s="32" t="s">
        <v>196</v>
      </c>
      <c r="D51" s="32" t="s">
        <v>110</v>
      </c>
      <c r="E51" s="33">
        <v>900</v>
      </c>
      <c r="F51" s="34">
        <v>4302.5535</v>
      </c>
      <c r="G51" s="35">
        <v>3.0810810000000001E-2</v>
      </c>
      <c r="H51" s="23">
        <v>6.25</v>
      </c>
    </row>
    <row r="52" spans="1:8" x14ac:dyDescent="0.2">
      <c r="A52" s="31">
        <v>8</v>
      </c>
      <c r="B52" s="32" t="s">
        <v>197</v>
      </c>
      <c r="C52" s="32" t="s">
        <v>198</v>
      </c>
      <c r="D52" s="32" t="s">
        <v>110</v>
      </c>
      <c r="E52" s="33">
        <v>800</v>
      </c>
      <c r="F52" s="34">
        <v>3842.2080000000001</v>
      </c>
      <c r="G52" s="35">
        <v>2.7514250000000001E-2</v>
      </c>
      <c r="H52" s="23">
        <v>6.22</v>
      </c>
    </row>
    <row r="53" spans="1:8" x14ac:dyDescent="0.2">
      <c r="A53" s="31">
        <v>9</v>
      </c>
      <c r="B53" s="32" t="s">
        <v>199</v>
      </c>
      <c r="C53" s="32" t="s">
        <v>200</v>
      </c>
      <c r="D53" s="32" t="s">
        <v>110</v>
      </c>
      <c r="E53" s="33">
        <v>800</v>
      </c>
      <c r="F53" s="34">
        <v>3841.4720000000002</v>
      </c>
      <c r="G53" s="35">
        <v>2.7508979999999999E-2</v>
      </c>
      <c r="H53" s="23">
        <v>6.25</v>
      </c>
    </row>
    <row r="54" spans="1:8" x14ac:dyDescent="0.2">
      <c r="A54" s="31">
        <v>10</v>
      </c>
      <c r="B54" s="32" t="s">
        <v>201</v>
      </c>
      <c r="C54" s="32" t="s">
        <v>202</v>
      </c>
      <c r="D54" s="32" t="s">
        <v>110</v>
      </c>
      <c r="E54" s="33">
        <v>600</v>
      </c>
      <c r="F54" s="34">
        <v>2892.3780000000002</v>
      </c>
      <c r="G54" s="35">
        <v>2.071247E-2</v>
      </c>
      <c r="H54" s="23">
        <v>6.23</v>
      </c>
    </row>
    <row r="55" spans="1:8" x14ac:dyDescent="0.2">
      <c r="A55" s="31">
        <v>11</v>
      </c>
      <c r="B55" s="32" t="s">
        <v>203</v>
      </c>
      <c r="C55" s="32" t="s">
        <v>204</v>
      </c>
      <c r="D55" s="32" t="s">
        <v>110</v>
      </c>
      <c r="E55" s="33">
        <v>500</v>
      </c>
      <c r="F55" s="34">
        <v>2449.2550000000001</v>
      </c>
      <c r="G55" s="35">
        <v>1.7539240000000001E-2</v>
      </c>
      <c r="H55" s="23">
        <v>6.3550000000000004</v>
      </c>
    </row>
    <row r="56" spans="1:8" x14ac:dyDescent="0.2">
      <c r="A56" s="31">
        <v>12</v>
      </c>
      <c r="B56" s="32" t="s">
        <v>205</v>
      </c>
      <c r="C56" s="32" t="s">
        <v>206</v>
      </c>
      <c r="D56" s="32" t="s">
        <v>110</v>
      </c>
      <c r="E56" s="33">
        <v>500</v>
      </c>
      <c r="F56" s="34">
        <v>2432.64</v>
      </c>
      <c r="G56" s="35">
        <v>1.742026E-2</v>
      </c>
      <c r="H56" s="23">
        <v>6.4375</v>
      </c>
    </row>
    <row r="57" spans="1:8" x14ac:dyDescent="0.2">
      <c r="A57" s="31">
        <v>13</v>
      </c>
      <c r="B57" s="32" t="s">
        <v>207</v>
      </c>
      <c r="C57" s="32" t="s">
        <v>208</v>
      </c>
      <c r="D57" s="32" t="s">
        <v>110</v>
      </c>
      <c r="E57" s="33">
        <v>500</v>
      </c>
      <c r="F57" s="34">
        <v>2431.5075000000002</v>
      </c>
      <c r="G57" s="35">
        <v>1.7412150000000001E-2</v>
      </c>
      <c r="H57" s="23">
        <v>6.1200999999999999</v>
      </c>
    </row>
    <row r="58" spans="1:8" x14ac:dyDescent="0.2">
      <c r="A58" s="31">
        <v>14</v>
      </c>
      <c r="B58" s="32" t="s">
        <v>209</v>
      </c>
      <c r="C58" s="32" t="s">
        <v>210</v>
      </c>
      <c r="D58" s="32" t="s">
        <v>110</v>
      </c>
      <c r="E58" s="33">
        <v>500</v>
      </c>
      <c r="F58" s="34">
        <v>2410.9050000000002</v>
      </c>
      <c r="G58" s="35">
        <v>1.7264620000000001E-2</v>
      </c>
      <c r="H58" s="23">
        <v>6.1875</v>
      </c>
    </row>
    <row r="59" spans="1:8" x14ac:dyDescent="0.2">
      <c r="A59" s="31">
        <v>15</v>
      </c>
      <c r="B59" s="32" t="s">
        <v>211</v>
      </c>
      <c r="C59" s="32" t="s">
        <v>212</v>
      </c>
      <c r="D59" s="32" t="s">
        <v>110</v>
      </c>
      <c r="E59" s="33">
        <v>500</v>
      </c>
      <c r="F59" s="34">
        <v>2410.0574999999999</v>
      </c>
      <c r="G59" s="35">
        <v>1.7258550000000001E-2</v>
      </c>
      <c r="H59" s="23">
        <v>6.22</v>
      </c>
    </row>
    <row r="60" spans="1:8" x14ac:dyDescent="0.2">
      <c r="A60" s="31">
        <v>16</v>
      </c>
      <c r="B60" s="32" t="s">
        <v>213</v>
      </c>
      <c r="C60" s="32" t="s">
        <v>214</v>
      </c>
      <c r="D60" s="32" t="s">
        <v>110</v>
      </c>
      <c r="E60" s="33">
        <v>500</v>
      </c>
      <c r="F60" s="34">
        <v>2409.2399999999998</v>
      </c>
      <c r="G60" s="35">
        <v>1.7252690000000001E-2</v>
      </c>
      <c r="H60" s="23">
        <v>6.2500999999999998</v>
      </c>
    </row>
    <row r="61" spans="1:8" x14ac:dyDescent="0.2">
      <c r="A61" s="31">
        <v>17</v>
      </c>
      <c r="B61" s="32" t="s">
        <v>215</v>
      </c>
      <c r="C61" s="32" t="s">
        <v>216</v>
      </c>
      <c r="D61" s="32" t="s">
        <v>110</v>
      </c>
      <c r="E61" s="33">
        <v>500</v>
      </c>
      <c r="F61" s="34">
        <v>2405.6574999999998</v>
      </c>
      <c r="G61" s="35">
        <v>1.7227039999999999E-2</v>
      </c>
      <c r="H61" s="23">
        <v>6.17</v>
      </c>
    </row>
    <row r="62" spans="1:8" x14ac:dyDescent="0.2">
      <c r="A62" s="31">
        <v>18</v>
      </c>
      <c r="B62" s="32" t="s">
        <v>217</v>
      </c>
      <c r="C62" s="32" t="s">
        <v>218</v>
      </c>
      <c r="D62" s="32" t="s">
        <v>110</v>
      </c>
      <c r="E62" s="33">
        <v>500</v>
      </c>
      <c r="F62" s="34">
        <v>2405.3175000000001</v>
      </c>
      <c r="G62" s="35">
        <v>1.72246E-2</v>
      </c>
      <c r="H62" s="23">
        <v>6.22</v>
      </c>
    </row>
    <row r="63" spans="1:8" x14ac:dyDescent="0.2">
      <c r="A63" s="31">
        <v>19</v>
      </c>
      <c r="B63" s="32" t="s">
        <v>219</v>
      </c>
      <c r="C63" s="32" t="s">
        <v>220</v>
      </c>
      <c r="D63" s="32" t="s">
        <v>110</v>
      </c>
      <c r="E63" s="33">
        <v>500</v>
      </c>
      <c r="F63" s="34">
        <v>2402.14</v>
      </c>
      <c r="G63" s="35">
        <v>1.7201850000000001E-2</v>
      </c>
      <c r="H63" s="23">
        <v>6.17</v>
      </c>
    </row>
    <row r="64" spans="1:8" x14ac:dyDescent="0.2">
      <c r="A64" s="31">
        <v>20</v>
      </c>
      <c r="B64" s="32" t="s">
        <v>221</v>
      </c>
      <c r="C64" s="32" t="s">
        <v>222</v>
      </c>
      <c r="D64" s="32" t="s">
        <v>110</v>
      </c>
      <c r="E64" s="33">
        <v>500</v>
      </c>
      <c r="F64" s="34">
        <v>2400.33</v>
      </c>
      <c r="G64" s="35">
        <v>1.7188889999999998E-2</v>
      </c>
      <c r="H64" s="23">
        <v>6.3949999999999996</v>
      </c>
    </row>
    <row r="65" spans="1:8" x14ac:dyDescent="0.2">
      <c r="A65" s="31">
        <v>21</v>
      </c>
      <c r="B65" s="32" t="s">
        <v>223</v>
      </c>
      <c r="C65" s="32" t="s">
        <v>224</v>
      </c>
      <c r="D65" s="32" t="s">
        <v>110</v>
      </c>
      <c r="E65" s="33">
        <v>500</v>
      </c>
      <c r="F65" s="34">
        <v>2399.2600000000002</v>
      </c>
      <c r="G65" s="35">
        <v>1.7181229999999999E-2</v>
      </c>
      <c r="H65" s="23">
        <v>6.23</v>
      </c>
    </row>
    <row r="66" spans="1:8" x14ac:dyDescent="0.2">
      <c r="A66" s="31">
        <v>22</v>
      </c>
      <c r="B66" s="32" t="s">
        <v>225</v>
      </c>
      <c r="C66" s="32" t="s">
        <v>226</v>
      </c>
      <c r="D66" s="32" t="s">
        <v>110</v>
      </c>
      <c r="E66" s="33">
        <v>500</v>
      </c>
      <c r="F66" s="34">
        <v>2396.69</v>
      </c>
      <c r="G66" s="35">
        <v>1.7162819999999999E-2</v>
      </c>
      <c r="H66" s="23">
        <v>6.17</v>
      </c>
    </row>
    <row r="67" spans="1:8" x14ac:dyDescent="0.2">
      <c r="A67" s="31">
        <v>23</v>
      </c>
      <c r="B67" s="32" t="s">
        <v>227</v>
      </c>
      <c r="C67" s="32" t="s">
        <v>228</v>
      </c>
      <c r="D67" s="32" t="s">
        <v>110</v>
      </c>
      <c r="E67" s="33">
        <v>500</v>
      </c>
      <c r="F67" s="34">
        <v>2396.2874999999999</v>
      </c>
      <c r="G67" s="35">
        <v>1.7159939999999999E-2</v>
      </c>
      <c r="H67" s="23">
        <v>6.1950000000000003</v>
      </c>
    </row>
    <row r="68" spans="1:8" x14ac:dyDescent="0.2">
      <c r="A68" s="31">
        <v>24</v>
      </c>
      <c r="B68" s="32" t="s">
        <v>229</v>
      </c>
      <c r="C68" s="32" t="s">
        <v>230</v>
      </c>
      <c r="D68" s="32" t="s">
        <v>110</v>
      </c>
      <c r="E68" s="33">
        <v>500</v>
      </c>
      <c r="F68" s="34">
        <v>2366.9850000000001</v>
      </c>
      <c r="G68" s="35">
        <v>1.6950099999999999E-2</v>
      </c>
      <c r="H68" s="23">
        <v>6.37</v>
      </c>
    </row>
    <row r="69" spans="1:8" x14ac:dyDescent="0.2">
      <c r="A69" s="31">
        <v>25</v>
      </c>
      <c r="B69" s="32" t="s">
        <v>231</v>
      </c>
      <c r="C69" s="32" t="s">
        <v>232</v>
      </c>
      <c r="D69" s="32" t="s">
        <v>110</v>
      </c>
      <c r="E69" s="33">
        <v>500</v>
      </c>
      <c r="F69" s="34">
        <v>2358.0250000000001</v>
      </c>
      <c r="G69" s="35">
        <v>1.6885939999999999E-2</v>
      </c>
      <c r="H69" s="23">
        <v>6.37</v>
      </c>
    </row>
    <row r="70" spans="1:8" x14ac:dyDescent="0.2">
      <c r="A70" s="31">
        <v>26</v>
      </c>
      <c r="B70" s="32" t="s">
        <v>233</v>
      </c>
      <c r="C70" s="32" t="s">
        <v>234</v>
      </c>
      <c r="D70" s="32" t="s">
        <v>110</v>
      </c>
      <c r="E70" s="33">
        <v>500</v>
      </c>
      <c r="F70" s="34">
        <v>2352.9899999999998</v>
      </c>
      <c r="G70" s="35">
        <v>1.6849880000000001E-2</v>
      </c>
      <c r="H70" s="23">
        <v>6.37</v>
      </c>
    </row>
    <row r="71" spans="1:8" x14ac:dyDescent="0.2">
      <c r="A71" s="31">
        <v>27</v>
      </c>
      <c r="B71" s="32" t="s">
        <v>174</v>
      </c>
      <c r="C71" s="32" t="s">
        <v>175</v>
      </c>
      <c r="D71" s="32" t="s">
        <v>110</v>
      </c>
      <c r="E71" s="33">
        <v>400</v>
      </c>
      <c r="F71" s="34">
        <v>1928.472</v>
      </c>
      <c r="G71" s="35">
        <v>1.380989E-2</v>
      </c>
      <c r="H71" s="23">
        <v>6.2100999999999997</v>
      </c>
    </row>
    <row r="72" spans="1:8" x14ac:dyDescent="0.2">
      <c r="A72" s="31">
        <v>28</v>
      </c>
      <c r="B72" s="32" t="s">
        <v>235</v>
      </c>
      <c r="C72" s="32" t="s">
        <v>236</v>
      </c>
      <c r="D72" s="32" t="s">
        <v>110</v>
      </c>
      <c r="E72" s="33">
        <v>300</v>
      </c>
      <c r="F72" s="34">
        <v>1458.5609999999999</v>
      </c>
      <c r="G72" s="35">
        <v>1.044483E-2</v>
      </c>
      <c r="H72" s="23">
        <v>6.1</v>
      </c>
    </row>
    <row r="73" spans="1:8" x14ac:dyDescent="0.2">
      <c r="A73" s="31">
        <v>29</v>
      </c>
      <c r="B73" s="32" t="s">
        <v>237</v>
      </c>
      <c r="C73" s="32" t="s">
        <v>238</v>
      </c>
      <c r="D73" s="32" t="s">
        <v>110</v>
      </c>
      <c r="E73" s="33">
        <v>300</v>
      </c>
      <c r="F73" s="34">
        <v>1447.788</v>
      </c>
      <c r="G73" s="35">
        <v>1.0367690000000001E-2</v>
      </c>
      <c r="H73" s="23">
        <v>6.39</v>
      </c>
    </row>
    <row r="74" spans="1:8" x14ac:dyDescent="0.2">
      <c r="A74" s="31">
        <v>30</v>
      </c>
      <c r="B74" s="32" t="s">
        <v>239</v>
      </c>
      <c r="C74" s="32" t="s">
        <v>240</v>
      </c>
      <c r="D74" s="32" t="s">
        <v>110</v>
      </c>
      <c r="E74" s="33">
        <v>300</v>
      </c>
      <c r="F74" s="34">
        <v>1441.761</v>
      </c>
      <c r="G74" s="35">
        <v>1.032453E-2</v>
      </c>
      <c r="H74" s="23">
        <v>6.1950000000000003</v>
      </c>
    </row>
    <row r="75" spans="1:8" x14ac:dyDescent="0.2">
      <c r="A75" s="31">
        <v>31</v>
      </c>
      <c r="B75" s="32" t="s">
        <v>172</v>
      </c>
      <c r="C75" s="32" t="s">
        <v>173</v>
      </c>
      <c r="D75" s="32" t="s">
        <v>110</v>
      </c>
      <c r="E75" s="33">
        <v>300</v>
      </c>
      <c r="F75" s="34">
        <v>1440.114</v>
      </c>
      <c r="G75" s="35">
        <v>1.0312730000000001E-2</v>
      </c>
      <c r="H75" s="23">
        <v>6.17</v>
      </c>
    </row>
    <row r="76" spans="1:8" x14ac:dyDescent="0.2">
      <c r="A76" s="31">
        <v>32</v>
      </c>
      <c r="B76" s="32" t="s">
        <v>241</v>
      </c>
      <c r="C76" s="32" t="s">
        <v>242</v>
      </c>
      <c r="D76" s="32" t="s">
        <v>110</v>
      </c>
      <c r="E76" s="33">
        <v>300</v>
      </c>
      <c r="F76" s="34">
        <v>1434.6195</v>
      </c>
      <c r="G76" s="35">
        <v>1.027339E-2</v>
      </c>
      <c r="H76" s="23">
        <v>6.23</v>
      </c>
    </row>
    <row r="77" spans="1:8" x14ac:dyDescent="0.2">
      <c r="A77" s="31">
        <v>33</v>
      </c>
      <c r="B77" s="32" t="s">
        <v>243</v>
      </c>
      <c r="C77" s="32" t="s">
        <v>244</v>
      </c>
      <c r="D77" s="32" t="s">
        <v>110</v>
      </c>
      <c r="E77" s="33">
        <v>200</v>
      </c>
      <c r="F77" s="34">
        <v>963.69600000000003</v>
      </c>
      <c r="G77" s="35">
        <v>6.9010800000000004E-3</v>
      </c>
      <c r="H77" s="23">
        <v>6.25</v>
      </c>
    </row>
    <row r="78" spans="1:8" x14ac:dyDescent="0.2">
      <c r="A78" s="31">
        <v>34</v>
      </c>
      <c r="B78" s="32" t="s">
        <v>170</v>
      </c>
      <c r="C78" s="32" t="s">
        <v>171</v>
      </c>
      <c r="D78" s="32" t="s">
        <v>110</v>
      </c>
      <c r="E78" s="33">
        <v>100</v>
      </c>
      <c r="F78" s="34">
        <v>478.35750000000002</v>
      </c>
      <c r="G78" s="35">
        <v>3.4255399999999999E-3</v>
      </c>
      <c r="H78" s="23">
        <v>6.1849999999999996</v>
      </c>
    </row>
    <row r="79" spans="1:8" x14ac:dyDescent="0.2">
      <c r="A79" s="24"/>
      <c r="B79" s="24"/>
      <c r="C79" s="25" t="s">
        <v>11</v>
      </c>
      <c r="D79" s="24"/>
      <c r="E79" s="24" t="s">
        <v>12</v>
      </c>
      <c r="F79" s="30">
        <v>100770.613</v>
      </c>
      <c r="G79" s="27">
        <v>0.72162360999999997</v>
      </c>
      <c r="H79" s="23" t="s">
        <v>12</v>
      </c>
    </row>
    <row r="80" spans="1:8" x14ac:dyDescent="0.2">
      <c r="A80" s="24"/>
      <c r="B80" s="24"/>
      <c r="C80" s="28"/>
      <c r="D80" s="24"/>
      <c r="E80" s="24"/>
      <c r="F80" s="29"/>
      <c r="G80" s="29"/>
      <c r="H80" s="23" t="s">
        <v>12</v>
      </c>
    </row>
    <row r="81" spans="1:8" x14ac:dyDescent="0.2">
      <c r="A81" s="24"/>
      <c r="B81" s="24"/>
      <c r="C81" s="25" t="s">
        <v>111</v>
      </c>
      <c r="D81" s="24"/>
      <c r="E81" s="24"/>
      <c r="F81" s="29"/>
      <c r="G81" s="29"/>
      <c r="H81" s="23" t="s">
        <v>12</v>
      </c>
    </row>
    <row r="82" spans="1:8" x14ac:dyDescent="0.2">
      <c r="A82" s="31">
        <v>1</v>
      </c>
      <c r="B82" s="32" t="s">
        <v>245</v>
      </c>
      <c r="C82" s="32" t="s">
        <v>246</v>
      </c>
      <c r="D82" s="32" t="s">
        <v>110</v>
      </c>
      <c r="E82" s="33">
        <v>800</v>
      </c>
      <c r="F82" s="34">
        <v>3828.3440000000001</v>
      </c>
      <c r="G82" s="35">
        <v>2.741497E-2</v>
      </c>
      <c r="H82" s="23">
        <v>6.68</v>
      </c>
    </row>
    <row r="83" spans="1:8" x14ac:dyDescent="0.2">
      <c r="A83" s="31">
        <v>2</v>
      </c>
      <c r="B83" s="32" t="s">
        <v>247</v>
      </c>
      <c r="C83" s="32" t="s">
        <v>248</v>
      </c>
      <c r="D83" s="32" t="s">
        <v>110</v>
      </c>
      <c r="E83" s="33">
        <v>700</v>
      </c>
      <c r="F83" s="34">
        <v>3389.6379999999999</v>
      </c>
      <c r="G83" s="35">
        <v>2.4273369999999999E-2</v>
      </c>
      <c r="H83" s="23">
        <v>6.83</v>
      </c>
    </row>
    <row r="84" spans="1:8" x14ac:dyDescent="0.2">
      <c r="A84" s="31">
        <v>3</v>
      </c>
      <c r="B84" s="32" t="s">
        <v>249</v>
      </c>
      <c r="C84" s="32" t="s">
        <v>250</v>
      </c>
      <c r="D84" s="32" t="s">
        <v>110</v>
      </c>
      <c r="E84" s="33">
        <v>700</v>
      </c>
      <c r="F84" s="34">
        <v>3346.4340000000002</v>
      </c>
      <c r="G84" s="35">
        <v>2.3963990000000001E-2</v>
      </c>
      <c r="H84" s="23">
        <v>6.95</v>
      </c>
    </row>
    <row r="85" spans="1:8" x14ac:dyDescent="0.2">
      <c r="A85" s="31">
        <v>4</v>
      </c>
      <c r="B85" s="32" t="s">
        <v>251</v>
      </c>
      <c r="C85" s="32" t="s">
        <v>252</v>
      </c>
      <c r="D85" s="32" t="s">
        <v>110</v>
      </c>
      <c r="E85" s="33">
        <v>700</v>
      </c>
      <c r="F85" s="34">
        <v>3290.0385000000001</v>
      </c>
      <c r="G85" s="35">
        <v>2.356014E-2</v>
      </c>
      <c r="H85" s="23">
        <v>7.08</v>
      </c>
    </row>
    <row r="86" spans="1:8" x14ac:dyDescent="0.2">
      <c r="A86" s="31">
        <v>5</v>
      </c>
      <c r="B86" s="32" t="s">
        <v>253</v>
      </c>
      <c r="C86" s="32" t="s">
        <v>254</v>
      </c>
      <c r="D86" s="32" t="s">
        <v>110</v>
      </c>
      <c r="E86" s="33">
        <v>500</v>
      </c>
      <c r="F86" s="34">
        <v>2451.4025000000001</v>
      </c>
      <c r="G86" s="35">
        <v>1.755462E-2</v>
      </c>
      <c r="H86" s="23">
        <v>6.7</v>
      </c>
    </row>
    <row r="87" spans="1:8" x14ac:dyDescent="0.2">
      <c r="A87" s="31">
        <v>6</v>
      </c>
      <c r="B87" s="32" t="s">
        <v>255</v>
      </c>
      <c r="C87" s="32" t="s">
        <v>256</v>
      </c>
      <c r="D87" s="32" t="s">
        <v>110</v>
      </c>
      <c r="E87" s="33">
        <v>500</v>
      </c>
      <c r="F87" s="34">
        <v>2403.3775000000001</v>
      </c>
      <c r="G87" s="35">
        <v>1.7210710000000001E-2</v>
      </c>
      <c r="H87" s="23">
        <v>6.3250000000000002</v>
      </c>
    </row>
    <row r="88" spans="1:8" x14ac:dyDescent="0.2">
      <c r="A88" s="31">
        <v>7</v>
      </c>
      <c r="B88" s="32" t="s">
        <v>257</v>
      </c>
      <c r="C88" s="32" t="s">
        <v>258</v>
      </c>
      <c r="D88" s="32" t="s">
        <v>110</v>
      </c>
      <c r="E88" s="33">
        <v>500</v>
      </c>
      <c r="F88" s="34">
        <v>2388.0050000000001</v>
      </c>
      <c r="G88" s="35">
        <v>1.7100629999999999E-2</v>
      </c>
      <c r="H88" s="23">
        <v>7.1624999999999996</v>
      </c>
    </row>
    <row r="89" spans="1:8" x14ac:dyDescent="0.2">
      <c r="A89" s="31">
        <v>8</v>
      </c>
      <c r="B89" s="32" t="s">
        <v>259</v>
      </c>
      <c r="C89" s="32" t="s">
        <v>260</v>
      </c>
      <c r="D89" s="32" t="s">
        <v>110</v>
      </c>
      <c r="E89" s="33">
        <v>500</v>
      </c>
      <c r="F89" s="34">
        <v>2360.2725</v>
      </c>
      <c r="G89" s="35">
        <v>1.6902029999999998E-2</v>
      </c>
      <c r="H89" s="23">
        <v>6.7949999999999999</v>
      </c>
    </row>
    <row r="90" spans="1:8" x14ac:dyDescent="0.2">
      <c r="A90" s="31">
        <v>9</v>
      </c>
      <c r="B90" s="32" t="s">
        <v>261</v>
      </c>
      <c r="C90" s="32" t="s">
        <v>262</v>
      </c>
      <c r="D90" s="32" t="s">
        <v>110</v>
      </c>
      <c r="E90" s="33">
        <v>500</v>
      </c>
      <c r="F90" s="34">
        <v>2353.125</v>
      </c>
      <c r="G90" s="35">
        <v>1.6850850000000001E-2</v>
      </c>
      <c r="H90" s="23">
        <v>7.01</v>
      </c>
    </row>
    <row r="91" spans="1:8" x14ac:dyDescent="0.2">
      <c r="A91" s="31">
        <v>10</v>
      </c>
      <c r="B91" s="32" t="s">
        <v>263</v>
      </c>
      <c r="C91" s="32" t="s">
        <v>264</v>
      </c>
      <c r="D91" s="32" t="s">
        <v>110</v>
      </c>
      <c r="E91" s="33">
        <v>400</v>
      </c>
      <c r="F91" s="34">
        <v>1916.222</v>
      </c>
      <c r="G91" s="35">
        <v>1.3722170000000001E-2</v>
      </c>
      <c r="H91" s="23">
        <v>7.03</v>
      </c>
    </row>
    <row r="92" spans="1:8" x14ac:dyDescent="0.2">
      <c r="A92" s="31">
        <v>11</v>
      </c>
      <c r="B92" s="32" t="s">
        <v>265</v>
      </c>
      <c r="C92" s="32" t="s">
        <v>266</v>
      </c>
      <c r="D92" s="32" t="s">
        <v>110</v>
      </c>
      <c r="E92" s="33">
        <v>300</v>
      </c>
      <c r="F92" s="34">
        <v>1479.2625</v>
      </c>
      <c r="G92" s="35">
        <v>1.059308E-2</v>
      </c>
      <c r="H92" s="23">
        <v>5.95</v>
      </c>
    </row>
    <row r="93" spans="1:8" x14ac:dyDescent="0.2">
      <c r="A93" s="31">
        <v>12</v>
      </c>
      <c r="B93" s="32" t="s">
        <v>267</v>
      </c>
      <c r="C93" s="32" t="s">
        <v>268</v>
      </c>
      <c r="D93" s="32" t="s">
        <v>110</v>
      </c>
      <c r="E93" s="33">
        <v>300</v>
      </c>
      <c r="F93" s="34">
        <v>1462.9875</v>
      </c>
      <c r="G93" s="35">
        <v>1.047653E-2</v>
      </c>
      <c r="H93" s="23">
        <v>6.79</v>
      </c>
    </row>
    <row r="94" spans="1:8" x14ac:dyDescent="0.2">
      <c r="A94" s="31">
        <v>13</v>
      </c>
      <c r="B94" s="32" t="s">
        <v>269</v>
      </c>
      <c r="C94" s="32" t="s">
        <v>270</v>
      </c>
      <c r="D94" s="32" t="s">
        <v>110</v>
      </c>
      <c r="E94" s="33">
        <v>300</v>
      </c>
      <c r="F94" s="34">
        <v>1456.308</v>
      </c>
      <c r="G94" s="35">
        <v>1.0428700000000001E-2</v>
      </c>
      <c r="H94" s="23">
        <v>6.9749999999999996</v>
      </c>
    </row>
    <row r="95" spans="1:8" x14ac:dyDescent="0.2">
      <c r="A95" s="31">
        <v>14</v>
      </c>
      <c r="B95" s="32" t="s">
        <v>271</v>
      </c>
      <c r="C95" s="32" t="s">
        <v>272</v>
      </c>
      <c r="D95" s="32" t="s">
        <v>110</v>
      </c>
      <c r="E95" s="33">
        <v>300</v>
      </c>
      <c r="F95" s="34">
        <v>1437.924</v>
      </c>
      <c r="G95" s="35">
        <v>1.029705E-2</v>
      </c>
      <c r="H95" s="23">
        <v>7.1624999999999996</v>
      </c>
    </row>
    <row r="96" spans="1:8" x14ac:dyDescent="0.2">
      <c r="A96" s="31">
        <v>15</v>
      </c>
      <c r="B96" s="32" t="s">
        <v>273</v>
      </c>
      <c r="C96" s="32" t="s">
        <v>274</v>
      </c>
      <c r="D96" s="32" t="s">
        <v>110</v>
      </c>
      <c r="E96" s="33">
        <v>200</v>
      </c>
      <c r="F96" s="34">
        <v>987.74400000000003</v>
      </c>
      <c r="G96" s="35">
        <v>7.0732900000000003E-3</v>
      </c>
      <c r="H96" s="23">
        <v>6.47</v>
      </c>
    </row>
    <row r="97" spans="1:8" x14ac:dyDescent="0.2">
      <c r="A97" s="31">
        <v>16</v>
      </c>
      <c r="B97" s="32" t="s">
        <v>275</v>
      </c>
      <c r="C97" s="32" t="s">
        <v>276</v>
      </c>
      <c r="D97" s="32" t="s">
        <v>110</v>
      </c>
      <c r="E97" s="33">
        <v>100</v>
      </c>
      <c r="F97" s="34">
        <v>470.34899999999999</v>
      </c>
      <c r="G97" s="35">
        <v>3.3681900000000001E-3</v>
      </c>
      <c r="H97" s="23">
        <v>7.08</v>
      </c>
    </row>
    <row r="98" spans="1:8" x14ac:dyDescent="0.2">
      <c r="A98" s="24"/>
      <c r="B98" s="24"/>
      <c r="C98" s="25" t="s">
        <v>11</v>
      </c>
      <c r="D98" s="24"/>
      <c r="E98" s="24" t="s">
        <v>12</v>
      </c>
      <c r="F98" s="30">
        <v>35021.434000000001</v>
      </c>
      <c r="G98" s="27">
        <v>0.25079032000000001</v>
      </c>
      <c r="H98" s="23" t="s">
        <v>12</v>
      </c>
    </row>
    <row r="99" spans="1:8" x14ac:dyDescent="0.2">
      <c r="A99" s="24"/>
      <c r="B99" s="24"/>
      <c r="C99" s="28"/>
      <c r="D99" s="24"/>
      <c r="E99" s="24"/>
      <c r="F99" s="29"/>
      <c r="G99" s="29"/>
      <c r="H99" s="23" t="s">
        <v>12</v>
      </c>
    </row>
    <row r="100" spans="1:8" x14ac:dyDescent="0.2">
      <c r="A100" s="24"/>
      <c r="B100" s="24"/>
      <c r="C100" s="25" t="s">
        <v>112</v>
      </c>
      <c r="D100" s="24"/>
      <c r="E100" s="24"/>
      <c r="F100" s="29"/>
      <c r="G100" s="29"/>
      <c r="H100" s="23" t="s">
        <v>12</v>
      </c>
    </row>
    <row r="101" spans="1:8" x14ac:dyDescent="0.2">
      <c r="A101" s="31">
        <v>1</v>
      </c>
      <c r="B101" s="32" t="s">
        <v>277</v>
      </c>
      <c r="C101" s="32" t="s">
        <v>278</v>
      </c>
      <c r="D101" s="32" t="s">
        <v>81</v>
      </c>
      <c r="E101" s="33">
        <v>2500000</v>
      </c>
      <c r="F101" s="34">
        <v>2414.59</v>
      </c>
      <c r="G101" s="35">
        <v>1.7291009999999999E-2</v>
      </c>
      <c r="H101" s="23">
        <v>5.5175000000000001</v>
      </c>
    </row>
    <row r="102" spans="1:8" x14ac:dyDescent="0.2">
      <c r="A102" s="24"/>
      <c r="B102" s="24"/>
      <c r="C102" s="25" t="s">
        <v>11</v>
      </c>
      <c r="D102" s="24"/>
      <c r="E102" s="24" t="s">
        <v>12</v>
      </c>
      <c r="F102" s="30">
        <v>2414.59</v>
      </c>
      <c r="G102" s="27">
        <v>1.7291009999999999E-2</v>
      </c>
      <c r="H102" s="23" t="s">
        <v>12</v>
      </c>
    </row>
    <row r="103" spans="1:8" x14ac:dyDescent="0.2">
      <c r="A103" s="24"/>
      <c r="B103" s="24"/>
      <c r="C103" s="28"/>
      <c r="D103" s="24"/>
      <c r="E103" s="24"/>
      <c r="F103" s="29"/>
      <c r="G103" s="29"/>
      <c r="H103" s="23" t="s">
        <v>12</v>
      </c>
    </row>
    <row r="104" spans="1:8" x14ac:dyDescent="0.2">
      <c r="A104" s="24"/>
      <c r="B104" s="24"/>
      <c r="C104" s="25" t="s">
        <v>113</v>
      </c>
      <c r="D104" s="24"/>
      <c r="E104" s="24"/>
      <c r="F104" s="29"/>
      <c r="G104" s="29"/>
      <c r="H104" s="23" t="s">
        <v>12</v>
      </c>
    </row>
    <row r="105" spans="1:8" x14ac:dyDescent="0.2">
      <c r="A105" s="31">
        <v>1</v>
      </c>
      <c r="B105" s="32"/>
      <c r="C105" s="32" t="s">
        <v>114</v>
      </c>
      <c r="D105" s="32"/>
      <c r="E105" s="36"/>
      <c r="F105" s="34">
        <v>3.8708339999999999</v>
      </c>
      <c r="G105" s="35">
        <v>2.7719999999999999E-5</v>
      </c>
      <c r="H105" s="23">
        <v>5.47</v>
      </c>
    </row>
    <row r="106" spans="1:8" x14ac:dyDescent="0.2">
      <c r="A106" s="24"/>
      <c r="B106" s="24"/>
      <c r="C106" s="25" t="s">
        <v>11</v>
      </c>
      <c r="D106" s="24"/>
      <c r="E106" s="24" t="s">
        <v>12</v>
      </c>
      <c r="F106" s="30">
        <v>3.8708339999999999</v>
      </c>
      <c r="G106" s="27">
        <v>2.7719999999999999E-5</v>
      </c>
      <c r="H106" s="23" t="s">
        <v>12</v>
      </c>
    </row>
    <row r="107" spans="1:8" x14ac:dyDescent="0.2">
      <c r="A107" s="24"/>
      <c r="B107" s="24"/>
      <c r="C107" s="28"/>
      <c r="D107" s="24"/>
      <c r="E107" s="24"/>
      <c r="F107" s="29"/>
      <c r="G107" s="29"/>
      <c r="H107" s="23" t="s">
        <v>12</v>
      </c>
    </row>
    <row r="108" spans="1:8" x14ac:dyDescent="0.2">
      <c r="A108" s="24"/>
      <c r="B108" s="24"/>
      <c r="C108" s="25" t="s">
        <v>115</v>
      </c>
      <c r="D108" s="24"/>
      <c r="E108" s="24"/>
      <c r="F108" s="30">
        <v>138210.50783399999</v>
      </c>
      <c r="G108" s="27">
        <v>0.98973266000000004</v>
      </c>
      <c r="H108" s="23" t="s">
        <v>12</v>
      </c>
    </row>
    <row r="109" spans="1:8" x14ac:dyDescent="0.2">
      <c r="A109" s="24"/>
      <c r="B109" s="24"/>
      <c r="C109" s="29"/>
      <c r="D109" s="24"/>
      <c r="E109" s="24"/>
      <c r="F109" s="24"/>
      <c r="G109" s="24"/>
      <c r="H109" s="23" t="s">
        <v>12</v>
      </c>
    </row>
    <row r="110" spans="1:8" x14ac:dyDescent="0.2">
      <c r="A110" s="24"/>
      <c r="B110" s="24"/>
      <c r="C110" s="25" t="s">
        <v>116</v>
      </c>
      <c r="D110" s="24"/>
      <c r="E110" s="24"/>
      <c r="F110" s="24"/>
      <c r="G110" s="24"/>
      <c r="H110" s="23" t="s">
        <v>12</v>
      </c>
    </row>
    <row r="111" spans="1:8" x14ac:dyDescent="0.2">
      <c r="A111" s="24"/>
      <c r="B111" s="24"/>
      <c r="C111" s="25" t="s">
        <v>117</v>
      </c>
      <c r="D111" s="24"/>
      <c r="E111" s="24"/>
      <c r="F111" s="24"/>
      <c r="G111" s="24"/>
      <c r="H111" s="23" t="s">
        <v>12</v>
      </c>
    </row>
    <row r="112" spans="1:8" x14ac:dyDescent="0.2">
      <c r="A112" s="24"/>
      <c r="B112" s="24"/>
      <c r="C112" s="25" t="s">
        <v>11</v>
      </c>
      <c r="D112" s="24"/>
      <c r="E112" s="24" t="s">
        <v>12</v>
      </c>
      <c r="F112" s="26" t="s">
        <v>13</v>
      </c>
      <c r="G112" s="27">
        <v>0</v>
      </c>
      <c r="H112" s="23" t="s">
        <v>12</v>
      </c>
    </row>
    <row r="113" spans="1:17" x14ac:dyDescent="0.2">
      <c r="A113" s="21"/>
      <c r="B113" s="21"/>
      <c r="C113" s="99"/>
      <c r="D113" s="21"/>
      <c r="E113" s="21"/>
      <c r="F113" s="51"/>
      <c r="G113" s="51"/>
      <c r="H113" s="23" t="s">
        <v>12</v>
      </c>
    </row>
    <row r="114" spans="1:17" x14ac:dyDescent="0.2">
      <c r="A114" s="21"/>
      <c r="B114" s="21"/>
      <c r="C114" s="22" t="s">
        <v>618</v>
      </c>
      <c r="D114" s="21"/>
      <c r="E114" s="21"/>
      <c r="F114" s="51"/>
      <c r="G114" s="51"/>
      <c r="H114" s="23" t="s">
        <v>12</v>
      </c>
      <c r="K114" s="72"/>
      <c r="L114" s="72"/>
      <c r="M114" s="72"/>
      <c r="N114" s="72"/>
      <c r="O114" s="100"/>
      <c r="P114" s="100"/>
      <c r="Q114" s="100"/>
    </row>
    <row r="115" spans="1:17" x14ac:dyDescent="0.2">
      <c r="A115" s="93">
        <v>1</v>
      </c>
      <c r="B115" s="94" t="s">
        <v>118</v>
      </c>
      <c r="C115" s="94" t="s">
        <v>119</v>
      </c>
      <c r="D115" s="94"/>
      <c r="E115" s="101">
        <v>1363.741</v>
      </c>
      <c r="F115" s="96">
        <v>153.33167383899999</v>
      </c>
      <c r="G115" s="97">
        <v>1.0980199999999999E-3</v>
      </c>
      <c r="H115" s="23"/>
    </row>
    <row r="116" spans="1:17" x14ac:dyDescent="0.2">
      <c r="A116" s="21"/>
      <c r="B116" s="21"/>
      <c r="C116" s="22" t="s">
        <v>11</v>
      </c>
      <c r="D116" s="21"/>
      <c r="E116" s="21" t="s">
        <v>12</v>
      </c>
      <c r="F116" s="102">
        <f>SUM(F115)</f>
        <v>153.33167383899999</v>
      </c>
      <c r="G116" s="103">
        <f>SUM(G115)</f>
        <v>1.0980199999999999E-3</v>
      </c>
      <c r="H116" s="23" t="s">
        <v>12</v>
      </c>
    </row>
    <row r="117" spans="1:17" x14ac:dyDescent="0.2">
      <c r="A117" s="24"/>
      <c r="B117" s="24"/>
      <c r="C117" s="28"/>
      <c r="D117" s="24"/>
      <c r="E117" s="24"/>
      <c r="F117" s="29"/>
      <c r="G117" s="29"/>
      <c r="H117" s="23" t="s">
        <v>12</v>
      </c>
    </row>
    <row r="118" spans="1:17" x14ac:dyDescent="0.2">
      <c r="A118" s="24"/>
      <c r="B118" s="24"/>
      <c r="C118" s="25" t="s">
        <v>120</v>
      </c>
      <c r="D118" s="24"/>
      <c r="E118" s="24"/>
      <c r="F118" s="24"/>
      <c r="G118" s="24"/>
      <c r="H118" s="23" t="s">
        <v>12</v>
      </c>
    </row>
    <row r="119" spans="1:17" x14ac:dyDescent="0.2">
      <c r="A119" s="24"/>
      <c r="B119" s="24"/>
      <c r="C119" s="25" t="s">
        <v>121</v>
      </c>
      <c r="D119" s="24"/>
      <c r="E119" s="24"/>
      <c r="F119" s="24"/>
      <c r="G119" s="24"/>
      <c r="H119" s="23" t="s">
        <v>12</v>
      </c>
    </row>
    <row r="120" spans="1:17" x14ac:dyDescent="0.2">
      <c r="A120" s="24"/>
      <c r="B120" s="24"/>
      <c r="C120" s="25" t="s">
        <v>11</v>
      </c>
      <c r="D120" s="24"/>
      <c r="E120" s="24" t="s">
        <v>12</v>
      </c>
      <c r="F120" s="26" t="s">
        <v>13</v>
      </c>
      <c r="G120" s="27">
        <v>0</v>
      </c>
      <c r="H120" s="23" t="s">
        <v>12</v>
      </c>
    </row>
    <row r="121" spans="1:17" x14ac:dyDescent="0.2">
      <c r="A121" s="24"/>
      <c r="B121" s="24"/>
      <c r="C121" s="28"/>
      <c r="D121" s="24"/>
      <c r="E121" s="24"/>
      <c r="F121" s="29"/>
      <c r="G121" s="29"/>
      <c r="H121" s="23" t="s">
        <v>12</v>
      </c>
    </row>
    <row r="122" spans="1:17" x14ac:dyDescent="0.2">
      <c r="A122" s="24"/>
      <c r="B122" s="24"/>
      <c r="C122" s="25" t="s">
        <v>122</v>
      </c>
      <c r="D122" s="24"/>
      <c r="E122" s="24"/>
      <c r="F122" s="29"/>
      <c r="G122" s="29"/>
      <c r="H122" s="23" t="s">
        <v>12</v>
      </c>
    </row>
    <row r="123" spans="1:17" x14ac:dyDescent="0.2">
      <c r="A123" s="24"/>
      <c r="B123" s="24"/>
      <c r="C123" s="25" t="s">
        <v>11</v>
      </c>
      <c r="D123" s="24"/>
      <c r="E123" s="24" t="s">
        <v>12</v>
      </c>
      <c r="F123" s="26" t="s">
        <v>13</v>
      </c>
      <c r="G123" s="27">
        <v>0</v>
      </c>
      <c r="H123" s="23" t="s">
        <v>12</v>
      </c>
    </row>
    <row r="124" spans="1:17" x14ac:dyDescent="0.2">
      <c r="A124" s="24"/>
      <c r="B124" s="32"/>
      <c r="C124" s="32"/>
      <c r="D124" s="25"/>
      <c r="E124" s="24"/>
      <c r="F124" s="32"/>
      <c r="G124" s="36"/>
      <c r="H124" s="23" t="s">
        <v>12</v>
      </c>
    </row>
    <row r="125" spans="1:17" x14ac:dyDescent="0.2">
      <c r="A125" s="36"/>
      <c r="B125" s="32"/>
      <c r="C125" s="32" t="s">
        <v>123</v>
      </c>
      <c r="D125" s="32"/>
      <c r="E125" s="36"/>
      <c r="F125" s="34">
        <f>-7885.26651912-0.0000587790107727051</f>
        <v>-7885.2665778990113</v>
      </c>
      <c r="G125" s="35">
        <v>-5.6466799999999998E-2</v>
      </c>
      <c r="H125" s="23" t="s">
        <v>12</v>
      </c>
    </row>
    <row r="126" spans="1:17" x14ac:dyDescent="0.2">
      <c r="A126" s="28"/>
      <c r="B126" s="28"/>
      <c r="C126" s="25" t="s">
        <v>124</v>
      </c>
      <c r="D126" s="29"/>
      <c r="E126" s="29"/>
      <c r="F126" s="30">
        <f>139644.285988719-0.0000587790107727051</f>
        <v>139644.28592994</v>
      </c>
      <c r="G126" s="37">
        <v>1.00000003</v>
      </c>
      <c r="H126" s="23" t="s">
        <v>12</v>
      </c>
    </row>
    <row r="127" spans="1:17" x14ac:dyDescent="0.2">
      <c r="A127" s="38"/>
      <c r="B127" s="38"/>
      <c r="C127" s="38"/>
      <c r="D127" s="39"/>
      <c r="E127" s="39"/>
      <c r="F127" s="39"/>
      <c r="G127" s="39"/>
    </row>
    <row r="128" spans="1:17" x14ac:dyDescent="0.2">
      <c r="A128" s="40"/>
      <c r="B128" s="41" t="s">
        <v>614</v>
      </c>
      <c r="C128" s="41"/>
      <c r="D128" s="41"/>
      <c r="E128" s="41"/>
      <c r="F128" s="41"/>
      <c r="G128" s="41"/>
      <c r="H128" s="41"/>
    </row>
    <row r="129" spans="1:8" x14ac:dyDescent="0.2">
      <c r="A129" s="40"/>
      <c r="B129" s="41" t="s">
        <v>615</v>
      </c>
      <c r="C129" s="41"/>
      <c r="D129" s="41"/>
      <c r="E129" s="41"/>
      <c r="F129" s="41"/>
      <c r="G129" s="41"/>
      <c r="H129" s="41"/>
    </row>
    <row r="130" spans="1:8" x14ac:dyDescent="0.2">
      <c r="A130" s="40"/>
      <c r="B130" s="41" t="s">
        <v>616</v>
      </c>
      <c r="C130" s="41"/>
      <c r="D130" s="41"/>
      <c r="E130" s="41"/>
      <c r="F130" s="41"/>
      <c r="G130" s="41"/>
      <c r="H130" s="41"/>
    </row>
    <row r="131" spans="1:8" x14ac:dyDescent="0.2">
      <c r="A131" s="238"/>
      <c r="B131" s="239" t="s">
        <v>636</v>
      </c>
      <c r="C131" s="240"/>
      <c r="D131" s="240"/>
      <c r="E131" s="240"/>
      <c r="F131" s="240"/>
      <c r="G131" s="240"/>
      <c r="H131" s="240"/>
    </row>
    <row r="132" spans="1:8" x14ac:dyDescent="0.2">
      <c r="A132" s="42"/>
      <c r="B132" s="42"/>
      <c r="C132" s="42"/>
      <c r="D132" s="43"/>
      <c r="E132" s="43"/>
      <c r="F132" s="43"/>
      <c r="G132" s="43"/>
    </row>
    <row r="133" spans="1:8" x14ac:dyDescent="0.2">
      <c r="A133" s="40"/>
      <c r="B133" s="44" t="s">
        <v>125</v>
      </c>
      <c r="C133" s="45"/>
      <c r="D133" s="46"/>
      <c r="E133" s="47"/>
      <c r="F133" s="48"/>
      <c r="G133" s="48"/>
    </row>
    <row r="134" spans="1:8" x14ac:dyDescent="0.2">
      <c r="A134" s="40"/>
      <c r="B134" s="49" t="s">
        <v>126</v>
      </c>
      <c r="C134" s="50"/>
      <c r="D134" s="22" t="s">
        <v>127</v>
      </c>
      <c r="E134" s="47"/>
      <c r="F134" s="48"/>
      <c r="G134" s="48"/>
    </row>
    <row r="135" spans="1:8" x14ac:dyDescent="0.2">
      <c r="A135" s="40"/>
      <c r="B135" s="49" t="s">
        <v>128</v>
      </c>
      <c r="C135" s="50"/>
      <c r="D135" s="22" t="s">
        <v>127</v>
      </c>
      <c r="E135" s="47"/>
      <c r="F135" s="48"/>
      <c r="G135" s="48"/>
    </row>
    <row r="136" spans="1:8" x14ac:dyDescent="0.2">
      <c r="A136" s="40"/>
      <c r="B136" s="49" t="s">
        <v>129</v>
      </c>
      <c r="C136" s="50"/>
      <c r="D136" s="51" t="s">
        <v>12</v>
      </c>
      <c r="E136" s="47"/>
      <c r="F136" s="48"/>
      <c r="G136" s="48"/>
    </row>
    <row r="137" spans="1:8" x14ac:dyDescent="0.2">
      <c r="A137" s="52"/>
      <c r="B137" s="53" t="s">
        <v>12</v>
      </c>
      <c r="C137" s="53" t="s">
        <v>617</v>
      </c>
      <c r="D137" s="53" t="s">
        <v>130</v>
      </c>
      <c r="E137" s="52"/>
      <c r="F137" s="52"/>
      <c r="G137" s="52"/>
    </row>
    <row r="138" spans="1:8" x14ac:dyDescent="0.2">
      <c r="A138" s="52"/>
      <c r="B138" s="54" t="s">
        <v>131</v>
      </c>
      <c r="C138" s="55">
        <v>45823</v>
      </c>
      <c r="D138" s="55">
        <v>45838</v>
      </c>
      <c r="E138" s="52"/>
      <c r="F138" s="52"/>
      <c r="G138" s="52"/>
    </row>
    <row r="139" spans="1:8" x14ac:dyDescent="0.2">
      <c r="A139" s="56"/>
      <c r="B139" s="32" t="s">
        <v>132</v>
      </c>
      <c r="C139" s="57">
        <v>15.087999999999999</v>
      </c>
      <c r="D139" s="57">
        <v>15.1282</v>
      </c>
      <c r="E139" s="56"/>
      <c r="F139" s="58"/>
      <c r="G139" s="59"/>
    </row>
    <row r="140" spans="1:8" ht="25.5" x14ac:dyDescent="0.2">
      <c r="A140" s="56"/>
      <c r="B140" s="32" t="s">
        <v>743</v>
      </c>
      <c r="C140" s="57">
        <v>11.322900000000001</v>
      </c>
      <c r="D140" s="57">
        <v>11.296900000000001</v>
      </c>
      <c r="E140" s="56"/>
      <c r="F140" s="58"/>
      <c r="G140" s="59"/>
    </row>
    <row r="141" spans="1:8" ht="25.5" x14ac:dyDescent="0.2">
      <c r="A141" s="56"/>
      <c r="B141" s="32" t="s">
        <v>744</v>
      </c>
      <c r="C141" s="57">
        <v>12.716200000000001</v>
      </c>
      <c r="D141" s="36"/>
      <c r="E141" s="56"/>
      <c r="F141" s="58"/>
      <c r="G141" s="59"/>
    </row>
    <row r="142" spans="1:8" x14ac:dyDescent="0.2">
      <c r="A142" s="56"/>
      <c r="B142" s="32" t="s">
        <v>133</v>
      </c>
      <c r="C142" s="57">
        <v>14.988200000000001</v>
      </c>
      <c r="D142" s="57">
        <v>15.0274</v>
      </c>
      <c r="E142" s="56"/>
      <c r="F142" s="58"/>
      <c r="G142" s="59"/>
    </row>
    <row r="143" spans="1:8" ht="25.5" x14ac:dyDescent="0.2">
      <c r="A143" s="56"/>
      <c r="B143" s="32" t="s">
        <v>747</v>
      </c>
      <c r="C143" s="57">
        <v>11.295500000000001</v>
      </c>
      <c r="D143" s="57">
        <v>11.2689</v>
      </c>
      <c r="E143" s="56"/>
      <c r="F143" s="58"/>
      <c r="G143" s="59"/>
    </row>
    <row r="144" spans="1:8" ht="25.5" x14ac:dyDescent="0.2">
      <c r="A144" s="56"/>
      <c r="B144" s="32" t="s">
        <v>719</v>
      </c>
      <c r="C144" s="57">
        <v>12.631</v>
      </c>
      <c r="D144" s="36"/>
      <c r="E144" s="56"/>
      <c r="F144" s="58"/>
      <c r="G144" s="59"/>
    </row>
    <row r="145" spans="1:14" x14ac:dyDescent="0.2">
      <c r="A145" s="56"/>
      <c r="B145" s="56"/>
      <c r="C145" s="56"/>
      <c r="D145" s="56"/>
      <c r="E145" s="56"/>
      <c r="F145" s="56"/>
      <c r="G145" s="56"/>
    </row>
    <row r="146" spans="1:14" x14ac:dyDescent="0.2">
      <c r="A146" s="56"/>
      <c r="B146" s="60" t="s">
        <v>739</v>
      </c>
      <c r="C146" s="61"/>
      <c r="D146" s="25" t="s">
        <v>12</v>
      </c>
      <c r="E146" s="56"/>
      <c r="F146" s="56"/>
      <c r="G146" s="56"/>
    </row>
    <row r="147" spans="1:14" x14ac:dyDescent="0.2">
      <c r="A147" s="56"/>
      <c r="B147" s="62" t="s">
        <v>131</v>
      </c>
      <c r="C147" s="63" t="s">
        <v>134</v>
      </c>
      <c r="D147" s="63" t="s">
        <v>135</v>
      </c>
      <c r="E147" s="56"/>
      <c r="F147" s="56"/>
      <c r="G147" s="56"/>
    </row>
    <row r="148" spans="1:14" ht="25.5" x14ac:dyDescent="0.2">
      <c r="A148" s="56"/>
      <c r="B148" s="32" t="s">
        <v>743</v>
      </c>
      <c r="C148" s="64">
        <v>5.6000000000000001E-2</v>
      </c>
      <c r="D148" s="36" t="s">
        <v>136</v>
      </c>
      <c r="E148" s="56"/>
      <c r="F148" s="58"/>
      <c r="G148" s="59"/>
    </row>
    <row r="149" spans="1:14" ht="25.5" x14ac:dyDescent="0.2">
      <c r="A149" s="56"/>
      <c r="B149" s="32" t="s">
        <v>744</v>
      </c>
      <c r="C149" s="64">
        <v>0.19</v>
      </c>
      <c r="D149" s="36" t="s">
        <v>136</v>
      </c>
      <c r="E149" s="56"/>
      <c r="F149" s="58"/>
      <c r="G149" s="59"/>
    </row>
    <row r="150" spans="1:14" ht="25.5" x14ac:dyDescent="0.2">
      <c r="A150" s="56"/>
      <c r="B150" s="32" t="s">
        <v>747</v>
      </c>
      <c r="C150" s="64">
        <v>5.6000000000000001E-2</v>
      </c>
      <c r="D150" s="36" t="s">
        <v>136</v>
      </c>
      <c r="E150" s="56"/>
      <c r="F150" s="58"/>
      <c r="G150" s="59"/>
    </row>
    <row r="151" spans="1:14" ht="25.5" x14ac:dyDescent="0.2">
      <c r="A151" s="56"/>
      <c r="B151" s="32" t="s">
        <v>719</v>
      </c>
      <c r="C151" s="64">
        <v>0.188</v>
      </c>
      <c r="D151" s="36" t="s">
        <v>136</v>
      </c>
      <c r="E151" s="56"/>
      <c r="F151" s="58"/>
      <c r="G151" s="59"/>
    </row>
    <row r="152" spans="1:14" x14ac:dyDescent="0.2">
      <c r="A152" s="56"/>
      <c r="B152" s="104"/>
      <c r="C152" s="104"/>
      <c r="D152" s="105"/>
      <c r="E152" s="56"/>
      <c r="F152" s="58"/>
      <c r="G152" s="59"/>
    </row>
    <row r="153" spans="1:14" x14ac:dyDescent="0.2">
      <c r="A153" s="52"/>
      <c r="B153" s="49" t="s">
        <v>137</v>
      </c>
      <c r="C153" s="50"/>
      <c r="D153" s="22" t="s">
        <v>127</v>
      </c>
      <c r="E153" s="71"/>
      <c r="F153" s="52"/>
      <c r="G153" s="52"/>
      <c r="I153" s="156"/>
    </row>
    <row r="154" spans="1:14" x14ac:dyDescent="0.2">
      <c r="A154" s="52"/>
      <c r="B154" s="49" t="s">
        <v>138</v>
      </c>
      <c r="C154" s="50"/>
      <c r="D154" s="22" t="s">
        <v>127</v>
      </c>
      <c r="E154" s="71"/>
      <c r="F154" s="52"/>
      <c r="G154" s="52"/>
      <c r="I154" s="156"/>
    </row>
    <row r="155" spans="1:14" x14ac:dyDescent="0.2">
      <c r="A155" s="52"/>
      <c r="B155" s="49" t="s">
        <v>619</v>
      </c>
      <c r="C155" s="50"/>
      <c r="D155" s="22" t="s">
        <v>127</v>
      </c>
      <c r="E155" s="71"/>
      <c r="F155" s="52"/>
      <c r="G155" s="52"/>
      <c r="I155" s="156"/>
    </row>
    <row r="156" spans="1:14" x14ac:dyDescent="0.2">
      <c r="A156" s="73"/>
      <c r="B156" s="73"/>
      <c r="C156" s="73"/>
      <c r="D156" s="73"/>
      <c r="E156" s="73"/>
      <c r="F156" s="73"/>
      <c r="G156" s="73"/>
      <c r="I156" s="156"/>
    </row>
    <row r="157" spans="1:14" s="74" customFormat="1" x14ac:dyDescent="0.2">
      <c r="B157" s="75" t="s">
        <v>620</v>
      </c>
      <c r="C157" s="76"/>
      <c r="D157" s="77"/>
      <c r="I157" s="156"/>
      <c r="J157" s="72"/>
      <c r="K157" s="72"/>
      <c r="L157" s="72"/>
      <c r="M157" s="72"/>
      <c r="N157" s="78"/>
    </row>
    <row r="158" spans="1:14" s="74" customFormat="1" ht="51" x14ac:dyDescent="0.2">
      <c r="B158" s="241" t="s">
        <v>621</v>
      </c>
      <c r="C158" s="242"/>
      <c r="D158" s="80" t="s">
        <v>180</v>
      </c>
      <c r="I158" s="156"/>
      <c r="J158" s="72"/>
      <c r="K158" s="72"/>
      <c r="L158" s="72"/>
      <c r="M158" s="72"/>
      <c r="N158" s="78"/>
    </row>
    <row r="159" spans="1:14" s="74" customFormat="1" x14ac:dyDescent="0.2">
      <c r="B159" s="86" t="s">
        <v>622</v>
      </c>
      <c r="C159" s="88"/>
      <c r="D159" s="81"/>
      <c r="I159" s="156"/>
      <c r="J159" s="72"/>
      <c r="K159" s="72"/>
      <c r="L159" s="72"/>
      <c r="M159" s="72"/>
      <c r="N159" s="78"/>
    </row>
    <row r="160" spans="1:14" s="74" customFormat="1" x14ac:dyDescent="0.2">
      <c r="B160" s="86"/>
      <c r="C160" s="88"/>
      <c r="D160" s="82"/>
      <c r="I160" s="156"/>
      <c r="J160" s="72"/>
      <c r="K160" s="72"/>
      <c r="L160" s="72"/>
      <c r="M160" s="72"/>
      <c r="N160" s="78"/>
    </row>
    <row r="161" spans="2:16" s="74" customFormat="1" x14ac:dyDescent="0.2">
      <c r="B161" s="86" t="s">
        <v>623</v>
      </c>
      <c r="C161" s="243"/>
      <c r="D161" s="83">
        <v>6.3821405627969288</v>
      </c>
      <c r="I161" s="156"/>
      <c r="J161" s="72"/>
      <c r="K161" s="72"/>
      <c r="L161" s="72"/>
      <c r="M161" s="72"/>
      <c r="N161" s="78"/>
    </row>
    <row r="162" spans="2:16" s="74" customFormat="1" x14ac:dyDescent="0.2">
      <c r="B162" s="86"/>
      <c r="C162" s="88"/>
      <c r="D162" s="82"/>
      <c r="I162" s="156"/>
      <c r="J162" s="72"/>
      <c r="K162" s="72"/>
      <c r="L162" s="72"/>
      <c r="M162" s="72"/>
      <c r="N162" s="78"/>
    </row>
    <row r="163" spans="2:16" s="74" customFormat="1" x14ac:dyDescent="0.2">
      <c r="B163" s="86" t="s">
        <v>624</v>
      </c>
      <c r="C163" s="243"/>
      <c r="D163" s="83">
        <v>0.70535596406616741</v>
      </c>
      <c r="I163" s="156"/>
      <c r="J163" s="72"/>
      <c r="K163" s="72"/>
      <c r="L163" s="72"/>
      <c r="M163" s="72"/>
      <c r="N163" s="78"/>
    </row>
    <row r="164" spans="2:16" s="74" customFormat="1" x14ac:dyDescent="0.2">
      <c r="B164" s="86" t="s">
        <v>625</v>
      </c>
      <c r="C164" s="243"/>
      <c r="D164" s="83">
        <v>0.70708124249939619</v>
      </c>
      <c r="I164" s="156"/>
      <c r="J164" s="72"/>
      <c r="K164" s="72"/>
      <c r="L164" s="72"/>
      <c r="M164" s="72"/>
      <c r="N164" s="78"/>
    </row>
    <row r="165" spans="2:16" s="74" customFormat="1" x14ac:dyDescent="0.2">
      <c r="B165" s="86"/>
      <c r="C165" s="88"/>
      <c r="D165" s="82"/>
      <c r="I165" s="156"/>
      <c r="J165" s="72"/>
      <c r="K165" s="72"/>
      <c r="L165" s="72"/>
      <c r="M165" s="72"/>
      <c r="N165" s="78"/>
    </row>
    <row r="166" spans="2:16" s="74" customFormat="1" x14ac:dyDescent="0.2">
      <c r="B166" s="66" t="s">
        <v>626</v>
      </c>
      <c r="C166" s="66"/>
      <c r="D166" s="85" t="s">
        <v>750</v>
      </c>
      <c r="I166" s="156"/>
      <c r="J166" s="72"/>
      <c r="K166" s="72"/>
      <c r="L166" s="72"/>
      <c r="M166" s="72"/>
      <c r="N166" s="78"/>
    </row>
    <row r="167" spans="2:16" s="74" customFormat="1" x14ac:dyDescent="0.2">
      <c r="B167" s="86" t="s">
        <v>627</v>
      </c>
      <c r="C167" s="87"/>
      <c r="D167" s="88"/>
      <c r="I167" s="156"/>
      <c r="J167" s="72"/>
      <c r="K167" s="72"/>
      <c r="L167" s="72"/>
      <c r="M167" s="72"/>
      <c r="N167" s="78"/>
      <c r="O167" s="17"/>
      <c r="P167" s="17"/>
    </row>
    <row r="168" spans="2:16" x14ac:dyDescent="0.2">
      <c r="I168" s="156"/>
    </row>
    <row r="169" spans="2:16" x14ac:dyDescent="0.2">
      <c r="B169" s="90" t="s">
        <v>628</v>
      </c>
      <c r="I169" s="156"/>
    </row>
    <row r="170" spans="2:16" x14ac:dyDescent="0.2">
      <c r="I170" s="156"/>
    </row>
    <row r="171" spans="2:16" ht="153.75" customHeight="1" x14ac:dyDescent="0.2">
      <c r="I171" s="156"/>
    </row>
    <row r="172" spans="2:16" x14ac:dyDescent="0.2">
      <c r="I172" s="156"/>
    </row>
    <row r="173" spans="2:16" x14ac:dyDescent="0.2">
      <c r="I173" s="156"/>
    </row>
    <row r="174" spans="2:16" x14ac:dyDescent="0.2">
      <c r="B174" s="91" t="s">
        <v>629</v>
      </c>
      <c r="C174" s="92"/>
      <c r="D174" s="91"/>
      <c r="I174" s="156"/>
    </row>
    <row r="175" spans="2:16" x14ac:dyDescent="0.2">
      <c r="B175" s="91" t="s">
        <v>637</v>
      </c>
      <c r="C175" s="92"/>
      <c r="D175" s="91"/>
      <c r="I175" s="156"/>
    </row>
    <row r="176" spans="2:16" x14ac:dyDescent="0.2">
      <c r="D176" s="91"/>
      <c r="I176" s="156"/>
    </row>
    <row r="177" spans="9:9" ht="165" customHeight="1" x14ac:dyDescent="0.2">
      <c r="I177" s="156"/>
    </row>
    <row r="178" spans="9:9" x14ac:dyDescent="0.2">
      <c r="I178" s="156"/>
    </row>
    <row r="179" spans="9:9" x14ac:dyDescent="0.2">
      <c r="I179" s="156"/>
    </row>
    <row r="180" spans="9:9" x14ac:dyDescent="0.2">
      <c r="I180" s="156"/>
    </row>
    <row r="181" spans="9:9" x14ac:dyDescent="0.2">
      <c r="I181" s="156"/>
    </row>
  </sheetData>
  <mergeCells count="26">
    <mergeCell ref="B155:C155"/>
    <mergeCell ref="B158:C158"/>
    <mergeCell ref="B146:C146"/>
    <mergeCell ref="B154:C154"/>
    <mergeCell ref="B153:C153"/>
    <mergeCell ref="B157:D157"/>
    <mergeCell ref="B130:H130"/>
    <mergeCell ref="B133:D133"/>
    <mergeCell ref="B134:C134"/>
    <mergeCell ref="B135:C135"/>
    <mergeCell ref="B136:C136"/>
    <mergeCell ref="B131:H131"/>
    <mergeCell ref="A1:H1"/>
    <mergeCell ref="A2:H2"/>
    <mergeCell ref="A3:H3"/>
    <mergeCell ref="B128:H128"/>
    <mergeCell ref="B129:H129"/>
    <mergeCell ref="B164:C164"/>
    <mergeCell ref="B165:C165"/>
    <mergeCell ref="B166:C166"/>
    <mergeCell ref="B167:D167"/>
    <mergeCell ref="B159:C159"/>
    <mergeCell ref="B160:C160"/>
    <mergeCell ref="B161:C161"/>
    <mergeCell ref="B162:C162"/>
    <mergeCell ref="B163:C163"/>
  </mergeCells>
  <hyperlinks>
    <hyperlink ref="I1" location="Index!B2" display="Index" xr:uid="{558C1A64-AE1E-4E70-A3D5-68BDF93A6A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A36D-907A-491D-B54A-445CBA058A2D}">
  <sheetPr>
    <outlinePr summaryBelow="0" summaryRight="0"/>
  </sheetPr>
  <dimension ref="A1:T187"/>
  <sheetViews>
    <sheetView showGridLines="0" workbookViewId="0">
      <selection sqref="A1:H1"/>
    </sheetView>
  </sheetViews>
  <sheetFormatPr defaultRowHeight="12.75" x14ac:dyDescent="0.2"/>
  <cols>
    <col min="1" max="1" width="5.85546875" style="17" bestFit="1" customWidth="1"/>
    <col min="2" max="2" width="20.7109375" style="17" customWidth="1"/>
    <col min="3" max="3" width="64" style="17" bestFit="1" customWidth="1"/>
    <col min="4" max="4" width="17.42578125" style="17" customWidth="1"/>
    <col min="5" max="5" width="9.42578125" style="17" bestFit="1" customWidth="1"/>
    <col min="6" max="6" width="10.140625" style="17" bestFit="1" customWidth="1"/>
    <col min="7" max="7" width="14" style="17" bestFit="1" customWidth="1"/>
    <col min="8" max="8" width="9.85546875" style="17" bestFit="1" customWidth="1"/>
    <col min="9" max="16384" width="9.140625" style="17"/>
  </cols>
  <sheetData>
    <row r="1" spans="1:9" ht="15" x14ac:dyDescent="0.2">
      <c r="A1" s="16" t="s">
        <v>0</v>
      </c>
      <c r="B1" s="16"/>
      <c r="C1" s="16"/>
      <c r="D1" s="16"/>
      <c r="E1" s="16"/>
      <c r="F1" s="16"/>
      <c r="G1" s="16"/>
      <c r="H1" s="16"/>
      <c r="I1" s="1" t="s">
        <v>599</v>
      </c>
    </row>
    <row r="2" spans="1:9" ht="15" x14ac:dyDescent="0.2">
      <c r="A2" s="16" t="s">
        <v>279</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598</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31">
        <v>1</v>
      </c>
      <c r="B7" s="94" t="s">
        <v>638</v>
      </c>
      <c r="C7" s="94" t="s">
        <v>639</v>
      </c>
      <c r="D7" s="94" t="s">
        <v>640</v>
      </c>
      <c r="E7" s="95">
        <v>8000</v>
      </c>
      <c r="F7" s="96">
        <v>0.01</v>
      </c>
      <c r="G7" s="154" t="s">
        <v>641</v>
      </c>
      <c r="H7" s="23" t="s">
        <v>12</v>
      </c>
      <c r="I7" s="156"/>
    </row>
    <row r="8" spans="1:9" x14ac:dyDescent="0.2">
      <c r="A8" s="24"/>
      <c r="B8" s="24"/>
      <c r="C8" s="25" t="s">
        <v>11</v>
      </c>
      <c r="D8" s="24"/>
      <c r="E8" s="24" t="s">
        <v>12</v>
      </c>
      <c r="F8" s="30">
        <f>SUM(F7)</f>
        <v>0.01</v>
      </c>
      <c r="G8" s="27">
        <v>0</v>
      </c>
      <c r="H8" s="23" t="s">
        <v>12</v>
      </c>
    </row>
    <row r="9" spans="1:9" x14ac:dyDescent="0.2">
      <c r="A9" s="24"/>
      <c r="B9" s="24"/>
      <c r="C9" s="28"/>
      <c r="D9" s="24"/>
      <c r="E9" s="24"/>
      <c r="F9" s="29"/>
      <c r="G9" s="29"/>
      <c r="H9" s="23" t="s">
        <v>12</v>
      </c>
    </row>
    <row r="10" spans="1:9" x14ac:dyDescent="0.2">
      <c r="A10" s="24"/>
      <c r="B10" s="24"/>
      <c r="C10" s="25" t="s">
        <v>14</v>
      </c>
      <c r="D10" s="24"/>
      <c r="E10" s="24"/>
      <c r="F10" s="24"/>
      <c r="G10" s="24"/>
      <c r="H10" s="23" t="s">
        <v>12</v>
      </c>
    </row>
    <row r="11" spans="1:9" x14ac:dyDescent="0.2">
      <c r="A11" s="24"/>
      <c r="B11" s="24"/>
      <c r="C11" s="25" t="s">
        <v>11</v>
      </c>
      <c r="D11" s="24"/>
      <c r="E11" s="24" t="s">
        <v>12</v>
      </c>
      <c r="F11" s="26" t="s">
        <v>13</v>
      </c>
      <c r="G11" s="27">
        <v>0</v>
      </c>
      <c r="H11" s="23" t="s">
        <v>12</v>
      </c>
    </row>
    <row r="12" spans="1:9" x14ac:dyDescent="0.2">
      <c r="A12" s="24"/>
      <c r="B12" s="24"/>
      <c r="C12" s="28"/>
      <c r="D12" s="24"/>
      <c r="E12" s="24"/>
      <c r="F12" s="29"/>
      <c r="G12" s="29"/>
      <c r="H12" s="23" t="s">
        <v>12</v>
      </c>
    </row>
    <row r="13" spans="1:9" x14ac:dyDescent="0.2">
      <c r="A13" s="24"/>
      <c r="B13" s="24"/>
      <c r="C13" s="25" t="s">
        <v>15</v>
      </c>
      <c r="D13" s="24"/>
      <c r="E13" s="24"/>
      <c r="F13" s="24"/>
      <c r="G13" s="24"/>
      <c r="H13" s="23" t="s">
        <v>12</v>
      </c>
    </row>
    <row r="14" spans="1:9" x14ac:dyDescent="0.2">
      <c r="A14" s="24"/>
      <c r="B14" s="24"/>
      <c r="C14" s="25" t="s">
        <v>11</v>
      </c>
      <c r="D14" s="24"/>
      <c r="E14" s="24" t="s">
        <v>12</v>
      </c>
      <c r="F14" s="26" t="s">
        <v>13</v>
      </c>
      <c r="G14" s="27">
        <v>0</v>
      </c>
      <c r="H14" s="23" t="s">
        <v>12</v>
      </c>
    </row>
    <row r="15" spans="1:9" x14ac:dyDescent="0.2">
      <c r="A15" s="24"/>
      <c r="B15" s="24"/>
      <c r="C15" s="28"/>
      <c r="D15" s="24"/>
      <c r="E15" s="24"/>
      <c r="F15" s="29"/>
      <c r="G15" s="29"/>
      <c r="H15" s="23" t="s">
        <v>12</v>
      </c>
    </row>
    <row r="16" spans="1:9" x14ac:dyDescent="0.2">
      <c r="A16" s="24"/>
      <c r="B16" s="24"/>
      <c r="C16" s="25" t="s">
        <v>16</v>
      </c>
      <c r="D16" s="24"/>
      <c r="E16" s="24"/>
      <c r="F16" s="24"/>
      <c r="G16" s="24"/>
      <c r="H16" s="23" t="s">
        <v>12</v>
      </c>
    </row>
    <row r="17" spans="1:8" x14ac:dyDescent="0.2">
      <c r="A17" s="24"/>
      <c r="B17" s="24"/>
      <c r="C17" s="25" t="s">
        <v>11</v>
      </c>
      <c r="D17" s="24"/>
      <c r="E17" s="24" t="s">
        <v>12</v>
      </c>
      <c r="F17" s="26" t="s">
        <v>13</v>
      </c>
      <c r="G17" s="27">
        <v>0</v>
      </c>
      <c r="H17" s="23" t="s">
        <v>12</v>
      </c>
    </row>
    <row r="18" spans="1:8" x14ac:dyDescent="0.2">
      <c r="A18" s="24"/>
      <c r="B18" s="24"/>
      <c r="C18" s="28"/>
      <c r="D18" s="24"/>
      <c r="E18" s="24"/>
      <c r="F18" s="29"/>
      <c r="G18" s="29"/>
      <c r="H18" s="23" t="s">
        <v>12</v>
      </c>
    </row>
    <row r="19" spans="1:8" x14ac:dyDescent="0.2">
      <c r="A19" s="24"/>
      <c r="B19" s="24"/>
      <c r="C19" s="25" t="s">
        <v>17</v>
      </c>
      <c r="D19" s="24"/>
      <c r="E19" s="24"/>
      <c r="F19" s="29"/>
      <c r="G19" s="29"/>
      <c r="H19" s="23" t="s">
        <v>12</v>
      </c>
    </row>
    <row r="20" spans="1:8" x14ac:dyDescent="0.2">
      <c r="A20" s="24"/>
      <c r="B20" s="24"/>
      <c r="C20" s="25" t="s">
        <v>11</v>
      </c>
      <c r="D20" s="24"/>
      <c r="E20" s="24" t="s">
        <v>12</v>
      </c>
      <c r="F20" s="26" t="s">
        <v>13</v>
      </c>
      <c r="G20" s="27">
        <v>0</v>
      </c>
      <c r="H20" s="23" t="s">
        <v>12</v>
      </c>
    </row>
    <row r="21" spans="1:8" x14ac:dyDescent="0.2">
      <c r="A21" s="24"/>
      <c r="B21" s="24"/>
      <c r="C21" s="28"/>
      <c r="D21" s="24"/>
      <c r="E21" s="24"/>
      <c r="F21" s="29"/>
      <c r="G21" s="29"/>
      <c r="H21" s="23" t="s">
        <v>12</v>
      </c>
    </row>
    <row r="22" spans="1:8" x14ac:dyDescent="0.2">
      <c r="A22" s="24"/>
      <c r="B22" s="24"/>
      <c r="C22" s="25" t="s">
        <v>18</v>
      </c>
      <c r="D22" s="24"/>
      <c r="E22" s="24"/>
      <c r="F22" s="29"/>
      <c r="G22" s="29"/>
      <c r="H22" s="23" t="s">
        <v>12</v>
      </c>
    </row>
    <row r="23" spans="1:8" x14ac:dyDescent="0.2">
      <c r="A23" s="24"/>
      <c r="B23" s="24"/>
      <c r="C23" s="25" t="s">
        <v>11</v>
      </c>
      <c r="D23" s="24"/>
      <c r="E23" s="24" t="s">
        <v>12</v>
      </c>
      <c r="F23" s="26" t="s">
        <v>13</v>
      </c>
      <c r="G23" s="27">
        <v>0</v>
      </c>
      <c r="H23" s="23" t="s">
        <v>12</v>
      </c>
    </row>
    <row r="24" spans="1:8" x14ac:dyDescent="0.2">
      <c r="A24" s="24"/>
      <c r="B24" s="24"/>
      <c r="C24" s="28"/>
      <c r="D24" s="24"/>
      <c r="E24" s="24"/>
      <c r="F24" s="29"/>
      <c r="G24" s="29"/>
      <c r="H24" s="23" t="s">
        <v>12</v>
      </c>
    </row>
    <row r="25" spans="1:8" x14ac:dyDescent="0.2">
      <c r="A25" s="24"/>
      <c r="B25" s="24"/>
      <c r="C25" s="25" t="s">
        <v>19</v>
      </c>
      <c r="D25" s="24"/>
      <c r="E25" s="24"/>
      <c r="F25" s="30">
        <f>F8</f>
        <v>0.01</v>
      </c>
      <c r="G25" s="27">
        <v>0</v>
      </c>
      <c r="H25" s="23" t="s">
        <v>12</v>
      </c>
    </row>
    <row r="26" spans="1:8" x14ac:dyDescent="0.2">
      <c r="A26" s="24"/>
      <c r="B26" s="24"/>
      <c r="C26" s="28"/>
      <c r="D26" s="24"/>
      <c r="E26" s="24"/>
      <c r="F26" s="29"/>
      <c r="G26" s="29"/>
      <c r="H26" s="23" t="s">
        <v>12</v>
      </c>
    </row>
    <row r="27" spans="1:8" x14ac:dyDescent="0.2">
      <c r="A27" s="24"/>
      <c r="B27" s="24"/>
      <c r="C27" s="25" t="s">
        <v>20</v>
      </c>
      <c r="D27" s="24"/>
      <c r="E27" s="24"/>
      <c r="F27" s="29"/>
      <c r="G27" s="29"/>
      <c r="H27" s="23" t="s">
        <v>12</v>
      </c>
    </row>
    <row r="28" spans="1:8" x14ac:dyDescent="0.2">
      <c r="A28" s="24"/>
      <c r="B28" s="24"/>
      <c r="C28" s="25" t="s">
        <v>10</v>
      </c>
      <c r="D28" s="24"/>
      <c r="E28" s="24"/>
      <c r="F28" s="29"/>
      <c r="G28" s="29"/>
      <c r="H28" s="23" t="s">
        <v>12</v>
      </c>
    </row>
    <row r="29" spans="1:8" x14ac:dyDescent="0.2">
      <c r="A29" s="31">
        <v>1</v>
      </c>
      <c r="B29" s="32" t="s">
        <v>280</v>
      </c>
      <c r="C29" s="32" t="s">
        <v>281</v>
      </c>
      <c r="D29" s="32" t="s">
        <v>282</v>
      </c>
      <c r="E29" s="33">
        <v>1500</v>
      </c>
      <c r="F29" s="34">
        <v>1519.8885</v>
      </c>
      <c r="G29" s="35">
        <v>4.1342499999999997E-2</v>
      </c>
      <c r="H29" s="23">
        <v>7.5350000000000001</v>
      </c>
    </row>
    <row r="30" spans="1:8" x14ac:dyDescent="0.2">
      <c r="A30" s="31">
        <v>2</v>
      </c>
      <c r="B30" s="32" t="s">
        <v>283</v>
      </c>
      <c r="C30" s="32" t="s">
        <v>284</v>
      </c>
      <c r="D30" s="32" t="s">
        <v>285</v>
      </c>
      <c r="E30" s="33">
        <v>1500</v>
      </c>
      <c r="F30" s="34">
        <v>1517.8320000000001</v>
      </c>
      <c r="G30" s="35">
        <v>4.128656E-2</v>
      </c>
      <c r="H30" s="23">
        <v>7.03</v>
      </c>
    </row>
    <row r="31" spans="1:8" x14ac:dyDescent="0.2">
      <c r="A31" s="31">
        <v>3</v>
      </c>
      <c r="B31" s="32" t="s">
        <v>286</v>
      </c>
      <c r="C31" s="32" t="s">
        <v>287</v>
      </c>
      <c r="D31" s="32" t="s">
        <v>23</v>
      </c>
      <c r="E31" s="33">
        <v>1500</v>
      </c>
      <c r="F31" s="34">
        <v>1514.5889999999999</v>
      </c>
      <c r="G31" s="35">
        <v>4.1198350000000002E-2</v>
      </c>
      <c r="H31" s="23">
        <v>6.52</v>
      </c>
    </row>
    <row r="32" spans="1:8" x14ac:dyDescent="0.2">
      <c r="A32" s="31">
        <v>4</v>
      </c>
      <c r="B32" s="32" t="s">
        <v>288</v>
      </c>
      <c r="C32" s="32" t="s">
        <v>289</v>
      </c>
      <c r="D32" s="32" t="s">
        <v>282</v>
      </c>
      <c r="E32" s="33">
        <v>1200</v>
      </c>
      <c r="F32" s="34">
        <v>1205.8715999999999</v>
      </c>
      <c r="G32" s="35">
        <v>3.2800919999999997E-2</v>
      </c>
      <c r="H32" s="23">
        <v>7.3449999999999998</v>
      </c>
    </row>
    <row r="33" spans="1:8" x14ac:dyDescent="0.2">
      <c r="A33" s="31">
        <v>5</v>
      </c>
      <c r="B33" s="32" t="s">
        <v>75</v>
      </c>
      <c r="C33" s="32" t="s">
        <v>76</v>
      </c>
      <c r="D33" s="32" t="s">
        <v>23</v>
      </c>
      <c r="E33" s="33">
        <v>1000</v>
      </c>
      <c r="F33" s="34">
        <v>1019.889</v>
      </c>
      <c r="G33" s="35">
        <v>2.7742010000000001E-2</v>
      </c>
      <c r="H33" s="23">
        <v>6.64</v>
      </c>
    </row>
    <row r="34" spans="1:8" x14ac:dyDescent="0.2">
      <c r="A34" s="31">
        <v>6</v>
      </c>
      <c r="B34" s="32" t="s">
        <v>69</v>
      </c>
      <c r="C34" s="32" t="s">
        <v>70</v>
      </c>
      <c r="D34" s="32" t="s">
        <v>23</v>
      </c>
      <c r="E34" s="33">
        <v>1000</v>
      </c>
      <c r="F34" s="34">
        <v>1017.516</v>
      </c>
      <c r="G34" s="35">
        <v>2.7677460000000001E-2</v>
      </c>
      <c r="H34" s="23">
        <v>7.1150000000000002</v>
      </c>
    </row>
    <row r="35" spans="1:8" x14ac:dyDescent="0.2">
      <c r="A35" s="31">
        <v>7</v>
      </c>
      <c r="B35" s="32" t="s">
        <v>290</v>
      </c>
      <c r="C35" s="32" t="s">
        <v>291</v>
      </c>
      <c r="D35" s="32" t="s">
        <v>285</v>
      </c>
      <c r="E35" s="33">
        <v>1000</v>
      </c>
      <c r="F35" s="34">
        <v>1013.634</v>
      </c>
      <c r="G35" s="35">
        <v>2.7571869999999998E-2</v>
      </c>
      <c r="H35" s="23">
        <v>7.4116</v>
      </c>
    </row>
    <row r="36" spans="1:8" x14ac:dyDescent="0.2">
      <c r="A36" s="31">
        <v>8</v>
      </c>
      <c r="B36" s="32" t="s">
        <v>292</v>
      </c>
      <c r="C36" s="32" t="s">
        <v>293</v>
      </c>
      <c r="D36" s="32" t="s">
        <v>23</v>
      </c>
      <c r="E36" s="33">
        <v>100</v>
      </c>
      <c r="F36" s="34">
        <v>1011.366</v>
      </c>
      <c r="G36" s="35">
        <v>2.7510179999999999E-2</v>
      </c>
      <c r="H36" s="23">
        <v>6.51</v>
      </c>
    </row>
    <row r="37" spans="1:8" x14ac:dyDescent="0.2">
      <c r="A37" s="31">
        <v>9</v>
      </c>
      <c r="B37" s="32" t="s">
        <v>39</v>
      </c>
      <c r="C37" s="32" t="s">
        <v>40</v>
      </c>
      <c r="D37" s="32" t="s">
        <v>23</v>
      </c>
      <c r="E37" s="33">
        <v>1000</v>
      </c>
      <c r="F37" s="34">
        <v>1009.095</v>
      </c>
      <c r="G37" s="35">
        <v>2.7448400000000001E-2</v>
      </c>
      <c r="H37" s="23">
        <v>6.4850000000000003</v>
      </c>
    </row>
    <row r="38" spans="1:8" x14ac:dyDescent="0.2">
      <c r="A38" s="31">
        <v>10</v>
      </c>
      <c r="B38" s="32" t="s">
        <v>71</v>
      </c>
      <c r="C38" s="32" t="s">
        <v>72</v>
      </c>
      <c r="D38" s="32" t="s">
        <v>23</v>
      </c>
      <c r="E38" s="33">
        <v>1000</v>
      </c>
      <c r="F38" s="34">
        <v>1008.927</v>
      </c>
      <c r="G38" s="35">
        <v>2.7443829999999999E-2</v>
      </c>
      <c r="H38" s="23">
        <v>6.58</v>
      </c>
    </row>
    <row r="39" spans="1:8" x14ac:dyDescent="0.2">
      <c r="A39" s="31">
        <v>11</v>
      </c>
      <c r="B39" s="32" t="s">
        <v>294</v>
      </c>
      <c r="C39" s="32" t="s">
        <v>295</v>
      </c>
      <c r="D39" s="32" t="s">
        <v>296</v>
      </c>
      <c r="E39" s="33">
        <v>1000</v>
      </c>
      <c r="F39" s="34">
        <v>1008.362</v>
      </c>
      <c r="G39" s="35">
        <v>2.7428460000000002E-2</v>
      </c>
      <c r="H39" s="23">
        <v>8.3800000000000008</v>
      </c>
    </row>
    <row r="40" spans="1:8" x14ac:dyDescent="0.2">
      <c r="A40" s="31">
        <v>12</v>
      </c>
      <c r="B40" s="32" t="s">
        <v>297</v>
      </c>
      <c r="C40" s="32" t="s">
        <v>298</v>
      </c>
      <c r="D40" s="32" t="s">
        <v>282</v>
      </c>
      <c r="E40" s="33">
        <v>1000</v>
      </c>
      <c r="F40" s="34">
        <v>1007.124</v>
      </c>
      <c r="G40" s="35">
        <v>2.7394789999999999E-2</v>
      </c>
      <c r="H40" s="23">
        <v>8.1189</v>
      </c>
    </row>
    <row r="41" spans="1:8" x14ac:dyDescent="0.2">
      <c r="A41" s="31">
        <v>13</v>
      </c>
      <c r="B41" s="32" t="s">
        <v>299</v>
      </c>
      <c r="C41" s="32" t="s">
        <v>300</v>
      </c>
      <c r="D41" s="32" t="s">
        <v>282</v>
      </c>
      <c r="E41" s="33">
        <v>100</v>
      </c>
      <c r="F41" s="34">
        <v>1003.298</v>
      </c>
      <c r="G41" s="35">
        <v>2.7290720000000001E-2</v>
      </c>
      <c r="H41" s="23">
        <v>7.3449999999999998</v>
      </c>
    </row>
    <row r="42" spans="1:8" x14ac:dyDescent="0.2">
      <c r="A42" s="31">
        <v>14</v>
      </c>
      <c r="B42" s="32" t="s">
        <v>301</v>
      </c>
      <c r="C42" s="32" t="s">
        <v>302</v>
      </c>
      <c r="D42" s="32" t="s">
        <v>282</v>
      </c>
      <c r="E42" s="33">
        <v>900</v>
      </c>
      <c r="F42" s="34">
        <v>911.51549999999997</v>
      </c>
      <c r="G42" s="35">
        <v>2.4794139999999999E-2</v>
      </c>
      <c r="H42" s="23">
        <v>7.1349999999999998</v>
      </c>
    </row>
    <row r="43" spans="1:8" x14ac:dyDescent="0.2">
      <c r="A43" s="31">
        <v>15</v>
      </c>
      <c r="B43" s="32" t="s">
        <v>303</v>
      </c>
      <c r="C43" s="32" t="s">
        <v>304</v>
      </c>
      <c r="D43" s="32" t="s">
        <v>32</v>
      </c>
      <c r="E43" s="33">
        <v>900</v>
      </c>
      <c r="F43" s="34">
        <v>911.19960000000003</v>
      </c>
      <c r="G43" s="35">
        <v>2.478555E-2</v>
      </c>
      <c r="H43" s="23">
        <v>7.1749999999999998</v>
      </c>
    </row>
    <row r="44" spans="1:8" x14ac:dyDescent="0.2">
      <c r="A44" s="31">
        <v>16</v>
      </c>
      <c r="B44" s="32" t="s">
        <v>305</v>
      </c>
      <c r="C44" s="32" t="s">
        <v>306</v>
      </c>
      <c r="D44" s="32" t="s">
        <v>32</v>
      </c>
      <c r="E44" s="33">
        <v>500</v>
      </c>
      <c r="F44" s="34">
        <v>509.43700000000001</v>
      </c>
      <c r="G44" s="35">
        <v>1.38572E-2</v>
      </c>
      <c r="H44" s="23">
        <v>6.58</v>
      </c>
    </row>
    <row r="45" spans="1:8" x14ac:dyDescent="0.2">
      <c r="A45" s="31">
        <v>17</v>
      </c>
      <c r="B45" s="32" t="s">
        <v>162</v>
      </c>
      <c r="C45" s="32" t="s">
        <v>163</v>
      </c>
      <c r="D45" s="32" t="s">
        <v>32</v>
      </c>
      <c r="E45" s="33">
        <v>500</v>
      </c>
      <c r="F45" s="34">
        <v>508.92349999999999</v>
      </c>
      <c r="G45" s="35">
        <v>1.384323E-2</v>
      </c>
      <c r="H45" s="23">
        <v>6.625</v>
      </c>
    </row>
    <row r="46" spans="1:8" x14ac:dyDescent="0.2">
      <c r="A46" s="31">
        <v>18</v>
      </c>
      <c r="B46" s="32" t="s">
        <v>53</v>
      </c>
      <c r="C46" s="32" t="s">
        <v>54</v>
      </c>
      <c r="D46" s="32" t="s">
        <v>23</v>
      </c>
      <c r="E46" s="33">
        <v>500</v>
      </c>
      <c r="F46" s="34">
        <v>507.16149999999999</v>
      </c>
      <c r="G46" s="35">
        <v>1.37953E-2</v>
      </c>
      <c r="H46" s="23">
        <v>6.5</v>
      </c>
    </row>
    <row r="47" spans="1:8" x14ac:dyDescent="0.2">
      <c r="A47" s="31">
        <v>19</v>
      </c>
      <c r="B47" s="32" t="s">
        <v>307</v>
      </c>
      <c r="C47" s="32" t="s">
        <v>308</v>
      </c>
      <c r="D47" s="32" t="s">
        <v>309</v>
      </c>
      <c r="E47" s="33">
        <v>50</v>
      </c>
      <c r="F47" s="34">
        <v>501.93799999999999</v>
      </c>
      <c r="G47" s="35">
        <v>1.3653220000000001E-2</v>
      </c>
      <c r="H47" s="23">
        <v>7.07</v>
      </c>
    </row>
    <row r="48" spans="1:8" x14ac:dyDescent="0.2">
      <c r="A48" s="31">
        <v>20</v>
      </c>
      <c r="B48" s="32" t="s">
        <v>310</v>
      </c>
      <c r="C48" s="32" t="s">
        <v>311</v>
      </c>
      <c r="D48" s="32" t="s">
        <v>282</v>
      </c>
      <c r="E48" s="33">
        <v>350</v>
      </c>
      <c r="F48" s="34">
        <v>353.81115</v>
      </c>
      <c r="G48" s="35">
        <v>9.6240200000000005E-3</v>
      </c>
      <c r="H48" s="23">
        <v>8.1300000000000008</v>
      </c>
    </row>
    <row r="49" spans="1:8" x14ac:dyDescent="0.2">
      <c r="A49" s="24"/>
      <c r="B49" s="24"/>
      <c r="C49" s="25" t="s">
        <v>11</v>
      </c>
      <c r="D49" s="24"/>
      <c r="E49" s="24" t="s">
        <v>12</v>
      </c>
      <c r="F49" s="30">
        <v>19061.378349999999</v>
      </c>
      <c r="G49" s="27">
        <v>0.51848870999999996</v>
      </c>
      <c r="H49" s="23" t="s">
        <v>12</v>
      </c>
    </row>
    <row r="50" spans="1:8" x14ac:dyDescent="0.2">
      <c r="A50" s="24"/>
      <c r="B50" s="24"/>
      <c r="C50" s="28"/>
      <c r="D50" s="24"/>
      <c r="E50" s="24"/>
      <c r="F50" s="29"/>
      <c r="G50" s="29"/>
      <c r="H50" s="23" t="s">
        <v>12</v>
      </c>
    </row>
    <row r="51" spans="1:8" x14ac:dyDescent="0.2">
      <c r="A51" s="24"/>
      <c r="B51" s="24"/>
      <c r="C51" s="25" t="s">
        <v>77</v>
      </c>
      <c r="D51" s="24"/>
      <c r="E51" s="24"/>
      <c r="F51" s="24"/>
      <c r="G51" s="24"/>
      <c r="H51" s="23" t="s">
        <v>12</v>
      </c>
    </row>
    <row r="52" spans="1:8" x14ac:dyDescent="0.2">
      <c r="A52" s="24"/>
      <c r="B52" s="24"/>
      <c r="C52" s="25" t="s">
        <v>11</v>
      </c>
      <c r="D52" s="24"/>
      <c r="E52" s="24" t="s">
        <v>12</v>
      </c>
      <c r="F52" s="26" t="s">
        <v>13</v>
      </c>
      <c r="G52" s="27">
        <v>0</v>
      </c>
      <c r="H52" s="23" t="s">
        <v>12</v>
      </c>
    </row>
    <row r="53" spans="1:8" x14ac:dyDescent="0.2">
      <c r="A53" s="24"/>
      <c r="B53" s="24"/>
      <c r="C53" s="28"/>
      <c r="D53" s="24"/>
      <c r="E53" s="24"/>
      <c r="F53" s="29"/>
      <c r="G53" s="29"/>
      <c r="H53" s="23" t="s">
        <v>12</v>
      </c>
    </row>
    <row r="54" spans="1:8" x14ac:dyDescent="0.2">
      <c r="A54" s="24"/>
      <c r="B54" s="24"/>
      <c r="C54" s="25" t="s">
        <v>78</v>
      </c>
      <c r="D54" s="24"/>
      <c r="E54" s="24"/>
      <c r="F54" s="24"/>
      <c r="G54" s="24"/>
      <c r="H54" s="23" t="s">
        <v>12</v>
      </c>
    </row>
    <row r="55" spans="1:8" x14ac:dyDescent="0.2">
      <c r="A55" s="31">
        <v>1</v>
      </c>
      <c r="B55" s="32" t="s">
        <v>168</v>
      </c>
      <c r="C55" s="32" t="s">
        <v>169</v>
      </c>
      <c r="D55" s="32" t="s">
        <v>81</v>
      </c>
      <c r="E55" s="33">
        <v>400000</v>
      </c>
      <c r="F55" s="34">
        <v>414.31200000000001</v>
      </c>
      <c r="G55" s="35">
        <v>1.1269700000000001E-2</v>
      </c>
      <c r="H55" s="23">
        <v>6.0907</v>
      </c>
    </row>
    <row r="56" spans="1:8" x14ac:dyDescent="0.2">
      <c r="A56" s="31">
        <v>2</v>
      </c>
      <c r="B56" s="32" t="s">
        <v>312</v>
      </c>
      <c r="C56" s="32" t="s">
        <v>313</v>
      </c>
      <c r="D56" s="32" t="s">
        <v>81</v>
      </c>
      <c r="E56" s="33">
        <v>300000</v>
      </c>
      <c r="F56" s="34">
        <v>308.88</v>
      </c>
      <c r="G56" s="35">
        <v>8.4018500000000006E-3</v>
      </c>
      <c r="H56" s="23">
        <v>5.85</v>
      </c>
    </row>
    <row r="57" spans="1:8" x14ac:dyDescent="0.2">
      <c r="A57" s="24"/>
      <c r="B57" s="24"/>
      <c r="C57" s="25" t="s">
        <v>11</v>
      </c>
      <c r="D57" s="24"/>
      <c r="E57" s="24" t="s">
        <v>12</v>
      </c>
      <c r="F57" s="30">
        <v>723.19200000000001</v>
      </c>
      <c r="G57" s="27">
        <v>1.9671549999999999E-2</v>
      </c>
      <c r="H57" s="23" t="s">
        <v>12</v>
      </c>
    </row>
    <row r="58" spans="1:8" x14ac:dyDescent="0.2">
      <c r="A58" s="24"/>
      <c r="B58" s="24"/>
      <c r="C58" s="28"/>
      <c r="D58" s="24"/>
      <c r="E58" s="24"/>
      <c r="F58" s="29"/>
      <c r="G58" s="29"/>
      <c r="H58" s="23" t="s">
        <v>12</v>
      </c>
    </row>
    <row r="59" spans="1:8" x14ac:dyDescent="0.2">
      <c r="A59" s="24"/>
      <c r="B59" s="24"/>
      <c r="C59" s="25" t="s">
        <v>98</v>
      </c>
      <c r="D59" s="24"/>
      <c r="E59" s="24"/>
      <c r="F59" s="29"/>
      <c r="G59" s="29"/>
      <c r="H59" s="23" t="s">
        <v>12</v>
      </c>
    </row>
    <row r="60" spans="1:8" x14ac:dyDescent="0.2">
      <c r="A60" s="24"/>
      <c r="B60" s="24"/>
      <c r="C60" s="25" t="s">
        <v>11</v>
      </c>
      <c r="D60" s="24"/>
      <c r="E60" s="24" t="s">
        <v>12</v>
      </c>
      <c r="F60" s="26" t="s">
        <v>13</v>
      </c>
      <c r="G60" s="27">
        <v>0</v>
      </c>
      <c r="H60" s="23" t="s">
        <v>12</v>
      </c>
    </row>
    <row r="61" spans="1:8" x14ac:dyDescent="0.2">
      <c r="A61" s="24"/>
      <c r="B61" s="24"/>
      <c r="C61" s="28"/>
      <c r="D61" s="24"/>
      <c r="E61" s="24"/>
      <c r="F61" s="29"/>
      <c r="G61" s="29"/>
      <c r="H61" s="23" t="s">
        <v>12</v>
      </c>
    </row>
    <row r="62" spans="1:8" x14ac:dyDescent="0.2">
      <c r="A62" s="24"/>
      <c r="B62" s="24"/>
      <c r="C62" s="25" t="s">
        <v>99</v>
      </c>
      <c r="D62" s="24"/>
      <c r="E62" s="24"/>
      <c r="F62" s="30">
        <v>19784.570350000002</v>
      </c>
      <c r="G62" s="27">
        <v>0.53816025999999995</v>
      </c>
      <c r="H62" s="23" t="s">
        <v>12</v>
      </c>
    </row>
    <row r="63" spans="1:8" x14ac:dyDescent="0.2">
      <c r="A63" s="24"/>
      <c r="B63" s="24"/>
      <c r="C63" s="28"/>
      <c r="D63" s="24"/>
      <c r="E63" s="24"/>
      <c r="F63" s="29"/>
      <c r="G63" s="29"/>
      <c r="H63" s="23" t="s">
        <v>12</v>
      </c>
    </row>
    <row r="64" spans="1:8" x14ac:dyDescent="0.2">
      <c r="A64" s="24"/>
      <c r="B64" s="24"/>
      <c r="C64" s="25" t="s">
        <v>100</v>
      </c>
      <c r="D64" s="24"/>
      <c r="E64" s="24"/>
      <c r="F64" s="29"/>
      <c r="G64" s="29"/>
      <c r="H64" s="23" t="s">
        <v>12</v>
      </c>
    </row>
    <row r="65" spans="1:8" x14ac:dyDescent="0.2">
      <c r="A65" s="24"/>
      <c r="B65" s="24"/>
      <c r="C65" s="25" t="s">
        <v>101</v>
      </c>
      <c r="D65" s="24"/>
      <c r="E65" s="24"/>
      <c r="F65" s="29"/>
      <c r="G65" s="29"/>
      <c r="H65" s="23" t="s">
        <v>12</v>
      </c>
    </row>
    <row r="66" spans="1:8" x14ac:dyDescent="0.2">
      <c r="A66" s="31">
        <v>1</v>
      </c>
      <c r="B66" s="32" t="s">
        <v>185</v>
      </c>
      <c r="C66" s="32" t="s">
        <v>186</v>
      </c>
      <c r="D66" s="32" t="s">
        <v>110</v>
      </c>
      <c r="E66" s="33">
        <v>500</v>
      </c>
      <c r="F66" s="34">
        <v>2394.0974999999999</v>
      </c>
      <c r="G66" s="35">
        <v>6.5121869999999998E-2</v>
      </c>
      <c r="H66" s="23">
        <v>6.21</v>
      </c>
    </row>
    <row r="67" spans="1:8" x14ac:dyDescent="0.2">
      <c r="A67" s="31">
        <v>2</v>
      </c>
      <c r="B67" s="32" t="s">
        <v>102</v>
      </c>
      <c r="C67" s="32" t="s">
        <v>103</v>
      </c>
      <c r="D67" s="32" t="s">
        <v>104</v>
      </c>
      <c r="E67" s="33">
        <v>400</v>
      </c>
      <c r="F67" s="34">
        <v>1946.56</v>
      </c>
      <c r="G67" s="35">
        <v>5.2948389999999998E-2</v>
      </c>
      <c r="H67" s="23">
        <v>6.11</v>
      </c>
    </row>
    <row r="68" spans="1:8" x14ac:dyDescent="0.2">
      <c r="A68" s="31">
        <v>3</v>
      </c>
      <c r="B68" s="32" t="s">
        <v>314</v>
      </c>
      <c r="C68" s="32" t="s">
        <v>315</v>
      </c>
      <c r="D68" s="32" t="s">
        <v>110</v>
      </c>
      <c r="E68" s="33">
        <v>400</v>
      </c>
      <c r="F68" s="34">
        <v>1889.0640000000001</v>
      </c>
      <c r="G68" s="35">
        <v>5.1384449999999998E-2</v>
      </c>
      <c r="H68" s="23">
        <v>6.5350000000000001</v>
      </c>
    </row>
    <row r="69" spans="1:8" x14ac:dyDescent="0.2">
      <c r="A69" s="31">
        <v>4</v>
      </c>
      <c r="B69" s="32" t="s">
        <v>108</v>
      </c>
      <c r="C69" s="32" t="s">
        <v>109</v>
      </c>
      <c r="D69" s="32" t="s">
        <v>110</v>
      </c>
      <c r="E69" s="33">
        <v>300</v>
      </c>
      <c r="F69" s="34">
        <v>1461.921</v>
      </c>
      <c r="G69" s="35">
        <v>3.9765729999999999E-2</v>
      </c>
      <c r="H69" s="23">
        <v>6.0944000000000003</v>
      </c>
    </row>
    <row r="70" spans="1:8" x14ac:dyDescent="0.2">
      <c r="A70" s="31">
        <v>5</v>
      </c>
      <c r="B70" s="32" t="s">
        <v>316</v>
      </c>
      <c r="C70" s="32" t="s">
        <v>317</v>
      </c>
      <c r="D70" s="32" t="s">
        <v>110</v>
      </c>
      <c r="E70" s="33">
        <v>200</v>
      </c>
      <c r="F70" s="34">
        <v>963.89200000000005</v>
      </c>
      <c r="G70" s="35">
        <v>2.6218829999999999E-2</v>
      </c>
      <c r="H70" s="23">
        <v>6.2150999999999996</v>
      </c>
    </row>
    <row r="71" spans="1:8" x14ac:dyDescent="0.2">
      <c r="A71" s="31">
        <v>6</v>
      </c>
      <c r="B71" s="32" t="s">
        <v>197</v>
      </c>
      <c r="C71" s="32" t="s">
        <v>198</v>
      </c>
      <c r="D71" s="32" t="s">
        <v>110</v>
      </c>
      <c r="E71" s="33">
        <v>200</v>
      </c>
      <c r="F71" s="34">
        <v>960.55200000000002</v>
      </c>
      <c r="G71" s="35">
        <v>2.6127979999999999E-2</v>
      </c>
      <c r="H71" s="23">
        <v>6.22</v>
      </c>
    </row>
    <row r="72" spans="1:8" x14ac:dyDescent="0.2">
      <c r="A72" s="31">
        <v>7</v>
      </c>
      <c r="B72" s="32" t="s">
        <v>199</v>
      </c>
      <c r="C72" s="32" t="s">
        <v>200</v>
      </c>
      <c r="D72" s="32" t="s">
        <v>110</v>
      </c>
      <c r="E72" s="33">
        <v>200</v>
      </c>
      <c r="F72" s="34">
        <v>960.36800000000005</v>
      </c>
      <c r="G72" s="35">
        <v>2.6122980000000001E-2</v>
      </c>
      <c r="H72" s="23">
        <v>6.25</v>
      </c>
    </row>
    <row r="73" spans="1:8" x14ac:dyDescent="0.2">
      <c r="A73" s="31">
        <v>8</v>
      </c>
      <c r="B73" s="32" t="s">
        <v>318</v>
      </c>
      <c r="C73" s="32" t="s">
        <v>319</v>
      </c>
      <c r="D73" s="32" t="s">
        <v>110</v>
      </c>
      <c r="E73" s="33">
        <v>200</v>
      </c>
      <c r="F73" s="34">
        <v>958.29100000000005</v>
      </c>
      <c r="G73" s="35">
        <v>2.606648E-2</v>
      </c>
      <c r="H73" s="23">
        <v>6.23</v>
      </c>
    </row>
    <row r="74" spans="1:8" x14ac:dyDescent="0.2">
      <c r="A74" s="31">
        <v>9</v>
      </c>
      <c r="B74" s="32" t="s">
        <v>176</v>
      </c>
      <c r="C74" s="32" t="s">
        <v>177</v>
      </c>
      <c r="D74" s="32" t="s">
        <v>110</v>
      </c>
      <c r="E74" s="33">
        <v>200</v>
      </c>
      <c r="F74" s="34">
        <v>957.59</v>
      </c>
      <c r="G74" s="35">
        <v>2.604741E-2</v>
      </c>
      <c r="H74" s="23">
        <v>6.17</v>
      </c>
    </row>
    <row r="75" spans="1:8" x14ac:dyDescent="0.2">
      <c r="A75" s="31">
        <v>10</v>
      </c>
      <c r="B75" s="32" t="s">
        <v>241</v>
      </c>
      <c r="C75" s="32" t="s">
        <v>242</v>
      </c>
      <c r="D75" s="32" t="s">
        <v>110</v>
      </c>
      <c r="E75" s="33">
        <v>100</v>
      </c>
      <c r="F75" s="34">
        <v>478.20650000000001</v>
      </c>
      <c r="G75" s="35">
        <v>1.3007700000000001E-2</v>
      </c>
      <c r="H75" s="23">
        <v>6.23</v>
      </c>
    </row>
    <row r="76" spans="1:8" x14ac:dyDescent="0.2">
      <c r="A76" s="24"/>
      <c r="B76" s="24"/>
      <c r="C76" s="25" t="s">
        <v>11</v>
      </c>
      <c r="D76" s="24"/>
      <c r="E76" s="24" t="s">
        <v>12</v>
      </c>
      <c r="F76" s="30">
        <v>12970.541999999999</v>
      </c>
      <c r="G76" s="27">
        <v>0.35281182</v>
      </c>
      <c r="H76" s="23" t="s">
        <v>12</v>
      </c>
    </row>
    <row r="77" spans="1:8" x14ac:dyDescent="0.2">
      <c r="A77" s="24"/>
      <c r="B77" s="24"/>
      <c r="C77" s="28"/>
      <c r="D77" s="24"/>
      <c r="E77" s="24"/>
      <c r="F77" s="29"/>
      <c r="G77" s="29"/>
      <c r="H77" s="23" t="s">
        <v>12</v>
      </c>
    </row>
    <row r="78" spans="1:8" x14ac:dyDescent="0.2">
      <c r="A78" s="24"/>
      <c r="B78" s="24"/>
      <c r="C78" s="25" t="s">
        <v>111</v>
      </c>
      <c r="D78" s="24"/>
      <c r="E78" s="24"/>
      <c r="F78" s="29"/>
      <c r="G78" s="29"/>
      <c r="H78" s="23" t="s">
        <v>12</v>
      </c>
    </row>
    <row r="79" spans="1:8" x14ac:dyDescent="0.2">
      <c r="A79" s="24"/>
      <c r="B79" s="24"/>
      <c r="C79" s="25" t="s">
        <v>11</v>
      </c>
      <c r="D79" s="24"/>
      <c r="E79" s="24" t="s">
        <v>12</v>
      </c>
      <c r="F79" s="26" t="s">
        <v>13</v>
      </c>
      <c r="G79" s="27">
        <v>0</v>
      </c>
      <c r="H79" s="23" t="s">
        <v>12</v>
      </c>
    </row>
    <row r="80" spans="1:8" x14ac:dyDescent="0.2">
      <c r="A80" s="24"/>
      <c r="B80" s="24"/>
      <c r="C80" s="28"/>
      <c r="D80" s="24"/>
      <c r="E80" s="24"/>
      <c r="F80" s="29"/>
      <c r="G80" s="29"/>
      <c r="H80" s="23" t="s">
        <v>12</v>
      </c>
    </row>
    <row r="81" spans="1:17" x14ac:dyDescent="0.2">
      <c r="A81" s="24"/>
      <c r="B81" s="24"/>
      <c r="C81" s="25" t="s">
        <v>112</v>
      </c>
      <c r="D81" s="24"/>
      <c r="E81" s="24"/>
      <c r="F81" s="29"/>
      <c r="G81" s="29"/>
      <c r="H81" s="23" t="s">
        <v>12</v>
      </c>
    </row>
    <row r="82" spans="1:17" x14ac:dyDescent="0.2">
      <c r="A82" s="24"/>
      <c r="B82" s="24"/>
      <c r="C82" s="25" t="s">
        <v>11</v>
      </c>
      <c r="D82" s="24"/>
      <c r="E82" s="24" t="s">
        <v>12</v>
      </c>
      <c r="F82" s="26" t="s">
        <v>13</v>
      </c>
      <c r="G82" s="27">
        <v>0</v>
      </c>
      <c r="H82" s="23" t="s">
        <v>12</v>
      </c>
    </row>
    <row r="83" spans="1:17" x14ac:dyDescent="0.2">
      <c r="A83" s="24"/>
      <c r="B83" s="24"/>
      <c r="C83" s="28"/>
      <c r="D83" s="24"/>
      <c r="E83" s="24"/>
      <c r="F83" s="29"/>
      <c r="G83" s="29"/>
      <c r="H83" s="23" t="s">
        <v>12</v>
      </c>
    </row>
    <row r="84" spans="1:17" x14ac:dyDescent="0.2">
      <c r="A84" s="24"/>
      <c r="B84" s="24"/>
      <c r="C84" s="25" t="s">
        <v>113</v>
      </c>
      <c r="D84" s="24"/>
      <c r="E84" s="24"/>
      <c r="F84" s="29"/>
      <c r="G84" s="29"/>
      <c r="H84" s="23" t="s">
        <v>12</v>
      </c>
    </row>
    <row r="85" spans="1:17" x14ac:dyDescent="0.2">
      <c r="A85" s="31">
        <v>1</v>
      </c>
      <c r="B85" s="32"/>
      <c r="C85" s="32" t="s">
        <v>114</v>
      </c>
      <c r="D85" s="32"/>
      <c r="E85" s="36"/>
      <c r="F85" s="34">
        <v>3340.8284050110001</v>
      </c>
      <c r="G85" s="35">
        <v>9.0873899999999994E-2</v>
      </c>
      <c r="H85" s="23">
        <v>5.47</v>
      </c>
    </row>
    <row r="86" spans="1:17" x14ac:dyDescent="0.2">
      <c r="A86" s="24"/>
      <c r="B86" s="24"/>
      <c r="C86" s="25" t="s">
        <v>11</v>
      </c>
      <c r="D86" s="24"/>
      <c r="E86" s="24" t="s">
        <v>12</v>
      </c>
      <c r="F86" s="30">
        <v>3340.8284050110001</v>
      </c>
      <c r="G86" s="27">
        <v>9.0873899999999994E-2</v>
      </c>
      <c r="H86" s="23" t="s">
        <v>12</v>
      </c>
    </row>
    <row r="87" spans="1:17" x14ac:dyDescent="0.2">
      <c r="A87" s="24"/>
      <c r="B87" s="24"/>
      <c r="C87" s="28"/>
      <c r="D87" s="24"/>
      <c r="E87" s="24"/>
      <c r="F87" s="29"/>
      <c r="G87" s="29"/>
      <c r="H87" s="23" t="s">
        <v>12</v>
      </c>
    </row>
    <row r="88" spans="1:17" x14ac:dyDescent="0.2">
      <c r="A88" s="24"/>
      <c r="B88" s="24"/>
      <c r="C88" s="25" t="s">
        <v>115</v>
      </c>
      <c r="D88" s="24"/>
      <c r="E88" s="24"/>
      <c r="F88" s="30">
        <v>16311.370405010999</v>
      </c>
      <c r="G88" s="27">
        <v>0.44368572000000001</v>
      </c>
      <c r="H88" s="23" t="s">
        <v>12</v>
      </c>
    </row>
    <row r="89" spans="1:17" x14ac:dyDescent="0.2">
      <c r="A89" s="24"/>
      <c r="B89" s="24"/>
      <c r="C89" s="29"/>
      <c r="D89" s="24"/>
      <c r="E89" s="24"/>
      <c r="F89" s="24"/>
      <c r="G89" s="24"/>
      <c r="H89" s="23" t="s">
        <v>12</v>
      </c>
    </row>
    <row r="90" spans="1:17" x14ac:dyDescent="0.2">
      <c r="A90" s="24"/>
      <c r="B90" s="24"/>
      <c r="C90" s="25" t="s">
        <v>116</v>
      </c>
      <c r="D90" s="24"/>
      <c r="E90" s="24"/>
      <c r="F90" s="24"/>
      <c r="G90" s="24"/>
      <c r="H90" s="23" t="s">
        <v>12</v>
      </c>
    </row>
    <row r="91" spans="1:17" x14ac:dyDescent="0.2">
      <c r="A91" s="24"/>
      <c r="B91" s="24"/>
      <c r="C91" s="25" t="s">
        <v>117</v>
      </c>
      <c r="D91" s="24"/>
      <c r="E91" s="24"/>
      <c r="F91" s="24"/>
      <c r="G91" s="24"/>
      <c r="H91" s="23" t="s">
        <v>12</v>
      </c>
    </row>
    <row r="92" spans="1:17" x14ac:dyDescent="0.2">
      <c r="A92" s="24"/>
      <c r="B92" s="24"/>
      <c r="C92" s="25" t="s">
        <v>11</v>
      </c>
      <c r="D92" s="24"/>
      <c r="E92" s="24" t="s">
        <v>12</v>
      </c>
      <c r="F92" s="26" t="s">
        <v>13</v>
      </c>
      <c r="G92" s="27">
        <v>0</v>
      </c>
      <c r="H92" s="23" t="s">
        <v>12</v>
      </c>
    </row>
    <row r="93" spans="1:17" x14ac:dyDescent="0.2">
      <c r="A93" s="21"/>
      <c r="B93" s="21"/>
      <c r="C93" s="99"/>
      <c r="D93" s="21"/>
      <c r="E93" s="21"/>
      <c r="F93" s="51"/>
      <c r="G93" s="51"/>
      <c r="H93" s="23" t="s">
        <v>12</v>
      </c>
    </row>
    <row r="94" spans="1:17" x14ac:dyDescent="0.2">
      <c r="A94" s="21"/>
      <c r="B94" s="21"/>
      <c r="C94" s="22" t="s">
        <v>618</v>
      </c>
      <c r="D94" s="21"/>
      <c r="E94" s="21"/>
      <c r="F94" s="51"/>
      <c r="G94" s="51"/>
      <c r="H94" s="23" t="s">
        <v>12</v>
      </c>
      <c r="K94" s="72"/>
      <c r="L94" s="72"/>
      <c r="M94" s="72"/>
      <c r="N94" s="72"/>
      <c r="O94" s="100"/>
      <c r="P94" s="100"/>
      <c r="Q94" s="100"/>
    </row>
    <row r="95" spans="1:17" x14ac:dyDescent="0.2">
      <c r="A95" s="93">
        <v>1</v>
      </c>
      <c r="B95" s="94" t="s">
        <v>118</v>
      </c>
      <c r="C95" s="94" t="s">
        <v>119</v>
      </c>
      <c r="D95" s="94"/>
      <c r="E95" s="101">
        <v>1043.4449999999999</v>
      </c>
      <c r="F95" s="96">
        <v>117.31932119699999</v>
      </c>
      <c r="G95" s="97">
        <v>3.1911999999999999E-3</v>
      </c>
      <c r="H95" s="23"/>
    </row>
    <row r="96" spans="1:17" x14ac:dyDescent="0.2">
      <c r="A96" s="21"/>
      <c r="B96" s="21"/>
      <c r="C96" s="22" t="s">
        <v>11</v>
      </c>
      <c r="D96" s="21"/>
      <c r="E96" s="21" t="s">
        <v>12</v>
      </c>
      <c r="F96" s="102">
        <f>SUM(F95)</f>
        <v>117.31932119699999</v>
      </c>
      <c r="G96" s="103">
        <f>SUM(G95)</f>
        <v>3.1911999999999999E-3</v>
      </c>
      <c r="H96" s="23" t="s">
        <v>12</v>
      </c>
    </row>
    <row r="97" spans="1:8" x14ac:dyDescent="0.2">
      <c r="A97" s="24"/>
      <c r="B97" s="24"/>
      <c r="C97" s="28"/>
      <c r="D97" s="24"/>
      <c r="E97" s="24"/>
      <c r="F97" s="29"/>
      <c r="G97" s="29"/>
      <c r="H97" s="23" t="s">
        <v>12</v>
      </c>
    </row>
    <row r="98" spans="1:8" x14ac:dyDescent="0.2">
      <c r="A98" s="24"/>
      <c r="B98" s="24"/>
      <c r="C98" s="25" t="s">
        <v>120</v>
      </c>
      <c r="D98" s="24"/>
      <c r="E98" s="24"/>
      <c r="F98" s="24"/>
      <c r="G98" s="24"/>
      <c r="H98" s="23" t="s">
        <v>12</v>
      </c>
    </row>
    <row r="99" spans="1:8" x14ac:dyDescent="0.2">
      <c r="A99" s="24"/>
      <c r="B99" s="24"/>
      <c r="C99" s="25" t="s">
        <v>121</v>
      </c>
      <c r="D99" s="24"/>
      <c r="E99" s="24"/>
      <c r="F99" s="24"/>
      <c r="G99" s="24"/>
      <c r="H99" s="23" t="s">
        <v>12</v>
      </c>
    </row>
    <row r="100" spans="1:8" x14ac:dyDescent="0.2">
      <c r="A100" s="24"/>
      <c r="B100" s="24"/>
      <c r="C100" s="25" t="s">
        <v>11</v>
      </c>
      <c r="D100" s="24"/>
      <c r="E100" s="24" t="s">
        <v>12</v>
      </c>
      <c r="F100" s="26" t="s">
        <v>13</v>
      </c>
      <c r="G100" s="27">
        <v>0</v>
      </c>
      <c r="H100" s="23" t="s">
        <v>12</v>
      </c>
    </row>
    <row r="101" spans="1:8" x14ac:dyDescent="0.2">
      <c r="A101" s="24"/>
      <c r="B101" s="24"/>
      <c r="C101" s="28"/>
      <c r="D101" s="24"/>
      <c r="E101" s="24"/>
      <c r="F101" s="29"/>
      <c r="G101" s="29"/>
      <c r="H101" s="23" t="s">
        <v>12</v>
      </c>
    </row>
    <row r="102" spans="1:8" x14ac:dyDescent="0.2">
      <c r="A102" s="24"/>
      <c r="B102" s="24"/>
      <c r="C102" s="25" t="s">
        <v>122</v>
      </c>
      <c r="D102" s="24"/>
      <c r="E102" s="24"/>
      <c r="F102" s="29"/>
      <c r="G102" s="29"/>
      <c r="H102" s="23" t="s">
        <v>12</v>
      </c>
    </row>
    <row r="103" spans="1:8" x14ac:dyDescent="0.2">
      <c r="A103" s="24"/>
      <c r="B103" s="24"/>
      <c r="C103" s="25" t="s">
        <v>11</v>
      </c>
      <c r="D103" s="24"/>
      <c r="E103" s="24" t="s">
        <v>12</v>
      </c>
      <c r="F103" s="26" t="s">
        <v>13</v>
      </c>
      <c r="G103" s="27">
        <v>0</v>
      </c>
      <c r="H103" s="23" t="s">
        <v>12</v>
      </c>
    </row>
    <row r="104" spans="1:8" x14ac:dyDescent="0.2">
      <c r="A104" s="24"/>
      <c r="B104" s="32"/>
      <c r="C104" s="32"/>
      <c r="D104" s="25"/>
      <c r="E104" s="24"/>
      <c r="F104" s="32"/>
      <c r="G104" s="36"/>
      <c r="H104" s="23" t="s">
        <v>12</v>
      </c>
    </row>
    <row r="105" spans="1:8" x14ac:dyDescent="0.2">
      <c r="A105" s="36"/>
      <c r="B105" s="32"/>
      <c r="C105" s="32" t="s">
        <v>123</v>
      </c>
      <c r="D105" s="32"/>
      <c r="E105" s="36"/>
      <c r="F105" s="34">
        <f>550.08315817-F25-0.00432767799854279</f>
        <v>550.06883049200155</v>
      </c>
      <c r="G105" s="35">
        <f>F105/F106</f>
        <v>1.4962428518475868E-2</v>
      </c>
      <c r="H105" s="23" t="s">
        <v>12</v>
      </c>
    </row>
    <row r="106" spans="1:8" x14ac:dyDescent="0.2">
      <c r="A106" s="28"/>
      <c r="B106" s="28"/>
      <c r="C106" s="25" t="s">
        <v>124</v>
      </c>
      <c r="D106" s="29"/>
      <c r="E106" s="29"/>
      <c r="F106" s="30">
        <f>36763.343234378-0.00432767799854279</f>
        <v>36763.338906700003</v>
      </c>
      <c r="G106" s="37">
        <v>1</v>
      </c>
      <c r="H106" s="23" t="s">
        <v>12</v>
      </c>
    </row>
    <row r="107" spans="1:8" x14ac:dyDescent="0.2">
      <c r="A107" s="38"/>
      <c r="B107" s="38"/>
      <c r="C107" s="38"/>
      <c r="D107" s="39"/>
      <c r="E107" s="39"/>
      <c r="F107" s="39"/>
      <c r="G107" s="39"/>
    </row>
    <row r="108" spans="1:8" x14ac:dyDescent="0.2">
      <c r="A108" s="40"/>
      <c r="B108" s="41" t="s">
        <v>614</v>
      </c>
      <c r="C108" s="41"/>
      <c r="D108" s="41"/>
      <c r="E108" s="41"/>
      <c r="F108" s="41"/>
      <c r="G108" s="41"/>
      <c r="H108" s="41"/>
    </row>
    <row r="109" spans="1:8" x14ac:dyDescent="0.2">
      <c r="A109" s="40"/>
      <c r="B109" s="41" t="s">
        <v>615</v>
      </c>
      <c r="C109" s="41"/>
      <c r="D109" s="41"/>
      <c r="E109" s="41"/>
      <c r="F109" s="41"/>
      <c r="G109" s="41"/>
      <c r="H109" s="41"/>
    </row>
    <row r="110" spans="1:8" x14ac:dyDescent="0.2">
      <c r="A110" s="40"/>
      <c r="B110" s="41" t="s">
        <v>616</v>
      </c>
      <c r="C110" s="41"/>
      <c r="D110" s="41"/>
      <c r="E110" s="41"/>
      <c r="F110" s="41"/>
      <c r="G110" s="41"/>
      <c r="H110" s="41"/>
    </row>
    <row r="111" spans="1:8" x14ac:dyDescent="0.2">
      <c r="A111" s="42"/>
      <c r="B111" s="42"/>
      <c r="C111" s="42"/>
      <c r="D111" s="43"/>
      <c r="E111" s="43"/>
      <c r="F111" s="43"/>
      <c r="G111" s="43"/>
    </row>
    <row r="112" spans="1:8" x14ac:dyDescent="0.2">
      <c r="A112" s="40"/>
      <c r="B112" s="44" t="s">
        <v>125</v>
      </c>
      <c r="C112" s="45"/>
      <c r="D112" s="46"/>
      <c r="E112" s="47"/>
      <c r="F112" s="48"/>
      <c r="G112" s="48"/>
    </row>
    <row r="113" spans="1:7" x14ac:dyDescent="0.2">
      <c r="A113" s="40"/>
      <c r="B113" s="49" t="s">
        <v>126</v>
      </c>
      <c r="C113" s="50"/>
      <c r="D113" s="22" t="s">
        <v>642</v>
      </c>
      <c r="E113" s="47"/>
      <c r="F113" s="48"/>
      <c r="G113" s="48"/>
    </row>
    <row r="114" spans="1:7" x14ac:dyDescent="0.2">
      <c r="A114" s="40"/>
      <c r="B114" s="49" t="s">
        <v>128</v>
      </c>
      <c r="C114" s="50"/>
      <c r="D114" s="22" t="s">
        <v>127</v>
      </c>
      <c r="E114" s="47"/>
      <c r="F114" s="48"/>
      <c r="G114" s="48"/>
    </row>
    <row r="115" spans="1:7" x14ac:dyDescent="0.2">
      <c r="A115" s="40"/>
      <c r="B115" s="49" t="s">
        <v>129</v>
      </c>
      <c r="C115" s="50"/>
      <c r="D115" s="51" t="s">
        <v>12</v>
      </c>
      <c r="E115" s="47"/>
      <c r="F115" s="48"/>
      <c r="G115" s="48"/>
    </row>
    <row r="116" spans="1:7" x14ac:dyDescent="0.2">
      <c r="A116" s="52"/>
      <c r="B116" s="53" t="s">
        <v>12</v>
      </c>
      <c r="C116" s="53" t="s">
        <v>617</v>
      </c>
      <c r="D116" s="53" t="s">
        <v>130</v>
      </c>
      <c r="E116" s="52"/>
      <c r="F116" s="52"/>
      <c r="G116" s="52"/>
    </row>
    <row r="117" spans="1:7" x14ac:dyDescent="0.2">
      <c r="A117" s="52"/>
      <c r="B117" s="54" t="s">
        <v>131</v>
      </c>
      <c r="C117" s="55">
        <v>45823</v>
      </c>
      <c r="D117" s="55">
        <v>45838</v>
      </c>
      <c r="E117" s="52"/>
      <c r="F117" s="52"/>
      <c r="G117" s="52"/>
    </row>
    <row r="118" spans="1:7" x14ac:dyDescent="0.2">
      <c r="A118" s="56"/>
      <c r="B118" s="32" t="s">
        <v>132</v>
      </c>
      <c r="C118" s="57">
        <v>3705.9865</v>
      </c>
      <c r="D118" s="57">
        <v>3716.6248000000001</v>
      </c>
      <c r="E118" s="56"/>
      <c r="F118" s="58"/>
      <c r="G118" s="59"/>
    </row>
    <row r="119" spans="1:7" ht="25.5" x14ac:dyDescent="0.2">
      <c r="A119" s="56"/>
      <c r="B119" s="32" t="s">
        <v>743</v>
      </c>
      <c r="C119" s="57">
        <v>1109.3641</v>
      </c>
      <c r="D119" s="57">
        <v>1106.1357</v>
      </c>
      <c r="E119" s="56"/>
      <c r="F119" s="58"/>
      <c r="G119" s="59"/>
    </row>
    <row r="120" spans="1:7" ht="25.5" x14ac:dyDescent="0.2">
      <c r="A120" s="56"/>
      <c r="B120" s="32" t="s">
        <v>744</v>
      </c>
      <c r="C120" s="57">
        <v>1252.2702999999999</v>
      </c>
      <c r="D120" s="36"/>
      <c r="E120" s="56"/>
      <c r="F120" s="58"/>
      <c r="G120" s="59"/>
    </row>
    <row r="121" spans="1:7" x14ac:dyDescent="0.2">
      <c r="A121" s="56"/>
      <c r="B121" s="32" t="s">
        <v>133</v>
      </c>
      <c r="C121" s="57">
        <v>3457.4897000000001</v>
      </c>
      <c r="D121" s="57">
        <v>3466.3467000000001</v>
      </c>
      <c r="E121" s="56"/>
      <c r="F121" s="58"/>
      <c r="G121" s="59"/>
    </row>
    <row r="122" spans="1:7" x14ac:dyDescent="0.2">
      <c r="A122" s="56"/>
      <c r="B122" s="32" t="s">
        <v>179</v>
      </c>
      <c r="C122" s="57">
        <v>1338.9863</v>
      </c>
      <c r="D122" s="36"/>
      <c r="E122" s="56"/>
      <c r="F122" s="58"/>
      <c r="G122" s="59"/>
    </row>
    <row r="123" spans="1:7" ht="25.5" x14ac:dyDescent="0.2">
      <c r="A123" s="56"/>
      <c r="B123" s="32" t="s">
        <v>747</v>
      </c>
      <c r="C123" s="57">
        <v>1096.7434000000001</v>
      </c>
      <c r="D123" s="57">
        <v>1093.2005999999999</v>
      </c>
      <c r="E123" s="56"/>
      <c r="F123" s="58"/>
      <c r="G123" s="59"/>
    </row>
    <row r="124" spans="1:7" ht="25.5" x14ac:dyDescent="0.2">
      <c r="A124" s="56"/>
      <c r="B124" s="32" t="s">
        <v>719</v>
      </c>
      <c r="C124" s="57">
        <v>1207.6932999999999</v>
      </c>
      <c r="D124" s="36"/>
      <c r="E124" s="56"/>
      <c r="F124" s="58"/>
      <c r="G124" s="59"/>
    </row>
    <row r="125" spans="1:7" x14ac:dyDescent="0.2">
      <c r="A125" s="56"/>
      <c r="B125" s="56"/>
      <c r="C125" s="56"/>
      <c r="D125" s="56"/>
      <c r="E125" s="56"/>
      <c r="F125" s="56"/>
      <c r="G125" s="56"/>
    </row>
    <row r="126" spans="1:7" x14ac:dyDescent="0.2">
      <c r="A126" s="56"/>
      <c r="B126" s="60" t="s">
        <v>739</v>
      </c>
      <c r="C126" s="61"/>
      <c r="D126" s="25" t="s">
        <v>12</v>
      </c>
      <c r="E126" s="56"/>
      <c r="F126" s="56"/>
      <c r="G126" s="56"/>
    </row>
    <row r="127" spans="1:7" x14ac:dyDescent="0.2">
      <c r="A127" s="56"/>
      <c r="B127" s="62" t="s">
        <v>131</v>
      </c>
      <c r="C127" s="63" t="s">
        <v>134</v>
      </c>
      <c r="D127" s="63" t="s">
        <v>135</v>
      </c>
      <c r="E127" s="56"/>
      <c r="F127" s="56"/>
      <c r="G127" s="56"/>
    </row>
    <row r="128" spans="1:7" ht="25.5" x14ac:dyDescent="0.2">
      <c r="A128" s="56"/>
      <c r="B128" s="32" t="s">
        <v>743</v>
      </c>
      <c r="C128" s="64">
        <v>6.4</v>
      </c>
      <c r="D128" s="64">
        <v>6.4</v>
      </c>
      <c r="E128" s="56"/>
      <c r="F128" s="58"/>
      <c r="G128" s="59"/>
    </row>
    <row r="129" spans="1:17" ht="25.5" x14ac:dyDescent="0.2">
      <c r="A129" s="56"/>
      <c r="B129" s="32" t="s">
        <v>744</v>
      </c>
      <c r="C129" s="64">
        <v>21.8</v>
      </c>
      <c r="D129" s="64">
        <v>21.8</v>
      </c>
      <c r="E129" s="56"/>
      <c r="F129" s="58"/>
      <c r="G129" s="59"/>
    </row>
    <row r="130" spans="1:17" ht="25.5" x14ac:dyDescent="0.2">
      <c r="A130" s="56"/>
      <c r="B130" s="32" t="s">
        <v>747</v>
      </c>
      <c r="C130" s="64">
        <v>6.3410000000000002</v>
      </c>
      <c r="D130" s="64">
        <v>6.3410000000000002</v>
      </c>
      <c r="E130" s="56"/>
      <c r="F130" s="58"/>
      <c r="G130" s="59"/>
    </row>
    <row r="131" spans="1:17" ht="25.5" x14ac:dyDescent="0.2">
      <c r="A131" s="56"/>
      <c r="B131" s="32" t="s">
        <v>719</v>
      </c>
      <c r="C131" s="64">
        <v>21.077000000000002</v>
      </c>
      <c r="D131" s="64">
        <v>21.077000000000002</v>
      </c>
      <c r="E131" s="56"/>
      <c r="F131" s="58"/>
      <c r="G131" s="59"/>
    </row>
    <row r="132" spans="1:17" x14ac:dyDescent="0.2">
      <c r="A132" s="56"/>
      <c r="B132" s="104"/>
      <c r="C132" s="104"/>
      <c r="D132" s="105"/>
      <c r="E132" s="56"/>
      <c r="F132" s="58"/>
      <c r="G132" s="59"/>
    </row>
    <row r="133" spans="1:17" s="74" customFormat="1" x14ac:dyDescent="0.2">
      <c r="A133" s="124"/>
      <c r="B133" s="49" t="s">
        <v>631</v>
      </c>
      <c r="C133" s="50"/>
      <c r="D133" s="22" t="s">
        <v>127</v>
      </c>
      <c r="G133" s="124"/>
      <c r="I133" s="17"/>
      <c r="J133" s="20"/>
      <c r="K133" s="72"/>
      <c r="L133" s="72"/>
      <c r="M133" s="72"/>
      <c r="N133" s="72"/>
      <c r="O133" s="78"/>
    </row>
    <row r="134" spans="1:17" x14ac:dyDescent="0.2">
      <c r="A134" s="52"/>
      <c r="B134" s="49" t="s">
        <v>632</v>
      </c>
      <c r="C134" s="50"/>
      <c r="D134" s="22" t="s">
        <v>127</v>
      </c>
      <c r="E134" s="71"/>
      <c r="F134" s="52"/>
      <c r="G134" s="52"/>
      <c r="J134" s="20"/>
    </row>
    <row r="135" spans="1:17" x14ac:dyDescent="0.2">
      <c r="A135" s="52"/>
      <c r="B135" s="49" t="s">
        <v>633</v>
      </c>
      <c r="C135" s="50"/>
      <c r="D135" s="22" t="s">
        <v>127</v>
      </c>
      <c r="E135" s="71"/>
      <c r="F135" s="52"/>
      <c r="G135" s="52"/>
      <c r="J135" s="20"/>
    </row>
    <row r="136" spans="1:17" x14ac:dyDescent="0.2">
      <c r="A136" s="52"/>
      <c r="B136" s="49" t="s">
        <v>634</v>
      </c>
      <c r="C136" s="50"/>
      <c r="D136" s="22" t="s">
        <v>127</v>
      </c>
      <c r="E136" s="71"/>
      <c r="F136" s="52"/>
      <c r="G136" s="52"/>
      <c r="J136" s="20"/>
    </row>
    <row r="137" spans="1:17" x14ac:dyDescent="0.2">
      <c r="A137" s="52"/>
      <c r="B137" s="125"/>
      <c r="C137" s="125"/>
      <c r="D137" s="236"/>
      <c r="E137" s="52"/>
      <c r="F137" s="52"/>
      <c r="G137" s="52"/>
      <c r="J137" s="20"/>
    </row>
    <row r="138" spans="1:17" s="74" customFormat="1" x14ac:dyDescent="0.2">
      <c r="B138" s="75" t="s">
        <v>620</v>
      </c>
      <c r="C138" s="76"/>
      <c r="D138" s="77"/>
      <c r="I138" s="17"/>
      <c r="J138" s="20"/>
      <c r="K138" s="72"/>
      <c r="L138" s="72"/>
      <c r="M138" s="72"/>
      <c r="N138" s="72"/>
      <c r="O138" s="78"/>
    </row>
    <row r="139" spans="1:17" s="74" customFormat="1" ht="25.5" x14ac:dyDescent="0.2">
      <c r="B139" s="79" t="s">
        <v>621</v>
      </c>
      <c r="C139" s="79"/>
      <c r="D139" s="80" t="s">
        <v>279</v>
      </c>
      <c r="I139" s="17"/>
      <c r="J139" s="20"/>
      <c r="K139" s="72"/>
      <c r="L139" s="72"/>
      <c r="M139" s="72"/>
      <c r="N139" s="72"/>
      <c r="O139" s="78"/>
    </row>
    <row r="140" spans="1:17" s="74" customFormat="1" x14ac:dyDescent="0.2">
      <c r="B140" s="66" t="s">
        <v>622</v>
      </c>
      <c r="C140" s="66"/>
      <c r="D140" s="81"/>
      <c r="I140" s="17"/>
      <c r="J140" s="20"/>
      <c r="K140" s="72"/>
      <c r="L140" s="72"/>
      <c r="M140" s="72"/>
      <c r="N140" s="72"/>
      <c r="O140" s="78"/>
    </row>
    <row r="141" spans="1:17" s="74" customFormat="1" x14ac:dyDescent="0.2">
      <c r="B141" s="66"/>
      <c r="C141" s="66"/>
      <c r="D141" s="82"/>
      <c r="I141" s="17"/>
      <c r="J141" s="20"/>
      <c r="K141" s="72"/>
      <c r="L141" s="72"/>
      <c r="M141" s="72"/>
      <c r="N141" s="72"/>
      <c r="O141" s="78"/>
    </row>
    <row r="142" spans="1:17" s="74" customFormat="1" x14ac:dyDescent="0.2">
      <c r="B142" s="66" t="s">
        <v>623</v>
      </c>
      <c r="C142" s="66"/>
      <c r="D142" s="83">
        <v>6.6353172115479682</v>
      </c>
      <c r="I142" s="17"/>
      <c r="J142" s="20"/>
      <c r="K142" s="72"/>
      <c r="L142" s="72"/>
      <c r="M142" s="72"/>
      <c r="N142" s="72"/>
      <c r="O142" s="78"/>
    </row>
    <row r="143" spans="1:17" s="74" customFormat="1" x14ac:dyDescent="0.2">
      <c r="B143" s="66"/>
      <c r="C143" s="66"/>
      <c r="D143" s="82"/>
      <c r="I143" s="17"/>
      <c r="J143" s="20"/>
      <c r="K143" s="72"/>
      <c r="L143" s="72"/>
      <c r="M143" s="72"/>
      <c r="N143" s="72"/>
      <c r="O143" s="78"/>
      <c r="P143" s="17"/>
      <c r="Q143" s="17"/>
    </row>
    <row r="144" spans="1:17" s="74" customFormat="1" x14ac:dyDescent="0.2">
      <c r="B144" s="66" t="s">
        <v>624</v>
      </c>
      <c r="C144" s="66"/>
      <c r="D144" s="83">
        <v>0.95708556301986869</v>
      </c>
      <c r="I144" s="17"/>
      <c r="J144" s="20"/>
      <c r="K144" s="72"/>
      <c r="L144" s="72"/>
      <c r="M144" s="72"/>
      <c r="N144" s="72"/>
      <c r="O144" s="78"/>
      <c r="P144" s="17"/>
      <c r="Q144" s="17"/>
    </row>
    <row r="145" spans="1:20" s="74" customFormat="1" x14ac:dyDescent="0.2">
      <c r="B145" s="66" t="s">
        <v>643</v>
      </c>
      <c r="C145" s="66"/>
      <c r="D145" s="83">
        <v>1.0117539662642547</v>
      </c>
      <c r="I145" s="17"/>
      <c r="J145" s="20"/>
      <c r="K145" s="72"/>
      <c r="L145" s="72"/>
      <c r="M145" s="72"/>
      <c r="N145" s="72"/>
      <c r="O145" s="17"/>
      <c r="P145" s="17"/>
      <c r="Q145" s="17"/>
    </row>
    <row r="146" spans="1:20" s="74" customFormat="1" x14ac:dyDescent="0.2">
      <c r="B146" s="66"/>
      <c r="C146" s="66"/>
      <c r="D146" s="82"/>
      <c r="I146" s="17"/>
      <c r="J146" s="20"/>
      <c r="K146" s="72"/>
      <c r="L146" s="72"/>
      <c r="M146" s="72"/>
      <c r="N146" s="72"/>
      <c r="O146" s="17"/>
      <c r="P146" s="17"/>
      <c r="Q146" s="17"/>
    </row>
    <row r="147" spans="1:20" s="74" customFormat="1" x14ac:dyDescent="0.2">
      <c r="B147" s="66" t="s">
        <v>626</v>
      </c>
      <c r="C147" s="66"/>
      <c r="D147" s="85" t="s">
        <v>750</v>
      </c>
      <c r="I147" s="17"/>
      <c r="J147" s="20"/>
      <c r="K147" s="72"/>
      <c r="L147" s="72"/>
      <c r="M147" s="72"/>
      <c r="N147" s="72"/>
      <c r="O147" s="78"/>
    </row>
    <row r="148" spans="1:20" s="74" customFormat="1" x14ac:dyDescent="0.2">
      <c r="B148" s="86" t="s">
        <v>627</v>
      </c>
      <c r="C148" s="87"/>
      <c r="D148" s="88"/>
      <c r="I148" s="17"/>
      <c r="J148" s="20"/>
      <c r="K148" s="72"/>
      <c r="L148" s="72"/>
      <c r="M148" s="72"/>
      <c r="N148" s="72"/>
      <c r="O148" s="17"/>
      <c r="P148" s="17"/>
      <c r="Q148" s="17"/>
      <c r="R148" s="17"/>
      <c r="S148" s="17"/>
      <c r="T148" s="17"/>
    </row>
    <row r="149" spans="1:20" x14ac:dyDescent="0.2">
      <c r="A149" s="73"/>
      <c r="B149" s="73"/>
      <c r="C149" s="73"/>
      <c r="D149" s="73"/>
      <c r="E149" s="73"/>
      <c r="F149" s="73"/>
      <c r="G149" s="73"/>
      <c r="J149" s="20"/>
    </row>
    <row r="150" spans="1:20" s="74" customFormat="1" x14ac:dyDescent="0.2">
      <c r="B150" s="176" t="s">
        <v>751</v>
      </c>
      <c r="C150" s="176"/>
      <c r="D150" s="176"/>
      <c r="E150" s="176"/>
      <c r="F150" s="176"/>
      <c r="G150" s="176"/>
      <c r="H150" s="176"/>
      <c r="I150" s="17"/>
      <c r="J150" s="20"/>
      <c r="K150" s="72"/>
      <c r="L150" s="72"/>
      <c r="M150" s="72"/>
      <c r="N150" s="72"/>
      <c r="O150" s="78"/>
    </row>
    <row r="151" spans="1:20" s="74" customFormat="1" ht="6.75" customHeight="1" x14ac:dyDescent="0.2">
      <c r="B151" s="176"/>
      <c r="C151" s="176"/>
      <c r="D151" s="176"/>
      <c r="E151" s="176"/>
      <c r="F151" s="176"/>
      <c r="G151" s="176"/>
      <c r="H151" s="176"/>
      <c r="I151" s="17"/>
      <c r="J151" s="20"/>
      <c r="K151" s="72"/>
      <c r="L151" s="72"/>
      <c r="M151" s="72"/>
      <c r="N151" s="72"/>
      <c r="O151" s="78"/>
    </row>
    <row r="152" spans="1:20" ht="13.5" x14ac:dyDescent="0.25">
      <c r="B152" s="211" t="s">
        <v>644</v>
      </c>
      <c r="C152" s="211" t="s">
        <v>645</v>
      </c>
      <c r="D152" s="237" t="s">
        <v>646</v>
      </c>
      <c r="E152" s="237"/>
      <c r="F152" s="237"/>
      <c r="G152" s="117" t="s">
        <v>647</v>
      </c>
      <c r="H152" s="117"/>
      <c r="J152" s="20"/>
      <c r="K152" s="72"/>
      <c r="L152" s="72"/>
      <c r="M152" s="72"/>
      <c r="N152" s="72"/>
      <c r="P152" s="72"/>
    </row>
    <row r="153" spans="1:20" ht="13.5" x14ac:dyDescent="0.25">
      <c r="B153" s="115" t="s">
        <v>648</v>
      </c>
      <c r="C153" s="113" t="s">
        <v>649</v>
      </c>
      <c r="D153" s="114">
        <v>0</v>
      </c>
      <c r="E153" s="114"/>
      <c r="F153" s="114"/>
      <c r="G153" s="114">
        <v>0</v>
      </c>
      <c r="H153" s="114"/>
      <c r="J153" s="20"/>
      <c r="K153" s="72"/>
      <c r="L153" s="72"/>
      <c r="M153" s="72"/>
      <c r="N153" s="72"/>
      <c r="P153" s="72"/>
    </row>
    <row r="154" spans="1:20" ht="13.5" x14ac:dyDescent="0.25">
      <c r="B154" s="115" t="s">
        <v>650</v>
      </c>
      <c r="C154" s="113" t="s">
        <v>651</v>
      </c>
      <c r="D154" s="114">
        <v>0</v>
      </c>
      <c r="E154" s="114"/>
      <c r="F154" s="114"/>
      <c r="G154" s="114">
        <v>0</v>
      </c>
      <c r="H154" s="114"/>
      <c r="J154" s="20"/>
      <c r="K154" s="72"/>
      <c r="L154" s="72"/>
      <c r="M154" s="72"/>
      <c r="N154" s="72"/>
      <c r="P154" s="72"/>
    </row>
    <row r="155" spans="1:20" ht="13.5" x14ac:dyDescent="0.25">
      <c r="B155" s="115" t="s">
        <v>652</v>
      </c>
      <c r="C155" s="113" t="s">
        <v>653</v>
      </c>
      <c r="D155" s="114">
        <v>0</v>
      </c>
      <c r="E155" s="114"/>
      <c r="F155" s="114"/>
      <c r="G155" s="114">
        <v>0</v>
      </c>
      <c r="H155" s="114"/>
      <c r="J155" s="20"/>
      <c r="K155" s="72"/>
      <c r="L155" s="72"/>
      <c r="M155" s="72"/>
      <c r="N155" s="72"/>
      <c r="P155" s="72"/>
    </row>
    <row r="156" spans="1:20" ht="13.5" x14ac:dyDescent="0.25">
      <c r="B156" s="115"/>
      <c r="C156" s="115"/>
      <c r="D156" s="116"/>
      <c r="E156" s="116"/>
      <c r="F156" s="116"/>
      <c r="G156" s="116"/>
      <c r="H156" s="116"/>
      <c r="J156" s="20"/>
      <c r="K156" s="72"/>
      <c r="L156" s="72"/>
      <c r="M156" s="72"/>
      <c r="N156" s="72"/>
      <c r="P156" s="72"/>
    </row>
    <row r="157" spans="1:20" ht="13.5" x14ac:dyDescent="0.25">
      <c r="B157" s="117" t="s">
        <v>654</v>
      </c>
      <c r="C157" s="117"/>
      <c r="D157" s="117"/>
      <c r="E157" s="117"/>
      <c r="F157" s="117"/>
      <c r="G157" s="117"/>
      <c r="H157" s="117"/>
      <c r="J157" s="20"/>
      <c r="K157" s="72"/>
      <c r="L157" s="72"/>
      <c r="M157" s="72"/>
      <c r="N157" s="72"/>
      <c r="P157" s="72"/>
    </row>
    <row r="158" spans="1:20" ht="13.5" customHeight="1" x14ac:dyDescent="0.2">
      <c r="B158" s="110" t="s">
        <v>644</v>
      </c>
      <c r="C158" s="110" t="s">
        <v>645</v>
      </c>
      <c r="D158" s="110" t="s">
        <v>655</v>
      </c>
      <c r="E158" s="110"/>
      <c r="F158" s="110"/>
      <c r="G158" s="110"/>
      <c r="H158" s="109" t="s">
        <v>656</v>
      </c>
      <c r="I158" s="109" t="s">
        <v>657</v>
      </c>
      <c r="J158" s="234" t="s">
        <v>658</v>
      </c>
      <c r="K158" s="72"/>
      <c r="L158" s="72"/>
      <c r="M158" s="72"/>
      <c r="N158" s="72"/>
      <c r="O158" s="72"/>
      <c r="P158" s="72"/>
    </row>
    <row r="159" spans="1:20" ht="94.5" customHeight="1" x14ac:dyDescent="0.2">
      <c r="B159" s="110"/>
      <c r="C159" s="110"/>
      <c r="D159" s="118" t="s">
        <v>659</v>
      </c>
      <c r="E159" s="118" t="s">
        <v>660</v>
      </c>
      <c r="F159" s="118" t="s">
        <v>661</v>
      </c>
      <c r="G159" s="118" t="s">
        <v>662</v>
      </c>
      <c r="H159" s="109"/>
      <c r="I159" s="109"/>
      <c r="J159" s="189"/>
      <c r="K159" s="72"/>
      <c r="L159" s="72"/>
      <c r="M159" s="72"/>
      <c r="N159" s="72"/>
      <c r="O159" s="72"/>
      <c r="P159" s="72"/>
    </row>
    <row r="160" spans="1:20" ht="13.5" x14ac:dyDescent="0.25">
      <c r="B160" s="115" t="s">
        <v>648</v>
      </c>
      <c r="C160" s="113" t="s">
        <v>649</v>
      </c>
      <c r="D160" s="119">
        <v>1500</v>
      </c>
      <c r="E160" s="119">
        <v>99.850684900000005</v>
      </c>
      <c r="F160" s="222">
        <v>36.275342200000004</v>
      </c>
      <c r="G160" s="223">
        <v>1636.1260271000001</v>
      </c>
      <c r="H160" s="8">
        <v>726.67232000000001</v>
      </c>
      <c r="I160" s="8">
        <f>1250521/10^5</f>
        <v>12.50521</v>
      </c>
      <c r="J160" s="8">
        <f>H160+I160</f>
        <v>739.17753000000005</v>
      </c>
      <c r="K160" s="72"/>
      <c r="L160" s="72"/>
      <c r="M160" s="72"/>
      <c r="N160" s="72"/>
      <c r="O160" s="72"/>
      <c r="P160" s="72"/>
    </row>
    <row r="161" spans="2:16" ht="13.5" x14ac:dyDescent="0.25">
      <c r="B161" s="115" t="s">
        <v>650</v>
      </c>
      <c r="C161" s="113" t="s">
        <v>651</v>
      </c>
      <c r="D161" s="119">
        <v>2517.2199999999998</v>
      </c>
      <c r="E161" s="119">
        <v>183.25361600000002</v>
      </c>
      <c r="F161" s="222">
        <v>45.813405699999997</v>
      </c>
      <c r="G161" s="223">
        <v>2746.2870217</v>
      </c>
      <c r="H161" s="8">
        <v>1225.53333</v>
      </c>
      <c r="I161" s="8">
        <f>2109013/10^5</f>
        <v>21.090129999999998</v>
      </c>
      <c r="J161" s="8">
        <f>H161+I161</f>
        <v>1246.62346</v>
      </c>
      <c r="K161" s="72"/>
      <c r="L161" s="72"/>
      <c r="M161" s="72"/>
      <c r="N161" s="72"/>
      <c r="O161" s="72"/>
      <c r="P161" s="72"/>
    </row>
    <row r="162" spans="2:16" ht="13.5" x14ac:dyDescent="0.25">
      <c r="B162" s="115" t="s">
        <v>652</v>
      </c>
      <c r="C162" s="113" t="s">
        <v>653</v>
      </c>
      <c r="D162" s="119">
        <v>4882.25</v>
      </c>
      <c r="E162" s="119">
        <v>323.21163799999999</v>
      </c>
      <c r="F162" s="222">
        <v>117.42144879999999</v>
      </c>
      <c r="G162" s="223">
        <v>5322.8830868000005</v>
      </c>
      <c r="H162" s="8">
        <v>2364.0489899999998</v>
      </c>
      <c r="I162" s="8">
        <f>4068280/10^5</f>
        <v>40.6828</v>
      </c>
      <c r="J162" s="8">
        <f>H162+I162</f>
        <v>2404.7317899999998</v>
      </c>
      <c r="K162" s="72"/>
      <c r="L162" s="72"/>
      <c r="M162" s="72"/>
      <c r="N162" s="72"/>
      <c r="O162" s="72"/>
      <c r="P162" s="72"/>
    </row>
    <row r="163" spans="2:16" ht="13.5" x14ac:dyDescent="0.25">
      <c r="B163" s="195"/>
      <c r="C163" s="196"/>
      <c r="D163" s="224"/>
      <c r="E163" s="224"/>
      <c r="F163" s="11"/>
      <c r="G163" s="198"/>
      <c r="H163" s="9"/>
      <c r="I163" s="9"/>
      <c r="J163" s="9"/>
      <c r="K163" s="72"/>
      <c r="L163" s="72"/>
      <c r="M163" s="72"/>
      <c r="N163" s="72"/>
      <c r="O163" s="72"/>
      <c r="P163" s="72"/>
    </row>
    <row r="164" spans="2:16" ht="13.5" customHeight="1" x14ac:dyDescent="0.2">
      <c r="B164" s="227" t="s">
        <v>644</v>
      </c>
      <c r="C164" s="227" t="s">
        <v>645</v>
      </c>
      <c r="D164" s="228" t="s">
        <v>655</v>
      </c>
      <c r="E164" s="229"/>
      <c r="F164" s="230"/>
      <c r="G164" s="231" t="s">
        <v>663</v>
      </c>
      <c r="H164" s="232"/>
      <c r="I164" s="233"/>
      <c r="J164" s="72"/>
      <c r="K164" s="72"/>
      <c r="L164" s="72"/>
      <c r="M164" s="72"/>
      <c r="N164" s="72"/>
      <c r="O164" s="72"/>
    </row>
    <row r="165" spans="2:16" ht="46.5" customHeight="1" x14ac:dyDescent="0.2">
      <c r="B165" s="184"/>
      <c r="C165" s="184"/>
      <c r="D165" s="234" t="s">
        <v>664</v>
      </c>
      <c r="E165" s="234" t="s">
        <v>665</v>
      </c>
      <c r="F165" s="234" t="s">
        <v>666</v>
      </c>
      <c r="G165" s="186" t="s">
        <v>667</v>
      </c>
      <c r="H165" s="187"/>
      <c r="I165" s="234" t="s">
        <v>668</v>
      </c>
      <c r="J165" s="72"/>
      <c r="K165" s="72"/>
      <c r="L165" s="72"/>
      <c r="M165" s="72"/>
      <c r="N165" s="72"/>
      <c r="O165" s="72"/>
    </row>
    <row r="166" spans="2:16" ht="21" customHeight="1" x14ac:dyDescent="0.2">
      <c r="B166" s="188"/>
      <c r="C166" s="188"/>
      <c r="D166" s="189"/>
      <c r="E166" s="189"/>
      <c r="F166" s="189"/>
      <c r="G166" s="118" t="s">
        <v>669</v>
      </c>
      <c r="H166" s="118" t="s">
        <v>670</v>
      </c>
      <c r="I166" s="189"/>
      <c r="J166" s="72"/>
      <c r="K166" s="72"/>
      <c r="L166" s="72"/>
      <c r="M166" s="72"/>
      <c r="N166" s="72"/>
      <c r="O166" s="72"/>
    </row>
    <row r="167" spans="2:16" ht="13.5" x14ac:dyDescent="0.25">
      <c r="B167" s="115" t="s">
        <v>671</v>
      </c>
      <c r="C167" s="113" t="s">
        <v>672</v>
      </c>
      <c r="D167" s="235">
        <v>293.30880000000002</v>
      </c>
      <c r="E167" s="10">
        <v>6.6912000000000003</v>
      </c>
      <c r="F167" s="223">
        <f>D167+E167</f>
        <v>300</v>
      </c>
      <c r="G167" s="8">
        <v>12.699082800000001</v>
      </c>
      <c r="H167" s="8">
        <v>8</v>
      </c>
      <c r="I167" s="8">
        <f>G167+H167</f>
        <v>20.699082799999999</v>
      </c>
      <c r="J167" s="72"/>
      <c r="K167" s="72"/>
      <c r="L167" s="72"/>
      <c r="M167" s="72"/>
      <c r="N167" s="72"/>
      <c r="O167" s="72"/>
    </row>
    <row r="168" spans="2:16" ht="6.75" customHeight="1" x14ac:dyDescent="0.25">
      <c r="B168" s="195"/>
      <c r="C168" s="196"/>
      <c r="D168" s="197"/>
      <c r="E168" s="11"/>
      <c r="F168" s="198"/>
      <c r="G168" s="9"/>
      <c r="H168" s="9"/>
      <c r="I168" s="9"/>
      <c r="J168" s="72"/>
      <c r="K168" s="72"/>
      <c r="L168" s="72"/>
      <c r="M168" s="72"/>
      <c r="N168" s="72"/>
      <c r="O168" s="72"/>
    </row>
    <row r="169" spans="2:16" ht="45" customHeight="1" x14ac:dyDescent="0.2">
      <c r="B169" s="199" t="s">
        <v>673</v>
      </c>
      <c r="C169" s="199"/>
      <c r="D169" s="199"/>
      <c r="E169" s="199"/>
      <c r="F169" s="199"/>
      <c r="G169" s="199"/>
      <c r="H169" s="199"/>
      <c r="I169" s="199"/>
      <c r="J169" s="200"/>
      <c r="K169" s="72"/>
      <c r="L169" s="72"/>
      <c r="M169" s="72"/>
      <c r="N169" s="72"/>
      <c r="O169" s="72"/>
    </row>
    <row r="170" spans="2:16" ht="13.5" x14ac:dyDescent="0.25">
      <c r="B170" s="122" t="s">
        <v>674</v>
      </c>
      <c r="I170" s="72"/>
      <c r="J170" s="20"/>
      <c r="K170" s="72"/>
      <c r="L170" s="72"/>
      <c r="M170" s="72"/>
      <c r="N170" s="72"/>
      <c r="O170" s="72"/>
      <c r="P170" s="72"/>
    </row>
    <row r="171" spans="2:16" x14ac:dyDescent="0.2">
      <c r="B171" s="72"/>
      <c r="C171" s="72"/>
      <c r="D171" s="72"/>
      <c r="E171" s="72"/>
      <c r="F171" s="72"/>
      <c r="G171" s="72"/>
      <c r="H171" s="72"/>
      <c r="I171" s="72"/>
      <c r="J171" s="20"/>
      <c r="K171" s="72"/>
      <c r="L171" s="72"/>
      <c r="M171" s="72"/>
      <c r="N171" s="72"/>
      <c r="O171" s="72"/>
      <c r="P171" s="72"/>
    </row>
    <row r="172" spans="2:16" x14ac:dyDescent="0.2">
      <c r="B172" s="123" t="s">
        <v>675</v>
      </c>
      <c r="C172" s="72"/>
      <c r="D172" s="72"/>
      <c r="E172" s="72"/>
      <c r="F172" s="72"/>
      <c r="G172" s="72"/>
      <c r="H172" s="72"/>
      <c r="I172" s="72"/>
      <c r="J172" s="20"/>
      <c r="K172" s="72"/>
      <c r="L172" s="72"/>
      <c r="M172" s="72"/>
      <c r="N172" s="72"/>
      <c r="O172" s="72"/>
      <c r="P172" s="72"/>
    </row>
    <row r="173" spans="2:16" x14ac:dyDescent="0.2">
      <c r="B173" s="72"/>
      <c r="C173" s="72"/>
      <c r="D173" s="72"/>
      <c r="E173" s="72"/>
      <c r="F173" s="72"/>
      <c r="G173" s="72"/>
      <c r="H173" s="72"/>
      <c r="I173" s="72"/>
      <c r="J173" s="20"/>
      <c r="K173" s="72"/>
      <c r="L173" s="72"/>
      <c r="M173" s="72"/>
      <c r="N173" s="72"/>
      <c r="O173" s="72"/>
      <c r="P173" s="72"/>
    </row>
    <row r="174" spans="2:16" x14ac:dyDescent="0.2">
      <c r="B174" s="123" t="s">
        <v>676</v>
      </c>
      <c r="C174" s="72"/>
      <c r="D174" s="72"/>
      <c r="E174" s="72"/>
      <c r="F174" s="72"/>
      <c r="G174" s="72"/>
      <c r="H174" s="72"/>
      <c r="I174" s="72"/>
      <c r="J174" s="20"/>
      <c r="K174" s="72"/>
      <c r="L174" s="72"/>
      <c r="M174" s="72"/>
      <c r="N174" s="72"/>
      <c r="O174" s="72"/>
      <c r="P174" s="72"/>
    </row>
    <row r="175" spans="2:16" x14ac:dyDescent="0.2">
      <c r="J175" s="20"/>
    </row>
    <row r="176" spans="2:16" x14ac:dyDescent="0.2">
      <c r="B176" s="123" t="s">
        <v>677</v>
      </c>
      <c r="J176" s="20"/>
      <c r="K176" s="72"/>
      <c r="L176" s="72"/>
      <c r="M176" s="72"/>
      <c r="N176" s="72"/>
      <c r="O176" s="72"/>
    </row>
    <row r="177" spans="2:15" x14ac:dyDescent="0.2">
      <c r="B177" s="123"/>
      <c r="J177" s="20"/>
      <c r="K177" s="72"/>
      <c r="L177" s="72"/>
      <c r="M177" s="72"/>
      <c r="N177" s="72"/>
      <c r="O177" s="72"/>
    </row>
    <row r="178" spans="2:15" x14ac:dyDescent="0.2">
      <c r="B178" s="123" t="s">
        <v>678</v>
      </c>
      <c r="J178" s="20"/>
      <c r="K178" s="72"/>
      <c r="L178" s="72"/>
      <c r="M178" s="72"/>
      <c r="N178" s="72"/>
      <c r="O178" s="72"/>
    </row>
    <row r="179" spans="2:15" x14ac:dyDescent="0.2">
      <c r="J179" s="20"/>
    </row>
    <row r="180" spans="2:15" x14ac:dyDescent="0.2">
      <c r="B180" s="90" t="s">
        <v>628</v>
      </c>
    </row>
    <row r="182" spans="2:15" ht="153.75" customHeight="1" x14ac:dyDescent="0.2"/>
    <row r="185" spans="2:15" x14ac:dyDescent="0.2">
      <c r="B185" s="91" t="s">
        <v>629</v>
      </c>
      <c r="C185" s="92"/>
      <c r="D185" s="91"/>
    </row>
    <row r="186" spans="2:15" x14ac:dyDescent="0.2">
      <c r="B186" s="91" t="s">
        <v>679</v>
      </c>
      <c r="D186" s="91"/>
    </row>
    <row r="187" spans="2:15" ht="180" customHeight="1" x14ac:dyDescent="0.2"/>
  </sheetData>
  <mergeCells count="53">
    <mergeCell ref="B138:D138"/>
    <mergeCell ref="B135:C135"/>
    <mergeCell ref="B136:C136"/>
    <mergeCell ref="B126:C126"/>
    <mergeCell ref="B134:C134"/>
    <mergeCell ref="B133:C133"/>
    <mergeCell ref="B110:H110"/>
    <mergeCell ref="B112:D112"/>
    <mergeCell ref="B113:C113"/>
    <mergeCell ref="B114:C114"/>
    <mergeCell ref="B115:C115"/>
    <mergeCell ref="A1:H1"/>
    <mergeCell ref="A2:H2"/>
    <mergeCell ref="A3:H3"/>
    <mergeCell ref="B108:H108"/>
    <mergeCell ref="B109:H109"/>
    <mergeCell ref="B139:C139"/>
    <mergeCell ref="B140:C140"/>
    <mergeCell ref="B141:C141"/>
    <mergeCell ref="B142:C142"/>
    <mergeCell ref="B143:C143"/>
    <mergeCell ref="B144:C144"/>
    <mergeCell ref="B145:C145"/>
    <mergeCell ref="B146:C146"/>
    <mergeCell ref="B147:C147"/>
    <mergeCell ref="B148:D148"/>
    <mergeCell ref="D152:F152"/>
    <mergeCell ref="G152:H152"/>
    <mergeCell ref="D153:F153"/>
    <mergeCell ref="G153:H153"/>
    <mergeCell ref="D154:F154"/>
    <mergeCell ref="G154:H154"/>
    <mergeCell ref="D155:F155"/>
    <mergeCell ref="G155:H155"/>
    <mergeCell ref="D156:F156"/>
    <mergeCell ref="G156:H156"/>
    <mergeCell ref="B157:H157"/>
    <mergeCell ref="B169:I169"/>
    <mergeCell ref="J158:J159"/>
    <mergeCell ref="B164:B166"/>
    <mergeCell ref="C164:C166"/>
    <mergeCell ref="D164:F164"/>
    <mergeCell ref="G164:I164"/>
    <mergeCell ref="D165:D166"/>
    <mergeCell ref="E165:E166"/>
    <mergeCell ref="F165:F166"/>
    <mergeCell ref="G165:H165"/>
    <mergeCell ref="I165:I166"/>
    <mergeCell ref="B158:B159"/>
    <mergeCell ref="C158:C159"/>
    <mergeCell ref="D158:G158"/>
    <mergeCell ref="H158:H159"/>
    <mergeCell ref="I158:I159"/>
  </mergeCells>
  <hyperlinks>
    <hyperlink ref="I1" location="Index!B2" display="Index" xr:uid="{958087D5-13AA-4D1B-8CE0-1A44F51A948E}"/>
    <hyperlink ref="B172" r:id="rId1" xr:uid="{FF08CE57-420D-446C-9CF2-CD371F8DA9AD}"/>
    <hyperlink ref="B174" r:id="rId2" xr:uid="{B2B04037-8C53-4753-A1E4-67D1061438C5}"/>
    <hyperlink ref="B176" r:id="rId3" xr:uid="{F62FDCF9-58AE-4139-AD67-379D51DCEE1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A655E-A9EB-4BDA-B535-30EDF4D33DFE}">
  <sheetPr>
    <outlinePr summaryBelow="0" summaryRight="0"/>
  </sheetPr>
  <dimension ref="A1:R213"/>
  <sheetViews>
    <sheetView showGridLines="0" workbookViewId="0">
      <selection sqref="A1:H1"/>
    </sheetView>
  </sheetViews>
  <sheetFormatPr defaultRowHeight="12.75" x14ac:dyDescent="0.2"/>
  <cols>
    <col min="1" max="1" width="5.85546875" style="17" bestFit="1" customWidth="1"/>
    <col min="2" max="2" width="20.7109375" style="17" customWidth="1"/>
    <col min="3" max="3" width="55.140625" style="17" bestFit="1" customWidth="1"/>
    <col min="4" max="4" width="13" style="17" customWidth="1"/>
    <col min="5" max="5" width="10.42578125" style="17" bestFit="1" customWidth="1"/>
    <col min="6" max="6" width="10.140625" style="17" bestFit="1" customWidth="1"/>
    <col min="7" max="7" width="14" style="17" bestFit="1" customWidth="1"/>
    <col min="8" max="8" width="9.85546875" style="17" bestFit="1" customWidth="1"/>
    <col min="9" max="16384" width="9.140625" style="17"/>
  </cols>
  <sheetData>
    <row r="1" spans="1:10" ht="15" x14ac:dyDescent="0.2">
      <c r="A1" s="16" t="s">
        <v>0</v>
      </c>
      <c r="B1" s="16"/>
      <c r="C1" s="16"/>
      <c r="D1" s="16"/>
      <c r="E1" s="16"/>
      <c r="F1" s="16"/>
      <c r="G1" s="16"/>
      <c r="H1" s="16"/>
      <c r="I1" s="1" t="s">
        <v>599</v>
      </c>
    </row>
    <row r="2" spans="1:10" ht="15" x14ac:dyDescent="0.2">
      <c r="A2" s="16" t="s">
        <v>320</v>
      </c>
      <c r="B2" s="16"/>
      <c r="C2" s="16"/>
      <c r="D2" s="16"/>
      <c r="E2" s="16"/>
      <c r="F2" s="16"/>
      <c r="G2" s="16"/>
      <c r="H2" s="16"/>
    </row>
    <row r="3" spans="1:10" ht="15" x14ac:dyDescent="0.2">
      <c r="A3" s="16" t="s">
        <v>600</v>
      </c>
      <c r="B3" s="16"/>
      <c r="C3" s="16"/>
      <c r="D3" s="16"/>
      <c r="E3" s="16"/>
      <c r="F3" s="16"/>
      <c r="G3" s="16"/>
      <c r="H3" s="16"/>
    </row>
    <row r="4" spans="1:10" s="20" customFormat="1" ht="30" x14ac:dyDescent="0.2">
      <c r="A4" s="18" t="s">
        <v>2</v>
      </c>
      <c r="B4" s="18" t="s">
        <v>3</v>
      </c>
      <c r="C4" s="18" t="s">
        <v>4</v>
      </c>
      <c r="D4" s="18" t="s">
        <v>5</v>
      </c>
      <c r="E4" s="18" t="s">
        <v>6</v>
      </c>
      <c r="F4" s="18" t="s">
        <v>7</v>
      </c>
      <c r="G4" s="18" t="s">
        <v>8</v>
      </c>
      <c r="H4" s="19" t="s">
        <v>755</v>
      </c>
    </row>
    <row r="5" spans="1:10" x14ac:dyDescent="0.2">
      <c r="A5" s="21"/>
      <c r="B5" s="21"/>
      <c r="C5" s="22" t="s">
        <v>9</v>
      </c>
      <c r="D5" s="21"/>
      <c r="E5" s="21"/>
      <c r="F5" s="21"/>
      <c r="G5" s="21"/>
      <c r="H5" s="23" t="s">
        <v>12</v>
      </c>
    </row>
    <row r="6" spans="1:10" x14ac:dyDescent="0.2">
      <c r="A6" s="24"/>
      <c r="B6" s="24"/>
      <c r="C6" s="25" t="s">
        <v>10</v>
      </c>
      <c r="D6" s="24"/>
      <c r="E6" s="24"/>
      <c r="F6" s="24"/>
      <c r="G6" s="24"/>
      <c r="H6" s="23" t="s">
        <v>12</v>
      </c>
    </row>
    <row r="7" spans="1:10" x14ac:dyDescent="0.2">
      <c r="A7" s="31">
        <v>1</v>
      </c>
      <c r="B7" s="94" t="s">
        <v>638</v>
      </c>
      <c r="C7" s="94" t="s">
        <v>639</v>
      </c>
      <c r="D7" s="94" t="s">
        <v>640</v>
      </c>
      <c r="E7" s="95">
        <v>150667</v>
      </c>
      <c r="F7" s="96">
        <v>0.15</v>
      </c>
      <c r="G7" s="154" t="s">
        <v>641</v>
      </c>
      <c r="H7" s="23" t="s">
        <v>12</v>
      </c>
      <c r="J7" s="156"/>
    </row>
    <row r="8" spans="1:10" x14ac:dyDescent="0.2">
      <c r="A8" s="24"/>
      <c r="B8" s="24"/>
      <c r="C8" s="25" t="s">
        <v>11</v>
      </c>
      <c r="D8" s="24"/>
      <c r="E8" s="24" t="s">
        <v>12</v>
      </c>
      <c r="F8" s="30">
        <f>SUM(F7)</f>
        <v>0.15</v>
      </c>
      <c r="G8" s="27">
        <v>0</v>
      </c>
      <c r="H8" s="23" t="s">
        <v>12</v>
      </c>
    </row>
    <row r="9" spans="1:10" x14ac:dyDescent="0.2">
      <c r="A9" s="24"/>
      <c r="B9" s="24"/>
      <c r="C9" s="28"/>
      <c r="D9" s="24"/>
      <c r="E9" s="24"/>
      <c r="F9" s="29"/>
      <c r="G9" s="29"/>
      <c r="H9" s="23" t="s">
        <v>12</v>
      </c>
    </row>
    <row r="10" spans="1:10" x14ac:dyDescent="0.2">
      <c r="A10" s="24"/>
      <c r="B10" s="24"/>
      <c r="C10" s="25" t="s">
        <v>14</v>
      </c>
      <c r="D10" s="24"/>
      <c r="E10" s="24"/>
      <c r="F10" s="24"/>
      <c r="G10" s="24"/>
      <c r="H10" s="23" t="s">
        <v>12</v>
      </c>
    </row>
    <row r="11" spans="1:10" x14ac:dyDescent="0.2">
      <c r="A11" s="24"/>
      <c r="B11" s="24"/>
      <c r="C11" s="25" t="s">
        <v>11</v>
      </c>
      <c r="D11" s="24"/>
      <c r="E11" s="24" t="s">
        <v>12</v>
      </c>
      <c r="F11" s="26" t="s">
        <v>13</v>
      </c>
      <c r="G11" s="27">
        <v>0</v>
      </c>
      <c r="H11" s="23" t="s">
        <v>12</v>
      </c>
    </row>
    <row r="12" spans="1:10" x14ac:dyDescent="0.2">
      <c r="A12" s="24"/>
      <c r="B12" s="24"/>
      <c r="C12" s="28"/>
      <c r="D12" s="24"/>
      <c r="E12" s="24"/>
      <c r="F12" s="29"/>
      <c r="G12" s="29"/>
      <c r="H12" s="23" t="s">
        <v>12</v>
      </c>
    </row>
    <row r="13" spans="1:10" x14ac:dyDescent="0.2">
      <c r="A13" s="24"/>
      <c r="B13" s="24"/>
      <c r="C13" s="25" t="s">
        <v>15</v>
      </c>
      <c r="D13" s="24"/>
      <c r="E13" s="24"/>
      <c r="F13" s="24"/>
      <c r="G13" s="24"/>
      <c r="H13" s="23" t="s">
        <v>12</v>
      </c>
    </row>
    <row r="14" spans="1:10" x14ac:dyDescent="0.2">
      <c r="A14" s="24"/>
      <c r="B14" s="24"/>
      <c r="C14" s="25" t="s">
        <v>11</v>
      </c>
      <c r="D14" s="24"/>
      <c r="E14" s="24" t="s">
        <v>12</v>
      </c>
      <c r="F14" s="26" t="s">
        <v>13</v>
      </c>
      <c r="G14" s="27">
        <v>0</v>
      </c>
      <c r="H14" s="23" t="s">
        <v>12</v>
      </c>
    </row>
    <row r="15" spans="1:10" x14ac:dyDescent="0.2">
      <c r="A15" s="24"/>
      <c r="B15" s="24"/>
      <c r="C15" s="28"/>
      <c r="D15" s="24"/>
      <c r="E15" s="24"/>
      <c r="F15" s="29"/>
      <c r="G15" s="29"/>
      <c r="H15" s="23" t="s">
        <v>12</v>
      </c>
    </row>
    <row r="16" spans="1:10" x14ac:dyDescent="0.2">
      <c r="A16" s="24"/>
      <c r="B16" s="24"/>
      <c r="C16" s="25" t="s">
        <v>16</v>
      </c>
      <c r="D16" s="24"/>
      <c r="E16" s="24"/>
      <c r="F16" s="24"/>
      <c r="G16" s="24"/>
      <c r="H16" s="23" t="s">
        <v>12</v>
      </c>
    </row>
    <row r="17" spans="1:8" x14ac:dyDescent="0.2">
      <c r="A17" s="24"/>
      <c r="B17" s="24"/>
      <c r="C17" s="25" t="s">
        <v>11</v>
      </c>
      <c r="D17" s="24"/>
      <c r="E17" s="24" t="s">
        <v>12</v>
      </c>
      <c r="F17" s="26" t="s">
        <v>13</v>
      </c>
      <c r="G17" s="27">
        <v>0</v>
      </c>
      <c r="H17" s="23" t="s">
        <v>12</v>
      </c>
    </row>
    <row r="18" spans="1:8" x14ac:dyDescent="0.2">
      <c r="A18" s="24"/>
      <c r="B18" s="24"/>
      <c r="C18" s="28"/>
      <c r="D18" s="24"/>
      <c r="E18" s="24"/>
      <c r="F18" s="29"/>
      <c r="G18" s="29"/>
      <c r="H18" s="23" t="s">
        <v>12</v>
      </c>
    </row>
    <row r="19" spans="1:8" x14ac:dyDescent="0.2">
      <c r="A19" s="24"/>
      <c r="B19" s="24"/>
      <c r="C19" s="25" t="s">
        <v>17</v>
      </c>
      <c r="D19" s="24"/>
      <c r="E19" s="24"/>
      <c r="F19" s="29"/>
      <c r="G19" s="29"/>
      <c r="H19" s="23" t="s">
        <v>12</v>
      </c>
    </row>
    <row r="20" spans="1:8" x14ac:dyDescent="0.2">
      <c r="A20" s="24"/>
      <c r="B20" s="24"/>
      <c r="C20" s="25" t="s">
        <v>11</v>
      </c>
      <c r="D20" s="24"/>
      <c r="E20" s="24" t="s">
        <v>12</v>
      </c>
      <c r="F20" s="26" t="s">
        <v>13</v>
      </c>
      <c r="G20" s="27">
        <v>0</v>
      </c>
      <c r="H20" s="23" t="s">
        <v>12</v>
      </c>
    </row>
    <row r="21" spans="1:8" x14ac:dyDescent="0.2">
      <c r="A21" s="24"/>
      <c r="B21" s="24"/>
      <c r="C21" s="28"/>
      <c r="D21" s="24"/>
      <c r="E21" s="24"/>
      <c r="F21" s="29"/>
      <c r="G21" s="29"/>
      <c r="H21" s="23" t="s">
        <v>12</v>
      </c>
    </row>
    <row r="22" spans="1:8" x14ac:dyDescent="0.2">
      <c r="A22" s="24"/>
      <c r="B22" s="24"/>
      <c r="C22" s="25" t="s">
        <v>18</v>
      </c>
      <c r="D22" s="24"/>
      <c r="E22" s="24"/>
      <c r="F22" s="29"/>
      <c r="G22" s="29"/>
      <c r="H22" s="23" t="s">
        <v>12</v>
      </c>
    </row>
    <row r="23" spans="1:8" x14ac:dyDescent="0.2">
      <c r="A23" s="24"/>
      <c r="B23" s="24"/>
      <c r="C23" s="25" t="s">
        <v>11</v>
      </c>
      <c r="D23" s="24"/>
      <c r="E23" s="24" t="s">
        <v>12</v>
      </c>
      <c r="F23" s="26" t="s">
        <v>13</v>
      </c>
      <c r="G23" s="27">
        <v>0</v>
      </c>
      <c r="H23" s="23" t="s">
        <v>12</v>
      </c>
    </row>
    <row r="24" spans="1:8" x14ac:dyDescent="0.2">
      <c r="A24" s="24"/>
      <c r="B24" s="24"/>
      <c r="C24" s="28"/>
      <c r="D24" s="24"/>
      <c r="E24" s="24"/>
      <c r="F24" s="29"/>
      <c r="G24" s="29"/>
      <c r="H24" s="23" t="s">
        <v>12</v>
      </c>
    </row>
    <row r="25" spans="1:8" x14ac:dyDescent="0.2">
      <c r="A25" s="24"/>
      <c r="B25" s="24"/>
      <c r="C25" s="25" t="s">
        <v>19</v>
      </c>
      <c r="D25" s="24"/>
      <c r="E25" s="24"/>
      <c r="F25" s="30">
        <f>F8</f>
        <v>0.15</v>
      </c>
      <c r="G25" s="27">
        <v>0</v>
      </c>
      <c r="H25" s="23" t="s">
        <v>12</v>
      </c>
    </row>
    <row r="26" spans="1:8" x14ac:dyDescent="0.2">
      <c r="A26" s="24"/>
      <c r="B26" s="24"/>
      <c r="C26" s="28"/>
      <c r="D26" s="24"/>
      <c r="E26" s="24"/>
      <c r="F26" s="29"/>
      <c r="G26" s="29"/>
      <c r="H26" s="23" t="s">
        <v>12</v>
      </c>
    </row>
    <row r="27" spans="1:8" x14ac:dyDescent="0.2">
      <c r="A27" s="24"/>
      <c r="B27" s="24"/>
      <c r="C27" s="25" t="s">
        <v>20</v>
      </c>
      <c r="D27" s="24"/>
      <c r="E27" s="24"/>
      <c r="F27" s="29"/>
      <c r="G27" s="29"/>
      <c r="H27" s="23" t="s">
        <v>12</v>
      </c>
    </row>
    <row r="28" spans="1:8" x14ac:dyDescent="0.2">
      <c r="A28" s="24"/>
      <c r="B28" s="24"/>
      <c r="C28" s="25" t="s">
        <v>10</v>
      </c>
      <c r="D28" s="24"/>
      <c r="E28" s="24"/>
      <c r="F28" s="29"/>
      <c r="G28" s="29"/>
      <c r="H28" s="23" t="s">
        <v>12</v>
      </c>
    </row>
    <row r="29" spans="1:8" x14ac:dyDescent="0.2">
      <c r="A29" s="31">
        <v>1</v>
      </c>
      <c r="B29" s="32" t="s">
        <v>321</v>
      </c>
      <c r="C29" s="32" t="s">
        <v>322</v>
      </c>
      <c r="D29" s="32" t="s">
        <v>23</v>
      </c>
      <c r="E29" s="33">
        <v>750</v>
      </c>
      <c r="F29" s="34">
        <v>7507.7624999999998</v>
      </c>
      <c r="G29" s="35">
        <v>1.329018E-2</v>
      </c>
      <c r="H29" s="23">
        <v>6.19</v>
      </c>
    </row>
    <row r="30" spans="1:8" x14ac:dyDescent="0.2">
      <c r="A30" s="31">
        <v>2</v>
      </c>
      <c r="B30" s="32" t="s">
        <v>323</v>
      </c>
      <c r="C30" s="32" t="s">
        <v>324</v>
      </c>
      <c r="D30" s="32" t="s">
        <v>282</v>
      </c>
      <c r="E30" s="33">
        <v>5000</v>
      </c>
      <c r="F30" s="34">
        <v>5008.84</v>
      </c>
      <c r="G30" s="35">
        <v>8.8666100000000005E-3</v>
      </c>
      <c r="H30" s="23">
        <v>6.91</v>
      </c>
    </row>
    <row r="31" spans="1:8" x14ac:dyDescent="0.2">
      <c r="A31" s="31">
        <v>3</v>
      </c>
      <c r="B31" s="32" t="s">
        <v>325</v>
      </c>
      <c r="C31" s="32" t="s">
        <v>326</v>
      </c>
      <c r="D31" s="32" t="s">
        <v>23</v>
      </c>
      <c r="E31" s="33">
        <v>250</v>
      </c>
      <c r="F31" s="34">
        <v>2501.8000000000002</v>
      </c>
      <c r="G31" s="35">
        <v>4.42867E-3</v>
      </c>
      <c r="H31" s="23">
        <v>6.05</v>
      </c>
    </row>
    <row r="32" spans="1:8" x14ac:dyDescent="0.2">
      <c r="A32" s="24"/>
      <c r="B32" s="24"/>
      <c r="C32" s="25" t="s">
        <v>11</v>
      </c>
      <c r="D32" s="24"/>
      <c r="E32" s="24" t="s">
        <v>12</v>
      </c>
      <c r="F32" s="30">
        <v>15018.4025</v>
      </c>
      <c r="G32" s="27">
        <v>2.6585460000000002E-2</v>
      </c>
      <c r="H32" s="23" t="s">
        <v>12</v>
      </c>
    </row>
    <row r="33" spans="1:8" x14ac:dyDescent="0.2">
      <c r="A33" s="24"/>
      <c r="B33" s="24"/>
      <c r="C33" s="28"/>
      <c r="D33" s="24"/>
      <c r="E33" s="24"/>
      <c r="F33" s="29"/>
      <c r="G33" s="29"/>
      <c r="H33" s="23" t="s">
        <v>12</v>
      </c>
    </row>
    <row r="34" spans="1:8" x14ac:dyDescent="0.2">
      <c r="A34" s="24"/>
      <c r="B34" s="24"/>
      <c r="C34" s="25" t="s">
        <v>77</v>
      </c>
      <c r="D34" s="24"/>
      <c r="E34" s="24"/>
      <c r="F34" s="24"/>
      <c r="G34" s="24"/>
      <c r="H34" s="23" t="s">
        <v>12</v>
      </c>
    </row>
    <row r="35" spans="1:8" x14ac:dyDescent="0.2">
      <c r="A35" s="24"/>
      <c r="B35" s="24"/>
      <c r="C35" s="25" t="s">
        <v>11</v>
      </c>
      <c r="D35" s="24"/>
      <c r="E35" s="24" t="s">
        <v>12</v>
      </c>
      <c r="F35" s="26" t="s">
        <v>13</v>
      </c>
      <c r="G35" s="27">
        <v>0</v>
      </c>
      <c r="H35" s="23" t="s">
        <v>12</v>
      </c>
    </row>
    <row r="36" spans="1:8" x14ac:dyDescent="0.2">
      <c r="A36" s="24"/>
      <c r="B36" s="24"/>
      <c r="C36" s="28"/>
      <c r="D36" s="24"/>
      <c r="E36" s="24"/>
      <c r="F36" s="29"/>
      <c r="G36" s="29"/>
      <c r="H36" s="23" t="s">
        <v>12</v>
      </c>
    </row>
    <row r="37" spans="1:8" x14ac:dyDescent="0.2">
      <c r="A37" s="24"/>
      <c r="B37" s="24"/>
      <c r="C37" s="25" t="s">
        <v>78</v>
      </c>
      <c r="D37" s="24"/>
      <c r="E37" s="24"/>
      <c r="F37" s="24"/>
      <c r="G37" s="24"/>
      <c r="H37" s="23" t="s">
        <v>12</v>
      </c>
    </row>
    <row r="38" spans="1:8" x14ac:dyDescent="0.2">
      <c r="A38" s="24"/>
      <c r="B38" s="24"/>
      <c r="C38" s="25" t="s">
        <v>11</v>
      </c>
      <c r="D38" s="24"/>
      <c r="E38" s="24" t="s">
        <v>12</v>
      </c>
      <c r="F38" s="26" t="s">
        <v>13</v>
      </c>
      <c r="G38" s="27">
        <v>0</v>
      </c>
      <c r="H38" s="23" t="s">
        <v>12</v>
      </c>
    </row>
    <row r="39" spans="1:8" x14ac:dyDescent="0.2">
      <c r="A39" s="24"/>
      <c r="B39" s="24"/>
      <c r="C39" s="28"/>
      <c r="D39" s="24"/>
      <c r="E39" s="24"/>
      <c r="F39" s="29"/>
      <c r="G39" s="29"/>
      <c r="H39" s="23" t="s">
        <v>12</v>
      </c>
    </row>
    <row r="40" spans="1:8" x14ac:dyDescent="0.2">
      <c r="A40" s="24"/>
      <c r="B40" s="24"/>
      <c r="C40" s="25" t="s">
        <v>98</v>
      </c>
      <c r="D40" s="24"/>
      <c r="E40" s="24"/>
      <c r="F40" s="29"/>
      <c r="G40" s="29"/>
      <c r="H40" s="23" t="s">
        <v>12</v>
      </c>
    </row>
    <row r="41" spans="1:8" x14ac:dyDescent="0.2">
      <c r="A41" s="24"/>
      <c r="B41" s="24"/>
      <c r="C41" s="25" t="s">
        <v>11</v>
      </c>
      <c r="D41" s="24"/>
      <c r="E41" s="24" t="s">
        <v>12</v>
      </c>
      <c r="F41" s="26" t="s">
        <v>13</v>
      </c>
      <c r="G41" s="27">
        <v>0</v>
      </c>
      <c r="H41" s="23" t="s">
        <v>12</v>
      </c>
    </row>
    <row r="42" spans="1:8" x14ac:dyDescent="0.2">
      <c r="A42" s="24"/>
      <c r="B42" s="24"/>
      <c r="C42" s="28"/>
      <c r="D42" s="24"/>
      <c r="E42" s="24"/>
      <c r="F42" s="29"/>
      <c r="G42" s="29"/>
      <c r="H42" s="23" t="s">
        <v>12</v>
      </c>
    </row>
    <row r="43" spans="1:8" x14ac:dyDescent="0.2">
      <c r="A43" s="24"/>
      <c r="B43" s="24"/>
      <c r="C43" s="25" t="s">
        <v>99</v>
      </c>
      <c r="D43" s="24"/>
      <c r="E43" s="24"/>
      <c r="F43" s="30">
        <v>15018.4025</v>
      </c>
      <c r="G43" s="27">
        <v>2.6585460000000002E-2</v>
      </c>
      <c r="H43" s="23" t="s">
        <v>12</v>
      </c>
    </row>
    <row r="44" spans="1:8" x14ac:dyDescent="0.2">
      <c r="A44" s="24"/>
      <c r="B44" s="24"/>
      <c r="C44" s="28"/>
      <c r="D44" s="24"/>
      <c r="E44" s="24"/>
      <c r="F44" s="29"/>
      <c r="G44" s="29"/>
      <c r="H44" s="23" t="s">
        <v>12</v>
      </c>
    </row>
    <row r="45" spans="1:8" x14ac:dyDescent="0.2">
      <c r="A45" s="24"/>
      <c r="B45" s="24"/>
      <c r="C45" s="25" t="s">
        <v>100</v>
      </c>
      <c r="D45" s="24"/>
      <c r="E45" s="24"/>
      <c r="F45" s="29"/>
      <c r="G45" s="29"/>
      <c r="H45" s="23" t="s">
        <v>12</v>
      </c>
    </row>
    <row r="46" spans="1:8" x14ac:dyDescent="0.2">
      <c r="A46" s="24"/>
      <c r="B46" s="24"/>
      <c r="C46" s="25" t="s">
        <v>101</v>
      </c>
      <c r="D46" s="24"/>
      <c r="E46" s="24"/>
      <c r="F46" s="29"/>
      <c r="G46" s="29"/>
      <c r="H46" s="23" t="s">
        <v>12</v>
      </c>
    </row>
    <row r="47" spans="1:8" x14ac:dyDescent="0.2">
      <c r="A47" s="31">
        <v>1</v>
      </c>
      <c r="B47" s="32" t="s">
        <v>327</v>
      </c>
      <c r="C47" s="32" t="s">
        <v>328</v>
      </c>
      <c r="D47" s="32" t="s">
        <v>110</v>
      </c>
      <c r="E47" s="33">
        <v>3000</v>
      </c>
      <c r="F47" s="34">
        <v>14894.775</v>
      </c>
      <c r="G47" s="35">
        <v>2.6366609999999999E-2</v>
      </c>
      <c r="H47" s="23">
        <v>5.8601000000000001</v>
      </c>
    </row>
    <row r="48" spans="1:8" x14ac:dyDescent="0.2">
      <c r="A48" s="31">
        <v>2</v>
      </c>
      <c r="B48" s="32" t="s">
        <v>329</v>
      </c>
      <c r="C48" s="32" t="s">
        <v>330</v>
      </c>
      <c r="D48" s="32" t="s">
        <v>110</v>
      </c>
      <c r="E48" s="33">
        <v>3000</v>
      </c>
      <c r="F48" s="34">
        <v>14846.385</v>
      </c>
      <c r="G48" s="35">
        <v>2.6280950000000001E-2</v>
      </c>
      <c r="H48" s="23">
        <v>5.8101000000000003</v>
      </c>
    </row>
    <row r="49" spans="1:8" x14ac:dyDescent="0.2">
      <c r="A49" s="31">
        <v>3</v>
      </c>
      <c r="B49" s="32" t="s">
        <v>331</v>
      </c>
      <c r="C49" s="32" t="s">
        <v>332</v>
      </c>
      <c r="D49" s="32" t="s">
        <v>110</v>
      </c>
      <c r="E49" s="33">
        <v>3000</v>
      </c>
      <c r="F49" s="34">
        <v>14800.83</v>
      </c>
      <c r="G49" s="35">
        <v>2.6200310000000001E-2</v>
      </c>
      <c r="H49" s="23">
        <v>5.8475000000000001</v>
      </c>
    </row>
    <row r="50" spans="1:8" x14ac:dyDescent="0.2">
      <c r="A50" s="31">
        <v>4</v>
      </c>
      <c r="B50" s="32" t="s">
        <v>333</v>
      </c>
      <c r="C50" s="32" t="s">
        <v>334</v>
      </c>
      <c r="D50" s="32" t="s">
        <v>110</v>
      </c>
      <c r="E50" s="33">
        <v>3000</v>
      </c>
      <c r="F50" s="34">
        <v>14798.73</v>
      </c>
      <c r="G50" s="35">
        <v>2.6196589999999999E-2</v>
      </c>
      <c r="H50" s="23">
        <v>5.91</v>
      </c>
    </row>
    <row r="51" spans="1:8" x14ac:dyDescent="0.2">
      <c r="A51" s="31">
        <v>5</v>
      </c>
      <c r="B51" s="32" t="s">
        <v>335</v>
      </c>
      <c r="C51" s="32" t="s">
        <v>336</v>
      </c>
      <c r="D51" s="32" t="s">
        <v>110</v>
      </c>
      <c r="E51" s="33">
        <v>2500</v>
      </c>
      <c r="F51" s="34">
        <v>12361.9125</v>
      </c>
      <c r="G51" s="35">
        <v>2.188296E-2</v>
      </c>
      <c r="H51" s="23">
        <v>5.8250000000000002</v>
      </c>
    </row>
    <row r="52" spans="1:8" x14ac:dyDescent="0.2">
      <c r="A52" s="31">
        <v>6</v>
      </c>
      <c r="B52" s="32" t="s">
        <v>337</v>
      </c>
      <c r="C52" s="32" t="s">
        <v>338</v>
      </c>
      <c r="D52" s="32" t="s">
        <v>339</v>
      </c>
      <c r="E52" s="33">
        <v>2000</v>
      </c>
      <c r="F52" s="34">
        <v>9916.3700000000008</v>
      </c>
      <c r="G52" s="35">
        <v>1.7553880000000001E-2</v>
      </c>
      <c r="H52" s="23">
        <v>5.92</v>
      </c>
    </row>
    <row r="53" spans="1:8" x14ac:dyDescent="0.2">
      <c r="A53" s="31">
        <v>7</v>
      </c>
      <c r="B53" s="32" t="s">
        <v>340</v>
      </c>
      <c r="C53" s="32" t="s">
        <v>341</v>
      </c>
      <c r="D53" s="32" t="s">
        <v>110</v>
      </c>
      <c r="E53" s="33">
        <v>2000</v>
      </c>
      <c r="F53" s="34">
        <v>9910.67</v>
      </c>
      <c r="G53" s="35">
        <v>1.754379E-2</v>
      </c>
      <c r="H53" s="23">
        <v>5.875</v>
      </c>
    </row>
    <row r="54" spans="1:8" x14ac:dyDescent="0.2">
      <c r="A54" s="31">
        <v>8</v>
      </c>
      <c r="B54" s="32" t="s">
        <v>342</v>
      </c>
      <c r="C54" s="32" t="s">
        <v>343</v>
      </c>
      <c r="D54" s="32" t="s">
        <v>104</v>
      </c>
      <c r="E54" s="33">
        <v>2000</v>
      </c>
      <c r="F54" s="34">
        <v>9899.16</v>
      </c>
      <c r="G54" s="35">
        <v>1.752341E-2</v>
      </c>
      <c r="H54" s="23">
        <v>5.81</v>
      </c>
    </row>
    <row r="55" spans="1:8" x14ac:dyDescent="0.2">
      <c r="A55" s="31">
        <v>9</v>
      </c>
      <c r="B55" s="32" t="s">
        <v>344</v>
      </c>
      <c r="C55" s="32" t="s">
        <v>345</v>
      </c>
      <c r="D55" s="32" t="s">
        <v>339</v>
      </c>
      <c r="E55" s="33">
        <v>2000</v>
      </c>
      <c r="F55" s="34">
        <v>9887.74</v>
      </c>
      <c r="G55" s="35">
        <v>1.75032E-2</v>
      </c>
      <c r="H55" s="23">
        <v>5.92</v>
      </c>
    </row>
    <row r="56" spans="1:8" x14ac:dyDescent="0.2">
      <c r="A56" s="31">
        <v>10</v>
      </c>
      <c r="B56" s="32" t="s">
        <v>346</v>
      </c>
      <c r="C56" s="32" t="s">
        <v>347</v>
      </c>
      <c r="D56" s="32" t="s">
        <v>110</v>
      </c>
      <c r="E56" s="33">
        <v>2000</v>
      </c>
      <c r="F56" s="34">
        <v>9873.83</v>
      </c>
      <c r="G56" s="35">
        <v>1.7478569999999999E-2</v>
      </c>
      <c r="H56" s="23">
        <v>5.8300999999999998</v>
      </c>
    </row>
    <row r="57" spans="1:8" x14ac:dyDescent="0.2">
      <c r="A57" s="31">
        <v>11</v>
      </c>
      <c r="B57" s="32" t="s">
        <v>348</v>
      </c>
      <c r="C57" s="32" t="s">
        <v>349</v>
      </c>
      <c r="D57" s="32" t="s">
        <v>110</v>
      </c>
      <c r="E57" s="33">
        <v>1500</v>
      </c>
      <c r="F57" s="34">
        <v>7447.7849999999999</v>
      </c>
      <c r="G57" s="35">
        <v>1.3184009999999999E-2</v>
      </c>
      <c r="H57" s="23">
        <v>5.8159999999999998</v>
      </c>
    </row>
    <row r="58" spans="1:8" x14ac:dyDescent="0.2">
      <c r="A58" s="31">
        <v>12</v>
      </c>
      <c r="B58" s="32" t="s">
        <v>350</v>
      </c>
      <c r="C58" s="32" t="s">
        <v>351</v>
      </c>
      <c r="D58" s="32" t="s">
        <v>104</v>
      </c>
      <c r="E58" s="33">
        <v>1500</v>
      </c>
      <c r="F58" s="34">
        <v>7423.2</v>
      </c>
      <c r="G58" s="35">
        <v>1.3140489999999999E-2</v>
      </c>
      <c r="H58" s="23">
        <v>5.81</v>
      </c>
    </row>
    <row r="59" spans="1:8" x14ac:dyDescent="0.2">
      <c r="A59" s="31">
        <v>13</v>
      </c>
      <c r="B59" s="32" t="s">
        <v>352</v>
      </c>
      <c r="C59" s="32" t="s">
        <v>353</v>
      </c>
      <c r="D59" s="32" t="s">
        <v>110</v>
      </c>
      <c r="E59" s="33">
        <v>1500</v>
      </c>
      <c r="F59" s="34">
        <v>7422.9975000000004</v>
      </c>
      <c r="G59" s="35">
        <v>1.314013E-2</v>
      </c>
      <c r="H59" s="23">
        <v>5.8250000000000002</v>
      </c>
    </row>
    <row r="60" spans="1:8" x14ac:dyDescent="0.2">
      <c r="A60" s="31">
        <v>14</v>
      </c>
      <c r="B60" s="32" t="s">
        <v>354</v>
      </c>
      <c r="C60" s="32" t="s">
        <v>355</v>
      </c>
      <c r="D60" s="32" t="s">
        <v>110</v>
      </c>
      <c r="E60" s="33">
        <v>1500</v>
      </c>
      <c r="F60" s="34">
        <v>7408.02</v>
      </c>
      <c r="G60" s="35">
        <v>1.3113619999999999E-2</v>
      </c>
      <c r="H60" s="23">
        <v>5.8102</v>
      </c>
    </row>
    <row r="61" spans="1:8" x14ac:dyDescent="0.2">
      <c r="A61" s="31">
        <v>15</v>
      </c>
      <c r="B61" s="32" t="s">
        <v>356</v>
      </c>
      <c r="C61" s="32" t="s">
        <v>357</v>
      </c>
      <c r="D61" s="32" t="s">
        <v>104</v>
      </c>
      <c r="E61" s="33">
        <v>1500</v>
      </c>
      <c r="F61" s="34">
        <v>7406.8575000000001</v>
      </c>
      <c r="G61" s="35">
        <v>1.311156E-2</v>
      </c>
      <c r="H61" s="23">
        <v>5.81</v>
      </c>
    </row>
    <row r="62" spans="1:8" x14ac:dyDescent="0.2">
      <c r="A62" s="31">
        <v>16</v>
      </c>
      <c r="B62" s="32" t="s">
        <v>358</v>
      </c>
      <c r="C62" s="32" t="s">
        <v>359</v>
      </c>
      <c r="D62" s="32" t="s">
        <v>110</v>
      </c>
      <c r="E62" s="33">
        <v>1500</v>
      </c>
      <c r="F62" s="34">
        <v>7406.2650000000003</v>
      </c>
      <c r="G62" s="35">
        <v>1.3110510000000001E-2</v>
      </c>
      <c r="H62" s="23">
        <v>5.8475000000000001</v>
      </c>
    </row>
    <row r="63" spans="1:8" x14ac:dyDescent="0.2">
      <c r="A63" s="31">
        <v>17</v>
      </c>
      <c r="B63" s="32" t="s">
        <v>360</v>
      </c>
      <c r="C63" s="32" t="s">
        <v>361</v>
      </c>
      <c r="D63" s="32" t="s">
        <v>110</v>
      </c>
      <c r="E63" s="33">
        <v>1000</v>
      </c>
      <c r="F63" s="34">
        <v>4988.71</v>
      </c>
      <c r="G63" s="35">
        <v>8.8309700000000005E-3</v>
      </c>
      <c r="H63" s="23">
        <v>5.9005000000000001</v>
      </c>
    </row>
    <row r="64" spans="1:8" x14ac:dyDescent="0.2">
      <c r="A64" s="31">
        <v>18</v>
      </c>
      <c r="B64" s="32" t="s">
        <v>362</v>
      </c>
      <c r="C64" s="32" t="s">
        <v>363</v>
      </c>
      <c r="D64" s="32" t="s">
        <v>110</v>
      </c>
      <c r="E64" s="33">
        <v>1000</v>
      </c>
      <c r="F64" s="34">
        <v>4959.0249999999996</v>
      </c>
      <c r="G64" s="35">
        <v>8.7784300000000003E-3</v>
      </c>
      <c r="H64" s="23">
        <v>5.8000999999999996</v>
      </c>
    </row>
    <row r="65" spans="1:8" x14ac:dyDescent="0.2">
      <c r="A65" s="31">
        <v>19</v>
      </c>
      <c r="B65" s="32" t="s">
        <v>364</v>
      </c>
      <c r="C65" s="32" t="s">
        <v>365</v>
      </c>
      <c r="D65" s="32" t="s">
        <v>110</v>
      </c>
      <c r="E65" s="33">
        <v>1000</v>
      </c>
      <c r="F65" s="34">
        <v>4958.8149999999996</v>
      </c>
      <c r="G65" s="35">
        <v>8.7780500000000008E-3</v>
      </c>
      <c r="H65" s="23">
        <v>5.8300999999999998</v>
      </c>
    </row>
    <row r="66" spans="1:8" x14ac:dyDescent="0.2">
      <c r="A66" s="31">
        <v>20</v>
      </c>
      <c r="B66" s="32" t="s">
        <v>366</v>
      </c>
      <c r="C66" s="32" t="s">
        <v>367</v>
      </c>
      <c r="D66" s="32" t="s">
        <v>110</v>
      </c>
      <c r="E66" s="33">
        <v>1000</v>
      </c>
      <c r="F66" s="34">
        <v>4958.6949999999997</v>
      </c>
      <c r="G66" s="35">
        <v>8.7778400000000003E-3</v>
      </c>
      <c r="H66" s="23">
        <v>5.8475000000000001</v>
      </c>
    </row>
    <row r="67" spans="1:8" x14ac:dyDescent="0.2">
      <c r="A67" s="31">
        <v>21</v>
      </c>
      <c r="B67" s="32" t="s">
        <v>368</v>
      </c>
      <c r="C67" s="32" t="s">
        <v>369</v>
      </c>
      <c r="D67" s="32" t="s">
        <v>110</v>
      </c>
      <c r="E67" s="33">
        <v>1000</v>
      </c>
      <c r="F67" s="34">
        <v>4943.2700000000004</v>
      </c>
      <c r="G67" s="35">
        <v>8.7505399999999994E-3</v>
      </c>
      <c r="H67" s="23">
        <v>5.9</v>
      </c>
    </row>
    <row r="68" spans="1:8" x14ac:dyDescent="0.2">
      <c r="A68" s="31">
        <v>22</v>
      </c>
      <c r="B68" s="32" t="s">
        <v>370</v>
      </c>
      <c r="C68" s="32" t="s">
        <v>371</v>
      </c>
      <c r="D68" s="32" t="s">
        <v>107</v>
      </c>
      <c r="E68" s="33">
        <v>1000</v>
      </c>
      <c r="F68" s="34">
        <v>4934.1000000000004</v>
      </c>
      <c r="G68" s="35">
        <v>8.7343000000000004E-3</v>
      </c>
      <c r="H68" s="23">
        <v>5.8037999999999998</v>
      </c>
    </row>
    <row r="69" spans="1:8" x14ac:dyDescent="0.2">
      <c r="A69" s="31">
        <v>23</v>
      </c>
      <c r="B69" s="32" t="s">
        <v>372</v>
      </c>
      <c r="C69" s="32" t="s">
        <v>373</v>
      </c>
      <c r="D69" s="32" t="s">
        <v>110</v>
      </c>
      <c r="E69" s="33">
        <v>500</v>
      </c>
      <c r="F69" s="34">
        <v>2493.9899999999998</v>
      </c>
      <c r="G69" s="35">
        <v>4.4148399999999997E-3</v>
      </c>
      <c r="H69" s="23">
        <v>5.8653000000000004</v>
      </c>
    </row>
    <row r="70" spans="1:8" x14ac:dyDescent="0.2">
      <c r="A70" s="31">
        <v>24</v>
      </c>
      <c r="B70" s="32" t="s">
        <v>374</v>
      </c>
      <c r="C70" s="32" t="s">
        <v>375</v>
      </c>
      <c r="D70" s="32" t="s">
        <v>110</v>
      </c>
      <c r="E70" s="33">
        <v>500</v>
      </c>
      <c r="F70" s="34">
        <v>2480.2399999999998</v>
      </c>
      <c r="G70" s="35">
        <v>4.3905000000000003E-3</v>
      </c>
      <c r="H70" s="23">
        <v>5.8159999999999998</v>
      </c>
    </row>
    <row r="71" spans="1:8" x14ac:dyDescent="0.2">
      <c r="A71" s="24"/>
      <c r="B71" s="24"/>
      <c r="C71" s="25" t="s">
        <v>11</v>
      </c>
      <c r="D71" s="24"/>
      <c r="E71" s="24" t="s">
        <v>12</v>
      </c>
      <c r="F71" s="30">
        <v>200422.3725</v>
      </c>
      <c r="G71" s="27">
        <v>0.35478606000000001</v>
      </c>
      <c r="H71" s="23" t="s">
        <v>12</v>
      </c>
    </row>
    <row r="72" spans="1:8" x14ac:dyDescent="0.2">
      <c r="A72" s="24"/>
      <c r="B72" s="24"/>
      <c r="C72" s="28"/>
      <c r="D72" s="24"/>
      <c r="E72" s="24"/>
      <c r="F72" s="29"/>
      <c r="G72" s="29"/>
      <c r="H72" s="23" t="s">
        <v>12</v>
      </c>
    </row>
    <row r="73" spans="1:8" x14ac:dyDescent="0.2">
      <c r="A73" s="24"/>
      <c r="B73" s="24"/>
      <c r="C73" s="25" t="s">
        <v>111</v>
      </c>
      <c r="D73" s="24"/>
      <c r="E73" s="24"/>
      <c r="F73" s="29"/>
      <c r="G73" s="29"/>
      <c r="H73" s="23" t="s">
        <v>12</v>
      </c>
    </row>
    <row r="74" spans="1:8" x14ac:dyDescent="0.2">
      <c r="A74" s="31">
        <v>1</v>
      </c>
      <c r="B74" s="32" t="s">
        <v>376</v>
      </c>
      <c r="C74" s="32" t="s">
        <v>377</v>
      </c>
      <c r="D74" s="32" t="s">
        <v>110</v>
      </c>
      <c r="E74" s="33">
        <v>3000</v>
      </c>
      <c r="F74" s="34">
        <v>14963.475</v>
      </c>
      <c r="G74" s="35">
        <v>2.648822E-2</v>
      </c>
      <c r="H74" s="23">
        <v>5.9394</v>
      </c>
    </row>
    <row r="75" spans="1:8" x14ac:dyDescent="0.2">
      <c r="A75" s="31">
        <v>2</v>
      </c>
      <c r="B75" s="32" t="s">
        <v>378</v>
      </c>
      <c r="C75" s="32" t="s">
        <v>379</v>
      </c>
      <c r="D75" s="32" t="s">
        <v>110</v>
      </c>
      <c r="E75" s="33">
        <v>2500</v>
      </c>
      <c r="F75" s="34">
        <v>12411.3125</v>
      </c>
      <c r="G75" s="35">
        <v>2.1970400000000001E-2</v>
      </c>
      <c r="H75" s="23">
        <v>5.9275000000000002</v>
      </c>
    </row>
    <row r="76" spans="1:8" x14ac:dyDescent="0.2">
      <c r="A76" s="31">
        <v>3</v>
      </c>
      <c r="B76" s="32" t="s">
        <v>380</v>
      </c>
      <c r="C76" s="32" t="s">
        <v>381</v>
      </c>
      <c r="D76" s="32" t="s">
        <v>110</v>
      </c>
      <c r="E76" s="33">
        <v>2000</v>
      </c>
      <c r="F76" s="34">
        <v>9935.2000000000007</v>
      </c>
      <c r="G76" s="35">
        <v>1.7587209999999999E-2</v>
      </c>
      <c r="H76" s="23">
        <v>6.2649999999999997</v>
      </c>
    </row>
    <row r="77" spans="1:8" x14ac:dyDescent="0.2">
      <c r="A77" s="31">
        <v>4</v>
      </c>
      <c r="B77" s="32" t="s">
        <v>382</v>
      </c>
      <c r="C77" s="32" t="s">
        <v>383</v>
      </c>
      <c r="D77" s="32" t="s">
        <v>110</v>
      </c>
      <c r="E77" s="33">
        <v>2000</v>
      </c>
      <c r="F77" s="34">
        <v>9928.43</v>
      </c>
      <c r="G77" s="35">
        <v>1.7575230000000001E-2</v>
      </c>
      <c r="H77" s="23">
        <v>6.2649999999999997</v>
      </c>
    </row>
    <row r="78" spans="1:8" x14ac:dyDescent="0.2">
      <c r="A78" s="31">
        <v>5</v>
      </c>
      <c r="B78" s="32" t="s">
        <v>384</v>
      </c>
      <c r="C78" s="32" t="s">
        <v>385</v>
      </c>
      <c r="D78" s="32" t="s">
        <v>110</v>
      </c>
      <c r="E78" s="33">
        <v>2000</v>
      </c>
      <c r="F78" s="34">
        <v>9926.5</v>
      </c>
      <c r="G78" s="35">
        <v>1.757181E-2</v>
      </c>
      <c r="H78" s="23">
        <v>6.2850000000000001</v>
      </c>
    </row>
    <row r="79" spans="1:8" x14ac:dyDescent="0.2">
      <c r="A79" s="31">
        <v>6</v>
      </c>
      <c r="B79" s="32" t="s">
        <v>386</v>
      </c>
      <c r="C79" s="32" t="s">
        <v>387</v>
      </c>
      <c r="D79" s="32" t="s">
        <v>110</v>
      </c>
      <c r="E79" s="33">
        <v>2000</v>
      </c>
      <c r="F79" s="34">
        <v>9906.3799999999992</v>
      </c>
      <c r="G79" s="35">
        <v>1.753619E-2</v>
      </c>
      <c r="H79" s="23">
        <v>6.16</v>
      </c>
    </row>
    <row r="80" spans="1:8" x14ac:dyDescent="0.2">
      <c r="A80" s="31">
        <v>7</v>
      </c>
      <c r="B80" s="32" t="s">
        <v>388</v>
      </c>
      <c r="C80" s="32" t="s">
        <v>389</v>
      </c>
      <c r="D80" s="32" t="s">
        <v>110</v>
      </c>
      <c r="E80" s="33">
        <v>2000</v>
      </c>
      <c r="F80" s="34">
        <v>9903.07</v>
      </c>
      <c r="G80" s="35">
        <v>1.753033E-2</v>
      </c>
      <c r="H80" s="23">
        <v>6.38</v>
      </c>
    </row>
    <row r="81" spans="1:8" x14ac:dyDescent="0.2">
      <c r="A81" s="31">
        <v>8</v>
      </c>
      <c r="B81" s="32" t="s">
        <v>390</v>
      </c>
      <c r="C81" s="32" t="s">
        <v>391</v>
      </c>
      <c r="D81" s="32" t="s">
        <v>110</v>
      </c>
      <c r="E81" s="33">
        <v>2000</v>
      </c>
      <c r="F81" s="34">
        <v>9890.16</v>
      </c>
      <c r="G81" s="35">
        <v>1.7507479999999999E-2</v>
      </c>
      <c r="H81" s="23">
        <v>5.875</v>
      </c>
    </row>
    <row r="82" spans="1:8" x14ac:dyDescent="0.2">
      <c r="A82" s="31">
        <v>9</v>
      </c>
      <c r="B82" s="32" t="s">
        <v>392</v>
      </c>
      <c r="C82" s="32" t="s">
        <v>393</v>
      </c>
      <c r="D82" s="32" t="s">
        <v>110</v>
      </c>
      <c r="E82" s="33">
        <v>2000</v>
      </c>
      <c r="F82" s="34">
        <v>9890.16</v>
      </c>
      <c r="G82" s="35">
        <v>1.7507479999999999E-2</v>
      </c>
      <c r="H82" s="23">
        <v>5.875</v>
      </c>
    </row>
    <row r="83" spans="1:8" x14ac:dyDescent="0.2">
      <c r="A83" s="31">
        <v>10</v>
      </c>
      <c r="B83" s="32" t="s">
        <v>394</v>
      </c>
      <c r="C83" s="32" t="s">
        <v>395</v>
      </c>
      <c r="D83" s="32" t="s">
        <v>110</v>
      </c>
      <c r="E83" s="33">
        <v>2000</v>
      </c>
      <c r="F83" s="34">
        <v>9882.9</v>
      </c>
      <c r="G83" s="35">
        <v>1.7494630000000001E-2</v>
      </c>
      <c r="H83" s="23">
        <v>5.9244000000000003</v>
      </c>
    </row>
    <row r="84" spans="1:8" x14ac:dyDescent="0.2">
      <c r="A84" s="31">
        <v>11</v>
      </c>
      <c r="B84" s="32" t="s">
        <v>396</v>
      </c>
      <c r="C84" s="32" t="s">
        <v>397</v>
      </c>
      <c r="D84" s="32" t="s">
        <v>110</v>
      </c>
      <c r="E84" s="33">
        <v>2000</v>
      </c>
      <c r="F84" s="34">
        <v>9875.83</v>
      </c>
      <c r="G84" s="35">
        <v>1.7482109999999999E-2</v>
      </c>
      <c r="H84" s="23">
        <v>5.8837999999999999</v>
      </c>
    </row>
    <row r="85" spans="1:8" x14ac:dyDescent="0.2">
      <c r="A85" s="31">
        <v>12</v>
      </c>
      <c r="B85" s="32" t="s">
        <v>398</v>
      </c>
      <c r="C85" s="32" t="s">
        <v>399</v>
      </c>
      <c r="D85" s="32" t="s">
        <v>110</v>
      </c>
      <c r="E85" s="33">
        <v>2000</v>
      </c>
      <c r="F85" s="34">
        <v>9875.42</v>
      </c>
      <c r="G85" s="35">
        <v>1.7481389999999999E-2</v>
      </c>
      <c r="H85" s="23">
        <v>5.98</v>
      </c>
    </row>
    <row r="86" spans="1:8" x14ac:dyDescent="0.2">
      <c r="A86" s="31">
        <v>13</v>
      </c>
      <c r="B86" s="32" t="s">
        <v>400</v>
      </c>
      <c r="C86" s="32" t="s">
        <v>401</v>
      </c>
      <c r="D86" s="32" t="s">
        <v>110</v>
      </c>
      <c r="E86" s="33">
        <v>2000</v>
      </c>
      <c r="F86" s="34">
        <v>9857.2199999999993</v>
      </c>
      <c r="G86" s="35">
        <v>1.744917E-2</v>
      </c>
      <c r="H86" s="23">
        <v>6.37</v>
      </c>
    </row>
    <row r="87" spans="1:8" x14ac:dyDescent="0.2">
      <c r="A87" s="31">
        <v>14</v>
      </c>
      <c r="B87" s="32" t="s">
        <v>402</v>
      </c>
      <c r="C87" s="32" t="s">
        <v>403</v>
      </c>
      <c r="D87" s="32" t="s">
        <v>107</v>
      </c>
      <c r="E87" s="33">
        <v>1500</v>
      </c>
      <c r="F87" s="34">
        <v>7481.58</v>
      </c>
      <c r="G87" s="35">
        <v>1.324383E-2</v>
      </c>
      <c r="H87" s="23">
        <v>5.99</v>
      </c>
    </row>
    <row r="88" spans="1:8" x14ac:dyDescent="0.2">
      <c r="A88" s="31">
        <v>15</v>
      </c>
      <c r="B88" s="32" t="s">
        <v>404</v>
      </c>
      <c r="C88" s="32" t="s">
        <v>405</v>
      </c>
      <c r="D88" s="32" t="s">
        <v>107</v>
      </c>
      <c r="E88" s="33">
        <v>1500</v>
      </c>
      <c r="F88" s="34">
        <v>7446.3675000000003</v>
      </c>
      <c r="G88" s="35">
        <v>1.3181500000000001E-2</v>
      </c>
      <c r="H88" s="23">
        <v>5.9749999999999996</v>
      </c>
    </row>
    <row r="89" spans="1:8" x14ac:dyDescent="0.2">
      <c r="A89" s="31">
        <v>16</v>
      </c>
      <c r="B89" s="32" t="s">
        <v>406</v>
      </c>
      <c r="C89" s="32" t="s">
        <v>407</v>
      </c>
      <c r="D89" s="32" t="s">
        <v>110</v>
      </c>
      <c r="E89" s="33">
        <v>1500</v>
      </c>
      <c r="F89" s="34">
        <v>7434.9750000000004</v>
      </c>
      <c r="G89" s="35">
        <v>1.3161330000000001E-2</v>
      </c>
      <c r="H89" s="23">
        <v>6.3849999999999998</v>
      </c>
    </row>
    <row r="90" spans="1:8" x14ac:dyDescent="0.2">
      <c r="A90" s="31">
        <v>17</v>
      </c>
      <c r="B90" s="32" t="s">
        <v>408</v>
      </c>
      <c r="C90" s="32" t="s">
        <v>409</v>
      </c>
      <c r="D90" s="32" t="s">
        <v>107</v>
      </c>
      <c r="E90" s="33">
        <v>1500</v>
      </c>
      <c r="F90" s="34">
        <v>7429.8149999999996</v>
      </c>
      <c r="G90" s="35">
        <v>1.3152199999999999E-2</v>
      </c>
      <c r="H90" s="23">
        <v>5.9450000000000003</v>
      </c>
    </row>
    <row r="91" spans="1:8" x14ac:dyDescent="0.2">
      <c r="A91" s="31">
        <v>18</v>
      </c>
      <c r="B91" s="32" t="s">
        <v>410</v>
      </c>
      <c r="C91" s="32" t="s">
        <v>411</v>
      </c>
      <c r="D91" s="32" t="s">
        <v>110</v>
      </c>
      <c r="E91" s="33">
        <v>1500</v>
      </c>
      <c r="F91" s="34">
        <v>7424.67</v>
      </c>
      <c r="G91" s="35">
        <v>1.314309E-2</v>
      </c>
      <c r="H91" s="23">
        <v>6.3849999999999998</v>
      </c>
    </row>
    <row r="92" spans="1:8" x14ac:dyDescent="0.2">
      <c r="A92" s="31">
        <v>19</v>
      </c>
      <c r="B92" s="32" t="s">
        <v>412</v>
      </c>
      <c r="C92" s="32" t="s">
        <v>413</v>
      </c>
      <c r="D92" s="32" t="s">
        <v>110</v>
      </c>
      <c r="E92" s="33">
        <v>1500</v>
      </c>
      <c r="F92" s="34">
        <v>7417.2524999999996</v>
      </c>
      <c r="G92" s="35">
        <v>1.312996E-2</v>
      </c>
      <c r="H92" s="23">
        <v>6.2649999999999997</v>
      </c>
    </row>
    <row r="93" spans="1:8" x14ac:dyDescent="0.2">
      <c r="A93" s="31">
        <v>20</v>
      </c>
      <c r="B93" s="32" t="s">
        <v>414</v>
      </c>
      <c r="C93" s="32" t="s">
        <v>415</v>
      </c>
      <c r="D93" s="32" t="s">
        <v>110</v>
      </c>
      <c r="E93" s="33">
        <v>1500</v>
      </c>
      <c r="F93" s="34">
        <v>7405.56</v>
      </c>
      <c r="G93" s="35">
        <v>1.3109259999999999E-2</v>
      </c>
      <c r="H93" s="23">
        <v>6.0449999999999999</v>
      </c>
    </row>
    <row r="94" spans="1:8" x14ac:dyDescent="0.2">
      <c r="A94" s="31">
        <v>21</v>
      </c>
      <c r="B94" s="32" t="s">
        <v>416</v>
      </c>
      <c r="C94" s="32" t="s">
        <v>417</v>
      </c>
      <c r="D94" s="32" t="s">
        <v>110</v>
      </c>
      <c r="E94" s="33">
        <v>1500</v>
      </c>
      <c r="F94" s="34">
        <v>7404.3225000000002</v>
      </c>
      <c r="G94" s="35">
        <v>1.310707E-2</v>
      </c>
      <c r="H94" s="23">
        <v>5.97</v>
      </c>
    </row>
    <row r="95" spans="1:8" x14ac:dyDescent="0.2">
      <c r="A95" s="31">
        <v>22</v>
      </c>
      <c r="B95" s="32" t="s">
        <v>418</v>
      </c>
      <c r="C95" s="32" t="s">
        <v>419</v>
      </c>
      <c r="D95" s="32" t="s">
        <v>110</v>
      </c>
      <c r="E95" s="33">
        <v>1000</v>
      </c>
      <c r="F95" s="34">
        <v>4981.4350000000004</v>
      </c>
      <c r="G95" s="35">
        <v>8.8181000000000006E-3</v>
      </c>
      <c r="H95" s="23">
        <v>5.915</v>
      </c>
    </row>
    <row r="96" spans="1:8" x14ac:dyDescent="0.2">
      <c r="A96" s="31">
        <v>23</v>
      </c>
      <c r="B96" s="32" t="s">
        <v>420</v>
      </c>
      <c r="C96" s="32" t="s">
        <v>421</v>
      </c>
      <c r="D96" s="32" t="s">
        <v>110</v>
      </c>
      <c r="E96" s="33">
        <v>1000</v>
      </c>
      <c r="F96" s="34">
        <v>4967.01</v>
      </c>
      <c r="G96" s="35">
        <v>8.7925599999999996E-3</v>
      </c>
      <c r="H96" s="23">
        <v>6.38</v>
      </c>
    </row>
    <row r="97" spans="1:8" x14ac:dyDescent="0.2">
      <c r="A97" s="31">
        <v>24</v>
      </c>
      <c r="B97" s="32" t="s">
        <v>422</v>
      </c>
      <c r="C97" s="32" t="s">
        <v>423</v>
      </c>
      <c r="D97" s="32" t="s">
        <v>110</v>
      </c>
      <c r="E97" s="33">
        <v>1000</v>
      </c>
      <c r="F97" s="34">
        <v>4963.165</v>
      </c>
      <c r="G97" s="35">
        <v>8.7857500000000002E-3</v>
      </c>
      <c r="H97" s="23">
        <v>6.3</v>
      </c>
    </row>
    <row r="98" spans="1:8" x14ac:dyDescent="0.2">
      <c r="A98" s="31">
        <v>25</v>
      </c>
      <c r="B98" s="32" t="s">
        <v>424</v>
      </c>
      <c r="C98" s="32" t="s">
        <v>425</v>
      </c>
      <c r="D98" s="32" t="s">
        <v>110</v>
      </c>
      <c r="E98" s="33">
        <v>1000</v>
      </c>
      <c r="F98" s="34">
        <v>4961.18</v>
      </c>
      <c r="G98" s="35">
        <v>8.7822400000000002E-3</v>
      </c>
      <c r="H98" s="23">
        <v>5.95</v>
      </c>
    </row>
    <row r="99" spans="1:8" x14ac:dyDescent="0.2">
      <c r="A99" s="31">
        <v>26</v>
      </c>
      <c r="B99" s="32" t="s">
        <v>426</v>
      </c>
      <c r="C99" s="32" t="s">
        <v>427</v>
      </c>
      <c r="D99" s="32" t="s">
        <v>110</v>
      </c>
      <c r="E99" s="33">
        <v>1000</v>
      </c>
      <c r="F99" s="34">
        <v>4958.4399999999996</v>
      </c>
      <c r="G99" s="35">
        <v>8.7773899999999995E-3</v>
      </c>
      <c r="H99" s="23">
        <v>5.8837999999999999</v>
      </c>
    </row>
    <row r="100" spans="1:8" x14ac:dyDescent="0.2">
      <c r="A100" s="31">
        <v>27</v>
      </c>
      <c r="B100" s="32" t="s">
        <v>428</v>
      </c>
      <c r="C100" s="32" t="s">
        <v>429</v>
      </c>
      <c r="D100" s="32" t="s">
        <v>110</v>
      </c>
      <c r="E100" s="33">
        <v>1000</v>
      </c>
      <c r="F100" s="34">
        <v>4956.9449999999997</v>
      </c>
      <c r="G100" s="35">
        <v>8.7747399999999996E-3</v>
      </c>
      <c r="H100" s="23">
        <v>6.47</v>
      </c>
    </row>
    <row r="101" spans="1:8" x14ac:dyDescent="0.2">
      <c r="A101" s="31">
        <v>28</v>
      </c>
      <c r="B101" s="32" t="s">
        <v>430</v>
      </c>
      <c r="C101" s="32" t="s">
        <v>431</v>
      </c>
      <c r="D101" s="32" t="s">
        <v>110</v>
      </c>
      <c r="E101" s="33">
        <v>1000</v>
      </c>
      <c r="F101" s="34">
        <v>4954.6949999999997</v>
      </c>
      <c r="G101" s="35">
        <v>8.7707600000000007E-3</v>
      </c>
      <c r="H101" s="23">
        <v>5.96</v>
      </c>
    </row>
    <row r="102" spans="1:8" x14ac:dyDescent="0.2">
      <c r="A102" s="31">
        <v>29</v>
      </c>
      <c r="B102" s="32" t="s">
        <v>432</v>
      </c>
      <c r="C102" s="32" t="s">
        <v>433</v>
      </c>
      <c r="D102" s="32" t="s">
        <v>110</v>
      </c>
      <c r="E102" s="33">
        <v>1000</v>
      </c>
      <c r="F102" s="34">
        <v>4951.58</v>
      </c>
      <c r="G102" s="35">
        <v>8.7652500000000005E-3</v>
      </c>
      <c r="H102" s="23">
        <v>6.49</v>
      </c>
    </row>
    <row r="103" spans="1:8" x14ac:dyDescent="0.2">
      <c r="A103" s="31">
        <v>30</v>
      </c>
      <c r="B103" s="32" t="s">
        <v>434</v>
      </c>
      <c r="C103" s="32" t="s">
        <v>435</v>
      </c>
      <c r="D103" s="32" t="s">
        <v>110</v>
      </c>
      <c r="E103" s="33">
        <v>1000</v>
      </c>
      <c r="F103" s="34">
        <v>4949.7950000000001</v>
      </c>
      <c r="G103" s="35">
        <v>8.7620900000000002E-3</v>
      </c>
      <c r="H103" s="23">
        <v>6.2750000000000004</v>
      </c>
    </row>
    <row r="104" spans="1:8" x14ac:dyDescent="0.2">
      <c r="A104" s="31">
        <v>31</v>
      </c>
      <c r="B104" s="32" t="s">
        <v>436</v>
      </c>
      <c r="C104" s="32" t="s">
        <v>437</v>
      </c>
      <c r="D104" s="32" t="s">
        <v>110</v>
      </c>
      <c r="E104" s="33">
        <v>1000</v>
      </c>
      <c r="F104" s="34">
        <v>4948.9449999999997</v>
      </c>
      <c r="G104" s="35">
        <v>8.7605800000000005E-3</v>
      </c>
      <c r="H104" s="23">
        <v>5.8837999999999999</v>
      </c>
    </row>
    <row r="105" spans="1:8" x14ac:dyDescent="0.2">
      <c r="A105" s="31">
        <v>32</v>
      </c>
      <c r="B105" s="32" t="s">
        <v>438</v>
      </c>
      <c r="C105" s="32" t="s">
        <v>439</v>
      </c>
      <c r="D105" s="32" t="s">
        <v>110</v>
      </c>
      <c r="E105" s="33">
        <v>1000</v>
      </c>
      <c r="F105" s="34">
        <v>4948.3599999999997</v>
      </c>
      <c r="G105" s="35">
        <v>8.7595499999999996E-3</v>
      </c>
      <c r="H105" s="23">
        <v>5.8601000000000001</v>
      </c>
    </row>
    <row r="106" spans="1:8" x14ac:dyDescent="0.2">
      <c r="A106" s="31">
        <v>33</v>
      </c>
      <c r="B106" s="32" t="s">
        <v>440</v>
      </c>
      <c r="C106" s="32" t="s">
        <v>441</v>
      </c>
      <c r="D106" s="32" t="s">
        <v>110</v>
      </c>
      <c r="E106" s="33">
        <v>1000</v>
      </c>
      <c r="F106" s="34">
        <v>4947.7749999999996</v>
      </c>
      <c r="G106" s="35">
        <v>8.7585100000000006E-3</v>
      </c>
      <c r="H106" s="23">
        <v>5.9275000000000002</v>
      </c>
    </row>
    <row r="107" spans="1:8" x14ac:dyDescent="0.2">
      <c r="A107" s="31">
        <v>34</v>
      </c>
      <c r="B107" s="32" t="s">
        <v>442</v>
      </c>
      <c r="C107" s="32" t="s">
        <v>443</v>
      </c>
      <c r="D107" s="32" t="s">
        <v>107</v>
      </c>
      <c r="E107" s="33">
        <v>1000</v>
      </c>
      <c r="F107" s="34">
        <v>4947.62</v>
      </c>
      <c r="G107" s="35">
        <v>8.7582400000000005E-3</v>
      </c>
      <c r="H107" s="23">
        <v>5.9450000000000003</v>
      </c>
    </row>
    <row r="108" spans="1:8" x14ac:dyDescent="0.2">
      <c r="A108" s="31">
        <v>35</v>
      </c>
      <c r="B108" s="32" t="s">
        <v>444</v>
      </c>
      <c r="C108" s="32" t="s">
        <v>445</v>
      </c>
      <c r="D108" s="32" t="s">
        <v>110</v>
      </c>
      <c r="E108" s="33">
        <v>1000</v>
      </c>
      <c r="F108" s="34">
        <v>4941.29</v>
      </c>
      <c r="G108" s="35">
        <v>8.7470299999999994E-3</v>
      </c>
      <c r="H108" s="23">
        <v>6.2850000000000001</v>
      </c>
    </row>
    <row r="109" spans="1:8" x14ac:dyDescent="0.2">
      <c r="A109" s="31">
        <v>36</v>
      </c>
      <c r="B109" s="32" t="s">
        <v>446</v>
      </c>
      <c r="C109" s="32" t="s">
        <v>447</v>
      </c>
      <c r="D109" s="32" t="s">
        <v>110</v>
      </c>
      <c r="E109" s="33">
        <v>1000</v>
      </c>
      <c r="F109" s="34">
        <v>4932.6899999999996</v>
      </c>
      <c r="G109" s="35">
        <v>8.7318099999999996E-3</v>
      </c>
      <c r="H109" s="23">
        <v>6.3049999999999997</v>
      </c>
    </row>
    <row r="110" spans="1:8" x14ac:dyDescent="0.2">
      <c r="A110" s="31">
        <v>37</v>
      </c>
      <c r="B110" s="32" t="s">
        <v>448</v>
      </c>
      <c r="C110" s="32" t="s">
        <v>449</v>
      </c>
      <c r="D110" s="32" t="s">
        <v>110</v>
      </c>
      <c r="E110" s="33">
        <v>500</v>
      </c>
      <c r="F110" s="34">
        <v>2493.9499999999998</v>
      </c>
      <c r="G110" s="35">
        <v>4.4147700000000002E-3</v>
      </c>
      <c r="H110" s="23">
        <v>6.3250000000000002</v>
      </c>
    </row>
    <row r="111" spans="1:8" x14ac:dyDescent="0.2">
      <c r="A111" s="31">
        <v>38</v>
      </c>
      <c r="B111" s="32" t="s">
        <v>450</v>
      </c>
      <c r="C111" s="32" t="s">
        <v>451</v>
      </c>
      <c r="D111" s="32" t="s">
        <v>110</v>
      </c>
      <c r="E111" s="33">
        <v>500</v>
      </c>
      <c r="F111" s="34">
        <v>2480.92</v>
      </c>
      <c r="G111" s="35">
        <v>4.3917000000000001E-3</v>
      </c>
      <c r="H111" s="23">
        <v>6.38</v>
      </c>
    </row>
    <row r="112" spans="1:8" x14ac:dyDescent="0.2">
      <c r="A112" s="31">
        <v>39</v>
      </c>
      <c r="B112" s="32" t="s">
        <v>452</v>
      </c>
      <c r="C112" s="32" t="s">
        <v>453</v>
      </c>
      <c r="D112" s="32" t="s">
        <v>110</v>
      </c>
      <c r="E112" s="33">
        <v>500</v>
      </c>
      <c r="F112" s="34">
        <v>2477.4299999999998</v>
      </c>
      <c r="G112" s="35">
        <v>4.3855300000000003E-3</v>
      </c>
      <c r="H112" s="23">
        <v>6.3949999999999996</v>
      </c>
    </row>
    <row r="113" spans="1:8" x14ac:dyDescent="0.2">
      <c r="A113" s="31">
        <v>40</v>
      </c>
      <c r="B113" s="32" t="s">
        <v>454</v>
      </c>
      <c r="C113" s="32" t="s">
        <v>455</v>
      </c>
      <c r="D113" s="32" t="s">
        <v>110</v>
      </c>
      <c r="E113" s="33">
        <v>500</v>
      </c>
      <c r="F113" s="34">
        <v>2470.6925000000001</v>
      </c>
      <c r="G113" s="35">
        <v>4.3736000000000001E-3</v>
      </c>
      <c r="H113" s="23">
        <v>6.2750000000000004</v>
      </c>
    </row>
    <row r="114" spans="1:8" x14ac:dyDescent="0.2">
      <c r="A114" s="24"/>
      <c r="B114" s="24"/>
      <c r="C114" s="25" t="s">
        <v>11</v>
      </c>
      <c r="D114" s="24"/>
      <c r="E114" s="24" t="s">
        <v>12</v>
      </c>
      <c r="F114" s="30">
        <v>279924.51750000002</v>
      </c>
      <c r="G114" s="27">
        <v>0.49552009000000002</v>
      </c>
      <c r="H114" s="23" t="s">
        <v>12</v>
      </c>
    </row>
    <row r="115" spans="1:8" x14ac:dyDescent="0.2">
      <c r="A115" s="24"/>
      <c r="B115" s="24"/>
      <c r="C115" s="28"/>
      <c r="D115" s="24"/>
      <c r="E115" s="24"/>
      <c r="F115" s="29"/>
      <c r="G115" s="29"/>
      <c r="H115" s="23" t="s">
        <v>12</v>
      </c>
    </row>
    <row r="116" spans="1:8" x14ac:dyDescent="0.2">
      <c r="A116" s="24"/>
      <c r="B116" s="24"/>
      <c r="C116" s="25" t="s">
        <v>112</v>
      </c>
      <c r="D116" s="24"/>
      <c r="E116" s="24"/>
      <c r="F116" s="29"/>
      <c r="G116" s="29"/>
      <c r="H116" s="23" t="s">
        <v>12</v>
      </c>
    </row>
    <row r="117" spans="1:8" x14ac:dyDescent="0.2">
      <c r="A117" s="31">
        <v>1</v>
      </c>
      <c r="B117" s="32" t="s">
        <v>456</v>
      </c>
      <c r="C117" s="32" t="s">
        <v>457</v>
      </c>
      <c r="D117" s="32" t="s">
        <v>81</v>
      </c>
      <c r="E117" s="33">
        <v>20000000</v>
      </c>
      <c r="F117" s="34">
        <v>19831.099999999999</v>
      </c>
      <c r="G117" s="35">
        <v>3.510485E-2</v>
      </c>
      <c r="H117" s="23">
        <v>5.36</v>
      </c>
    </row>
    <row r="118" spans="1:8" x14ac:dyDescent="0.2">
      <c r="A118" s="31">
        <v>2</v>
      </c>
      <c r="B118" s="32" t="s">
        <v>458</v>
      </c>
      <c r="C118" s="32" t="s">
        <v>459</v>
      </c>
      <c r="D118" s="32" t="s">
        <v>81</v>
      </c>
      <c r="E118" s="33">
        <v>19500000</v>
      </c>
      <c r="F118" s="34">
        <v>19276.783500000001</v>
      </c>
      <c r="G118" s="35">
        <v>3.4123599999999997E-2</v>
      </c>
      <c r="H118" s="23">
        <v>5.35</v>
      </c>
    </row>
    <row r="119" spans="1:8" x14ac:dyDescent="0.2">
      <c r="A119" s="31">
        <v>3</v>
      </c>
      <c r="B119" s="32" t="s">
        <v>460</v>
      </c>
      <c r="C119" s="32" t="s">
        <v>461</v>
      </c>
      <c r="D119" s="32" t="s">
        <v>81</v>
      </c>
      <c r="E119" s="33">
        <v>10000000</v>
      </c>
      <c r="F119" s="34">
        <v>9925.67</v>
      </c>
      <c r="G119" s="35">
        <v>1.757034E-2</v>
      </c>
      <c r="H119" s="23">
        <v>5.36</v>
      </c>
    </row>
    <row r="120" spans="1:8" x14ac:dyDescent="0.2">
      <c r="A120" s="31">
        <v>4</v>
      </c>
      <c r="B120" s="32" t="s">
        <v>462</v>
      </c>
      <c r="C120" s="32" t="s">
        <v>463</v>
      </c>
      <c r="D120" s="32" t="s">
        <v>81</v>
      </c>
      <c r="E120" s="33">
        <v>10000000</v>
      </c>
      <c r="F120" s="34">
        <v>9875.0499999999993</v>
      </c>
      <c r="G120" s="35">
        <v>1.748073E-2</v>
      </c>
      <c r="H120" s="23">
        <v>5.37</v>
      </c>
    </row>
    <row r="121" spans="1:8" x14ac:dyDescent="0.2">
      <c r="A121" s="31">
        <v>5</v>
      </c>
      <c r="B121" s="32" t="s">
        <v>464</v>
      </c>
      <c r="C121" s="32" t="s">
        <v>465</v>
      </c>
      <c r="D121" s="32" t="s">
        <v>81</v>
      </c>
      <c r="E121" s="33">
        <v>5000000</v>
      </c>
      <c r="F121" s="34">
        <v>4977.3850000000002</v>
      </c>
      <c r="G121" s="35">
        <v>8.8109299999999998E-3</v>
      </c>
      <c r="H121" s="23">
        <v>5.35</v>
      </c>
    </row>
    <row r="122" spans="1:8" x14ac:dyDescent="0.2">
      <c r="A122" s="31">
        <v>6</v>
      </c>
      <c r="B122" s="32" t="s">
        <v>466</v>
      </c>
      <c r="C122" s="32" t="s">
        <v>467</v>
      </c>
      <c r="D122" s="32" t="s">
        <v>81</v>
      </c>
      <c r="E122" s="33">
        <v>2500000</v>
      </c>
      <c r="F122" s="34">
        <v>2476.33</v>
      </c>
      <c r="G122" s="35">
        <v>4.3835799999999998E-3</v>
      </c>
      <c r="H122" s="23">
        <v>5.3677000000000001</v>
      </c>
    </row>
    <row r="123" spans="1:8" x14ac:dyDescent="0.2">
      <c r="A123" s="24"/>
      <c r="B123" s="24"/>
      <c r="C123" s="25" t="s">
        <v>11</v>
      </c>
      <c r="D123" s="24"/>
      <c r="E123" s="24" t="s">
        <v>12</v>
      </c>
      <c r="F123" s="30">
        <v>66362.318499999994</v>
      </c>
      <c r="G123" s="27">
        <v>0.11747402999999999</v>
      </c>
      <c r="H123" s="23" t="s">
        <v>12</v>
      </c>
    </row>
    <row r="124" spans="1:8" x14ac:dyDescent="0.2">
      <c r="A124" s="24"/>
      <c r="B124" s="24"/>
      <c r="C124" s="28"/>
      <c r="D124" s="24"/>
      <c r="E124" s="24"/>
      <c r="F124" s="29"/>
      <c r="G124" s="29"/>
      <c r="H124" s="23" t="s">
        <v>12</v>
      </c>
    </row>
    <row r="125" spans="1:8" x14ac:dyDescent="0.2">
      <c r="A125" s="24"/>
      <c r="B125" s="24"/>
      <c r="C125" s="25" t="s">
        <v>113</v>
      </c>
      <c r="D125" s="24"/>
      <c r="E125" s="24"/>
      <c r="F125" s="29"/>
      <c r="G125" s="29"/>
      <c r="H125" s="23" t="s">
        <v>12</v>
      </c>
    </row>
    <row r="126" spans="1:8" x14ac:dyDescent="0.2">
      <c r="A126" s="31">
        <v>1</v>
      </c>
      <c r="B126" s="32"/>
      <c r="C126" s="32" t="s">
        <v>114</v>
      </c>
      <c r="D126" s="32"/>
      <c r="E126" s="36"/>
      <c r="F126" s="34">
        <v>11002.317433996999</v>
      </c>
      <c r="G126" s="35">
        <v>1.9476210000000001E-2</v>
      </c>
      <c r="H126" s="23">
        <v>5.47</v>
      </c>
    </row>
    <row r="127" spans="1:8" x14ac:dyDescent="0.2">
      <c r="A127" s="24"/>
      <c r="B127" s="24"/>
      <c r="C127" s="25" t="s">
        <v>11</v>
      </c>
      <c r="D127" s="24"/>
      <c r="E127" s="24" t="s">
        <v>12</v>
      </c>
      <c r="F127" s="30">
        <v>11002.317433996999</v>
      </c>
      <c r="G127" s="27">
        <v>1.9476210000000001E-2</v>
      </c>
      <c r="H127" s="23" t="s">
        <v>12</v>
      </c>
    </row>
    <row r="128" spans="1:8" x14ac:dyDescent="0.2">
      <c r="A128" s="24"/>
      <c r="B128" s="24"/>
      <c r="C128" s="28"/>
      <c r="D128" s="24"/>
      <c r="E128" s="24"/>
      <c r="F128" s="29"/>
      <c r="G128" s="29"/>
      <c r="H128" s="23" t="s">
        <v>12</v>
      </c>
    </row>
    <row r="129" spans="1:17" x14ac:dyDescent="0.2">
      <c r="A129" s="24"/>
      <c r="B129" s="24"/>
      <c r="C129" s="25" t="s">
        <v>115</v>
      </c>
      <c r="D129" s="24"/>
      <c r="E129" s="24"/>
      <c r="F129" s="30">
        <v>557711.52593399701</v>
      </c>
      <c r="G129" s="27">
        <v>0.98725638999999998</v>
      </c>
      <c r="H129" s="23" t="s">
        <v>12</v>
      </c>
    </row>
    <row r="130" spans="1:17" x14ac:dyDescent="0.2">
      <c r="A130" s="24"/>
      <c r="B130" s="24"/>
      <c r="C130" s="29"/>
      <c r="D130" s="24"/>
      <c r="E130" s="24"/>
      <c r="F130" s="24"/>
      <c r="G130" s="24"/>
      <c r="H130" s="23" t="s">
        <v>12</v>
      </c>
    </row>
    <row r="131" spans="1:17" x14ac:dyDescent="0.2">
      <c r="A131" s="24"/>
      <c r="B131" s="24"/>
      <c r="C131" s="25" t="s">
        <v>116</v>
      </c>
      <c r="D131" s="24"/>
      <c r="E131" s="24"/>
      <c r="F131" s="24"/>
      <c r="G131" s="24"/>
      <c r="H131" s="23" t="s">
        <v>12</v>
      </c>
    </row>
    <row r="132" spans="1:17" x14ac:dyDescent="0.2">
      <c r="A132" s="24"/>
      <c r="B132" s="24"/>
      <c r="C132" s="25" t="s">
        <v>117</v>
      </c>
      <c r="D132" s="24"/>
      <c r="E132" s="24"/>
      <c r="F132" s="24"/>
      <c r="G132" s="24"/>
      <c r="H132" s="23" t="s">
        <v>12</v>
      </c>
    </row>
    <row r="133" spans="1:17" x14ac:dyDescent="0.2">
      <c r="A133" s="24"/>
      <c r="B133" s="24"/>
      <c r="C133" s="25" t="s">
        <v>11</v>
      </c>
      <c r="D133" s="24"/>
      <c r="E133" s="24" t="s">
        <v>12</v>
      </c>
      <c r="F133" s="26" t="s">
        <v>13</v>
      </c>
      <c r="G133" s="27">
        <v>0</v>
      </c>
      <c r="H133" s="23" t="s">
        <v>12</v>
      </c>
    </row>
    <row r="134" spans="1:17" x14ac:dyDescent="0.2">
      <c r="A134" s="21"/>
      <c r="B134" s="21"/>
      <c r="C134" s="99"/>
      <c r="D134" s="21"/>
      <c r="E134" s="21"/>
      <c r="F134" s="51"/>
      <c r="G134" s="51"/>
      <c r="H134" s="23" t="s">
        <v>12</v>
      </c>
    </row>
    <row r="135" spans="1:17" x14ac:dyDescent="0.2">
      <c r="A135" s="21"/>
      <c r="B135" s="21"/>
      <c r="C135" s="22" t="s">
        <v>618</v>
      </c>
      <c r="D135" s="21"/>
      <c r="E135" s="21"/>
      <c r="F135" s="51"/>
      <c r="G135" s="51"/>
      <c r="H135" s="23" t="s">
        <v>12</v>
      </c>
      <c r="K135" s="72"/>
      <c r="L135" s="72"/>
      <c r="M135" s="72"/>
      <c r="N135" s="72"/>
      <c r="O135" s="100"/>
      <c r="P135" s="100"/>
      <c r="Q135" s="100"/>
    </row>
    <row r="136" spans="1:17" x14ac:dyDescent="0.2">
      <c r="A136" s="93">
        <v>1</v>
      </c>
      <c r="B136" s="94" t="s">
        <v>118</v>
      </c>
      <c r="C136" s="94" t="s">
        <v>119</v>
      </c>
      <c r="D136" s="94"/>
      <c r="E136" s="101">
        <v>13489.8614</v>
      </c>
      <c r="F136" s="96">
        <v>1516.7271705640001</v>
      </c>
      <c r="G136" s="97">
        <v>2.6849E-3</v>
      </c>
      <c r="H136" s="23"/>
    </row>
    <row r="137" spans="1:17" x14ac:dyDescent="0.2">
      <c r="A137" s="21"/>
      <c r="B137" s="21"/>
      <c r="C137" s="22" t="s">
        <v>11</v>
      </c>
      <c r="D137" s="21"/>
      <c r="E137" s="21" t="s">
        <v>12</v>
      </c>
      <c r="F137" s="102">
        <f>SUM(F136)</f>
        <v>1516.7271705640001</v>
      </c>
      <c r="G137" s="103">
        <f>SUM(G136)</f>
        <v>2.6849E-3</v>
      </c>
      <c r="H137" s="23" t="s">
        <v>12</v>
      </c>
    </row>
    <row r="138" spans="1:17" x14ac:dyDescent="0.2">
      <c r="A138" s="24"/>
      <c r="B138" s="24"/>
      <c r="C138" s="28"/>
      <c r="D138" s="24"/>
      <c r="E138" s="24"/>
      <c r="F138" s="29"/>
      <c r="G138" s="29"/>
      <c r="H138" s="23" t="s">
        <v>12</v>
      </c>
    </row>
    <row r="139" spans="1:17" x14ac:dyDescent="0.2">
      <c r="A139" s="24"/>
      <c r="B139" s="24"/>
      <c r="C139" s="25" t="s">
        <v>120</v>
      </c>
      <c r="D139" s="24"/>
      <c r="E139" s="24"/>
      <c r="F139" s="24"/>
      <c r="G139" s="24"/>
      <c r="H139" s="23" t="s">
        <v>12</v>
      </c>
    </row>
    <row r="140" spans="1:17" x14ac:dyDescent="0.2">
      <c r="A140" s="24"/>
      <c r="B140" s="24"/>
      <c r="C140" s="25" t="s">
        <v>121</v>
      </c>
      <c r="D140" s="24"/>
      <c r="E140" s="24"/>
      <c r="F140" s="24"/>
      <c r="G140" s="24"/>
      <c r="H140" s="23" t="s">
        <v>12</v>
      </c>
    </row>
    <row r="141" spans="1:17" x14ac:dyDescent="0.2">
      <c r="A141" s="24"/>
      <c r="B141" s="24"/>
      <c r="C141" s="25" t="s">
        <v>11</v>
      </c>
      <c r="D141" s="24"/>
      <c r="E141" s="24" t="s">
        <v>12</v>
      </c>
      <c r="F141" s="26" t="s">
        <v>13</v>
      </c>
      <c r="G141" s="27">
        <v>0</v>
      </c>
      <c r="H141" s="23" t="s">
        <v>12</v>
      </c>
    </row>
    <row r="142" spans="1:17" x14ac:dyDescent="0.2">
      <c r="A142" s="24"/>
      <c r="B142" s="24"/>
      <c r="C142" s="28"/>
      <c r="D142" s="24"/>
      <c r="E142" s="24"/>
      <c r="F142" s="29"/>
      <c r="G142" s="29"/>
      <c r="H142" s="23" t="s">
        <v>12</v>
      </c>
    </row>
    <row r="143" spans="1:17" x14ac:dyDescent="0.2">
      <c r="A143" s="24"/>
      <c r="B143" s="24"/>
      <c r="C143" s="25" t="s">
        <v>122</v>
      </c>
      <c r="D143" s="24"/>
      <c r="E143" s="24"/>
      <c r="F143" s="29"/>
      <c r="G143" s="29"/>
      <c r="H143" s="23" t="s">
        <v>12</v>
      </c>
    </row>
    <row r="144" spans="1:17" x14ac:dyDescent="0.2">
      <c r="A144" s="24"/>
      <c r="B144" s="24"/>
      <c r="C144" s="25" t="s">
        <v>11</v>
      </c>
      <c r="D144" s="24"/>
      <c r="E144" s="24" t="s">
        <v>12</v>
      </c>
      <c r="F144" s="26" t="s">
        <v>13</v>
      </c>
      <c r="G144" s="27">
        <v>0</v>
      </c>
      <c r="H144" s="23" t="s">
        <v>12</v>
      </c>
    </row>
    <row r="145" spans="1:9" x14ac:dyDescent="0.2">
      <c r="A145" s="24"/>
      <c r="B145" s="32"/>
      <c r="C145" s="32"/>
      <c r="D145" s="25"/>
      <c r="E145" s="24"/>
      <c r="F145" s="32"/>
      <c r="G145" s="36"/>
      <c r="H145" s="23" t="s">
        <v>12</v>
      </c>
    </row>
    <row r="146" spans="1:9" x14ac:dyDescent="0.2">
      <c r="A146" s="36"/>
      <c r="B146" s="32"/>
      <c r="C146" s="32" t="s">
        <v>123</v>
      </c>
      <c r="D146" s="32"/>
      <c r="E146" s="36"/>
      <c r="F146" s="34">
        <f>-9336.10735265-0.00323955093383789</f>
        <v>-9336.1105922009338</v>
      </c>
      <c r="G146" s="35">
        <f>F146/F147</f>
        <v>-1.6526706174331839E-2</v>
      </c>
      <c r="H146" s="23" t="s">
        <v>12</v>
      </c>
    </row>
    <row r="147" spans="1:9" x14ac:dyDescent="0.2">
      <c r="A147" s="28"/>
      <c r="B147" s="28"/>
      <c r="C147" s="25" t="s">
        <v>124</v>
      </c>
      <c r="D147" s="29"/>
      <c r="E147" s="29"/>
      <c r="F147" s="30">
        <f>564910.548251911-0.00323955093383789</f>
        <v>564910.54501235997</v>
      </c>
      <c r="G147" s="37">
        <v>1.0000000499999999</v>
      </c>
      <c r="H147" s="23" t="s">
        <v>12</v>
      </c>
    </row>
    <row r="148" spans="1:9" x14ac:dyDescent="0.2">
      <c r="A148" s="38"/>
      <c r="B148" s="38"/>
      <c r="C148" s="38"/>
      <c r="D148" s="39"/>
      <c r="E148" s="39"/>
      <c r="F148" s="39"/>
      <c r="G148" s="39"/>
    </row>
    <row r="149" spans="1:9" x14ac:dyDescent="0.2">
      <c r="A149" s="40"/>
      <c r="B149" s="41" t="s">
        <v>614</v>
      </c>
      <c r="C149" s="41"/>
      <c r="D149" s="41"/>
      <c r="E149" s="41"/>
      <c r="F149" s="41"/>
      <c r="G149" s="41"/>
      <c r="H149" s="41"/>
    </row>
    <row r="150" spans="1:9" x14ac:dyDescent="0.2">
      <c r="A150" s="40"/>
      <c r="B150" s="41" t="s">
        <v>615</v>
      </c>
      <c r="C150" s="41"/>
      <c r="D150" s="41"/>
      <c r="E150" s="41"/>
      <c r="F150" s="41"/>
      <c r="G150" s="41"/>
      <c r="H150" s="41"/>
    </row>
    <row r="151" spans="1:9" x14ac:dyDescent="0.2">
      <c r="A151" s="40"/>
      <c r="B151" s="41" t="s">
        <v>616</v>
      </c>
      <c r="C151" s="41"/>
      <c r="D151" s="41"/>
      <c r="E151" s="41"/>
      <c r="F151" s="41"/>
      <c r="G151" s="41"/>
      <c r="H151" s="41"/>
    </row>
    <row r="152" spans="1:9" x14ac:dyDescent="0.2">
      <c r="A152" s="40"/>
      <c r="B152" s="226" t="s">
        <v>680</v>
      </c>
      <c r="C152" s="41"/>
      <c r="D152" s="41"/>
      <c r="E152" s="41"/>
      <c r="F152" s="41"/>
      <c r="G152" s="41"/>
      <c r="H152" s="41"/>
      <c r="I152" s="156"/>
    </row>
    <row r="153" spans="1:9" x14ac:dyDescent="0.2">
      <c r="A153" s="42"/>
      <c r="B153" s="42"/>
      <c r="C153" s="42"/>
      <c r="D153" s="43"/>
      <c r="E153" s="43"/>
      <c r="F153" s="43"/>
      <c r="G153" s="43"/>
    </row>
    <row r="154" spans="1:9" x14ac:dyDescent="0.2">
      <c r="A154" s="40"/>
      <c r="B154" s="44" t="s">
        <v>125</v>
      </c>
      <c r="C154" s="45"/>
      <c r="D154" s="46"/>
      <c r="E154" s="47"/>
      <c r="F154" s="48"/>
      <c r="G154" s="48"/>
    </row>
    <row r="155" spans="1:9" ht="25.5" x14ac:dyDescent="0.2">
      <c r="A155" s="40"/>
      <c r="B155" s="49" t="s">
        <v>126</v>
      </c>
      <c r="C155" s="50"/>
      <c r="D155" s="22" t="s">
        <v>642</v>
      </c>
      <c r="E155" s="47"/>
      <c r="F155" s="48"/>
      <c r="G155" s="48"/>
    </row>
    <row r="156" spans="1:9" x14ac:dyDescent="0.2">
      <c r="A156" s="40"/>
      <c r="B156" s="49" t="s">
        <v>128</v>
      </c>
      <c r="C156" s="50"/>
      <c r="D156" s="22" t="s">
        <v>127</v>
      </c>
      <c r="E156" s="47"/>
      <c r="F156" s="48"/>
      <c r="G156" s="48"/>
    </row>
    <row r="157" spans="1:9" x14ac:dyDescent="0.2">
      <c r="A157" s="40"/>
      <c r="B157" s="49" t="s">
        <v>129</v>
      </c>
      <c r="C157" s="50"/>
      <c r="D157" s="51" t="s">
        <v>12</v>
      </c>
      <c r="E157" s="47"/>
      <c r="F157" s="48"/>
      <c r="G157" s="48"/>
    </row>
    <row r="158" spans="1:9" x14ac:dyDescent="0.2">
      <c r="A158" s="52"/>
      <c r="B158" s="53" t="s">
        <v>12</v>
      </c>
      <c r="C158" s="53" t="s">
        <v>617</v>
      </c>
      <c r="D158" s="53" t="s">
        <v>130</v>
      </c>
      <c r="E158" s="52"/>
      <c r="F158" s="52"/>
      <c r="G158" s="52"/>
    </row>
    <row r="159" spans="1:9" x14ac:dyDescent="0.2">
      <c r="A159" s="52"/>
      <c r="B159" s="54" t="s">
        <v>131</v>
      </c>
      <c r="C159" s="55">
        <v>45823</v>
      </c>
      <c r="D159" s="55">
        <v>45838</v>
      </c>
      <c r="E159" s="52"/>
      <c r="F159" s="52"/>
      <c r="G159" s="52"/>
    </row>
    <row r="160" spans="1:9" x14ac:dyDescent="0.2">
      <c r="A160" s="56"/>
      <c r="B160" s="32" t="s">
        <v>132</v>
      </c>
      <c r="C160" s="57">
        <v>2324.5508</v>
      </c>
      <c r="D160" s="57">
        <v>2330.1052</v>
      </c>
      <c r="E160" s="56"/>
      <c r="F160" s="58"/>
      <c r="G160" s="59"/>
    </row>
    <row r="161" spans="1:17" x14ac:dyDescent="0.2">
      <c r="A161" s="56"/>
      <c r="B161" s="32" t="s">
        <v>178</v>
      </c>
      <c r="C161" s="57">
        <v>1278.2746999999999</v>
      </c>
      <c r="D161" s="36"/>
      <c r="E161" s="56"/>
      <c r="F161" s="58"/>
      <c r="G161" s="59"/>
    </row>
    <row r="162" spans="1:17" ht="25.5" x14ac:dyDescent="0.2">
      <c r="A162" s="56"/>
      <c r="B162" s="32" t="s">
        <v>743</v>
      </c>
      <c r="C162" s="57">
        <v>1032.7844</v>
      </c>
      <c r="D162" s="57">
        <v>1030.1125</v>
      </c>
      <c r="E162" s="56"/>
      <c r="F162" s="58"/>
      <c r="G162" s="59"/>
    </row>
    <row r="163" spans="1:17" ht="25.5" x14ac:dyDescent="0.2">
      <c r="A163" s="56"/>
      <c r="B163" s="32" t="s">
        <v>744</v>
      </c>
      <c r="C163" s="57">
        <v>1150.6284000000001</v>
      </c>
      <c r="D163" s="36"/>
      <c r="E163" s="56"/>
      <c r="F163" s="58"/>
      <c r="G163" s="59"/>
    </row>
    <row r="164" spans="1:17" x14ac:dyDescent="0.2">
      <c r="A164" s="56"/>
      <c r="B164" s="32" t="s">
        <v>133</v>
      </c>
      <c r="C164" s="57">
        <v>2297.8746000000001</v>
      </c>
      <c r="D164" s="57">
        <v>2303.1855</v>
      </c>
      <c r="E164" s="56"/>
      <c r="F164" s="58"/>
      <c r="G164" s="59"/>
    </row>
    <row r="165" spans="1:17" x14ac:dyDescent="0.2">
      <c r="A165" s="56"/>
      <c r="B165" s="32" t="s">
        <v>179</v>
      </c>
      <c r="C165" s="57">
        <v>1271.9431</v>
      </c>
      <c r="D165" s="36"/>
      <c r="E165" s="56"/>
      <c r="F165" s="58"/>
      <c r="G165" s="59"/>
    </row>
    <row r="166" spans="1:17" ht="25.5" x14ac:dyDescent="0.2">
      <c r="A166" s="56"/>
      <c r="B166" s="32" t="s">
        <v>747</v>
      </c>
      <c r="C166" s="57">
        <v>1031.9752000000001</v>
      </c>
      <c r="D166" s="57">
        <v>1029.3322000000001</v>
      </c>
      <c r="E166" s="56"/>
      <c r="F166" s="58"/>
      <c r="G166" s="59"/>
    </row>
    <row r="167" spans="1:17" ht="25.5" x14ac:dyDescent="0.2">
      <c r="A167" s="56"/>
      <c r="B167" s="32" t="s">
        <v>719</v>
      </c>
      <c r="C167" s="57">
        <v>1145.1039000000001</v>
      </c>
      <c r="D167" s="36"/>
      <c r="E167" s="56"/>
      <c r="F167" s="58"/>
      <c r="G167" s="59"/>
    </row>
    <row r="168" spans="1:17" x14ac:dyDescent="0.2">
      <c r="A168" s="56"/>
      <c r="B168" s="56"/>
      <c r="C168" s="56"/>
      <c r="D168" s="56"/>
      <c r="E168" s="56"/>
      <c r="F168" s="56"/>
      <c r="G168" s="56"/>
    </row>
    <row r="169" spans="1:17" x14ac:dyDescent="0.2">
      <c r="A169" s="56"/>
      <c r="B169" s="60" t="s">
        <v>739</v>
      </c>
      <c r="C169" s="61"/>
      <c r="D169" s="25" t="s">
        <v>12</v>
      </c>
      <c r="E169" s="56"/>
      <c r="F169" s="56"/>
      <c r="G169" s="56"/>
    </row>
    <row r="170" spans="1:17" x14ac:dyDescent="0.2">
      <c r="A170" s="56"/>
      <c r="B170" s="62" t="s">
        <v>131</v>
      </c>
      <c r="C170" s="63" t="s">
        <v>134</v>
      </c>
      <c r="D170" s="63" t="s">
        <v>135</v>
      </c>
      <c r="E170" s="56"/>
      <c r="F170" s="56"/>
      <c r="G170" s="56"/>
    </row>
    <row r="171" spans="1:17" ht="25.5" x14ac:dyDescent="0.2">
      <c r="A171" s="56"/>
      <c r="B171" s="32" t="s">
        <v>743</v>
      </c>
      <c r="C171" s="64">
        <v>5.13</v>
      </c>
      <c r="D171" s="64">
        <v>5.13</v>
      </c>
      <c r="E171" s="56"/>
      <c r="F171" s="58"/>
      <c r="G171" s="59"/>
    </row>
    <row r="172" spans="1:17" ht="25.5" x14ac:dyDescent="0.2">
      <c r="A172" s="56"/>
      <c r="B172" s="32" t="s">
        <v>744</v>
      </c>
      <c r="C172" s="64">
        <v>17.259</v>
      </c>
      <c r="D172" s="36" t="s">
        <v>136</v>
      </c>
      <c r="E172" s="56"/>
      <c r="F172" s="58"/>
      <c r="G172" s="59"/>
    </row>
    <row r="173" spans="1:17" ht="25.5" x14ac:dyDescent="0.2">
      <c r="A173" s="56"/>
      <c r="B173" s="32" t="s">
        <v>747</v>
      </c>
      <c r="C173" s="64">
        <v>5.13</v>
      </c>
      <c r="D173" s="64">
        <v>5.13</v>
      </c>
      <c r="E173" s="56"/>
      <c r="F173" s="58"/>
      <c r="G173" s="59"/>
    </row>
    <row r="174" spans="1:17" ht="25.5" x14ac:dyDescent="0.2">
      <c r="A174" s="56"/>
      <c r="B174" s="32" t="s">
        <v>719</v>
      </c>
      <c r="C174" s="64">
        <v>17.187999999999999</v>
      </c>
      <c r="D174" s="36" t="s">
        <v>136</v>
      </c>
      <c r="E174" s="56"/>
      <c r="F174" s="58"/>
      <c r="G174" s="59"/>
    </row>
    <row r="175" spans="1:17" x14ac:dyDescent="0.2">
      <c r="A175" s="56"/>
      <c r="B175" s="104"/>
      <c r="C175" s="104"/>
      <c r="D175" s="105"/>
      <c r="E175" s="56"/>
      <c r="F175" s="58"/>
      <c r="G175" s="59"/>
    </row>
    <row r="176" spans="1:17" s="74" customFormat="1" x14ac:dyDescent="0.2">
      <c r="A176" s="124"/>
      <c r="B176" s="49" t="s">
        <v>631</v>
      </c>
      <c r="C176" s="50"/>
      <c r="D176" s="22" t="s">
        <v>127</v>
      </c>
      <c r="E176" s="124"/>
      <c r="F176" s="124"/>
      <c r="G176" s="124"/>
      <c r="I176" s="156"/>
      <c r="J176" s="20"/>
      <c r="K176" s="72"/>
      <c r="L176" s="72"/>
      <c r="M176" s="72"/>
      <c r="N176" s="72"/>
      <c r="O176" s="78"/>
      <c r="P176" s="17"/>
      <c r="Q176" s="17"/>
    </row>
    <row r="177" spans="1:18" x14ac:dyDescent="0.2">
      <c r="A177" s="52"/>
      <c r="B177" s="49" t="s">
        <v>632</v>
      </c>
      <c r="C177" s="50"/>
      <c r="D177" s="22" t="s">
        <v>127</v>
      </c>
      <c r="E177" s="71"/>
      <c r="F177" s="52"/>
      <c r="G177" s="52"/>
      <c r="I177" s="156"/>
      <c r="J177" s="20"/>
    </row>
    <row r="178" spans="1:18" x14ac:dyDescent="0.2">
      <c r="A178" s="52"/>
      <c r="B178" s="49" t="s">
        <v>633</v>
      </c>
      <c r="C178" s="50"/>
      <c r="D178" s="22" t="s">
        <v>127</v>
      </c>
      <c r="E178" s="71"/>
      <c r="F178" s="52"/>
      <c r="G178" s="52"/>
      <c r="I178" s="156"/>
      <c r="J178" s="20"/>
    </row>
    <row r="179" spans="1:18" x14ac:dyDescent="0.2">
      <c r="A179" s="52"/>
      <c r="B179" s="49" t="s">
        <v>634</v>
      </c>
      <c r="C179" s="50"/>
      <c r="D179" s="22" t="s">
        <v>127</v>
      </c>
      <c r="E179" s="71"/>
      <c r="F179" s="52"/>
      <c r="G179" s="52"/>
      <c r="I179" s="156"/>
      <c r="J179" s="20"/>
    </row>
    <row r="180" spans="1:18" x14ac:dyDescent="0.2">
      <c r="A180" s="73"/>
      <c r="B180" s="73"/>
      <c r="C180" s="73"/>
      <c r="D180" s="73"/>
      <c r="E180" s="73"/>
      <c r="F180" s="73"/>
      <c r="G180" s="73"/>
      <c r="I180" s="156"/>
      <c r="J180" s="20"/>
    </row>
    <row r="181" spans="1:18" s="74" customFormat="1" x14ac:dyDescent="0.2">
      <c r="B181" s="176" t="s">
        <v>751</v>
      </c>
      <c r="C181" s="176"/>
      <c r="D181" s="176"/>
      <c r="E181" s="176"/>
      <c r="F181" s="176"/>
      <c r="G181" s="176"/>
      <c r="I181" s="156"/>
      <c r="J181" s="20"/>
      <c r="K181" s="72"/>
      <c r="L181" s="72"/>
      <c r="M181" s="72"/>
      <c r="N181" s="72"/>
      <c r="O181" s="17"/>
    </row>
    <row r="182" spans="1:18" ht="13.5" customHeight="1" x14ac:dyDescent="0.2">
      <c r="B182" s="227" t="s">
        <v>644</v>
      </c>
      <c r="C182" s="227" t="s">
        <v>645</v>
      </c>
      <c r="D182" s="228" t="s">
        <v>655</v>
      </c>
      <c r="E182" s="229"/>
      <c r="F182" s="230"/>
      <c r="G182" s="231" t="s">
        <v>663</v>
      </c>
      <c r="H182" s="232"/>
      <c r="I182" s="233"/>
      <c r="J182" s="72"/>
      <c r="K182" s="72"/>
      <c r="L182" s="72"/>
      <c r="M182" s="72"/>
      <c r="N182" s="72"/>
      <c r="O182" s="72"/>
    </row>
    <row r="183" spans="1:18" ht="46.5" customHeight="1" x14ac:dyDescent="0.2">
      <c r="B183" s="184"/>
      <c r="C183" s="184"/>
      <c r="D183" s="234" t="s">
        <v>664</v>
      </c>
      <c r="E183" s="234" t="s">
        <v>665</v>
      </c>
      <c r="F183" s="234" t="s">
        <v>666</v>
      </c>
      <c r="G183" s="186" t="s">
        <v>681</v>
      </c>
      <c r="H183" s="187"/>
      <c r="I183" s="234" t="s">
        <v>668</v>
      </c>
      <c r="J183" s="72"/>
      <c r="K183" s="72"/>
      <c r="L183" s="72"/>
      <c r="M183" s="72"/>
      <c r="N183" s="72"/>
      <c r="O183" s="72"/>
    </row>
    <row r="184" spans="1:18" ht="21" customHeight="1" x14ac:dyDescent="0.2">
      <c r="B184" s="188"/>
      <c r="C184" s="188"/>
      <c r="D184" s="189"/>
      <c r="E184" s="189"/>
      <c r="F184" s="189"/>
      <c r="G184" s="118" t="s">
        <v>669</v>
      </c>
      <c r="H184" s="118" t="s">
        <v>670</v>
      </c>
      <c r="I184" s="189"/>
      <c r="J184" s="72"/>
      <c r="K184" s="72"/>
      <c r="L184" s="72"/>
      <c r="M184" s="72"/>
      <c r="N184" s="72"/>
      <c r="O184" s="72"/>
    </row>
    <row r="185" spans="1:18" ht="13.5" x14ac:dyDescent="0.25">
      <c r="B185" s="115" t="s">
        <v>671</v>
      </c>
      <c r="C185" s="113" t="s">
        <v>672</v>
      </c>
      <c r="D185" s="235">
        <v>5523.9823999999999</v>
      </c>
      <c r="E185" s="10">
        <v>126.0176</v>
      </c>
      <c r="F185" s="223">
        <f>D185+E185</f>
        <v>5650</v>
      </c>
      <c r="G185" s="8">
        <v>239.15547683099999</v>
      </c>
      <c r="H185" s="8">
        <v>150.66</v>
      </c>
      <c r="I185" s="8">
        <f>G185+H185</f>
        <v>389.81547683099996</v>
      </c>
      <c r="J185" s="72"/>
      <c r="K185" s="72"/>
      <c r="L185" s="72"/>
      <c r="M185" s="72"/>
      <c r="N185" s="72"/>
      <c r="O185" s="72"/>
    </row>
    <row r="186" spans="1:18" ht="6.75" customHeight="1" x14ac:dyDescent="0.25">
      <c r="B186" s="195"/>
      <c r="C186" s="196"/>
      <c r="D186" s="197"/>
      <c r="E186" s="11"/>
      <c r="F186" s="198"/>
      <c r="G186" s="9"/>
      <c r="H186" s="9"/>
      <c r="I186" s="9"/>
      <c r="J186" s="72"/>
      <c r="K186" s="72"/>
      <c r="L186" s="72"/>
      <c r="M186" s="72"/>
      <c r="N186" s="72"/>
      <c r="O186" s="72"/>
    </row>
    <row r="187" spans="1:18" ht="51" customHeight="1" x14ac:dyDescent="0.2">
      <c r="B187" s="199" t="s">
        <v>673</v>
      </c>
      <c r="C187" s="199"/>
      <c r="D187" s="199"/>
      <c r="E187" s="199"/>
      <c r="F187" s="199"/>
      <c r="G187" s="199"/>
      <c r="H187" s="199"/>
      <c r="I187" s="199"/>
      <c r="J187" s="200"/>
      <c r="K187" s="72"/>
      <c r="L187" s="72"/>
      <c r="M187" s="72"/>
      <c r="N187" s="72"/>
      <c r="O187" s="72"/>
    </row>
    <row r="188" spans="1:18" ht="13.5" x14ac:dyDescent="0.25">
      <c r="B188" s="122" t="s">
        <v>674</v>
      </c>
      <c r="I188" s="72"/>
      <c r="J188" s="20"/>
      <c r="K188" s="72"/>
      <c r="L188" s="72"/>
      <c r="M188" s="72"/>
      <c r="N188" s="72"/>
      <c r="O188" s="72"/>
      <c r="P188" s="72"/>
    </row>
    <row r="189" spans="1:18" x14ac:dyDescent="0.2">
      <c r="B189" s="123"/>
      <c r="J189" s="20"/>
      <c r="K189" s="72"/>
      <c r="L189" s="72"/>
      <c r="M189" s="72"/>
      <c r="N189" s="72"/>
      <c r="O189" s="72"/>
    </row>
    <row r="190" spans="1:18" x14ac:dyDescent="0.2">
      <c r="B190" s="123" t="s">
        <v>678</v>
      </c>
      <c r="J190" s="20"/>
      <c r="K190" s="72"/>
      <c r="L190" s="72"/>
      <c r="M190" s="72"/>
      <c r="N190" s="72"/>
      <c r="O190" s="72"/>
    </row>
    <row r="191" spans="1:18" s="74" customFormat="1" x14ac:dyDescent="0.2">
      <c r="I191" s="156"/>
      <c r="J191" s="20"/>
      <c r="K191" s="72"/>
      <c r="L191" s="72"/>
      <c r="M191" s="72"/>
      <c r="N191" s="72"/>
      <c r="O191" s="17"/>
      <c r="R191" s="17"/>
    </row>
    <row r="192" spans="1:18" s="74" customFormat="1" x14ac:dyDescent="0.2">
      <c r="B192" s="75" t="s">
        <v>620</v>
      </c>
      <c r="C192" s="76"/>
      <c r="D192" s="77"/>
      <c r="I192" s="156"/>
      <c r="J192" s="20"/>
      <c r="K192" s="72"/>
      <c r="L192" s="72"/>
      <c r="M192" s="72"/>
      <c r="N192" s="72"/>
      <c r="O192" s="17"/>
      <c r="R192" s="17"/>
    </row>
    <row r="193" spans="2:18" s="74" customFormat="1" ht="25.5" x14ac:dyDescent="0.2">
      <c r="B193" s="79" t="s">
        <v>621</v>
      </c>
      <c r="C193" s="79"/>
      <c r="D193" s="80" t="s">
        <v>320</v>
      </c>
      <c r="I193" s="156"/>
      <c r="J193" s="20"/>
      <c r="K193" s="72"/>
      <c r="L193" s="72"/>
      <c r="M193" s="72"/>
      <c r="N193" s="72"/>
      <c r="O193" s="17"/>
      <c r="R193" s="17"/>
    </row>
    <row r="194" spans="2:18" s="74" customFormat="1" x14ac:dyDescent="0.2">
      <c r="B194" s="66" t="s">
        <v>622</v>
      </c>
      <c r="C194" s="66"/>
      <c r="D194" s="81"/>
      <c r="I194" s="156"/>
      <c r="J194" s="20"/>
      <c r="K194" s="72"/>
      <c r="L194" s="72"/>
      <c r="M194" s="72"/>
      <c r="N194" s="72"/>
      <c r="O194" s="17"/>
      <c r="R194" s="17"/>
    </row>
    <row r="195" spans="2:18" s="74" customFormat="1" x14ac:dyDescent="0.2">
      <c r="B195" s="66"/>
      <c r="C195" s="66"/>
      <c r="D195" s="82"/>
      <c r="I195" s="156"/>
      <c r="J195" s="20"/>
      <c r="K195" s="72"/>
      <c r="L195" s="72"/>
      <c r="M195" s="72"/>
      <c r="N195" s="72"/>
      <c r="O195" s="17"/>
      <c r="R195" s="17"/>
    </row>
    <row r="196" spans="2:18" s="74" customFormat="1" x14ac:dyDescent="0.2">
      <c r="B196" s="66" t="s">
        <v>623</v>
      </c>
      <c r="C196" s="66"/>
      <c r="D196" s="83">
        <v>5.9370106408009153</v>
      </c>
      <c r="I196" s="156"/>
      <c r="J196" s="20"/>
      <c r="K196" s="72"/>
      <c r="L196" s="72"/>
      <c r="M196" s="72"/>
      <c r="N196" s="72"/>
      <c r="O196" s="17"/>
      <c r="R196" s="17"/>
    </row>
    <row r="197" spans="2:18" s="74" customFormat="1" x14ac:dyDescent="0.2">
      <c r="B197" s="66"/>
      <c r="C197" s="66"/>
      <c r="D197" s="82"/>
      <c r="I197" s="156"/>
      <c r="J197" s="20"/>
      <c r="K197" s="72"/>
      <c r="L197" s="72"/>
      <c r="M197" s="72"/>
      <c r="N197" s="72"/>
      <c r="O197" s="17"/>
      <c r="R197" s="17"/>
    </row>
    <row r="198" spans="2:18" s="74" customFormat="1" x14ac:dyDescent="0.2">
      <c r="B198" s="66" t="s">
        <v>624</v>
      </c>
      <c r="C198" s="66"/>
      <c r="D198" s="83">
        <v>0.16090954582728656</v>
      </c>
      <c r="I198" s="156"/>
      <c r="J198" s="20"/>
      <c r="K198" s="72"/>
      <c r="L198" s="72"/>
      <c r="M198" s="72"/>
      <c r="N198" s="72"/>
      <c r="O198" s="17"/>
      <c r="R198" s="17"/>
    </row>
    <row r="199" spans="2:18" s="74" customFormat="1" x14ac:dyDescent="0.2">
      <c r="B199" s="66" t="s">
        <v>625</v>
      </c>
      <c r="C199" s="66"/>
      <c r="D199" s="83">
        <v>0.16089998253838408</v>
      </c>
      <c r="I199" s="156"/>
      <c r="J199" s="20"/>
      <c r="K199" s="72"/>
      <c r="L199" s="72"/>
      <c r="M199" s="72"/>
      <c r="N199" s="72"/>
      <c r="O199" s="17"/>
      <c r="R199" s="17"/>
    </row>
    <row r="200" spans="2:18" s="74" customFormat="1" x14ac:dyDescent="0.2">
      <c r="B200" s="66"/>
      <c r="C200" s="66"/>
      <c r="D200" s="82"/>
      <c r="I200" s="156"/>
      <c r="J200" s="20"/>
      <c r="K200" s="72"/>
      <c r="L200" s="72"/>
      <c r="M200" s="72"/>
      <c r="N200" s="72"/>
      <c r="O200" s="17"/>
      <c r="P200" s="17"/>
      <c r="Q200" s="17"/>
      <c r="R200" s="17"/>
    </row>
    <row r="201" spans="2:18" s="74" customFormat="1" x14ac:dyDescent="0.2">
      <c r="B201" s="66" t="s">
        <v>626</v>
      </c>
      <c r="C201" s="66"/>
      <c r="D201" s="85" t="s">
        <v>750</v>
      </c>
      <c r="I201" s="156"/>
      <c r="J201" s="20"/>
      <c r="K201" s="72"/>
      <c r="L201" s="72"/>
      <c r="M201" s="72"/>
      <c r="N201" s="72"/>
      <c r="O201" s="78"/>
    </row>
    <row r="202" spans="2:18" s="74" customFormat="1" x14ac:dyDescent="0.2">
      <c r="B202" s="86" t="s">
        <v>627</v>
      </c>
      <c r="C202" s="87"/>
      <c r="D202" s="88"/>
      <c r="I202" s="156"/>
      <c r="J202" s="20"/>
      <c r="K202" s="72"/>
      <c r="L202" s="72"/>
      <c r="M202" s="72"/>
      <c r="N202" s="72"/>
      <c r="O202" s="17"/>
      <c r="P202" s="17"/>
      <c r="Q202" s="17"/>
      <c r="R202" s="17"/>
    </row>
    <row r="203" spans="2:18" x14ac:dyDescent="0.2">
      <c r="I203" s="156"/>
      <c r="J203" s="20"/>
    </row>
    <row r="204" spans="2:18" x14ac:dyDescent="0.2">
      <c r="B204" s="90" t="s">
        <v>628</v>
      </c>
      <c r="I204" s="156"/>
    </row>
    <row r="205" spans="2:18" x14ac:dyDescent="0.2">
      <c r="I205" s="156"/>
    </row>
    <row r="206" spans="2:18" ht="153.75" customHeight="1" x14ac:dyDescent="0.2">
      <c r="I206" s="156"/>
    </row>
    <row r="207" spans="2:18" x14ac:dyDescent="0.2">
      <c r="I207" s="156"/>
    </row>
    <row r="208" spans="2:18" x14ac:dyDescent="0.2">
      <c r="I208" s="156"/>
    </row>
    <row r="209" spans="2:10" x14ac:dyDescent="0.2">
      <c r="B209" s="91" t="s">
        <v>629</v>
      </c>
      <c r="C209" s="92"/>
      <c r="D209" s="91"/>
      <c r="I209" s="156"/>
    </row>
    <row r="210" spans="2:10" x14ac:dyDescent="0.2">
      <c r="B210" s="91" t="s">
        <v>682</v>
      </c>
      <c r="D210" s="91"/>
      <c r="I210" s="156"/>
    </row>
    <row r="211" spans="2:10" ht="165" customHeight="1" x14ac:dyDescent="0.2">
      <c r="I211" s="156"/>
    </row>
    <row r="212" spans="2:10" x14ac:dyDescent="0.2">
      <c r="I212" s="156"/>
    </row>
    <row r="213" spans="2:10" x14ac:dyDescent="0.2">
      <c r="I213" s="156"/>
      <c r="J213" s="20"/>
    </row>
  </sheetData>
  <mergeCells count="37">
    <mergeCell ref="B178:C178"/>
    <mergeCell ref="B179:C179"/>
    <mergeCell ref="B169:C169"/>
    <mergeCell ref="B177:C177"/>
    <mergeCell ref="B176:C176"/>
    <mergeCell ref="B151:H151"/>
    <mergeCell ref="B154:D154"/>
    <mergeCell ref="B155:C155"/>
    <mergeCell ref="B156:C156"/>
    <mergeCell ref="B157:C157"/>
    <mergeCell ref="B152:H152"/>
    <mergeCell ref="A1:H1"/>
    <mergeCell ref="A2:H2"/>
    <mergeCell ref="A3:H3"/>
    <mergeCell ref="B149:H149"/>
    <mergeCell ref="B150:H150"/>
    <mergeCell ref="B182:B184"/>
    <mergeCell ref="C182:C184"/>
    <mergeCell ref="D182:F182"/>
    <mergeCell ref="G182:I182"/>
    <mergeCell ref="D183:D184"/>
    <mergeCell ref="E183:E184"/>
    <mergeCell ref="F183:F184"/>
    <mergeCell ref="G183:H183"/>
    <mergeCell ref="I183:I184"/>
    <mergeCell ref="B187:I187"/>
    <mergeCell ref="B192:D192"/>
    <mergeCell ref="B193:C193"/>
    <mergeCell ref="B194:C194"/>
    <mergeCell ref="B195:C195"/>
    <mergeCell ref="B201:C201"/>
    <mergeCell ref="B202:D202"/>
    <mergeCell ref="B196:C196"/>
    <mergeCell ref="B197:C197"/>
    <mergeCell ref="B198:C198"/>
    <mergeCell ref="B199:C199"/>
    <mergeCell ref="B200:C200"/>
  </mergeCells>
  <hyperlinks>
    <hyperlink ref="I1" location="Index!B2" display="Index" xr:uid="{43308C02-674A-4DEB-88A6-F083816A0F7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252F-C5E8-4F34-AB65-AF59FB89BE00}">
  <sheetPr>
    <outlinePr summaryBelow="0" summaryRight="0"/>
  </sheetPr>
  <dimension ref="A1:S183"/>
  <sheetViews>
    <sheetView showGridLines="0" workbookViewId="0">
      <selection sqref="A1:H1"/>
    </sheetView>
  </sheetViews>
  <sheetFormatPr defaultRowHeight="12.75" x14ac:dyDescent="0.2"/>
  <cols>
    <col min="1" max="1" width="5.85546875" style="17" bestFit="1" customWidth="1"/>
    <col min="2" max="2" width="20.7109375" style="17" customWidth="1"/>
    <col min="3" max="3" width="64" style="17" bestFit="1" customWidth="1"/>
    <col min="4" max="4" width="10.7109375" style="17" bestFit="1" customWidth="1"/>
    <col min="5" max="5" width="8.7109375" style="17" bestFit="1" customWidth="1"/>
    <col min="6" max="6" width="10.140625" style="17" bestFit="1" customWidth="1"/>
    <col min="7" max="7" width="14" style="17" bestFit="1" customWidth="1"/>
    <col min="8" max="8" width="9.85546875" style="17" bestFit="1" customWidth="1"/>
    <col min="9" max="16384" width="9.140625" style="17"/>
  </cols>
  <sheetData>
    <row r="1" spans="1:9" ht="15" x14ac:dyDescent="0.2">
      <c r="A1" s="16" t="s">
        <v>0</v>
      </c>
      <c r="B1" s="16"/>
      <c r="C1" s="16"/>
      <c r="D1" s="16"/>
      <c r="E1" s="16"/>
      <c r="F1" s="16"/>
      <c r="G1" s="16"/>
      <c r="H1" s="16"/>
      <c r="I1" s="1" t="s">
        <v>599</v>
      </c>
    </row>
    <row r="2" spans="1:9" ht="15" x14ac:dyDescent="0.2">
      <c r="A2" s="16" t="s">
        <v>468</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598</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31">
        <v>1</v>
      </c>
      <c r="B28" s="32" t="s">
        <v>288</v>
      </c>
      <c r="C28" s="32" t="s">
        <v>289</v>
      </c>
      <c r="D28" s="32" t="s">
        <v>282</v>
      </c>
      <c r="E28" s="33">
        <v>1100</v>
      </c>
      <c r="F28" s="34">
        <v>1105.3823</v>
      </c>
      <c r="G28" s="35">
        <v>5.0927170000000001E-2</v>
      </c>
      <c r="H28" s="23">
        <v>7.3449999999999998</v>
      </c>
    </row>
    <row r="29" spans="1:8" x14ac:dyDescent="0.2">
      <c r="A29" s="31">
        <v>2</v>
      </c>
      <c r="B29" s="32" t="s">
        <v>469</v>
      </c>
      <c r="C29" s="32" t="s">
        <v>470</v>
      </c>
      <c r="D29" s="32" t="s">
        <v>23</v>
      </c>
      <c r="E29" s="33">
        <v>1000</v>
      </c>
      <c r="F29" s="34">
        <v>1026.1020000000001</v>
      </c>
      <c r="G29" s="35">
        <v>4.7274570000000002E-2</v>
      </c>
      <c r="H29" s="23">
        <v>6.6973000000000003</v>
      </c>
    </row>
    <row r="30" spans="1:8" x14ac:dyDescent="0.2">
      <c r="A30" s="31">
        <v>3</v>
      </c>
      <c r="B30" s="32" t="s">
        <v>35</v>
      </c>
      <c r="C30" s="32" t="s">
        <v>36</v>
      </c>
      <c r="D30" s="32" t="s">
        <v>23</v>
      </c>
      <c r="E30" s="33">
        <v>1000</v>
      </c>
      <c r="F30" s="34">
        <v>1025.037</v>
      </c>
      <c r="G30" s="35">
        <v>4.7225499999999997E-2</v>
      </c>
      <c r="H30" s="23">
        <v>6.8502999999999998</v>
      </c>
    </row>
    <row r="31" spans="1:8" x14ac:dyDescent="0.2">
      <c r="A31" s="31">
        <v>4</v>
      </c>
      <c r="B31" s="32" t="s">
        <v>152</v>
      </c>
      <c r="C31" s="32" t="s">
        <v>153</v>
      </c>
      <c r="D31" s="32" t="s">
        <v>23</v>
      </c>
      <c r="E31" s="33">
        <v>1000</v>
      </c>
      <c r="F31" s="34">
        <v>1021.818</v>
      </c>
      <c r="G31" s="35">
        <v>4.70772E-2</v>
      </c>
      <c r="H31" s="23">
        <v>6.54</v>
      </c>
    </row>
    <row r="32" spans="1:8" x14ac:dyDescent="0.2">
      <c r="A32" s="31">
        <v>5</v>
      </c>
      <c r="B32" s="32" t="s">
        <v>290</v>
      </c>
      <c r="C32" s="32" t="s">
        <v>291</v>
      </c>
      <c r="D32" s="32" t="s">
        <v>285</v>
      </c>
      <c r="E32" s="33">
        <v>1000</v>
      </c>
      <c r="F32" s="34">
        <v>1013.634</v>
      </c>
      <c r="G32" s="35">
        <v>4.6700140000000001E-2</v>
      </c>
      <c r="H32" s="23">
        <v>7.4116</v>
      </c>
    </row>
    <row r="33" spans="1:8" x14ac:dyDescent="0.2">
      <c r="A33" s="31">
        <v>6</v>
      </c>
      <c r="B33" s="32" t="s">
        <v>471</v>
      </c>
      <c r="C33" s="32" t="s">
        <v>472</v>
      </c>
      <c r="D33" s="32" t="s">
        <v>309</v>
      </c>
      <c r="E33" s="33">
        <v>500</v>
      </c>
      <c r="F33" s="34">
        <v>513.1925</v>
      </c>
      <c r="G33" s="35">
        <v>2.36438E-2</v>
      </c>
      <c r="H33" s="23">
        <v>7.6924999999999999</v>
      </c>
    </row>
    <row r="34" spans="1:8" x14ac:dyDescent="0.2">
      <c r="A34" s="31">
        <v>7</v>
      </c>
      <c r="B34" s="32" t="s">
        <v>67</v>
      </c>
      <c r="C34" s="32" t="s">
        <v>68</v>
      </c>
      <c r="D34" s="32" t="s">
        <v>23</v>
      </c>
      <c r="E34" s="33">
        <v>50</v>
      </c>
      <c r="F34" s="34">
        <v>510.89550000000003</v>
      </c>
      <c r="G34" s="35">
        <v>2.353798E-2</v>
      </c>
      <c r="H34" s="23">
        <v>6.97</v>
      </c>
    </row>
    <row r="35" spans="1:8" x14ac:dyDescent="0.2">
      <c r="A35" s="31">
        <v>8</v>
      </c>
      <c r="B35" s="32" t="s">
        <v>146</v>
      </c>
      <c r="C35" s="32" t="s">
        <v>147</v>
      </c>
      <c r="D35" s="32" t="s">
        <v>23</v>
      </c>
      <c r="E35" s="33">
        <v>500</v>
      </c>
      <c r="F35" s="34">
        <v>510.29399999999998</v>
      </c>
      <c r="G35" s="35">
        <v>2.3510260000000002E-2</v>
      </c>
      <c r="H35" s="23">
        <v>6.48</v>
      </c>
    </row>
    <row r="36" spans="1:8" x14ac:dyDescent="0.2">
      <c r="A36" s="31">
        <v>9</v>
      </c>
      <c r="B36" s="32" t="s">
        <v>162</v>
      </c>
      <c r="C36" s="32" t="s">
        <v>163</v>
      </c>
      <c r="D36" s="32" t="s">
        <v>32</v>
      </c>
      <c r="E36" s="33">
        <v>500</v>
      </c>
      <c r="F36" s="34">
        <v>508.92349999999999</v>
      </c>
      <c r="G36" s="35">
        <v>2.3447119999999998E-2</v>
      </c>
      <c r="H36" s="23">
        <v>6.625</v>
      </c>
    </row>
    <row r="37" spans="1:8" x14ac:dyDescent="0.2">
      <c r="A37" s="31">
        <v>10</v>
      </c>
      <c r="B37" s="32" t="s">
        <v>280</v>
      </c>
      <c r="C37" s="32" t="s">
        <v>281</v>
      </c>
      <c r="D37" s="32" t="s">
        <v>282</v>
      </c>
      <c r="E37" s="33">
        <v>500</v>
      </c>
      <c r="F37" s="34">
        <v>506.62950000000001</v>
      </c>
      <c r="G37" s="35">
        <v>2.334143E-2</v>
      </c>
      <c r="H37" s="23">
        <v>7.5350000000000001</v>
      </c>
    </row>
    <row r="38" spans="1:8" x14ac:dyDescent="0.2">
      <c r="A38" s="31">
        <v>11</v>
      </c>
      <c r="B38" s="32" t="s">
        <v>303</v>
      </c>
      <c r="C38" s="32" t="s">
        <v>304</v>
      </c>
      <c r="D38" s="32" t="s">
        <v>32</v>
      </c>
      <c r="E38" s="33">
        <v>500</v>
      </c>
      <c r="F38" s="34">
        <v>506.22199999999998</v>
      </c>
      <c r="G38" s="35">
        <v>2.3322659999999999E-2</v>
      </c>
      <c r="H38" s="23">
        <v>7.1749999999999998</v>
      </c>
    </row>
    <row r="39" spans="1:8" x14ac:dyDescent="0.2">
      <c r="A39" s="31">
        <v>12</v>
      </c>
      <c r="B39" s="32" t="s">
        <v>292</v>
      </c>
      <c r="C39" s="32" t="s">
        <v>293</v>
      </c>
      <c r="D39" s="32" t="s">
        <v>23</v>
      </c>
      <c r="E39" s="33">
        <v>50</v>
      </c>
      <c r="F39" s="34">
        <v>505.68299999999999</v>
      </c>
      <c r="G39" s="35">
        <v>2.3297829999999999E-2</v>
      </c>
      <c r="H39" s="23">
        <v>6.51</v>
      </c>
    </row>
    <row r="40" spans="1:8" x14ac:dyDescent="0.2">
      <c r="A40" s="31">
        <v>13</v>
      </c>
      <c r="B40" s="32" t="s">
        <v>310</v>
      </c>
      <c r="C40" s="32" t="s">
        <v>311</v>
      </c>
      <c r="D40" s="32" t="s">
        <v>282</v>
      </c>
      <c r="E40" s="33">
        <v>500</v>
      </c>
      <c r="F40" s="34">
        <v>505.44450000000001</v>
      </c>
      <c r="G40" s="35">
        <v>2.328684E-2</v>
      </c>
      <c r="H40" s="23">
        <v>8.1300000000000008</v>
      </c>
    </row>
    <row r="41" spans="1:8" x14ac:dyDescent="0.2">
      <c r="A41" s="31">
        <v>14</v>
      </c>
      <c r="B41" s="32" t="s">
        <v>473</v>
      </c>
      <c r="C41" s="32" t="s">
        <v>474</v>
      </c>
      <c r="D41" s="32" t="s">
        <v>23</v>
      </c>
      <c r="E41" s="33">
        <v>500</v>
      </c>
      <c r="F41" s="34">
        <v>505.02850000000001</v>
      </c>
      <c r="G41" s="35">
        <v>2.3267670000000001E-2</v>
      </c>
      <c r="H41" s="23">
        <v>6.5</v>
      </c>
    </row>
    <row r="42" spans="1:8" x14ac:dyDescent="0.2">
      <c r="A42" s="31">
        <v>15</v>
      </c>
      <c r="B42" s="32" t="s">
        <v>286</v>
      </c>
      <c r="C42" s="32" t="s">
        <v>287</v>
      </c>
      <c r="D42" s="32" t="s">
        <v>23</v>
      </c>
      <c r="E42" s="33">
        <v>500</v>
      </c>
      <c r="F42" s="34">
        <v>504.863</v>
      </c>
      <c r="G42" s="35">
        <v>2.3260050000000001E-2</v>
      </c>
      <c r="H42" s="23">
        <v>6.52</v>
      </c>
    </row>
    <row r="43" spans="1:8" x14ac:dyDescent="0.2">
      <c r="A43" s="31">
        <v>16</v>
      </c>
      <c r="B43" s="32" t="s">
        <v>71</v>
      </c>
      <c r="C43" s="32" t="s">
        <v>72</v>
      </c>
      <c r="D43" s="32" t="s">
        <v>23</v>
      </c>
      <c r="E43" s="33">
        <v>500</v>
      </c>
      <c r="F43" s="34">
        <v>504.46350000000001</v>
      </c>
      <c r="G43" s="35">
        <v>2.3241640000000001E-2</v>
      </c>
      <c r="H43" s="23">
        <v>6.58</v>
      </c>
    </row>
    <row r="44" spans="1:8" x14ac:dyDescent="0.2">
      <c r="A44" s="31">
        <v>17</v>
      </c>
      <c r="B44" s="32" t="s">
        <v>475</v>
      </c>
      <c r="C44" s="32" t="s">
        <v>476</v>
      </c>
      <c r="D44" s="32" t="s">
        <v>282</v>
      </c>
      <c r="E44" s="33">
        <v>500</v>
      </c>
      <c r="F44" s="34">
        <v>503.62650000000002</v>
      </c>
      <c r="G44" s="35">
        <v>2.3203080000000001E-2</v>
      </c>
      <c r="H44" s="23">
        <v>7.9375</v>
      </c>
    </row>
    <row r="45" spans="1:8" x14ac:dyDescent="0.2">
      <c r="A45" s="31">
        <v>18</v>
      </c>
      <c r="B45" s="32" t="s">
        <v>477</v>
      </c>
      <c r="C45" s="32" t="s">
        <v>478</v>
      </c>
      <c r="D45" s="32" t="s">
        <v>23</v>
      </c>
      <c r="E45" s="33">
        <v>50</v>
      </c>
      <c r="F45" s="34">
        <v>502.83249999999998</v>
      </c>
      <c r="G45" s="35">
        <v>2.31665E-2</v>
      </c>
      <c r="H45" s="23">
        <v>6.54</v>
      </c>
    </row>
    <row r="46" spans="1:8" x14ac:dyDescent="0.2">
      <c r="A46" s="31">
        <v>19</v>
      </c>
      <c r="B46" s="32" t="s">
        <v>479</v>
      </c>
      <c r="C46" s="32" t="s">
        <v>480</v>
      </c>
      <c r="D46" s="32" t="s">
        <v>23</v>
      </c>
      <c r="E46" s="33">
        <v>50</v>
      </c>
      <c r="F46" s="34">
        <v>496.56900000000002</v>
      </c>
      <c r="G46" s="35">
        <v>2.2877930000000001E-2</v>
      </c>
      <c r="H46" s="23">
        <v>6.77</v>
      </c>
    </row>
    <row r="47" spans="1:8" x14ac:dyDescent="0.2">
      <c r="A47" s="31">
        <v>20</v>
      </c>
      <c r="B47" s="32" t="s">
        <v>283</v>
      </c>
      <c r="C47" s="32" t="s">
        <v>284</v>
      </c>
      <c r="D47" s="32" t="s">
        <v>285</v>
      </c>
      <c r="E47" s="33">
        <v>300</v>
      </c>
      <c r="F47" s="34">
        <v>303.56639999999999</v>
      </c>
      <c r="G47" s="35">
        <v>1.3985910000000001E-2</v>
      </c>
      <c r="H47" s="23">
        <v>7.03</v>
      </c>
    </row>
    <row r="48" spans="1:8" x14ac:dyDescent="0.2">
      <c r="A48" s="24"/>
      <c r="B48" s="24"/>
      <c r="C48" s="25" t="s">
        <v>11</v>
      </c>
      <c r="D48" s="24"/>
      <c r="E48" s="24" t="s">
        <v>12</v>
      </c>
      <c r="F48" s="30">
        <v>12580.207200000001</v>
      </c>
      <c r="G48" s="27">
        <v>0.57959528000000005</v>
      </c>
      <c r="H48" s="23" t="s">
        <v>12</v>
      </c>
    </row>
    <row r="49" spans="1:8" x14ac:dyDescent="0.2">
      <c r="A49" s="24"/>
      <c r="B49" s="24"/>
      <c r="C49" s="28"/>
      <c r="D49" s="24"/>
      <c r="E49" s="24"/>
      <c r="F49" s="29"/>
      <c r="G49" s="29"/>
      <c r="H49" s="23" t="s">
        <v>12</v>
      </c>
    </row>
    <row r="50" spans="1:8" x14ac:dyDescent="0.2">
      <c r="A50" s="24"/>
      <c r="B50" s="24"/>
      <c r="C50" s="25" t="s">
        <v>77</v>
      </c>
      <c r="D50" s="24"/>
      <c r="E50" s="24"/>
      <c r="F50" s="24"/>
      <c r="G50" s="24"/>
      <c r="H50" s="23" t="s">
        <v>12</v>
      </c>
    </row>
    <row r="51" spans="1:8" x14ac:dyDescent="0.2">
      <c r="A51" s="24"/>
      <c r="B51" s="24"/>
      <c r="C51" s="25" t="s">
        <v>11</v>
      </c>
      <c r="D51" s="24"/>
      <c r="E51" s="24" t="s">
        <v>12</v>
      </c>
      <c r="F51" s="26" t="s">
        <v>13</v>
      </c>
      <c r="G51" s="27">
        <v>0</v>
      </c>
      <c r="H51" s="23" t="s">
        <v>12</v>
      </c>
    </row>
    <row r="52" spans="1:8" x14ac:dyDescent="0.2">
      <c r="A52" s="24"/>
      <c r="B52" s="24"/>
      <c r="C52" s="28"/>
      <c r="D52" s="24"/>
      <c r="E52" s="24"/>
      <c r="F52" s="29"/>
      <c r="G52" s="29"/>
      <c r="H52" s="23" t="s">
        <v>12</v>
      </c>
    </row>
    <row r="53" spans="1:8" x14ac:dyDescent="0.2">
      <c r="A53" s="24"/>
      <c r="B53" s="24"/>
      <c r="C53" s="25" t="s">
        <v>78</v>
      </c>
      <c r="D53" s="24"/>
      <c r="E53" s="24"/>
      <c r="F53" s="24"/>
      <c r="G53" s="24"/>
      <c r="H53" s="23" t="s">
        <v>12</v>
      </c>
    </row>
    <row r="54" spans="1:8" x14ac:dyDescent="0.2">
      <c r="A54" s="31">
        <v>1</v>
      </c>
      <c r="B54" s="32" t="s">
        <v>96</v>
      </c>
      <c r="C54" s="32" t="s">
        <v>97</v>
      </c>
      <c r="D54" s="32" t="s">
        <v>81</v>
      </c>
      <c r="E54" s="33">
        <v>2500000</v>
      </c>
      <c r="F54" s="34">
        <v>2613.56</v>
      </c>
      <c r="G54" s="35">
        <v>0.12041193</v>
      </c>
      <c r="H54" s="23">
        <v>6.5155000000000003</v>
      </c>
    </row>
    <row r="55" spans="1:8" x14ac:dyDescent="0.2">
      <c r="A55" s="31">
        <v>2</v>
      </c>
      <c r="B55" s="32" t="s">
        <v>90</v>
      </c>
      <c r="C55" s="32" t="s">
        <v>91</v>
      </c>
      <c r="D55" s="32" t="s">
        <v>81</v>
      </c>
      <c r="E55" s="33">
        <v>1500000</v>
      </c>
      <c r="F55" s="34">
        <v>1564.203</v>
      </c>
      <c r="G55" s="35">
        <v>7.2065959999999998E-2</v>
      </c>
      <c r="H55" s="23">
        <v>6.0109000000000004</v>
      </c>
    </row>
    <row r="56" spans="1:8" x14ac:dyDescent="0.2">
      <c r="A56" s="31">
        <v>3</v>
      </c>
      <c r="B56" s="32" t="s">
        <v>312</v>
      </c>
      <c r="C56" s="32" t="s">
        <v>313</v>
      </c>
      <c r="D56" s="32" t="s">
        <v>81</v>
      </c>
      <c r="E56" s="33">
        <v>700000</v>
      </c>
      <c r="F56" s="34">
        <v>720.72</v>
      </c>
      <c r="G56" s="35">
        <v>3.320501E-2</v>
      </c>
      <c r="H56" s="23">
        <v>5.85</v>
      </c>
    </row>
    <row r="57" spans="1:8" x14ac:dyDescent="0.2">
      <c r="A57" s="31">
        <v>4</v>
      </c>
      <c r="B57" s="32" t="s">
        <v>82</v>
      </c>
      <c r="C57" s="32" t="s">
        <v>83</v>
      </c>
      <c r="D57" s="32" t="s">
        <v>81</v>
      </c>
      <c r="E57" s="33">
        <v>500000</v>
      </c>
      <c r="F57" s="34">
        <v>526.83399999999995</v>
      </c>
      <c r="G57" s="35">
        <v>2.42723E-2</v>
      </c>
      <c r="H57" s="23">
        <v>6.2229000000000001</v>
      </c>
    </row>
    <row r="58" spans="1:8" x14ac:dyDescent="0.2">
      <c r="A58" s="31">
        <v>5</v>
      </c>
      <c r="B58" s="32" t="s">
        <v>481</v>
      </c>
      <c r="C58" s="32" t="s">
        <v>482</v>
      </c>
      <c r="D58" s="32" t="s">
        <v>81</v>
      </c>
      <c r="E58" s="33">
        <v>500000</v>
      </c>
      <c r="F58" s="34">
        <v>522.88750000000005</v>
      </c>
      <c r="G58" s="35">
        <v>2.4090469999999999E-2</v>
      </c>
      <c r="H58" s="23">
        <v>6.8483999999999998</v>
      </c>
    </row>
    <row r="59" spans="1:8" x14ac:dyDescent="0.2">
      <c r="A59" s="31">
        <v>6</v>
      </c>
      <c r="B59" s="32" t="s">
        <v>88</v>
      </c>
      <c r="C59" s="32" t="s">
        <v>89</v>
      </c>
      <c r="D59" s="32" t="s">
        <v>81</v>
      </c>
      <c r="E59" s="33">
        <v>500000</v>
      </c>
      <c r="F59" s="34">
        <v>522.67600000000004</v>
      </c>
      <c r="G59" s="35">
        <v>2.4080730000000002E-2</v>
      </c>
      <c r="H59" s="23">
        <v>6.7370999999999999</v>
      </c>
    </row>
    <row r="60" spans="1:8" x14ac:dyDescent="0.2">
      <c r="A60" s="31">
        <v>7</v>
      </c>
      <c r="B60" s="32" t="s">
        <v>168</v>
      </c>
      <c r="C60" s="32" t="s">
        <v>169</v>
      </c>
      <c r="D60" s="32" t="s">
        <v>81</v>
      </c>
      <c r="E60" s="33">
        <v>500000</v>
      </c>
      <c r="F60" s="34">
        <v>517.89</v>
      </c>
      <c r="G60" s="35">
        <v>2.386023E-2</v>
      </c>
      <c r="H60" s="23">
        <v>6.0907</v>
      </c>
    </row>
    <row r="61" spans="1:8" x14ac:dyDescent="0.2">
      <c r="A61" s="24"/>
      <c r="B61" s="24"/>
      <c r="C61" s="25" t="s">
        <v>11</v>
      </c>
      <c r="D61" s="24"/>
      <c r="E61" s="24" t="s">
        <v>12</v>
      </c>
      <c r="F61" s="30">
        <v>6988.7704999999996</v>
      </c>
      <c r="G61" s="27">
        <v>0.32198663</v>
      </c>
      <c r="H61" s="23" t="s">
        <v>12</v>
      </c>
    </row>
    <row r="62" spans="1:8" x14ac:dyDescent="0.2">
      <c r="A62" s="24"/>
      <c r="B62" s="24"/>
      <c r="C62" s="28"/>
      <c r="D62" s="24"/>
      <c r="E62" s="24"/>
      <c r="F62" s="29"/>
      <c r="G62" s="29"/>
      <c r="H62" s="23" t="s">
        <v>12</v>
      </c>
    </row>
    <row r="63" spans="1:8" x14ac:dyDescent="0.2">
      <c r="A63" s="24"/>
      <c r="B63" s="24"/>
      <c r="C63" s="25" t="s">
        <v>98</v>
      </c>
      <c r="D63" s="24"/>
      <c r="E63" s="24"/>
      <c r="F63" s="29"/>
      <c r="G63" s="29"/>
      <c r="H63" s="23" t="s">
        <v>12</v>
      </c>
    </row>
    <row r="64" spans="1:8" x14ac:dyDescent="0.2">
      <c r="A64" s="24"/>
      <c r="B64" s="24"/>
      <c r="C64" s="25" t="s">
        <v>11</v>
      </c>
      <c r="D64" s="24"/>
      <c r="E64" s="24" t="s">
        <v>12</v>
      </c>
      <c r="F64" s="26" t="s">
        <v>13</v>
      </c>
      <c r="G64" s="27">
        <v>0</v>
      </c>
      <c r="H64" s="23" t="s">
        <v>12</v>
      </c>
    </row>
    <row r="65" spans="1:8" x14ac:dyDescent="0.2">
      <c r="A65" s="24"/>
      <c r="B65" s="24"/>
      <c r="C65" s="28"/>
      <c r="D65" s="24"/>
      <c r="E65" s="24"/>
      <c r="F65" s="29"/>
      <c r="G65" s="29"/>
      <c r="H65" s="23" t="s">
        <v>12</v>
      </c>
    </row>
    <row r="66" spans="1:8" x14ac:dyDescent="0.2">
      <c r="A66" s="24"/>
      <c r="B66" s="24"/>
      <c r="C66" s="25" t="s">
        <v>99</v>
      </c>
      <c r="D66" s="24"/>
      <c r="E66" s="24"/>
      <c r="F66" s="30">
        <v>19568.977699999999</v>
      </c>
      <c r="G66" s="27">
        <v>0.90158190999999999</v>
      </c>
      <c r="H66" s="23" t="s">
        <v>12</v>
      </c>
    </row>
    <row r="67" spans="1:8" x14ac:dyDescent="0.2">
      <c r="A67" s="24"/>
      <c r="B67" s="24"/>
      <c r="C67" s="28"/>
      <c r="D67" s="24"/>
      <c r="E67" s="24"/>
      <c r="F67" s="29"/>
      <c r="G67" s="29"/>
      <c r="H67" s="23" t="s">
        <v>12</v>
      </c>
    </row>
    <row r="68" spans="1:8" x14ac:dyDescent="0.2">
      <c r="A68" s="24"/>
      <c r="B68" s="24"/>
      <c r="C68" s="25" t="s">
        <v>100</v>
      </c>
      <c r="D68" s="24"/>
      <c r="E68" s="24"/>
      <c r="F68" s="29"/>
      <c r="G68" s="29"/>
      <c r="H68" s="23" t="s">
        <v>12</v>
      </c>
    </row>
    <row r="69" spans="1:8" x14ac:dyDescent="0.2">
      <c r="A69" s="24"/>
      <c r="B69" s="24"/>
      <c r="C69" s="25" t="s">
        <v>101</v>
      </c>
      <c r="D69" s="24"/>
      <c r="E69" s="24"/>
      <c r="F69" s="29"/>
      <c r="G69" s="29"/>
      <c r="H69" s="23" t="s">
        <v>12</v>
      </c>
    </row>
    <row r="70" spans="1:8" x14ac:dyDescent="0.2">
      <c r="A70" s="24"/>
      <c r="B70" s="24"/>
      <c r="C70" s="25" t="s">
        <v>11</v>
      </c>
      <c r="D70" s="24"/>
      <c r="E70" s="24" t="s">
        <v>12</v>
      </c>
      <c r="F70" s="26" t="s">
        <v>13</v>
      </c>
      <c r="G70" s="27">
        <v>0</v>
      </c>
      <c r="H70" s="23" t="s">
        <v>12</v>
      </c>
    </row>
    <row r="71" spans="1:8" x14ac:dyDescent="0.2">
      <c r="A71" s="24"/>
      <c r="B71" s="24"/>
      <c r="C71" s="28"/>
      <c r="D71" s="24"/>
      <c r="E71" s="24"/>
      <c r="F71" s="29"/>
      <c r="G71" s="29"/>
      <c r="H71" s="23" t="s">
        <v>12</v>
      </c>
    </row>
    <row r="72" spans="1:8" x14ac:dyDescent="0.2">
      <c r="A72" s="24"/>
      <c r="B72" s="24"/>
      <c r="C72" s="25" t="s">
        <v>111</v>
      </c>
      <c r="D72" s="24"/>
      <c r="E72" s="24"/>
      <c r="F72" s="29"/>
      <c r="G72" s="29"/>
      <c r="H72" s="23" t="s">
        <v>12</v>
      </c>
    </row>
    <row r="73" spans="1:8" x14ac:dyDescent="0.2">
      <c r="A73" s="24"/>
      <c r="B73" s="24"/>
      <c r="C73" s="25" t="s">
        <v>11</v>
      </c>
      <c r="D73" s="24"/>
      <c r="E73" s="24" t="s">
        <v>12</v>
      </c>
      <c r="F73" s="26" t="s">
        <v>13</v>
      </c>
      <c r="G73" s="27">
        <v>0</v>
      </c>
      <c r="H73" s="23" t="s">
        <v>12</v>
      </c>
    </row>
    <row r="74" spans="1:8" x14ac:dyDescent="0.2">
      <c r="A74" s="24"/>
      <c r="B74" s="24"/>
      <c r="C74" s="28"/>
      <c r="D74" s="24"/>
      <c r="E74" s="24"/>
      <c r="F74" s="29"/>
      <c r="G74" s="29"/>
      <c r="H74" s="23" t="s">
        <v>12</v>
      </c>
    </row>
    <row r="75" spans="1:8" x14ac:dyDescent="0.2">
      <c r="A75" s="24"/>
      <c r="B75" s="24"/>
      <c r="C75" s="25" t="s">
        <v>112</v>
      </c>
      <c r="D75" s="24"/>
      <c r="E75" s="24"/>
      <c r="F75" s="29"/>
      <c r="G75" s="29"/>
      <c r="H75" s="23" t="s">
        <v>12</v>
      </c>
    </row>
    <row r="76" spans="1:8" x14ac:dyDescent="0.2">
      <c r="A76" s="24"/>
      <c r="B76" s="24"/>
      <c r="C76" s="25" t="s">
        <v>11</v>
      </c>
      <c r="D76" s="24"/>
      <c r="E76" s="24" t="s">
        <v>12</v>
      </c>
      <c r="F76" s="26" t="s">
        <v>13</v>
      </c>
      <c r="G76" s="27">
        <v>0</v>
      </c>
      <c r="H76" s="23" t="s">
        <v>12</v>
      </c>
    </row>
    <row r="77" spans="1:8" x14ac:dyDescent="0.2">
      <c r="A77" s="24"/>
      <c r="B77" s="24"/>
      <c r="C77" s="28"/>
      <c r="D77" s="24"/>
      <c r="E77" s="24"/>
      <c r="F77" s="29"/>
      <c r="G77" s="29"/>
      <c r="H77" s="23" t="s">
        <v>12</v>
      </c>
    </row>
    <row r="78" spans="1:8" x14ac:dyDescent="0.2">
      <c r="A78" s="24"/>
      <c r="B78" s="24"/>
      <c r="C78" s="25" t="s">
        <v>113</v>
      </c>
      <c r="D78" s="24"/>
      <c r="E78" s="24"/>
      <c r="F78" s="29"/>
      <c r="G78" s="29"/>
      <c r="H78" s="23" t="s">
        <v>12</v>
      </c>
    </row>
    <row r="79" spans="1:8" x14ac:dyDescent="0.2">
      <c r="A79" s="31">
        <v>1</v>
      </c>
      <c r="B79" s="32"/>
      <c r="C79" s="32" t="s">
        <v>114</v>
      </c>
      <c r="D79" s="32"/>
      <c r="E79" s="36"/>
      <c r="F79" s="34">
        <v>1596.693203002</v>
      </c>
      <c r="G79" s="35">
        <v>7.3562849999999999E-2</v>
      </c>
      <c r="H79" s="23">
        <v>5.47</v>
      </c>
    </row>
    <row r="80" spans="1:8" x14ac:dyDescent="0.2">
      <c r="A80" s="24"/>
      <c r="B80" s="24"/>
      <c r="C80" s="25" t="s">
        <v>11</v>
      </c>
      <c r="D80" s="24"/>
      <c r="E80" s="24" t="s">
        <v>12</v>
      </c>
      <c r="F80" s="30">
        <v>1596.693203002</v>
      </c>
      <c r="G80" s="27">
        <v>7.3562849999999999E-2</v>
      </c>
      <c r="H80" s="23" t="s">
        <v>12</v>
      </c>
    </row>
    <row r="81" spans="1:17" x14ac:dyDescent="0.2">
      <c r="A81" s="24"/>
      <c r="B81" s="24"/>
      <c r="C81" s="28"/>
      <c r="D81" s="24"/>
      <c r="E81" s="24"/>
      <c r="F81" s="29"/>
      <c r="G81" s="29"/>
      <c r="H81" s="23" t="s">
        <v>12</v>
      </c>
    </row>
    <row r="82" spans="1:17" x14ac:dyDescent="0.2">
      <c r="A82" s="24"/>
      <c r="B82" s="24"/>
      <c r="C82" s="25" t="s">
        <v>115</v>
      </c>
      <c r="D82" s="24"/>
      <c r="E82" s="24"/>
      <c r="F82" s="30">
        <v>1596.693203002</v>
      </c>
      <c r="G82" s="27">
        <v>7.3562849999999999E-2</v>
      </c>
      <c r="H82" s="23" t="s">
        <v>12</v>
      </c>
    </row>
    <row r="83" spans="1:17" x14ac:dyDescent="0.2">
      <c r="A83" s="24"/>
      <c r="B83" s="24"/>
      <c r="C83" s="29"/>
      <c r="D83" s="24"/>
      <c r="E83" s="24"/>
      <c r="F83" s="24"/>
      <c r="G83" s="24"/>
      <c r="H83" s="23" t="s">
        <v>12</v>
      </c>
    </row>
    <row r="84" spans="1:17" x14ac:dyDescent="0.2">
      <c r="A84" s="24"/>
      <c r="B84" s="24"/>
      <c r="C84" s="25" t="s">
        <v>116</v>
      </c>
      <c r="D84" s="24"/>
      <c r="E84" s="24"/>
      <c r="F84" s="24"/>
      <c r="G84" s="24"/>
      <c r="H84" s="23" t="s">
        <v>12</v>
      </c>
    </row>
    <row r="85" spans="1:17" x14ac:dyDescent="0.2">
      <c r="A85" s="24"/>
      <c r="B85" s="24"/>
      <c r="C85" s="25" t="s">
        <v>117</v>
      </c>
      <c r="D85" s="24"/>
      <c r="E85" s="24"/>
      <c r="F85" s="24"/>
      <c r="G85" s="24"/>
      <c r="H85" s="23" t="s">
        <v>12</v>
      </c>
    </row>
    <row r="86" spans="1:17" x14ac:dyDescent="0.2">
      <c r="A86" s="24"/>
      <c r="B86" s="24"/>
      <c r="C86" s="25" t="s">
        <v>11</v>
      </c>
      <c r="D86" s="24"/>
      <c r="E86" s="24" t="s">
        <v>12</v>
      </c>
      <c r="F86" s="26" t="s">
        <v>13</v>
      </c>
      <c r="G86" s="27">
        <v>0</v>
      </c>
      <c r="H86" s="23" t="s">
        <v>12</v>
      </c>
    </row>
    <row r="87" spans="1:17" x14ac:dyDescent="0.2">
      <c r="A87" s="21"/>
      <c r="B87" s="21"/>
      <c r="C87" s="99"/>
      <c r="D87" s="21"/>
      <c r="E87" s="21"/>
      <c r="F87" s="51"/>
      <c r="G87" s="51"/>
      <c r="H87" s="23" t="s">
        <v>12</v>
      </c>
    </row>
    <row r="88" spans="1:17" x14ac:dyDescent="0.2">
      <c r="A88" s="21"/>
      <c r="B88" s="21"/>
      <c r="C88" s="22" t="s">
        <v>618</v>
      </c>
      <c r="D88" s="21"/>
      <c r="E88" s="21"/>
      <c r="F88" s="51"/>
      <c r="G88" s="51"/>
      <c r="H88" s="23" t="s">
        <v>12</v>
      </c>
      <c r="K88" s="72"/>
      <c r="L88" s="72"/>
      <c r="M88" s="72"/>
      <c r="N88" s="72"/>
      <c r="O88" s="100"/>
      <c r="P88" s="100"/>
      <c r="Q88" s="100"/>
    </row>
    <row r="89" spans="1:17" x14ac:dyDescent="0.2">
      <c r="A89" s="93">
        <v>1</v>
      </c>
      <c r="B89" s="94" t="s">
        <v>118</v>
      </c>
      <c r="C89" s="94" t="s">
        <v>119</v>
      </c>
      <c r="D89" s="94"/>
      <c r="E89" s="101">
        <v>543.85400000000004</v>
      </c>
      <c r="F89" s="96">
        <v>61.148006948000003</v>
      </c>
      <c r="G89" s="97">
        <v>2.8172100000000001E-3</v>
      </c>
      <c r="H89" s="23">
        <v>9.9999999999999995E-7</v>
      </c>
    </row>
    <row r="90" spans="1:17" x14ac:dyDescent="0.2">
      <c r="A90" s="21"/>
      <c r="B90" s="21"/>
      <c r="C90" s="22" t="s">
        <v>11</v>
      </c>
      <c r="D90" s="21"/>
      <c r="E90" s="21" t="s">
        <v>12</v>
      </c>
      <c r="F90" s="102">
        <f>SUM(F89)</f>
        <v>61.148006948000003</v>
      </c>
      <c r="G90" s="103">
        <f>SUM(G89)</f>
        <v>2.8172100000000001E-3</v>
      </c>
      <c r="H90" s="23" t="s">
        <v>12</v>
      </c>
    </row>
    <row r="91" spans="1:17" x14ac:dyDescent="0.2">
      <c r="A91" s="24"/>
      <c r="B91" s="24"/>
      <c r="C91" s="28"/>
      <c r="D91" s="24"/>
      <c r="E91" s="24"/>
      <c r="F91" s="29"/>
      <c r="G91" s="29"/>
      <c r="H91" s="23" t="s">
        <v>12</v>
      </c>
    </row>
    <row r="92" spans="1:17" x14ac:dyDescent="0.2">
      <c r="A92" s="24"/>
      <c r="B92" s="24"/>
      <c r="C92" s="25" t="s">
        <v>120</v>
      </c>
      <c r="D92" s="24"/>
      <c r="E92" s="24"/>
      <c r="F92" s="24"/>
      <c r="G92" s="24"/>
      <c r="H92" s="23" t="s">
        <v>12</v>
      </c>
    </row>
    <row r="93" spans="1:17" x14ac:dyDescent="0.2">
      <c r="A93" s="24"/>
      <c r="B93" s="24"/>
      <c r="C93" s="25" t="s">
        <v>121</v>
      </c>
      <c r="D93" s="24"/>
      <c r="E93" s="24"/>
      <c r="F93" s="24"/>
      <c r="G93" s="24"/>
      <c r="H93" s="23" t="s">
        <v>12</v>
      </c>
    </row>
    <row r="94" spans="1:17" x14ac:dyDescent="0.2">
      <c r="A94" s="24"/>
      <c r="B94" s="24"/>
      <c r="C94" s="25" t="s">
        <v>11</v>
      </c>
      <c r="D94" s="24"/>
      <c r="E94" s="24" t="s">
        <v>12</v>
      </c>
      <c r="F94" s="26" t="s">
        <v>13</v>
      </c>
      <c r="G94" s="27">
        <v>0</v>
      </c>
      <c r="H94" s="23" t="s">
        <v>12</v>
      </c>
    </row>
    <row r="95" spans="1:17" x14ac:dyDescent="0.2">
      <c r="A95" s="24"/>
      <c r="B95" s="24"/>
      <c r="C95" s="28"/>
      <c r="D95" s="24"/>
      <c r="E95" s="24"/>
      <c r="F95" s="29"/>
      <c r="G95" s="29"/>
      <c r="H95" s="23" t="s">
        <v>12</v>
      </c>
    </row>
    <row r="96" spans="1:17" x14ac:dyDescent="0.2">
      <c r="A96" s="24"/>
      <c r="B96" s="24"/>
      <c r="C96" s="25" t="s">
        <v>122</v>
      </c>
      <c r="D96" s="24"/>
      <c r="E96" s="24"/>
      <c r="F96" s="29"/>
      <c r="G96" s="29"/>
      <c r="H96" s="23" t="s">
        <v>12</v>
      </c>
    </row>
    <row r="97" spans="1:8" x14ac:dyDescent="0.2">
      <c r="A97" s="24"/>
      <c r="B97" s="24"/>
      <c r="C97" s="25" t="s">
        <v>11</v>
      </c>
      <c r="D97" s="24"/>
      <c r="E97" s="24" t="s">
        <v>12</v>
      </c>
      <c r="F97" s="26" t="s">
        <v>13</v>
      </c>
      <c r="G97" s="27">
        <v>0</v>
      </c>
      <c r="H97" s="23" t="s">
        <v>12</v>
      </c>
    </row>
    <row r="98" spans="1:8" x14ac:dyDescent="0.2">
      <c r="A98" s="24"/>
      <c r="B98" s="24"/>
      <c r="C98" s="28"/>
      <c r="D98" s="24"/>
      <c r="E98" s="24"/>
      <c r="F98" s="29"/>
      <c r="G98" s="29"/>
      <c r="H98" s="23" t="s">
        <v>12</v>
      </c>
    </row>
    <row r="99" spans="1:8" x14ac:dyDescent="0.2">
      <c r="A99" s="36"/>
      <c r="B99" s="32"/>
      <c r="C99" s="32" t="s">
        <v>123</v>
      </c>
      <c r="D99" s="32"/>
      <c r="E99" s="36"/>
      <c r="F99" s="34">
        <f>478.33950599-0.00229269000053406</f>
        <v>478.33721329999946</v>
      </c>
      <c r="G99" s="35">
        <v>2.2038060000000002E-2</v>
      </c>
      <c r="H99" s="23" t="s">
        <v>12</v>
      </c>
    </row>
    <row r="100" spans="1:8" x14ac:dyDescent="0.2">
      <c r="A100" s="28"/>
      <c r="B100" s="28"/>
      <c r="C100" s="25" t="s">
        <v>124</v>
      </c>
      <c r="D100" s="29"/>
      <c r="E100" s="29"/>
      <c r="F100" s="30">
        <f>21705.15841594-0.00229269000053406</f>
        <v>21705.156123249999</v>
      </c>
      <c r="G100" s="37">
        <v>1.00000003</v>
      </c>
      <c r="H100" s="23" t="s">
        <v>12</v>
      </c>
    </row>
    <row r="101" spans="1:8" x14ac:dyDescent="0.2">
      <c r="A101" s="38"/>
      <c r="B101" s="38"/>
      <c r="C101" s="38"/>
      <c r="D101" s="39"/>
      <c r="E101" s="39"/>
      <c r="F101" s="39"/>
      <c r="G101" s="39"/>
    </row>
    <row r="102" spans="1:8" x14ac:dyDescent="0.2">
      <c r="A102" s="40"/>
      <c r="B102" s="41" t="s">
        <v>614</v>
      </c>
      <c r="C102" s="41"/>
      <c r="D102" s="41"/>
      <c r="E102" s="41"/>
      <c r="F102" s="41"/>
      <c r="G102" s="41"/>
      <c r="H102" s="41"/>
    </row>
    <row r="103" spans="1:8" x14ac:dyDescent="0.2">
      <c r="A103" s="40"/>
      <c r="B103" s="41" t="s">
        <v>615</v>
      </c>
      <c r="C103" s="41"/>
      <c r="D103" s="41"/>
      <c r="E103" s="41"/>
      <c r="F103" s="41"/>
      <c r="G103" s="41"/>
      <c r="H103" s="41"/>
    </row>
    <row r="104" spans="1:8" x14ac:dyDescent="0.2">
      <c r="A104" s="40"/>
      <c r="B104" s="41" t="s">
        <v>616</v>
      </c>
      <c r="C104" s="41"/>
      <c r="D104" s="41"/>
      <c r="E104" s="41"/>
      <c r="F104" s="41"/>
      <c r="G104" s="41"/>
      <c r="H104" s="41"/>
    </row>
    <row r="105" spans="1:8" x14ac:dyDescent="0.2">
      <c r="A105" s="42"/>
      <c r="B105" s="42"/>
      <c r="C105" s="42"/>
      <c r="D105" s="43"/>
      <c r="E105" s="43"/>
      <c r="F105" s="43"/>
      <c r="G105" s="43"/>
    </row>
    <row r="106" spans="1:8" x14ac:dyDescent="0.2">
      <c r="A106" s="40"/>
      <c r="B106" s="44" t="s">
        <v>125</v>
      </c>
      <c r="C106" s="45"/>
      <c r="D106" s="46"/>
      <c r="E106" s="47"/>
      <c r="F106" s="48"/>
      <c r="G106" s="48"/>
    </row>
    <row r="107" spans="1:8" ht="25.5" x14ac:dyDescent="0.2">
      <c r="A107" s="40"/>
      <c r="B107" s="49" t="s">
        <v>126</v>
      </c>
      <c r="C107" s="50"/>
      <c r="D107" s="22" t="s">
        <v>642</v>
      </c>
      <c r="E107" s="47"/>
      <c r="F107" s="48"/>
      <c r="G107" s="48"/>
    </row>
    <row r="108" spans="1:8" x14ac:dyDescent="0.2">
      <c r="A108" s="40"/>
      <c r="B108" s="49" t="s">
        <v>128</v>
      </c>
      <c r="C108" s="50"/>
      <c r="D108" s="22" t="s">
        <v>127</v>
      </c>
      <c r="E108" s="47"/>
      <c r="F108" s="48"/>
      <c r="G108" s="48"/>
    </row>
    <row r="109" spans="1:8" x14ac:dyDescent="0.2">
      <c r="A109" s="40"/>
      <c r="B109" s="49" t="s">
        <v>129</v>
      </c>
      <c r="C109" s="50"/>
      <c r="D109" s="51" t="s">
        <v>12</v>
      </c>
      <c r="E109" s="47"/>
      <c r="F109" s="48"/>
      <c r="G109" s="48"/>
    </row>
    <row r="110" spans="1:8" x14ac:dyDescent="0.2">
      <c r="A110" s="52"/>
      <c r="B110" s="53" t="s">
        <v>12</v>
      </c>
      <c r="C110" s="53" t="s">
        <v>617</v>
      </c>
      <c r="D110" s="53" t="s">
        <v>130</v>
      </c>
      <c r="E110" s="52"/>
      <c r="F110" s="52"/>
      <c r="G110" s="52"/>
    </row>
    <row r="111" spans="1:8" x14ac:dyDescent="0.2">
      <c r="A111" s="52"/>
      <c r="B111" s="54" t="s">
        <v>131</v>
      </c>
      <c r="C111" s="55">
        <v>45823</v>
      </c>
      <c r="D111" s="55">
        <v>45838</v>
      </c>
      <c r="E111" s="52"/>
      <c r="F111" s="52"/>
      <c r="G111" s="52"/>
    </row>
    <row r="112" spans="1:8" x14ac:dyDescent="0.2">
      <c r="A112" s="56"/>
      <c r="B112" s="32" t="s">
        <v>132</v>
      </c>
      <c r="C112" s="57">
        <v>47.950200000000002</v>
      </c>
      <c r="D112" s="57">
        <v>48.070799999999998</v>
      </c>
      <c r="E112" s="56"/>
      <c r="F112" s="58"/>
      <c r="G112" s="59"/>
    </row>
    <row r="113" spans="1:7" ht="25.5" x14ac:dyDescent="0.2">
      <c r="A113" s="56"/>
      <c r="B113" s="32" t="s">
        <v>743</v>
      </c>
      <c r="C113" s="57">
        <v>13.1365</v>
      </c>
      <c r="D113" s="57">
        <v>13.0945</v>
      </c>
      <c r="E113" s="56"/>
      <c r="F113" s="58"/>
      <c r="G113" s="59"/>
    </row>
    <row r="114" spans="1:7" ht="25.5" x14ac:dyDescent="0.2">
      <c r="A114" s="56"/>
      <c r="B114" s="32" t="s">
        <v>744</v>
      </c>
      <c r="C114" s="57">
        <v>15.0824</v>
      </c>
      <c r="D114" s="36"/>
      <c r="E114" s="56"/>
      <c r="F114" s="58"/>
      <c r="G114" s="59"/>
    </row>
    <row r="115" spans="1:7" ht="25.5" x14ac:dyDescent="0.2">
      <c r="A115" s="56"/>
      <c r="B115" s="32" t="s">
        <v>745</v>
      </c>
      <c r="C115" s="57">
        <v>14.7873</v>
      </c>
      <c r="D115" s="36"/>
      <c r="E115" s="56"/>
      <c r="F115" s="58"/>
      <c r="G115" s="59"/>
    </row>
    <row r="116" spans="1:7" ht="25.5" x14ac:dyDescent="0.2">
      <c r="A116" s="56"/>
      <c r="B116" s="32" t="s">
        <v>746</v>
      </c>
      <c r="C116" s="57">
        <v>15.3218</v>
      </c>
      <c r="D116" s="36"/>
      <c r="E116" s="56"/>
      <c r="F116" s="58"/>
      <c r="G116" s="59"/>
    </row>
    <row r="117" spans="1:7" x14ac:dyDescent="0.2">
      <c r="A117" s="56"/>
      <c r="B117" s="32" t="s">
        <v>133</v>
      </c>
      <c r="C117" s="57">
        <v>44.318600000000004</v>
      </c>
      <c r="D117" s="57">
        <v>44.4193</v>
      </c>
      <c r="E117" s="56"/>
      <c r="F117" s="58"/>
      <c r="G117" s="59"/>
    </row>
    <row r="118" spans="1:7" x14ac:dyDescent="0.2">
      <c r="A118" s="56"/>
      <c r="B118" s="32" t="s">
        <v>179</v>
      </c>
      <c r="C118" s="57">
        <v>16.009</v>
      </c>
      <c r="D118" s="36"/>
      <c r="E118" s="56"/>
      <c r="F118" s="58"/>
      <c r="G118" s="59"/>
    </row>
    <row r="119" spans="1:7" ht="25.5" x14ac:dyDescent="0.2">
      <c r="A119" s="56"/>
      <c r="B119" s="32" t="s">
        <v>747</v>
      </c>
      <c r="C119" s="57">
        <v>13.0722</v>
      </c>
      <c r="D119" s="57">
        <v>13.026899999999999</v>
      </c>
      <c r="E119" s="56"/>
      <c r="F119" s="58"/>
      <c r="G119" s="59"/>
    </row>
    <row r="120" spans="1:7" ht="25.5" x14ac:dyDescent="0.2">
      <c r="A120" s="56"/>
      <c r="B120" s="32" t="s">
        <v>719</v>
      </c>
      <c r="C120" s="57">
        <v>14.7309</v>
      </c>
      <c r="D120" s="36"/>
      <c r="E120" s="56"/>
      <c r="F120" s="58"/>
      <c r="G120" s="59"/>
    </row>
    <row r="121" spans="1:7" ht="25.5" x14ac:dyDescent="0.2">
      <c r="A121" s="56"/>
      <c r="B121" s="32" t="s">
        <v>748</v>
      </c>
      <c r="C121" s="57">
        <v>14.4429</v>
      </c>
      <c r="D121" s="36"/>
      <c r="E121" s="56"/>
      <c r="F121" s="58"/>
      <c r="G121" s="59"/>
    </row>
    <row r="122" spans="1:7" ht="25.5" x14ac:dyDescent="0.2">
      <c r="A122" s="56"/>
      <c r="B122" s="32" t="s">
        <v>749</v>
      </c>
      <c r="C122" s="57">
        <v>14.963900000000001</v>
      </c>
      <c r="D122" s="36"/>
      <c r="E122" s="56"/>
      <c r="F122" s="58"/>
      <c r="G122" s="59"/>
    </row>
    <row r="123" spans="1:7" x14ac:dyDescent="0.2">
      <c r="A123" s="56"/>
      <c r="B123" s="56"/>
      <c r="C123" s="56"/>
      <c r="D123" s="56"/>
      <c r="E123" s="56"/>
      <c r="F123" s="56"/>
      <c r="G123" s="56"/>
    </row>
    <row r="124" spans="1:7" x14ac:dyDescent="0.2">
      <c r="A124" s="56"/>
      <c r="B124" s="60" t="s">
        <v>739</v>
      </c>
      <c r="C124" s="61"/>
      <c r="D124" s="25" t="s">
        <v>12</v>
      </c>
      <c r="E124" s="56"/>
      <c r="F124" s="56"/>
      <c r="G124" s="56"/>
    </row>
    <row r="125" spans="1:7" x14ac:dyDescent="0.2">
      <c r="A125" s="56"/>
      <c r="B125" s="62" t="s">
        <v>131</v>
      </c>
      <c r="C125" s="63" t="s">
        <v>134</v>
      </c>
      <c r="D125" s="63" t="s">
        <v>135</v>
      </c>
      <c r="E125" s="56"/>
      <c r="F125" s="56"/>
      <c r="G125" s="56"/>
    </row>
    <row r="126" spans="1:7" ht="25.5" x14ac:dyDescent="0.2">
      <c r="A126" s="56"/>
      <c r="B126" s="32" t="s">
        <v>743</v>
      </c>
      <c r="C126" s="64">
        <v>7.4999999999999997E-2</v>
      </c>
      <c r="D126" s="36" t="s">
        <v>136</v>
      </c>
      <c r="E126" s="56"/>
      <c r="F126" s="58"/>
      <c r="G126" s="59"/>
    </row>
    <row r="127" spans="1:7" ht="25.5" x14ac:dyDescent="0.2">
      <c r="A127" s="56"/>
      <c r="B127" s="32" t="s">
        <v>744</v>
      </c>
      <c r="C127" s="64">
        <v>0.26100000000000001</v>
      </c>
      <c r="D127" s="36" t="s">
        <v>136</v>
      </c>
      <c r="E127" s="56"/>
      <c r="F127" s="58"/>
      <c r="G127" s="59"/>
    </row>
    <row r="128" spans="1:7" ht="25.5" x14ac:dyDescent="0.2">
      <c r="A128" s="56"/>
      <c r="B128" s="32" t="s">
        <v>747</v>
      </c>
      <c r="C128" s="64">
        <v>7.4999999999999997E-2</v>
      </c>
      <c r="D128" s="64">
        <v>7.4999999999999997E-2</v>
      </c>
      <c r="E128" s="56"/>
      <c r="F128" s="58"/>
      <c r="G128" s="59"/>
    </row>
    <row r="129" spans="1:19" ht="25.5" x14ac:dyDescent="0.2">
      <c r="A129" s="56"/>
      <c r="B129" s="32" t="s">
        <v>719</v>
      </c>
      <c r="C129" s="64">
        <v>0.255</v>
      </c>
      <c r="D129" s="36" t="s">
        <v>136</v>
      </c>
      <c r="E129" s="56"/>
      <c r="F129" s="58"/>
      <c r="G129" s="59"/>
    </row>
    <row r="130" spans="1:19" x14ac:dyDescent="0.2">
      <c r="A130" s="56"/>
      <c r="B130" s="104"/>
      <c r="C130" s="104"/>
      <c r="D130" s="105"/>
      <c r="E130" s="56"/>
      <c r="F130" s="58"/>
      <c r="G130" s="59"/>
    </row>
    <row r="131" spans="1:19" s="74" customFormat="1" x14ac:dyDescent="0.2">
      <c r="A131" s="124"/>
      <c r="B131" s="49" t="s">
        <v>631</v>
      </c>
      <c r="C131" s="50"/>
      <c r="D131" s="22" t="s">
        <v>127</v>
      </c>
      <c r="E131" s="124"/>
      <c r="F131" s="124"/>
      <c r="G131" s="124"/>
      <c r="I131" s="17"/>
      <c r="J131" s="20"/>
      <c r="K131" s="17"/>
      <c r="L131" s="72"/>
      <c r="M131" s="72"/>
      <c r="N131" s="72"/>
      <c r="O131" s="78"/>
      <c r="P131" s="17"/>
      <c r="Q131" s="17"/>
    </row>
    <row r="132" spans="1:19" x14ac:dyDescent="0.2">
      <c r="A132" s="52"/>
      <c r="B132" s="49" t="s">
        <v>632</v>
      </c>
      <c r="C132" s="50"/>
      <c r="D132" s="22" t="s">
        <v>127</v>
      </c>
      <c r="E132" s="71"/>
      <c r="F132" s="52"/>
      <c r="G132" s="52"/>
      <c r="J132" s="20"/>
    </row>
    <row r="133" spans="1:19" x14ac:dyDescent="0.2">
      <c r="A133" s="52"/>
      <c r="B133" s="49" t="s">
        <v>633</v>
      </c>
      <c r="C133" s="50"/>
      <c r="D133" s="22" t="s">
        <v>127</v>
      </c>
      <c r="E133" s="71"/>
      <c r="F133" s="52"/>
      <c r="G133" s="52"/>
      <c r="J133" s="20"/>
    </row>
    <row r="134" spans="1:19" x14ac:dyDescent="0.2">
      <c r="A134" s="52"/>
      <c r="B134" s="49" t="s">
        <v>634</v>
      </c>
      <c r="C134" s="50"/>
      <c r="D134" s="22" t="s">
        <v>127</v>
      </c>
      <c r="E134" s="71"/>
      <c r="F134" s="52"/>
      <c r="G134" s="52"/>
      <c r="J134" s="20"/>
    </row>
    <row r="135" spans="1:19" x14ac:dyDescent="0.2">
      <c r="A135" s="73"/>
      <c r="B135" s="73"/>
      <c r="C135" s="73"/>
      <c r="D135" s="73"/>
      <c r="E135" s="73"/>
      <c r="F135" s="73"/>
      <c r="G135" s="73"/>
      <c r="J135" s="20"/>
    </row>
    <row r="136" spans="1:19" s="74" customFormat="1" x14ac:dyDescent="0.2">
      <c r="B136" s="75" t="s">
        <v>620</v>
      </c>
      <c r="C136" s="76"/>
      <c r="D136" s="77"/>
      <c r="I136" s="17"/>
      <c r="J136" s="20"/>
      <c r="K136" s="17"/>
      <c r="L136" s="72"/>
      <c r="M136" s="72"/>
      <c r="N136" s="72"/>
      <c r="O136" s="78"/>
      <c r="R136" s="17"/>
      <c r="S136" s="17"/>
    </row>
    <row r="137" spans="1:19" s="74" customFormat="1" ht="51" x14ac:dyDescent="0.2">
      <c r="B137" s="79" t="s">
        <v>621</v>
      </c>
      <c r="C137" s="79"/>
      <c r="D137" s="80" t="s">
        <v>468</v>
      </c>
      <c r="I137" s="17"/>
      <c r="J137" s="20"/>
      <c r="K137" s="17"/>
      <c r="L137" s="72"/>
      <c r="M137" s="72"/>
      <c r="N137" s="72"/>
      <c r="O137" s="78"/>
      <c r="R137" s="17"/>
      <c r="S137" s="17"/>
    </row>
    <row r="138" spans="1:19" s="74" customFormat="1" x14ac:dyDescent="0.2">
      <c r="B138" s="66" t="s">
        <v>622</v>
      </c>
      <c r="C138" s="66"/>
      <c r="D138" s="81"/>
      <c r="I138" s="17"/>
      <c r="J138" s="20"/>
      <c r="K138" s="17"/>
      <c r="L138" s="72"/>
      <c r="M138" s="72"/>
      <c r="N138" s="72"/>
      <c r="O138" s="78"/>
      <c r="R138" s="17"/>
      <c r="S138" s="17"/>
    </row>
    <row r="139" spans="1:19" s="74" customFormat="1" x14ac:dyDescent="0.2">
      <c r="B139" s="66"/>
      <c r="C139" s="66"/>
      <c r="D139" s="82"/>
      <c r="I139" s="17"/>
      <c r="J139" s="20"/>
      <c r="K139" s="17"/>
      <c r="L139" s="72"/>
      <c r="M139" s="72"/>
      <c r="N139" s="72"/>
      <c r="O139" s="78"/>
      <c r="R139" s="17"/>
      <c r="S139" s="17"/>
    </row>
    <row r="140" spans="1:19" s="74" customFormat="1" x14ac:dyDescent="0.2">
      <c r="B140" s="66" t="s">
        <v>623</v>
      </c>
      <c r="C140" s="66"/>
      <c r="D140" s="83">
        <v>6.6602885663676972</v>
      </c>
      <c r="I140" s="17"/>
      <c r="J140" s="20"/>
      <c r="K140" s="17"/>
      <c r="L140" s="72"/>
      <c r="M140" s="72"/>
      <c r="N140" s="72"/>
      <c r="O140" s="78"/>
    </row>
    <row r="141" spans="1:19" s="74" customFormat="1" x14ac:dyDescent="0.2">
      <c r="B141" s="66"/>
      <c r="C141" s="66"/>
      <c r="D141" s="82"/>
      <c r="I141" s="17"/>
      <c r="J141" s="20"/>
      <c r="K141" s="17"/>
      <c r="L141" s="72"/>
      <c r="M141" s="72"/>
      <c r="N141" s="72"/>
      <c r="O141" s="78"/>
    </row>
    <row r="142" spans="1:19" s="74" customFormat="1" x14ac:dyDescent="0.2">
      <c r="B142" s="66" t="s">
        <v>624</v>
      </c>
      <c r="C142" s="66"/>
      <c r="D142" s="83">
        <v>2.7283724327796319</v>
      </c>
      <c r="I142" s="17"/>
      <c r="J142" s="20"/>
      <c r="K142" s="17"/>
      <c r="L142" s="72"/>
      <c r="M142" s="72"/>
      <c r="N142" s="72"/>
      <c r="O142" s="78"/>
    </row>
    <row r="143" spans="1:19" s="74" customFormat="1" x14ac:dyDescent="0.2">
      <c r="B143" s="66" t="s">
        <v>643</v>
      </c>
      <c r="C143" s="66"/>
      <c r="D143" s="83">
        <v>3.2970874049221592</v>
      </c>
      <c r="I143" s="17"/>
      <c r="J143" s="20"/>
      <c r="K143" s="17"/>
      <c r="L143" s="72"/>
      <c r="M143" s="72"/>
      <c r="N143" s="72"/>
      <c r="O143" s="78"/>
    </row>
    <row r="144" spans="1:19" s="74" customFormat="1" x14ac:dyDescent="0.2">
      <c r="B144" s="66"/>
      <c r="C144" s="66"/>
      <c r="D144" s="82"/>
      <c r="I144" s="17"/>
      <c r="J144" s="20"/>
      <c r="K144" s="17"/>
      <c r="L144" s="72"/>
      <c r="M144" s="72"/>
      <c r="N144" s="72"/>
      <c r="O144" s="78"/>
    </row>
    <row r="145" spans="2:15" s="74" customFormat="1" x14ac:dyDescent="0.2">
      <c r="B145" s="66" t="s">
        <v>626</v>
      </c>
      <c r="C145" s="66"/>
      <c r="D145" s="85" t="s">
        <v>750</v>
      </c>
      <c r="I145" s="17"/>
      <c r="J145" s="20"/>
      <c r="K145" s="72"/>
      <c r="L145" s="72"/>
      <c r="M145" s="72"/>
      <c r="N145" s="72"/>
      <c r="O145" s="78"/>
    </row>
    <row r="146" spans="2:15" s="74" customFormat="1" x14ac:dyDescent="0.2">
      <c r="B146" s="86" t="s">
        <v>627</v>
      </c>
      <c r="C146" s="87"/>
      <c r="D146" s="88"/>
      <c r="I146" s="17"/>
      <c r="J146" s="20"/>
      <c r="K146" s="17"/>
      <c r="L146" s="72"/>
      <c r="M146" s="72"/>
      <c r="N146" s="72"/>
      <c r="O146" s="78"/>
    </row>
    <row r="147" spans="2:15" x14ac:dyDescent="0.2">
      <c r="J147" s="20"/>
    </row>
    <row r="148" spans="2:15" ht="13.5" x14ac:dyDescent="0.2">
      <c r="B148" s="209" t="s">
        <v>751</v>
      </c>
      <c r="C148" s="209"/>
      <c r="D148" s="209"/>
      <c r="E148" s="209"/>
      <c r="F148" s="209"/>
      <c r="G148" s="209"/>
      <c r="H148" s="209"/>
    </row>
    <row r="149" spans="2:15" ht="13.5" x14ac:dyDescent="0.2">
      <c r="B149" s="210"/>
      <c r="C149" s="210"/>
      <c r="D149" s="210"/>
      <c r="E149" s="210"/>
      <c r="F149" s="210"/>
      <c r="G149" s="210"/>
      <c r="H149" s="210"/>
      <c r="J149" s="72"/>
      <c r="K149" s="72"/>
      <c r="L149" s="72"/>
      <c r="M149" s="72"/>
      <c r="N149" s="72"/>
      <c r="O149" s="72"/>
    </row>
    <row r="150" spans="2:15" ht="13.5" x14ac:dyDescent="0.25">
      <c r="B150" s="211" t="s">
        <v>644</v>
      </c>
      <c r="C150" s="211" t="s">
        <v>645</v>
      </c>
      <c r="D150" s="212" t="s">
        <v>646</v>
      </c>
      <c r="E150" s="213"/>
      <c r="F150" s="214"/>
      <c r="G150" s="215" t="s">
        <v>647</v>
      </c>
      <c r="H150" s="216"/>
      <c r="J150" s="72"/>
      <c r="K150" s="72"/>
      <c r="L150" s="72"/>
      <c r="M150" s="72"/>
      <c r="N150" s="72"/>
      <c r="O150" s="72"/>
    </row>
    <row r="151" spans="2:15" ht="13.5" x14ac:dyDescent="0.25">
      <c r="B151" s="115" t="s">
        <v>652</v>
      </c>
      <c r="C151" s="113" t="s">
        <v>683</v>
      </c>
      <c r="D151" s="217">
        <v>0</v>
      </c>
      <c r="E151" s="218"/>
      <c r="F151" s="219"/>
      <c r="G151" s="217">
        <v>0</v>
      </c>
      <c r="H151" s="219"/>
      <c r="J151" s="72"/>
      <c r="K151" s="72"/>
      <c r="L151" s="72"/>
      <c r="M151" s="72"/>
      <c r="N151" s="72"/>
      <c r="O151" s="72"/>
    </row>
    <row r="152" spans="2:15" ht="13.5" x14ac:dyDescent="0.25">
      <c r="B152" s="115" t="s">
        <v>648</v>
      </c>
      <c r="C152" s="113" t="s">
        <v>684</v>
      </c>
      <c r="D152" s="217">
        <v>0</v>
      </c>
      <c r="E152" s="218"/>
      <c r="F152" s="219"/>
      <c r="G152" s="217">
        <v>0</v>
      </c>
      <c r="H152" s="219"/>
      <c r="J152" s="72"/>
      <c r="K152" s="72"/>
      <c r="L152" s="72"/>
      <c r="M152" s="72"/>
      <c r="N152" s="72"/>
      <c r="O152" s="72"/>
    </row>
    <row r="153" spans="2:15" ht="13.5" x14ac:dyDescent="0.25">
      <c r="B153" s="115" t="s">
        <v>685</v>
      </c>
      <c r="C153" s="113" t="s">
        <v>686</v>
      </c>
      <c r="D153" s="217">
        <v>0</v>
      </c>
      <c r="E153" s="218"/>
      <c r="F153" s="219"/>
      <c r="G153" s="217">
        <v>0</v>
      </c>
      <c r="H153" s="219"/>
      <c r="J153" s="72"/>
      <c r="K153" s="72"/>
      <c r="L153" s="72"/>
      <c r="M153" s="72"/>
      <c r="N153" s="72"/>
      <c r="O153" s="72"/>
    </row>
    <row r="154" spans="2:15" ht="13.5" x14ac:dyDescent="0.25">
      <c r="B154" s="115" t="s">
        <v>650</v>
      </c>
      <c r="C154" s="113" t="s">
        <v>687</v>
      </c>
      <c r="D154" s="114">
        <v>0</v>
      </c>
      <c r="E154" s="114"/>
      <c r="F154" s="114"/>
      <c r="G154" s="114">
        <v>0</v>
      </c>
      <c r="H154" s="114"/>
      <c r="J154" s="72"/>
      <c r="K154" s="72"/>
      <c r="L154" s="72"/>
      <c r="M154" s="72"/>
      <c r="N154" s="72"/>
      <c r="O154" s="72"/>
    </row>
    <row r="155" spans="2:15" ht="13.5" x14ac:dyDescent="0.25">
      <c r="B155" s="195"/>
      <c r="C155" s="195"/>
      <c r="D155" s="220"/>
      <c r="E155" s="220"/>
      <c r="F155" s="220"/>
      <c r="G155" s="220"/>
      <c r="H155" s="220"/>
      <c r="J155" s="72"/>
      <c r="K155" s="72"/>
      <c r="L155" s="72"/>
      <c r="M155" s="72"/>
      <c r="N155" s="72"/>
      <c r="O155" s="72"/>
    </row>
    <row r="156" spans="2:15" ht="13.5" x14ac:dyDescent="0.25">
      <c r="B156" s="221" t="s">
        <v>654</v>
      </c>
      <c r="C156" s="221"/>
      <c r="D156" s="221"/>
      <c r="E156" s="221"/>
      <c r="F156" s="221"/>
      <c r="G156" s="221"/>
      <c r="H156" s="221"/>
      <c r="J156" s="72"/>
      <c r="K156" s="72"/>
      <c r="L156" s="72"/>
      <c r="M156" s="72"/>
      <c r="N156" s="72"/>
      <c r="O156" s="72"/>
    </row>
    <row r="157" spans="2:15" ht="13.5" x14ac:dyDescent="0.2">
      <c r="B157" s="110" t="s">
        <v>644</v>
      </c>
      <c r="C157" s="110" t="s">
        <v>645</v>
      </c>
      <c r="D157" s="110" t="s">
        <v>688</v>
      </c>
      <c r="E157" s="110"/>
      <c r="F157" s="110"/>
      <c r="G157" s="110"/>
      <c r="H157" s="109" t="s">
        <v>689</v>
      </c>
      <c r="I157" s="109" t="s">
        <v>690</v>
      </c>
      <c r="J157" s="109" t="s">
        <v>691</v>
      </c>
      <c r="K157" s="72"/>
      <c r="L157" s="72"/>
      <c r="M157" s="72"/>
      <c r="N157" s="72"/>
      <c r="O157" s="72"/>
    </row>
    <row r="158" spans="2:15" ht="121.5" x14ac:dyDescent="0.2">
      <c r="B158" s="110"/>
      <c r="C158" s="110"/>
      <c r="D158" s="118" t="s">
        <v>692</v>
      </c>
      <c r="E158" s="118" t="s">
        <v>693</v>
      </c>
      <c r="F158" s="118" t="s">
        <v>694</v>
      </c>
      <c r="G158" s="118" t="s">
        <v>695</v>
      </c>
      <c r="H158" s="109"/>
      <c r="I158" s="109"/>
      <c r="J158" s="109"/>
      <c r="K158" s="72"/>
      <c r="L158" s="72"/>
      <c r="M158" s="72"/>
      <c r="N158" s="72"/>
      <c r="O158" s="72"/>
    </row>
    <row r="159" spans="2:15" ht="13.5" x14ac:dyDescent="0.25">
      <c r="B159" s="115" t="s">
        <v>652</v>
      </c>
      <c r="C159" s="113" t="s">
        <v>683</v>
      </c>
      <c r="D159" s="119">
        <v>3000</v>
      </c>
      <c r="E159" s="119">
        <v>198.60410960000002</v>
      </c>
      <c r="F159" s="222">
        <v>72.152053199999997</v>
      </c>
      <c r="G159" s="223">
        <v>3270.7561627999999</v>
      </c>
      <c r="H159" s="8">
        <v>1452.6372699999999</v>
      </c>
      <c r="I159" s="8">
        <f>2499839/10^5</f>
        <v>24.998390000000001</v>
      </c>
      <c r="J159" s="8">
        <f>H159+I159</f>
        <v>1477.6356599999999</v>
      </c>
      <c r="K159" s="72"/>
      <c r="L159" s="72"/>
      <c r="M159" s="72"/>
      <c r="N159" s="72"/>
      <c r="O159" s="72"/>
    </row>
    <row r="160" spans="2:15" ht="13.5" x14ac:dyDescent="0.25">
      <c r="B160" s="115" t="s">
        <v>648</v>
      </c>
      <c r="C160" s="113" t="s">
        <v>684</v>
      </c>
      <c r="D160" s="119">
        <v>500</v>
      </c>
      <c r="E160" s="119">
        <v>33.283561599999999</v>
      </c>
      <c r="F160" s="222">
        <v>12.091777499999999</v>
      </c>
      <c r="G160" s="223">
        <f>D160+E160+F160</f>
        <v>545.37533910000002</v>
      </c>
      <c r="H160" s="8">
        <v>242.22076999999999</v>
      </c>
      <c r="I160" s="8">
        <f>416840/10^5</f>
        <v>4.1684000000000001</v>
      </c>
      <c r="J160" s="8">
        <f>H160+I160</f>
        <v>246.38916999999998</v>
      </c>
      <c r="K160" s="72"/>
      <c r="L160" s="72"/>
      <c r="M160" s="72"/>
      <c r="N160" s="72"/>
      <c r="O160" s="72"/>
    </row>
    <row r="161" spans="2:15" ht="13.5" x14ac:dyDescent="0.25">
      <c r="B161" s="115" t="s">
        <v>685</v>
      </c>
      <c r="C161" s="113" t="s">
        <v>696</v>
      </c>
      <c r="D161" s="119">
        <v>2000</v>
      </c>
      <c r="E161" s="119">
        <v>39.762295099999996</v>
      </c>
      <c r="F161" s="222">
        <v>64.029485721917808</v>
      </c>
      <c r="G161" s="223">
        <v>2103.7917808219199</v>
      </c>
      <c r="H161" s="8">
        <v>933.64715000000001</v>
      </c>
      <c r="I161" s="8">
        <f>1606686/10^5</f>
        <v>16.066859999999998</v>
      </c>
      <c r="J161" s="8">
        <f>H161+I161</f>
        <v>949.71401000000003</v>
      </c>
      <c r="K161" s="72"/>
      <c r="L161" s="72"/>
      <c r="M161" s="72"/>
      <c r="N161" s="72"/>
      <c r="O161" s="72"/>
    </row>
    <row r="162" spans="2:15" ht="13.5" x14ac:dyDescent="0.25">
      <c r="B162" s="115" t="s">
        <v>650</v>
      </c>
      <c r="C162" s="113" t="s">
        <v>687</v>
      </c>
      <c r="D162" s="119">
        <v>1882.78</v>
      </c>
      <c r="E162" s="119">
        <v>137.066384</v>
      </c>
      <c r="F162" s="222">
        <v>34.266601500000007</v>
      </c>
      <c r="G162" s="223">
        <v>2054.1129854999999</v>
      </c>
      <c r="H162" s="8">
        <v>916.65184999999997</v>
      </c>
      <c r="I162" s="8">
        <f>1577458/10^5</f>
        <v>15.77458</v>
      </c>
      <c r="J162" s="8">
        <f>H162+I162</f>
        <v>932.42642999999998</v>
      </c>
      <c r="K162" s="72"/>
      <c r="L162" s="72"/>
      <c r="M162" s="72"/>
      <c r="N162" s="72"/>
      <c r="O162" s="72"/>
    </row>
    <row r="163" spans="2:15" ht="13.5" x14ac:dyDescent="0.25">
      <c r="B163" s="195"/>
      <c r="C163" s="196"/>
      <c r="D163" s="224"/>
      <c r="E163" s="224"/>
      <c r="F163" s="11"/>
      <c r="G163" s="198"/>
      <c r="H163" s="9"/>
      <c r="J163" s="20"/>
      <c r="K163" s="72"/>
      <c r="L163" s="72"/>
      <c r="M163" s="72"/>
      <c r="N163" s="72"/>
      <c r="O163" s="72"/>
    </row>
    <row r="164" spans="2:15" ht="39" customHeight="1" x14ac:dyDescent="0.2">
      <c r="B164" s="225" t="s">
        <v>697</v>
      </c>
      <c r="C164" s="225"/>
      <c r="D164" s="225"/>
      <c r="E164" s="225"/>
      <c r="F164" s="225"/>
      <c r="G164" s="225"/>
      <c r="H164" s="225"/>
      <c r="I164" s="225"/>
      <c r="J164" s="20"/>
      <c r="K164" s="72"/>
      <c r="L164" s="72"/>
      <c r="M164" s="72"/>
      <c r="N164" s="72"/>
      <c r="O164" s="72"/>
    </row>
    <row r="165" spans="2:15" x14ac:dyDescent="0.2">
      <c r="B165" s="72"/>
      <c r="C165" s="72"/>
      <c r="D165" s="72"/>
      <c r="E165" s="72"/>
      <c r="F165" s="72"/>
      <c r="G165" s="72"/>
      <c r="H165" s="72"/>
      <c r="J165" s="20"/>
      <c r="K165" s="72"/>
      <c r="L165" s="72"/>
      <c r="M165" s="72"/>
      <c r="N165" s="72"/>
      <c r="O165" s="72"/>
    </row>
    <row r="166" spans="2:15" ht="13.5" x14ac:dyDescent="0.25">
      <c r="B166" s="122" t="s">
        <v>674</v>
      </c>
      <c r="C166" s="72"/>
      <c r="D166" s="72"/>
      <c r="E166" s="72"/>
      <c r="F166" s="72"/>
      <c r="G166" s="72"/>
      <c r="H166" s="72"/>
      <c r="J166" s="20"/>
      <c r="K166" s="72"/>
      <c r="L166" s="72"/>
      <c r="M166" s="72"/>
      <c r="N166" s="72"/>
      <c r="O166" s="72"/>
    </row>
    <row r="167" spans="2:15" x14ac:dyDescent="0.2">
      <c r="B167" s="72"/>
      <c r="C167" s="72"/>
      <c r="D167" s="72"/>
      <c r="E167" s="72"/>
      <c r="F167" s="72"/>
      <c r="G167" s="72"/>
      <c r="H167" s="72"/>
      <c r="I167" s="72"/>
      <c r="J167" s="20"/>
      <c r="K167" s="72"/>
      <c r="L167" s="72"/>
      <c r="M167" s="72"/>
      <c r="N167" s="72"/>
      <c r="O167" s="72"/>
    </row>
    <row r="168" spans="2:15" x14ac:dyDescent="0.2">
      <c r="B168" s="123" t="s">
        <v>675</v>
      </c>
      <c r="C168" s="72"/>
      <c r="D168" s="72"/>
      <c r="E168" s="72"/>
      <c r="F168" s="72"/>
      <c r="G168" s="72"/>
      <c r="H168" s="72"/>
      <c r="I168" s="72"/>
      <c r="J168" s="20"/>
      <c r="K168" s="72"/>
      <c r="L168" s="72"/>
      <c r="M168" s="72"/>
      <c r="N168" s="72"/>
      <c r="O168" s="72"/>
    </row>
    <row r="169" spans="2:15" x14ac:dyDescent="0.2">
      <c r="B169" s="72"/>
      <c r="C169" s="72"/>
      <c r="D169" s="72"/>
      <c r="E169" s="72"/>
      <c r="F169" s="72"/>
      <c r="G169" s="72"/>
      <c r="H169" s="72"/>
      <c r="I169" s="72"/>
      <c r="J169" s="20"/>
      <c r="K169" s="72"/>
      <c r="L169" s="72"/>
      <c r="M169" s="72"/>
      <c r="N169" s="72"/>
      <c r="O169" s="72"/>
    </row>
    <row r="170" spans="2:15" x14ac:dyDescent="0.2">
      <c r="B170" s="123" t="s">
        <v>676</v>
      </c>
      <c r="C170" s="72"/>
      <c r="D170" s="72"/>
      <c r="E170" s="72"/>
      <c r="F170" s="72"/>
      <c r="G170" s="72"/>
      <c r="H170" s="72"/>
      <c r="I170" s="72"/>
      <c r="J170" s="20"/>
      <c r="K170" s="72"/>
      <c r="L170" s="72"/>
      <c r="M170" s="72"/>
      <c r="N170" s="72"/>
      <c r="O170" s="72"/>
    </row>
    <row r="171" spans="2:15" x14ac:dyDescent="0.2">
      <c r="I171" s="72"/>
      <c r="J171" s="20"/>
      <c r="K171" s="72"/>
      <c r="L171" s="72"/>
      <c r="M171" s="72"/>
      <c r="N171" s="72"/>
      <c r="O171" s="72"/>
    </row>
    <row r="172" spans="2:15" x14ac:dyDescent="0.2">
      <c r="B172" s="123" t="s">
        <v>677</v>
      </c>
      <c r="J172" s="20"/>
      <c r="K172" s="72"/>
      <c r="L172" s="72"/>
      <c r="M172" s="72"/>
      <c r="N172" s="72"/>
      <c r="O172" s="72"/>
    </row>
    <row r="173" spans="2:15" x14ac:dyDescent="0.2">
      <c r="I173" s="72"/>
      <c r="J173" s="20"/>
      <c r="K173" s="72"/>
      <c r="L173" s="72"/>
      <c r="M173" s="72"/>
      <c r="N173" s="72"/>
      <c r="O173" s="72"/>
    </row>
    <row r="174" spans="2:15" x14ac:dyDescent="0.2">
      <c r="B174" s="90" t="s">
        <v>628</v>
      </c>
    </row>
    <row r="176" spans="2:15" ht="153.75" customHeight="1" x14ac:dyDescent="0.2"/>
    <row r="179" spans="2:10" x14ac:dyDescent="0.2">
      <c r="B179" s="91" t="s">
        <v>629</v>
      </c>
      <c r="C179" s="92"/>
      <c r="D179" s="91"/>
    </row>
    <row r="180" spans="2:10" x14ac:dyDescent="0.2">
      <c r="B180" s="91" t="s">
        <v>698</v>
      </c>
      <c r="D180" s="91"/>
    </row>
    <row r="181" spans="2:10" ht="165" customHeight="1" x14ac:dyDescent="0.2"/>
    <row r="183" spans="2:10" x14ac:dyDescent="0.2">
      <c r="J183" s="20"/>
    </row>
  </sheetData>
  <mergeCells count="47">
    <mergeCell ref="B136:D136"/>
    <mergeCell ref="B133:C133"/>
    <mergeCell ref="B134:C134"/>
    <mergeCell ref="B124:C124"/>
    <mergeCell ref="B132:C132"/>
    <mergeCell ref="B131:C131"/>
    <mergeCell ref="B104:H104"/>
    <mergeCell ref="B106:D106"/>
    <mergeCell ref="B107:C107"/>
    <mergeCell ref="B108:C108"/>
    <mergeCell ref="B109:C109"/>
    <mergeCell ref="A1:H1"/>
    <mergeCell ref="A2:H2"/>
    <mergeCell ref="A3:H3"/>
    <mergeCell ref="B102:H102"/>
    <mergeCell ref="B103:H103"/>
    <mergeCell ref="B137:C137"/>
    <mergeCell ref="B138:C138"/>
    <mergeCell ref="B139:C139"/>
    <mergeCell ref="B140:C140"/>
    <mergeCell ref="B141:C141"/>
    <mergeCell ref="B142:C142"/>
    <mergeCell ref="B143:C143"/>
    <mergeCell ref="B144:C144"/>
    <mergeCell ref="B145:C145"/>
    <mergeCell ref="B146:D146"/>
    <mergeCell ref="B148:H148"/>
    <mergeCell ref="D150:F150"/>
    <mergeCell ref="G150:H150"/>
    <mergeCell ref="D151:F151"/>
    <mergeCell ref="G151:H151"/>
    <mergeCell ref="D152:F152"/>
    <mergeCell ref="G152:H152"/>
    <mergeCell ref="D153:F153"/>
    <mergeCell ref="G153:H153"/>
    <mergeCell ref="D154:F154"/>
    <mergeCell ref="G154:H154"/>
    <mergeCell ref="I157:I158"/>
    <mergeCell ref="J157:J158"/>
    <mergeCell ref="B164:I164"/>
    <mergeCell ref="D155:F155"/>
    <mergeCell ref="G155:H155"/>
    <mergeCell ref="B156:H156"/>
    <mergeCell ref="B157:B158"/>
    <mergeCell ref="C157:C158"/>
    <mergeCell ref="D157:G157"/>
    <mergeCell ref="H157:H158"/>
  </mergeCells>
  <hyperlinks>
    <hyperlink ref="I1" location="Index!B2" display="Index" xr:uid="{1B7501E5-1DF3-467C-8EDE-763F333BAA8F}"/>
    <hyperlink ref="B168" r:id="rId1" xr:uid="{85B73B16-8264-4231-BF4A-8933D1A01AFD}"/>
    <hyperlink ref="B170" r:id="rId2" xr:uid="{B9F6A886-C3FD-4E19-94B0-0BD78AE3ECBB}"/>
    <hyperlink ref="B172" r:id="rId3" xr:uid="{92F3D9CB-68E6-4A09-A78D-E70BA80D999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CCE7-EAE1-459A-AFAF-B5351FFFA82A}">
  <sheetPr>
    <outlinePr summaryBelow="0" summaryRight="0"/>
  </sheetPr>
  <dimension ref="A1:Q219"/>
  <sheetViews>
    <sheetView showGridLines="0" workbookViewId="0">
      <selection sqref="A1:H1"/>
    </sheetView>
  </sheetViews>
  <sheetFormatPr defaultRowHeight="12.75" x14ac:dyDescent="0.2"/>
  <cols>
    <col min="1" max="1" width="5.85546875" style="17" bestFit="1" customWidth="1"/>
    <col min="2" max="2" width="20.7109375" style="17" customWidth="1"/>
    <col min="3" max="3" width="65.5703125" style="17" customWidth="1"/>
    <col min="4" max="4" width="21.7109375" style="17" customWidth="1"/>
    <col min="5" max="5" width="9.42578125" style="17" bestFit="1" customWidth="1"/>
    <col min="6" max="6" width="10.140625" style="17" bestFit="1" customWidth="1"/>
    <col min="7" max="7" width="14" style="17" bestFit="1" customWidth="1"/>
    <col min="8" max="8" width="9.85546875" style="17" bestFit="1" customWidth="1"/>
    <col min="9" max="9" width="9.140625" style="17"/>
    <col min="10" max="10" width="12" style="17" bestFit="1" customWidth="1"/>
    <col min="11" max="16384" width="9.140625" style="17"/>
  </cols>
  <sheetData>
    <row r="1" spans="1:9" ht="15" x14ac:dyDescent="0.2">
      <c r="A1" s="16" t="s">
        <v>0</v>
      </c>
      <c r="B1" s="16"/>
      <c r="C1" s="16"/>
      <c r="D1" s="16"/>
      <c r="E1" s="16"/>
      <c r="F1" s="16"/>
      <c r="G1" s="16"/>
      <c r="H1" s="16"/>
      <c r="I1" s="1" t="s">
        <v>599</v>
      </c>
    </row>
    <row r="2" spans="1:9" ht="15" x14ac:dyDescent="0.2">
      <c r="A2" s="16" t="s">
        <v>483</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755</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31">
        <v>1</v>
      </c>
      <c r="B7" s="94" t="s">
        <v>638</v>
      </c>
      <c r="C7" s="94" t="s">
        <v>639</v>
      </c>
      <c r="D7" s="94" t="s">
        <v>640</v>
      </c>
      <c r="E7" s="95">
        <v>13333</v>
      </c>
      <c r="F7" s="96">
        <v>0.01</v>
      </c>
      <c r="G7" s="154" t="s">
        <v>641</v>
      </c>
      <c r="H7" s="23" t="s">
        <v>12</v>
      </c>
    </row>
    <row r="8" spans="1:9" x14ac:dyDescent="0.2">
      <c r="A8" s="24"/>
      <c r="B8" s="24"/>
      <c r="C8" s="25" t="s">
        <v>11</v>
      </c>
      <c r="D8" s="24"/>
      <c r="E8" s="24" t="s">
        <v>12</v>
      </c>
      <c r="F8" s="30">
        <f>SUM(F7)</f>
        <v>0.01</v>
      </c>
      <c r="G8" s="27">
        <v>0</v>
      </c>
      <c r="H8" s="23" t="s">
        <v>12</v>
      </c>
    </row>
    <row r="9" spans="1:9" x14ac:dyDescent="0.2">
      <c r="A9" s="24"/>
      <c r="B9" s="24"/>
      <c r="C9" s="28"/>
      <c r="D9" s="24"/>
      <c r="E9" s="24"/>
      <c r="F9" s="29"/>
      <c r="G9" s="29"/>
      <c r="H9" s="23" t="s">
        <v>12</v>
      </c>
    </row>
    <row r="10" spans="1:9" x14ac:dyDescent="0.2">
      <c r="A10" s="24"/>
      <c r="B10" s="24"/>
      <c r="C10" s="25" t="s">
        <v>14</v>
      </c>
      <c r="D10" s="24"/>
      <c r="E10" s="24"/>
      <c r="F10" s="24"/>
      <c r="G10" s="24"/>
      <c r="H10" s="23" t="s">
        <v>12</v>
      </c>
    </row>
    <row r="11" spans="1:9" x14ac:dyDescent="0.2">
      <c r="A11" s="24"/>
      <c r="B11" s="24"/>
      <c r="C11" s="25" t="s">
        <v>11</v>
      </c>
      <c r="D11" s="24"/>
      <c r="E11" s="24" t="s">
        <v>12</v>
      </c>
      <c r="F11" s="26" t="s">
        <v>13</v>
      </c>
      <c r="G11" s="27">
        <v>0</v>
      </c>
      <c r="H11" s="23" t="s">
        <v>12</v>
      </c>
    </row>
    <row r="12" spans="1:9" x14ac:dyDescent="0.2">
      <c r="A12" s="24"/>
      <c r="B12" s="24"/>
      <c r="C12" s="28"/>
      <c r="D12" s="24"/>
      <c r="E12" s="24"/>
      <c r="F12" s="29"/>
      <c r="G12" s="29"/>
      <c r="H12" s="23" t="s">
        <v>12</v>
      </c>
    </row>
    <row r="13" spans="1:9" x14ac:dyDescent="0.2">
      <c r="A13" s="24"/>
      <c r="B13" s="24"/>
      <c r="C13" s="25" t="s">
        <v>15</v>
      </c>
      <c r="D13" s="24"/>
      <c r="E13" s="24"/>
      <c r="F13" s="24"/>
      <c r="G13" s="24"/>
      <c r="H13" s="23" t="s">
        <v>12</v>
      </c>
    </row>
    <row r="14" spans="1:9" x14ac:dyDescent="0.2">
      <c r="A14" s="24"/>
      <c r="B14" s="24"/>
      <c r="C14" s="25" t="s">
        <v>11</v>
      </c>
      <c r="D14" s="24"/>
      <c r="E14" s="24" t="s">
        <v>12</v>
      </c>
      <c r="F14" s="26" t="s">
        <v>13</v>
      </c>
      <c r="G14" s="27">
        <v>0</v>
      </c>
      <c r="H14" s="23" t="s">
        <v>12</v>
      </c>
    </row>
    <row r="15" spans="1:9" x14ac:dyDescent="0.2">
      <c r="A15" s="24"/>
      <c r="B15" s="24"/>
      <c r="C15" s="28"/>
      <c r="D15" s="24"/>
      <c r="E15" s="24"/>
      <c r="F15" s="29"/>
      <c r="G15" s="29"/>
      <c r="H15" s="23" t="s">
        <v>12</v>
      </c>
    </row>
    <row r="16" spans="1:9" x14ac:dyDescent="0.2">
      <c r="A16" s="24"/>
      <c r="B16" s="24"/>
      <c r="C16" s="25" t="s">
        <v>16</v>
      </c>
      <c r="D16" s="24"/>
      <c r="E16" s="24"/>
      <c r="F16" s="24"/>
      <c r="G16" s="24"/>
      <c r="H16" s="23" t="s">
        <v>12</v>
      </c>
    </row>
    <row r="17" spans="1:8" x14ac:dyDescent="0.2">
      <c r="A17" s="24"/>
      <c r="B17" s="24"/>
      <c r="C17" s="25" t="s">
        <v>11</v>
      </c>
      <c r="D17" s="24"/>
      <c r="E17" s="24" t="s">
        <v>12</v>
      </c>
      <c r="F17" s="26" t="s">
        <v>13</v>
      </c>
      <c r="G17" s="27">
        <v>0</v>
      </c>
      <c r="H17" s="23" t="s">
        <v>12</v>
      </c>
    </row>
    <row r="18" spans="1:8" x14ac:dyDescent="0.2">
      <c r="A18" s="24"/>
      <c r="B18" s="24"/>
      <c r="C18" s="28"/>
      <c r="D18" s="24"/>
      <c r="E18" s="24"/>
      <c r="F18" s="29"/>
      <c r="G18" s="29"/>
      <c r="H18" s="23" t="s">
        <v>12</v>
      </c>
    </row>
    <row r="19" spans="1:8" x14ac:dyDescent="0.2">
      <c r="A19" s="24"/>
      <c r="B19" s="24"/>
      <c r="C19" s="25" t="s">
        <v>17</v>
      </c>
      <c r="D19" s="24"/>
      <c r="E19" s="24"/>
      <c r="F19" s="29"/>
      <c r="G19" s="29"/>
      <c r="H19" s="23" t="s">
        <v>12</v>
      </c>
    </row>
    <row r="20" spans="1:8" x14ac:dyDescent="0.2">
      <c r="A20" s="24"/>
      <c r="B20" s="24"/>
      <c r="C20" s="25" t="s">
        <v>11</v>
      </c>
      <c r="D20" s="24"/>
      <c r="E20" s="24" t="s">
        <v>12</v>
      </c>
      <c r="F20" s="26" t="s">
        <v>13</v>
      </c>
      <c r="G20" s="27">
        <v>0</v>
      </c>
      <c r="H20" s="23" t="s">
        <v>12</v>
      </c>
    </row>
    <row r="21" spans="1:8" x14ac:dyDescent="0.2">
      <c r="A21" s="24"/>
      <c r="B21" s="24"/>
      <c r="C21" s="28"/>
      <c r="D21" s="24"/>
      <c r="E21" s="24"/>
      <c r="F21" s="29"/>
      <c r="G21" s="29"/>
      <c r="H21" s="23" t="s">
        <v>12</v>
      </c>
    </row>
    <row r="22" spans="1:8" x14ac:dyDescent="0.2">
      <c r="A22" s="24"/>
      <c r="B22" s="24"/>
      <c r="C22" s="25" t="s">
        <v>18</v>
      </c>
      <c r="D22" s="24"/>
      <c r="E22" s="24"/>
      <c r="F22" s="29"/>
      <c r="G22" s="29"/>
      <c r="H22" s="23" t="s">
        <v>12</v>
      </c>
    </row>
    <row r="23" spans="1:8" x14ac:dyDescent="0.2">
      <c r="A23" s="24"/>
      <c r="B23" s="24"/>
      <c r="C23" s="25" t="s">
        <v>11</v>
      </c>
      <c r="D23" s="24"/>
      <c r="E23" s="24" t="s">
        <v>12</v>
      </c>
      <c r="F23" s="26" t="s">
        <v>13</v>
      </c>
      <c r="G23" s="27">
        <v>0</v>
      </c>
      <c r="H23" s="23" t="s">
        <v>12</v>
      </c>
    </row>
    <row r="24" spans="1:8" x14ac:dyDescent="0.2">
      <c r="A24" s="24"/>
      <c r="B24" s="24"/>
      <c r="C24" s="28"/>
      <c r="D24" s="24"/>
      <c r="E24" s="24"/>
      <c r="F24" s="29"/>
      <c r="G24" s="29"/>
      <c r="H24" s="23" t="s">
        <v>12</v>
      </c>
    </row>
    <row r="25" spans="1:8" x14ac:dyDescent="0.2">
      <c r="A25" s="24"/>
      <c r="B25" s="24"/>
      <c r="C25" s="25" t="s">
        <v>19</v>
      </c>
      <c r="D25" s="24"/>
      <c r="E25" s="24"/>
      <c r="F25" s="30">
        <f>F8</f>
        <v>0.01</v>
      </c>
      <c r="G25" s="27">
        <v>0</v>
      </c>
      <c r="H25" s="23" t="s">
        <v>12</v>
      </c>
    </row>
    <row r="26" spans="1:8" x14ac:dyDescent="0.2">
      <c r="A26" s="24"/>
      <c r="B26" s="24"/>
      <c r="C26" s="28"/>
      <c r="D26" s="24"/>
      <c r="E26" s="24"/>
      <c r="F26" s="29"/>
      <c r="G26" s="29"/>
      <c r="H26" s="23" t="s">
        <v>12</v>
      </c>
    </row>
    <row r="27" spans="1:8" x14ac:dyDescent="0.2">
      <c r="A27" s="24"/>
      <c r="B27" s="24"/>
      <c r="C27" s="25" t="s">
        <v>20</v>
      </c>
      <c r="D27" s="24"/>
      <c r="E27" s="24"/>
      <c r="F27" s="29"/>
      <c r="G27" s="29"/>
      <c r="H27" s="23" t="s">
        <v>12</v>
      </c>
    </row>
    <row r="28" spans="1:8" x14ac:dyDescent="0.2">
      <c r="A28" s="24"/>
      <c r="B28" s="24"/>
      <c r="C28" s="25" t="s">
        <v>10</v>
      </c>
      <c r="D28" s="24"/>
      <c r="E28" s="24"/>
      <c r="F28" s="29"/>
      <c r="G28" s="29"/>
      <c r="H28" s="23" t="s">
        <v>12</v>
      </c>
    </row>
    <row r="29" spans="1:8" x14ac:dyDescent="0.2">
      <c r="A29" s="31">
        <v>1</v>
      </c>
      <c r="B29" s="32" t="s">
        <v>286</v>
      </c>
      <c r="C29" s="32" t="s">
        <v>287</v>
      </c>
      <c r="D29" s="32" t="s">
        <v>23</v>
      </c>
      <c r="E29" s="33">
        <v>8000</v>
      </c>
      <c r="F29" s="34">
        <v>8077.808</v>
      </c>
      <c r="G29" s="35">
        <v>3.4115270000000003E-2</v>
      </c>
      <c r="H29" s="23">
        <v>6.52</v>
      </c>
    </row>
    <row r="30" spans="1:8" x14ac:dyDescent="0.2">
      <c r="A30" s="31">
        <v>2</v>
      </c>
      <c r="B30" s="32" t="s">
        <v>288</v>
      </c>
      <c r="C30" s="32" t="s">
        <v>289</v>
      </c>
      <c r="D30" s="32" t="s">
        <v>282</v>
      </c>
      <c r="E30" s="33">
        <v>7000</v>
      </c>
      <c r="F30" s="34">
        <v>7034.2510000000002</v>
      </c>
      <c r="G30" s="35">
        <v>2.970799E-2</v>
      </c>
      <c r="H30" s="23">
        <v>7.3449999999999998</v>
      </c>
    </row>
    <row r="31" spans="1:8" x14ac:dyDescent="0.2">
      <c r="A31" s="31">
        <v>3</v>
      </c>
      <c r="B31" s="32" t="s">
        <v>484</v>
      </c>
      <c r="C31" s="32" t="s">
        <v>485</v>
      </c>
      <c r="D31" s="32" t="s">
        <v>32</v>
      </c>
      <c r="E31" s="33">
        <v>5000</v>
      </c>
      <c r="F31" s="34">
        <v>5043.835</v>
      </c>
      <c r="G31" s="35">
        <v>2.1301799999999999E-2</v>
      </c>
      <c r="H31" s="23">
        <v>6.66</v>
      </c>
    </row>
    <row r="32" spans="1:8" x14ac:dyDescent="0.2">
      <c r="A32" s="31">
        <v>4</v>
      </c>
      <c r="B32" s="32" t="s">
        <v>280</v>
      </c>
      <c r="C32" s="32" t="s">
        <v>281</v>
      </c>
      <c r="D32" s="32" t="s">
        <v>282</v>
      </c>
      <c r="E32" s="33">
        <v>3000</v>
      </c>
      <c r="F32" s="34">
        <v>3039.777</v>
      </c>
      <c r="G32" s="35">
        <v>1.2837990000000001E-2</v>
      </c>
      <c r="H32" s="23">
        <v>7.5350000000000001</v>
      </c>
    </row>
    <row r="33" spans="1:8" x14ac:dyDescent="0.2">
      <c r="A33" s="31">
        <v>5</v>
      </c>
      <c r="B33" s="32" t="s">
        <v>55</v>
      </c>
      <c r="C33" s="32" t="s">
        <v>56</v>
      </c>
      <c r="D33" s="32" t="s">
        <v>23</v>
      </c>
      <c r="E33" s="33">
        <v>2500</v>
      </c>
      <c r="F33" s="34">
        <v>2524.3474999999999</v>
      </c>
      <c r="G33" s="35">
        <v>1.0661159999999999E-2</v>
      </c>
      <c r="H33" s="23">
        <v>6.6</v>
      </c>
    </row>
    <row r="34" spans="1:8" x14ac:dyDescent="0.2">
      <c r="A34" s="31">
        <v>6</v>
      </c>
      <c r="B34" s="32" t="s">
        <v>486</v>
      </c>
      <c r="C34" s="32" t="s">
        <v>487</v>
      </c>
      <c r="D34" s="32" t="s">
        <v>23</v>
      </c>
      <c r="E34" s="33">
        <v>250</v>
      </c>
      <c r="F34" s="34">
        <v>2524.3000000000002</v>
      </c>
      <c r="G34" s="35">
        <v>1.0660960000000001E-2</v>
      </c>
      <c r="H34" s="23">
        <v>7.1349999999999998</v>
      </c>
    </row>
    <row r="35" spans="1:8" x14ac:dyDescent="0.2">
      <c r="A35" s="31">
        <v>7</v>
      </c>
      <c r="B35" s="32" t="s">
        <v>488</v>
      </c>
      <c r="C35" s="32" t="s">
        <v>489</v>
      </c>
      <c r="D35" s="32" t="s">
        <v>23</v>
      </c>
      <c r="E35" s="33">
        <v>250</v>
      </c>
      <c r="F35" s="34">
        <v>2502.34</v>
      </c>
      <c r="G35" s="35">
        <v>1.056822E-2</v>
      </c>
      <c r="H35" s="23">
        <v>6.7</v>
      </c>
    </row>
    <row r="36" spans="1:8" x14ac:dyDescent="0.2">
      <c r="A36" s="31">
        <v>8</v>
      </c>
      <c r="B36" s="32" t="s">
        <v>307</v>
      </c>
      <c r="C36" s="32" t="s">
        <v>308</v>
      </c>
      <c r="D36" s="32" t="s">
        <v>309</v>
      </c>
      <c r="E36" s="33">
        <v>200</v>
      </c>
      <c r="F36" s="34">
        <v>2007.752</v>
      </c>
      <c r="G36" s="35">
        <v>8.4794099999999997E-3</v>
      </c>
      <c r="H36" s="23">
        <v>7.07</v>
      </c>
    </row>
    <row r="37" spans="1:8" x14ac:dyDescent="0.2">
      <c r="A37" s="31">
        <v>9</v>
      </c>
      <c r="B37" s="32" t="s">
        <v>283</v>
      </c>
      <c r="C37" s="32" t="s">
        <v>284</v>
      </c>
      <c r="D37" s="32" t="s">
        <v>285</v>
      </c>
      <c r="E37" s="33">
        <v>1600</v>
      </c>
      <c r="F37" s="34">
        <v>1619.0208</v>
      </c>
      <c r="G37" s="35">
        <v>6.8376599999999997E-3</v>
      </c>
      <c r="H37" s="23">
        <v>7.03</v>
      </c>
    </row>
    <row r="38" spans="1:8" x14ac:dyDescent="0.2">
      <c r="A38" s="31">
        <v>10</v>
      </c>
      <c r="B38" s="32" t="s">
        <v>310</v>
      </c>
      <c r="C38" s="32" t="s">
        <v>311</v>
      </c>
      <c r="D38" s="32" t="s">
        <v>282</v>
      </c>
      <c r="E38" s="33">
        <v>1500</v>
      </c>
      <c r="F38" s="34">
        <v>1516.3335</v>
      </c>
      <c r="G38" s="35">
        <v>6.4039800000000001E-3</v>
      </c>
      <c r="H38" s="23">
        <v>8.1300000000000008</v>
      </c>
    </row>
    <row r="39" spans="1:8" x14ac:dyDescent="0.2">
      <c r="A39" s="31">
        <v>11</v>
      </c>
      <c r="B39" s="32" t="s">
        <v>490</v>
      </c>
      <c r="C39" s="32" t="s">
        <v>491</v>
      </c>
      <c r="D39" s="32" t="s">
        <v>23</v>
      </c>
      <c r="E39" s="33">
        <v>150</v>
      </c>
      <c r="F39" s="34">
        <v>1512.1155000000001</v>
      </c>
      <c r="G39" s="35">
        <v>6.38617E-3</v>
      </c>
      <c r="H39" s="23">
        <v>6.9950000000000001</v>
      </c>
    </row>
    <row r="40" spans="1:8" x14ac:dyDescent="0.2">
      <c r="A40" s="31">
        <v>12</v>
      </c>
      <c r="B40" s="32" t="s">
        <v>492</v>
      </c>
      <c r="C40" s="32" t="s">
        <v>493</v>
      </c>
      <c r="D40" s="32" t="s">
        <v>309</v>
      </c>
      <c r="E40" s="33">
        <v>1300</v>
      </c>
      <c r="F40" s="34">
        <v>1297.4766999999999</v>
      </c>
      <c r="G40" s="35">
        <v>5.4796799999999998E-3</v>
      </c>
      <c r="H40" s="23">
        <v>7.48</v>
      </c>
    </row>
    <row r="41" spans="1:8" x14ac:dyDescent="0.2">
      <c r="A41" s="31">
        <v>13</v>
      </c>
      <c r="B41" s="32" t="s">
        <v>71</v>
      </c>
      <c r="C41" s="32" t="s">
        <v>72</v>
      </c>
      <c r="D41" s="32" t="s">
        <v>23</v>
      </c>
      <c r="E41" s="33">
        <v>1000</v>
      </c>
      <c r="F41" s="34">
        <v>1008.927</v>
      </c>
      <c r="G41" s="35">
        <v>4.2610399999999998E-3</v>
      </c>
      <c r="H41" s="23">
        <v>6.58</v>
      </c>
    </row>
    <row r="42" spans="1:8" x14ac:dyDescent="0.2">
      <c r="A42" s="24"/>
      <c r="B42" s="24"/>
      <c r="C42" s="25" t="s">
        <v>11</v>
      </c>
      <c r="D42" s="24"/>
      <c r="E42" s="24" t="s">
        <v>12</v>
      </c>
      <c r="F42" s="30">
        <v>39708.284</v>
      </c>
      <c r="G42" s="27">
        <v>0.16770133000000001</v>
      </c>
      <c r="H42" s="23" t="s">
        <v>12</v>
      </c>
    </row>
    <row r="43" spans="1:8" x14ac:dyDescent="0.2">
      <c r="A43" s="24"/>
      <c r="B43" s="24"/>
      <c r="C43" s="28"/>
      <c r="D43" s="24"/>
      <c r="E43" s="24"/>
      <c r="F43" s="29"/>
      <c r="G43" s="29"/>
      <c r="H43" s="23" t="s">
        <v>12</v>
      </c>
    </row>
    <row r="44" spans="1:8" x14ac:dyDescent="0.2">
      <c r="A44" s="24"/>
      <c r="B44" s="24"/>
      <c r="C44" s="25" t="s">
        <v>77</v>
      </c>
      <c r="D44" s="24"/>
      <c r="E44" s="24"/>
      <c r="F44" s="24"/>
      <c r="G44" s="24"/>
      <c r="H44" s="23" t="s">
        <v>12</v>
      </c>
    </row>
    <row r="45" spans="1:8" x14ac:dyDescent="0.2">
      <c r="A45" s="24"/>
      <c r="B45" s="24"/>
      <c r="C45" s="25" t="s">
        <v>11</v>
      </c>
      <c r="D45" s="24"/>
      <c r="E45" s="24" t="s">
        <v>12</v>
      </c>
      <c r="F45" s="26" t="s">
        <v>13</v>
      </c>
      <c r="G45" s="27">
        <v>0</v>
      </c>
      <c r="H45" s="23" t="s">
        <v>12</v>
      </c>
    </row>
    <row r="46" spans="1:8" x14ac:dyDescent="0.2">
      <c r="A46" s="24"/>
      <c r="B46" s="24"/>
      <c r="C46" s="28"/>
      <c r="D46" s="24"/>
      <c r="E46" s="24"/>
      <c r="F46" s="29"/>
      <c r="G46" s="29"/>
      <c r="H46" s="23" t="s">
        <v>12</v>
      </c>
    </row>
    <row r="47" spans="1:8" x14ac:dyDescent="0.2">
      <c r="A47" s="24"/>
      <c r="B47" s="24"/>
      <c r="C47" s="25" t="s">
        <v>78</v>
      </c>
      <c r="D47" s="24"/>
      <c r="E47" s="24"/>
      <c r="F47" s="24"/>
      <c r="G47" s="24"/>
      <c r="H47" s="23" t="s">
        <v>12</v>
      </c>
    </row>
    <row r="48" spans="1:8" x14ac:dyDescent="0.2">
      <c r="A48" s="24"/>
      <c r="B48" s="24"/>
      <c r="C48" s="25" t="s">
        <v>11</v>
      </c>
      <c r="D48" s="24"/>
      <c r="E48" s="24" t="s">
        <v>12</v>
      </c>
      <c r="F48" s="26" t="s">
        <v>13</v>
      </c>
      <c r="G48" s="27">
        <v>0</v>
      </c>
      <c r="H48" s="23" t="s">
        <v>12</v>
      </c>
    </row>
    <row r="49" spans="1:8" x14ac:dyDescent="0.2">
      <c r="A49" s="24"/>
      <c r="B49" s="24"/>
      <c r="C49" s="28"/>
      <c r="D49" s="24"/>
      <c r="E49" s="24"/>
      <c r="F49" s="29"/>
      <c r="G49" s="29"/>
      <c r="H49" s="23" t="s">
        <v>12</v>
      </c>
    </row>
    <row r="50" spans="1:8" x14ac:dyDescent="0.2">
      <c r="A50" s="24"/>
      <c r="B50" s="24"/>
      <c r="C50" s="25" t="s">
        <v>98</v>
      </c>
      <c r="D50" s="24"/>
      <c r="E50" s="24"/>
      <c r="F50" s="29"/>
      <c r="G50" s="29"/>
      <c r="H50" s="23" t="s">
        <v>12</v>
      </c>
    </row>
    <row r="51" spans="1:8" x14ac:dyDescent="0.2">
      <c r="A51" s="24"/>
      <c r="B51" s="24"/>
      <c r="C51" s="25" t="s">
        <v>11</v>
      </c>
      <c r="D51" s="24"/>
      <c r="E51" s="24" t="s">
        <v>12</v>
      </c>
      <c r="F51" s="26" t="s">
        <v>13</v>
      </c>
      <c r="G51" s="27">
        <v>0</v>
      </c>
      <c r="H51" s="23" t="s">
        <v>12</v>
      </c>
    </row>
    <row r="52" spans="1:8" x14ac:dyDescent="0.2">
      <c r="A52" s="24"/>
      <c r="B52" s="24"/>
      <c r="C52" s="28"/>
      <c r="D52" s="24"/>
      <c r="E52" s="24"/>
      <c r="F52" s="29"/>
      <c r="G52" s="29"/>
      <c r="H52" s="23" t="s">
        <v>12</v>
      </c>
    </row>
    <row r="53" spans="1:8" x14ac:dyDescent="0.2">
      <c r="A53" s="24"/>
      <c r="B53" s="24"/>
      <c r="C53" s="25" t="s">
        <v>99</v>
      </c>
      <c r="D53" s="24"/>
      <c r="E53" s="24"/>
      <c r="F53" s="30">
        <v>39708.284</v>
      </c>
      <c r="G53" s="27">
        <v>0.16770133000000001</v>
      </c>
      <c r="H53" s="23" t="s">
        <v>12</v>
      </c>
    </row>
    <row r="54" spans="1:8" x14ac:dyDescent="0.2">
      <c r="A54" s="24"/>
      <c r="B54" s="24"/>
      <c r="C54" s="28"/>
      <c r="D54" s="24"/>
      <c r="E54" s="24"/>
      <c r="F54" s="29"/>
      <c r="G54" s="29"/>
      <c r="H54" s="23" t="s">
        <v>12</v>
      </c>
    </row>
    <row r="55" spans="1:8" x14ac:dyDescent="0.2">
      <c r="A55" s="24"/>
      <c r="B55" s="24"/>
      <c r="C55" s="25" t="s">
        <v>100</v>
      </c>
      <c r="D55" s="24"/>
      <c r="E55" s="24"/>
      <c r="F55" s="29"/>
      <c r="G55" s="29"/>
      <c r="H55" s="23" t="s">
        <v>12</v>
      </c>
    </row>
    <row r="56" spans="1:8" x14ac:dyDescent="0.2">
      <c r="A56" s="24"/>
      <c r="B56" s="24"/>
      <c r="C56" s="25" t="s">
        <v>101</v>
      </c>
      <c r="D56" s="24"/>
      <c r="E56" s="24"/>
      <c r="F56" s="29"/>
      <c r="G56" s="29"/>
      <c r="H56" s="23" t="s">
        <v>12</v>
      </c>
    </row>
    <row r="57" spans="1:8" x14ac:dyDescent="0.2">
      <c r="A57" s="31">
        <v>1</v>
      </c>
      <c r="B57" s="32" t="s">
        <v>102</v>
      </c>
      <c r="C57" s="32" t="s">
        <v>103</v>
      </c>
      <c r="D57" s="32" t="s">
        <v>104</v>
      </c>
      <c r="E57" s="33">
        <v>3000</v>
      </c>
      <c r="F57" s="34">
        <v>14599.2</v>
      </c>
      <c r="G57" s="35">
        <v>6.1657280000000002E-2</v>
      </c>
      <c r="H57" s="23">
        <v>6.11</v>
      </c>
    </row>
    <row r="58" spans="1:8" x14ac:dyDescent="0.2">
      <c r="A58" s="31">
        <v>2</v>
      </c>
      <c r="B58" s="32" t="s">
        <v>494</v>
      </c>
      <c r="C58" s="32" t="s">
        <v>495</v>
      </c>
      <c r="D58" s="32" t="s">
        <v>110</v>
      </c>
      <c r="E58" s="33">
        <v>2000</v>
      </c>
      <c r="F58" s="34">
        <v>9743.51</v>
      </c>
      <c r="G58" s="35">
        <v>4.115009E-2</v>
      </c>
      <c r="H58" s="23">
        <v>6.12</v>
      </c>
    </row>
    <row r="59" spans="1:8" x14ac:dyDescent="0.2">
      <c r="A59" s="31">
        <v>3</v>
      </c>
      <c r="B59" s="32" t="s">
        <v>346</v>
      </c>
      <c r="C59" s="32" t="s">
        <v>347</v>
      </c>
      <c r="D59" s="32" t="s">
        <v>110</v>
      </c>
      <c r="E59" s="33">
        <v>1500</v>
      </c>
      <c r="F59" s="34">
        <v>7405.3725000000004</v>
      </c>
      <c r="G59" s="35">
        <v>3.127535E-2</v>
      </c>
      <c r="H59" s="23">
        <v>5.8300999999999998</v>
      </c>
    </row>
    <row r="60" spans="1:8" x14ac:dyDescent="0.2">
      <c r="A60" s="31">
        <v>4</v>
      </c>
      <c r="B60" s="32" t="s">
        <v>496</v>
      </c>
      <c r="C60" s="32" t="s">
        <v>497</v>
      </c>
      <c r="D60" s="32" t="s">
        <v>110</v>
      </c>
      <c r="E60" s="33">
        <v>1500</v>
      </c>
      <c r="F60" s="34">
        <v>7313.9475000000002</v>
      </c>
      <c r="G60" s="35">
        <v>3.0889239999999998E-2</v>
      </c>
      <c r="H60" s="23">
        <v>6.19</v>
      </c>
    </row>
    <row r="61" spans="1:8" x14ac:dyDescent="0.2">
      <c r="A61" s="31">
        <v>5</v>
      </c>
      <c r="B61" s="32" t="s">
        <v>235</v>
      </c>
      <c r="C61" s="32" t="s">
        <v>236</v>
      </c>
      <c r="D61" s="32" t="s">
        <v>110</v>
      </c>
      <c r="E61" s="33">
        <v>1200</v>
      </c>
      <c r="F61" s="34">
        <v>5834.2439999999997</v>
      </c>
      <c r="G61" s="35">
        <v>2.4639959999999999E-2</v>
      </c>
      <c r="H61" s="23">
        <v>6.1</v>
      </c>
    </row>
    <row r="62" spans="1:8" x14ac:dyDescent="0.2">
      <c r="A62" s="31">
        <v>6</v>
      </c>
      <c r="B62" s="32" t="s">
        <v>498</v>
      </c>
      <c r="C62" s="32" t="s">
        <v>499</v>
      </c>
      <c r="D62" s="32" t="s">
        <v>110</v>
      </c>
      <c r="E62" s="33">
        <v>1000</v>
      </c>
      <c r="F62" s="34">
        <v>4890.13</v>
      </c>
      <c r="G62" s="35">
        <v>2.0652650000000002E-2</v>
      </c>
      <c r="H62" s="23">
        <v>6.1200999999999999</v>
      </c>
    </row>
    <row r="63" spans="1:8" x14ac:dyDescent="0.2">
      <c r="A63" s="31">
        <v>7</v>
      </c>
      <c r="B63" s="32" t="s">
        <v>500</v>
      </c>
      <c r="C63" s="32" t="s">
        <v>501</v>
      </c>
      <c r="D63" s="32" t="s">
        <v>110</v>
      </c>
      <c r="E63" s="33">
        <v>1000</v>
      </c>
      <c r="F63" s="34">
        <v>4889.3249999999998</v>
      </c>
      <c r="G63" s="35">
        <v>2.0649250000000001E-2</v>
      </c>
      <c r="H63" s="23">
        <v>6.1200999999999999</v>
      </c>
    </row>
    <row r="64" spans="1:8" x14ac:dyDescent="0.2">
      <c r="A64" s="31">
        <v>8</v>
      </c>
      <c r="B64" s="32" t="s">
        <v>502</v>
      </c>
      <c r="C64" s="32" t="s">
        <v>503</v>
      </c>
      <c r="D64" s="32" t="s">
        <v>107</v>
      </c>
      <c r="E64" s="33">
        <v>1000</v>
      </c>
      <c r="F64" s="34">
        <v>4872.7449999999999</v>
      </c>
      <c r="G64" s="35">
        <v>2.057923E-2</v>
      </c>
      <c r="H64" s="23">
        <v>6.1105999999999998</v>
      </c>
    </row>
    <row r="65" spans="1:8" x14ac:dyDescent="0.2">
      <c r="A65" s="31">
        <v>9</v>
      </c>
      <c r="B65" s="32" t="s">
        <v>504</v>
      </c>
      <c r="C65" s="32" t="s">
        <v>505</v>
      </c>
      <c r="D65" s="32" t="s">
        <v>110</v>
      </c>
      <c r="E65" s="33">
        <v>1000</v>
      </c>
      <c r="F65" s="34">
        <v>4866.6149999999998</v>
      </c>
      <c r="G65" s="35">
        <v>2.055334E-2</v>
      </c>
      <c r="H65" s="23">
        <v>6.1</v>
      </c>
    </row>
    <row r="66" spans="1:8" x14ac:dyDescent="0.2">
      <c r="A66" s="31">
        <v>10</v>
      </c>
      <c r="B66" s="32" t="s">
        <v>205</v>
      </c>
      <c r="C66" s="32" t="s">
        <v>206</v>
      </c>
      <c r="D66" s="32" t="s">
        <v>110</v>
      </c>
      <c r="E66" s="33">
        <v>1000</v>
      </c>
      <c r="F66" s="34">
        <v>4865.28</v>
      </c>
      <c r="G66" s="35">
        <v>2.0547699999999999E-2</v>
      </c>
      <c r="H66" s="23">
        <v>6.4375</v>
      </c>
    </row>
    <row r="67" spans="1:8" x14ac:dyDescent="0.2">
      <c r="A67" s="31">
        <v>11</v>
      </c>
      <c r="B67" s="32" t="s">
        <v>207</v>
      </c>
      <c r="C67" s="32" t="s">
        <v>208</v>
      </c>
      <c r="D67" s="32" t="s">
        <v>110</v>
      </c>
      <c r="E67" s="33">
        <v>1000</v>
      </c>
      <c r="F67" s="34">
        <v>4863.0150000000003</v>
      </c>
      <c r="G67" s="35">
        <v>2.0538130000000002E-2</v>
      </c>
      <c r="H67" s="23">
        <v>6.1200999999999999</v>
      </c>
    </row>
    <row r="68" spans="1:8" x14ac:dyDescent="0.2">
      <c r="A68" s="31">
        <v>12</v>
      </c>
      <c r="B68" s="32" t="s">
        <v>506</v>
      </c>
      <c r="C68" s="32" t="s">
        <v>507</v>
      </c>
      <c r="D68" s="32" t="s">
        <v>110</v>
      </c>
      <c r="E68" s="33">
        <v>1000</v>
      </c>
      <c r="F68" s="34">
        <v>4822.3900000000003</v>
      </c>
      <c r="G68" s="35">
        <v>2.0366559999999999E-2</v>
      </c>
      <c r="H68" s="23">
        <v>6.1950000000000003</v>
      </c>
    </row>
    <row r="69" spans="1:8" x14ac:dyDescent="0.2">
      <c r="A69" s="31">
        <v>13</v>
      </c>
      <c r="B69" s="32" t="s">
        <v>209</v>
      </c>
      <c r="C69" s="32" t="s">
        <v>210</v>
      </c>
      <c r="D69" s="32" t="s">
        <v>110</v>
      </c>
      <c r="E69" s="33">
        <v>1000</v>
      </c>
      <c r="F69" s="34">
        <v>4821.8100000000004</v>
      </c>
      <c r="G69" s="35">
        <v>2.0364110000000001E-2</v>
      </c>
      <c r="H69" s="23">
        <v>6.1875</v>
      </c>
    </row>
    <row r="70" spans="1:8" x14ac:dyDescent="0.2">
      <c r="A70" s="31">
        <v>14</v>
      </c>
      <c r="B70" s="32" t="s">
        <v>508</v>
      </c>
      <c r="C70" s="32" t="s">
        <v>509</v>
      </c>
      <c r="D70" s="32" t="s">
        <v>110</v>
      </c>
      <c r="E70" s="33">
        <v>1000</v>
      </c>
      <c r="F70" s="34">
        <v>4812.8</v>
      </c>
      <c r="G70" s="35">
        <v>2.032606E-2</v>
      </c>
      <c r="H70" s="23">
        <v>6.5125000000000002</v>
      </c>
    </row>
    <row r="71" spans="1:8" x14ac:dyDescent="0.2">
      <c r="A71" s="31">
        <v>15</v>
      </c>
      <c r="B71" s="32" t="s">
        <v>215</v>
      </c>
      <c r="C71" s="32" t="s">
        <v>216</v>
      </c>
      <c r="D71" s="32" t="s">
        <v>110</v>
      </c>
      <c r="E71" s="33">
        <v>1000</v>
      </c>
      <c r="F71" s="34">
        <v>4811.3149999999996</v>
      </c>
      <c r="G71" s="35">
        <v>2.0319790000000001E-2</v>
      </c>
      <c r="H71" s="23">
        <v>6.17</v>
      </c>
    </row>
    <row r="72" spans="1:8" x14ac:dyDescent="0.2">
      <c r="A72" s="31">
        <v>16</v>
      </c>
      <c r="B72" s="32" t="s">
        <v>185</v>
      </c>
      <c r="C72" s="32" t="s">
        <v>186</v>
      </c>
      <c r="D72" s="32" t="s">
        <v>110</v>
      </c>
      <c r="E72" s="33">
        <v>1000</v>
      </c>
      <c r="F72" s="34">
        <v>4788.1949999999997</v>
      </c>
      <c r="G72" s="35">
        <v>2.022214E-2</v>
      </c>
      <c r="H72" s="23">
        <v>6.21</v>
      </c>
    </row>
    <row r="73" spans="1:8" x14ac:dyDescent="0.2">
      <c r="A73" s="31">
        <v>17</v>
      </c>
      <c r="B73" s="32" t="s">
        <v>243</v>
      </c>
      <c r="C73" s="32" t="s">
        <v>244</v>
      </c>
      <c r="D73" s="32" t="s">
        <v>110</v>
      </c>
      <c r="E73" s="33">
        <v>800</v>
      </c>
      <c r="F73" s="34">
        <v>3854.7840000000001</v>
      </c>
      <c r="G73" s="35">
        <v>1.6280039999999999E-2</v>
      </c>
      <c r="H73" s="23">
        <v>6.25</v>
      </c>
    </row>
    <row r="74" spans="1:8" x14ac:dyDescent="0.2">
      <c r="A74" s="31">
        <v>18</v>
      </c>
      <c r="B74" s="32" t="s">
        <v>318</v>
      </c>
      <c r="C74" s="32" t="s">
        <v>319</v>
      </c>
      <c r="D74" s="32" t="s">
        <v>110</v>
      </c>
      <c r="E74" s="33">
        <v>800</v>
      </c>
      <c r="F74" s="34">
        <v>3833.1640000000002</v>
      </c>
      <c r="G74" s="35">
        <v>1.6188729999999998E-2</v>
      </c>
      <c r="H74" s="23">
        <v>6.23</v>
      </c>
    </row>
    <row r="75" spans="1:8" x14ac:dyDescent="0.2">
      <c r="A75" s="31">
        <v>19</v>
      </c>
      <c r="B75" s="32" t="s">
        <v>237</v>
      </c>
      <c r="C75" s="32" t="s">
        <v>238</v>
      </c>
      <c r="D75" s="32" t="s">
        <v>110</v>
      </c>
      <c r="E75" s="33">
        <v>700</v>
      </c>
      <c r="F75" s="34">
        <v>3378.172</v>
      </c>
      <c r="G75" s="35">
        <v>1.4267149999999999E-2</v>
      </c>
      <c r="H75" s="23">
        <v>6.39</v>
      </c>
    </row>
    <row r="76" spans="1:8" x14ac:dyDescent="0.2">
      <c r="A76" s="31">
        <v>20</v>
      </c>
      <c r="B76" s="32" t="s">
        <v>239</v>
      </c>
      <c r="C76" s="32" t="s">
        <v>240</v>
      </c>
      <c r="D76" s="32" t="s">
        <v>110</v>
      </c>
      <c r="E76" s="33">
        <v>700</v>
      </c>
      <c r="F76" s="34">
        <v>3364.1089999999999</v>
      </c>
      <c r="G76" s="35">
        <v>1.420775E-2</v>
      </c>
      <c r="H76" s="23">
        <v>6.1950000000000003</v>
      </c>
    </row>
    <row r="77" spans="1:8" x14ac:dyDescent="0.2">
      <c r="A77" s="31">
        <v>21</v>
      </c>
      <c r="B77" s="32" t="s">
        <v>241</v>
      </c>
      <c r="C77" s="32" t="s">
        <v>242</v>
      </c>
      <c r="D77" s="32" t="s">
        <v>110</v>
      </c>
      <c r="E77" s="33">
        <v>600</v>
      </c>
      <c r="F77" s="34">
        <v>2869.239</v>
      </c>
      <c r="G77" s="35">
        <v>1.211775E-2</v>
      </c>
      <c r="H77" s="23">
        <v>6.23</v>
      </c>
    </row>
    <row r="78" spans="1:8" x14ac:dyDescent="0.2">
      <c r="A78" s="31">
        <v>22</v>
      </c>
      <c r="B78" s="32" t="s">
        <v>314</v>
      </c>
      <c r="C78" s="32" t="s">
        <v>315</v>
      </c>
      <c r="D78" s="32" t="s">
        <v>110</v>
      </c>
      <c r="E78" s="33">
        <v>600</v>
      </c>
      <c r="F78" s="34">
        <v>2833.596</v>
      </c>
      <c r="G78" s="35">
        <v>1.1967220000000001E-2</v>
      </c>
      <c r="H78" s="23">
        <v>6.5350000000000001</v>
      </c>
    </row>
    <row r="79" spans="1:8" x14ac:dyDescent="0.2">
      <c r="A79" s="31">
        <v>23</v>
      </c>
      <c r="B79" s="32" t="s">
        <v>510</v>
      </c>
      <c r="C79" s="32" t="s">
        <v>511</v>
      </c>
      <c r="D79" s="32" t="s">
        <v>110</v>
      </c>
      <c r="E79" s="33">
        <v>500</v>
      </c>
      <c r="F79" s="34">
        <v>2439.1925000000001</v>
      </c>
      <c r="G79" s="35">
        <v>1.030152E-2</v>
      </c>
      <c r="H79" s="23">
        <v>6.19</v>
      </c>
    </row>
    <row r="80" spans="1:8" x14ac:dyDescent="0.2">
      <c r="A80" s="31">
        <v>24</v>
      </c>
      <c r="B80" s="32" t="s">
        <v>512</v>
      </c>
      <c r="C80" s="32" t="s">
        <v>513</v>
      </c>
      <c r="D80" s="32" t="s">
        <v>110</v>
      </c>
      <c r="E80" s="33">
        <v>500</v>
      </c>
      <c r="F80" s="34">
        <v>2436.1725000000001</v>
      </c>
      <c r="G80" s="35">
        <v>1.0288769999999999E-2</v>
      </c>
      <c r="H80" s="23">
        <v>6.13</v>
      </c>
    </row>
    <row r="81" spans="1:8" x14ac:dyDescent="0.2">
      <c r="A81" s="31">
        <v>25</v>
      </c>
      <c r="B81" s="32" t="s">
        <v>514</v>
      </c>
      <c r="C81" s="32" t="s">
        <v>515</v>
      </c>
      <c r="D81" s="32" t="s">
        <v>110</v>
      </c>
      <c r="E81" s="33">
        <v>500</v>
      </c>
      <c r="F81" s="34">
        <v>2435.8775000000001</v>
      </c>
      <c r="G81" s="35">
        <v>1.028752E-2</v>
      </c>
      <c r="H81" s="23">
        <v>6.12</v>
      </c>
    </row>
    <row r="82" spans="1:8" x14ac:dyDescent="0.2">
      <c r="A82" s="31">
        <v>26</v>
      </c>
      <c r="B82" s="32" t="s">
        <v>105</v>
      </c>
      <c r="C82" s="32" t="s">
        <v>106</v>
      </c>
      <c r="D82" s="32" t="s">
        <v>107</v>
      </c>
      <c r="E82" s="33">
        <v>500</v>
      </c>
      <c r="F82" s="34">
        <v>2430.8249999999998</v>
      </c>
      <c r="G82" s="35">
        <v>1.026618E-2</v>
      </c>
      <c r="H82" s="23">
        <v>6.1098999999999997</v>
      </c>
    </row>
    <row r="83" spans="1:8" x14ac:dyDescent="0.2">
      <c r="A83" s="31">
        <v>27</v>
      </c>
      <c r="B83" s="32" t="s">
        <v>516</v>
      </c>
      <c r="C83" s="32" t="s">
        <v>517</v>
      </c>
      <c r="D83" s="32" t="s">
        <v>110</v>
      </c>
      <c r="E83" s="33">
        <v>500</v>
      </c>
      <c r="F83" s="34">
        <v>2418.8200000000002</v>
      </c>
      <c r="G83" s="35">
        <v>1.0215480000000001E-2</v>
      </c>
      <c r="H83" s="23">
        <v>6.25</v>
      </c>
    </row>
    <row r="84" spans="1:8" x14ac:dyDescent="0.2">
      <c r="A84" s="31">
        <v>28</v>
      </c>
      <c r="B84" s="32" t="s">
        <v>211</v>
      </c>
      <c r="C84" s="32" t="s">
        <v>212</v>
      </c>
      <c r="D84" s="32" t="s">
        <v>110</v>
      </c>
      <c r="E84" s="33">
        <v>500</v>
      </c>
      <c r="F84" s="34">
        <v>2410.0574999999999</v>
      </c>
      <c r="G84" s="35">
        <v>1.017848E-2</v>
      </c>
      <c r="H84" s="23">
        <v>6.22</v>
      </c>
    </row>
    <row r="85" spans="1:8" x14ac:dyDescent="0.2">
      <c r="A85" s="31">
        <v>29</v>
      </c>
      <c r="B85" s="32" t="s">
        <v>221</v>
      </c>
      <c r="C85" s="32" t="s">
        <v>222</v>
      </c>
      <c r="D85" s="32" t="s">
        <v>110</v>
      </c>
      <c r="E85" s="33">
        <v>500</v>
      </c>
      <c r="F85" s="34">
        <v>2400.33</v>
      </c>
      <c r="G85" s="35">
        <v>1.013739E-2</v>
      </c>
      <c r="H85" s="23">
        <v>6.3949999999999996</v>
      </c>
    </row>
    <row r="86" spans="1:8" x14ac:dyDescent="0.2">
      <c r="A86" s="31">
        <v>30</v>
      </c>
      <c r="B86" s="32" t="s">
        <v>518</v>
      </c>
      <c r="C86" s="32" t="s">
        <v>519</v>
      </c>
      <c r="D86" s="32" t="s">
        <v>110</v>
      </c>
      <c r="E86" s="33">
        <v>500</v>
      </c>
      <c r="F86" s="34">
        <v>2396.9025000000001</v>
      </c>
      <c r="G86" s="35">
        <v>1.0122920000000001E-2</v>
      </c>
      <c r="H86" s="23">
        <v>6.23</v>
      </c>
    </row>
    <row r="87" spans="1:8" x14ac:dyDescent="0.2">
      <c r="A87" s="31">
        <v>31</v>
      </c>
      <c r="B87" s="32" t="s">
        <v>225</v>
      </c>
      <c r="C87" s="32" t="s">
        <v>226</v>
      </c>
      <c r="D87" s="32" t="s">
        <v>110</v>
      </c>
      <c r="E87" s="33">
        <v>500</v>
      </c>
      <c r="F87" s="34">
        <v>2396.69</v>
      </c>
      <c r="G87" s="35">
        <v>1.0122020000000001E-2</v>
      </c>
      <c r="H87" s="23">
        <v>6.17</v>
      </c>
    </row>
    <row r="88" spans="1:8" x14ac:dyDescent="0.2">
      <c r="A88" s="31">
        <v>32</v>
      </c>
      <c r="B88" s="32" t="s">
        <v>227</v>
      </c>
      <c r="C88" s="32" t="s">
        <v>228</v>
      </c>
      <c r="D88" s="32" t="s">
        <v>110</v>
      </c>
      <c r="E88" s="33">
        <v>500</v>
      </c>
      <c r="F88" s="34">
        <v>2396.2874999999999</v>
      </c>
      <c r="G88" s="35">
        <v>1.012032E-2</v>
      </c>
      <c r="H88" s="23">
        <v>6.1950000000000003</v>
      </c>
    </row>
    <row r="89" spans="1:8" x14ac:dyDescent="0.2">
      <c r="A89" s="31">
        <v>33</v>
      </c>
      <c r="B89" s="32" t="s">
        <v>520</v>
      </c>
      <c r="C89" s="32" t="s">
        <v>521</v>
      </c>
      <c r="D89" s="32" t="s">
        <v>110</v>
      </c>
      <c r="E89" s="33">
        <v>500</v>
      </c>
      <c r="F89" s="34">
        <v>2396.1925000000001</v>
      </c>
      <c r="G89" s="35">
        <v>1.0119919999999999E-2</v>
      </c>
      <c r="H89" s="23">
        <v>6.25</v>
      </c>
    </row>
    <row r="90" spans="1:8" x14ac:dyDescent="0.2">
      <c r="A90" s="31">
        <v>34</v>
      </c>
      <c r="B90" s="32" t="s">
        <v>229</v>
      </c>
      <c r="C90" s="32" t="s">
        <v>230</v>
      </c>
      <c r="D90" s="32" t="s">
        <v>110</v>
      </c>
      <c r="E90" s="33">
        <v>500</v>
      </c>
      <c r="F90" s="34">
        <v>2366.9850000000001</v>
      </c>
      <c r="G90" s="35">
        <v>9.9965699999999998E-3</v>
      </c>
      <c r="H90" s="23">
        <v>6.37</v>
      </c>
    </row>
    <row r="91" spans="1:8" x14ac:dyDescent="0.2">
      <c r="A91" s="31">
        <v>35</v>
      </c>
      <c r="B91" s="32" t="s">
        <v>316</v>
      </c>
      <c r="C91" s="32" t="s">
        <v>317</v>
      </c>
      <c r="D91" s="32" t="s">
        <v>110</v>
      </c>
      <c r="E91" s="33">
        <v>300</v>
      </c>
      <c r="F91" s="34">
        <v>1445.838</v>
      </c>
      <c r="G91" s="35">
        <v>6.1062599999999996E-3</v>
      </c>
      <c r="H91" s="23">
        <v>6.2150999999999996</v>
      </c>
    </row>
    <row r="92" spans="1:8" x14ac:dyDescent="0.2">
      <c r="A92" s="31">
        <v>36</v>
      </c>
      <c r="B92" s="32" t="s">
        <v>195</v>
      </c>
      <c r="C92" s="32" t="s">
        <v>196</v>
      </c>
      <c r="D92" s="32" t="s">
        <v>110</v>
      </c>
      <c r="E92" s="33">
        <v>100</v>
      </c>
      <c r="F92" s="34">
        <v>478.06150000000002</v>
      </c>
      <c r="G92" s="35">
        <v>2.0190099999999999E-3</v>
      </c>
      <c r="H92" s="23">
        <v>6.25</v>
      </c>
    </row>
    <row r="93" spans="1:8" x14ac:dyDescent="0.2">
      <c r="A93" s="24"/>
      <c r="B93" s="24"/>
      <c r="C93" s="25" t="s">
        <v>11</v>
      </c>
      <c r="D93" s="24"/>
      <c r="E93" s="24" t="s">
        <v>12</v>
      </c>
      <c r="F93" s="30">
        <v>149181.19</v>
      </c>
      <c r="G93" s="27">
        <v>0.63004188000000005</v>
      </c>
      <c r="H93" s="23" t="s">
        <v>12</v>
      </c>
    </row>
    <row r="94" spans="1:8" x14ac:dyDescent="0.2">
      <c r="A94" s="24"/>
      <c r="B94" s="24"/>
      <c r="C94" s="28"/>
      <c r="D94" s="24"/>
      <c r="E94" s="24"/>
      <c r="F94" s="29"/>
      <c r="G94" s="29"/>
      <c r="H94" s="23" t="s">
        <v>12</v>
      </c>
    </row>
    <row r="95" spans="1:8" x14ac:dyDescent="0.2">
      <c r="A95" s="24"/>
      <c r="B95" s="24"/>
      <c r="C95" s="25" t="s">
        <v>111</v>
      </c>
      <c r="D95" s="24"/>
      <c r="E95" s="24"/>
      <c r="F95" s="29"/>
      <c r="G95" s="29"/>
      <c r="H95" s="23" t="s">
        <v>12</v>
      </c>
    </row>
    <row r="96" spans="1:8" x14ac:dyDescent="0.2">
      <c r="A96" s="31">
        <v>1</v>
      </c>
      <c r="B96" s="32" t="s">
        <v>263</v>
      </c>
      <c r="C96" s="32" t="s">
        <v>264</v>
      </c>
      <c r="D96" s="32" t="s">
        <v>110</v>
      </c>
      <c r="E96" s="33">
        <v>1100</v>
      </c>
      <c r="F96" s="34">
        <v>5269.6104999999998</v>
      </c>
      <c r="G96" s="35">
        <v>2.2255319999999999E-2</v>
      </c>
      <c r="H96" s="23">
        <v>7.03</v>
      </c>
    </row>
    <row r="97" spans="1:8" x14ac:dyDescent="0.2">
      <c r="A97" s="31">
        <v>2</v>
      </c>
      <c r="B97" s="32" t="s">
        <v>522</v>
      </c>
      <c r="C97" s="32" t="s">
        <v>523</v>
      </c>
      <c r="D97" s="32" t="s">
        <v>110</v>
      </c>
      <c r="E97" s="33">
        <v>1000</v>
      </c>
      <c r="F97" s="34">
        <v>4702.3850000000002</v>
      </c>
      <c r="G97" s="35">
        <v>1.9859740000000001E-2</v>
      </c>
      <c r="H97" s="23">
        <v>6.7350000000000003</v>
      </c>
    </row>
    <row r="98" spans="1:8" x14ac:dyDescent="0.2">
      <c r="A98" s="31">
        <v>3</v>
      </c>
      <c r="B98" s="32" t="s">
        <v>273</v>
      </c>
      <c r="C98" s="32" t="s">
        <v>274</v>
      </c>
      <c r="D98" s="32" t="s">
        <v>110</v>
      </c>
      <c r="E98" s="33">
        <v>800</v>
      </c>
      <c r="F98" s="34">
        <v>3950.9760000000001</v>
      </c>
      <c r="G98" s="35">
        <v>1.6686289999999999E-2</v>
      </c>
      <c r="H98" s="23">
        <v>6.47</v>
      </c>
    </row>
    <row r="99" spans="1:8" x14ac:dyDescent="0.2">
      <c r="A99" s="31">
        <v>4</v>
      </c>
      <c r="B99" s="32" t="s">
        <v>265</v>
      </c>
      <c r="C99" s="32" t="s">
        <v>266</v>
      </c>
      <c r="D99" s="32" t="s">
        <v>110</v>
      </c>
      <c r="E99" s="33">
        <v>700</v>
      </c>
      <c r="F99" s="34">
        <v>3451.6125000000002</v>
      </c>
      <c r="G99" s="35">
        <v>1.457731E-2</v>
      </c>
      <c r="H99" s="23">
        <v>5.95</v>
      </c>
    </row>
    <row r="100" spans="1:8" x14ac:dyDescent="0.2">
      <c r="A100" s="31">
        <v>5</v>
      </c>
      <c r="B100" s="32" t="s">
        <v>267</v>
      </c>
      <c r="C100" s="32" t="s">
        <v>268</v>
      </c>
      <c r="D100" s="32" t="s">
        <v>110</v>
      </c>
      <c r="E100" s="33">
        <v>700</v>
      </c>
      <c r="F100" s="34">
        <v>3413.6374999999998</v>
      </c>
      <c r="G100" s="35">
        <v>1.441693E-2</v>
      </c>
      <c r="H100" s="23">
        <v>6.79</v>
      </c>
    </row>
    <row r="101" spans="1:8" x14ac:dyDescent="0.2">
      <c r="A101" s="31">
        <v>6</v>
      </c>
      <c r="B101" s="32" t="s">
        <v>269</v>
      </c>
      <c r="C101" s="32" t="s">
        <v>270</v>
      </c>
      <c r="D101" s="32" t="s">
        <v>110</v>
      </c>
      <c r="E101" s="33">
        <v>700</v>
      </c>
      <c r="F101" s="34">
        <v>3398.0520000000001</v>
      </c>
      <c r="G101" s="35">
        <v>1.435111E-2</v>
      </c>
      <c r="H101" s="23">
        <v>6.9749999999999996</v>
      </c>
    </row>
    <row r="102" spans="1:8" x14ac:dyDescent="0.2">
      <c r="A102" s="31">
        <v>7</v>
      </c>
      <c r="B102" s="32" t="s">
        <v>271</v>
      </c>
      <c r="C102" s="32" t="s">
        <v>272</v>
      </c>
      <c r="D102" s="32" t="s">
        <v>110</v>
      </c>
      <c r="E102" s="33">
        <v>700</v>
      </c>
      <c r="F102" s="34">
        <v>3355.1559999999999</v>
      </c>
      <c r="G102" s="35">
        <v>1.4169940000000001E-2</v>
      </c>
      <c r="H102" s="23">
        <v>7.1624999999999996</v>
      </c>
    </row>
    <row r="103" spans="1:8" x14ac:dyDescent="0.2">
      <c r="A103" s="31">
        <v>8</v>
      </c>
      <c r="B103" s="32" t="s">
        <v>275</v>
      </c>
      <c r="C103" s="32" t="s">
        <v>276</v>
      </c>
      <c r="D103" s="32" t="s">
        <v>110</v>
      </c>
      <c r="E103" s="33">
        <v>600</v>
      </c>
      <c r="F103" s="34">
        <v>2822.0940000000001</v>
      </c>
      <c r="G103" s="35">
        <v>1.1918639999999999E-2</v>
      </c>
      <c r="H103" s="23">
        <v>7.08</v>
      </c>
    </row>
    <row r="104" spans="1:8" x14ac:dyDescent="0.2">
      <c r="A104" s="31">
        <v>9</v>
      </c>
      <c r="B104" s="32" t="s">
        <v>255</v>
      </c>
      <c r="C104" s="32" t="s">
        <v>256</v>
      </c>
      <c r="D104" s="32" t="s">
        <v>110</v>
      </c>
      <c r="E104" s="33">
        <v>500</v>
      </c>
      <c r="F104" s="34">
        <v>2403.3775000000001</v>
      </c>
      <c r="G104" s="35">
        <v>1.0150259999999999E-2</v>
      </c>
      <c r="H104" s="23">
        <v>6.3250000000000002</v>
      </c>
    </row>
    <row r="105" spans="1:8" x14ac:dyDescent="0.2">
      <c r="A105" s="31">
        <v>10</v>
      </c>
      <c r="B105" s="32" t="s">
        <v>257</v>
      </c>
      <c r="C105" s="32" t="s">
        <v>258</v>
      </c>
      <c r="D105" s="32" t="s">
        <v>110</v>
      </c>
      <c r="E105" s="33">
        <v>500</v>
      </c>
      <c r="F105" s="34">
        <v>2388.0050000000001</v>
      </c>
      <c r="G105" s="35">
        <v>1.008534E-2</v>
      </c>
      <c r="H105" s="23">
        <v>7.1624999999999996</v>
      </c>
    </row>
    <row r="106" spans="1:8" x14ac:dyDescent="0.2">
      <c r="A106" s="31">
        <v>11</v>
      </c>
      <c r="B106" s="32" t="s">
        <v>524</v>
      </c>
      <c r="C106" s="32" t="s">
        <v>525</v>
      </c>
      <c r="D106" s="32" t="s">
        <v>110</v>
      </c>
      <c r="E106" s="33">
        <v>500</v>
      </c>
      <c r="F106" s="34">
        <v>2349.1725000000001</v>
      </c>
      <c r="G106" s="35">
        <v>9.9213400000000007E-3</v>
      </c>
      <c r="H106" s="23">
        <v>7.08</v>
      </c>
    </row>
    <row r="107" spans="1:8" x14ac:dyDescent="0.2">
      <c r="A107" s="31">
        <v>12</v>
      </c>
      <c r="B107" s="32" t="s">
        <v>247</v>
      </c>
      <c r="C107" s="32" t="s">
        <v>248</v>
      </c>
      <c r="D107" s="32" t="s">
        <v>110</v>
      </c>
      <c r="E107" s="33">
        <v>300</v>
      </c>
      <c r="F107" s="34">
        <v>1452.702</v>
      </c>
      <c r="G107" s="35">
        <v>6.1352400000000001E-3</v>
      </c>
      <c r="H107" s="23">
        <v>6.83</v>
      </c>
    </row>
    <row r="108" spans="1:8" x14ac:dyDescent="0.2">
      <c r="A108" s="31">
        <v>13</v>
      </c>
      <c r="B108" s="32" t="s">
        <v>245</v>
      </c>
      <c r="C108" s="32" t="s">
        <v>246</v>
      </c>
      <c r="D108" s="32" t="s">
        <v>110</v>
      </c>
      <c r="E108" s="33">
        <v>200</v>
      </c>
      <c r="F108" s="34">
        <v>957.08600000000001</v>
      </c>
      <c r="G108" s="35">
        <v>4.0420899999999999E-3</v>
      </c>
      <c r="H108" s="23">
        <v>6.68</v>
      </c>
    </row>
    <row r="109" spans="1:8" x14ac:dyDescent="0.2">
      <c r="A109" s="24"/>
      <c r="B109" s="24"/>
      <c r="C109" s="25" t="s">
        <v>11</v>
      </c>
      <c r="D109" s="24"/>
      <c r="E109" s="24" t="s">
        <v>12</v>
      </c>
      <c r="F109" s="30">
        <v>39913.866499999996</v>
      </c>
      <c r="G109" s="27">
        <v>0.16856955000000001</v>
      </c>
      <c r="H109" s="23" t="s">
        <v>12</v>
      </c>
    </row>
    <row r="110" spans="1:8" x14ac:dyDescent="0.2">
      <c r="A110" s="24"/>
      <c r="B110" s="24"/>
      <c r="C110" s="28"/>
      <c r="D110" s="24"/>
      <c r="E110" s="24"/>
      <c r="F110" s="29"/>
      <c r="G110" s="29"/>
      <c r="H110" s="23" t="s">
        <v>12</v>
      </c>
    </row>
    <row r="111" spans="1:8" x14ac:dyDescent="0.2">
      <c r="A111" s="24"/>
      <c r="B111" s="24"/>
      <c r="C111" s="25" t="s">
        <v>112</v>
      </c>
      <c r="D111" s="24"/>
      <c r="E111" s="24"/>
      <c r="F111" s="29"/>
      <c r="G111" s="29"/>
      <c r="H111" s="23" t="s">
        <v>12</v>
      </c>
    </row>
    <row r="112" spans="1:8" x14ac:dyDescent="0.2">
      <c r="A112" s="31">
        <v>1</v>
      </c>
      <c r="B112" s="32" t="s">
        <v>464</v>
      </c>
      <c r="C112" s="32" t="s">
        <v>465</v>
      </c>
      <c r="D112" s="32" t="s">
        <v>81</v>
      </c>
      <c r="E112" s="33">
        <v>7000000</v>
      </c>
      <c r="F112" s="34">
        <v>6968.3389999999999</v>
      </c>
      <c r="G112" s="35">
        <v>2.942962E-2</v>
      </c>
      <c r="H112" s="23">
        <v>5.35</v>
      </c>
    </row>
    <row r="113" spans="1:17" x14ac:dyDescent="0.2">
      <c r="A113" s="24"/>
      <c r="B113" s="24"/>
      <c r="C113" s="25" t="s">
        <v>11</v>
      </c>
      <c r="D113" s="24"/>
      <c r="E113" s="24" t="s">
        <v>12</v>
      </c>
      <c r="F113" s="30">
        <v>6968.3389999999999</v>
      </c>
      <c r="G113" s="27">
        <v>2.942962E-2</v>
      </c>
      <c r="H113" s="23" t="s">
        <v>12</v>
      </c>
    </row>
    <row r="114" spans="1:17" x14ac:dyDescent="0.2">
      <c r="A114" s="24"/>
      <c r="B114" s="24"/>
      <c r="C114" s="28"/>
      <c r="D114" s="24"/>
      <c r="E114" s="24"/>
      <c r="F114" s="29"/>
      <c r="G114" s="29"/>
      <c r="H114" s="23" t="s">
        <v>12</v>
      </c>
    </row>
    <row r="115" spans="1:17" x14ac:dyDescent="0.2">
      <c r="A115" s="24"/>
      <c r="B115" s="24"/>
      <c r="C115" s="25" t="s">
        <v>113</v>
      </c>
      <c r="D115" s="24"/>
      <c r="E115" s="24"/>
      <c r="F115" s="29"/>
      <c r="G115" s="29"/>
      <c r="H115" s="23" t="s">
        <v>12</v>
      </c>
    </row>
    <row r="116" spans="1:17" x14ac:dyDescent="0.2">
      <c r="A116" s="31">
        <v>1</v>
      </c>
      <c r="B116" s="32"/>
      <c r="C116" s="32" t="s">
        <v>114</v>
      </c>
      <c r="D116" s="32"/>
      <c r="E116" s="36"/>
      <c r="F116" s="34">
        <v>8.0256999999999995E-2</v>
      </c>
      <c r="G116" s="35">
        <v>3.3999999999999997E-7</v>
      </c>
      <c r="H116" s="23">
        <v>5.47</v>
      </c>
    </row>
    <row r="117" spans="1:17" x14ac:dyDescent="0.2">
      <c r="A117" s="24"/>
      <c r="B117" s="24"/>
      <c r="C117" s="25" t="s">
        <v>11</v>
      </c>
      <c r="D117" s="24"/>
      <c r="E117" s="24" t="s">
        <v>12</v>
      </c>
      <c r="F117" s="30">
        <v>8.0256999999999995E-2</v>
      </c>
      <c r="G117" s="27">
        <v>3.3999999999999997E-7</v>
      </c>
      <c r="H117" s="23" t="s">
        <v>12</v>
      </c>
    </row>
    <row r="118" spans="1:17" x14ac:dyDescent="0.2">
      <c r="A118" s="24"/>
      <c r="B118" s="24"/>
      <c r="C118" s="28"/>
      <c r="D118" s="24"/>
      <c r="E118" s="24"/>
      <c r="F118" s="29"/>
      <c r="G118" s="29"/>
      <c r="H118" s="23" t="s">
        <v>12</v>
      </c>
    </row>
    <row r="119" spans="1:17" x14ac:dyDescent="0.2">
      <c r="A119" s="24"/>
      <c r="B119" s="24"/>
      <c r="C119" s="25" t="s">
        <v>115</v>
      </c>
      <c r="D119" s="24"/>
      <c r="E119" s="24"/>
      <c r="F119" s="30">
        <v>196063.47575700001</v>
      </c>
      <c r="G119" s="27">
        <v>0.82804138999999999</v>
      </c>
      <c r="H119" s="23" t="s">
        <v>12</v>
      </c>
    </row>
    <row r="120" spans="1:17" x14ac:dyDescent="0.2">
      <c r="A120" s="24"/>
      <c r="B120" s="24"/>
      <c r="C120" s="29"/>
      <c r="D120" s="24"/>
      <c r="E120" s="24"/>
      <c r="F120" s="24"/>
      <c r="G120" s="24"/>
      <c r="H120" s="23" t="s">
        <v>12</v>
      </c>
    </row>
    <row r="121" spans="1:17" x14ac:dyDescent="0.2">
      <c r="A121" s="24"/>
      <c r="B121" s="24"/>
      <c r="C121" s="25" t="s">
        <v>116</v>
      </c>
      <c r="D121" s="24"/>
      <c r="E121" s="24"/>
      <c r="F121" s="24"/>
      <c r="G121" s="24"/>
      <c r="H121" s="23" t="s">
        <v>12</v>
      </c>
    </row>
    <row r="122" spans="1:17" x14ac:dyDescent="0.2">
      <c r="A122" s="24"/>
      <c r="B122" s="24"/>
      <c r="C122" s="25" t="s">
        <v>117</v>
      </c>
      <c r="D122" s="24"/>
      <c r="E122" s="24"/>
      <c r="F122" s="24"/>
      <c r="G122" s="24"/>
      <c r="H122" s="23" t="s">
        <v>12</v>
      </c>
    </row>
    <row r="123" spans="1:17" x14ac:dyDescent="0.2">
      <c r="A123" s="24"/>
      <c r="B123" s="24"/>
      <c r="C123" s="25" t="s">
        <v>11</v>
      </c>
      <c r="D123" s="24"/>
      <c r="E123" s="24" t="s">
        <v>12</v>
      </c>
      <c r="F123" s="26" t="s">
        <v>13</v>
      </c>
      <c r="G123" s="27">
        <v>0</v>
      </c>
      <c r="H123" s="23" t="s">
        <v>12</v>
      </c>
    </row>
    <row r="124" spans="1:17" x14ac:dyDescent="0.2">
      <c r="A124" s="21"/>
      <c r="B124" s="21"/>
      <c r="C124" s="99"/>
      <c r="D124" s="21"/>
      <c r="E124" s="21"/>
      <c r="F124" s="51"/>
      <c r="G124" s="51"/>
      <c r="H124" s="23" t="s">
        <v>12</v>
      </c>
    </row>
    <row r="125" spans="1:17" x14ac:dyDescent="0.2">
      <c r="A125" s="21"/>
      <c r="B125" s="21"/>
      <c r="C125" s="22" t="s">
        <v>618</v>
      </c>
      <c r="D125" s="21"/>
      <c r="E125" s="21"/>
      <c r="F125" s="51"/>
      <c r="G125" s="51"/>
      <c r="H125" s="23" t="s">
        <v>12</v>
      </c>
      <c r="K125" s="72"/>
      <c r="L125" s="72"/>
      <c r="M125" s="72"/>
      <c r="N125" s="72"/>
      <c r="O125" s="100"/>
      <c r="P125" s="100"/>
      <c r="Q125" s="100"/>
    </row>
    <row r="126" spans="1:17" x14ac:dyDescent="0.2">
      <c r="A126" s="93">
        <v>1</v>
      </c>
      <c r="B126" s="94" t="s">
        <v>118</v>
      </c>
      <c r="C126" s="94" t="s">
        <v>119</v>
      </c>
      <c r="D126" s="94"/>
      <c r="E126" s="101">
        <v>5151.0829999999996</v>
      </c>
      <c r="F126" s="96">
        <v>579.15995667200002</v>
      </c>
      <c r="G126" s="97">
        <v>2.4459899999999999E-3</v>
      </c>
      <c r="H126" s="23"/>
    </row>
    <row r="127" spans="1:17" x14ac:dyDescent="0.2">
      <c r="A127" s="21"/>
      <c r="B127" s="21"/>
      <c r="C127" s="22" t="s">
        <v>11</v>
      </c>
      <c r="D127" s="21"/>
      <c r="E127" s="21" t="s">
        <v>12</v>
      </c>
      <c r="F127" s="102">
        <f>SUM(F126)</f>
        <v>579.15995667200002</v>
      </c>
      <c r="G127" s="103">
        <f>SUM(G126)</f>
        <v>2.4459899999999999E-3</v>
      </c>
      <c r="H127" s="23" t="s">
        <v>12</v>
      </c>
    </row>
    <row r="128" spans="1:17" x14ac:dyDescent="0.2">
      <c r="A128" s="24"/>
      <c r="B128" s="24"/>
      <c r="C128" s="28"/>
      <c r="D128" s="24"/>
      <c r="E128" s="24"/>
      <c r="F128" s="29"/>
      <c r="G128" s="29"/>
      <c r="H128" s="23" t="s">
        <v>12</v>
      </c>
    </row>
    <row r="129" spans="1:9" x14ac:dyDescent="0.2">
      <c r="A129" s="24"/>
      <c r="B129" s="24"/>
      <c r="C129" s="25" t="s">
        <v>120</v>
      </c>
      <c r="D129" s="24"/>
      <c r="E129" s="24"/>
      <c r="F129" s="24"/>
      <c r="G129" s="24"/>
      <c r="H129" s="23" t="s">
        <v>12</v>
      </c>
    </row>
    <row r="130" spans="1:9" x14ac:dyDescent="0.2">
      <c r="A130" s="24"/>
      <c r="B130" s="24"/>
      <c r="C130" s="25" t="s">
        <v>121</v>
      </c>
      <c r="D130" s="24"/>
      <c r="E130" s="24"/>
      <c r="F130" s="24"/>
      <c r="G130" s="24"/>
      <c r="H130" s="23" t="s">
        <v>12</v>
      </c>
    </row>
    <row r="131" spans="1:9" x14ac:dyDescent="0.2">
      <c r="A131" s="24"/>
      <c r="B131" s="24"/>
      <c r="C131" s="25" t="s">
        <v>11</v>
      </c>
      <c r="D131" s="24"/>
      <c r="E131" s="24" t="s">
        <v>12</v>
      </c>
      <c r="F131" s="26" t="s">
        <v>13</v>
      </c>
      <c r="G131" s="27">
        <v>0</v>
      </c>
      <c r="H131" s="23" t="s">
        <v>12</v>
      </c>
    </row>
    <row r="132" spans="1:9" x14ac:dyDescent="0.2">
      <c r="A132" s="24"/>
      <c r="B132" s="24"/>
      <c r="C132" s="28"/>
      <c r="D132" s="24"/>
      <c r="E132" s="24"/>
      <c r="F132" s="29"/>
      <c r="G132" s="29"/>
      <c r="H132" s="23" t="s">
        <v>12</v>
      </c>
    </row>
    <row r="133" spans="1:9" x14ac:dyDescent="0.2">
      <c r="A133" s="24"/>
      <c r="B133" s="24"/>
      <c r="C133" s="25" t="s">
        <v>122</v>
      </c>
      <c r="D133" s="24"/>
      <c r="E133" s="24"/>
      <c r="F133" s="29"/>
      <c r="G133" s="29"/>
      <c r="H133" s="23" t="s">
        <v>12</v>
      </c>
    </row>
    <row r="134" spans="1:9" x14ac:dyDescent="0.2">
      <c r="A134" s="24"/>
      <c r="B134" s="24"/>
      <c r="C134" s="25" t="s">
        <v>11</v>
      </c>
      <c r="D134" s="24"/>
      <c r="E134" s="24" t="s">
        <v>12</v>
      </c>
      <c r="F134" s="26" t="s">
        <v>13</v>
      </c>
      <c r="G134" s="27">
        <v>0</v>
      </c>
      <c r="H134" s="23" t="s">
        <v>12</v>
      </c>
    </row>
    <row r="135" spans="1:9" x14ac:dyDescent="0.2">
      <c r="A135" s="21"/>
      <c r="B135" s="21"/>
      <c r="C135" s="99"/>
      <c r="D135" s="21"/>
      <c r="E135" s="21"/>
      <c r="F135" s="51"/>
      <c r="G135" s="51"/>
      <c r="H135" s="155" t="s">
        <v>12</v>
      </c>
      <c r="I135" s="156"/>
    </row>
    <row r="136" spans="1:9" x14ac:dyDescent="0.2">
      <c r="A136" s="157"/>
      <c r="B136" s="157"/>
      <c r="C136" s="158" t="s">
        <v>699</v>
      </c>
      <c r="D136" s="159"/>
      <c r="E136" s="160"/>
      <c r="F136" s="160"/>
      <c r="G136" s="159"/>
      <c r="H136" s="160"/>
      <c r="I136" s="156"/>
    </row>
    <row r="137" spans="1:9" x14ac:dyDescent="0.2">
      <c r="A137" s="93"/>
      <c r="B137" s="94"/>
      <c r="C137" s="94" t="s">
        <v>700</v>
      </c>
      <c r="D137" s="94"/>
      <c r="E137" s="95">
        <v>2500000</v>
      </c>
      <c r="F137" s="96">
        <f>-752000/10^5</f>
        <v>-7.52</v>
      </c>
      <c r="G137" s="97" t="s">
        <v>641</v>
      </c>
      <c r="H137" s="23"/>
    </row>
    <row r="138" spans="1:9" x14ac:dyDescent="0.2">
      <c r="A138" s="93"/>
      <c r="B138" s="94"/>
      <c r="C138" s="94" t="s">
        <v>701</v>
      </c>
      <c r="D138" s="94"/>
      <c r="E138" s="95">
        <v>2500000</v>
      </c>
      <c r="F138" s="96">
        <f>-981500/10^5</f>
        <v>-9.8149999999999995</v>
      </c>
      <c r="G138" s="97" t="s">
        <v>641</v>
      </c>
      <c r="H138" s="23"/>
    </row>
    <row r="139" spans="1:9" x14ac:dyDescent="0.2">
      <c r="A139" s="93"/>
      <c r="B139" s="94"/>
      <c r="C139" s="94" t="s">
        <v>702</v>
      </c>
      <c r="D139" s="94"/>
      <c r="E139" s="95">
        <v>2500000</v>
      </c>
      <c r="F139" s="96">
        <f>-861250/10^5</f>
        <v>-8.6125000000000007</v>
      </c>
      <c r="G139" s="97" t="s">
        <v>641</v>
      </c>
      <c r="H139" s="23"/>
    </row>
    <row r="140" spans="1:9" x14ac:dyDescent="0.2">
      <c r="A140" s="93"/>
      <c r="B140" s="94"/>
      <c r="C140" s="94" t="s">
        <v>703</v>
      </c>
      <c r="D140" s="94"/>
      <c r="E140" s="95">
        <v>2500000</v>
      </c>
      <c r="F140" s="96">
        <f>32250/10^5</f>
        <v>0.32250000000000001</v>
      </c>
      <c r="G140" s="97" t="s">
        <v>641</v>
      </c>
      <c r="H140" s="23"/>
    </row>
    <row r="141" spans="1:9" x14ac:dyDescent="0.2">
      <c r="A141" s="24"/>
      <c r="B141" s="32"/>
      <c r="C141" s="32"/>
      <c r="D141" s="25"/>
      <c r="E141" s="24"/>
      <c r="F141" s="32"/>
      <c r="G141" s="36"/>
      <c r="H141" s="23" t="s">
        <v>12</v>
      </c>
    </row>
    <row r="142" spans="1:9" x14ac:dyDescent="0.2">
      <c r="A142" s="36"/>
      <c r="B142" s="32"/>
      <c r="C142" s="32" t="s">
        <v>123</v>
      </c>
      <c r="D142" s="32"/>
      <c r="E142" s="36"/>
      <c r="F142" s="34">
        <f>(-9545.48451395-F25)+2500+2500+2500+2500</f>
        <v>454.5054860500004</v>
      </c>
      <c r="G142" s="35">
        <f>F142/F143</f>
        <v>1.9195280445010426E-3</v>
      </c>
      <c r="H142" s="23" t="s">
        <v>12</v>
      </c>
    </row>
    <row r="143" spans="1:9" x14ac:dyDescent="0.2">
      <c r="A143" s="28"/>
      <c r="B143" s="28"/>
      <c r="C143" s="25" t="s">
        <v>124</v>
      </c>
      <c r="D143" s="29"/>
      <c r="E143" s="29"/>
      <c r="F143" s="30">
        <f>F142+F140+F139+F138+F137+F127+F119+F53+F25</f>
        <v>236779.81019972201</v>
      </c>
      <c r="G143" s="37">
        <f>(G142+G127+G119+G53)-0.0001</f>
        <v>1.000008238044501</v>
      </c>
      <c r="H143" s="23" t="s">
        <v>12</v>
      </c>
    </row>
    <row r="144" spans="1:9" x14ac:dyDescent="0.2">
      <c r="A144" s="38"/>
      <c r="B144" s="38"/>
      <c r="C144" s="38"/>
      <c r="D144" s="39"/>
      <c r="E144" s="39"/>
      <c r="F144" s="39"/>
      <c r="G144" s="39"/>
    </row>
    <row r="145" spans="1:9" x14ac:dyDescent="0.2">
      <c r="A145" s="40"/>
      <c r="B145" s="41" t="s">
        <v>614</v>
      </c>
      <c r="C145" s="41"/>
      <c r="D145" s="41"/>
      <c r="E145" s="41"/>
      <c r="F145" s="41"/>
      <c r="G145" s="41"/>
      <c r="H145" s="41"/>
    </row>
    <row r="146" spans="1:9" x14ac:dyDescent="0.2">
      <c r="A146" s="40"/>
      <c r="B146" s="41" t="s">
        <v>615</v>
      </c>
      <c r="C146" s="41"/>
      <c r="D146" s="41"/>
      <c r="E146" s="41"/>
      <c r="F146" s="41"/>
      <c r="G146" s="41"/>
      <c r="H146" s="41"/>
    </row>
    <row r="147" spans="1:9" x14ac:dyDescent="0.2">
      <c r="A147" s="40"/>
      <c r="B147" s="41" t="s">
        <v>616</v>
      </c>
      <c r="C147" s="41"/>
      <c r="D147" s="41"/>
      <c r="E147" s="41"/>
      <c r="F147" s="41"/>
      <c r="G147" s="41"/>
      <c r="H147" s="41"/>
    </row>
    <row r="148" spans="1:9" ht="52.5" customHeight="1" x14ac:dyDescent="0.2">
      <c r="A148" s="40"/>
      <c r="B148" s="161" t="s">
        <v>704</v>
      </c>
      <c r="C148" s="161"/>
      <c r="D148" s="161"/>
      <c r="E148" s="161"/>
      <c r="F148" s="161"/>
      <c r="G148" s="161"/>
      <c r="H148" s="161"/>
      <c r="I148" s="156"/>
    </row>
    <row r="149" spans="1:9" x14ac:dyDescent="0.2">
      <c r="A149" s="42"/>
      <c r="B149" s="42"/>
      <c r="C149" s="42"/>
      <c r="D149" s="43"/>
      <c r="E149" s="43"/>
      <c r="F149" s="43"/>
      <c r="G149" s="43"/>
    </row>
    <row r="150" spans="1:9" x14ac:dyDescent="0.2">
      <c r="A150" s="40"/>
      <c r="B150" s="44" t="s">
        <v>125</v>
      </c>
      <c r="C150" s="45"/>
      <c r="D150" s="46"/>
      <c r="E150" s="47"/>
      <c r="F150" s="48"/>
      <c r="G150" s="48"/>
    </row>
    <row r="151" spans="1:9" x14ac:dyDescent="0.2">
      <c r="A151" s="40"/>
      <c r="B151" s="49" t="s">
        <v>126</v>
      </c>
      <c r="C151" s="50"/>
      <c r="D151" s="22" t="s">
        <v>642</v>
      </c>
      <c r="E151" s="47"/>
      <c r="F151" s="48"/>
      <c r="G151" s="48"/>
    </row>
    <row r="152" spans="1:9" x14ac:dyDescent="0.2">
      <c r="A152" s="40"/>
      <c r="B152" s="49" t="s">
        <v>128</v>
      </c>
      <c r="C152" s="50"/>
      <c r="D152" s="22" t="s">
        <v>127</v>
      </c>
      <c r="E152" s="47"/>
      <c r="F152" s="48"/>
      <c r="G152" s="48"/>
    </row>
    <row r="153" spans="1:9" x14ac:dyDescent="0.2">
      <c r="A153" s="40"/>
      <c r="B153" s="49" t="s">
        <v>129</v>
      </c>
      <c r="C153" s="50"/>
      <c r="D153" s="51" t="s">
        <v>12</v>
      </c>
      <c r="E153" s="47"/>
      <c r="F153" s="48"/>
      <c r="G153" s="48"/>
    </row>
    <row r="154" spans="1:9" x14ac:dyDescent="0.2">
      <c r="A154" s="52"/>
      <c r="B154" s="53" t="s">
        <v>12</v>
      </c>
      <c r="C154" s="53" t="s">
        <v>617</v>
      </c>
      <c r="D154" s="53" t="s">
        <v>130</v>
      </c>
      <c r="E154" s="52"/>
      <c r="F154" s="52"/>
      <c r="G154" s="52"/>
    </row>
    <row r="155" spans="1:9" x14ac:dyDescent="0.2">
      <c r="A155" s="52"/>
      <c r="B155" s="54" t="s">
        <v>131</v>
      </c>
      <c r="C155" s="55">
        <v>45823</v>
      </c>
      <c r="D155" s="55">
        <v>45838</v>
      </c>
      <c r="E155" s="52"/>
      <c r="F155" s="52"/>
      <c r="G155" s="52"/>
    </row>
    <row r="156" spans="1:9" x14ac:dyDescent="0.2">
      <c r="A156" s="56"/>
      <c r="B156" s="32" t="s">
        <v>132</v>
      </c>
      <c r="C156" s="57">
        <v>2923.9425999999999</v>
      </c>
      <c r="D156" s="57">
        <v>2931.5954999999999</v>
      </c>
      <c r="E156" s="56"/>
      <c r="F156" s="58"/>
      <c r="G156" s="59"/>
    </row>
    <row r="157" spans="1:9" ht="25.5" x14ac:dyDescent="0.2">
      <c r="A157" s="56"/>
      <c r="B157" s="32" t="s">
        <v>743</v>
      </c>
      <c r="C157" s="57">
        <v>1073.8777</v>
      </c>
      <c r="D157" s="57">
        <v>1071.3610000000001</v>
      </c>
      <c r="E157" s="56"/>
      <c r="F157" s="58"/>
      <c r="G157" s="59"/>
    </row>
    <row r="158" spans="1:9" ht="25.5" x14ac:dyDescent="0.2">
      <c r="A158" s="56"/>
      <c r="B158" s="32" t="s">
        <v>744</v>
      </c>
      <c r="C158" s="57">
        <v>1206.5953</v>
      </c>
      <c r="D158" s="36"/>
      <c r="E158" s="56"/>
      <c r="F158" s="58"/>
      <c r="G158" s="59"/>
    </row>
    <row r="159" spans="1:9" x14ac:dyDescent="0.2">
      <c r="A159" s="56"/>
      <c r="B159" s="32" t="s">
        <v>133</v>
      </c>
      <c r="C159" s="57">
        <v>2682.1938</v>
      </c>
      <c r="D159" s="57">
        <v>2687.8328000000001</v>
      </c>
      <c r="E159" s="56"/>
      <c r="F159" s="58"/>
      <c r="G159" s="59"/>
    </row>
    <row r="160" spans="1:9" ht="25.5" x14ac:dyDescent="0.2">
      <c r="A160" s="56"/>
      <c r="B160" s="32" t="s">
        <v>747</v>
      </c>
      <c r="C160" s="57">
        <v>1069.0935999999999</v>
      </c>
      <c r="D160" s="57">
        <v>1066.0245</v>
      </c>
      <c r="E160" s="56"/>
      <c r="F160" s="58"/>
      <c r="G160" s="59"/>
    </row>
    <row r="161" spans="1:10" ht="25.5" x14ac:dyDescent="0.2">
      <c r="A161" s="56"/>
      <c r="B161" s="32" t="s">
        <v>719</v>
      </c>
      <c r="C161" s="57">
        <v>1154.0424</v>
      </c>
      <c r="D161" s="36"/>
      <c r="E161" s="56"/>
      <c r="F161" s="58"/>
      <c r="G161" s="59"/>
    </row>
    <row r="162" spans="1:10" x14ac:dyDescent="0.2">
      <c r="A162" s="56"/>
      <c r="B162" s="56"/>
      <c r="C162" s="56"/>
      <c r="D162" s="56"/>
      <c r="E162" s="56"/>
      <c r="F162" s="56"/>
      <c r="G162" s="56"/>
    </row>
    <row r="163" spans="1:10" x14ac:dyDescent="0.2">
      <c r="A163" s="56"/>
      <c r="B163" s="60" t="s">
        <v>739</v>
      </c>
      <c r="C163" s="61"/>
      <c r="D163" s="25" t="s">
        <v>12</v>
      </c>
      <c r="E163" s="56"/>
      <c r="F163" s="56"/>
      <c r="G163" s="56"/>
    </row>
    <row r="164" spans="1:10" x14ac:dyDescent="0.2">
      <c r="A164" s="56"/>
      <c r="B164" s="62" t="s">
        <v>131</v>
      </c>
      <c r="C164" s="63" t="s">
        <v>134</v>
      </c>
      <c r="D164" s="63" t="s">
        <v>135</v>
      </c>
      <c r="E164" s="56"/>
      <c r="F164" s="56"/>
      <c r="G164" s="56"/>
    </row>
    <row r="165" spans="1:10" ht="25.5" x14ac:dyDescent="0.2">
      <c r="A165" s="56"/>
      <c r="B165" s="32" t="s">
        <v>743</v>
      </c>
      <c r="C165" s="64">
        <v>5.3120000000000003</v>
      </c>
      <c r="D165" s="36" t="s">
        <v>136</v>
      </c>
      <c r="E165" s="56"/>
      <c r="F165" s="58"/>
      <c r="G165" s="59"/>
    </row>
    <row r="166" spans="1:10" ht="25.5" x14ac:dyDescent="0.2">
      <c r="A166" s="56"/>
      <c r="B166" s="32" t="s">
        <v>744</v>
      </c>
      <c r="C166" s="64">
        <v>18.016999999999999</v>
      </c>
      <c r="D166" s="36" t="s">
        <v>136</v>
      </c>
      <c r="E166" s="56"/>
      <c r="F166" s="58"/>
      <c r="G166" s="59"/>
    </row>
    <row r="167" spans="1:10" ht="25.5" x14ac:dyDescent="0.2">
      <c r="A167" s="56"/>
      <c r="B167" s="32" t="s">
        <v>747</v>
      </c>
      <c r="C167" s="64">
        <v>5.3079999999999998</v>
      </c>
      <c r="D167" s="64">
        <v>5.3079999999999998</v>
      </c>
      <c r="E167" s="56"/>
      <c r="F167" s="58"/>
      <c r="G167" s="59"/>
    </row>
    <row r="168" spans="1:10" ht="25.5" x14ac:dyDescent="0.2">
      <c r="A168" s="56"/>
      <c r="B168" s="32" t="s">
        <v>719</v>
      </c>
      <c r="C168" s="64">
        <v>17.302</v>
      </c>
      <c r="D168" s="36" t="s">
        <v>136</v>
      </c>
      <c r="E168" s="56"/>
      <c r="F168" s="58"/>
      <c r="G168" s="59"/>
    </row>
    <row r="169" spans="1:10" x14ac:dyDescent="0.2">
      <c r="A169" s="56"/>
      <c r="B169" s="104"/>
      <c r="C169" s="104"/>
      <c r="D169" s="105"/>
      <c r="E169" s="56"/>
      <c r="F169" s="58"/>
      <c r="G169" s="59"/>
    </row>
    <row r="170" spans="1:10" x14ac:dyDescent="0.2">
      <c r="A170" s="52"/>
      <c r="B170" s="49" t="s">
        <v>137</v>
      </c>
      <c r="C170" s="50"/>
      <c r="D170" s="22" t="s">
        <v>705</v>
      </c>
      <c r="E170" s="71"/>
      <c r="F170" s="52"/>
      <c r="G170" s="52"/>
      <c r="I170" s="156"/>
    </row>
    <row r="171" spans="1:10" x14ac:dyDescent="0.2">
      <c r="A171" s="52"/>
      <c r="B171" s="49" t="s">
        <v>138</v>
      </c>
      <c r="C171" s="50"/>
      <c r="D171" s="22" t="s">
        <v>127</v>
      </c>
      <c r="E171" s="71"/>
      <c r="F171" s="52"/>
      <c r="G171" s="52"/>
      <c r="I171" s="156"/>
    </row>
    <row r="172" spans="1:10" x14ac:dyDescent="0.2">
      <c r="A172" s="52"/>
      <c r="B172" s="49" t="s">
        <v>619</v>
      </c>
      <c r="C172" s="50"/>
      <c r="D172" s="22" t="s">
        <v>127</v>
      </c>
      <c r="E172" s="71"/>
      <c r="F172" s="52"/>
      <c r="G172" s="52"/>
      <c r="I172" s="156"/>
      <c r="J172" s="20"/>
    </row>
    <row r="173" spans="1:10" ht="12.75" customHeight="1" x14ac:dyDescent="0.2">
      <c r="A173" s="73"/>
      <c r="B173" s="73"/>
      <c r="C173" s="73"/>
      <c r="D173" s="73"/>
      <c r="E173" s="73"/>
      <c r="F173" s="73"/>
      <c r="G173" s="73"/>
      <c r="I173" s="156"/>
      <c r="J173" s="20"/>
    </row>
    <row r="174" spans="1:10" ht="13.5" x14ac:dyDescent="0.25">
      <c r="A174" s="73"/>
      <c r="B174" s="162" t="s">
        <v>752</v>
      </c>
      <c r="C174" s="73"/>
      <c r="D174" s="73"/>
      <c r="E174" s="73"/>
      <c r="F174" s="73"/>
      <c r="G174" s="73"/>
      <c r="H174" s="73"/>
      <c r="I174" s="156"/>
      <c r="J174" s="20"/>
    </row>
    <row r="175" spans="1:10" s="20" customFormat="1" ht="51" x14ac:dyDescent="0.2">
      <c r="A175" s="163"/>
      <c r="B175" s="164" t="s">
        <v>706</v>
      </c>
      <c r="C175" s="164" t="s">
        <v>707</v>
      </c>
      <c r="D175" s="165" t="s">
        <v>708</v>
      </c>
      <c r="E175" s="165" t="s">
        <v>709</v>
      </c>
      <c r="F175" s="164" t="s">
        <v>710</v>
      </c>
      <c r="G175" s="164" t="s">
        <v>711</v>
      </c>
      <c r="H175" s="164" t="s">
        <v>8</v>
      </c>
      <c r="I175" s="166"/>
    </row>
    <row r="176" spans="1:10" s="78" customFormat="1" x14ac:dyDescent="0.2">
      <c r="A176" s="167"/>
      <c r="B176" s="168" t="s">
        <v>712</v>
      </c>
      <c r="C176" s="168" t="s">
        <v>713</v>
      </c>
      <c r="D176" s="169" t="s">
        <v>714</v>
      </c>
      <c r="E176" s="170" t="s">
        <v>715</v>
      </c>
      <c r="F176" s="171">
        <v>2500</v>
      </c>
      <c r="G176" s="172">
        <v>46002</v>
      </c>
      <c r="H176" s="154">
        <f>F176/$F$143</f>
        <v>1.0558332646230557E-2</v>
      </c>
      <c r="I176" s="173"/>
      <c r="J176" s="20"/>
    </row>
    <row r="177" spans="1:16" s="78" customFormat="1" x14ac:dyDescent="0.2">
      <c r="A177" s="167"/>
      <c r="B177" s="168" t="s">
        <v>712</v>
      </c>
      <c r="C177" s="168" t="s">
        <v>716</v>
      </c>
      <c r="D177" s="169" t="s">
        <v>714</v>
      </c>
      <c r="E177" s="170" t="s">
        <v>715</v>
      </c>
      <c r="F177" s="171">
        <v>2500</v>
      </c>
      <c r="G177" s="172">
        <v>46087</v>
      </c>
      <c r="H177" s="154">
        <f>F177/$F$143</f>
        <v>1.0558332646230557E-2</v>
      </c>
      <c r="I177" s="173"/>
      <c r="J177" s="20"/>
    </row>
    <row r="178" spans="1:16" s="78" customFormat="1" x14ac:dyDescent="0.2">
      <c r="A178" s="167"/>
      <c r="B178" s="168" t="s">
        <v>712</v>
      </c>
      <c r="C178" s="168" t="s">
        <v>717</v>
      </c>
      <c r="D178" s="169" t="s">
        <v>714</v>
      </c>
      <c r="E178" s="170" t="s">
        <v>715</v>
      </c>
      <c r="F178" s="171">
        <v>2500</v>
      </c>
      <c r="G178" s="172">
        <v>46101</v>
      </c>
      <c r="H178" s="154">
        <f>F178/$F$143</f>
        <v>1.0558332646230557E-2</v>
      </c>
      <c r="I178" s="173"/>
      <c r="J178" s="20"/>
    </row>
    <row r="179" spans="1:16" s="78" customFormat="1" x14ac:dyDescent="0.2">
      <c r="A179" s="167"/>
      <c r="B179" s="168" t="s">
        <v>712</v>
      </c>
      <c r="C179" s="168" t="s">
        <v>717</v>
      </c>
      <c r="D179" s="169" t="s">
        <v>714</v>
      </c>
      <c r="E179" s="170" t="s">
        <v>715</v>
      </c>
      <c r="F179" s="171">
        <v>2500</v>
      </c>
      <c r="G179" s="172">
        <v>46168</v>
      </c>
      <c r="H179" s="154">
        <f>F179/$F$143</f>
        <v>1.0558332646230557E-2</v>
      </c>
      <c r="I179" s="173"/>
      <c r="J179" s="20"/>
    </row>
    <row r="180" spans="1:16" s="92" customFormat="1" x14ac:dyDescent="0.2">
      <c r="A180" s="73"/>
      <c r="B180" s="73"/>
      <c r="C180" s="73"/>
      <c r="D180" s="73"/>
      <c r="E180" s="73"/>
      <c r="F180" s="73"/>
      <c r="G180" s="73"/>
      <c r="H180" s="17"/>
      <c r="I180" s="174"/>
      <c r="J180" s="175"/>
      <c r="K180" s="175"/>
      <c r="L180" s="175"/>
      <c r="M180" s="175"/>
      <c r="N180" s="175"/>
      <c r="O180" s="175"/>
    </row>
    <row r="181" spans="1:16" x14ac:dyDescent="0.2">
      <c r="A181" s="74"/>
      <c r="B181" s="176" t="s">
        <v>751</v>
      </c>
      <c r="C181" s="176"/>
      <c r="D181" s="176"/>
      <c r="E181" s="176"/>
      <c r="F181" s="176"/>
      <c r="G181" s="176"/>
      <c r="H181" s="74"/>
      <c r="I181" s="156"/>
      <c r="J181" s="20"/>
    </row>
    <row r="182" spans="1:16" ht="13.5" customHeight="1" x14ac:dyDescent="0.2">
      <c r="B182" s="177" t="s">
        <v>644</v>
      </c>
      <c r="C182" s="177" t="s">
        <v>645</v>
      </c>
      <c r="D182" s="178" t="s">
        <v>655</v>
      </c>
      <c r="E182" s="179"/>
      <c r="F182" s="180"/>
      <c r="G182" s="181" t="s">
        <v>663</v>
      </c>
      <c r="H182" s="182"/>
      <c r="I182" s="183"/>
      <c r="J182" s="72"/>
      <c r="K182" s="72"/>
      <c r="L182" s="72"/>
      <c r="M182" s="72"/>
      <c r="N182" s="72"/>
      <c r="O182" s="72"/>
    </row>
    <row r="183" spans="1:16" ht="46.5" customHeight="1" x14ac:dyDescent="0.2">
      <c r="B183" s="184"/>
      <c r="C183" s="184"/>
      <c r="D183" s="185" t="s">
        <v>664</v>
      </c>
      <c r="E183" s="185" t="s">
        <v>665</v>
      </c>
      <c r="F183" s="185" t="s">
        <v>666</v>
      </c>
      <c r="G183" s="186" t="s">
        <v>681</v>
      </c>
      <c r="H183" s="187"/>
      <c r="I183" s="185" t="s">
        <v>668</v>
      </c>
      <c r="J183" s="72"/>
      <c r="K183" s="72"/>
      <c r="L183" s="72"/>
      <c r="M183" s="72"/>
      <c r="N183" s="72"/>
      <c r="O183" s="72"/>
    </row>
    <row r="184" spans="1:16" ht="21" customHeight="1" x14ac:dyDescent="0.2">
      <c r="B184" s="188"/>
      <c r="C184" s="188"/>
      <c r="D184" s="189"/>
      <c r="E184" s="189"/>
      <c r="F184" s="189"/>
      <c r="G184" s="190" t="s">
        <v>669</v>
      </c>
      <c r="H184" s="190" t="s">
        <v>670</v>
      </c>
      <c r="I184" s="189"/>
      <c r="J184" s="72"/>
      <c r="K184" s="72"/>
      <c r="L184" s="72"/>
      <c r="M184" s="72"/>
      <c r="N184" s="72"/>
      <c r="O184" s="72"/>
    </row>
    <row r="185" spans="1:16" ht="13.5" x14ac:dyDescent="0.25">
      <c r="B185" s="191" t="s">
        <v>671</v>
      </c>
      <c r="C185" s="192" t="s">
        <v>672</v>
      </c>
      <c r="D185" s="193">
        <v>488.84800000000001</v>
      </c>
      <c r="E185" s="12">
        <v>11.151999999999999</v>
      </c>
      <c r="F185" s="194">
        <f>D185+E185</f>
        <v>500</v>
      </c>
      <c r="G185" s="13">
        <v>21.175720568999996</v>
      </c>
      <c r="H185" s="13">
        <v>13.34</v>
      </c>
      <c r="I185" s="13">
        <f>G185+H185</f>
        <v>34.515720568999996</v>
      </c>
      <c r="J185" s="72"/>
      <c r="K185" s="72"/>
      <c r="L185" s="72"/>
      <c r="M185" s="72"/>
      <c r="N185" s="72"/>
      <c r="O185" s="72"/>
    </row>
    <row r="186" spans="1:16" ht="6.75" customHeight="1" x14ac:dyDescent="0.25">
      <c r="B186" s="195"/>
      <c r="C186" s="196"/>
      <c r="D186" s="197"/>
      <c r="E186" s="11"/>
      <c r="F186" s="198"/>
      <c r="G186" s="9"/>
      <c r="H186" s="9"/>
      <c r="I186" s="9"/>
      <c r="J186" s="72"/>
      <c r="K186" s="72"/>
      <c r="L186" s="72"/>
      <c r="M186" s="72"/>
      <c r="N186" s="72"/>
      <c r="O186" s="72"/>
    </row>
    <row r="187" spans="1:16" ht="51" customHeight="1" x14ac:dyDescent="0.2">
      <c r="B187" s="199" t="s">
        <v>673</v>
      </c>
      <c r="C187" s="199"/>
      <c r="D187" s="199"/>
      <c r="E187" s="199"/>
      <c r="F187" s="199"/>
      <c r="G187" s="199"/>
      <c r="H187" s="199"/>
      <c r="I187" s="199"/>
      <c r="J187" s="200"/>
      <c r="K187" s="72"/>
      <c r="L187" s="72"/>
      <c r="M187" s="72"/>
      <c r="N187" s="72"/>
      <c r="O187" s="72"/>
    </row>
    <row r="188" spans="1:16" ht="13.5" x14ac:dyDescent="0.25">
      <c r="B188" s="122" t="s">
        <v>674</v>
      </c>
      <c r="I188" s="72"/>
      <c r="J188" s="20"/>
      <c r="K188" s="72"/>
      <c r="L188" s="72"/>
      <c r="M188" s="72"/>
      <c r="N188" s="72"/>
      <c r="O188" s="72"/>
      <c r="P188" s="72"/>
    </row>
    <row r="189" spans="1:16" ht="7.5" customHeight="1" x14ac:dyDescent="0.2">
      <c r="B189" s="123"/>
      <c r="J189" s="20"/>
      <c r="K189" s="72"/>
      <c r="L189" s="72"/>
      <c r="M189" s="72"/>
      <c r="N189" s="72"/>
      <c r="O189" s="72"/>
    </row>
    <row r="190" spans="1:16" x14ac:dyDescent="0.2">
      <c r="B190" s="123" t="s">
        <v>678</v>
      </c>
      <c r="J190" s="20"/>
      <c r="K190" s="72"/>
      <c r="L190" s="72"/>
      <c r="M190" s="72"/>
      <c r="N190" s="72"/>
      <c r="O190" s="72"/>
    </row>
    <row r="191" spans="1:16" s="74" customFormat="1" x14ac:dyDescent="0.2">
      <c r="I191" s="156"/>
      <c r="J191" s="20"/>
      <c r="K191" s="72"/>
      <c r="L191" s="72"/>
      <c r="M191" s="72"/>
      <c r="N191" s="72"/>
      <c r="O191" s="78"/>
    </row>
    <row r="192" spans="1:16" s="74" customFormat="1" x14ac:dyDescent="0.2">
      <c r="B192" s="201" t="s">
        <v>620</v>
      </c>
      <c r="C192" s="202"/>
      <c r="D192" s="203"/>
      <c r="I192" s="156"/>
      <c r="J192" s="20"/>
      <c r="K192" s="72"/>
      <c r="L192" s="72"/>
      <c r="M192" s="72"/>
      <c r="N192" s="72"/>
      <c r="O192" s="78"/>
    </row>
    <row r="193" spans="1:17" s="74" customFormat="1" ht="25.5" x14ac:dyDescent="0.2">
      <c r="B193" s="204" t="s">
        <v>621</v>
      </c>
      <c r="C193" s="204"/>
      <c r="D193" s="205" t="s">
        <v>483</v>
      </c>
      <c r="I193" s="156"/>
      <c r="J193" s="20"/>
      <c r="K193" s="72"/>
      <c r="L193" s="72"/>
      <c r="M193" s="72"/>
      <c r="N193" s="72"/>
      <c r="O193" s="78"/>
    </row>
    <row r="194" spans="1:17" s="74" customFormat="1" x14ac:dyDescent="0.2">
      <c r="B194" s="206" t="s">
        <v>622</v>
      </c>
      <c r="C194" s="206"/>
      <c r="D194" s="207"/>
      <c r="I194" s="156"/>
      <c r="J194" s="20"/>
      <c r="K194" s="72"/>
      <c r="L194" s="72"/>
      <c r="M194" s="72"/>
      <c r="N194" s="72"/>
      <c r="O194" s="78"/>
    </row>
    <row r="195" spans="1:17" s="74" customFormat="1" x14ac:dyDescent="0.2">
      <c r="B195" s="206"/>
      <c r="C195" s="206"/>
      <c r="D195" s="208"/>
      <c r="I195" s="156"/>
      <c r="J195" s="20"/>
      <c r="K195" s="72"/>
      <c r="L195" s="72"/>
      <c r="M195" s="72"/>
      <c r="N195" s="72"/>
      <c r="O195" s="78"/>
    </row>
    <row r="196" spans="1:17" s="74" customFormat="1" x14ac:dyDescent="0.2">
      <c r="B196" s="206" t="s">
        <v>623</v>
      </c>
      <c r="C196" s="206"/>
      <c r="D196" s="83">
        <v>6.387086481352358</v>
      </c>
      <c r="I196" s="156"/>
      <c r="J196" s="20"/>
      <c r="K196" s="72"/>
      <c r="L196" s="72"/>
      <c r="M196" s="72"/>
      <c r="N196" s="72"/>
      <c r="O196" s="78"/>
    </row>
    <row r="197" spans="1:17" s="74" customFormat="1" x14ac:dyDescent="0.2">
      <c r="B197" s="66"/>
      <c r="C197" s="66"/>
      <c r="D197" s="82"/>
      <c r="I197" s="156"/>
      <c r="J197" s="20"/>
      <c r="K197" s="72"/>
      <c r="L197" s="72"/>
      <c r="M197" s="72"/>
      <c r="N197" s="72"/>
      <c r="O197" s="78"/>
    </row>
    <row r="198" spans="1:17" s="74" customFormat="1" x14ac:dyDescent="0.2">
      <c r="B198" s="66" t="s">
        <v>624</v>
      </c>
      <c r="C198" s="66"/>
      <c r="D198" s="83">
        <v>0.58808699699657152</v>
      </c>
      <c r="I198" s="156"/>
      <c r="J198" s="20"/>
      <c r="K198" s="72"/>
      <c r="L198" s="72"/>
      <c r="M198" s="72"/>
      <c r="N198" s="72"/>
      <c r="O198" s="78"/>
    </row>
    <row r="199" spans="1:17" s="74" customFormat="1" x14ac:dyDescent="0.2">
      <c r="B199" s="66" t="s">
        <v>625</v>
      </c>
      <c r="C199" s="66"/>
      <c r="D199" s="83">
        <v>0.59429640257224048</v>
      </c>
      <c r="I199" s="156"/>
      <c r="J199" s="20"/>
      <c r="K199" s="72"/>
      <c r="L199" s="72"/>
      <c r="M199" s="72"/>
      <c r="N199" s="72"/>
      <c r="O199" s="78"/>
    </row>
    <row r="200" spans="1:17" s="74" customFormat="1" x14ac:dyDescent="0.2">
      <c r="B200" s="66"/>
      <c r="C200" s="66"/>
      <c r="D200" s="82"/>
      <c r="I200" s="156"/>
      <c r="J200" s="20"/>
      <c r="K200" s="72"/>
      <c r="L200" s="72"/>
      <c r="M200" s="72"/>
      <c r="N200" s="72"/>
      <c r="O200" s="78"/>
    </row>
    <row r="201" spans="1:17" s="74" customFormat="1" x14ac:dyDescent="0.2">
      <c r="B201" s="66" t="s">
        <v>626</v>
      </c>
      <c r="C201" s="66"/>
      <c r="D201" s="85" t="s">
        <v>750</v>
      </c>
      <c r="I201" s="156"/>
      <c r="J201" s="20"/>
      <c r="K201" s="72"/>
      <c r="L201" s="72"/>
      <c r="M201" s="72"/>
      <c r="N201" s="72"/>
      <c r="O201" s="78"/>
    </row>
    <row r="202" spans="1:17" s="74" customFormat="1" x14ac:dyDescent="0.2">
      <c r="B202" s="86" t="s">
        <v>627</v>
      </c>
      <c r="C202" s="87"/>
      <c r="D202" s="88"/>
      <c r="I202" s="156"/>
      <c r="J202" s="20"/>
      <c r="K202" s="72"/>
      <c r="L202" s="72"/>
      <c r="M202" s="72"/>
      <c r="N202" s="72"/>
      <c r="O202" s="78"/>
    </row>
    <row r="203" spans="1:17" s="74" customFormat="1" x14ac:dyDescent="0.2">
      <c r="B203" s="125"/>
      <c r="C203" s="125"/>
      <c r="D203" s="125"/>
      <c r="I203" s="156"/>
      <c r="J203" s="20"/>
      <c r="K203" s="72"/>
      <c r="L203" s="72"/>
      <c r="M203" s="72"/>
      <c r="N203" s="72"/>
      <c r="O203" s="78"/>
    </row>
    <row r="204" spans="1:17" s="74" customFormat="1" x14ac:dyDescent="0.2">
      <c r="A204" s="17"/>
      <c r="B204" s="90" t="s">
        <v>628</v>
      </c>
      <c r="C204" s="17"/>
      <c r="D204" s="17"/>
      <c r="E204" s="17"/>
      <c r="F204" s="17"/>
      <c r="G204" s="17"/>
      <c r="H204" s="17"/>
      <c r="I204" s="156"/>
      <c r="J204" s="20"/>
      <c r="K204" s="72"/>
      <c r="L204" s="72"/>
      <c r="M204" s="72"/>
      <c r="N204" s="72"/>
      <c r="O204" s="78"/>
      <c r="P204" s="17"/>
      <c r="Q204" s="17"/>
    </row>
    <row r="205" spans="1:17" x14ac:dyDescent="0.2">
      <c r="I205" s="156"/>
    </row>
    <row r="206" spans="1:17" ht="153.75" customHeight="1" x14ac:dyDescent="0.2">
      <c r="I206" s="156"/>
    </row>
    <row r="207" spans="1:17" ht="25.5" customHeight="1" x14ac:dyDescent="0.2">
      <c r="I207" s="156"/>
    </row>
    <row r="208" spans="1:17" x14ac:dyDescent="0.2">
      <c r="B208" s="91" t="s">
        <v>629</v>
      </c>
      <c r="C208" s="92"/>
      <c r="D208" s="91"/>
      <c r="I208" s="156"/>
    </row>
    <row r="209" spans="2:10" x14ac:dyDescent="0.2">
      <c r="B209" s="91" t="s">
        <v>718</v>
      </c>
      <c r="D209" s="91"/>
      <c r="I209" s="156"/>
    </row>
    <row r="210" spans="2:10" x14ac:dyDescent="0.2">
      <c r="I210" s="156"/>
    </row>
    <row r="211" spans="2:10" x14ac:dyDescent="0.2">
      <c r="I211" s="156"/>
    </row>
    <row r="212" spans="2:10" ht="165" customHeight="1" x14ac:dyDescent="0.2">
      <c r="I212" s="156"/>
    </row>
    <row r="213" spans="2:10" x14ac:dyDescent="0.2">
      <c r="I213" s="156"/>
    </row>
    <row r="214" spans="2:10" x14ac:dyDescent="0.2">
      <c r="I214" s="156"/>
      <c r="J214" s="20"/>
    </row>
    <row r="215" spans="2:10" x14ac:dyDescent="0.2">
      <c r="I215" s="156"/>
    </row>
    <row r="216" spans="2:10" x14ac:dyDescent="0.2">
      <c r="I216" s="156"/>
    </row>
    <row r="217" spans="2:10" x14ac:dyDescent="0.2">
      <c r="I217" s="156"/>
    </row>
    <row r="218" spans="2:10" x14ac:dyDescent="0.2">
      <c r="I218" s="156"/>
    </row>
    <row r="219" spans="2:10" x14ac:dyDescent="0.2">
      <c r="I219" s="156"/>
    </row>
  </sheetData>
  <mergeCells count="36">
    <mergeCell ref="B172:C172"/>
    <mergeCell ref="B163:C163"/>
    <mergeCell ref="B171:C171"/>
    <mergeCell ref="B170:C170"/>
    <mergeCell ref="B147:H147"/>
    <mergeCell ref="B150:D150"/>
    <mergeCell ref="B151:C151"/>
    <mergeCell ref="B152:C152"/>
    <mergeCell ref="B153:C153"/>
    <mergeCell ref="B148:H148"/>
    <mergeCell ref="A1:H1"/>
    <mergeCell ref="A2:H2"/>
    <mergeCell ref="A3:H3"/>
    <mergeCell ref="B145:H145"/>
    <mergeCell ref="B146:H146"/>
    <mergeCell ref="B182:B184"/>
    <mergeCell ref="C182:C184"/>
    <mergeCell ref="D182:F182"/>
    <mergeCell ref="G182:I182"/>
    <mergeCell ref="D183:D184"/>
    <mergeCell ref="E183:E184"/>
    <mergeCell ref="F183:F184"/>
    <mergeCell ref="G183:H183"/>
    <mergeCell ref="I183:I184"/>
    <mergeCell ref="B187:I187"/>
    <mergeCell ref="B192:D192"/>
    <mergeCell ref="B193:C193"/>
    <mergeCell ref="B194:C194"/>
    <mergeCell ref="B195:C195"/>
    <mergeCell ref="B201:C201"/>
    <mergeCell ref="B202:D202"/>
    <mergeCell ref="B196:C196"/>
    <mergeCell ref="B197:C197"/>
    <mergeCell ref="B198:C198"/>
    <mergeCell ref="B199:C199"/>
    <mergeCell ref="B200:C200"/>
  </mergeCells>
  <hyperlinks>
    <hyperlink ref="I1" location="Index!B2" display="Index" xr:uid="{1DB2E1CA-751D-4419-B106-17C183801A5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5741-9ACD-4FCB-935C-B4126CE15D8C}">
  <sheetPr>
    <outlinePr summaryBelow="0" summaryRight="0"/>
  </sheetPr>
  <dimension ref="A1:Q144"/>
  <sheetViews>
    <sheetView showGridLines="0" workbookViewId="0">
      <selection sqref="A1:H1"/>
    </sheetView>
  </sheetViews>
  <sheetFormatPr defaultRowHeight="12.75" x14ac:dyDescent="0.2"/>
  <cols>
    <col min="1" max="1" width="5.85546875" style="17" bestFit="1" customWidth="1"/>
    <col min="2" max="2" width="20.7109375" style="17" customWidth="1"/>
    <col min="3" max="3" width="64" style="17" bestFit="1" customWidth="1"/>
    <col min="4" max="4" width="19.7109375" style="17" customWidth="1"/>
    <col min="5" max="5" width="8.7109375" style="17" bestFit="1" customWidth="1"/>
    <col min="6" max="6" width="10.140625" style="17" bestFit="1" customWidth="1"/>
    <col min="7" max="7" width="14" style="17" bestFit="1" customWidth="1"/>
    <col min="8" max="8" width="9.85546875" style="17" bestFit="1" customWidth="1"/>
    <col min="9" max="16384" width="9.140625" style="17"/>
  </cols>
  <sheetData>
    <row r="1" spans="1:9" ht="15" x14ac:dyDescent="0.2">
      <c r="A1" s="16" t="s">
        <v>0</v>
      </c>
      <c r="B1" s="16"/>
      <c r="C1" s="16"/>
      <c r="D1" s="16"/>
      <c r="E1" s="16"/>
      <c r="F1" s="16"/>
      <c r="G1" s="16"/>
      <c r="H1" s="16"/>
      <c r="I1" s="1" t="s">
        <v>599</v>
      </c>
    </row>
    <row r="2" spans="1:9" ht="15" x14ac:dyDescent="0.2">
      <c r="A2" s="16" t="s">
        <v>526</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598</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31">
        <v>1</v>
      </c>
      <c r="B28" s="32" t="s">
        <v>288</v>
      </c>
      <c r="C28" s="32" t="s">
        <v>289</v>
      </c>
      <c r="D28" s="32" t="s">
        <v>282</v>
      </c>
      <c r="E28" s="33">
        <v>200</v>
      </c>
      <c r="F28" s="34">
        <v>200.9786</v>
      </c>
      <c r="G28" s="35">
        <v>4.6462789999999997E-2</v>
      </c>
      <c r="H28" s="23">
        <v>7.3449999999999998</v>
      </c>
    </row>
    <row r="29" spans="1:8" x14ac:dyDescent="0.2">
      <c r="A29" s="31">
        <v>2</v>
      </c>
      <c r="B29" s="32" t="s">
        <v>492</v>
      </c>
      <c r="C29" s="32" t="s">
        <v>493</v>
      </c>
      <c r="D29" s="32" t="s">
        <v>309</v>
      </c>
      <c r="E29" s="33">
        <v>200</v>
      </c>
      <c r="F29" s="34">
        <v>199.61179999999999</v>
      </c>
      <c r="G29" s="35">
        <v>4.6146810000000003E-2</v>
      </c>
      <c r="H29" s="23">
        <v>7.48</v>
      </c>
    </row>
    <row r="30" spans="1:8" x14ac:dyDescent="0.2">
      <c r="A30" s="31">
        <v>3</v>
      </c>
      <c r="B30" s="32" t="s">
        <v>65</v>
      </c>
      <c r="C30" s="32" t="s">
        <v>66</v>
      </c>
      <c r="D30" s="32" t="s">
        <v>23</v>
      </c>
      <c r="E30" s="33">
        <v>200</v>
      </c>
      <c r="F30" s="34">
        <v>199.49019999999999</v>
      </c>
      <c r="G30" s="35">
        <v>4.6118699999999999E-2</v>
      </c>
      <c r="H30" s="23">
        <v>6.7060000000000004</v>
      </c>
    </row>
    <row r="31" spans="1:8" x14ac:dyDescent="0.2">
      <c r="A31" s="31">
        <v>4</v>
      </c>
      <c r="B31" s="32" t="s">
        <v>310</v>
      </c>
      <c r="C31" s="32" t="s">
        <v>311</v>
      </c>
      <c r="D31" s="32" t="s">
        <v>282</v>
      </c>
      <c r="E31" s="33">
        <v>150</v>
      </c>
      <c r="F31" s="34">
        <v>151.63335000000001</v>
      </c>
      <c r="G31" s="35">
        <v>3.5055019999999999E-2</v>
      </c>
      <c r="H31" s="23">
        <v>8.1300000000000008</v>
      </c>
    </row>
    <row r="32" spans="1:8" x14ac:dyDescent="0.2">
      <c r="A32" s="31">
        <v>5</v>
      </c>
      <c r="B32" s="32" t="s">
        <v>301</v>
      </c>
      <c r="C32" s="32" t="s">
        <v>302</v>
      </c>
      <c r="D32" s="32" t="s">
        <v>282</v>
      </c>
      <c r="E32" s="33">
        <v>100</v>
      </c>
      <c r="F32" s="34">
        <v>101.2795</v>
      </c>
      <c r="G32" s="35">
        <v>2.341408E-2</v>
      </c>
      <c r="H32" s="23">
        <v>7.1349999999999998</v>
      </c>
    </row>
    <row r="33" spans="1:8" x14ac:dyDescent="0.2">
      <c r="A33" s="31">
        <v>6</v>
      </c>
      <c r="B33" s="32" t="s">
        <v>303</v>
      </c>
      <c r="C33" s="32" t="s">
        <v>304</v>
      </c>
      <c r="D33" s="32" t="s">
        <v>32</v>
      </c>
      <c r="E33" s="33">
        <v>100</v>
      </c>
      <c r="F33" s="34">
        <v>101.2444</v>
      </c>
      <c r="G33" s="35">
        <v>2.340596E-2</v>
      </c>
      <c r="H33" s="23">
        <v>7.1749999999999998</v>
      </c>
    </row>
    <row r="34" spans="1:8" x14ac:dyDescent="0.2">
      <c r="A34" s="31">
        <v>7</v>
      </c>
      <c r="B34" s="32" t="s">
        <v>283</v>
      </c>
      <c r="C34" s="32" t="s">
        <v>284</v>
      </c>
      <c r="D34" s="32" t="s">
        <v>285</v>
      </c>
      <c r="E34" s="33">
        <v>100</v>
      </c>
      <c r="F34" s="34">
        <v>101.1888</v>
      </c>
      <c r="G34" s="35">
        <v>2.3393110000000002E-2</v>
      </c>
      <c r="H34" s="23">
        <v>7.03</v>
      </c>
    </row>
    <row r="35" spans="1:8" x14ac:dyDescent="0.2">
      <c r="A35" s="31">
        <v>8</v>
      </c>
      <c r="B35" s="32" t="s">
        <v>63</v>
      </c>
      <c r="C35" s="32" t="s">
        <v>64</v>
      </c>
      <c r="D35" s="32" t="s">
        <v>23</v>
      </c>
      <c r="E35" s="33">
        <v>100</v>
      </c>
      <c r="F35" s="34">
        <v>100.3257</v>
      </c>
      <c r="G35" s="35">
        <v>2.3193579999999998E-2</v>
      </c>
      <c r="H35" s="23">
        <v>7.27</v>
      </c>
    </row>
    <row r="36" spans="1:8" x14ac:dyDescent="0.2">
      <c r="A36" s="24"/>
      <c r="B36" s="24"/>
      <c r="C36" s="25" t="s">
        <v>11</v>
      </c>
      <c r="D36" s="24"/>
      <c r="E36" s="24" t="s">
        <v>12</v>
      </c>
      <c r="F36" s="30">
        <v>1155.75235</v>
      </c>
      <c r="G36" s="27">
        <v>0.26719005000000001</v>
      </c>
      <c r="H36" s="23" t="s">
        <v>12</v>
      </c>
    </row>
    <row r="37" spans="1:8" x14ac:dyDescent="0.2">
      <c r="A37" s="24"/>
      <c r="B37" s="24"/>
      <c r="C37" s="28"/>
      <c r="D37" s="24"/>
      <c r="E37" s="24"/>
      <c r="F37" s="29"/>
      <c r="G37" s="29"/>
      <c r="H37" s="23" t="s">
        <v>12</v>
      </c>
    </row>
    <row r="38" spans="1:8" x14ac:dyDescent="0.2">
      <c r="A38" s="24"/>
      <c r="B38" s="24"/>
      <c r="C38" s="25" t="s">
        <v>77</v>
      </c>
      <c r="D38" s="24"/>
      <c r="E38" s="24"/>
      <c r="F38" s="24"/>
      <c r="G38" s="24"/>
      <c r="H38" s="23" t="s">
        <v>12</v>
      </c>
    </row>
    <row r="39" spans="1:8" x14ac:dyDescent="0.2">
      <c r="A39" s="24"/>
      <c r="B39" s="24"/>
      <c r="C39" s="25" t="s">
        <v>11</v>
      </c>
      <c r="D39" s="24"/>
      <c r="E39" s="24" t="s">
        <v>12</v>
      </c>
      <c r="F39" s="26" t="s">
        <v>13</v>
      </c>
      <c r="G39" s="27">
        <v>0</v>
      </c>
      <c r="H39" s="23" t="s">
        <v>12</v>
      </c>
    </row>
    <row r="40" spans="1:8" x14ac:dyDescent="0.2">
      <c r="A40" s="24"/>
      <c r="B40" s="24"/>
      <c r="C40" s="28"/>
      <c r="D40" s="24"/>
      <c r="E40" s="24"/>
      <c r="F40" s="29"/>
      <c r="G40" s="29"/>
      <c r="H40" s="23" t="s">
        <v>12</v>
      </c>
    </row>
    <row r="41" spans="1:8" x14ac:dyDescent="0.2">
      <c r="A41" s="24"/>
      <c r="B41" s="24"/>
      <c r="C41" s="25" t="s">
        <v>78</v>
      </c>
      <c r="D41" s="24"/>
      <c r="E41" s="24"/>
      <c r="F41" s="24"/>
      <c r="G41" s="24"/>
      <c r="H41" s="23" t="s">
        <v>12</v>
      </c>
    </row>
    <row r="42" spans="1:8" x14ac:dyDescent="0.2">
      <c r="A42" s="31">
        <v>1</v>
      </c>
      <c r="B42" s="32" t="s">
        <v>96</v>
      </c>
      <c r="C42" s="32" t="s">
        <v>97</v>
      </c>
      <c r="D42" s="32" t="s">
        <v>81</v>
      </c>
      <c r="E42" s="33">
        <v>1500000</v>
      </c>
      <c r="F42" s="34">
        <v>1568.136</v>
      </c>
      <c r="G42" s="35">
        <v>0.36252605999999998</v>
      </c>
      <c r="H42" s="23">
        <v>6.5155000000000003</v>
      </c>
    </row>
    <row r="43" spans="1:8" x14ac:dyDescent="0.2">
      <c r="A43" s="31">
        <v>2</v>
      </c>
      <c r="B43" s="32" t="s">
        <v>90</v>
      </c>
      <c r="C43" s="32" t="s">
        <v>91</v>
      </c>
      <c r="D43" s="32" t="s">
        <v>81</v>
      </c>
      <c r="E43" s="33">
        <v>500000</v>
      </c>
      <c r="F43" s="34">
        <v>521.40099999999995</v>
      </c>
      <c r="G43" s="35">
        <v>0.12053894</v>
      </c>
      <c r="H43" s="23">
        <v>6.0109000000000004</v>
      </c>
    </row>
    <row r="44" spans="1:8" x14ac:dyDescent="0.2">
      <c r="A44" s="31">
        <v>3</v>
      </c>
      <c r="B44" s="32" t="s">
        <v>527</v>
      </c>
      <c r="C44" s="32" t="s">
        <v>528</v>
      </c>
      <c r="D44" s="32" t="s">
        <v>81</v>
      </c>
      <c r="E44" s="33">
        <v>500000</v>
      </c>
      <c r="F44" s="34">
        <v>500.4</v>
      </c>
      <c r="G44" s="35">
        <v>0.11568386999999999</v>
      </c>
      <c r="H44" s="23">
        <v>5.7531999999999996</v>
      </c>
    </row>
    <row r="45" spans="1:8" x14ac:dyDescent="0.2">
      <c r="A45" s="31">
        <v>4</v>
      </c>
      <c r="B45" s="32" t="s">
        <v>481</v>
      </c>
      <c r="C45" s="32" t="s">
        <v>482</v>
      </c>
      <c r="D45" s="32" t="s">
        <v>81</v>
      </c>
      <c r="E45" s="33">
        <v>230000</v>
      </c>
      <c r="F45" s="34">
        <v>240.52825000000001</v>
      </c>
      <c r="G45" s="35">
        <v>5.5605990000000001E-2</v>
      </c>
      <c r="H45" s="23">
        <v>6.8483999999999998</v>
      </c>
    </row>
    <row r="46" spans="1:8" x14ac:dyDescent="0.2">
      <c r="A46" s="31">
        <v>5</v>
      </c>
      <c r="B46" s="32" t="s">
        <v>168</v>
      </c>
      <c r="C46" s="32" t="s">
        <v>169</v>
      </c>
      <c r="D46" s="32" t="s">
        <v>81</v>
      </c>
      <c r="E46" s="33">
        <v>100000</v>
      </c>
      <c r="F46" s="34">
        <v>103.578</v>
      </c>
      <c r="G46" s="35">
        <v>2.394545E-2</v>
      </c>
      <c r="H46" s="23">
        <v>6.0907</v>
      </c>
    </row>
    <row r="47" spans="1:8" x14ac:dyDescent="0.2">
      <c r="A47" s="24"/>
      <c r="B47" s="24"/>
      <c r="C47" s="25" t="s">
        <v>11</v>
      </c>
      <c r="D47" s="24"/>
      <c r="E47" s="24" t="s">
        <v>12</v>
      </c>
      <c r="F47" s="30">
        <v>2934.0432500000002</v>
      </c>
      <c r="G47" s="27">
        <v>0.67830031000000002</v>
      </c>
      <c r="H47" s="23" t="s">
        <v>12</v>
      </c>
    </row>
    <row r="48" spans="1:8" x14ac:dyDescent="0.2">
      <c r="A48" s="24"/>
      <c r="B48" s="24"/>
      <c r="C48" s="28"/>
      <c r="D48" s="24"/>
      <c r="E48" s="24"/>
      <c r="F48" s="29"/>
      <c r="G48" s="29"/>
      <c r="H48" s="23" t="s">
        <v>12</v>
      </c>
    </row>
    <row r="49" spans="1:8" x14ac:dyDescent="0.2">
      <c r="A49" s="24"/>
      <c r="B49" s="24"/>
      <c r="C49" s="25" t="s">
        <v>98</v>
      </c>
      <c r="D49" s="24"/>
      <c r="E49" s="24"/>
      <c r="F49" s="29"/>
      <c r="G49" s="29"/>
      <c r="H49" s="23" t="s">
        <v>12</v>
      </c>
    </row>
    <row r="50" spans="1:8" x14ac:dyDescent="0.2">
      <c r="A50" s="24"/>
      <c r="B50" s="24"/>
      <c r="C50" s="25" t="s">
        <v>11</v>
      </c>
      <c r="D50" s="24"/>
      <c r="E50" s="24" t="s">
        <v>12</v>
      </c>
      <c r="F50" s="26" t="s">
        <v>13</v>
      </c>
      <c r="G50" s="27">
        <v>0</v>
      </c>
      <c r="H50" s="23" t="s">
        <v>12</v>
      </c>
    </row>
    <row r="51" spans="1:8" x14ac:dyDescent="0.2">
      <c r="A51" s="24"/>
      <c r="B51" s="24"/>
      <c r="C51" s="28"/>
      <c r="D51" s="24"/>
      <c r="E51" s="24"/>
      <c r="F51" s="29"/>
      <c r="G51" s="29"/>
      <c r="H51" s="23" t="s">
        <v>12</v>
      </c>
    </row>
    <row r="52" spans="1:8" x14ac:dyDescent="0.2">
      <c r="A52" s="24"/>
      <c r="B52" s="24"/>
      <c r="C52" s="25" t="s">
        <v>99</v>
      </c>
      <c r="D52" s="24"/>
      <c r="E52" s="24"/>
      <c r="F52" s="30">
        <v>4089.7955999999999</v>
      </c>
      <c r="G52" s="27">
        <v>0.94549035999999997</v>
      </c>
      <c r="H52" s="23" t="s">
        <v>12</v>
      </c>
    </row>
    <row r="53" spans="1:8" x14ac:dyDescent="0.2">
      <c r="A53" s="24"/>
      <c r="B53" s="24"/>
      <c r="C53" s="28"/>
      <c r="D53" s="24"/>
      <c r="E53" s="24"/>
      <c r="F53" s="29"/>
      <c r="G53" s="29"/>
      <c r="H53" s="23" t="s">
        <v>12</v>
      </c>
    </row>
    <row r="54" spans="1:8" x14ac:dyDescent="0.2">
      <c r="A54" s="24"/>
      <c r="B54" s="24"/>
      <c r="C54" s="25" t="s">
        <v>100</v>
      </c>
      <c r="D54" s="24"/>
      <c r="E54" s="24"/>
      <c r="F54" s="29"/>
      <c r="G54" s="29"/>
      <c r="H54" s="23" t="s">
        <v>12</v>
      </c>
    </row>
    <row r="55" spans="1:8" x14ac:dyDescent="0.2">
      <c r="A55" s="24"/>
      <c r="B55" s="24"/>
      <c r="C55" s="25" t="s">
        <v>101</v>
      </c>
      <c r="D55" s="24"/>
      <c r="E55" s="24"/>
      <c r="F55" s="29"/>
      <c r="G55" s="29"/>
      <c r="H55" s="23" t="s">
        <v>12</v>
      </c>
    </row>
    <row r="56" spans="1:8" x14ac:dyDescent="0.2">
      <c r="A56" s="24"/>
      <c r="B56" s="24"/>
      <c r="C56" s="25" t="s">
        <v>11</v>
      </c>
      <c r="D56" s="24"/>
      <c r="E56" s="24" t="s">
        <v>12</v>
      </c>
      <c r="F56" s="26" t="s">
        <v>13</v>
      </c>
      <c r="G56" s="27">
        <v>0</v>
      </c>
      <c r="H56" s="23" t="s">
        <v>12</v>
      </c>
    </row>
    <row r="57" spans="1:8" x14ac:dyDescent="0.2">
      <c r="A57" s="24"/>
      <c r="B57" s="24"/>
      <c r="C57" s="28"/>
      <c r="D57" s="24"/>
      <c r="E57" s="24"/>
      <c r="F57" s="29"/>
      <c r="G57" s="29"/>
      <c r="H57" s="23" t="s">
        <v>12</v>
      </c>
    </row>
    <row r="58" spans="1:8" x14ac:dyDescent="0.2">
      <c r="A58" s="24"/>
      <c r="B58" s="24"/>
      <c r="C58" s="25" t="s">
        <v>111</v>
      </c>
      <c r="D58" s="24"/>
      <c r="E58" s="24"/>
      <c r="F58" s="29"/>
      <c r="G58" s="29"/>
      <c r="H58" s="23" t="s">
        <v>12</v>
      </c>
    </row>
    <row r="59" spans="1:8" x14ac:dyDescent="0.2">
      <c r="A59" s="24"/>
      <c r="B59" s="24"/>
      <c r="C59" s="25" t="s">
        <v>11</v>
      </c>
      <c r="D59" s="24"/>
      <c r="E59" s="24" t="s">
        <v>12</v>
      </c>
      <c r="F59" s="26" t="s">
        <v>13</v>
      </c>
      <c r="G59" s="27">
        <v>0</v>
      </c>
      <c r="H59" s="23" t="s">
        <v>12</v>
      </c>
    </row>
    <row r="60" spans="1:8" x14ac:dyDescent="0.2">
      <c r="A60" s="24"/>
      <c r="B60" s="24"/>
      <c r="C60" s="28"/>
      <c r="D60" s="24"/>
      <c r="E60" s="24"/>
      <c r="F60" s="29"/>
      <c r="G60" s="29"/>
      <c r="H60" s="23" t="s">
        <v>12</v>
      </c>
    </row>
    <row r="61" spans="1:8" x14ac:dyDescent="0.2">
      <c r="A61" s="24"/>
      <c r="B61" s="24"/>
      <c r="C61" s="25" t="s">
        <v>112</v>
      </c>
      <c r="D61" s="24"/>
      <c r="E61" s="24"/>
      <c r="F61" s="29"/>
      <c r="G61" s="29"/>
      <c r="H61" s="23" t="s">
        <v>12</v>
      </c>
    </row>
    <row r="62" spans="1:8" x14ac:dyDescent="0.2">
      <c r="A62" s="24"/>
      <c r="B62" s="24"/>
      <c r="C62" s="25" t="s">
        <v>11</v>
      </c>
      <c r="D62" s="24"/>
      <c r="E62" s="24" t="s">
        <v>12</v>
      </c>
      <c r="F62" s="26" t="s">
        <v>13</v>
      </c>
      <c r="G62" s="27">
        <v>0</v>
      </c>
      <c r="H62" s="23" t="s">
        <v>12</v>
      </c>
    </row>
    <row r="63" spans="1:8" x14ac:dyDescent="0.2">
      <c r="A63" s="24"/>
      <c r="B63" s="24"/>
      <c r="C63" s="28"/>
      <c r="D63" s="24"/>
      <c r="E63" s="24"/>
      <c r="F63" s="29"/>
      <c r="G63" s="29"/>
      <c r="H63" s="23" t="s">
        <v>12</v>
      </c>
    </row>
    <row r="64" spans="1:8" x14ac:dyDescent="0.2">
      <c r="A64" s="24"/>
      <c r="B64" s="24"/>
      <c r="C64" s="25" t="s">
        <v>113</v>
      </c>
      <c r="D64" s="24"/>
      <c r="E64" s="24"/>
      <c r="F64" s="29"/>
      <c r="G64" s="29"/>
      <c r="H64" s="23" t="s">
        <v>12</v>
      </c>
    </row>
    <row r="65" spans="1:17" x14ac:dyDescent="0.2">
      <c r="A65" s="31">
        <v>1</v>
      </c>
      <c r="B65" s="32"/>
      <c r="C65" s="32" t="s">
        <v>114</v>
      </c>
      <c r="D65" s="32"/>
      <c r="E65" s="36"/>
      <c r="F65" s="34">
        <v>152.769848999</v>
      </c>
      <c r="G65" s="35">
        <v>3.5317759999999997E-2</v>
      </c>
      <c r="H65" s="23">
        <v>5.47</v>
      </c>
    </row>
    <row r="66" spans="1:17" x14ac:dyDescent="0.2">
      <c r="A66" s="24"/>
      <c r="B66" s="24"/>
      <c r="C66" s="25" t="s">
        <v>11</v>
      </c>
      <c r="D66" s="24"/>
      <c r="E66" s="24" t="s">
        <v>12</v>
      </c>
      <c r="F66" s="30">
        <v>152.769848999</v>
      </c>
      <c r="G66" s="27">
        <v>3.5317759999999997E-2</v>
      </c>
      <c r="H66" s="23" t="s">
        <v>12</v>
      </c>
    </row>
    <row r="67" spans="1:17" x14ac:dyDescent="0.2">
      <c r="A67" s="24"/>
      <c r="B67" s="24"/>
      <c r="C67" s="28"/>
      <c r="D67" s="24"/>
      <c r="E67" s="24"/>
      <c r="F67" s="29"/>
      <c r="G67" s="29"/>
      <c r="H67" s="23" t="s">
        <v>12</v>
      </c>
    </row>
    <row r="68" spans="1:17" x14ac:dyDescent="0.2">
      <c r="A68" s="24"/>
      <c r="B68" s="24"/>
      <c r="C68" s="25" t="s">
        <v>115</v>
      </c>
      <c r="D68" s="24"/>
      <c r="E68" s="24"/>
      <c r="F68" s="30">
        <v>152.769848999</v>
      </c>
      <c r="G68" s="27">
        <v>3.5317759999999997E-2</v>
      </c>
      <c r="H68" s="23" t="s">
        <v>12</v>
      </c>
    </row>
    <row r="69" spans="1:17" x14ac:dyDescent="0.2">
      <c r="A69" s="24"/>
      <c r="B69" s="24"/>
      <c r="C69" s="29"/>
      <c r="D69" s="24"/>
      <c r="E69" s="24"/>
      <c r="F69" s="24"/>
      <c r="G69" s="24"/>
      <c r="H69" s="23" t="s">
        <v>12</v>
      </c>
    </row>
    <row r="70" spans="1:17" x14ac:dyDescent="0.2">
      <c r="A70" s="24"/>
      <c r="B70" s="24"/>
      <c r="C70" s="25" t="s">
        <v>116</v>
      </c>
      <c r="D70" s="24"/>
      <c r="E70" s="24"/>
      <c r="F70" s="24"/>
      <c r="G70" s="24"/>
      <c r="H70" s="23" t="s">
        <v>12</v>
      </c>
    </row>
    <row r="71" spans="1:17" x14ac:dyDescent="0.2">
      <c r="A71" s="24"/>
      <c r="B71" s="24"/>
      <c r="C71" s="25" t="s">
        <v>117</v>
      </c>
      <c r="D71" s="24"/>
      <c r="E71" s="24"/>
      <c r="F71" s="24"/>
      <c r="G71" s="24"/>
      <c r="H71" s="23" t="s">
        <v>12</v>
      </c>
    </row>
    <row r="72" spans="1:17" x14ac:dyDescent="0.2">
      <c r="A72" s="24"/>
      <c r="B72" s="24"/>
      <c r="C72" s="25" t="s">
        <v>11</v>
      </c>
      <c r="D72" s="24"/>
      <c r="E72" s="24" t="s">
        <v>12</v>
      </c>
      <c r="F72" s="26" t="s">
        <v>13</v>
      </c>
      <c r="G72" s="27">
        <v>0</v>
      </c>
      <c r="H72" s="23" t="s">
        <v>12</v>
      </c>
    </row>
    <row r="73" spans="1:17" x14ac:dyDescent="0.2">
      <c r="A73" s="21"/>
      <c r="B73" s="21"/>
      <c r="C73" s="99"/>
      <c r="D73" s="21"/>
      <c r="E73" s="21"/>
      <c r="F73" s="51"/>
      <c r="G73" s="51"/>
      <c r="H73" s="23" t="s">
        <v>12</v>
      </c>
    </row>
    <row r="74" spans="1:17" x14ac:dyDescent="0.2">
      <c r="A74" s="21"/>
      <c r="B74" s="21"/>
      <c r="C74" s="22" t="s">
        <v>618</v>
      </c>
      <c r="D74" s="21"/>
      <c r="E74" s="21"/>
      <c r="F74" s="51"/>
      <c r="G74" s="51"/>
      <c r="H74" s="23" t="s">
        <v>12</v>
      </c>
      <c r="K74" s="72"/>
      <c r="L74" s="72"/>
      <c r="M74" s="72"/>
      <c r="N74" s="72"/>
      <c r="O74" s="100"/>
      <c r="P74" s="100"/>
      <c r="Q74" s="100"/>
    </row>
    <row r="75" spans="1:17" x14ac:dyDescent="0.2">
      <c r="A75" s="93">
        <v>1</v>
      </c>
      <c r="B75" s="94" t="s">
        <v>118</v>
      </c>
      <c r="C75" s="94" t="s">
        <v>119</v>
      </c>
      <c r="D75" s="94"/>
      <c r="E75" s="101">
        <v>112.994</v>
      </c>
      <c r="F75" s="96">
        <v>12.704435192</v>
      </c>
      <c r="G75" s="97">
        <v>2.9370500000000001E-3</v>
      </c>
      <c r="H75" s="23">
        <v>9.9999999999999995E-7</v>
      </c>
    </row>
    <row r="76" spans="1:17" x14ac:dyDescent="0.2">
      <c r="A76" s="21"/>
      <c r="B76" s="21"/>
      <c r="C76" s="22" t="s">
        <v>11</v>
      </c>
      <c r="D76" s="21"/>
      <c r="E76" s="21" t="s">
        <v>12</v>
      </c>
      <c r="F76" s="102">
        <f>SUM(F75)</f>
        <v>12.704435192</v>
      </c>
      <c r="G76" s="103">
        <f>SUM(G75)</f>
        <v>2.9370500000000001E-3</v>
      </c>
      <c r="H76" s="23" t="s">
        <v>12</v>
      </c>
    </row>
    <row r="77" spans="1:17" x14ac:dyDescent="0.2">
      <c r="A77" s="24"/>
      <c r="B77" s="24"/>
      <c r="C77" s="28"/>
      <c r="D77" s="24"/>
      <c r="E77" s="24"/>
      <c r="F77" s="29"/>
      <c r="G77" s="29"/>
      <c r="H77" s="23" t="s">
        <v>12</v>
      </c>
    </row>
    <row r="78" spans="1:17" x14ac:dyDescent="0.2">
      <c r="A78" s="24"/>
      <c r="B78" s="24"/>
      <c r="C78" s="25" t="s">
        <v>120</v>
      </c>
      <c r="D78" s="24"/>
      <c r="E78" s="24"/>
      <c r="F78" s="24"/>
      <c r="G78" s="24"/>
      <c r="H78" s="23" t="s">
        <v>12</v>
      </c>
    </row>
    <row r="79" spans="1:17" x14ac:dyDescent="0.2">
      <c r="A79" s="24"/>
      <c r="B79" s="24"/>
      <c r="C79" s="25" t="s">
        <v>121</v>
      </c>
      <c r="D79" s="24"/>
      <c r="E79" s="24"/>
      <c r="F79" s="24"/>
      <c r="G79" s="24"/>
      <c r="H79" s="23" t="s">
        <v>12</v>
      </c>
    </row>
    <row r="80" spans="1:17" x14ac:dyDescent="0.2">
      <c r="A80" s="24"/>
      <c r="B80" s="24"/>
      <c r="C80" s="25" t="s">
        <v>11</v>
      </c>
      <c r="D80" s="24"/>
      <c r="E80" s="24" t="s">
        <v>12</v>
      </c>
      <c r="F80" s="26" t="s">
        <v>13</v>
      </c>
      <c r="G80" s="27">
        <v>0</v>
      </c>
      <c r="H80" s="23" t="s">
        <v>12</v>
      </c>
    </row>
    <row r="81" spans="1:8" x14ac:dyDescent="0.2">
      <c r="A81" s="24"/>
      <c r="B81" s="24"/>
      <c r="C81" s="28"/>
      <c r="D81" s="24"/>
      <c r="E81" s="24"/>
      <c r="F81" s="29"/>
      <c r="G81" s="29"/>
      <c r="H81" s="23" t="s">
        <v>12</v>
      </c>
    </row>
    <row r="82" spans="1:8" x14ac:dyDescent="0.2">
      <c r="A82" s="24"/>
      <c r="B82" s="24"/>
      <c r="C82" s="25" t="s">
        <v>122</v>
      </c>
      <c r="D82" s="24"/>
      <c r="E82" s="24"/>
      <c r="F82" s="29"/>
      <c r="G82" s="29"/>
      <c r="H82" s="23" t="s">
        <v>12</v>
      </c>
    </row>
    <row r="83" spans="1:8" x14ac:dyDescent="0.2">
      <c r="A83" s="24"/>
      <c r="B83" s="24"/>
      <c r="C83" s="25" t="s">
        <v>11</v>
      </c>
      <c r="D83" s="24"/>
      <c r="E83" s="24" t="s">
        <v>12</v>
      </c>
      <c r="F83" s="26" t="s">
        <v>13</v>
      </c>
      <c r="G83" s="27">
        <v>0</v>
      </c>
      <c r="H83" s="23" t="s">
        <v>12</v>
      </c>
    </row>
    <row r="84" spans="1:8" x14ac:dyDescent="0.2">
      <c r="A84" s="24"/>
      <c r="B84" s="24"/>
      <c r="C84" s="28"/>
      <c r="D84" s="24"/>
      <c r="E84" s="24"/>
      <c r="F84" s="29"/>
      <c r="G84" s="29"/>
      <c r="H84" s="23" t="s">
        <v>12</v>
      </c>
    </row>
    <row r="85" spans="1:8" x14ac:dyDescent="0.2">
      <c r="A85" s="36"/>
      <c r="B85" s="32"/>
      <c r="C85" s="32" t="s">
        <v>123</v>
      </c>
      <c r="D85" s="32"/>
      <c r="E85" s="36"/>
      <c r="F85" s="34">
        <f>70.31156899+0.000634768999814987</f>
        <v>70.312203758999814</v>
      </c>
      <c r="G85" s="35">
        <v>1.6254830000000001E-2</v>
      </c>
      <c r="H85" s="23" t="s">
        <v>12</v>
      </c>
    </row>
    <row r="86" spans="1:8" x14ac:dyDescent="0.2">
      <c r="A86" s="28"/>
      <c r="B86" s="28"/>
      <c r="C86" s="25" t="s">
        <v>124</v>
      </c>
      <c r="D86" s="29"/>
      <c r="E86" s="29"/>
      <c r="F86" s="30">
        <f>4325.581453181+0.000634768999814987</f>
        <v>4325.5820879499997</v>
      </c>
      <c r="G86" s="37">
        <v>1</v>
      </c>
      <c r="H86" s="23" t="s">
        <v>12</v>
      </c>
    </row>
    <row r="87" spans="1:8" x14ac:dyDescent="0.2">
      <c r="A87" s="38"/>
      <c r="B87" s="38"/>
      <c r="C87" s="38"/>
      <c r="D87" s="39"/>
      <c r="E87" s="39"/>
      <c r="F87" s="39"/>
      <c r="G87" s="39"/>
    </row>
    <row r="88" spans="1:8" x14ac:dyDescent="0.2">
      <c r="A88" s="40"/>
      <c r="B88" s="41" t="s">
        <v>614</v>
      </c>
      <c r="C88" s="41"/>
      <c r="D88" s="41"/>
      <c r="E88" s="41"/>
      <c r="F88" s="41"/>
      <c r="G88" s="41"/>
      <c r="H88" s="41"/>
    </row>
    <row r="89" spans="1:8" x14ac:dyDescent="0.2">
      <c r="A89" s="40"/>
      <c r="B89" s="41" t="s">
        <v>615</v>
      </c>
      <c r="C89" s="41"/>
      <c r="D89" s="41"/>
      <c r="E89" s="41"/>
      <c r="F89" s="41"/>
      <c r="G89" s="41"/>
      <c r="H89" s="41"/>
    </row>
    <row r="90" spans="1:8" x14ac:dyDescent="0.2">
      <c r="A90" s="40"/>
      <c r="B90" s="41" t="s">
        <v>616</v>
      </c>
      <c r="C90" s="41"/>
      <c r="D90" s="41"/>
      <c r="E90" s="41"/>
      <c r="F90" s="41"/>
      <c r="G90" s="41"/>
      <c r="H90" s="41"/>
    </row>
    <row r="91" spans="1:8" x14ac:dyDescent="0.2">
      <c r="A91" s="42"/>
      <c r="B91" s="42"/>
      <c r="C91" s="42"/>
      <c r="D91" s="43"/>
      <c r="E91" s="43"/>
      <c r="F91" s="43"/>
      <c r="G91" s="43"/>
    </row>
    <row r="92" spans="1:8" x14ac:dyDescent="0.2">
      <c r="A92" s="40"/>
      <c r="B92" s="44" t="s">
        <v>125</v>
      </c>
      <c r="C92" s="45"/>
      <c r="D92" s="46"/>
      <c r="E92" s="47"/>
      <c r="F92" s="48"/>
      <c r="G92" s="48"/>
    </row>
    <row r="93" spans="1:8" x14ac:dyDescent="0.2">
      <c r="A93" s="40"/>
      <c r="B93" s="49" t="s">
        <v>126</v>
      </c>
      <c r="C93" s="50"/>
      <c r="D93" s="22" t="s">
        <v>642</v>
      </c>
      <c r="E93" s="47"/>
      <c r="F93" s="48"/>
      <c r="G93" s="48"/>
    </row>
    <row r="94" spans="1:8" x14ac:dyDescent="0.2">
      <c r="A94" s="40"/>
      <c r="B94" s="49" t="s">
        <v>128</v>
      </c>
      <c r="C94" s="50"/>
      <c r="D94" s="22" t="s">
        <v>127</v>
      </c>
      <c r="E94" s="47"/>
      <c r="F94" s="48"/>
      <c r="G94" s="48"/>
    </row>
    <row r="95" spans="1:8" x14ac:dyDescent="0.2">
      <c r="A95" s="40"/>
      <c r="B95" s="49" t="s">
        <v>129</v>
      </c>
      <c r="C95" s="50"/>
      <c r="D95" s="51" t="s">
        <v>12</v>
      </c>
      <c r="E95" s="47"/>
      <c r="F95" s="48"/>
      <c r="G95" s="48"/>
    </row>
    <row r="96" spans="1:8" x14ac:dyDescent="0.2">
      <c r="A96" s="52"/>
      <c r="B96" s="53" t="s">
        <v>12</v>
      </c>
      <c r="C96" s="53" t="s">
        <v>617</v>
      </c>
      <c r="D96" s="53" t="s">
        <v>130</v>
      </c>
      <c r="E96" s="52"/>
      <c r="F96" s="52"/>
      <c r="G96" s="52"/>
    </row>
    <row r="97" spans="1:14" x14ac:dyDescent="0.2">
      <c r="A97" s="52"/>
      <c r="B97" s="54" t="s">
        <v>131</v>
      </c>
      <c r="C97" s="55">
        <v>45823</v>
      </c>
      <c r="D97" s="55">
        <v>45838</v>
      </c>
      <c r="E97" s="52"/>
      <c r="F97" s="52"/>
      <c r="G97" s="52"/>
    </row>
    <row r="98" spans="1:14" x14ac:dyDescent="0.2">
      <c r="A98" s="56"/>
      <c r="B98" s="32" t="s">
        <v>132</v>
      </c>
      <c r="C98" s="57">
        <v>77.190600000000003</v>
      </c>
      <c r="D98" s="57">
        <v>77.3001</v>
      </c>
      <c r="E98" s="56"/>
      <c r="F98" s="58"/>
      <c r="G98" s="59"/>
    </row>
    <row r="99" spans="1:14" ht="25.5" x14ac:dyDescent="0.2">
      <c r="A99" s="56"/>
      <c r="B99" s="32" t="s">
        <v>744</v>
      </c>
      <c r="C99" s="57">
        <v>27.150099999999998</v>
      </c>
      <c r="D99" s="57">
        <v>27.188700000000001</v>
      </c>
      <c r="E99" s="56"/>
      <c r="F99" s="58"/>
      <c r="G99" s="59"/>
    </row>
    <row r="100" spans="1:14" ht="25.5" x14ac:dyDescent="0.2">
      <c r="A100" s="56"/>
      <c r="B100" s="32" t="s">
        <v>746</v>
      </c>
      <c r="C100" s="57">
        <v>15.5962</v>
      </c>
      <c r="D100" s="36"/>
      <c r="E100" s="56"/>
      <c r="F100" s="58"/>
      <c r="G100" s="59"/>
    </row>
    <row r="101" spans="1:14" x14ac:dyDescent="0.2">
      <c r="A101" s="56"/>
      <c r="B101" s="32" t="s">
        <v>133</v>
      </c>
      <c r="C101" s="57">
        <v>69.150599999999997</v>
      </c>
      <c r="D101" s="57">
        <v>69.227599999999995</v>
      </c>
      <c r="E101" s="56"/>
      <c r="F101" s="58"/>
      <c r="G101" s="59"/>
    </row>
    <row r="102" spans="1:14" x14ac:dyDescent="0.2">
      <c r="A102" s="56"/>
      <c r="B102" s="32" t="s">
        <v>179</v>
      </c>
      <c r="C102" s="57">
        <v>23.6187</v>
      </c>
      <c r="D102" s="36"/>
      <c r="E102" s="56"/>
      <c r="F102" s="58"/>
      <c r="G102" s="59"/>
    </row>
    <row r="103" spans="1:14" ht="25.5" x14ac:dyDescent="0.2">
      <c r="A103" s="56"/>
      <c r="B103" s="32" t="s">
        <v>719</v>
      </c>
      <c r="C103" s="57">
        <v>13.3513</v>
      </c>
      <c r="D103" s="57">
        <v>13.366199999999999</v>
      </c>
      <c r="E103" s="56"/>
      <c r="F103" s="58"/>
      <c r="G103" s="59"/>
    </row>
    <row r="104" spans="1:14" ht="25.5" x14ac:dyDescent="0.2">
      <c r="A104" s="56"/>
      <c r="B104" s="32" t="s">
        <v>748</v>
      </c>
      <c r="C104" s="57">
        <v>13.589499999999999</v>
      </c>
      <c r="D104" s="36"/>
      <c r="E104" s="56"/>
      <c r="F104" s="58"/>
      <c r="G104" s="59"/>
    </row>
    <row r="105" spans="1:14" ht="25.5" x14ac:dyDescent="0.2">
      <c r="A105" s="56"/>
      <c r="B105" s="32" t="s">
        <v>749</v>
      </c>
      <c r="C105" s="57">
        <v>13.7394</v>
      </c>
      <c r="D105" s="36"/>
      <c r="E105" s="56"/>
      <c r="F105" s="58"/>
      <c r="G105" s="59"/>
    </row>
    <row r="106" spans="1:14" x14ac:dyDescent="0.2">
      <c r="A106" s="56"/>
      <c r="B106" s="56"/>
      <c r="C106" s="56"/>
      <c r="D106" s="56"/>
      <c r="E106" s="56"/>
      <c r="F106" s="56"/>
      <c r="G106" s="56"/>
    </row>
    <row r="107" spans="1:14" x14ac:dyDescent="0.2">
      <c r="A107" s="56"/>
      <c r="B107" s="60" t="s">
        <v>739</v>
      </c>
      <c r="C107" s="61"/>
      <c r="D107" s="25" t="s">
        <v>12</v>
      </c>
      <c r="E107" s="56"/>
      <c r="F107" s="56"/>
      <c r="G107" s="56"/>
    </row>
    <row r="108" spans="1:14" x14ac:dyDescent="0.2">
      <c r="A108" s="56"/>
      <c r="B108" s="62" t="s">
        <v>131</v>
      </c>
      <c r="C108" s="63" t="s">
        <v>134</v>
      </c>
      <c r="D108" s="63" t="s">
        <v>135</v>
      </c>
      <c r="E108" s="56"/>
      <c r="F108" s="56"/>
      <c r="G108" s="56"/>
    </row>
    <row r="109" spans="1:14" ht="25.5" x14ac:dyDescent="0.2">
      <c r="A109" s="56"/>
      <c r="B109" s="32" t="s">
        <v>744</v>
      </c>
      <c r="C109" s="64">
        <v>0.40100000000000002</v>
      </c>
      <c r="D109" s="36" t="s">
        <v>136</v>
      </c>
      <c r="E109" s="56"/>
      <c r="F109" s="58"/>
      <c r="G109" s="59"/>
    </row>
    <row r="110" spans="1:14" ht="25.5" x14ac:dyDescent="0.2">
      <c r="A110" s="56"/>
      <c r="B110" s="94" t="s">
        <v>719</v>
      </c>
      <c r="C110" s="64">
        <v>0.19800000000000001</v>
      </c>
      <c r="D110" s="64">
        <v>0.19800000000000001</v>
      </c>
      <c r="E110" s="56"/>
      <c r="F110" s="58"/>
      <c r="G110" s="59"/>
    </row>
    <row r="111" spans="1:14" x14ac:dyDescent="0.2">
      <c r="A111" s="56"/>
      <c r="B111" s="104"/>
      <c r="C111" s="104"/>
      <c r="D111" s="105"/>
      <c r="E111" s="56"/>
      <c r="F111" s="58"/>
      <c r="G111" s="59"/>
    </row>
    <row r="112" spans="1:14" s="74" customFormat="1" ht="15" x14ac:dyDescent="0.25">
      <c r="A112" s="124"/>
      <c r="B112" s="49" t="s">
        <v>631</v>
      </c>
      <c r="C112" s="50"/>
      <c r="D112" s="22" t="s">
        <v>127</v>
      </c>
      <c r="E112" s="124"/>
      <c r="F112" s="125"/>
      <c r="G112" s="124"/>
      <c r="I112" s="126"/>
      <c r="J112" s="127"/>
      <c r="K112" s="127"/>
      <c r="L112" s="127"/>
      <c r="M112" s="127"/>
      <c r="N112" s="17"/>
    </row>
    <row r="113" spans="1:14" ht="15" x14ac:dyDescent="0.25">
      <c r="A113" s="52"/>
      <c r="B113" s="49" t="s">
        <v>632</v>
      </c>
      <c r="C113" s="50"/>
      <c r="D113" s="22" t="s">
        <v>127</v>
      </c>
      <c r="E113" s="71"/>
      <c r="F113" s="52"/>
      <c r="G113" s="52"/>
      <c r="I113" s="128"/>
    </row>
    <row r="114" spans="1:14" ht="15" x14ac:dyDescent="0.25">
      <c r="A114" s="52"/>
      <c r="B114" s="49" t="s">
        <v>633</v>
      </c>
      <c r="C114" s="50"/>
      <c r="D114" s="22" t="s">
        <v>127</v>
      </c>
      <c r="E114" s="71"/>
      <c r="F114" s="52"/>
      <c r="G114" s="52"/>
      <c r="I114" s="129"/>
    </row>
    <row r="115" spans="1:14" x14ac:dyDescent="0.2">
      <c r="A115" s="52"/>
      <c r="B115" s="49" t="s">
        <v>634</v>
      </c>
      <c r="C115" s="50"/>
      <c r="D115" s="22" t="s">
        <v>127</v>
      </c>
      <c r="E115" s="71"/>
      <c r="F115" s="52"/>
      <c r="G115" s="52"/>
    </row>
    <row r="116" spans="1:14" x14ac:dyDescent="0.2">
      <c r="A116" s="73"/>
      <c r="B116" s="73"/>
      <c r="C116" s="73"/>
      <c r="D116" s="73"/>
      <c r="E116" s="73"/>
      <c r="F116" s="73"/>
      <c r="G116" s="73"/>
    </row>
    <row r="117" spans="1:14" s="74" customFormat="1" ht="15" x14ac:dyDescent="0.25">
      <c r="B117" s="130" t="s">
        <v>751</v>
      </c>
      <c r="C117" s="131"/>
      <c r="D117" s="131"/>
      <c r="E117" s="131"/>
      <c r="F117" s="131"/>
      <c r="G117" s="132"/>
      <c r="I117" s="17"/>
      <c r="J117" s="127"/>
      <c r="K117" s="127"/>
      <c r="L117" s="127"/>
      <c r="M117" s="127"/>
      <c r="N117" s="17"/>
    </row>
    <row r="118" spans="1:14" s="74" customFormat="1" ht="45" customHeight="1" x14ac:dyDescent="0.25">
      <c r="B118" s="133" t="s">
        <v>644</v>
      </c>
      <c r="C118" s="133" t="s">
        <v>645</v>
      </c>
      <c r="D118" s="134" t="s">
        <v>646</v>
      </c>
      <c r="E118" s="135"/>
      <c r="F118" s="136" t="s">
        <v>647</v>
      </c>
      <c r="G118" s="136"/>
      <c r="H118" s="137"/>
      <c r="I118" s="17"/>
      <c r="J118" s="127"/>
      <c r="K118" s="127"/>
      <c r="L118" s="127"/>
      <c r="M118" s="127"/>
      <c r="N118" s="17"/>
    </row>
    <row r="119" spans="1:14" s="74" customFormat="1" ht="15" x14ac:dyDescent="0.25">
      <c r="B119" s="138" t="s">
        <v>720</v>
      </c>
      <c r="C119" s="139" t="s">
        <v>721</v>
      </c>
      <c r="D119" s="14">
        <v>0</v>
      </c>
      <c r="E119" s="15"/>
      <c r="F119" s="14">
        <v>0</v>
      </c>
      <c r="G119" s="15"/>
      <c r="H119" s="140"/>
      <c r="I119" s="17"/>
      <c r="J119" s="127"/>
      <c r="K119" s="127"/>
      <c r="L119" s="127"/>
      <c r="M119" s="127"/>
      <c r="N119" s="17"/>
    </row>
    <row r="120" spans="1:14" s="74" customFormat="1" ht="15" x14ac:dyDescent="0.25">
      <c r="B120" s="141" t="s">
        <v>722</v>
      </c>
      <c r="C120" s="142"/>
      <c r="D120" s="142"/>
      <c r="E120" s="142"/>
      <c r="F120" s="142"/>
      <c r="G120" s="143"/>
      <c r="H120" s="140"/>
      <c r="I120" s="17"/>
      <c r="J120" s="129"/>
      <c r="K120" s="129"/>
      <c r="L120" s="129"/>
      <c r="M120" s="127"/>
      <c r="N120" s="17"/>
    </row>
    <row r="121" spans="1:14" s="74" customFormat="1" ht="15" x14ac:dyDescent="0.25">
      <c r="B121" s="136" t="s">
        <v>644</v>
      </c>
      <c r="C121" s="136" t="s">
        <v>645</v>
      </c>
      <c r="D121" s="141" t="s">
        <v>688</v>
      </c>
      <c r="E121" s="142"/>
      <c r="F121" s="143"/>
      <c r="G121" s="138"/>
      <c r="H121" s="140"/>
      <c r="I121" s="17"/>
      <c r="J121" s="129"/>
      <c r="K121" s="129"/>
      <c r="L121" s="129"/>
      <c r="M121" s="127"/>
      <c r="N121" s="17"/>
    </row>
    <row r="122" spans="1:14" s="74" customFormat="1" ht="76.5" x14ac:dyDescent="0.25">
      <c r="B122" s="136"/>
      <c r="C122" s="136"/>
      <c r="D122" s="144" t="s">
        <v>692</v>
      </c>
      <c r="E122" s="144" t="s">
        <v>723</v>
      </c>
      <c r="F122" s="144" t="s">
        <v>724</v>
      </c>
      <c r="G122" s="144" t="s">
        <v>753</v>
      </c>
      <c r="H122" s="145"/>
      <c r="I122" s="17"/>
      <c r="J122" s="129"/>
      <c r="K122" s="129"/>
      <c r="L122" s="129"/>
      <c r="M122" s="127"/>
      <c r="N122" s="17"/>
    </row>
    <row r="123" spans="1:14" s="74" customFormat="1" ht="15" x14ac:dyDescent="0.2">
      <c r="B123" s="146" t="s">
        <v>720</v>
      </c>
      <c r="C123" s="139" t="s">
        <v>721</v>
      </c>
      <c r="D123" s="147">
        <v>200</v>
      </c>
      <c r="E123" s="147">
        <v>6.8852450999999997</v>
      </c>
      <c r="F123" s="147">
        <v>206.88524509999999</v>
      </c>
      <c r="G123" s="148">
        <f>F123/F86</f>
        <v>4.7828301692928461E-2</v>
      </c>
      <c r="H123" s="149"/>
      <c r="I123" s="17"/>
      <c r="J123" s="17"/>
      <c r="K123" s="17"/>
      <c r="L123" s="17"/>
      <c r="M123" s="17"/>
      <c r="N123" s="17"/>
    </row>
    <row r="124" spans="1:14" s="74" customFormat="1" ht="33" customHeight="1" x14ac:dyDescent="0.2">
      <c r="B124" s="150" t="s">
        <v>725</v>
      </c>
      <c r="C124" s="151"/>
      <c r="D124" s="151"/>
      <c r="E124" s="151"/>
      <c r="F124" s="151"/>
      <c r="G124" s="152"/>
      <c r="H124" s="153"/>
      <c r="I124" s="17"/>
      <c r="J124" s="17"/>
      <c r="K124" s="17"/>
      <c r="L124" s="17"/>
      <c r="M124" s="17"/>
      <c r="N124" s="17"/>
    </row>
    <row r="125" spans="1:14" s="74" customFormat="1" x14ac:dyDescent="0.2">
      <c r="H125" s="153"/>
      <c r="I125" s="17"/>
      <c r="J125" s="17"/>
      <c r="K125" s="17"/>
      <c r="L125" s="17"/>
      <c r="M125" s="17"/>
      <c r="N125" s="17"/>
    </row>
    <row r="126" spans="1:14" s="74" customFormat="1" x14ac:dyDescent="0.2">
      <c r="B126" s="75" t="s">
        <v>620</v>
      </c>
      <c r="C126" s="76"/>
      <c r="D126" s="77"/>
      <c r="I126" s="17"/>
      <c r="J126" s="17"/>
      <c r="K126" s="17"/>
      <c r="L126" s="17"/>
      <c r="M126" s="17"/>
      <c r="N126" s="17"/>
    </row>
    <row r="127" spans="1:14" s="74" customFormat="1" ht="51" x14ac:dyDescent="0.2">
      <c r="B127" s="79" t="s">
        <v>621</v>
      </c>
      <c r="C127" s="79"/>
      <c r="D127" s="80" t="s">
        <v>526</v>
      </c>
      <c r="I127" s="17"/>
      <c r="J127" s="17"/>
      <c r="K127" s="17"/>
      <c r="L127" s="17"/>
      <c r="M127" s="17"/>
      <c r="N127" s="17"/>
    </row>
    <row r="128" spans="1:14" s="74" customFormat="1" x14ac:dyDescent="0.2">
      <c r="B128" s="66" t="s">
        <v>622</v>
      </c>
      <c r="C128" s="66"/>
      <c r="D128" s="81"/>
      <c r="I128" s="17"/>
      <c r="J128" s="17"/>
      <c r="K128" s="17"/>
      <c r="L128" s="17"/>
      <c r="M128" s="17"/>
      <c r="N128" s="17"/>
    </row>
    <row r="129" spans="2:16" s="74" customFormat="1" x14ac:dyDescent="0.2">
      <c r="B129" s="66"/>
      <c r="C129" s="66"/>
      <c r="D129" s="82"/>
      <c r="I129" s="17"/>
      <c r="J129" s="17"/>
      <c r="K129" s="17"/>
      <c r="L129" s="17"/>
      <c r="M129" s="17"/>
      <c r="N129" s="17"/>
    </row>
    <row r="130" spans="2:16" s="74" customFormat="1" x14ac:dyDescent="0.2">
      <c r="B130" s="66" t="s">
        <v>623</v>
      </c>
      <c r="C130" s="66"/>
      <c r="D130" s="83">
        <v>6.5515841012832459</v>
      </c>
      <c r="I130" s="17"/>
      <c r="J130" s="17"/>
      <c r="K130" s="17"/>
      <c r="L130" s="17"/>
      <c r="M130" s="17"/>
      <c r="N130" s="17"/>
    </row>
    <row r="131" spans="2:16" s="74" customFormat="1" x14ac:dyDescent="0.2">
      <c r="B131" s="66"/>
      <c r="C131" s="66"/>
      <c r="D131" s="82"/>
      <c r="I131" s="17"/>
      <c r="J131" s="17"/>
      <c r="K131" s="17"/>
      <c r="L131" s="17"/>
      <c r="M131" s="17"/>
      <c r="N131" s="17"/>
    </row>
    <row r="132" spans="2:16" s="74" customFormat="1" x14ac:dyDescent="0.2">
      <c r="B132" s="66" t="s">
        <v>624</v>
      </c>
      <c r="C132" s="66"/>
      <c r="D132" s="83">
        <v>3.8915419707637948</v>
      </c>
      <c r="I132" s="17"/>
      <c r="J132" s="17"/>
      <c r="K132" s="17"/>
      <c r="L132" s="17"/>
      <c r="M132" s="17"/>
      <c r="N132" s="17"/>
    </row>
    <row r="133" spans="2:16" s="74" customFormat="1" x14ac:dyDescent="0.2">
      <c r="B133" s="66" t="s">
        <v>625</v>
      </c>
      <c r="C133" s="66"/>
      <c r="D133" s="83">
        <v>4.9041531025012404</v>
      </c>
      <c r="I133" s="17"/>
      <c r="J133" s="17"/>
      <c r="K133" s="17"/>
      <c r="L133" s="17"/>
      <c r="M133" s="17"/>
      <c r="N133" s="17"/>
    </row>
    <row r="134" spans="2:16" s="74" customFormat="1" x14ac:dyDescent="0.2">
      <c r="B134" s="66"/>
      <c r="C134" s="66"/>
      <c r="D134" s="82"/>
      <c r="I134" s="17"/>
      <c r="J134" s="17"/>
      <c r="K134" s="17"/>
      <c r="L134" s="17"/>
      <c r="M134" s="17"/>
      <c r="N134" s="17"/>
    </row>
    <row r="135" spans="2:16" s="74" customFormat="1" x14ac:dyDescent="0.2">
      <c r="B135" s="66" t="s">
        <v>626</v>
      </c>
      <c r="C135" s="66"/>
      <c r="D135" s="85" t="s">
        <v>750</v>
      </c>
      <c r="I135" s="17"/>
      <c r="J135" s="72"/>
      <c r="K135" s="72"/>
      <c r="L135" s="72"/>
      <c r="M135" s="72"/>
      <c r="N135" s="78"/>
    </row>
    <row r="136" spans="2:16" s="74" customFormat="1" x14ac:dyDescent="0.2">
      <c r="B136" s="86" t="s">
        <v>627</v>
      </c>
      <c r="C136" s="87"/>
      <c r="D136" s="88"/>
      <c r="I136" s="17"/>
      <c r="J136" s="17"/>
      <c r="K136" s="17"/>
      <c r="L136" s="17"/>
      <c r="M136" s="17"/>
      <c r="N136" s="17"/>
      <c r="O136" s="17"/>
      <c r="P136" s="17"/>
    </row>
    <row r="138" spans="2:16" x14ac:dyDescent="0.2">
      <c r="B138" s="90" t="s">
        <v>628</v>
      </c>
    </row>
    <row r="139" spans="2:16" ht="153.75" customHeight="1" x14ac:dyDescent="0.2"/>
    <row r="142" spans="2:16" x14ac:dyDescent="0.2">
      <c r="B142" s="91" t="s">
        <v>629</v>
      </c>
      <c r="C142" s="92"/>
      <c r="D142" s="91"/>
    </row>
    <row r="143" spans="2:16" x14ac:dyDescent="0.2">
      <c r="B143" s="91" t="s">
        <v>726</v>
      </c>
      <c r="D143" s="91"/>
    </row>
    <row r="144" spans="2:16" ht="165" customHeight="1" x14ac:dyDescent="0.2"/>
  </sheetData>
  <mergeCells count="36">
    <mergeCell ref="B90:H90"/>
    <mergeCell ref="B92:D92"/>
    <mergeCell ref="B93:C93"/>
    <mergeCell ref="B94:C94"/>
    <mergeCell ref="B107:C107"/>
    <mergeCell ref="A1:H1"/>
    <mergeCell ref="A2:H2"/>
    <mergeCell ref="A3:H3"/>
    <mergeCell ref="B88:H88"/>
    <mergeCell ref="B89:H89"/>
    <mergeCell ref="B95:C95"/>
    <mergeCell ref="B112:C112"/>
    <mergeCell ref="B117:G117"/>
    <mergeCell ref="D118:E118"/>
    <mergeCell ref="F118:G118"/>
    <mergeCell ref="B113:C113"/>
    <mergeCell ref="B114:C114"/>
    <mergeCell ref="B115:C115"/>
    <mergeCell ref="D119:E119"/>
    <mergeCell ref="F119:G119"/>
    <mergeCell ref="B120:G120"/>
    <mergeCell ref="B121:B122"/>
    <mergeCell ref="C121:C122"/>
    <mergeCell ref="D121:F121"/>
    <mergeCell ref="B124:G124"/>
    <mergeCell ref="B126:D126"/>
    <mergeCell ref="B127:C127"/>
    <mergeCell ref="B128:C128"/>
    <mergeCell ref="B129:C129"/>
    <mergeCell ref="B135:C135"/>
    <mergeCell ref="B136:D136"/>
    <mergeCell ref="B130:C130"/>
    <mergeCell ref="B131:C131"/>
    <mergeCell ref="B132:C132"/>
    <mergeCell ref="B133:C133"/>
    <mergeCell ref="B134:C134"/>
  </mergeCells>
  <hyperlinks>
    <hyperlink ref="I1" location="Index!B2" display="Index" xr:uid="{68EF01C9-8498-4D32-8B64-3FD76AEC64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7992-0263-4B1B-9670-30E24A219C71}">
  <sheetPr>
    <outlinePr summaryBelow="0" summaryRight="0"/>
  </sheetPr>
  <dimension ref="A1:R180"/>
  <sheetViews>
    <sheetView showGridLines="0" workbookViewId="0">
      <selection sqref="A1:H1"/>
    </sheetView>
  </sheetViews>
  <sheetFormatPr defaultRowHeight="12.75" x14ac:dyDescent="0.2"/>
  <cols>
    <col min="1" max="1" width="5.85546875" style="17" bestFit="1" customWidth="1"/>
    <col min="2" max="2" width="20.7109375" style="17" customWidth="1"/>
    <col min="3" max="3" width="43" style="17" bestFit="1" customWidth="1"/>
    <col min="4" max="4" width="29.28515625" style="17" bestFit="1" customWidth="1"/>
    <col min="5" max="5" width="8.7109375" style="17" bestFit="1" customWidth="1"/>
    <col min="6" max="6" width="10.140625" style="17" bestFit="1" customWidth="1"/>
    <col min="7" max="7" width="14" style="17" bestFit="1" customWidth="1"/>
    <col min="8" max="8" width="9.85546875" style="17" bestFit="1" customWidth="1"/>
    <col min="9" max="16384" width="9.140625" style="17"/>
  </cols>
  <sheetData>
    <row r="1" spans="1:10" ht="15" x14ac:dyDescent="0.2">
      <c r="A1" s="16" t="s">
        <v>0</v>
      </c>
      <c r="B1" s="16"/>
      <c r="C1" s="16"/>
      <c r="D1" s="16"/>
      <c r="E1" s="16"/>
      <c r="F1" s="16"/>
      <c r="G1" s="16"/>
      <c r="H1" s="16"/>
      <c r="I1" s="1" t="s">
        <v>599</v>
      </c>
    </row>
    <row r="2" spans="1:10" ht="15" x14ac:dyDescent="0.2">
      <c r="A2" s="16" t="s">
        <v>529</v>
      </c>
      <c r="B2" s="16"/>
      <c r="C2" s="16"/>
      <c r="D2" s="16"/>
      <c r="E2" s="16"/>
      <c r="F2" s="16"/>
      <c r="G2" s="16"/>
      <c r="H2" s="16"/>
    </row>
    <row r="3" spans="1:10" ht="15" x14ac:dyDescent="0.2">
      <c r="A3" s="16" t="s">
        <v>600</v>
      </c>
      <c r="B3" s="16"/>
      <c r="C3" s="16"/>
      <c r="D3" s="16"/>
      <c r="E3" s="16"/>
      <c r="F3" s="16"/>
      <c r="G3" s="16"/>
      <c r="H3" s="16"/>
    </row>
    <row r="4" spans="1:10" s="20" customFormat="1" ht="30" x14ac:dyDescent="0.2">
      <c r="A4" s="18" t="s">
        <v>2</v>
      </c>
      <c r="B4" s="18" t="s">
        <v>3</v>
      </c>
      <c r="C4" s="18" t="s">
        <v>4</v>
      </c>
      <c r="D4" s="18" t="s">
        <v>5</v>
      </c>
      <c r="E4" s="18" t="s">
        <v>6</v>
      </c>
      <c r="F4" s="18" t="s">
        <v>7</v>
      </c>
      <c r="G4" s="18" t="s">
        <v>8</v>
      </c>
      <c r="H4" s="19" t="s">
        <v>598</v>
      </c>
    </row>
    <row r="5" spans="1:10" x14ac:dyDescent="0.2">
      <c r="A5" s="21"/>
      <c r="B5" s="21"/>
      <c r="C5" s="22" t="s">
        <v>9</v>
      </c>
      <c r="D5" s="21"/>
      <c r="E5" s="21"/>
      <c r="F5" s="21"/>
      <c r="G5" s="21"/>
      <c r="H5" s="23" t="s">
        <v>12</v>
      </c>
    </row>
    <row r="6" spans="1:10" x14ac:dyDescent="0.2">
      <c r="A6" s="24"/>
      <c r="B6" s="24"/>
      <c r="C6" s="25" t="s">
        <v>10</v>
      </c>
      <c r="D6" s="24"/>
      <c r="E6" s="24"/>
      <c r="F6" s="24"/>
      <c r="G6" s="24"/>
      <c r="H6" s="23" t="s">
        <v>12</v>
      </c>
    </row>
    <row r="7" spans="1:10" x14ac:dyDescent="0.2">
      <c r="A7" s="31">
        <v>1</v>
      </c>
      <c r="B7" s="32" t="s">
        <v>530</v>
      </c>
      <c r="C7" s="32" t="s">
        <v>531</v>
      </c>
      <c r="D7" s="32" t="s">
        <v>532</v>
      </c>
      <c r="E7" s="33">
        <v>4250</v>
      </c>
      <c r="F7" s="34">
        <v>85.063749999999999</v>
      </c>
      <c r="G7" s="35">
        <v>3.1255209999999999E-2</v>
      </c>
      <c r="H7" s="23" t="s">
        <v>12</v>
      </c>
    </row>
    <row r="8" spans="1:10" x14ac:dyDescent="0.2">
      <c r="A8" s="31">
        <v>2</v>
      </c>
      <c r="B8" s="32" t="s">
        <v>533</v>
      </c>
      <c r="C8" s="32" t="s">
        <v>534</v>
      </c>
      <c r="D8" s="32" t="s">
        <v>532</v>
      </c>
      <c r="E8" s="33">
        <v>4200</v>
      </c>
      <c r="F8" s="34">
        <v>60.723599999999998</v>
      </c>
      <c r="G8" s="35">
        <v>2.2311839999999999E-2</v>
      </c>
      <c r="H8" s="23" t="s">
        <v>12</v>
      </c>
    </row>
    <row r="9" spans="1:10" x14ac:dyDescent="0.2">
      <c r="A9" s="31">
        <v>3</v>
      </c>
      <c r="B9" s="32" t="s">
        <v>535</v>
      </c>
      <c r="C9" s="32" t="s">
        <v>536</v>
      </c>
      <c r="D9" s="32" t="s">
        <v>537</v>
      </c>
      <c r="E9" s="33">
        <v>3400</v>
      </c>
      <c r="F9" s="34">
        <v>51.020400000000002</v>
      </c>
      <c r="G9" s="35">
        <v>1.8746570000000001E-2</v>
      </c>
      <c r="H9" s="23" t="s">
        <v>12</v>
      </c>
    </row>
    <row r="10" spans="1:10" x14ac:dyDescent="0.2">
      <c r="A10" s="31">
        <v>4</v>
      </c>
      <c r="B10" s="32" t="s">
        <v>538</v>
      </c>
      <c r="C10" s="32" t="s">
        <v>539</v>
      </c>
      <c r="D10" s="32" t="s">
        <v>540</v>
      </c>
      <c r="E10" s="33">
        <v>2500</v>
      </c>
      <c r="F10" s="34">
        <v>50.24</v>
      </c>
      <c r="G10" s="35">
        <v>1.8459819999999998E-2</v>
      </c>
      <c r="H10" s="23" t="s">
        <v>12</v>
      </c>
    </row>
    <row r="11" spans="1:10" x14ac:dyDescent="0.2">
      <c r="A11" s="31">
        <v>5</v>
      </c>
      <c r="B11" s="32" t="s">
        <v>541</v>
      </c>
      <c r="C11" s="32" t="s">
        <v>542</v>
      </c>
      <c r="D11" s="32" t="s">
        <v>543</v>
      </c>
      <c r="E11" s="33">
        <v>1848</v>
      </c>
      <c r="F11" s="34">
        <v>31.944527999999998</v>
      </c>
      <c r="G11" s="35">
        <v>1.173747E-2</v>
      </c>
      <c r="H11" s="23" t="s">
        <v>12</v>
      </c>
    </row>
    <row r="12" spans="1:10" x14ac:dyDescent="0.2">
      <c r="A12" s="31">
        <v>6</v>
      </c>
      <c r="B12" s="32" t="s">
        <v>544</v>
      </c>
      <c r="C12" s="32" t="s">
        <v>545</v>
      </c>
      <c r="D12" s="32" t="s">
        <v>543</v>
      </c>
      <c r="E12" s="33">
        <v>1750</v>
      </c>
      <c r="F12" s="34">
        <v>28.031500000000001</v>
      </c>
      <c r="G12" s="35">
        <v>1.029969E-2</v>
      </c>
      <c r="H12" s="23" t="s">
        <v>12</v>
      </c>
    </row>
    <row r="13" spans="1:10" x14ac:dyDescent="0.2">
      <c r="A13" s="93">
        <v>7</v>
      </c>
      <c r="B13" s="94" t="s">
        <v>727</v>
      </c>
      <c r="C13" s="94" t="s">
        <v>728</v>
      </c>
      <c r="D13" s="94" t="s">
        <v>729</v>
      </c>
      <c r="E13" s="95">
        <v>30000</v>
      </c>
      <c r="F13" s="96">
        <f>2718300/10^5</f>
        <v>27.183</v>
      </c>
      <c r="G13" s="97">
        <f>F13/F99</f>
        <v>9.9879228903487199E-3</v>
      </c>
      <c r="H13" s="23" t="s">
        <v>12</v>
      </c>
      <c r="J13" s="98"/>
    </row>
    <row r="14" spans="1:10" x14ac:dyDescent="0.2">
      <c r="A14" s="31">
        <v>7</v>
      </c>
      <c r="B14" s="32" t="s">
        <v>546</v>
      </c>
      <c r="C14" s="32" t="s">
        <v>547</v>
      </c>
      <c r="D14" s="32" t="s">
        <v>532</v>
      </c>
      <c r="E14" s="33">
        <v>2000</v>
      </c>
      <c r="F14" s="34">
        <v>23.984000000000002</v>
      </c>
      <c r="G14" s="35">
        <v>8.8125100000000008E-3</v>
      </c>
      <c r="H14" s="23" t="s">
        <v>12</v>
      </c>
    </row>
    <row r="15" spans="1:10" x14ac:dyDescent="0.2">
      <c r="A15" s="31">
        <v>8</v>
      </c>
      <c r="B15" s="32" t="s">
        <v>548</v>
      </c>
      <c r="C15" s="32" t="s">
        <v>549</v>
      </c>
      <c r="D15" s="32" t="s">
        <v>532</v>
      </c>
      <c r="E15" s="33">
        <v>2600</v>
      </c>
      <c r="F15" s="34">
        <v>21.3291</v>
      </c>
      <c r="G15" s="35">
        <v>7.8370100000000002E-3</v>
      </c>
      <c r="H15" s="23" t="s">
        <v>12</v>
      </c>
    </row>
    <row r="16" spans="1:10" x14ac:dyDescent="0.2">
      <c r="A16" s="31">
        <v>9</v>
      </c>
      <c r="B16" s="32" t="s">
        <v>550</v>
      </c>
      <c r="C16" s="32" t="s">
        <v>551</v>
      </c>
      <c r="D16" s="32" t="s">
        <v>552</v>
      </c>
      <c r="E16" s="33">
        <v>4000</v>
      </c>
      <c r="F16" s="34">
        <v>16.658000000000001</v>
      </c>
      <c r="G16" s="35">
        <v>6.1206999999999998E-3</v>
      </c>
      <c r="H16" s="23" t="s">
        <v>12</v>
      </c>
    </row>
    <row r="17" spans="1:8" x14ac:dyDescent="0.2">
      <c r="A17" s="31">
        <v>10</v>
      </c>
      <c r="B17" s="32" t="s">
        <v>553</v>
      </c>
      <c r="C17" s="32" t="s">
        <v>554</v>
      </c>
      <c r="D17" s="32" t="s">
        <v>537</v>
      </c>
      <c r="E17" s="33">
        <v>5000</v>
      </c>
      <c r="F17" s="34">
        <v>16.5975</v>
      </c>
      <c r="G17" s="35">
        <v>6.0984699999999999E-3</v>
      </c>
      <c r="H17" s="23" t="s">
        <v>12</v>
      </c>
    </row>
    <row r="18" spans="1:8" x14ac:dyDescent="0.2">
      <c r="A18" s="31">
        <v>11</v>
      </c>
      <c r="B18" s="32" t="s">
        <v>555</v>
      </c>
      <c r="C18" s="32" t="s">
        <v>556</v>
      </c>
      <c r="D18" s="32" t="s">
        <v>557</v>
      </c>
      <c r="E18" s="33">
        <v>125</v>
      </c>
      <c r="F18" s="34">
        <v>15.116250000000001</v>
      </c>
      <c r="G18" s="35">
        <v>5.5542100000000004E-3</v>
      </c>
      <c r="H18" s="23" t="s">
        <v>12</v>
      </c>
    </row>
    <row r="19" spans="1:8" x14ac:dyDescent="0.2">
      <c r="A19" s="31">
        <v>12</v>
      </c>
      <c r="B19" s="32" t="s">
        <v>558</v>
      </c>
      <c r="C19" s="32" t="s">
        <v>559</v>
      </c>
      <c r="D19" s="32" t="s">
        <v>560</v>
      </c>
      <c r="E19" s="33">
        <v>400</v>
      </c>
      <c r="F19" s="34">
        <v>14.6792</v>
      </c>
      <c r="G19" s="35">
        <v>5.39362E-3</v>
      </c>
      <c r="H19" s="23" t="s">
        <v>12</v>
      </c>
    </row>
    <row r="20" spans="1:8" x14ac:dyDescent="0.2">
      <c r="A20" s="31">
        <v>13</v>
      </c>
      <c r="B20" s="32" t="s">
        <v>561</v>
      </c>
      <c r="C20" s="32" t="s">
        <v>562</v>
      </c>
      <c r="D20" s="32" t="s">
        <v>532</v>
      </c>
      <c r="E20" s="33">
        <v>675</v>
      </c>
      <c r="F20" s="34">
        <v>14.603624999999999</v>
      </c>
      <c r="G20" s="35">
        <v>5.3658500000000001E-3</v>
      </c>
      <c r="H20" s="23" t="s">
        <v>12</v>
      </c>
    </row>
    <row r="21" spans="1:8" x14ac:dyDescent="0.2">
      <c r="A21" s="31">
        <v>14</v>
      </c>
      <c r="B21" s="32" t="s">
        <v>563</v>
      </c>
      <c r="C21" s="32" t="s">
        <v>564</v>
      </c>
      <c r="D21" s="32" t="s">
        <v>565</v>
      </c>
      <c r="E21" s="33">
        <v>2000</v>
      </c>
      <c r="F21" s="34">
        <v>14.446999999999999</v>
      </c>
      <c r="G21" s="35">
        <v>5.3083000000000002E-3</v>
      </c>
      <c r="H21" s="23" t="s">
        <v>12</v>
      </c>
    </row>
    <row r="22" spans="1:8" x14ac:dyDescent="0.2">
      <c r="A22" s="31">
        <v>15</v>
      </c>
      <c r="B22" s="32" t="s">
        <v>566</v>
      </c>
      <c r="C22" s="32" t="s">
        <v>567</v>
      </c>
      <c r="D22" s="32" t="s">
        <v>568</v>
      </c>
      <c r="E22" s="33">
        <v>2000</v>
      </c>
      <c r="F22" s="34">
        <v>14.036</v>
      </c>
      <c r="G22" s="35">
        <v>5.1572900000000001E-3</v>
      </c>
      <c r="H22" s="23" t="s">
        <v>12</v>
      </c>
    </row>
    <row r="23" spans="1:8" x14ac:dyDescent="0.2">
      <c r="A23" s="31">
        <v>16</v>
      </c>
      <c r="B23" s="32" t="s">
        <v>569</v>
      </c>
      <c r="C23" s="32" t="s">
        <v>570</v>
      </c>
      <c r="D23" s="32" t="s">
        <v>571</v>
      </c>
      <c r="E23" s="33">
        <v>160</v>
      </c>
      <c r="F23" s="34">
        <v>13.4016</v>
      </c>
      <c r="G23" s="35">
        <v>4.9241900000000002E-3</v>
      </c>
      <c r="H23" s="23" t="s">
        <v>12</v>
      </c>
    </row>
    <row r="24" spans="1:8" x14ac:dyDescent="0.2">
      <c r="A24" s="31">
        <v>17</v>
      </c>
      <c r="B24" s="32" t="s">
        <v>572</v>
      </c>
      <c r="C24" s="32" t="s">
        <v>573</v>
      </c>
      <c r="D24" s="32" t="s">
        <v>574</v>
      </c>
      <c r="E24" s="33">
        <v>2000</v>
      </c>
      <c r="F24" s="34">
        <v>13.157999999999999</v>
      </c>
      <c r="G24" s="35">
        <v>4.8346800000000001E-3</v>
      </c>
      <c r="H24" s="23" t="s">
        <v>12</v>
      </c>
    </row>
    <row r="25" spans="1:8" x14ac:dyDescent="0.2">
      <c r="A25" s="31">
        <v>18</v>
      </c>
      <c r="B25" s="32" t="s">
        <v>575</v>
      </c>
      <c r="C25" s="32" t="s">
        <v>576</v>
      </c>
      <c r="D25" s="32" t="s">
        <v>577</v>
      </c>
      <c r="E25" s="33">
        <v>320</v>
      </c>
      <c r="F25" s="34">
        <v>13.13504</v>
      </c>
      <c r="G25" s="35">
        <v>4.8262399999999999E-3</v>
      </c>
      <c r="H25" s="23" t="s">
        <v>12</v>
      </c>
    </row>
    <row r="26" spans="1:8" x14ac:dyDescent="0.2">
      <c r="A26" s="31">
        <v>19</v>
      </c>
      <c r="B26" s="32" t="s">
        <v>578</v>
      </c>
      <c r="C26" s="32" t="s">
        <v>579</v>
      </c>
      <c r="D26" s="32" t="s">
        <v>580</v>
      </c>
      <c r="E26" s="33">
        <v>900</v>
      </c>
      <c r="F26" s="34">
        <v>12.8529</v>
      </c>
      <c r="G26" s="35">
        <v>4.7225799999999997E-3</v>
      </c>
      <c r="H26" s="23" t="s">
        <v>12</v>
      </c>
    </row>
    <row r="27" spans="1:8" x14ac:dyDescent="0.2">
      <c r="A27" s="31">
        <v>20</v>
      </c>
      <c r="B27" s="32" t="s">
        <v>581</v>
      </c>
      <c r="C27" s="32" t="s">
        <v>582</v>
      </c>
      <c r="D27" s="32" t="s">
        <v>557</v>
      </c>
      <c r="E27" s="33">
        <v>450</v>
      </c>
      <c r="F27" s="34">
        <v>12.80025</v>
      </c>
      <c r="G27" s="35">
        <v>4.7032300000000001E-3</v>
      </c>
      <c r="H27" s="23" t="s">
        <v>12</v>
      </c>
    </row>
    <row r="28" spans="1:8" x14ac:dyDescent="0.2">
      <c r="A28" s="31">
        <v>21</v>
      </c>
      <c r="B28" s="32" t="s">
        <v>583</v>
      </c>
      <c r="C28" s="32" t="s">
        <v>584</v>
      </c>
      <c r="D28" s="32" t="s">
        <v>571</v>
      </c>
      <c r="E28" s="33">
        <v>100</v>
      </c>
      <c r="F28" s="34">
        <v>12.4</v>
      </c>
      <c r="G28" s="35">
        <v>4.55617E-3</v>
      </c>
      <c r="H28" s="23" t="s">
        <v>12</v>
      </c>
    </row>
    <row r="29" spans="1:8" x14ac:dyDescent="0.2">
      <c r="A29" s="31">
        <v>22</v>
      </c>
      <c r="B29" s="32" t="s">
        <v>585</v>
      </c>
      <c r="C29" s="32" t="s">
        <v>586</v>
      </c>
      <c r="D29" s="32" t="s">
        <v>587</v>
      </c>
      <c r="E29" s="33">
        <v>250</v>
      </c>
      <c r="F29" s="34">
        <v>12.3475</v>
      </c>
      <c r="G29" s="35">
        <v>4.5368800000000001E-3</v>
      </c>
      <c r="H29" s="23" t="s">
        <v>12</v>
      </c>
    </row>
    <row r="30" spans="1:8" x14ac:dyDescent="0.2">
      <c r="A30" s="24"/>
      <c r="B30" s="24"/>
      <c r="C30" s="25" t="s">
        <v>11</v>
      </c>
      <c r="D30" s="24"/>
      <c r="E30" s="24" t="s">
        <v>12</v>
      </c>
      <c r="F30" s="30">
        <f>SUM(F7:F29)</f>
        <v>575.7527429999999</v>
      </c>
      <c r="G30" s="27">
        <f>SUM(G7:G29)</f>
        <v>0.21155045289034874</v>
      </c>
      <c r="H30" s="23" t="s">
        <v>12</v>
      </c>
    </row>
    <row r="31" spans="1:8" x14ac:dyDescent="0.2">
      <c r="A31" s="24"/>
      <c r="B31" s="24"/>
      <c r="C31" s="28"/>
      <c r="D31" s="24"/>
      <c r="E31" s="24"/>
      <c r="F31" s="29"/>
      <c r="G31" s="29"/>
      <c r="H31" s="23" t="s">
        <v>12</v>
      </c>
    </row>
    <row r="32" spans="1:8" x14ac:dyDescent="0.2">
      <c r="A32" s="24"/>
      <c r="B32" s="24"/>
      <c r="C32" s="25" t="s">
        <v>14</v>
      </c>
      <c r="D32" s="24"/>
      <c r="E32" s="24"/>
      <c r="F32" s="24"/>
      <c r="G32" s="24"/>
      <c r="H32" s="23" t="s">
        <v>12</v>
      </c>
    </row>
    <row r="33" spans="1:8" x14ac:dyDescent="0.2">
      <c r="A33" s="24"/>
      <c r="B33" s="24"/>
      <c r="C33" s="25" t="s">
        <v>11</v>
      </c>
      <c r="D33" s="24"/>
      <c r="E33" s="24" t="s">
        <v>12</v>
      </c>
      <c r="F33" s="26" t="s">
        <v>13</v>
      </c>
      <c r="G33" s="27">
        <v>0</v>
      </c>
      <c r="H33" s="23" t="s">
        <v>12</v>
      </c>
    </row>
    <row r="34" spans="1:8" x14ac:dyDescent="0.2">
      <c r="A34" s="24"/>
      <c r="B34" s="24"/>
      <c r="C34" s="28"/>
      <c r="D34" s="24"/>
      <c r="E34" s="24"/>
      <c r="F34" s="29"/>
      <c r="G34" s="29"/>
      <c r="H34" s="23" t="s">
        <v>12</v>
      </c>
    </row>
    <row r="35" spans="1:8" x14ac:dyDescent="0.2">
      <c r="A35" s="24"/>
      <c r="B35" s="24"/>
      <c r="C35" s="25" t="s">
        <v>15</v>
      </c>
      <c r="D35" s="24"/>
      <c r="E35" s="24"/>
      <c r="F35" s="24"/>
      <c r="G35" s="24"/>
      <c r="H35" s="23" t="s">
        <v>12</v>
      </c>
    </row>
    <row r="36" spans="1:8" x14ac:dyDescent="0.2">
      <c r="A36" s="24"/>
      <c r="B36" s="24"/>
      <c r="C36" s="25" t="s">
        <v>11</v>
      </c>
      <c r="D36" s="24"/>
      <c r="E36" s="24" t="s">
        <v>12</v>
      </c>
      <c r="F36" s="26" t="s">
        <v>13</v>
      </c>
      <c r="G36" s="27">
        <v>0</v>
      </c>
      <c r="H36" s="23" t="s">
        <v>12</v>
      </c>
    </row>
    <row r="37" spans="1:8" x14ac:dyDescent="0.2">
      <c r="A37" s="24"/>
      <c r="B37" s="24"/>
      <c r="C37" s="28"/>
      <c r="D37" s="24"/>
      <c r="E37" s="24"/>
      <c r="F37" s="29"/>
      <c r="G37" s="29"/>
      <c r="H37" s="23" t="s">
        <v>12</v>
      </c>
    </row>
    <row r="38" spans="1:8" x14ac:dyDescent="0.2">
      <c r="A38" s="24"/>
      <c r="B38" s="24"/>
      <c r="C38" s="25" t="s">
        <v>16</v>
      </c>
      <c r="D38" s="24"/>
      <c r="E38" s="24"/>
      <c r="F38" s="24"/>
      <c r="G38" s="24"/>
      <c r="H38" s="23" t="s">
        <v>12</v>
      </c>
    </row>
    <row r="39" spans="1:8" x14ac:dyDescent="0.2">
      <c r="A39" s="31">
        <v>1</v>
      </c>
      <c r="B39" s="32" t="s">
        <v>588</v>
      </c>
      <c r="C39" s="32" t="s">
        <v>730</v>
      </c>
      <c r="D39" s="32" t="s">
        <v>540</v>
      </c>
      <c r="E39" s="33">
        <v>218</v>
      </c>
      <c r="F39" s="34">
        <v>3.334419</v>
      </c>
      <c r="G39" s="35">
        <v>1.22518E-3</v>
      </c>
      <c r="H39" s="23" t="s">
        <v>12</v>
      </c>
    </row>
    <row r="40" spans="1:8" x14ac:dyDescent="0.2">
      <c r="A40" s="24"/>
      <c r="B40" s="24"/>
      <c r="C40" s="25" t="s">
        <v>11</v>
      </c>
      <c r="D40" s="24"/>
      <c r="E40" s="24" t="s">
        <v>12</v>
      </c>
      <c r="F40" s="30">
        <v>3.334419</v>
      </c>
      <c r="G40" s="27">
        <v>1.22518E-3</v>
      </c>
      <c r="H40" s="23" t="s">
        <v>12</v>
      </c>
    </row>
    <row r="41" spans="1:8" x14ac:dyDescent="0.2">
      <c r="A41" s="24"/>
      <c r="B41" s="24"/>
      <c r="C41" s="28"/>
      <c r="D41" s="24"/>
      <c r="E41" s="24"/>
      <c r="F41" s="29"/>
      <c r="G41" s="29"/>
      <c r="H41" s="23" t="s">
        <v>12</v>
      </c>
    </row>
    <row r="42" spans="1:8" x14ac:dyDescent="0.2">
      <c r="A42" s="24"/>
      <c r="B42" s="24"/>
      <c r="C42" s="25" t="s">
        <v>17</v>
      </c>
      <c r="D42" s="24"/>
      <c r="E42" s="24"/>
      <c r="F42" s="29"/>
      <c r="G42" s="29"/>
      <c r="H42" s="23" t="s">
        <v>12</v>
      </c>
    </row>
    <row r="43" spans="1:8" x14ac:dyDescent="0.2">
      <c r="A43" s="24"/>
      <c r="B43" s="24"/>
      <c r="C43" s="25" t="s">
        <v>11</v>
      </c>
      <c r="D43" s="24"/>
      <c r="E43" s="24" t="s">
        <v>12</v>
      </c>
      <c r="F43" s="26" t="s">
        <v>13</v>
      </c>
      <c r="G43" s="27">
        <v>0</v>
      </c>
      <c r="H43" s="23" t="s">
        <v>12</v>
      </c>
    </row>
    <row r="44" spans="1:8" x14ac:dyDescent="0.2">
      <c r="A44" s="24"/>
      <c r="B44" s="24"/>
      <c r="C44" s="28"/>
      <c r="D44" s="24"/>
      <c r="E44" s="24"/>
      <c r="F44" s="29"/>
      <c r="G44" s="29"/>
      <c r="H44" s="23" t="s">
        <v>12</v>
      </c>
    </row>
    <row r="45" spans="1:8" x14ac:dyDescent="0.2">
      <c r="A45" s="24"/>
      <c r="B45" s="24"/>
      <c r="C45" s="25" t="s">
        <v>18</v>
      </c>
      <c r="D45" s="24"/>
      <c r="E45" s="24"/>
      <c r="F45" s="29"/>
      <c r="G45" s="29"/>
      <c r="H45" s="23" t="s">
        <v>12</v>
      </c>
    </row>
    <row r="46" spans="1:8" x14ac:dyDescent="0.2">
      <c r="A46" s="24"/>
      <c r="B46" s="24"/>
      <c r="C46" s="25" t="s">
        <v>11</v>
      </c>
      <c r="D46" s="24"/>
      <c r="E46" s="24" t="s">
        <v>12</v>
      </c>
      <c r="F46" s="26" t="s">
        <v>13</v>
      </c>
      <c r="G46" s="27">
        <v>0</v>
      </c>
      <c r="H46" s="23" t="s">
        <v>12</v>
      </c>
    </row>
    <row r="47" spans="1:8" x14ac:dyDescent="0.2">
      <c r="A47" s="24"/>
      <c r="B47" s="24"/>
      <c r="C47" s="28"/>
      <c r="D47" s="24"/>
      <c r="E47" s="24"/>
      <c r="F47" s="29"/>
      <c r="G47" s="29"/>
      <c r="H47" s="23" t="s">
        <v>12</v>
      </c>
    </row>
    <row r="48" spans="1:8" x14ac:dyDescent="0.2">
      <c r="A48" s="24"/>
      <c r="B48" s="24"/>
      <c r="C48" s="25" t="s">
        <v>19</v>
      </c>
      <c r="D48" s="24"/>
      <c r="E48" s="24"/>
      <c r="F48" s="30">
        <f>F40+F30</f>
        <v>579.08716199999992</v>
      </c>
      <c r="G48" s="27">
        <f>G40+G30</f>
        <v>0.21277563289034873</v>
      </c>
      <c r="H48" s="23" t="s">
        <v>12</v>
      </c>
    </row>
    <row r="49" spans="1:8" x14ac:dyDescent="0.2">
      <c r="A49" s="24"/>
      <c r="B49" s="24"/>
      <c r="C49" s="28"/>
      <c r="D49" s="24"/>
      <c r="E49" s="24"/>
      <c r="F49" s="29"/>
      <c r="G49" s="29"/>
      <c r="H49" s="23" t="s">
        <v>12</v>
      </c>
    </row>
    <row r="50" spans="1:8" x14ac:dyDescent="0.2">
      <c r="A50" s="24"/>
      <c r="B50" s="24"/>
      <c r="C50" s="25" t="s">
        <v>20</v>
      </c>
      <c r="D50" s="24"/>
      <c r="E50" s="24"/>
      <c r="F50" s="29"/>
      <c r="G50" s="29"/>
      <c r="H50" s="23" t="s">
        <v>12</v>
      </c>
    </row>
    <row r="51" spans="1:8" x14ac:dyDescent="0.2">
      <c r="A51" s="24"/>
      <c r="B51" s="24"/>
      <c r="C51" s="25" t="s">
        <v>10</v>
      </c>
      <c r="D51" s="24"/>
      <c r="E51" s="24"/>
      <c r="F51" s="29"/>
      <c r="G51" s="29"/>
      <c r="H51" s="23" t="s">
        <v>12</v>
      </c>
    </row>
    <row r="52" spans="1:8" x14ac:dyDescent="0.2">
      <c r="A52" s="24"/>
      <c r="B52" s="24"/>
      <c r="C52" s="25" t="s">
        <v>11</v>
      </c>
      <c r="D52" s="24"/>
      <c r="E52" s="24" t="s">
        <v>12</v>
      </c>
      <c r="F52" s="26" t="s">
        <v>13</v>
      </c>
      <c r="G52" s="27">
        <v>0</v>
      </c>
      <c r="H52" s="23" t="s">
        <v>12</v>
      </c>
    </row>
    <row r="53" spans="1:8" x14ac:dyDescent="0.2">
      <c r="A53" s="24"/>
      <c r="B53" s="24"/>
      <c r="C53" s="28"/>
      <c r="D53" s="24"/>
      <c r="E53" s="24"/>
      <c r="F53" s="29"/>
      <c r="G53" s="29"/>
      <c r="H53" s="23" t="s">
        <v>12</v>
      </c>
    </row>
    <row r="54" spans="1:8" x14ac:dyDescent="0.2">
      <c r="A54" s="24"/>
      <c r="B54" s="24"/>
      <c r="C54" s="25" t="s">
        <v>77</v>
      </c>
      <c r="D54" s="24"/>
      <c r="E54" s="24"/>
      <c r="F54" s="24"/>
      <c r="G54" s="24"/>
      <c r="H54" s="23" t="s">
        <v>12</v>
      </c>
    </row>
    <row r="55" spans="1:8" x14ac:dyDescent="0.2">
      <c r="A55" s="24"/>
      <c r="B55" s="24"/>
      <c r="C55" s="25" t="s">
        <v>11</v>
      </c>
      <c r="D55" s="24"/>
      <c r="E55" s="24" t="s">
        <v>12</v>
      </c>
      <c r="F55" s="26" t="s">
        <v>13</v>
      </c>
      <c r="G55" s="27">
        <v>0</v>
      </c>
      <c r="H55" s="23" t="s">
        <v>12</v>
      </c>
    </row>
    <row r="56" spans="1:8" x14ac:dyDescent="0.2">
      <c r="A56" s="24"/>
      <c r="B56" s="24"/>
      <c r="C56" s="28"/>
      <c r="D56" s="24"/>
      <c r="E56" s="24"/>
      <c r="F56" s="29"/>
      <c r="G56" s="29"/>
      <c r="H56" s="23" t="s">
        <v>12</v>
      </c>
    </row>
    <row r="57" spans="1:8" x14ac:dyDescent="0.2">
      <c r="A57" s="24"/>
      <c r="B57" s="24"/>
      <c r="C57" s="25" t="s">
        <v>78</v>
      </c>
      <c r="D57" s="24"/>
      <c r="E57" s="24"/>
      <c r="F57" s="24"/>
      <c r="G57" s="24"/>
      <c r="H57" s="23" t="s">
        <v>12</v>
      </c>
    </row>
    <row r="58" spans="1:8" x14ac:dyDescent="0.2">
      <c r="A58" s="31">
        <v>1</v>
      </c>
      <c r="B58" s="32" t="s">
        <v>589</v>
      </c>
      <c r="C58" s="32" t="s">
        <v>590</v>
      </c>
      <c r="D58" s="32" t="s">
        <v>81</v>
      </c>
      <c r="E58" s="33">
        <v>1000000</v>
      </c>
      <c r="F58" s="34">
        <v>1004.581</v>
      </c>
      <c r="G58" s="35">
        <v>0.36911595000000003</v>
      </c>
      <c r="H58" s="23">
        <v>7.1763000000000003</v>
      </c>
    </row>
    <row r="59" spans="1:8" x14ac:dyDescent="0.2">
      <c r="A59" s="31">
        <v>2</v>
      </c>
      <c r="B59" s="32" t="s">
        <v>96</v>
      </c>
      <c r="C59" s="32" t="s">
        <v>97</v>
      </c>
      <c r="D59" s="32" t="s">
        <v>81</v>
      </c>
      <c r="E59" s="33">
        <v>100000</v>
      </c>
      <c r="F59" s="34">
        <v>104.5424</v>
      </c>
      <c r="G59" s="35">
        <v>3.8412300000000003E-2</v>
      </c>
      <c r="H59" s="23">
        <v>6.5155000000000003</v>
      </c>
    </row>
    <row r="60" spans="1:8" x14ac:dyDescent="0.2">
      <c r="A60" s="24"/>
      <c r="B60" s="24"/>
      <c r="C60" s="25" t="s">
        <v>11</v>
      </c>
      <c r="D60" s="24"/>
      <c r="E60" s="24" t="s">
        <v>12</v>
      </c>
      <c r="F60" s="30">
        <v>1109.1233999999999</v>
      </c>
      <c r="G60" s="27">
        <v>0.40752824999999998</v>
      </c>
      <c r="H60" s="23" t="s">
        <v>12</v>
      </c>
    </row>
    <row r="61" spans="1:8" x14ac:dyDescent="0.2">
      <c r="A61" s="24"/>
      <c r="B61" s="24"/>
      <c r="C61" s="28"/>
      <c r="D61" s="24"/>
      <c r="E61" s="24"/>
      <c r="F61" s="29"/>
      <c r="G61" s="29"/>
      <c r="H61" s="23" t="s">
        <v>12</v>
      </c>
    </row>
    <row r="62" spans="1:8" x14ac:dyDescent="0.2">
      <c r="A62" s="24"/>
      <c r="B62" s="24"/>
      <c r="C62" s="25" t="s">
        <v>98</v>
      </c>
      <c r="D62" s="24"/>
      <c r="E62" s="24"/>
      <c r="F62" s="29"/>
      <c r="G62" s="29"/>
      <c r="H62" s="23" t="s">
        <v>12</v>
      </c>
    </row>
    <row r="63" spans="1:8" x14ac:dyDescent="0.2">
      <c r="A63" s="24"/>
      <c r="B63" s="24"/>
      <c r="C63" s="25" t="s">
        <v>11</v>
      </c>
      <c r="D63" s="24"/>
      <c r="E63" s="24" t="s">
        <v>12</v>
      </c>
      <c r="F63" s="26" t="s">
        <v>13</v>
      </c>
      <c r="G63" s="27">
        <v>0</v>
      </c>
      <c r="H63" s="23" t="s">
        <v>12</v>
      </c>
    </row>
    <row r="64" spans="1:8" x14ac:dyDescent="0.2">
      <c r="A64" s="24"/>
      <c r="B64" s="24"/>
      <c r="C64" s="28"/>
      <c r="D64" s="24"/>
      <c r="E64" s="24"/>
      <c r="F64" s="29"/>
      <c r="G64" s="29"/>
      <c r="H64" s="23" t="s">
        <v>12</v>
      </c>
    </row>
    <row r="65" spans="1:8" x14ac:dyDescent="0.2">
      <c r="A65" s="24"/>
      <c r="B65" s="24"/>
      <c r="C65" s="25" t="s">
        <v>99</v>
      </c>
      <c r="D65" s="24"/>
      <c r="E65" s="24"/>
      <c r="F65" s="30">
        <v>1109.1233999999999</v>
      </c>
      <c r="G65" s="27">
        <v>0.40752824999999998</v>
      </c>
      <c r="H65" s="23" t="s">
        <v>12</v>
      </c>
    </row>
    <row r="66" spans="1:8" x14ac:dyDescent="0.2">
      <c r="A66" s="24"/>
      <c r="B66" s="24"/>
      <c r="C66" s="28"/>
      <c r="D66" s="24"/>
      <c r="E66" s="24"/>
      <c r="F66" s="29"/>
      <c r="G66" s="29"/>
      <c r="H66" s="23" t="s">
        <v>12</v>
      </c>
    </row>
    <row r="67" spans="1:8" x14ac:dyDescent="0.2">
      <c r="A67" s="24"/>
      <c r="B67" s="24"/>
      <c r="C67" s="25" t="s">
        <v>100</v>
      </c>
      <c r="D67" s="24"/>
      <c r="E67" s="24"/>
      <c r="F67" s="29"/>
      <c r="G67" s="29"/>
      <c r="H67" s="23" t="s">
        <v>12</v>
      </c>
    </row>
    <row r="68" spans="1:8" x14ac:dyDescent="0.2">
      <c r="A68" s="24"/>
      <c r="B68" s="24"/>
      <c r="C68" s="25" t="s">
        <v>101</v>
      </c>
      <c r="D68" s="24"/>
      <c r="E68" s="24"/>
      <c r="F68" s="29"/>
      <c r="G68" s="29"/>
      <c r="H68" s="23" t="s">
        <v>12</v>
      </c>
    </row>
    <row r="69" spans="1:8" x14ac:dyDescent="0.2">
      <c r="A69" s="24"/>
      <c r="B69" s="24"/>
      <c r="C69" s="25" t="s">
        <v>11</v>
      </c>
      <c r="D69" s="24"/>
      <c r="E69" s="24" t="s">
        <v>12</v>
      </c>
      <c r="F69" s="26" t="s">
        <v>13</v>
      </c>
      <c r="G69" s="27">
        <v>0</v>
      </c>
      <c r="H69" s="23" t="s">
        <v>12</v>
      </c>
    </row>
    <row r="70" spans="1:8" x14ac:dyDescent="0.2">
      <c r="A70" s="24"/>
      <c r="B70" s="24"/>
      <c r="C70" s="28"/>
      <c r="D70" s="24"/>
      <c r="E70" s="24"/>
      <c r="F70" s="29"/>
      <c r="G70" s="29"/>
      <c r="H70" s="23" t="s">
        <v>12</v>
      </c>
    </row>
    <row r="71" spans="1:8" x14ac:dyDescent="0.2">
      <c r="A71" s="24"/>
      <c r="B71" s="24"/>
      <c r="C71" s="25" t="s">
        <v>111</v>
      </c>
      <c r="D71" s="24"/>
      <c r="E71" s="24"/>
      <c r="F71" s="29"/>
      <c r="G71" s="29"/>
      <c r="H71" s="23" t="s">
        <v>12</v>
      </c>
    </row>
    <row r="72" spans="1:8" x14ac:dyDescent="0.2">
      <c r="A72" s="24"/>
      <c r="B72" s="24"/>
      <c r="C72" s="25" t="s">
        <v>11</v>
      </c>
      <c r="D72" s="24"/>
      <c r="E72" s="24" t="s">
        <v>12</v>
      </c>
      <c r="F72" s="26" t="s">
        <v>13</v>
      </c>
      <c r="G72" s="27">
        <v>0</v>
      </c>
      <c r="H72" s="23" t="s">
        <v>12</v>
      </c>
    </row>
    <row r="73" spans="1:8" x14ac:dyDescent="0.2">
      <c r="A73" s="24"/>
      <c r="B73" s="24"/>
      <c r="C73" s="28"/>
      <c r="D73" s="24"/>
      <c r="E73" s="24"/>
      <c r="F73" s="29"/>
      <c r="G73" s="29"/>
      <c r="H73" s="23" t="s">
        <v>12</v>
      </c>
    </row>
    <row r="74" spans="1:8" x14ac:dyDescent="0.2">
      <c r="A74" s="24"/>
      <c r="B74" s="24"/>
      <c r="C74" s="25" t="s">
        <v>112</v>
      </c>
      <c r="D74" s="24"/>
      <c r="E74" s="24"/>
      <c r="F74" s="29"/>
      <c r="G74" s="29"/>
      <c r="H74" s="23" t="s">
        <v>12</v>
      </c>
    </row>
    <row r="75" spans="1:8" x14ac:dyDescent="0.2">
      <c r="A75" s="24"/>
      <c r="B75" s="24"/>
      <c r="C75" s="25" t="s">
        <v>11</v>
      </c>
      <c r="D75" s="24"/>
      <c r="E75" s="24" t="s">
        <v>12</v>
      </c>
      <c r="F75" s="26" t="s">
        <v>13</v>
      </c>
      <c r="G75" s="27">
        <v>0</v>
      </c>
      <c r="H75" s="23" t="s">
        <v>12</v>
      </c>
    </row>
    <row r="76" spans="1:8" x14ac:dyDescent="0.2">
      <c r="A76" s="24"/>
      <c r="B76" s="24"/>
      <c r="C76" s="28"/>
      <c r="D76" s="24"/>
      <c r="E76" s="24"/>
      <c r="F76" s="29"/>
      <c r="G76" s="29"/>
      <c r="H76" s="23" t="s">
        <v>12</v>
      </c>
    </row>
    <row r="77" spans="1:8" x14ac:dyDescent="0.2">
      <c r="A77" s="24"/>
      <c r="B77" s="24"/>
      <c r="C77" s="25" t="s">
        <v>113</v>
      </c>
      <c r="D77" s="24"/>
      <c r="E77" s="24"/>
      <c r="F77" s="29"/>
      <c r="G77" s="29"/>
      <c r="H77" s="23" t="s">
        <v>12</v>
      </c>
    </row>
    <row r="78" spans="1:8" x14ac:dyDescent="0.2">
      <c r="A78" s="31">
        <v>1</v>
      </c>
      <c r="B78" s="32"/>
      <c r="C78" s="32" t="s">
        <v>114</v>
      </c>
      <c r="D78" s="32"/>
      <c r="E78" s="36"/>
      <c r="F78" s="34">
        <v>963.66220100199996</v>
      </c>
      <c r="G78" s="35">
        <v>0.35408104000000001</v>
      </c>
      <c r="H78" s="23">
        <v>5.47</v>
      </c>
    </row>
    <row r="79" spans="1:8" x14ac:dyDescent="0.2">
      <c r="A79" s="24"/>
      <c r="B79" s="24"/>
      <c r="C79" s="25" t="s">
        <v>11</v>
      </c>
      <c r="D79" s="24"/>
      <c r="E79" s="24" t="s">
        <v>12</v>
      </c>
      <c r="F79" s="30">
        <v>963.66220100199996</v>
      </c>
      <c r="G79" s="27">
        <v>0.35408104000000001</v>
      </c>
      <c r="H79" s="23" t="s">
        <v>12</v>
      </c>
    </row>
    <row r="80" spans="1:8" x14ac:dyDescent="0.2">
      <c r="A80" s="24"/>
      <c r="B80" s="24"/>
      <c r="C80" s="28"/>
      <c r="D80" s="24"/>
      <c r="E80" s="24"/>
      <c r="F80" s="29"/>
      <c r="G80" s="29"/>
      <c r="H80" s="23" t="s">
        <v>12</v>
      </c>
    </row>
    <row r="81" spans="1:17" x14ac:dyDescent="0.2">
      <c r="A81" s="24"/>
      <c r="B81" s="24"/>
      <c r="C81" s="25" t="s">
        <v>115</v>
      </c>
      <c r="D81" s="24"/>
      <c r="E81" s="24"/>
      <c r="F81" s="30">
        <v>963.66220100199996</v>
      </c>
      <c r="G81" s="27">
        <v>0.35408104000000001</v>
      </c>
      <c r="H81" s="23" t="s">
        <v>12</v>
      </c>
    </row>
    <row r="82" spans="1:17" x14ac:dyDescent="0.2">
      <c r="A82" s="24"/>
      <c r="B82" s="24"/>
      <c r="C82" s="29"/>
      <c r="D82" s="24"/>
      <c r="E82" s="24"/>
      <c r="F82" s="24"/>
      <c r="G82" s="24"/>
      <c r="H82" s="23" t="s">
        <v>12</v>
      </c>
    </row>
    <row r="83" spans="1:17" x14ac:dyDescent="0.2">
      <c r="A83" s="24"/>
      <c r="B83" s="24"/>
      <c r="C83" s="25" t="s">
        <v>116</v>
      </c>
      <c r="D83" s="24"/>
      <c r="E83" s="24"/>
      <c r="F83" s="24"/>
      <c r="G83" s="24"/>
      <c r="H83" s="23" t="s">
        <v>12</v>
      </c>
    </row>
    <row r="84" spans="1:17" x14ac:dyDescent="0.2">
      <c r="A84" s="24"/>
      <c r="B84" s="24"/>
      <c r="C84" s="25" t="s">
        <v>117</v>
      </c>
      <c r="D84" s="24"/>
      <c r="E84" s="24"/>
      <c r="F84" s="24"/>
      <c r="G84" s="24"/>
      <c r="H84" s="23" t="s">
        <v>12</v>
      </c>
    </row>
    <row r="85" spans="1:17" x14ac:dyDescent="0.2">
      <c r="A85" s="24"/>
      <c r="B85" s="24"/>
      <c r="C85" s="25" t="s">
        <v>11</v>
      </c>
      <c r="D85" s="24"/>
      <c r="E85" s="24" t="s">
        <v>12</v>
      </c>
      <c r="F85" s="30">
        <v>8.6345275420000007</v>
      </c>
      <c r="G85" s="27">
        <v>3.1726100000000002E-3</v>
      </c>
      <c r="H85" s="23" t="s">
        <v>12</v>
      </c>
    </row>
    <row r="86" spans="1:17" x14ac:dyDescent="0.2">
      <c r="A86" s="21"/>
      <c r="B86" s="21"/>
      <c r="C86" s="99"/>
      <c r="D86" s="21"/>
      <c r="E86" s="21"/>
      <c r="F86" s="51"/>
      <c r="G86" s="51"/>
      <c r="H86" s="23" t="s">
        <v>12</v>
      </c>
    </row>
    <row r="87" spans="1:17" x14ac:dyDescent="0.2">
      <c r="A87" s="21"/>
      <c r="B87" s="21"/>
      <c r="C87" s="22" t="s">
        <v>618</v>
      </c>
      <c r="D87" s="21"/>
      <c r="E87" s="21"/>
      <c r="F87" s="51"/>
      <c r="G87" s="51"/>
      <c r="H87" s="23" t="s">
        <v>12</v>
      </c>
      <c r="K87" s="72"/>
      <c r="L87" s="72"/>
      <c r="M87" s="72"/>
      <c r="N87" s="72"/>
      <c r="O87" s="100"/>
      <c r="P87" s="100"/>
      <c r="Q87" s="100"/>
    </row>
    <row r="88" spans="1:17" x14ac:dyDescent="0.2">
      <c r="A88" s="93">
        <v>1</v>
      </c>
      <c r="B88" s="94" t="s">
        <v>118</v>
      </c>
      <c r="C88" s="94" t="s">
        <v>119</v>
      </c>
      <c r="D88" s="94"/>
      <c r="E88" s="101">
        <v>76.796000000000006</v>
      </c>
      <c r="F88" s="96">
        <v>8.6345275420000007</v>
      </c>
      <c r="G88" s="97">
        <v>3.1726100000000002E-3</v>
      </c>
      <c r="H88" s="23"/>
    </row>
    <row r="89" spans="1:17" x14ac:dyDescent="0.2">
      <c r="A89" s="21"/>
      <c r="B89" s="21"/>
      <c r="C89" s="22" t="s">
        <v>11</v>
      </c>
      <c r="D89" s="21"/>
      <c r="E89" s="21" t="s">
        <v>12</v>
      </c>
      <c r="F89" s="102">
        <f>SUM(F88)</f>
        <v>8.6345275420000007</v>
      </c>
      <c r="G89" s="103">
        <f>SUM(G88)</f>
        <v>3.1726100000000002E-3</v>
      </c>
      <c r="H89" s="23" t="s">
        <v>12</v>
      </c>
    </row>
    <row r="90" spans="1:17" x14ac:dyDescent="0.2">
      <c r="A90" s="24"/>
      <c r="B90" s="24"/>
      <c r="C90" s="28"/>
      <c r="D90" s="24"/>
      <c r="E90" s="24"/>
      <c r="F90" s="29"/>
      <c r="G90" s="29"/>
      <c r="H90" s="23" t="s">
        <v>12</v>
      </c>
    </row>
    <row r="91" spans="1:17" x14ac:dyDescent="0.2">
      <c r="A91" s="24"/>
      <c r="B91" s="24"/>
      <c r="C91" s="25" t="s">
        <v>120</v>
      </c>
      <c r="D91" s="24"/>
      <c r="E91" s="24"/>
      <c r="F91" s="24"/>
      <c r="G91" s="24"/>
      <c r="H91" s="23" t="s">
        <v>12</v>
      </c>
    </row>
    <row r="92" spans="1:17" x14ac:dyDescent="0.2">
      <c r="A92" s="24"/>
      <c r="B92" s="24"/>
      <c r="C92" s="25" t="s">
        <v>121</v>
      </c>
      <c r="D92" s="24"/>
      <c r="E92" s="24"/>
      <c r="F92" s="24"/>
      <c r="G92" s="24"/>
      <c r="H92" s="23" t="s">
        <v>12</v>
      </c>
    </row>
    <row r="93" spans="1:17" x14ac:dyDescent="0.2">
      <c r="A93" s="24"/>
      <c r="B93" s="24"/>
      <c r="C93" s="25" t="s">
        <v>11</v>
      </c>
      <c r="D93" s="24"/>
      <c r="E93" s="24" t="s">
        <v>12</v>
      </c>
      <c r="F93" s="26" t="s">
        <v>13</v>
      </c>
      <c r="G93" s="27">
        <v>0</v>
      </c>
      <c r="H93" s="23" t="s">
        <v>12</v>
      </c>
    </row>
    <row r="94" spans="1:17" x14ac:dyDescent="0.2">
      <c r="A94" s="24"/>
      <c r="B94" s="24"/>
      <c r="C94" s="28"/>
      <c r="D94" s="24"/>
      <c r="E94" s="24"/>
      <c r="F94" s="29"/>
      <c r="G94" s="29"/>
      <c r="H94" s="23" t="s">
        <v>12</v>
      </c>
    </row>
    <row r="95" spans="1:17" x14ac:dyDescent="0.2">
      <c r="A95" s="24"/>
      <c r="B95" s="24"/>
      <c r="C95" s="25" t="s">
        <v>122</v>
      </c>
      <c r="D95" s="24"/>
      <c r="E95" s="24"/>
      <c r="F95" s="29"/>
      <c r="G95" s="29"/>
      <c r="H95" s="23" t="s">
        <v>12</v>
      </c>
    </row>
    <row r="96" spans="1:17" x14ac:dyDescent="0.2">
      <c r="A96" s="24"/>
      <c r="B96" s="24"/>
      <c r="C96" s="25" t="s">
        <v>11</v>
      </c>
      <c r="D96" s="24"/>
      <c r="E96" s="24" t="s">
        <v>12</v>
      </c>
      <c r="F96" s="26" t="s">
        <v>13</v>
      </c>
      <c r="G96" s="27">
        <v>0</v>
      </c>
      <c r="H96" s="23" t="s">
        <v>12</v>
      </c>
    </row>
    <row r="97" spans="1:8" x14ac:dyDescent="0.2">
      <c r="A97" s="24"/>
      <c r="B97" s="32"/>
      <c r="C97" s="32"/>
      <c r="D97" s="25"/>
      <c r="E97" s="24"/>
      <c r="F97" s="32"/>
      <c r="G97" s="36"/>
      <c r="H97" s="23" t="s">
        <v>12</v>
      </c>
    </row>
    <row r="98" spans="1:8" x14ac:dyDescent="0.2">
      <c r="A98" s="36"/>
      <c r="B98" s="32"/>
      <c r="C98" s="32" t="s">
        <v>123</v>
      </c>
      <c r="D98" s="32"/>
      <c r="E98" s="36"/>
      <c r="F98" s="34">
        <f>61.07928288+0.000316906000375748</f>
        <v>61.079599786000379</v>
      </c>
      <c r="G98" s="35">
        <f>F98/F99</f>
        <v>2.2442641828934701E-2</v>
      </c>
      <c r="H98" s="23" t="s">
        <v>12</v>
      </c>
    </row>
    <row r="99" spans="1:8" x14ac:dyDescent="0.2">
      <c r="A99" s="28"/>
      <c r="B99" s="28"/>
      <c r="C99" s="25" t="s">
        <v>124</v>
      </c>
      <c r="D99" s="29"/>
      <c r="E99" s="29"/>
      <c r="F99" s="30">
        <f>F98+F89+F81+F65+F48</f>
        <v>2721.5868903300002</v>
      </c>
      <c r="G99" s="37">
        <f>G98+G89+G81+G65+G48</f>
        <v>1.0000001747192835</v>
      </c>
      <c r="H99" s="23" t="s">
        <v>12</v>
      </c>
    </row>
    <row r="100" spans="1:8" x14ac:dyDescent="0.2">
      <c r="A100" s="38"/>
      <c r="B100" s="38"/>
      <c r="C100" s="38"/>
      <c r="D100" s="39"/>
      <c r="E100" s="39"/>
      <c r="F100" s="39"/>
      <c r="G100" s="39"/>
    </row>
    <row r="101" spans="1:8" x14ac:dyDescent="0.2">
      <c r="A101" s="40"/>
      <c r="B101" s="41" t="s">
        <v>614</v>
      </c>
      <c r="C101" s="41"/>
      <c r="D101" s="41"/>
      <c r="E101" s="41"/>
      <c r="F101" s="41"/>
      <c r="G101" s="41"/>
      <c r="H101" s="41"/>
    </row>
    <row r="102" spans="1:8" x14ac:dyDescent="0.2">
      <c r="A102" s="40"/>
      <c r="B102" s="41" t="s">
        <v>615</v>
      </c>
      <c r="C102" s="41"/>
      <c r="D102" s="41"/>
      <c r="E102" s="41"/>
      <c r="F102" s="41"/>
      <c r="G102" s="41"/>
      <c r="H102" s="41"/>
    </row>
    <row r="103" spans="1:8" x14ac:dyDescent="0.2">
      <c r="A103" s="40"/>
      <c r="B103" s="41" t="s">
        <v>616</v>
      </c>
      <c r="C103" s="41"/>
      <c r="D103" s="41"/>
      <c r="E103" s="41"/>
      <c r="F103" s="41"/>
      <c r="G103" s="41"/>
      <c r="H103" s="41"/>
    </row>
    <row r="104" spans="1:8" x14ac:dyDescent="0.2">
      <c r="A104" s="42"/>
      <c r="B104" s="42"/>
      <c r="C104" s="42"/>
      <c r="D104" s="43"/>
      <c r="E104" s="43"/>
      <c r="F104" s="43"/>
      <c r="G104" s="43"/>
    </row>
    <row r="105" spans="1:8" x14ac:dyDescent="0.2">
      <c r="A105" s="40"/>
      <c r="B105" s="44" t="s">
        <v>125</v>
      </c>
      <c r="C105" s="45"/>
      <c r="D105" s="46"/>
      <c r="E105" s="47"/>
      <c r="F105" s="48"/>
      <c r="G105" s="48"/>
    </row>
    <row r="106" spans="1:8" x14ac:dyDescent="0.2">
      <c r="A106" s="40"/>
      <c r="B106" s="49" t="s">
        <v>126</v>
      </c>
      <c r="C106" s="50"/>
      <c r="D106" s="22" t="s">
        <v>705</v>
      </c>
      <c r="E106" s="47"/>
      <c r="F106" s="48"/>
      <c r="G106" s="48"/>
    </row>
    <row r="107" spans="1:8" x14ac:dyDescent="0.2">
      <c r="A107" s="40"/>
      <c r="B107" s="49" t="s">
        <v>128</v>
      </c>
      <c r="C107" s="50"/>
      <c r="D107" s="22" t="s">
        <v>127</v>
      </c>
      <c r="E107" s="47"/>
      <c r="F107" s="48"/>
      <c r="G107" s="48"/>
    </row>
    <row r="108" spans="1:8" x14ac:dyDescent="0.2">
      <c r="A108" s="40"/>
      <c r="B108" s="49" t="s">
        <v>129</v>
      </c>
      <c r="C108" s="50"/>
      <c r="D108" s="51" t="s">
        <v>12</v>
      </c>
      <c r="E108" s="47"/>
      <c r="F108" s="48"/>
      <c r="G108" s="48"/>
    </row>
    <row r="109" spans="1:8" x14ac:dyDescent="0.2">
      <c r="A109" s="52"/>
      <c r="B109" s="53" t="s">
        <v>12</v>
      </c>
      <c r="C109" s="53" t="s">
        <v>617</v>
      </c>
      <c r="D109" s="53" t="s">
        <v>130</v>
      </c>
      <c r="E109" s="52"/>
      <c r="F109" s="52"/>
      <c r="G109" s="52"/>
    </row>
    <row r="110" spans="1:8" x14ac:dyDescent="0.2">
      <c r="A110" s="52"/>
      <c r="B110" s="54" t="s">
        <v>131</v>
      </c>
      <c r="C110" s="55">
        <v>45823</v>
      </c>
      <c r="D110" s="55">
        <v>45838</v>
      </c>
      <c r="E110" s="52"/>
      <c r="F110" s="52"/>
      <c r="G110" s="52"/>
    </row>
    <row r="111" spans="1:8" x14ac:dyDescent="0.2">
      <c r="A111" s="56"/>
      <c r="B111" s="32" t="s">
        <v>132</v>
      </c>
      <c r="C111" s="57">
        <v>32.466799999999999</v>
      </c>
      <c r="D111" s="57">
        <v>32.731000000000002</v>
      </c>
      <c r="E111" s="56"/>
      <c r="F111" s="58"/>
      <c r="G111" s="59"/>
    </row>
    <row r="112" spans="1:8" ht="25.5" x14ac:dyDescent="0.2">
      <c r="A112" s="56"/>
      <c r="B112" s="32" t="s">
        <v>743</v>
      </c>
      <c r="C112" s="57">
        <v>13.6014</v>
      </c>
      <c r="D112" s="36"/>
      <c r="E112" s="56"/>
      <c r="F112" s="58"/>
      <c r="G112" s="59"/>
    </row>
    <row r="113" spans="1:10" ht="25.5" x14ac:dyDescent="0.2">
      <c r="A113" s="56"/>
      <c r="B113" s="32" t="s">
        <v>744</v>
      </c>
      <c r="C113" s="57">
        <v>21.0124</v>
      </c>
      <c r="D113" s="57">
        <v>21.183399999999999</v>
      </c>
      <c r="E113" s="56"/>
      <c r="F113" s="58"/>
      <c r="G113" s="59"/>
    </row>
    <row r="114" spans="1:10" ht="25.5" x14ac:dyDescent="0.2">
      <c r="A114" s="56"/>
      <c r="B114" s="32" t="s">
        <v>745</v>
      </c>
      <c r="C114" s="57">
        <v>21.276599999999998</v>
      </c>
      <c r="D114" s="36"/>
      <c r="E114" s="56"/>
      <c r="F114" s="58"/>
      <c r="G114" s="59"/>
    </row>
    <row r="115" spans="1:10" x14ac:dyDescent="0.2">
      <c r="A115" s="56"/>
      <c r="B115" s="32" t="s">
        <v>133</v>
      </c>
      <c r="C115" s="57">
        <v>29.469200000000001</v>
      </c>
      <c r="D115" s="57">
        <v>29.696899999999999</v>
      </c>
      <c r="E115" s="56"/>
      <c r="F115" s="58"/>
      <c r="G115" s="59"/>
    </row>
    <row r="116" spans="1:10" ht="25.5" x14ac:dyDescent="0.2">
      <c r="A116" s="56"/>
      <c r="B116" s="32" t="s">
        <v>747</v>
      </c>
      <c r="C116" s="57">
        <v>13.442600000000001</v>
      </c>
      <c r="D116" s="36"/>
      <c r="E116" s="56"/>
      <c r="F116" s="58"/>
      <c r="G116" s="59"/>
    </row>
    <row r="117" spans="1:10" ht="25.5" x14ac:dyDescent="0.2">
      <c r="A117" s="56"/>
      <c r="B117" s="32" t="s">
        <v>719</v>
      </c>
      <c r="C117" s="57">
        <v>18.960599999999999</v>
      </c>
      <c r="D117" s="57">
        <v>19.107099999999999</v>
      </c>
      <c r="E117" s="56"/>
      <c r="F117" s="58"/>
      <c r="G117" s="59"/>
    </row>
    <row r="118" spans="1:10" ht="25.5" x14ac:dyDescent="0.2">
      <c r="A118" s="56"/>
      <c r="B118" s="32" t="s">
        <v>748</v>
      </c>
      <c r="C118" s="57">
        <v>19.117699999999999</v>
      </c>
      <c r="D118" s="36"/>
      <c r="E118" s="56"/>
      <c r="F118" s="58"/>
      <c r="G118" s="59"/>
    </row>
    <row r="119" spans="1:10" x14ac:dyDescent="0.2">
      <c r="A119" s="56"/>
      <c r="B119" s="56"/>
      <c r="C119" s="56"/>
      <c r="D119" s="56"/>
      <c r="E119" s="56"/>
      <c r="F119" s="56"/>
      <c r="G119" s="56"/>
    </row>
    <row r="120" spans="1:10" x14ac:dyDescent="0.2">
      <c r="A120" s="56"/>
      <c r="B120" s="60" t="s">
        <v>739</v>
      </c>
      <c r="C120" s="61"/>
      <c r="D120" s="25" t="s">
        <v>12</v>
      </c>
      <c r="E120" s="56"/>
      <c r="F120" s="56"/>
      <c r="G120" s="56"/>
    </row>
    <row r="121" spans="1:10" x14ac:dyDescent="0.2">
      <c r="A121" s="56"/>
      <c r="B121" s="62" t="s">
        <v>131</v>
      </c>
      <c r="C121" s="63" t="s">
        <v>134</v>
      </c>
      <c r="D121" s="63" t="s">
        <v>135</v>
      </c>
      <c r="E121" s="56"/>
      <c r="F121" s="56"/>
      <c r="G121" s="56"/>
    </row>
    <row r="122" spans="1:10" ht="25.5" x14ac:dyDescent="0.2">
      <c r="A122" s="56"/>
      <c r="B122" s="32" t="s">
        <v>743</v>
      </c>
      <c r="C122" s="64">
        <v>7.8E-2</v>
      </c>
      <c r="D122" s="36" t="s">
        <v>136</v>
      </c>
      <c r="E122" s="56"/>
      <c r="F122" s="58"/>
      <c r="G122" s="59"/>
    </row>
    <row r="123" spans="1:10" ht="25.5" x14ac:dyDescent="0.2">
      <c r="A123" s="56"/>
      <c r="B123" s="32" t="s">
        <v>744</v>
      </c>
      <c r="C123" s="64">
        <v>0.36</v>
      </c>
      <c r="D123" s="36" t="s">
        <v>136</v>
      </c>
      <c r="E123" s="56"/>
      <c r="F123" s="58"/>
      <c r="G123" s="59"/>
    </row>
    <row r="124" spans="1:10" ht="25.5" x14ac:dyDescent="0.2">
      <c r="A124" s="56"/>
      <c r="B124" s="32" t="s">
        <v>747</v>
      </c>
      <c r="C124" s="64">
        <v>7.6999999999999999E-2</v>
      </c>
      <c r="D124" s="36" t="s">
        <v>136</v>
      </c>
      <c r="E124" s="56"/>
      <c r="F124" s="58"/>
      <c r="G124" s="59"/>
    </row>
    <row r="125" spans="1:10" ht="25.5" x14ac:dyDescent="0.2">
      <c r="A125" s="56"/>
      <c r="B125" s="32" t="s">
        <v>719</v>
      </c>
      <c r="C125" s="64">
        <v>0.32500000000000001</v>
      </c>
      <c r="D125" s="36" t="s">
        <v>136</v>
      </c>
      <c r="E125" s="56"/>
      <c r="F125" s="58"/>
      <c r="G125" s="59"/>
    </row>
    <row r="126" spans="1:10" x14ac:dyDescent="0.2">
      <c r="A126" s="56"/>
      <c r="B126" s="104"/>
      <c r="C126" s="104"/>
      <c r="D126" s="105"/>
      <c r="E126" s="56"/>
      <c r="F126" s="58"/>
      <c r="G126" s="59"/>
    </row>
    <row r="127" spans="1:10" x14ac:dyDescent="0.2">
      <c r="A127" s="52"/>
      <c r="B127" s="49" t="s">
        <v>137</v>
      </c>
      <c r="C127" s="50"/>
      <c r="D127" s="22" t="s">
        <v>127</v>
      </c>
      <c r="E127" s="71"/>
      <c r="F127" s="52"/>
      <c r="G127" s="52"/>
      <c r="J127" s="20"/>
    </row>
    <row r="128" spans="1:10" x14ac:dyDescent="0.2">
      <c r="A128" s="52"/>
      <c r="B128" s="49" t="s">
        <v>138</v>
      </c>
      <c r="C128" s="50"/>
      <c r="D128" s="22" t="s">
        <v>127</v>
      </c>
      <c r="E128" s="71"/>
      <c r="F128" s="52"/>
      <c r="G128" s="52"/>
      <c r="J128" s="20"/>
    </row>
    <row r="129" spans="1:18" x14ac:dyDescent="0.2">
      <c r="A129" s="52"/>
      <c r="B129" s="49" t="s">
        <v>619</v>
      </c>
      <c r="C129" s="50"/>
      <c r="D129" s="22" t="s">
        <v>127</v>
      </c>
      <c r="E129" s="71"/>
      <c r="F129" s="52"/>
      <c r="G129" s="52"/>
      <c r="J129" s="20"/>
    </row>
    <row r="130" spans="1:18" x14ac:dyDescent="0.2">
      <c r="A130" s="73"/>
      <c r="B130" s="73"/>
      <c r="C130" s="73"/>
      <c r="D130" s="73"/>
      <c r="E130" s="73"/>
      <c r="F130" s="73"/>
      <c r="G130" s="73"/>
      <c r="J130" s="20"/>
    </row>
    <row r="131" spans="1:18" s="74" customFormat="1" x14ac:dyDescent="0.2">
      <c r="B131" s="75" t="s">
        <v>620</v>
      </c>
      <c r="C131" s="76"/>
      <c r="D131" s="77"/>
      <c r="I131" s="17"/>
      <c r="J131" s="20"/>
      <c r="K131" s="72"/>
      <c r="L131" s="72"/>
      <c r="M131" s="72"/>
      <c r="N131" s="72"/>
      <c r="O131" s="17"/>
      <c r="R131" s="17"/>
    </row>
    <row r="132" spans="1:18" s="74" customFormat="1" ht="25.5" x14ac:dyDescent="0.2">
      <c r="B132" s="79" t="s">
        <v>621</v>
      </c>
      <c r="C132" s="79"/>
      <c r="D132" s="80" t="s">
        <v>529</v>
      </c>
      <c r="I132" s="17"/>
      <c r="J132" s="20"/>
      <c r="K132" s="72"/>
      <c r="L132" s="72"/>
      <c r="M132" s="72"/>
      <c r="N132" s="72"/>
      <c r="O132" s="17"/>
      <c r="R132" s="17"/>
    </row>
    <row r="133" spans="1:18" s="74" customFormat="1" x14ac:dyDescent="0.2">
      <c r="B133" s="66" t="s">
        <v>622</v>
      </c>
      <c r="C133" s="66"/>
      <c r="D133" s="81"/>
      <c r="I133" s="17"/>
      <c r="J133" s="20"/>
      <c r="K133" s="72"/>
      <c r="L133" s="72"/>
      <c r="M133" s="72"/>
      <c r="N133" s="72"/>
      <c r="O133" s="17"/>
      <c r="R133" s="17"/>
    </row>
    <row r="134" spans="1:18" s="74" customFormat="1" x14ac:dyDescent="0.2">
      <c r="B134" s="66"/>
      <c r="C134" s="66"/>
      <c r="D134" s="82"/>
      <c r="I134" s="17"/>
      <c r="J134" s="20"/>
      <c r="K134" s="72"/>
      <c r="L134" s="72"/>
      <c r="M134" s="72"/>
      <c r="N134" s="72"/>
      <c r="O134" s="17"/>
    </row>
    <row r="135" spans="1:18" s="74" customFormat="1" x14ac:dyDescent="0.2">
      <c r="B135" s="66" t="s">
        <v>623</v>
      </c>
      <c r="C135" s="66"/>
      <c r="D135" s="83">
        <v>6.3481872408345135</v>
      </c>
      <c r="I135" s="17"/>
      <c r="J135" s="20"/>
      <c r="K135" s="72"/>
      <c r="L135" s="72"/>
      <c r="M135" s="72"/>
      <c r="N135" s="72"/>
      <c r="O135" s="17"/>
    </row>
    <row r="136" spans="1:18" s="74" customFormat="1" x14ac:dyDescent="0.2">
      <c r="B136" s="66"/>
      <c r="C136" s="66"/>
      <c r="D136" s="82"/>
      <c r="I136" s="17"/>
      <c r="J136" s="20"/>
      <c r="K136" s="72"/>
      <c r="L136" s="72"/>
      <c r="M136" s="72"/>
      <c r="N136" s="72"/>
      <c r="O136" s="17"/>
    </row>
    <row r="137" spans="1:18" s="74" customFormat="1" x14ac:dyDescent="0.2">
      <c r="B137" s="66" t="s">
        <v>731</v>
      </c>
      <c r="C137" s="66"/>
      <c r="D137" s="83">
        <v>6.3165994475595664</v>
      </c>
      <c r="I137" s="17"/>
      <c r="J137" s="20"/>
      <c r="K137" s="72"/>
      <c r="L137" s="72"/>
      <c r="M137" s="72"/>
      <c r="N137" s="72"/>
      <c r="O137" s="17"/>
    </row>
    <row r="138" spans="1:18" s="74" customFormat="1" x14ac:dyDescent="0.2">
      <c r="B138" s="66" t="s">
        <v>732</v>
      </c>
      <c r="C138" s="66"/>
      <c r="D138" s="83">
        <v>14.538393148820306</v>
      </c>
      <c r="I138" s="17"/>
      <c r="J138" s="20"/>
      <c r="K138" s="72"/>
      <c r="L138" s="72"/>
      <c r="M138" s="72"/>
      <c r="N138" s="72"/>
      <c r="O138" s="17"/>
    </row>
    <row r="139" spans="1:18" s="74" customFormat="1" x14ac:dyDescent="0.2">
      <c r="B139" s="66"/>
      <c r="C139" s="66"/>
      <c r="D139" s="82"/>
      <c r="I139" s="17"/>
      <c r="J139" s="20"/>
      <c r="K139" s="72"/>
      <c r="L139" s="72"/>
      <c r="M139" s="72"/>
      <c r="N139" s="72"/>
      <c r="O139" s="17"/>
    </row>
    <row r="140" spans="1:18" s="74" customFormat="1" x14ac:dyDescent="0.2">
      <c r="B140" s="66" t="s">
        <v>626</v>
      </c>
      <c r="C140" s="66"/>
      <c r="D140" s="106" t="s">
        <v>750</v>
      </c>
      <c r="I140" s="17"/>
      <c r="J140" s="20"/>
      <c r="K140" s="72"/>
      <c r="L140" s="72"/>
      <c r="M140" s="72"/>
      <c r="N140" s="72"/>
      <c r="O140" s="17"/>
    </row>
    <row r="141" spans="1:18" s="74" customFormat="1" x14ac:dyDescent="0.2">
      <c r="B141" s="86" t="s">
        <v>627</v>
      </c>
      <c r="C141" s="87"/>
      <c r="D141" s="88"/>
      <c r="I141" s="17"/>
      <c r="J141" s="20"/>
      <c r="K141" s="72"/>
      <c r="L141" s="72"/>
      <c r="M141" s="72"/>
      <c r="N141" s="72"/>
      <c r="O141" s="17"/>
    </row>
    <row r="142" spans="1:18" x14ac:dyDescent="0.2">
      <c r="J142" s="20"/>
    </row>
    <row r="143" spans="1:18" ht="13.5" x14ac:dyDescent="0.2">
      <c r="B143" s="107" t="s">
        <v>754</v>
      </c>
      <c r="C143" s="107"/>
      <c r="D143" s="107"/>
      <c r="E143" s="107"/>
      <c r="F143" s="107"/>
      <c r="G143" s="107"/>
      <c r="H143" s="107"/>
      <c r="I143" s="72"/>
      <c r="J143" s="20"/>
      <c r="K143" s="72"/>
      <c r="L143" s="72"/>
      <c r="M143" s="72"/>
      <c r="N143" s="72"/>
      <c r="O143" s="72"/>
      <c r="P143" s="72"/>
    </row>
    <row r="144" spans="1:18" s="78" customFormat="1" ht="26.25" customHeight="1" x14ac:dyDescent="0.2">
      <c r="B144" s="108" t="s">
        <v>644</v>
      </c>
      <c r="C144" s="108" t="s">
        <v>645</v>
      </c>
      <c r="D144" s="109" t="s">
        <v>733</v>
      </c>
      <c r="E144" s="109"/>
      <c r="F144" s="109"/>
      <c r="G144" s="110" t="s">
        <v>647</v>
      </c>
      <c r="H144" s="110"/>
      <c r="J144" s="20"/>
      <c r="K144" s="111"/>
      <c r="L144" s="111"/>
      <c r="M144" s="111"/>
      <c r="N144" s="111"/>
      <c r="O144" s="111"/>
      <c r="P144" s="111"/>
    </row>
    <row r="145" spans="2:16" ht="27" x14ac:dyDescent="0.25">
      <c r="B145" s="112" t="s">
        <v>685</v>
      </c>
      <c r="C145" s="113" t="s">
        <v>734</v>
      </c>
      <c r="D145" s="114">
        <v>0</v>
      </c>
      <c r="E145" s="114"/>
      <c r="F145" s="114"/>
      <c r="G145" s="114">
        <v>0</v>
      </c>
      <c r="H145" s="114"/>
      <c r="J145" s="20"/>
      <c r="K145" s="72"/>
      <c r="L145" s="72"/>
      <c r="M145" s="72"/>
      <c r="N145" s="72"/>
      <c r="O145" s="72"/>
      <c r="P145" s="72"/>
    </row>
    <row r="146" spans="2:16" ht="13.5" x14ac:dyDescent="0.25">
      <c r="B146" s="115"/>
      <c r="C146" s="115"/>
      <c r="D146" s="116"/>
      <c r="E146" s="116"/>
      <c r="F146" s="116"/>
      <c r="G146" s="116"/>
      <c r="H146" s="116"/>
      <c r="J146" s="20"/>
      <c r="K146" s="72"/>
      <c r="L146" s="72"/>
      <c r="M146" s="72"/>
      <c r="N146" s="72"/>
      <c r="O146" s="72"/>
      <c r="P146" s="72"/>
    </row>
    <row r="147" spans="2:16" ht="13.5" x14ac:dyDescent="0.25">
      <c r="B147" s="117" t="s">
        <v>654</v>
      </c>
      <c r="C147" s="117"/>
      <c r="D147" s="117"/>
      <c r="E147" s="117"/>
      <c r="F147" s="117"/>
      <c r="G147" s="117"/>
      <c r="H147" s="117"/>
      <c r="J147" s="20"/>
      <c r="K147" s="72"/>
      <c r="L147" s="72"/>
      <c r="M147" s="72"/>
      <c r="N147" s="72"/>
      <c r="O147" s="72"/>
      <c r="P147" s="72"/>
    </row>
    <row r="148" spans="2:16" ht="13.5" customHeight="1" x14ac:dyDescent="0.2">
      <c r="B148" s="110" t="s">
        <v>644</v>
      </c>
      <c r="C148" s="110" t="s">
        <v>645</v>
      </c>
      <c r="D148" s="110" t="s">
        <v>688</v>
      </c>
      <c r="E148" s="110"/>
      <c r="F148" s="110"/>
      <c r="G148" s="110"/>
      <c r="H148" s="109" t="s">
        <v>735</v>
      </c>
      <c r="I148" s="109" t="s">
        <v>736</v>
      </c>
      <c r="J148" s="109" t="s">
        <v>691</v>
      </c>
      <c r="K148" s="72"/>
      <c r="L148" s="72"/>
      <c r="M148" s="72"/>
      <c r="N148" s="72"/>
      <c r="O148" s="72"/>
      <c r="P148" s="72"/>
    </row>
    <row r="149" spans="2:16" ht="121.5" x14ac:dyDescent="0.2">
      <c r="B149" s="110"/>
      <c r="C149" s="110"/>
      <c r="D149" s="118" t="s">
        <v>692</v>
      </c>
      <c r="E149" s="118" t="s">
        <v>693</v>
      </c>
      <c r="F149" s="118" t="s">
        <v>694</v>
      </c>
      <c r="G149" s="118" t="s">
        <v>724</v>
      </c>
      <c r="H149" s="109"/>
      <c r="I149" s="109"/>
      <c r="J149" s="109"/>
      <c r="K149" s="72"/>
      <c r="L149" s="72"/>
      <c r="M149" s="72"/>
      <c r="N149" s="72"/>
      <c r="O149" s="72"/>
    </row>
    <row r="150" spans="2:16" ht="27" x14ac:dyDescent="0.25">
      <c r="B150" s="115" t="s">
        <v>685</v>
      </c>
      <c r="C150" s="113" t="s">
        <v>737</v>
      </c>
      <c r="D150" s="119">
        <v>500</v>
      </c>
      <c r="E150" s="119">
        <v>9.9405737999999992</v>
      </c>
      <c r="F150" s="120">
        <v>16.00737140547945</v>
      </c>
      <c r="G150" s="119">
        <v>525.94794520547941</v>
      </c>
      <c r="H150" s="8">
        <v>233.40679</v>
      </c>
      <c r="I150" s="8">
        <v>4.01</v>
      </c>
      <c r="J150" s="121">
        <f>H150+I150</f>
        <v>237.41678999999999</v>
      </c>
      <c r="K150" s="72"/>
      <c r="L150" s="72"/>
      <c r="M150" s="72"/>
      <c r="N150" s="72"/>
      <c r="O150" s="72"/>
      <c r="P150" s="72"/>
    </row>
    <row r="151" spans="2:16" x14ac:dyDescent="0.2">
      <c r="J151" s="20"/>
      <c r="P151" s="72"/>
    </row>
    <row r="152" spans="2:16" x14ac:dyDescent="0.2">
      <c r="J152" s="20"/>
      <c r="K152" s="72"/>
      <c r="L152" s="72"/>
      <c r="M152" s="72"/>
      <c r="N152" s="72"/>
      <c r="O152" s="72"/>
      <c r="P152" s="72"/>
    </row>
    <row r="153" spans="2:16" ht="13.5" x14ac:dyDescent="0.25">
      <c r="B153" s="122" t="s">
        <v>674</v>
      </c>
      <c r="J153" s="20"/>
      <c r="K153" s="72"/>
      <c r="L153" s="72"/>
      <c r="M153" s="72"/>
      <c r="N153" s="72"/>
      <c r="O153" s="72"/>
      <c r="P153" s="72"/>
    </row>
    <row r="154" spans="2:16" x14ac:dyDescent="0.2">
      <c r="B154" s="72"/>
      <c r="C154" s="72"/>
      <c r="D154" s="72"/>
      <c r="E154" s="72"/>
      <c r="F154" s="72"/>
      <c r="G154" s="72"/>
      <c r="H154" s="72"/>
      <c r="J154" s="20"/>
      <c r="K154" s="72"/>
      <c r="L154" s="72"/>
      <c r="M154" s="72"/>
      <c r="N154" s="72"/>
      <c r="O154" s="72"/>
      <c r="P154" s="72"/>
    </row>
    <row r="155" spans="2:16" x14ac:dyDescent="0.2">
      <c r="B155" s="123" t="s">
        <v>675</v>
      </c>
      <c r="C155" s="72"/>
      <c r="D155" s="72"/>
      <c r="E155" s="72"/>
      <c r="F155" s="72"/>
      <c r="G155" s="72"/>
      <c r="H155" s="72"/>
      <c r="J155" s="20"/>
      <c r="K155" s="72"/>
      <c r="L155" s="72"/>
      <c r="M155" s="72"/>
      <c r="N155" s="72"/>
      <c r="O155" s="72"/>
      <c r="P155" s="72"/>
    </row>
    <row r="156" spans="2:16" x14ac:dyDescent="0.2">
      <c r="B156" s="72"/>
      <c r="C156" s="72"/>
      <c r="D156" s="72"/>
      <c r="E156" s="72"/>
      <c r="F156" s="72"/>
      <c r="G156" s="72"/>
      <c r="H156" s="72"/>
      <c r="J156" s="20"/>
      <c r="K156" s="72"/>
      <c r="L156" s="72"/>
      <c r="M156" s="72"/>
      <c r="N156" s="72"/>
      <c r="O156" s="72"/>
      <c r="P156" s="72"/>
    </row>
    <row r="157" spans="2:16" x14ac:dyDescent="0.2">
      <c r="B157" s="123" t="s">
        <v>676</v>
      </c>
      <c r="C157" s="72"/>
      <c r="D157" s="72"/>
      <c r="E157" s="72"/>
      <c r="F157" s="72"/>
      <c r="G157" s="72"/>
      <c r="H157" s="72"/>
      <c r="J157" s="20"/>
      <c r="K157" s="72"/>
      <c r="L157" s="72"/>
      <c r="M157" s="72"/>
      <c r="N157" s="72"/>
      <c r="O157" s="72"/>
      <c r="P157" s="72"/>
    </row>
    <row r="158" spans="2:16" x14ac:dyDescent="0.2">
      <c r="J158" s="20"/>
      <c r="K158" s="72"/>
      <c r="L158" s="72"/>
      <c r="M158" s="72"/>
      <c r="N158" s="72"/>
      <c r="O158" s="72"/>
    </row>
    <row r="159" spans="2:16" x14ac:dyDescent="0.2">
      <c r="B159" s="123" t="s">
        <v>677</v>
      </c>
      <c r="J159" s="20"/>
      <c r="K159" s="72"/>
      <c r="L159" s="72"/>
      <c r="M159" s="72"/>
      <c r="N159" s="72"/>
      <c r="O159" s="72"/>
    </row>
    <row r="160" spans="2:16" x14ac:dyDescent="0.2">
      <c r="J160" s="20"/>
    </row>
    <row r="161" spans="2:10" x14ac:dyDescent="0.2">
      <c r="B161" s="90" t="s">
        <v>628</v>
      </c>
    </row>
    <row r="163" spans="2:10" ht="153.75" customHeight="1" x14ac:dyDescent="0.2"/>
    <row r="166" spans="2:10" x14ac:dyDescent="0.2">
      <c r="B166" s="91" t="s">
        <v>629</v>
      </c>
      <c r="C166" s="92"/>
      <c r="D166" s="91"/>
    </row>
    <row r="167" spans="2:10" x14ac:dyDescent="0.2">
      <c r="B167" s="91" t="s">
        <v>738</v>
      </c>
      <c r="D167" s="91"/>
    </row>
    <row r="168" spans="2:10" ht="165" customHeight="1" x14ac:dyDescent="0.2"/>
    <row r="170" spans="2:10" x14ac:dyDescent="0.2">
      <c r="J170" s="20"/>
    </row>
    <row r="171" spans="2:10" x14ac:dyDescent="0.2">
      <c r="J171" s="20"/>
    </row>
    <row r="172" spans="2:10" x14ac:dyDescent="0.2">
      <c r="J172" s="20"/>
    </row>
    <row r="173" spans="2:10" x14ac:dyDescent="0.2">
      <c r="J173" s="20"/>
    </row>
    <row r="174" spans="2:10" x14ac:dyDescent="0.2">
      <c r="J174" s="20"/>
    </row>
    <row r="177" s="17" customFormat="1" x14ac:dyDescent="0.2"/>
    <row r="178" s="17" customFormat="1" x14ac:dyDescent="0.2"/>
    <row r="179" s="17" customFormat="1" x14ac:dyDescent="0.2"/>
    <row r="180" s="17" customFormat="1" x14ac:dyDescent="0.2"/>
  </sheetData>
  <mergeCells count="39">
    <mergeCell ref="B129:C129"/>
    <mergeCell ref="B132:C132"/>
    <mergeCell ref="B120:C120"/>
    <mergeCell ref="B128:C128"/>
    <mergeCell ref="B127:C127"/>
    <mergeCell ref="B131:D131"/>
    <mergeCell ref="B103:H103"/>
    <mergeCell ref="B105:D105"/>
    <mergeCell ref="B106:C106"/>
    <mergeCell ref="B107:C107"/>
    <mergeCell ref="B108:C108"/>
    <mergeCell ref="A1:H1"/>
    <mergeCell ref="A2:H2"/>
    <mergeCell ref="A3:H3"/>
    <mergeCell ref="B101:H101"/>
    <mergeCell ref="B102:H102"/>
    <mergeCell ref="B133:C133"/>
    <mergeCell ref="B134:C134"/>
    <mergeCell ref="B135:C135"/>
    <mergeCell ref="B136:C136"/>
    <mergeCell ref="B137:C137"/>
    <mergeCell ref="B138:C138"/>
    <mergeCell ref="B139:C139"/>
    <mergeCell ref="B140:C140"/>
    <mergeCell ref="B141:D141"/>
    <mergeCell ref="B143:H143"/>
    <mergeCell ref="D144:F144"/>
    <mergeCell ref="G144:H144"/>
    <mergeCell ref="D145:F145"/>
    <mergeCell ref="G145:H145"/>
    <mergeCell ref="D146:F146"/>
    <mergeCell ref="G146:H146"/>
    <mergeCell ref="I148:I149"/>
    <mergeCell ref="J148:J149"/>
    <mergeCell ref="B147:H147"/>
    <mergeCell ref="B148:B149"/>
    <mergeCell ref="C148:C149"/>
    <mergeCell ref="D148:G148"/>
    <mergeCell ref="H148:H149"/>
  </mergeCells>
  <hyperlinks>
    <hyperlink ref="I1" location="Index!B2" display="Index" xr:uid="{52113704-249C-4609-9BAC-E0805C819F71}"/>
    <hyperlink ref="B155" r:id="rId1" xr:uid="{9D23B4F9-CE66-4B5A-8DB3-DE36F25911AB}"/>
    <hyperlink ref="B157" r:id="rId2" xr:uid="{6747D73D-E8E7-48E3-83A9-232358E2A40F}"/>
    <hyperlink ref="B159" r:id="rId3" xr:uid="{F1C30AE7-D25C-45CC-A799-DB3959F3D56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AAAC-1187-4C30-B693-1ED098A49829}">
  <sheetPr>
    <outlinePr summaryBelow="0" summaryRight="0"/>
  </sheetPr>
  <dimension ref="A1:U119"/>
  <sheetViews>
    <sheetView showGridLines="0" workbookViewId="0">
      <selection sqref="A1:H1"/>
    </sheetView>
  </sheetViews>
  <sheetFormatPr defaultRowHeight="12.75" x14ac:dyDescent="0.2"/>
  <cols>
    <col min="1" max="1" width="5.85546875" style="17" bestFit="1" customWidth="1"/>
    <col min="2" max="2" width="20.7109375" style="17" customWidth="1"/>
    <col min="3" max="3" width="39.140625" style="17" bestFit="1" customWidth="1"/>
    <col min="4" max="4" width="10.7109375" style="17" bestFit="1" customWidth="1"/>
    <col min="5" max="5" width="8.7109375" style="17" bestFit="1" customWidth="1"/>
    <col min="6" max="6" width="10.140625" style="17" bestFit="1" customWidth="1"/>
    <col min="7" max="7" width="14" style="17" bestFit="1" customWidth="1"/>
    <col min="8" max="8" width="9.85546875" style="17" bestFit="1" customWidth="1"/>
    <col min="9" max="16384" width="9.140625" style="17"/>
  </cols>
  <sheetData>
    <row r="1" spans="1:9" ht="15" x14ac:dyDescent="0.2">
      <c r="A1" s="16" t="s">
        <v>0</v>
      </c>
      <c r="B1" s="16"/>
      <c r="C1" s="16"/>
      <c r="D1" s="16"/>
      <c r="E1" s="16"/>
      <c r="F1" s="16"/>
      <c r="G1" s="16"/>
      <c r="H1" s="16"/>
      <c r="I1" s="1" t="s">
        <v>599</v>
      </c>
    </row>
    <row r="2" spans="1:9" ht="15" x14ac:dyDescent="0.2">
      <c r="A2" s="16" t="s">
        <v>591</v>
      </c>
      <c r="B2" s="16"/>
      <c r="C2" s="16"/>
      <c r="D2" s="16"/>
      <c r="E2" s="16"/>
      <c r="F2" s="16"/>
      <c r="G2" s="16"/>
      <c r="H2" s="16"/>
    </row>
    <row r="3" spans="1:9" ht="15" x14ac:dyDescent="0.2">
      <c r="A3" s="16" t="s">
        <v>600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755</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24"/>
      <c r="B28" s="24"/>
      <c r="C28" s="25" t="s">
        <v>11</v>
      </c>
      <c r="D28" s="24"/>
      <c r="E28" s="24" t="s">
        <v>12</v>
      </c>
      <c r="F28" s="26" t="s">
        <v>13</v>
      </c>
      <c r="G28" s="27">
        <v>0</v>
      </c>
      <c r="H28" s="23" t="s">
        <v>12</v>
      </c>
    </row>
    <row r="29" spans="1:8" x14ac:dyDescent="0.2">
      <c r="A29" s="24"/>
      <c r="B29" s="24"/>
      <c r="C29" s="28"/>
      <c r="D29" s="24"/>
      <c r="E29" s="24"/>
      <c r="F29" s="29"/>
      <c r="G29" s="29"/>
      <c r="H29" s="23" t="s">
        <v>12</v>
      </c>
    </row>
    <row r="30" spans="1:8" x14ac:dyDescent="0.2">
      <c r="A30" s="24"/>
      <c r="B30" s="24"/>
      <c r="C30" s="25" t="s">
        <v>77</v>
      </c>
      <c r="D30" s="24"/>
      <c r="E30" s="24"/>
      <c r="F30" s="24"/>
      <c r="G30" s="24"/>
      <c r="H30" s="23" t="s">
        <v>12</v>
      </c>
    </row>
    <row r="31" spans="1:8" x14ac:dyDescent="0.2">
      <c r="A31" s="24"/>
      <c r="B31" s="24"/>
      <c r="C31" s="25" t="s">
        <v>11</v>
      </c>
      <c r="D31" s="24"/>
      <c r="E31" s="24" t="s">
        <v>12</v>
      </c>
      <c r="F31" s="26" t="s">
        <v>13</v>
      </c>
      <c r="G31" s="27">
        <v>0</v>
      </c>
      <c r="H31" s="23" t="s">
        <v>12</v>
      </c>
    </row>
    <row r="32" spans="1:8" x14ac:dyDescent="0.2">
      <c r="A32" s="24"/>
      <c r="B32" s="24"/>
      <c r="C32" s="28"/>
      <c r="D32" s="24"/>
      <c r="E32" s="24"/>
      <c r="F32" s="29"/>
      <c r="G32" s="29"/>
      <c r="H32" s="23" t="s">
        <v>12</v>
      </c>
    </row>
    <row r="33" spans="1:8" x14ac:dyDescent="0.2">
      <c r="A33" s="24"/>
      <c r="B33" s="24"/>
      <c r="C33" s="25" t="s">
        <v>78</v>
      </c>
      <c r="D33" s="24"/>
      <c r="E33" s="24"/>
      <c r="F33" s="24"/>
      <c r="G33" s="24"/>
      <c r="H33" s="23" t="s">
        <v>12</v>
      </c>
    </row>
    <row r="34" spans="1:8" x14ac:dyDescent="0.2">
      <c r="A34" s="24"/>
      <c r="B34" s="24"/>
      <c r="C34" s="25" t="s">
        <v>11</v>
      </c>
      <c r="D34" s="24"/>
      <c r="E34" s="24" t="s">
        <v>12</v>
      </c>
      <c r="F34" s="26" t="s">
        <v>13</v>
      </c>
      <c r="G34" s="27">
        <v>0</v>
      </c>
      <c r="H34" s="23" t="s">
        <v>12</v>
      </c>
    </row>
    <row r="35" spans="1:8" x14ac:dyDescent="0.2">
      <c r="A35" s="24"/>
      <c r="B35" s="24"/>
      <c r="C35" s="28"/>
      <c r="D35" s="24"/>
      <c r="E35" s="24"/>
      <c r="F35" s="29"/>
      <c r="G35" s="29"/>
      <c r="H35" s="23" t="s">
        <v>12</v>
      </c>
    </row>
    <row r="36" spans="1:8" x14ac:dyDescent="0.2">
      <c r="A36" s="24"/>
      <c r="B36" s="24"/>
      <c r="C36" s="25" t="s">
        <v>98</v>
      </c>
      <c r="D36" s="24"/>
      <c r="E36" s="24"/>
      <c r="F36" s="29"/>
      <c r="G36" s="29"/>
      <c r="H36" s="23" t="s">
        <v>12</v>
      </c>
    </row>
    <row r="37" spans="1:8" x14ac:dyDescent="0.2">
      <c r="A37" s="24"/>
      <c r="B37" s="24"/>
      <c r="C37" s="25" t="s">
        <v>11</v>
      </c>
      <c r="D37" s="24"/>
      <c r="E37" s="24" t="s">
        <v>12</v>
      </c>
      <c r="F37" s="26" t="s">
        <v>13</v>
      </c>
      <c r="G37" s="27">
        <v>0</v>
      </c>
      <c r="H37" s="23" t="s">
        <v>12</v>
      </c>
    </row>
    <row r="38" spans="1:8" x14ac:dyDescent="0.2">
      <c r="A38" s="24"/>
      <c r="B38" s="24"/>
      <c r="C38" s="28"/>
      <c r="D38" s="24"/>
      <c r="E38" s="24"/>
      <c r="F38" s="29"/>
      <c r="G38" s="29"/>
      <c r="H38" s="23" t="s">
        <v>12</v>
      </c>
    </row>
    <row r="39" spans="1:8" x14ac:dyDescent="0.2">
      <c r="A39" s="24"/>
      <c r="B39" s="24"/>
      <c r="C39" s="25" t="s">
        <v>99</v>
      </c>
      <c r="D39" s="24"/>
      <c r="E39" s="24"/>
      <c r="F39" s="30">
        <v>0</v>
      </c>
      <c r="G39" s="27">
        <v>0</v>
      </c>
      <c r="H39" s="23" t="s">
        <v>12</v>
      </c>
    </row>
    <row r="40" spans="1:8" x14ac:dyDescent="0.2">
      <c r="A40" s="24"/>
      <c r="B40" s="24"/>
      <c r="C40" s="28"/>
      <c r="D40" s="24"/>
      <c r="E40" s="24"/>
      <c r="F40" s="29"/>
      <c r="G40" s="29"/>
      <c r="H40" s="23" t="s">
        <v>12</v>
      </c>
    </row>
    <row r="41" spans="1:8" x14ac:dyDescent="0.2">
      <c r="A41" s="24"/>
      <c r="B41" s="24"/>
      <c r="C41" s="25" t="s">
        <v>100</v>
      </c>
      <c r="D41" s="24"/>
      <c r="E41" s="24"/>
      <c r="F41" s="29"/>
      <c r="G41" s="29"/>
      <c r="H41" s="23" t="s">
        <v>12</v>
      </c>
    </row>
    <row r="42" spans="1:8" x14ac:dyDescent="0.2">
      <c r="A42" s="24"/>
      <c r="B42" s="24"/>
      <c r="C42" s="25" t="s">
        <v>101</v>
      </c>
      <c r="D42" s="24"/>
      <c r="E42" s="24"/>
      <c r="F42" s="29"/>
      <c r="G42" s="29"/>
      <c r="H42" s="23" t="s">
        <v>12</v>
      </c>
    </row>
    <row r="43" spans="1:8" x14ac:dyDescent="0.2">
      <c r="A43" s="24"/>
      <c r="B43" s="24"/>
      <c r="C43" s="25" t="s">
        <v>11</v>
      </c>
      <c r="D43" s="24"/>
      <c r="E43" s="24" t="s">
        <v>12</v>
      </c>
      <c r="F43" s="26" t="s">
        <v>13</v>
      </c>
      <c r="G43" s="27">
        <v>0</v>
      </c>
      <c r="H43" s="23" t="s">
        <v>12</v>
      </c>
    </row>
    <row r="44" spans="1:8" x14ac:dyDescent="0.2">
      <c r="A44" s="24"/>
      <c r="B44" s="24"/>
      <c r="C44" s="28"/>
      <c r="D44" s="24"/>
      <c r="E44" s="24"/>
      <c r="F44" s="29"/>
      <c r="G44" s="29"/>
      <c r="H44" s="23" t="s">
        <v>12</v>
      </c>
    </row>
    <row r="45" spans="1:8" x14ac:dyDescent="0.2">
      <c r="A45" s="24"/>
      <c r="B45" s="24"/>
      <c r="C45" s="25" t="s">
        <v>111</v>
      </c>
      <c r="D45" s="24"/>
      <c r="E45" s="24"/>
      <c r="F45" s="29"/>
      <c r="G45" s="29"/>
      <c r="H45" s="23" t="s">
        <v>12</v>
      </c>
    </row>
    <row r="46" spans="1:8" x14ac:dyDescent="0.2">
      <c r="A46" s="24"/>
      <c r="B46" s="24"/>
      <c r="C46" s="25" t="s">
        <v>11</v>
      </c>
      <c r="D46" s="24"/>
      <c r="E46" s="24" t="s">
        <v>12</v>
      </c>
      <c r="F46" s="26" t="s">
        <v>13</v>
      </c>
      <c r="G46" s="27">
        <v>0</v>
      </c>
      <c r="H46" s="23" t="s">
        <v>12</v>
      </c>
    </row>
    <row r="47" spans="1:8" x14ac:dyDescent="0.2">
      <c r="A47" s="24"/>
      <c r="B47" s="24"/>
      <c r="C47" s="28"/>
      <c r="D47" s="24"/>
      <c r="E47" s="24"/>
      <c r="F47" s="29"/>
      <c r="G47" s="29"/>
      <c r="H47" s="23" t="s">
        <v>12</v>
      </c>
    </row>
    <row r="48" spans="1:8" x14ac:dyDescent="0.2">
      <c r="A48" s="24"/>
      <c r="B48" s="24"/>
      <c r="C48" s="25" t="s">
        <v>112</v>
      </c>
      <c r="D48" s="24"/>
      <c r="E48" s="24"/>
      <c r="F48" s="29"/>
      <c r="G48" s="29"/>
      <c r="H48" s="23" t="s">
        <v>12</v>
      </c>
    </row>
    <row r="49" spans="1:8" x14ac:dyDescent="0.2">
      <c r="A49" s="31">
        <v>1</v>
      </c>
      <c r="B49" s="32" t="s">
        <v>592</v>
      </c>
      <c r="C49" s="32" t="s">
        <v>593</v>
      </c>
      <c r="D49" s="32" t="s">
        <v>81</v>
      </c>
      <c r="E49" s="33">
        <v>1500000</v>
      </c>
      <c r="F49" s="34">
        <v>1497.8040000000001</v>
      </c>
      <c r="G49" s="35">
        <v>2.2639280000000001E-2</v>
      </c>
      <c r="H49" s="23">
        <v>5.35</v>
      </c>
    </row>
    <row r="50" spans="1:8" x14ac:dyDescent="0.2">
      <c r="A50" s="31">
        <v>2</v>
      </c>
      <c r="B50" s="32" t="s">
        <v>594</v>
      </c>
      <c r="C50" s="32" t="s">
        <v>595</v>
      </c>
      <c r="D50" s="32" t="s">
        <v>81</v>
      </c>
      <c r="E50" s="33">
        <v>1000000</v>
      </c>
      <c r="F50" s="34">
        <v>997.67700000000002</v>
      </c>
      <c r="G50" s="35">
        <v>1.507987E-2</v>
      </c>
      <c r="H50" s="23">
        <v>5.3114999999999997</v>
      </c>
    </row>
    <row r="51" spans="1:8" x14ac:dyDescent="0.2">
      <c r="A51" s="31">
        <v>3</v>
      </c>
      <c r="B51" s="32" t="s">
        <v>596</v>
      </c>
      <c r="C51" s="32" t="s">
        <v>597</v>
      </c>
      <c r="D51" s="32" t="s">
        <v>81</v>
      </c>
      <c r="E51" s="33">
        <v>500000</v>
      </c>
      <c r="F51" s="34">
        <v>499.34449999999998</v>
      </c>
      <c r="G51" s="35">
        <v>7.5475799999999999E-3</v>
      </c>
      <c r="H51" s="23">
        <v>5.3250000000000002</v>
      </c>
    </row>
    <row r="52" spans="1:8" x14ac:dyDescent="0.2">
      <c r="A52" s="24"/>
      <c r="B52" s="24"/>
      <c r="C52" s="25" t="s">
        <v>11</v>
      </c>
      <c r="D52" s="24"/>
      <c r="E52" s="24" t="s">
        <v>12</v>
      </c>
      <c r="F52" s="30">
        <v>2994.8254999999999</v>
      </c>
      <c r="G52" s="27">
        <v>4.5266729999999998E-2</v>
      </c>
      <c r="H52" s="23" t="s">
        <v>12</v>
      </c>
    </row>
    <row r="53" spans="1:8" x14ac:dyDescent="0.2">
      <c r="A53" s="24"/>
      <c r="B53" s="24"/>
      <c r="C53" s="28"/>
      <c r="D53" s="24"/>
      <c r="E53" s="24"/>
      <c r="F53" s="29"/>
      <c r="G53" s="29"/>
      <c r="H53" s="23" t="s">
        <v>12</v>
      </c>
    </row>
    <row r="54" spans="1:8" x14ac:dyDescent="0.2">
      <c r="A54" s="24"/>
      <c r="B54" s="24"/>
      <c r="C54" s="25" t="s">
        <v>113</v>
      </c>
      <c r="D54" s="24"/>
      <c r="E54" s="24"/>
      <c r="F54" s="29"/>
      <c r="G54" s="29"/>
      <c r="H54" s="23" t="s">
        <v>12</v>
      </c>
    </row>
    <row r="55" spans="1:8" x14ac:dyDescent="0.2">
      <c r="A55" s="31">
        <v>1</v>
      </c>
      <c r="B55" s="32"/>
      <c r="C55" s="32" t="s">
        <v>114</v>
      </c>
      <c r="D55" s="32"/>
      <c r="E55" s="36"/>
      <c r="F55" s="34">
        <v>62755.536106902997</v>
      </c>
      <c r="G55" s="35">
        <v>0.94854883999999995</v>
      </c>
      <c r="H55" s="23">
        <v>5.47</v>
      </c>
    </row>
    <row r="56" spans="1:8" x14ac:dyDescent="0.2">
      <c r="A56" s="24"/>
      <c r="B56" s="24"/>
      <c r="C56" s="25" t="s">
        <v>11</v>
      </c>
      <c r="D56" s="24"/>
      <c r="E56" s="24" t="s">
        <v>12</v>
      </c>
      <c r="F56" s="30">
        <v>62755.536106902997</v>
      </c>
      <c r="G56" s="27">
        <v>0.94854883999999995</v>
      </c>
      <c r="H56" s="23" t="s">
        <v>12</v>
      </c>
    </row>
    <row r="57" spans="1:8" x14ac:dyDescent="0.2">
      <c r="A57" s="24"/>
      <c r="B57" s="24"/>
      <c r="C57" s="28"/>
      <c r="D57" s="24"/>
      <c r="E57" s="24"/>
      <c r="F57" s="29"/>
      <c r="G57" s="29"/>
      <c r="H57" s="23" t="s">
        <v>12</v>
      </c>
    </row>
    <row r="58" spans="1:8" x14ac:dyDescent="0.2">
      <c r="A58" s="24"/>
      <c r="B58" s="24"/>
      <c r="C58" s="25" t="s">
        <v>115</v>
      </c>
      <c r="D58" s="24"/>
      <c r="E58" s="24"/>
      <c r="F58" s="30">
        <v>65750.361606902996</v>
      </c>
      <c r="G58" s="27">
        <v>0.99381556999999998</v>
      </c>
      <c r="H58" s="23" t="s">
        <v>12</v>
      </c>
    </row>
    <row r="59" spans="1:8" x14ac:dyDescent="0.2">
      <c r="A59" s="24"/>
      <c r="B59" s="24"/>
      <c r="C59" s="29"/>
      <c r="D59" s="24"/>
      <c r="E59" s="24"/>
      <c r="F59" s="24"/>
      <c r="G59" s="24"/>
      <c r="H59" s="23" t="s">
        <v>12</v>
      </c>
    </row>
    <row r="60" spans="1:8" x14ac:dyDescent="0.2">
      <c r="A60" s="24"/>
      <c r="B60" s="24"/>
      <c r="C60" s="25" t="s">
        <v>116</v>
      </c>
      <c r="D60" s="24"/>
      <c r="E60" s="24"/>
      <c r="F60" s="24"/>
      <c r="G60" s="24"/>
      <c r="H60" s="23" t="s">
        <v>12</v>
      </c>
    </row>
    <row r="61" spans="1:8" x14ac:dyDescent="0.2">
      <c r="A61" s="24"/>
      <c r="B61" s="24"/>
      <c r="C61" s="25" t="s">
        <v>117</v>
      </c>
      <c r="D61" s="24"/>
      <c r="E61" s="24"/>
      <c r="F61" s="24"/>
      <c r="G61" s="24"/>
      <c r="H61" s="23" t="s">
        <v>12</v>
      </c>
    </row>
    <row r="62" spans="1:8" x14ac:dyDescent="0.2">
      <c r="A62" s="24"/>
      <c r="B62" s="24"/>
      <c r="C62" s="25" t="s">
        <v>11</v>
      </c>
      <c r="D62" s="24"/>
      <c r="E62" s="24" t="s">
        <v>12</v>
      </c>
      <c r="F62" s="26" t="s">
        <v>13</v>
      </c>
      <c r="G62" s="27">
        <v>0</v>
      </c>
      <c r="H62" s="23" t="s">
        <v>12</v>
      </c>
    </row>
    <row r="63" spans="1:8" x14ac:dyDescent="0.2">
      <c r="A63" s="24"/>
      <c r="B63" s="24"/>
      <c r="C63" s="28"/>
      <c r="D63" s="24"/>
      <c r="E63" s="24"/>
      <c r="F63" s="29"/>
      <c r="G63" s="29"/>
      <c r="H63" s="23" t="s">
        <v>12</v>
      </c>
    </row>
    <row r="64" spans="1:8" x14ac:dyDescent="0.2">
      <c r="A64" s="24"/>
      <c r="B64" s="24"/>
      <c r="C64" s="25" t="s">
        <v>120</v>
      </c>
      <c r="D64" s="24"/>
      <c r="E64" s="24"/>
      <c r="F64" s="24"/>
      <c r="G64" s="24"/>
      <c r="H64" s="23" t="s">
        <v>12</v>
      </c>
    </row>
    <row r="65" spans="1:8" x14ac:dyDescent="0.2">
      <c r="A65" s="24"/>
      <c r="B65" s="24"/>
      <c r="C65" s="25" t="s">
        <v>121</v>
      </c>
      <c r="D65" s="24"/>
      <c r="E65" s="24"/>
      <c r="F65" s="24"/>
      <c r="G65" s="24"/>
      <c r="H65" s="23" t="s">
        <v>12</v>
      </c>
    </row>
    <row r="66" spans="1:8" x14ac:dyDescent="0.2">
      <c r="A66" s="24"/>
      <c r="B66" s="24"/>
      <c r="C66" s="25" t="s">
        <v>11</v>
      </c>
      <c r="D66" s="24"/>
      <c r="E66" s="24" t="s">
        <v>12</v>
      </c>
      <c r="F66" s="26" t="s">
        <v>13</v>
      </c>
      <c r="G66" s="27">
        <v>0</v>
      </c>
      <c r="H66" s="23" t="s">
        <v>12</v>
      </c>
    </row>
    <row r="67" spans="1:8" x14ac:dyDescent="0.2">
      <c r="A67" s="24"/>
      <c r="B67" s="24"/>
      <c r="C67" s="28"/>
      <c r="D67" s="24"/>
      <c r="E67" s="24"/>
      <c r="F67" s="29"/>
      <c r="G67" s="29"/>
      <c r="H67" s="23" t="s">
        <v>12</v>
      </c>
    </row>
    <row r="68" spans="1:8" x14ac:dyDescent="0.2">
      <c r="A68" s="24"/>
      <c r="B68" s="24"/>
      <c r="C68" s="25" t="s">
        <v>122</v>
      </c>
      <c r="D68" s="24"/>
      <c r="E68" s="24"/>
      <c r="F68" s="29"/>
      <c r="G68" s="29"/>
      <c r="H68" s="23" t="s">
        <v>12</v>
      </c>
    </row>
    <row r="69" spans="1:8" x14ac:dyDescent="0.2">
      <c r="A69" s="24"/>
      <c r="B69" s="24"/>
      <c r="C69" s="25" t="s">
        <v>11</v>
      </c>
      <c r="D69" s="24"/>
      <c r="E69" s="24" t="s">
        <v>12</v>
      </c>
      <c r="F69" s="26" t="s">
        <v>13</v>
      </c>
      <c r="G69" s="27">
        <v>0</v>
      </c>
      <c r="H69" s="23" t="s">
        <v>12</v>
      </c>
    </row>
    <row r="70" spans="1:8" x14ac:dyDescent="0.2">
      <c r="A70" s="24"/>
      <c r="B70" s="32"/>
      <c r="C70" s="32"/>
      <c r="D70" s="25"/>
      <c r="E70" s="24"/>
      <c r="F70" s="32"/>
      <c r="G70" s="36"/>
      <c r="H70" s="23" t="s">
        <v>12</v>
      </c>
    </row>
    <row r="71" spans="1:8" x14ac:dyDescent="0.2">
      <c r="A71" s="36"/>
      <c r="B71" s="32"/>
      <c r="C71" s="32" t="s">
        <v>123</v>
      </c>
      <c r="D71" s="32"/>
      <c r="E71" s="36"/>
      <c r="F71" s="34">
        <f>409.15858538-0.000316162996292114</f>
        <v>409.15826921700369</v>
      </c>
      <c r="G71" s="35">
        <v>6.1844300000000003E-3</v>
      </c>
      <c r="H71" s="23" t="s">
        <v>12</v>
      </c>
    </row>
    <row r="72" spans="1:8" x14ac:dyDescent="0.2">
      <c r="A72" s="28"/>
      <c r="B72" s="28"/>
      <c r="C72" s="25" t="s">
        <v>124</v>
      </c>
      <c r="D72" s="29"/>
      <c r="E72" s="29"/>
      <c r="F72" s="30">
        <f>66159.520192283-0.000316162996292114</f>
        <v>66159.519876120001</v>
      </c>
      <c r="G72" s="37">
        <v>1</v>
      </c>
      <c r="H72" s="23" t="s">
        <v>12</v>
      </c>
    </row>
    <row r="73" spans="1:8" x14ac:dyDescent="0.2">
      <c r="A73" s="38"/>
      <c r="B73" s="38"/>
      <c r="C73" s="38"/>
      <c r="D73" s="39"/>
      <c r="E73" s="39"/>
      <c r="F73" s="39"/>
      <c r="G73" s="39"/>
    </row>
    <row r="74" spans="1:8" x14ac:dyDescent="0.2">
      <c r="A74" s="40"/>
      <c r="B74" s="41" t="s">
        <v>614</v>
      </c>
      <c r="C74" s="41"/>
      <c r="D74" s="41"/>
      <c r="E74" s="41"/>
      <c r="F74" s="41"/>
      <c r="G74" s="41"/>
      <c r="H74" s="41"/>
    </row>
    <row r="75" spans="1:8" x14ac:dyDescent="0.2">
      <c r="A75" s="40"/>
      <c r="B75" s="41" t="s">
        <v>615</v>
      </c>
      <c r="C75" s="41"/>
      <c r="D75" s="41"/>
      <c r="E75" s="41"/>
      <c r="F75" s="41"/>
      <c r="G75" s="41"/>
      <c r="H75" s="41"/>
    </row>
    <row r="76" spans="1:8" x14ac:dyDescent="0.2">
      <c r="A76" s="40"/>
      <c r="B76" s="41" t="s">
        <v>616</v>
      </c>
      <c r="C76" s="41"/>
      <c r="D76" s="41"/>
      <c r="E76" s="41"/>
      <c r="F76" s="41"/>
      <c r="G76" s="41"/>
      <c r="H76" s="41"/>
    </row>
    <row r="77" spans="1:8" x14ac:dyDescent="0.2">
      <c r="A77" s="42"/>
      <c r="B77" s="42"/>
      <c r="C77" s="42"/>
      <c r="D77" s="43"/>
      <c r="E77" s="43"/>
      <c r="F77" s="43"/>
      <c r="G77" s="43"/>
    </row>
    <row r="78" spans="1:8" x14ac:dyDescent="0.2">
      <c r="A78" s="40"/>
      <c r="B78" s="44" t="s">
        <v>125</v>
      </c>
      <c r="C78" s="45"/>
      <c r="D78" s="46"/>
      <c r="E78" s="47"/>
      <c r="F78" s="48"/>
      <c r="G78" s="48"/>
    </row>
    <row r="79" spans="1:8" x14ac:dyDescent="0.2">
      <c r="A79" s="40"/>
      <c r="B79" s="49" t="s">
        <v>126</v>
      </c>
      <c r="C79" s="50"/>
      <c r="D79" s="22" t="s">
        <v>127</v>
      </c>
      <c r="E79" s="47"/>
      <c r="F79" s="48"/>
      <c r="G79" s="48"/>
    </row>
    <row r="80" spans="1:8" x14ac:dyDescent="0.2">
      <c r="A80" s="40"/>
      <c r="B80" s="49" t="s">
        <v>128</v>
      </c>
      <c r="C80" s="50"/>
      <c r="D80" s="22" t="s">
        <v>127</v>
      </c>
      <c r="E80" s="47"/>
      <c r="F80" s="48"/>
      <c r="G80" s="48"/>
    </row>
    <row r="81" spans="1:9" x14ac:dyDescent="0.2">
      <c r="A81" s="40"/>
      <c r="B81" s="49" t="s">
        <v>129</v>
      </c>
      <c r="C81" s="50"/>
      <c r="D81" s="51" t="s">
        <v>12</v>
      </c>
      <c r="E81" s="47"/>
      <c r="F81" s="48"/>
      <c r="G81" s="48"/>
    </row>
    <row r="82" spans="1:9" x14ac:dyDescent="0.2">
      <c r="A82" s="52"/>
      <c r="B82" s="53" t="s">
        <v>12</v>
      </c>
      <c r="C82" s="53" t="s">
        <v>617</v>
      </c>
      <c r="D82" s="53" t="s">
        <v>130</v>
      </c>
      <c r="E82" s="52"/>
      <c r="F82" s="52"/>
      <c r="G82" s="52"/>
    </row>
    <row r="83" spans="1:9" x14ac:dyDescent="0.2">
      <c r="A83" s="52"/>
      <c r="B83" s="54" t="s">
        <v>131</v>
      </c>
      <c r="C83" s="55">
        <v>45823</v>
      </c>
      <c r="D83" s="55">
        <v>45838</v>
      </c>
      <c r="E83" s="52"/>
      <c r="F83" s="52"/>
      <c r="G83" s="52"/>
    </row>
    <row r="84" spans="1:9" x14ac:dyDescent="0.2">
      <c r="A84" s="56"/>
      <c r="B84" s="32" t="s">
        <v>132</v>
      </c>
      <c r="C84" s="57">
        <v>1372.8844999999999</v>
      </c>
      <c r="D84" s="57">
        <v>1375.8294000000001</v>
      </c>
      <c r="E84" s="56"/>
      <c r="F84" s="58"/>
      <c r="G84" s="59"/>
    </row>
    <row r="85" spans="1:9" ht="25.5" x14ac:dyDescent="0.2">
      <c r="A85" s="56"/>
      <c r="B85" s="32" t="s">
        <v>743</v>
      </c>
      <c r="C85" s="57">
        <v>1046.6632999999999</v>
      </c>
      <c r="D85" s="57">
        <v>1043.6790000000001</v>
      </c>
      <c r="E85" s="56"/>
      <c r="F85" s="58"/>
      <c r="G85" s="59"/>
    </row>
    <row r="86" spans="1:9" x14ac:dyDescent="0.2">
      <c r="A86" s="56"/>
      <c r="B86" s="32" t="s">
        <v>133</v>
      </c>
      <c r="C86" s="57">
        <v>1364.5145</v>
      </c>
      <c r="D86" s="57">
        <v>1367.3851</v>
      </c>
      <c r="E86" s="56"/>
      <c r="F86" s="58"/>
      <c r="G86" s="59"/>
    </row>
    <row r="87" spans="1:9" ht="25.5" x14ac:dyDescent="0.2">
      <c r="A87" s="56"/>
      <c r="B87" s="32" t="s">
        <v>747</v>
      </c>
      <c r="C87" s="57">
        <v>1042.7582</v>
      </c>
      <c r="D87" s="57">
        <v>1039.7447999999999</v>
      </c>
      <c r="E87" s="56"/>
      <c r="F87" s="58"/>
      <c r="G87" s="59"/>
    </row>
    <row r="88" spans="1:9" x14ac:dyDescent="0.2">
      <c r="A88" s="56"/>
      <c r="B88" s="56"/>
      <c r="C88" s="56"/>
      <c r="D88" s="56"/>
      <c r="E88" s="56"/>
      <c r="F88" s="56"/>
      <c r="G88" s="56"/>
    </row>
    <row r="89" spans="1:9" x14ac:dyDescent="0.2">
      <c r="A89" s="56"/>
      <c r="B89" s="60" t="s">
        <v>739</v>
      </c>
      <c r="C89" s="61"/>
      <c r="D89" s="25" t="s">
        <v>12</v>
      </c>
      <c r="E89" s="56"/>
      <c r="F89" s="56"/>
      <c r="G89" s="56"/>
    </row>
    <row r="90" spans="1:9" x14ac:dyDescent="0.2">
      <c r="A90" s="56"/>
      <c r="B90" s="62" t="s">
        <v>131</v>
      </c>
      <c r="C90" s="63" t="s">
        <v>134</v>
      </c>
      <c r="D90" s="63" t="s">
        <v>135</v>
      </c>
      <c r="E90" s="56"/>
      <c r="F90" s="56"/>
      <c r="G90" s="56"/>
    </row>
    <row r="91" spans="1:9" ht="25.5" x14ac:dyDescent="0.2">
      <c r="A91" s="56"/>
      <c r="B91" s="32" t="s">
        <v>743</v>
      </c>
      <c r="C91" s="64">
        <v>5.22</v>
      </c>
      <c r="D91" s="36" t="s">
        <v>136</v>
      </c>
      <c r="E91" s="56"/>
      <c r="F91" s="58"/>
      <c r="G91" s="59"/>
    </row>
    <row r="92" spans="1:9" ht="25.5" x14ac:dyDescent="0.2">
      <c r="A92" s="56"/>
      <c r="B92" s="32" t="s">
        <v>747</v>
      </c>
      <c r="C92" s="64">
        <v>5.202</v>
      </c>
      <c r="D92" s="36" t="s">
        <v>136</v>
      </c>
      <c r="E92" s="56"/>
      <c r="F92" s="58"/>
      <c r="G92" s="59"/>
    </row>
    <row r="93" spans="1:9" x14ac:dyDescent="0.2">
      <c r="A93" s="56"/>
      <c r="B93" s="58"/>
      <c r="C93" s="58"/>
      <c r="D93" s="65"/>
      <c r="E93" s="56"/>
      <c r="F93" s="56"/>
      <c r="G93" s="56"/>
    </row>
    <row r="94" spans="1:9" ht="28.5" customHeight="1" x14ac:dyDescent="0.2">
      <c r="A94" s="52"/>
      <c r="B94" s="66" t="s">
        <v>137</v>
      </c>
      <c r="C94" s="66"/>
      <c r="D94" s="67" t="s">
        <v>127</v>
      </c>
      <c r="E94" s="52"/>
      <c r="F94" s="52"/>
      <c r="G94" s="52"/>
    </row>
    <row r="95" spans="1:9" ht="30.75" customHeight="1" x14ac:dyDescent="0.2">
      <c r="A95" s="52"/>
      <c r="B95" s="68" t="s">
        <v>138</v>
      </c>
      <c r="C95" s="69"/>
      <c r="D95" s="70" t="s">
        <v>127</v>
      </c>
      <c r="E95" s="71"/>
      <c r="F95" s="52"/>
      <c r="G95" s="52"/>
    </row>
    <row r="96" spans="1:9" x14ac:dyDescent="0.2">
      <c r="A96" s="52"/>
      <c r="B96" s="49" t="s">
        <v>619</v>
      </c>
      <c r="C96" s="50"/>
      <c r="D96" s="22" t="s">
        <v>127</v>
      </c>
      <c r="E96" s="71"/>
      <c r="F96" s="52"/>
      <c r="G96" s="52"/>
      <c r="I96" s="72"/>
    </row>
    <row r="97" spans="1:21" x14ac:dyDescent="0.2">
      <c r="A97" s="73"/>
      <c r="B97" s="73"/>
      <c r="C97" s="73"/>
      <c r="D97" s="73"/>
      <c r="E97" s="73"/>
      <c r="F97" s="73"/>
      <c r="G97" s="73"/>
      <c r="I97" s="72"/>
    </row>
    <row r="98" spans="1:21" s="74" customFormat="1" x14ac:dyDescent="0.2">
      <c r="B98" s="75" t="s">
        <v>620</v>
      </c>
      <c r="C98" s="76"/>
      <c r="D98" s="77"/>
      <c r="I98" s="72"/>
      <c r="J98" s="17"/>
      <c r="K98" s="72"/>
      <c r="L98" s="72"/>
      <c r="M98" s="72"/>
      <c r="N98" s="78"/>
      <c r="Q98" s="17"/>
      <c r="R98" s="17"/>
      <c r="S98" s="17"/>
      <c r="T98" s="17"/>
      <c r="U98" s="17"/>
    </row>
    <row r="99" spans="1:21" s="74" customFormat="1" ht="38.25" x14ac:dyDescent="0.2">
      <c r="B99" s="79" t="s">
        <v>621</v>
      </c>
      <c r="C99" s="79"/>
      <c r="D99" s="80" t="s">
        <v>591</v>
      </c>
      <c r="I99" s="72"/>
      <c r="J99" s="17"/>
      <c r="K99" s="72"/>
      <c r="L99" s="72"/>
      <c r="M99" s="72"/>
      <c r="N99" s="78"/>
      <c r="Q99" s="17"/>
      <c r="R99" s="17"/>
      <c r="S99" s="17"/>
      <c r="T99" s="17"/>
      <c r="U99" s="17"/>
    </row>
    <row r="100" spans="1:21" s="74" customFormat="1" x14ac:dyDescent="0.2">
      <c r="B100" s="66" t="s">
        <v>622</v>
      </c>
      <c r="C100" s="66"/>
      <c r="D100" s="81"/>
      <c r="I100" s="72"/>
      <c r="J100" s="17"/>
      <c r="K100" s="72"/>
      <c r="L100" s="72"/>
      <c r="M100" s="72"/>
      <c r="N100" s="78"/>
    </row>
    <row r="101" spans="1:21" s="74" customFormat="1" x14ac:dyDescent="0.2">
      <c r="B101" s="66"/>
      <c r="C101" s="66"/>
      <c r="D101" s="82"/>
      <c r="I101" s="17"/>
      <c r="J101" s="17"/>
      <c r="K101" s="72"/>
      <c r="L101" s="72"/>
      <c r="M101" s="72"/>
      <c r="N101" s="78"/>
    </row>
    <row r="102" spans="1:21" s="74" customFormat="1" x14ac:dyDescent="0.2">
      <c r="B102" s="66" t="s">
        <v>623</v>
      </c>
      <c r="C102" s="66"/>
      <c r="D102" s="83">
        <v>5.4638062670752694</v>
      </c>
      <c r="I102" s="17"/>
      <c r="J102" s="17"/>
      <c r="K102" s="72"/>
      <c r="L102" s="72"/>
      <c r="M102" s="72"/>
      <c r="N102" s="78"/>
    </row>
    <row r="103" spans="1:21" s="74" customFormat="1" x14ac:dyDescent="0.2">
      <c r="B103" s="66"/>
      <c r="C103" s="66"/>
      <c r="D103" s="82"/>
      <c r="I103" s="17"/>
      <c r="J103" s="17"/>
      <c r="K103" s="72"/>
      <c r="L103" s="72"/>
      <c r="M103" s="72"/>
      <c r="N103" s="78"/>
    </row>
    <row r="104" spans="1:21" s="74" customFormat="1" x14ac:dyDescent="0.2">
      <c r="B104" s="66" t="s">
        <v>740</v>
      </c>
      <c r="C104" s="66"/>
      <c r="D104" s="84">
        <v>1</v>
      </c>
      <c r="I104" s="17"/>
      <c r="J104" s="17"/>
      <c r="K104" s="72"/>
      <c r="L104" s="72"/>
      <c r="M104" s="72"/>
      <c r="N104" s="78"/>
    </row>
    <row r="105" spans="1:21" s="74" customFormat="1" x14ac:dyDescent="0.2">
      <c r="B105" s="66" t="s">
        <v>741</v>
      </c>
      <c r="C105" s="66"/>
      <c r="D105" s="84">
        <v>1</v>
      </c>
      <c r="I105" s="17"/>
      <c r="J105" s="17"/>
      <c r="K105" s="72"/>
      <c r="L105" s="72"/>
      <c r="M105" s="72"/>
      <c r="N105" s="78"/>
    </row>
    <row r="106" spans="1:21" s="74" customFormat="1" x14ac:dyDescent="0.2">
      <c r="B106" s="66"/>
      <c r="C106" s="66"/>
      <c r="D106" s="82"/>
      <c r="I106" s="17"/>
      <c r="J106" s="17"/>
      <c r="K106" s="72"/>
      <c r="L106" s="72"/>
      <c r="M106" s="72"/>
      <c r="N106" s="78"/>
    </row>
    <row r="107" spans="1:21" s="74" customFormat="1" x14ac:dyDescent="0.2">
      <c r="B107" s="66" t="s">
        <v>626</v>
      </c>
      <c r="C107" s="66"/>
      <c r="D107" s="85" t="s">
        <v>750</v>
      </c>
      <c r="I107" s="17"/>
      <c r="J107" s="17"/>
      <c r="K107" s="72"/>
      <c r="L107" s="72"/>
      <c r="M107" s="72"/>
      <c r="N107" s="78"/>
    </row>
    <row r="108" spans="1:21" s="74" customFormat="1" x14ac:dyDescent="0.2">
      <c r="B108" s="86" t="s">
        <v>627</v>
      </c>
      <c r="C108" s="87"/>
      <c r="D108" s="88"/>
      <c r="I108" s="17"/>
      <c r="J108" s="17"/>
      <c r="K108" s="72"/>
      <c r="L108" s="72"/>
      <c r="M108" s="72"/>
      <c r="N108" s="78"/>
    </row>
    <row r="109" spans="1:21" x14ac:dyDescent="0.2">
      <c r="H109" s="89"/>
    </row>
    <row r="110" spans="1:21" x14ac:dyDescent="0.2">
      <c r="B110" s="90" t="s">
        <v>628</v>
      </c>
    </row>
    <row r="111" spans="1:21" ht="7.5" customHeight="1" x14ac:dyDescent="0.2"/>
    <row r="112" spans="1:21" ht="153.75" customHeight="1" x14ac:dyDescent="0.2"/>
    <row r="115" spans="2:10" x14ac:dyDescent="0.2">
      <c r="B115" s="91" t="s">
        <v>629</v>
      </c>
      <c r="C115" s="92"/>
      <c r="D115" s="91"/>
    </row>
    <row r="116" spans="2:10" x14ac:dyDescent="0.2">
      <c r="B116" s="91" t="s">
        <v>742</v>
      </c>
      <c r="D116" s="91"/>
    </row>
    <row r="117" spans="2:10" ht="165" customHeight="1" x14ac:dyDescent="0.2"/>
    <row r="119" spans="2:10" x14ac:dyDescent="0.2">
      <c r="J119" s="20"/>
    </row>
  </sheetData>
  <mergeCells count="25">
    <mergeCell ref="B94:C94"/>
    <mergeCell ref="B95:C95"/>
    <mergeCell ref="B96:C96"/>
    <mergeCell ref="B89:C89"/>
    <mergeCell ref="B76:H76"/>
    <mergeCell ref="B78:D78"/>
    <mergeCell ref="B79:C79"/>
    <mergeCell ref="B80:C80"/>
    <mergeCell ref="B81:C81"/>
    <mergeCell ref="A1:H1"/>
    <mergeCell ref="A2:H2"/>
    <mergeCell ref="A3:H3"/>
    <mergeCell ref="B74:H74"/>
    <mergeCell ref="B75:H75"/>
    <mergeCell ref="B98:D98"/>
    <mergeCell ref="B99:C99"/>
    <mergeCell ref="B100:C100"/>
    <mergeCell ref="B101:C101"/>
    <mergeCell ref="B102:C102"/>
    <mergeCell ref="B108:D108"/>
    <mergeCell ref="B103:C103"/>
    <mergeCell ref="B104:C104"/>
    <mergeCell ref="B105:C105"/>
    <mergeCell ref="B106:C106"/>
    <mergeCell ref="B107:C107"/>
  </mergeCells>
  <hyperlinks>
    <hyperlink ref="I1" location="Index!B2" display="Index" xr:uid="{E32384A7-DBC6-4719-A8AC-024FF6983328}"/>
  </hyperlinks>
  <pageMargins left="5.000000074505806E-2" right="5.000000074505806E-2" top="0.30000001192092896" bottom="0.20000000298023224" header="0" footer="0"/>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 Subramani P - Sundaram Mutual</cp:lastModifiedBy>
  <dcterms:created xsi:type="dcterms:W3CDTF">2025-07-01T12:06:07Z</dcterms:created>
  <dcterms:modified xsi:type="dcterms:W3CDTF">2025-07-03T12:22:33Z</dcterms:modified>
</cp:coreProperties>
</file>