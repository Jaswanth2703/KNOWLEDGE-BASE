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U:\Swapna\OPERATIONS\PORTFOLIO\Temp\"/>
    </mc:Choice>
  </mc:AlternateContent>
  <xr:revisionPtr revIDLastSave="0" documentId="8_{86B0421D-8C16-4357-B6B6-E1A1D91C6AB3}" xr6:coauthVersionLast="47" xr6:coauthVersionMax="47" xr10:uidLastSave="{00000000-0000-0000-0000-000000000000}"/>
  <bookViews>
    <workbookView xWindow="-120" yWindow="-120" windowWidth="20730" windowHeight="11160" tabRatio="780" xr2:uid="{278254EA-D477-4EB4-B502-09E6D688ECF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4" i="9" l="1"/>
  <c r="G94" i="9"/>
  <c r="G24" i="9"/>
  <c r="F24" i="9"/>
  <c r="F80" i="8"/>
  <c r="F81" i="8"/>
  <c r="F136" i="5"/>
  <c r="F137" i="5"/>
  <c r="F93" i="3"/>
  <c r="F92" i="3"/>
  <c r="G89" i="9" l="1"/>
  <c r="F89" i="9"/>
</calcChain>
</file>

<file path=xl/sharedStrings.xml><?xml version="1.0" encoding="utf-8"?>
<sst xmlns="http://schemas.openxmlformats.org/spreadsheetml/2006/main" count="3108" uniqueCount="600">
  <si>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</si>
  <si>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</si>
  <si>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</si>
  <si>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</si>
  <si>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</si>
  <si>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</si>
  <si>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</si>
  <si>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</si>
  <si>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</si>
  <si>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</si>
  <si>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</si>
  <si>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</si>
  <si>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</si>
  <si>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</si>
  <si>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</si>
  <si>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</si>
  <si>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</si>
  <si>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</si>
  <si>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</si>
  <si>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</si>
  <si>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</si>
  <si>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</si>
  <si>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</si>
  <si>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</si>
  <si>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</si>
  <si>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</si>
  <si>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INE557F08FS6</t>
  </si>
  <si>
    <t>National Housing Bank  - 7.4% - 16/07/2026**</t>
  </si>
  <si>
    <t>INE115A07QJ2</t>
  </si>
  <si>
    <t>LIC Housing Finance Ltd - 7.7% - 16/05/2028**</t>
  </si>
  <si>
    <t>INE261F08EH1</t>
  </si>
  <si>
    <t>National Bank for Agriculture &amp; Rural Development - 7.62% - 10/05/2029**</t>
  </si>
  <si>
    <t>INE020B08EK4</t>
  </si>
  <si>
    <t>REC LTD - 7.46% - 30/06/2028**</t>
  </si>
  <si>
    <t>INE020B08EL2</t>
  </si>
  <si>
    <t>REC LTD - 7.44% - 30/04/2026</t>
  </si>
  <si>
    <t>INE040A08930</t>
  </si>
  <si>
    <t>HDFC Bank Ltd (Prev HDFC Ltd) - 7.65% - 25/05/2033**</t>
  </si>
  <si>
    <t>INE261F08EA6</t>
  </si>
  <si>
    <t>National Bank for Agriculture &amp; Rural Development - 7.5% - 31/08/2026</t>
  </si>
  <si>
    <t>INE557F08FR8</t>
  </si>
  <si>
    <t>National Housing Bank  - 7.22% - 23/07/2026**</t>
  </si>
  <si>
    <t>INE134E08LP1</t>
  </si>
  <si>
    <t>Power Finance Corporation Ltd - 7.13% - 15/07/2026**</t>
  </si>
  <si>
    <t>INE134E08MX3</t>
  </si>
  <si>
    <t>Power Finance Corporation Ltd - 7.6% - 13/04/2029**</t>
  </si>
  <si>
    <t>INE242A08544</t>
  </si>
  <si>
    <t>Indian Oil Corporation Ltd - 7.44% - 25/11/2027**</t>
  </si>
  <si>
    <t>ICRA AAA</t>
  </si>
  <si>
    <t>INE296A07SV1</t>
  </si>
  <si>
    <t>Bajaj Finance Ltd - 7.82% - 31/01/2034</t>
  </si>
  <si>
    <t>INE040A08666</t>
  </si>
  <si>
    <t>HDFC Bank Ltd (Prev HDFC Ltd) - 7.8% - 03/05/2033**</t>
  </si>
  <si>
    <t>INE020B08EP3</t>
  </si>
  <si>
    <t>REC LTD - 7.77% - 30/09/2026**</t>
  </si>
  <si>
    <t>INE134E08MN4</t>
  </si>
  <si>
    <t>Power Finance Corporation Ltd - 7.44% - 10/05/2028**</t>
  </si>
  <si>
    <t>INE261F08DX0</t>
  </si>
  <si>
    <t>National Bank for Agriculture &amp; Rural Development - 7.58% - 31/07/2026</t>
  </si>
  <si>
    <t>INE115A07MW4</t>
  </si>
  <si>
    <t>LIC Housing Finance Ltd - 7.95% - 29/01/2028**</t>
  </si>
  <si>
    <t>INE041007100</t>
  </si>
  <si>
    <t>Embassy Office Parks REIT - 7.77% - 05/06/2025**</t>
  </si>
  <si>
    <t>(b) Privately Placed / Unlisted</t>
  </si>
  <si>
    <t>(c) Govt Security</t>
  </si>
  <si>
    <t>IN0020230085</t>
  </si>
  <si>
    <t>7.18%  Government Securities - 14/08/2033</t>
  </si>
  <si>
    <t>Sovereign</t>
  </si>
  <si>
    <t>IN0020230135</t>
  </si>
  <si>
    <t>7.32% Government Securities-13/11/2030</t>
  </si>
  <si>
    <t>IN0020230010</t>
  </si>
  <si>
    <t>7.06% Central Government Securities 10/04/2028</t>
  </si>
  <si>
    <t>IN0020240027</t>
  </si>
  <si>
    <t>7.23% Central Government Securities 15/04/2039</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</si>
  <si>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</si>
  <si>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</si>
  <si>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</si>
  <si>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</si>
  <si>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</si>
  <si>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</si>
  <si>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</si>
  <si>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</si>
  <si>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</si>
  <si>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</si>
  <si>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</si>
  <si>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</si>
  <si>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</si>
  <si>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</si>
  <si>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</si>
  <si>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</si>
  <si>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</si>
  <si>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</si>
  <si>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</si>
  <si>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</si>
  <si>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</si>
  <si>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</si>
  <si>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</si>
  <si>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</si>
  <si>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</si>
  <si>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</si>
  <si>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</si>
  <si>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</si>
  <si>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</si>
  <si>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</si>
  <si>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</si>
  <si>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</si>
  <si>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</si>
  <si>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</si>
  <si>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</si>
  <si>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</si>
  <si>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</si>
  <si>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</si>
  <si>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</si>
  <si>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</si>
  <si>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</si>
  <si>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</si>
  <si>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</si>
  <si>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</si>
  <si>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</si>
  <si>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</si>
  <si>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</si>
  <si>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INE040A08922</t>
  </si>
  <si>
    <t>HDFC Bank Ltd (Prev HDFC Ltd) - 7.8% - 02/06/2025**</t>
  </si>
  <si>
    <t>INE916DA7SL3</t>
  </si>
  <si>
    <t>Kotak Mahindra Prime Ltd - 8.09% - 09/11/2026**</t>
  </si>
  <si>
    <t>INE556F08KE8</t>
  </si>
  <si>
    <t>Small Industries Development Bank of India - 7.47% - 25/11/2025**</t>
  </si>
  <si>
    <t>INE134E08LF2</t>
  </si>
  <si>
    <t>Power Finance Corporation Ltd - 6.35% - 30/06/2025**</t>
  </si>
  <si>
    <t>IN0020230101</t>
  </si>
  <si>
    <t>7.37% Government Securities-23/10/2028</t>
  </si>
  <si>
    <t>INE562A16MP2</t>
  </si>
  <si>
    <t>Indian Bank - 03/06/2024</t>
  </si>
  <si>
    <t>CRISIL A1+</t>
  </si>
  <si>
    <t>INE238AD6587</t>
  </si>
  <si>
    <t>Axis Bank Ltd - 28/11/2024**</t>
  </si>
  <si>
    <t>Direct Plan - Bonus</t>
  </si>
  <si>
    <t>Retail Plan - Growth</t>
  </si>
  <si>
    <t>Regular Plan - Bonus</t>
  </si>
  <si>
    <t>Sundaram Money Market Fund</t>
  </si>
  <si>
    <t>INE028A16EX5</t>
  </si>
  <si>
    <t>Bank of Baroda - 20/02/2025**</t>
  </si>
  <si>
    <t>IND A1+</t>
  </si>
  <si>
    <t>INE238AD6819</t>
  </si>
  <si>
    <t>Axis Bank Ltd - 27/02/2025**</t>
  </si>
  <si>
    <t>INE476A16YB0</t>
  </si>
  <si>
    <t>Canara Bank - 20/03/2025**</t>
  </si>
  <si>
    <t>INE562A16MZ1</t>
  </si>
  <si>
    <t>Indian Bank - 23/05/2025**</t>
  </si>
  <si>
    <t>INE261F16793</t>
  </si>
  <si>
    <t>National Bank for Agriculture &amp; Rural Development - 12/02/2025**</t>
  </si>
  <si>
    <t>INE040A16EN1</t>
  </si>
  <si>
    <t>HDFC Bank Ltd - 20/02/2025</t>
  </si>
  <si>
    <t>INE160A16OM8</t>
  </si>
  <si>
    <t>Punjab National Bank - 25/02/2025**</t>
  </si>
  <si>
    <t>INE01GA16228</t>
  </si>
  <si>
    <t>DBS BANK LTD - 07/03/2025**</t>
  </si>
  <si>
    <t>INE092T16WB9</t>
  </si>
  <si>
    <t>IDFC First Bank Ltd - 21/02/2025**</t>
  </si>
  <si>
    <t>INE095A16V79</t>
  </si>
  <si>
    <t>IndusInd Bank Ltd - 24/02/2025**</t>
  </si>
  <si>
    <t>INE090AD6113</t>
  </si>
  <si>
    <t>ICICI Bank Ltd - 31/01/2025**</t>
  </si>
  <si>
    <t>ICRA A1+</t>
  </si>
  <si>
    <t>INE171A16LP4</t>
  </si>
  <si>
    <t>The Federal Bank Ltd - 04/02/2025**</t>
  </si>
  <si>
    <t>INE692A16GZ8</t>
  </si>
  <si>
    <t>Union Bank of India - 27/02/2025**</t>
  </si>
  <si>
    <t>INE790I14ER0</t>
  </si>
  <si>
    <t>HSBC InvestDirect Financial Services India Limited - 14/08/2024**</t>
  </si>
  <si>
    <t>INE763G14TE7</t>
  </si>
  <si>
    <t>ICICI Securities Ltd - 21/02/2025**</t>
  </si>
  <si>
    <t>INE115A14EX5</t>
  </si>
  <si>
    <t>LIC Housing Finance Ltd - 21/03/2025**</t>
  </si>
  <si>
    <t>INE556F14KH9</t>
  </si>
  <si>
    <t>Small Industries Development Bank of India - 28/05/2025</t>
  </si>
  <si>
    <t>IN002024Z073</t>
  </si>
  <si>
    <t>364 Days - T Bill - 15/05/2025</t>
  </si>
  <si>
    <t>Sundaram Low Duration Fund</t>
  </si>
  <si>
    <t>INE134E08KT5</t>
  </si>
  <si>
    <t>Power Finance Corporation Ltd - 7.17% - 22/05/2025**</t>
  </si>
  <si>
    <t>INE557F08FV0</t>
  </si>
  <si>
    <t>National Housing Bank  - 7.78% - 26/04/2027**</t>
  </si>
  <si>
    <t>CARE AAA</t>
  </si>
  <si>
    <t>INE403D08181</t>
  </si>
  <si>
    <t>Bharti Telecom Ltd - 8.9% - 04/12/2025**</t>
  </si>
  <si>
    <t>CRISIL AA+</t>
  </si>
  <si>
    <t>INE721A07SB0</t>
  </si>
  <si>
    <t>Shriram Finance Ltd - 9.2% - 22/05/2026**</t>
  </si>
  <si>
    <t>INE115A07ML7</t>
  </si>
  <si>
    <t>LIC Housing Finance Ltd - 7.4% - 06/09/2024**</t>
  </si>
  <si>
    <t>INE261F08DP6</t>
  </si>
  <si>
    <t>National Bank for Agriculture &amp; Rural Development - 7.35% - 08/07/2025**</t>
  </si>
  <si>
    <t>INE115A07PQ9</t>
  </si>
  <si>
    <t>LIC Housing Finance Ltd - 5.9943% - 12/03/2025**</t>
  </si>
  <si>
    <t>INE115A07PU1</t>
  </si>
  <si>
    <t>LIC Housing Finance Ltd - 6.25% - 20/06/2025**</t>
  </si>
  <si>
    <t>INE523H07CB9</t>
  </si>
  <si>
    <t>JM Financial Products Ltd - 8.92% - 16/11/2026**</t>
  </si>
  <si>
    <t>CRISIL AA</t>
  </si>
  <si>
    <t>INE233A08121</t>
  </si>
  <si>
    <t>Godrej Industries Ltd - 8.36% - 28/08/2026**</t>
  </si>
  <si>
    <t>INE721A07RU2</t>
  </si>
  <si>
    <t>Shriram Finance Ltd - 9.25% - 19/12/2025**</t>
  </si>
  <si>
    <t>INE071G07587</t>
  </si>
  <si>
    <t>ICICI Home Finance Company Ltd - 8% - 28/06/2024**</t>
  </si>
  <si>
    <t>IN0020220037</t>
  </si>
  <si>
    <t>7.38% Central Government Securities 20/06/2027</t>
  </si>
  <si>
    <t>INE040A16EP6</t>
  </si>
  <si>
    <t>HDFC Bank Ltd - 28/02/2025**</t>
  </si>
  <si>
    <t>INE237A166W0</t>
  </si>
  <si>
    <t>Kotak Mahindra Bank Ltd - 07/03/2025**</t>
  </si>
  <si>
    <t>INE090AD6063</t>
  </si>
  <si>
    <t>ICICI Bank Ltd - 27/09/2024**</t>
  </si>
  <si>
    <t>INE556F16AM5</t>
  </si>
  <si>
    <t>Small Industries Development Bank of India - 11/12/2024**</t>
  </si>
  <si>
    <t>INE238AD6629</t>
  </si>
  <si>
    <t>Axis Bank Ltd - 10/01/2025**</t>
  </si>
  <si>
    <t>INE261F16785</t>
  </si>
  <si>
    <t>National Bank for Agriculture &amp; Rural Development - 07/02/2025</t>
  </si>
  <si>
    <t>INE261F16819</t>
  </si>
  <si>
    <t>National Bank for Agriculture &amp; Rural Development - 26/02/2025</t>
  </si>
  <si>
    <t>INE466L14DI2</t>
  </si>
  <si>
    <t>360 ONE WAM Ltd (Prev IIFL Wealth Management Ltd) - 14/03/2025**</t>
  </si>
  <si>
    <t>INE414G14SY7</t>
  </si>
  <si>
    <t>Muthoot Finance Ltd - 04/06/2024</t>
  </si>
  <si>
    <t>INE403G14RK1</t>
  </si>
  <si>
    <t>Standard Chartered Capital Ltd - 21/08/2024**</t>
  </si>
  <si>
    <t>INE121A14WH8</t>
  </si>
  <si>
    <t>Cholamandalam Investment and Finance Co Ltd - 21/02/2025**</t>
  </si>
  <si>
    <t>INE870H14SP6</t>
  </si>
  <si>
    <t>Network18 Media &amp; Investments Ltd - 31/07/2024**</t>
  </si>
  <si>
    <t>INE790I14EO7</t>
  </si>
  <si>
    <t>HSBC InvestDirect Financial Services India Limited - 11/09/2024**</t>
  </si>
  <si>
    <t>IN002024Y076</t>
  </si>
  <si>
    <t>182 Days - T Bill - 14/11/2024</t>
  </si>
  <si>
    <t>IN002023Z489</t>
  </si>
  <si>
    <t>364 Days- T Bill-13/02/2025</t>
  </si>
  <si>
    <t>Sundaram Liquid Fund</t>
  </si>
  <si>
    <t>INE094A08036</t>
  </si>
  <si>
    <t>Hindustan Petroleum Corporation Ltd - 7% - 14/08/2024**</t>
  </si>
  <si>
    <t>INE562A16MX6</t>
  </si>
  <si>
    <t>Indian Bank - 20/08/2024</t>
  </si>
  <si>
    <t>INE476A16YA2</t>
  </si>
  <si>
    <t>Canara Bank - 14/06/2024**</t>
  </si>
  <si>
    <t>INE457A16KO2</t>
  </si>
  <si>
    <t>Bank of Maharashtra - 21/06/2024**</t>
  </si>
  <si>
    <t>INE028A16FD4</t>
  </si>
  <si>
    <t>Bank of Baroda - 05/06/2024**</t>
  </si>
  <si>
    <t>INE692A16HC5</t>
  </si>
  <si>
    <t>Union Bank of India - 11/06/2024**</t>
  </si>
  <si>
    <t>INE476A16XX6</t>
  </si>
  <si>
    <t>Canara Bank - 12/06/2024</t>
  </si>
  <si>
    <t>INE028A16EN6</t>
  </si>
  <si>
    <t>Bank of Baroda - 13/06/2024**</t>
  </si>
  <si>
    <t>INE238AD6785</t>
  </si>
  <si>
    <t>Axis Bank Ltd - 09/08/2024**</t>
  </si>
  <si>
    <t>INE028A16FM5</t>
  </si>
  <si>
    <t>Bank of Baroda - 16/08/2024**</t>
  </si>
  <si>
    <t>INE028A16FP8</t>
  </si>
  <si>
    <t>Bank of Baroda - 23/08/2024**</t>
  </si>
  <si>
    <t>INE692A16HH4</t>
  </si>
  <si>
    <t>Union Bank of India - 23/08/2024**</t>
  </si>
  <si>
    <t>INE238AD6454</t>
  </si>
  <si>
    <t>Axis Bank Ltd - 19/06/2024**</t>
  </si>
  <si>
    <t>INE238AD6751</t>
  </si>
  <si>
    <t>Axis Bank Ltd - 22/07/2024**</t>
  </si>
  <si>
    <t>INE040A16EV4</t>
  </si>
  <si>
    <t>HDFC Bank Ltd - 14/08/2024</t>
  </si>
  <si>
    <t>INE028A16FQ6</t>
  </si>
  <si>
    <t>Bank of Baroda - 28/08/2024**</t>
  </si>
  <si>
    <t>INE476A16XU2</t>
  </si>
  <si>
    <t>Canara Bank - 05/06/2024</t>
  </si>
  <si>
    <t>INE556F16AK9</t>
  </si>
  <si>
    <t>Small Industries Development Bank of India - 06/06/2024</t>
  </si>
  <si>
    <t>INE261F14LR3</t>
  </si>
  <si>
    <t>National Bank for Agriculture &amp; Rural Development - 26/08/2024**</t>
  </si>
  <si>
    <t>INE556F14KB2</t>
  </si>
  <si>
    <t>Small Industries Development Bank of India - 05/06/2024**</t>
  </si>
  <si>
    <t>INE261F14LD3</t>
  </si>
  <si>
    <t>National Bank for Agriculture &amp; Rural Development - 05/06/2024</t>
  </si>
  <si>
    <t>INE607M14BA0</t>
  </si>
  <si>
    <t>Tata Power Renewable Energy Ltd - 05/06/2024**</t>
  </si>
  <si>
    <t>INE018A14KP4</t>
  </si>
  <si>
    <t>Larsen &amp; Toubro Ltd - 10/06/2024**</t>
  </si>
  <si>
    <t>INE09OL14EV9</t>
  </si>
  <si>
    <t>Birla Group Holdings Pvt Ltd - 12/06/2024**</t>
  </si>
  <si>
    <t>INE572E14JE8</t>
  </si>
  <si>
    <t>PNB Housing Finance Ltd - 27/08/2024**</t>
  </si>
  <si>
    <t>INE763G14UP1</t>
  </si>
  <si>
    <t>ICICI Securities Ltd - 29/08/2024**</t>
  </si>
  <si>
    <t>INE572E14JA6</t>
  </si>
  <si>
    <t>PNB Housing Finance Ltd - 06/06/2024**</t>
  </si>
  <si>
    <t>INE700G14JJ9</t>
  </si>
  <si>
    <t>HDFC Securities Ltd - 18/06/2024**</t>
  </si>
  <si>
    <t>INE121A14WK2</t>
  </si>
  <si>
    <t>Cholamandalam Investment and Finance Co Ltd - 09/07/2024**</t>
  </si>
  <si>
    <t>INE261F14LM4</t>
  </si>
  <si>
    <t>National Bank for Agriculture &amp; Rural Development - 31/07/2024**</t>
  </si>
  <si>
    <t>INE556F14KF3</t>
  </si>
  <si>
    <t>Small Industries Development Bank of India - 09/08/2024**</t>
  </si>
  <si>
    <t>INE071G14FO3</t>
  </si>
  <si>
    <t>ICICI Home Finance Company Ltd - 16/08/2024**</t>
  </si>
  <si>
    <t>INE824H14PG8</t>
  </si>
  <si>
    <t>Julius Baer Capital (India) Private Ltd - 23/08/2024**</t>
  </si>
  <si>
    <t>INE891D14YI4</t>
  </si>
  <si>
    <t>Redington Ltd - 04/06/2024**</t>
  </si>
  <si>
    <t>INE763G14TQ1</t>
  </si>
  <si>
    <t>ICICI Securities Ltd - 12/06/2024**</t>
  </si>
  <si>
    <t>INE261F14LI2</t>
  </si>
  <si>
    <t>National Bank for Agriculture &amp; Rural Development - 13/06/2024**</t>
  </si>
  <si>
    <t>INE233A14J62</t>
  </si>
  <si>
    <t>Godrej Industries Ltd - 14/06/2024**</t>
  </si>
  <si>
    <t>INE027214597</t>
  </si>
  <si>
    <t>BOBCARD Ltd - 14/06/2024**</t>
  </si>
  <si>
    <t>INE338I14HE9</t>
  </si>
  <si>
    <t>Motilal Oswal Financial Services Ltd - 28/06/2024**</t>
  </si>
  <si>
    <t>INE572E14JC2</t>
  </si>
  <si>
    <t>PNB Housing Finance Ltd - 26/07/2024**</t>
  </si>
  <si>
    <t>INE212K14601</t>
  </si>
  <si>
    <t>SBI Cap securities Ltd - 24/07/2024**</t>
  </si>
  <si>
    <t>INE865C14LF3</t>
  </si>
  <si>
    <t>Aditya Birla Money Ltd - 30/07/2024**</t>
  </si>
  <si>
    <t>INE338I14HJ8</t>
  </si>
  <si>
    <t>Motilal Oswal Financial Services Ltd - 01/08/2024**</t>
  </si>
  <si>
    <t>INE01C314825</t>
  </si>
  <si>
    <t>Bajaj Financial Securities Ltd - 12/08/2024**</t>
  </si>
  <si>
    <t>INE790I14ET6</t>
  </si>
  <si>
    <t>HSBC InvestDirect Financial Services India Limited - 27/08/2024**</t>
  </si>
  <si>
    <t>INE763G14UQ9</t>
  </si>
  <si>
    <t>ICICI Securities Ltd - 30/08/2024**</t>
  </si>
  <si>
    <t>INE865C14LL1</t>
  </si>
  <si>
    <t>Aditya Birla Money Ltd - 29/08/2024**</t>
  </si>
  <si>
    <t>INE824H14PJ2</t>
  </si>
  <si>
    <t>Julius Baer Capital (India) Private Ltd - 29/08/2024**</t>
  </si>
  <si>
    <t>Deutsche Investments India Private Ltd - 03/09/2024</t>
  </si>
  <si>
    <t>INE824H14OZ1</t>
  </si>
  <si>
    <t>Julius Baer Capital (India) Private Ltd - 09/08/2024**</t>
  </si>
  <si>
    <t>INE850D14RF0</t>
  </si>
  <si>
    <t>Godrej Agrovet Ltd - 30/08/2024</t>
  </si>
  <si>
    <t>IN002024X011</t>
  </si>
  <si>
    <t>91 Days- T Bill-04/07/2024</t>
  </si>
  <si>
    <t>IN002024X060</t>
  </si>
  <si>
    <t>91 Days- T Bill-02/08/2024</t>
  </si>
  <si>
    <t>IN002024X086</t>
  </si>
  <si>
    <t>91 Days - T Bill - 15/08/2024</t>
  </si>
  <si>
    <t>IN002023Y458</t>
  </si>
  <si>
    <t>182 Days- T Bill-01/08/2024</t>
  </si>
  <si>
    <t>IN002023X559</t>
  </si>
  <si>
    <t>91 Days- T Bill-27/06/2024</t>
  </si>
  <si>
    <t>IN002023Y508</t>
  </si>
  <si>
    <t>182 Days -T Bill- 29/08/2024</t>
  </si>
  <si>
    <t>IN002023Z174</t>
  </si>
  <si>
    <t>364 Days - T Bill - 18/07/2024</t>
  </si>
  <si>
    <t>IN002023Y466</t>
  </si>
  <si>
    <t>182 Days - T Bill - 08/08/2024</t>
  </si>
  <si>
    <t>Sundaram Short Duration Fund</t>
  </si>
  <si>
    <t>INE020B08EG2</t>
  </si>
  <si>
    <t>REC LTD - 7.69% - 31/03/2033**</t>
  </si>
  <si>
    <t>INE134E08MJ2</t>
  </si>
  <si>
    <t>Power Finance Corporation Ltd - 7.77% - 15/04/2028**</t>
  </si>
  <si>
    <t>INE020B08EI8</t>
  </si>
  <si>
    <t>REC LTD - 7.51% - 31/07/2026**</t>
  </si>
  <si>
    <t>INE115A07PI6</t>
  </si>
  <si>
    <t>LIC Housing Finance Ltd - 6.17% - 03/09/2026</t>
  </si>
  <si>
    <t>IN3120230484</t>
  </si>
  <si>
    <t>7.44% Tamil Nadu State Government Securities -20/03/2034</t>
  </si>
  <si>
    <t>IN0020210160</t>
  </si>
  <si>
    <t>IN2220150022</t>
  </si>
  <si>
    <t>8.14% Maharashtra State Development Loan 27/05/2025</t>
  </si>
  <si>
    <t>Sundaram Ultra Short Duration Fund</t>
  </si>
  <si>
    <t>INE115A07PS5</t>
  </si>
  <si>
    <t>LIC Housing Finance Ltd - 5.75% - 14/06/2024**</t>
  </si>
  <si>
    <t>INE121A07RB5</t>
  </si>
  <si>
    <t>Cholamandalam Investment and Finance Co Ltd - 8.25% - 04/03/2025**</t>
  </si>
  <si>
    <t>ICRA AA+</t>
  </si>
  <si>
    <t>INE756I07EI4</t>
  </si>
  <si>
    <t>HDB Financial Services Ltd - 7.5% - 23/09/2025**</t>
  </si>
  <si>
    <t>INE238AD6546</t>
  </si>
  <si>
    <t>Axis Bank Ltd - 19/09/2024**</t>
  </si>
  <si>
    <t>INE040A16DX2</t>
  </si>
  <si>
    <t>HDFC Bank Ltd - 13/09/2024**</t>
  </si>
  <si>
    <t>INE476A16YD6</t>
  </si>
  <si>
    <t>Canara Bank - 27/06/2024**</t>
  </si>
  <si>
    <t>INE028A16FO1</t>
  </si>
  <si>
    <t>Bank of Baroda - 25/11/2024**</t>
  </si>
  <si>
    <t>INE090AD6105</t>
  </si>
  <si>
    <t>ICICI Bank Ltd - 06/12/2024**</t>
  </si>
  <si>
    <t>INE160A16OH8</t>
  </si>
  <si>
    <t>Punjab National Bank - 31/01/2025**</t>
  </si>
  <si>
    <t>INE090AD6089</t>
  </si>
  <si>
    <t>ICICI Bank Ltd - 12/06/2024**</t>
  </si>
  <si>
    <t>INE040A16DZ7</t>
  </si>
  <si>
    <t>HDFC Bank Ltd - 14/06/2024**</t>
  </si>
  <si>
    <t>INE238AD6447</t>
  </si>
  <si>
    <t>Axis Bank Ltd - 20/06/2024**</t>
  </si>
  <si>
    <t>INE556F16AL7</t>
  </si>
  <si>
    <t>Small Industries Development Bank of India - 21/06/2024</t>
  </si>
  <si>
    <t>INE171A16LK5</t>
  </si>
  <si>
    <t>The Federal Bank Ltd - 29/11/2024**</t>
  </si>
  <si>
    <t>INE040A16EH3</t>
  </si>
  <si>
    <t>HDFC Bank Ltd - 06/12/2024**</t>
  </si>
  <si>
    <t>INE556F16AN3</t>
  </si>
  <si>
    <t>Small Industries Development Bank of India - 18/12/2024**</t>
  </si>
  <si>
    <t>INE261F16777</t>
  </si>
  <si>
    <t>National Bank for Agriculture &amp; Rural Development - 23/01/2025**</t>
  </si>
  <si>
    <t>INE237A160W3</t>
  </si>
  <si>
    <t>Kotak Mahindra Bank Ltd - 05/02/2025**</t>
  </si>
  <si>
    <t>INE160A16OL0</t>
  </si>
  <si>
    <t>Punjab National Bank - 07/02/2025**</t>
  </si>
  <si>
    <t>INE556F16AQ6</t>
  </si>
  <si>
    <t>Small Industries Development Bank of India - 07/02/2025**</t>
  </si>
  <si>
    <t>INE557F14FK1</t>
  </si>
  <si>
    <t>National Housing Bank  - 28/08/2024**</t>
  </si>
  <si>
    <t>INE556F14KG1</t>
  </si>
  <si>
    <t>Small Industries Development Bank of India - 28/02/2025**</t>
  </si>
  <si>
    <t>INE144H14GH8</t>
  </si>
  <si>
    <t>Deutsche Investments India Private Ltd - 10/06/2024**</t>
  </si>
  <si>
    <t>INE790I14EA6</t>
  </si>
  <si>
    <t>HSBC InvestDirect Financial Services India Limited - 14/06/2024**</t>
  </si>
  <si>
    <t>INE115A14EV9</t>
  </si>
  <si>
    <t>LIC Housing Finance Ltd - 04/03/2025**</t>
  </si>
  <si>
    <t>INE417C14710</t>
  </si>
  <si>
    <t>Pilani Investment and Industries Corporation Ltd. - 21/03/2025**</t>
  </si>
  <si>
    <t>INE763G14PV9</t>
  </si>
  <si>
    <t>ICICI Securities Ltd - 03/06/2024**</t>
  </si>
  <si>
    <t>IN002024X078</t>
  </si>
  <si>
    <t>91 Days - T Bill - 08/08/2024</t>
  </si>
  <si>
    <t>IN002023Z299</t>
  </si>
  <si>
    <t>364 Days- T Bill -03/10/2024</t>
  </si>
  <si>
    <t>Sundaram Medium Duration Fund</t>
  </si>
  <si>
    <t>IN0020210186</t>
  </si>
  <si>
    <t>5.74% Central Government Securities 15/11/2026</t>
  </si>
  <si>
    <t>IN0020200278</t>
  </si>
  <si>
    <t>5.15% Central Government Securities 09/11/2025</t>
  </si>
  <si>
    <t>Institutional Plan - Growth</t>
  </si>
  <si>
    <t>Sundaram Conservative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</si>
  <si>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</si>
  <si>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</si>
  <si>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</si>
  <si>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</si>
  <si>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</si>
  <si>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</si>
  <si>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</si>
  <si>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</si>
  <si>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</si>
  <si>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</si>
  <si>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</si>
  <si>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</si>
  <si>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</si>
  <si>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INE044A01036</t>
  </si>
  <si>
    <t>Sun Pharmaceutical Industries Ltd</t>
  </si>
  <si>
    <t>Pharmaceuticals &amp; Biotechnology</t>
  </si>
  <si>
    <t>INE200M01021</t>
  </si>
  <si>
    <t>Varun Beverages Ltd</t>
  </si>
  <si>
    <t>Beverages</t>
  </si>
  <si>
    <t>INE397D01024</t>
  </si>
  <si>
    <t>Bharti Airtel Ltd</t>
  </si>
  <si>
    <t>Telecom - Services</t>
  </si>
  <si>
    <t>INE062A01020</t>
  </si>
  <si>
    <t>State Bank of India</t>
  </si>
  <si>
    <t>INE009A01021</t>
  </si>
  <si>
    <t>Infosys Ltd</t>
  </si>
  <si>
    <t>It - Software</t>
  </si>
  <si>
    <t>INE860A01027</t>
  </si>
  <si>
    <t>HCL Technologies Ltd</t>
  </si>
  <si>
    <t>INE059A01026</t>
  </si>
  <si>
    <t>Cipla Ltd</t>
  </si>
  <si>
    <t>INE481G01011</t>
  </si>
  <si>
    <t>Ultratech Cement Ltd</t>
  </si>
  <si>
    <t>Cement &amp; Cement Products</t>
  </si>
  <si>
    <t>INE854D01024</t>
  </si>
  <si>
    <t>United Spirits Ltd</t>
  </si>
  <si>
    <t>INE047A01021</t>
  </si>
  <si>
    <t>Grasim Industries Ltd</t>
  </si>
  <si>
    <t>IN9397D01014</t>
  </si>
  <si>
    <t>IN0020230051</t>
  </si>
  <si>
    <t>7.30% Government Securities - 19/06/2053</t>
  </si>
  <si>
    <t>Sundaram Overnight Fund</t>
  </si>
  <si>
    <t>IN002023X526</t>
  </si>
  <si>
    <t>91 Days - T Bill - 06/06/2024</t>
  </si>
  <si>
    <t>IN002023X534</t>
  </si>
  <si>
    <t>91 Days - T Bill - 13/06/2024</t>
  </si>
  <si>
    <t>IN002023X542</t>
  </si>
  <si>
    <t>91 Days- T Bill-20/06/2024</t>
  </si>
  <si>
    <t>IN002023Y391</t>
  </si>
  <si>
    <t>182 Days -T Bill- 20/06/2024</t>
  </si>
  <si>
    <t>Reverse Repo</t>
  </si>
  <si>
    <t>Unclaimed Plan - Redemption Less than three years</t>
  </si>
  <si>
    <t>Unclaimed Plan - Redemption greater than three years</t>
  </si>
  <si>
    <t>YTM (%)*</t>
  </si>
  <si>
    <t>YTM (%)</t>
  </si>
  <si>
    <t>(c) Corporate Debt Market Development Fund</t>
  </si>
  <si>
    <t>**Non Traded Securities - Wherever applicable</t>
  </si>
  <si>
    <t>^ Net current assets includes interest accrued on fixed income securities - Wherever applicable</t>
  </si>
  <si>
    <t># percentage to NAV of security is less than 0.01% - Wherever applicable</t>
  </si>
  <si>
    <t>Bharti Airtel Ltd - Partly Paid Right Shares</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</si>
  <si>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</si>
  <si>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</si>
  <si>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</si>
  <si>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</si>
  <si>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</si>
  <si>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</si>
  <si>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</si>
  <si>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</si>
  <si>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</si>
  <si>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</si>
  <si>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</si>
  <si>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</si>
  <si>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</si>
  <si>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</si>
  <si>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</si>
  <si>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</si>
  <si>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</si>
  <si>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</si>
  <si>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</si>
  <si>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</si>
  <si>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</si>
  <si>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</si>
  <si>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</si>
  <si>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</si>
  <si>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</si>
  <si>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</si>
  <si>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</si>
  <si>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</si>
  <si>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</si>
  <si>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</si>
  <si>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</si>
  <si>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</si>
  <si>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31-May-2024</t>
  </si>
  <si>
    <t>% to AUM as on  31-May-2024</t>
  </si>
  <si>
    <t>At the beginning</t>
  </si>
  <si>
    <t>7.72% Central Government Securities_Floating Rate Bond - 04/10/2028 ~</t>
  </si>
  <si>
    <t>INE0GGX23010</t>
  </si>
  <si>
    <t>Power Grid Infrastructure Investment Trust(InvIT)</t>
  </si>
  <si>
    <t>Power</t>
  </si>
  <si>
    <t>Fortnightly Portfolio Statement as on 31 May 2024</t>
  </si>
  <si>
    <t>++ Aggregate Investments by Other schemes of Sundaram Mutual Fund - Rs.58,169.48 Lakhs</t>
  </si>
  <si>
    <t>Regular Plan - Halfyearly IDCW</t>
  </si>
  <si>
    <t>Regular Plan - Annual IDCW</t>
  </si>
  <si>
    <t>d) IDCW declared during the period (Rupees per unit)</t>
  </si>
  <si>
    <t>Direct Plan - Quarterly IDCW</t>
  </si>
  <si>
    <t>Direct Plan - Annual IDCW</t>
  </si>
  <si>
    <t>Regular Plan - Quarterly IDCW</t>
  </si>
  <si>
    <t>Direct Plan - Monthly IDCW</t>
  </si>
  <si>
    <t>Direct Plan - Halfyearly IDCW</t>
  </si>
  <si>
    <t>Regular Plan - Monthly IDCW</t>
  </si>
  <si>
    <t>Direct Plan - Daily IDCW</t>
  </si>
  <si>
    <t>Direct Plan - Weekly IDCW</t>
  </si>
  <si>
    <t>Retail Plan - Monthly IDCW</t>
  </si>
  <si>
    <t>Regular Plan - Daily IDCW</t>
  </si>
  <si>
    <t>Regular Plan - Weekly IDCW</t>
  </si>
  <si>
    <t>Regular Plan - Fortnightly IDCW</t>
  </si>
  <si>
    <t>Direct Plan - Fortnightly IDCW</t>
  </si>
  <si>
    <t>Unclaimed Plan - IDCW greater than three years</t>
  </si>
  <si>
    <t>Unclaimed Plan - IDCW less than three years</t>
  </si>
  <si>
    <t>S. No.</t>
  </si>
  <si>
    <t>ACRONYM</t>
  </si>
  <si>
    <t>SCHEME NAME</t>
  </si>
  <si>
    <t>SFRLTP</t>
  </si>
  <si>
    <t>SFRSTP</t>
  </si>
  <si>
    <t>SMMF</t>
  </si>
  <si>
    <t>SPLDF</t>
  </si>
  <si>
    <t>SPMON</t>
  </si>
  <si>
    <t>SPSDF</t>
  </si>
  <si>
    <t>SPUSDF</t>
  </si>
  <si>
    <t>SUNBDS</t>
  </si>
  <si>
    <t>SUNMIA</t>
  </si>
  <si>
    <t>SUNONF</t>
  </si>
  <si>
    <t>Index</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</si>
  <si>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</si>
  <si>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</si>
  <si>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</si>
  <si>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</si>
  <si>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</si>
  <si>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</si>
  <si>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</si>
  <si>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</si>
  <si>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</si>
  <si>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</si>
  <si>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</si>
  <si>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</si>
  <si>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</si>
  <si>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</si>
  <si>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</si>
  <si>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</si>
  <si>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</si>
  <si>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</si>
  <si>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</si>
  <si>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</si>
  <si>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g) Repo in corporate debt</t>
  </si>
  <si>
    <t>g) Total investments in foreign securities /ADR'S/GDR'S at the end of the period</t>
  </si>
  <si>
    <t>h) Exposure to securities classified as below investment grade or default as on 31-May-2024:-</t>
  </si>
  <si>
    <t>Refer below point h)</t>
  </si>
  <si>
    <t>16-May-2024</t>
  </si>
  <si>
    <t>e) Bonus declared during the period (Rupees per unit)</t>
  </si>
  <si>
    <t>f) Total outstanding exposure in derivative instruments at the end of the period</t>
  </si>
  <si>
    <t>h) Repo in corporate debt</t>
  </si>
  <si>
    <t>i) Exposure to securities classified as below investment grade or default as on 31-May-2024:-</t>
  </si>
  <si>
    <t>Refer below point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</si>
</sst>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0.00000000"/>
  </numFmts>
  <fonts count="27" x14ac:knownFonts="1">
    <font>
      <sz val="10"/>
      <name val="Arial"/>
      <charset val="1"/>
    </font>
    <font>
      <sz val="11"/>
      <color theme="1"/>
      <name val="Aptos Narrow"/>
      <family val="2"/>
      <scheme val="minor"/>
    </font>
    <font>
      <sz val="10"/>
      <name val="Arial"/>
      <family val="2"/>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u/>
      <sz val="10"/>
      <color theme="10"/>
      <name val="Arial"/>
      <family val="2"/>
    </font>
    <font>
      <u/>
      <sz val="11"/>
      <color rgb="FF002060"/>
      <name val="Aptos Narrow"/>
      <family val="2"/>
      <scheme val="minor"/>
    </font>
    <font>
      <b/>
      <sz val="11"/>
      <name val="Aptos Narrow"/>
      <family val="2"/>
      <scheme val="minor"/>
    </font>
    <font>
      <sz val="10"/>
      <name val="Calibri"/>
      <family val="2"/>
    </font>
    <font>
      <b/>
      <sz val="11"/>
      <color theme="0"/>
      <name val="Aptos Narrow"/>
      <family val="2"/>
      <scheme val="minor"/>
    </font>
    <font>
      <sz val="11"/>
      <color theme="0"/>
      <name val="Aptos Narrow"/>
      <family val="2"/>
      <scheme val="minor"/>
    </font>
    <font>
      <b/>
      <sz val="10"/>
      <name val="Calibri"/>
      <family val="2"/>
    </font>
    <font>
      <b/>
      <sz val="10"/>
      <color theme="1"/>
      <name val="Calibri"/>
      <family val="2"/>
    </font>
    <font>
      <sz val="10"/>
      <color theme="1"/>
      <name val="Calibri"/>
      <family val="2"/>
    </font>
    <font>
      <sz val="11"/>
      <color theme="1"/>
      <name val="Calibri"/>
      <family val="2"/>
    </font>
    <font>
      <sz val="11"/>
      <name val="Aptos Narrow"/>
      <family val="2"/>
      <scheme val="minor"/>
    </font>
    <font>
      <sz val="11"/>
      <color indexed="8"/>
      <name val="Calibri"/>
      <family val="2"/>
    </font>
    <font>
      <b/>
      <sz val="10"/>
      <name val="Arial"/>
      <family val="2"/>
    </font>
    <font>
      <b/>
      <sz val="11"/>
      <color theme="1"/>
      <name val="Calibri"/>
      <family val="2"/>
    </font>
    <font>
      <b/>
      <sz val="11"/>
      <name val="Calibri"/>
      <family val="2"/>
    </font>
    <font>
      <u/>
      <sz val="11"/>
      <color theme="10"/>
      <name val="Calibri"/>
      <family val="2"/>
    </font>
    <font>
      <sz val="11"/>
      <name val="Calibri"/>
      <family val="2"/>
    </font>
    <font>
      <b/>
      <sz val="11"/>
      <color theme="1"/>
      <name val="Aptos Narrow"/>
      <family val="2"/>
      <scheme val="minor"/>
    </font>
  </fonts>
  <fills count="5">
    <fill>
      <patternFill patternType="none"/>
    </fill>
    <fill>
      <patternFill patternType="gray125"/>
    </fill>
    <fill>
      <patternFill patternType="solid">
        <fgColor indexed="9"/>
      </patternFill>
    </fill>
    <fill>
      <patternFill patternType="solid">
        <fgColor theme="8" tint="0.79998168889431442"/>
        <bgColor indexed="64"/>
      </patternFill>
    </fill>
    <fill>
      <patternFill patternType="solid">
        <fgColor theme="2"/>
        <bgColor indexed="64"/>
      </patternFill>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43" fontId="2" fillId="0" borderId="0" applyFont="0" applyFill="0" applyBorder="0" applyAlignment="0" applyProtection="0">
      <alignment wrapText="1"/>
    </xf>
    <xf numFmtId="0" fontId="9" fillId="0" borderId="0" applyNumberFormat="0" applyFill="0" applyBorder="0" applyAlignment="0" applyProtection="0">
      <alignment wrapText="1"/>
    </xf>
    <xf numFmtId="0" fontId="8" fillId="0" borderId="0">
      <alignment wrapText="1"/>
    </xf>
    <xf numFmtId="164" fontId="2" fillId="0" borderId="0" applyFont="0" applyFill="0" applyBorder="0" applyAlignment="0" applyProtection="0"/>
    <xf numFmtId="0" fontId="1" fillId="0" borderId="0"/>
    <xf numFmtId="9" fontId="2" fillId="0" borderId="0" applyFont="0" applyFill="0" applyBorder="0" applyAlignment="0" applyProtection="0"/>
    <xf numFmtId="0" fontId="1" fillId="0" borderId="0"/>
    <xf numFmtId="9" fontId="20" fillId="0" borderId="0" applyFont="0" applyFill="0" applyBorder="0" applyAlignment="0" applyProtection="0"/>
    <xf numFmtId="0" fontId="1" fillId="0" borderId="0"/>
  </cellStyleXfs>
  <cellXfs count="134">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8"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9" fontId="4" fillId="2" borderId="4" xfId="0" applyNumberFormat="1" applyFont="1" applyFill="1" applyBorder="1" applyAlignment="1">
      <alignment horizontal="right" vertical="center" wrapText="1" readingOrder="1"/>
    </xf>
    <xf numFmtId="170"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1"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2"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3" fontId="5"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3" fillId="2" borderId="7" xfId="0" applyFont="1" applyFill="1" applyBorder="1" applyAlignment="1">
      <alignment horizontal="center" vertical="center" wrapText="1" readingOrder="1"/>
    </xf>
    <xf numFmtId="0" fontId="10" fillId="3" borderId="0" xfId="2" applyFont="1" applyFill="1" applyBorder="1" applyAlignment="1">
      <alignment horizontal="center" vertical="center" wrapText="1"/>
    </xf>
    <xf numFmtId="0" fontId="0" fillId="4" borderId="0" xfId="0" applyFill="1" applyAlignment="1">
      <alignment horizontal="center" vertical="center" wrapText="1"/>
    </xf>
    <xf numFmtId="0" fontId="11" fillId="4" borderId="0" xfId="3" applyFont="1" applyFill="1" applyAlignment="1">
      <alignment horizontal="center" vertical="center" wrapText="1"/>
    </xf>
    <xf numFmtId="0" fontId="0" fillId="0" borderId="0" xfId="0" applyAlignment="1">
      <alignment horizontal="center" vertical="center" wrapText="1"/>
    </xf>
    <xf numFmtId="43" fontId="4" fillId="2" borderId="4" xfId="1" applyFont="1" applyFill="1" applyBorder="1" applyAlignment="1">
      <alignment horizontal="right" vertical="top" wrapText="1" readingOrder="1"/>
    </xf>
    <xf numFmtId="43" fontId="3" fillId="2" borderId="7" xfId="1" applyFont="1" applyFill="1" applyBorder="1" applyAlignment="1">
      <alignment horizontal="center"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8" fillId="0" borderId="0" xfId="3">
      <alignment wrapText="1"/>
    </xf>
    <xf numFmtId="0" fontId="12" fillId="0" borderId="0" xfId="0" applyFont="1">
      <alignment wrapText="1"/>
    </xf>
    <xf numFmtId="0" fontId="12" fillId="0" borderId="0" xfId="0" applyFont="1" applyAlignment="1">
      <alignment vertical="center" wrapText="1"/>
    </xf>
    <xf numFmtId="0" fontId="15" fillId="0" borderId="7" xfId="0" applyFont="1" applyBorder="1" applyAlignment="1">
      <alignment horizontal="center" vertical="center" wrapText="1"/>
    </xf>
    <xf numFmtId="0" fontId="12" fillId="0" borderId="7" xfId="0" applyFont="1" applyBorder="1" applyAlignment="1">
      <alignment vertical="center" wrapText="1"/>
    </xf>
    <xf numFmtId="0" fontId="12" fillId="0" borderId="7" xfId="0" applyFont="1" applyBorder="1" applyAlignment="1">
      <alignment horizontal="justify" vertical="center" wrapText="1"/>
    </xf>
    <xf numFmtId="173" fontId="5" fillId="0" borderId="4" xfId="0" applyNumberFormat="1" applyFont="1" applyBorder="1" applyAlignment="1">
      <alignment horizontal="left" vertical="center" wrapText="1" readingOrder="1"/>
    </xf>
    <xf numFmtId="14" fontId="12" fillId="0" borderId="7" xfId="0" quotePrefix="1" applyNumberFormat="1" applyFont="1" applyBorder="1" applyAlignment="1">
      <alignment horizontal="justify" vertical="center" wrapText="1"/>
    </xf>
    <xf numFmtId="0" fontId="0" fillId="0" borderId="0" xfId="0" applyAlignment="1">
      <alignment vertical="center" wrapText="1"/>
    </xf>
    <xf numFmtId="0" fontId="15" fillId="0" borderId="0" xfId="0" applyFont="1" applyAlignment="1">
      <alignment vertical="center" readingOrder="1"/>
    </xf>
    <xf numFmtId="0" fontId="15" fillId="0" borderId="0" xfId="0" applyFont="1" applyAlignment="1">
      <alignment horizontal="left" vertical="center" readingOrder="1"/>
    </xf>
    <xf numFmtId="0" fontId="16" fillId="0" borderId="0" xfId="0" applyFont="1" applyAlignment="1">
      <alignment vertical="center" wrapText="1"/>
    </xf>
    <xf numFmtId="0" fontId="16" fillId="0" borderId="7" xfId="0" applyFont="1" applyBorder="1" applyAlignment="1">
      <alignment horizontal="center" vertical="center" wrapText="1"/>
    </xf>
    <xf numFmtId="0" fontId="12" fillId="0" borderId="0" xfId="0" applyFont="1" applyAlignment="1">
      <alignment vertical="center"/>
    </xf>
    <xf numFmtId="0" fontId="12" fillId="0" borderId="7" xfId="0" applyFont="1" applyBorder="1" applyAlignment="1">
      <alignment vertical="center"/>
    </xf>
    <xf numFmtId="164" fontId="12" fillId="0" borderId="7" xfId="4" applyFont="1" applyFill="1" applyBorder="1" applyAlignment="1">
      <alignment vertical="center"/>
    </xf>
    <xf numFmtId="164" fontId="17" fillId="0" borderId="7" xfId="4" applyFont="1" applyFill="1" applyBorder="1" applyAlignment="1">
      <alignment vertical="center"/>
    </xf>
    <xf numFmtId="4" fontId="12" fillId="0" borderId="7" xfId="0" applyNumberFormat="1" applyFont="1" applyBorder="1" applyAlignment="1">
      <alignment vertical="center"/>
    </xf>
    <xf numFmtId="0" fontId="12" fillId="0" borderId="0" xfId="0" applyFont="1" applyAlignment="1">
      <alignment horizontal="center" vertical="center" readingOrder="1"/>
    </xf>
    <xf numFmtId="0" fontId="1" fillId="0" borderId="0" xfId="5" applyAlignment="1">
      <alignment wrapText="1"/>
    </xf>
    <xf numFmtId="2" fontId="12" fillId="0" borderId="7" xfId="0" applyNumberFormat="1" applyFont="1" applyBorder="1" applyAlignment="1">
      <alignment vertical="center"/>
    </xf>
    <xf numFmtId="10" fontId="17" fillId="0" borderId="7" xfId="6" applyNumberFormat="1" applyFont="1" applyFill="1" applyBorder="1" applyAlignment="1">
      <alignment vertical="center"/>
    </xf>
    <xf numFmtId="0" fontId="6" fillId="2" borderId="0" xfId="5" applyFont="1" applyFill="1" applyAlignment="1">
      <alignment horizontal="left" vertical="center" wrapText="1" readingOrder="1"/>
    </xf>
    <xf numFmtId="0" fontId="18" fillId="0" borderId="0" xfId="5" applyFont="1" applyAlignment="1">
      <alignment vertical="center" wrapText="1"/>
    </xf>
    <xf numFmtId="0" fontId="16" fillId="0" borderId="7" xfId="0" applyFont="1" applyBorder="1" applyAlignment="1">
      <alignment vertical="center" wrapText="1"/>
    </xf>
    <xf numFmtId="0" fontId="1" fillId="0" borderId="0" xfId="7" applyAlignment="1">
      <alignment wrapText="1"/>
    </xf>
    <xf numFmtId="0" fontId="16" fillId="0" borderId="7" xfId="7" applyFont="1" applyBorder="1" applyAlignment="1">
      <alignment horizontal="center" vertical="center"/>
    </xf>
    <xf numFmtId="0" fontId="16" fillId="0" borderId="0" xfId="7" applyFont="1" applyAlignment="1">
      <alignment horizontal="center" vertical="center"/>
    </xf>
    <xf numFmtId="0" fontId="17" fillId="0" borderId="7" xfId="7" applyFont="1" applyBorder="1" applyAlignment="1">
      <alignment vertical="center"/>
    </xf>
    <xf numFmtId="0" fontId="17" fillId="0" borderId="7" xfId="7" applyFont="1" applyBorder="1" applyAlignment="1">
      <alignment vertical="center" wrapText="1"/>
    </xf>
    <xf numFmtId="0" fontId="17" fillId="0" borderId="0" xfId="7" applyFont="1" applyAlignment="1">
      <alignment horizontal="center" vertical="center"/>
    </xf>
    <xf numFmtId="0" fontId="13" fillId="0" borderId="0" xfId="7" applyFont="1" applyAlignment="1">
      <alignment horizontal="center" vertical="center"/>
    </xf>
    <xf numFmtId="0" fontId="19" fillId="0" borderId="0" xfId="7" applyFont="1" applyAlignment="1">
      <alignment wrapText="1"/>
    </xf>
    <xf numFmtId="4" fontId="14" fillId="0" borderId="0" xfId="7" applyNumberFormat="1" applyFont="1"/>
    <xf numFmtId="0" fontId="16" fillId="0" borderId="7" xfId="7" applyFont="1" applyBorder="1" applyAlignment="1">
      <alignment horizontal="center" vertical="center" wrapText="1"/>
    </xf>
    <xf numFmtId="0" fontId="11" fillId="0" borderId="0" xfId="7" applyFont="1" applyAlignment="1">
      <alignment horizontal="center" vertical="center"/>
    </xf>
    <xf numFmtId="0" fontId="17" fillId="0" borderId="7" xfId="7" applyFont="1" applyBorder="1" applyAlignment="1">
      <alignment horizontal="left" vertical="center"/>
    </xf>
    <xf numFmtId="4" fontId="17" fillId="0" borderId="7" xfId="7" applyNumberFormat="1" applyFont="1" applyBorder="1" applyAlignment="1">
      <alignment horizontal="right" vertical="center"/>
    </xf>
    <xf numFmtId="10" fontId="17" fillId="0" borderId="7" xfId="8" applyNumberFormat="1" applyFont="1" applyFill="1" applyBorder="1" applyAlignment="1">
      <alignment vertical="center"/>
    </xf>
    <xf numFmtId="43" fontId="19" fillId="0" borderId="0" xfId="1" applyFont="1" applyAlignment="1">
      <alignment vertical="center"/>
    </xf>
    <xf numFmtId="43" fontId="17" fillId="0" borderId="0" xfId="1" applyFont="1" applyAlignment="1">
      <alignment horizontal="center" vertical="center"/>
    </xf>
    <xf numFmtId="43" fontId="0" fillId="0" borderId="0" xfId="1" applyFont="1">
      <alignment wrapText="1"/>
    </xf>
    <xf numFmtId="43" fontId="4" fillId="2" borderId="0" xfId="1" applyFont="1" applyFill="1" applyBorder="1" applyAlignment="1">
      <alignment horizontal="right" vertical="top" wrapText="1" readingOrder="1"/>
    </xf>
    <xf numFmtId="174" fontId="6" fillId="2" borderId="5" xfId="0" applyNumberFormat="1" applyFont="1" applyFill="1" applyBorder="1" applyAlignment="1">
      <alignment horizontal="right" vertical="center" wrapText="1" readingOrder="1"/>
    </xf>
    <xf numFmtId="0" fontId="21" fillId="4" borderId="0" xfId="0" applyFont="1" applyFill="1" applyAlignment="1">
      <alignment horizontal="center" vertical="center" wrapText="1"/>
    </xf>
    <xf numFmtId="0" fontId="2" fillId="0" borderId="0" xfId="0" applyFont="1">
      <alignment wrapText="1"/>
    </xf>
    <xf numFmtId="0" fontId="22" fillId="0" borderId="7" xfId="5" applyFont="1" applyBorder="1" applyAlignment="1">
      <alignment horizontal="center"/>
    </xf>
    <xf numFmtId="0" fontId="23" fillId="0" borderId="7" xfId="5" applyFont="1" applyBorder="1" applyAlignment="1">
      <alignment horizontal="center" vertical="center"/>
    </xf>
    <xf numFmtId="0" fontId="18" fillId="0" borderId="0" xfId="9" applyFont="1"/>
    <xf numFmtId="0" fontId="18" fillId="0" borderId="7" xfId="5" applyFont="1" applyBorder="1" applyAlignment="1">
      <alignment horizontal="center"/>
    </xf>
    <xf numFmtId="0" fontId="24" fillId="0" borderId="7" xfId="2" applyFont="1" applyBorder="1" applyAlignment="1">
      <alignment vertical="center"/>
    </xf>
    <xf numFmtId="0" fontId="25" fillId="0" borderId="7" xfId="5" applyFont="1" applyBorder="1" applyAlignment="1">
      <alignment vertical="top"/>
    </xf>
    <xf numFmtId="0" fontId="26" fillId="4" borderId="0" xfId="0" applyFont="1" applyFill="1" applyAlignment="1">
      <alignment horizontal="center" vertical="center"/>
    </xf>
    <xf numFmtId="14" fontId="5" fillId="2" borderId="4" xfId="0" quotePrefix="1" applyNumberFormat="1" applyFont="1" applyFill="1" applyBorder="1" applyAlignment="1">
      <alignment horizontal="right" vertical="top"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0" xfId="0" applyFont="1" applyFill="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5" fillId="0" borderId="7" xfId="0" applyFont="1" applyBorder="1" applyAlignment="1">
      <alignment horizontal="center" vertical="center" wrapText="1" readingOrder="1"/>
    </xf>
    <xf numFmtId="0" fontId="4" fillId="0" borderId="7" xfId="0" applyFont="1" applyBorder="1" applyAlignment="1">
      <alignment horizontal="left" vertical="center" wrapText="1" readingOrder="1"/>
    </xf>
    <xf numFmtId="0" fontId="4" fillId="0" borderId="8" xfId="0" applyFont="1" applyBorder="1" applyAlignment="1">
      <alignment horizontal="left" vertical="center" wrapText="1" readingOrder="1"/>
    </xf>
    <xf numFmtId="0" fontId="4" fillId="0" borderId="10" xfId="0" applyFont="1" applyBorder="1" applyAlignment="1">
      <alignment horizontal="left" vertical="center" wrapText="1" readingOrder="1"/>
    </xf>
    <xf numFmtId="0" fontId="4" fillId="0" borderId="9" xfId="0" applyFont="1" applyBorder="1" applyAlignment="1">
      <alignment horizontal="left" vertical="center" wrapText="1" readingOrder="1"/>
    </xf>
    <xf numFmtId="0" fontId="5" fillId="2" borderId="7" xfId="0" applyFont="1" applyFill="1" applyBorder="1" applyAlignment="1">
      <alignment horizontal="center" vertical="center" wrapText="1" readingOrder="1"/>
    </xf>
    <xf numFmtId="0" fontId="4" fillId="2" borderId="7"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4" fillId="2" borderId="0" xfId="0" applyFont="1" applyFill="1" applyAlignment="1">
      <alignment horizontal="justify" vertical="top" wrapText="1" readingOrder="1"/>
    </xf>
    <xf numFmtId="0" fontId="15" fillId="0" borderId="8" xfId="0" applyFont="1" applyBorder="1" applyAlignment="1">
      <alignment horizontal="left" vertical="center" readingOrder="1"/>
    </xf>
    <xf numFmtId="0" fontId="15" fillId="0" borderId="9" xfId="0" applyFont="1" applyBorder="1" applyAlignment="1">
      <alignment horizontal="left" vertical="center" readingOrder="1"/>
    </xf>
    <xf numFmtId="0" fontId="15" fillId="0" borderId="10" xfId="0" applyFont="1" applyBorder="1" applyAlignment="1">
      <alignment horizontal="left" vertical="center" readingOrder="1"/>
    </xf>
    <xf numFmtId="0" fontId="16" fillId="0" borderId="8" xfId="7" applyFont="1" applyBorder="1" applyAlignment="1">
      <alignment horizontal="center" vertical="center" wrapText="1"/>
    </xf>
    <xf numFmtId="0" fontId="16" fillId="0" borderId="10" xfId="7" applyFont="1" applyBorder="1" applyAlignment="1">
      <alignment horizontal="center" vertical="center" wrapText="1"/>
    </xf>
    <xf numFmtId="0" fontId="16" fillId="0" borderId="7" xfId="7" applyFont="1" applyBorder="1" applyAlignment="1">
      <alignment horizontal="center" vertical="center"/>
    </xf>
    <xf numFmtId="0" fontId="17" fillId="0" borderId="8" xfId="4" applyNumberFormat="1" applyFont="1" applyFill="1" applyBorder="1" applyAlignment="1">
      <alignment horizontal="center" vertical="center"/>
    </xf>
    <xf numFmtId="0" fontId="17" fillId="0" borderId="10" xfId="4" applyNumberFormat="1" applyFont="1" applyFill="1" applyBorder="1" applyAlignment="1">
      <alignment horizontal="center" vertical="center"/>
    </xf>
    <xf numFmtId="0" fontId="16" fillId="0" borderId="8" xfId="7" applyFont="1" applyBorder="1" applyAlignment="1">
      <alignment horizontal="center" vertical="center"/>
    </xf>
    <xf numFmtId="0" fontId="16" fillId="0" borderId="9" xfId="7" applyFont="1" applyBorder="1" applyAlignment="1">
      <alignment horizontal="center" vertical="center"/>
    </xf>
    <xf numFmtId="0" fontId="16" fillId="0" borderId="10" xfId="7" applyFont="1" applyBorder="1" applyAlignment="1">
      <alignment horizontal="center" vertical="center"/>
    </xf>
    <xf numFmtId="0" fontId="17" fillId="0" borderId="8" xfId="7" applyFont="1" applyBorder="1" applyAlignment="1">
      <alignment horizontal="left" vertical="center" wrapText="1"/>
    </xf>
    <xf numFmtId="0" fontId="17" fillId="0" borderId="9" xfId="7" applyFont="1" applyBorder="1" applyAlignment="1">
      <alignment horizontal="left" vertical="center" wrapText="1"/>
    </xf>
    <xf numFmtId="0" fontId="17" fillId="0" borderId="10" xfId="7" applyFont="1" applyBorder="1" applyAlignment="1">
      <alignment horizontal="left" vertical="center" wrapText="1"/>
    </xf>
  </cellXfs>
  <cellStyles count="10">
    <cellStyle name="Comma" xfId="1" builtinId="3"/>
    <cellStyle name="Comma 2" xfId="4" xr:uid="{F49314BE-07F6-4AE0-B195-C86342FBE50B}"/>
    <cellStyle name="Hyperlink 2" xfId="2" xr:uid="{740571FA-79F1-4581-8A21-3FA0843B70BB}"/>
    <cellStyle name="Normal" xfId="0" builtinId="0"/>
    <cellStyle name="Normal 2 2" xfId="5" xr:uid="{B305D9A6-8211-43AA-8726-9781A351206A}"/>
    <cellStyle name="Normal 2 2 3" xfId="7" xr:uid="{763F4968-5441-4D99-8325-FD768D7B493F}"/>
    <cellStyle name="Normal 2 3" xfId="9" xr:uid="{75B76D95-20D0-4A3F-9104-1D28B8E2171D}"/>
    <cellStyle name="Normal 3" xfId="3" xr:uid="{4E4A8C15-F357-4838-9E1A-6E8FBCC350EF}"/>
    <cellStyle name="Percent 2" xfId="8" xr:uid="{8A158070-5AF2-456A-8579-15B7642E5916}"/>
    <cellStyle name="Percent 3" xfId="6" xr:uid="{C64F6F59-BA67-4B88-BAD9-D32C2E716C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5" name="Picture 4">
          <a:extLst>
            <a:ext uri="{FF2B5EF4-FFF2-40B4-BE49-F238E27FC236}">
              <a16:creationId xmlns:a16="http://schemas.microsoft.com/office/drawing/2014/main" id="{223EA348-0277-437E-BB68-04B85340A81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562975" y="30575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6" name="Picture 5">
          <a:extLst>
            <a:ext uri="{FF2B5EF4-FFF2-40B4-BE49-F238E27FC236}">
              <a16:creationId xmlns:a16="http://schemas.microsoft.com/office/drawing/2014/main" id="{12725B77-FE4F-4EAE-8266-457509CB1AAF}"/>
            </a:ext>
          </a:extLst>
        </xdr:cNvPr>
        <xdr:cNvPicPr preferRelativeResize="0">
          <a:picLocks noChangeAspect="1"/>
        </xdr:cNvPicPr>
      </xdr:nvPicPr>
      <xdr:blipFill>
        <a:blip xmlns:r="http://schemas.openxmlformats.org/officeDocument/2006/relationships" r:embed="rId2"/>
        <a:stretch>
          <a:fillRect/>
        </a:stretch>
      </xdr:blipFill>
      <xdr:spPr>
        <a:xfrm>
          <a:off x="8547100" y="55245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35</xdr:row>
      <xdr:rowOff>161925</xdr:rowOff>
    </xdr:to>
    <xdr:pic>
      <xdr:nvPicPr>
        <xdr:cNvPr id="7" name="Picture 6">
          <a:extLst>
            <a:ext uri="{FF2B5EF4-FFF2-40B4-BE49-F238E27FC236}">
              <a16:creationId xmlns:a16="http://schemas.microsoft.com/office/drawing/2014/main" id="{E00C80F4-3BC5-4AC4-8C52-5E32B988ACF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591550" y="5600700"/>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57150</xdr:rowOff>
    </xdr:from>
    <xdr:to>
      <xdr:col>9</xdr:col>
      <xdr:colOff>3314700</xdr:colOff>
      <xdr:row>35</xdr:row>
      <xdr:rowOff>19050</xdr:rowOff>
    </xdr:to>
    <xdr:pic>
      <xdr:nvPicPr>
        <xdr:cNvPr id="2" name="Picture 1">
          <a:extLst>
            <a:ext uri="{FF2B5EF4-FFF2-40B4-BE49-F238E27FC236}">
              <a16:creationId xmlns:a16="http://schemas.microsoft.com/office/drawing/2014/main" id="{83C257EF-B0D3-42F1-8311-81C243552F23}"/>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0" y="5981700"/>
          <a:ext cx="323850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161926</xdr:rowOff>
    </xdr:from>
    <xdr:to>
      <xdr:col>9</xdr:col>
      <xdr:colOff>3333750</xdr:colOff>
      <xdr:row>26</xdr:row>
      <xdr:rowOff>133350</xdr:rowOff>
    </xdr:to>
    <xdr:pic>
      <xdr:nvPicPr>
        <xdr:cNvPr id="3" name="Picture 2">
          <a:extLst>
            <a:ext uri="{FF2B5EF4-FFF2-40B4-BE49-F238E27FC236}">
              <a16:creationId xmlns:a16="http://schemas.microsoft.com/office/drawing/2014/main" id="{D6CB0393-7AE3-4658-B76B-EEE1542A29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02941" y="3267076"/>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4" name="Picture 3">
          <a:extLst>
            <a:ext uri="{FF2B5EF4-FFF2-40B4-BE49-F238E27FC236}">
              <a16:creationId xmlns:a16="http://schemas.microsoft.com/office/drawing/2014/main" id="{76946224-F955-4CFD-BA3B-F29DBEF04E5D}"/>
            </a:ext>
          </a:extLst>
        </xdr:cNvPr>
        <xdr:cNvPicPr>
          <a:picLocks noChangeAspect="1"/>
        </xdr:cNvPicPr>
      </xdr:nvPicPr>
      <xdr:blipFill>
        <a:blip xmlns:r="http://schemas.openxmlformats.org/officeDocument/2006/relationships" r:embed="rId3"/>
        <a:stretch>
          <a:fillRect/>
        </a:stretch>
      </xdr:blipFill>
      <xdr:spPr>
        <a:xfrm>
          <a:off x="8458200" y="53340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3052E840-8B1F-4956-A9C7-84C64B413A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0100" y="55911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7F32B871-2B0E-4118-A6D6-0311FEB3D9D7}"/>
            </a:ext>
          </a:extLst>
        </xdr:cNvPr>
        <xdr:cNvPicPr preferRelativeResize="0">
          <a:picLocks noChangeAspect="1"/>
        </xdr:cNvPicPr>
      </xdr:nvPicPr>
      <xdr:blipFill>
        <a:blip xmlns:r="http://schemas.openxmlformats.org/officeDocument/2006/relationships" r:embed="rId2"/>
        <a:stretch>
          <a:fillRect/>
        </a:stretch>
      </xdr:blipFill>
      <xdr:spPr>
        <a:xfrm>
          <a:off x="8410574" y="54292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3F50D6DD-915D-43BC-9A5E-9463D9A0911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13750" y="3159125"/>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35</xdr:row>
      <xdr:rowOff>104775</xdr:rowOff>
    </xdr:to>
    <xdr:pic>
      <xdr:nvPicPr>
        <xdr:cNvPr id="2" name="Picture 1">
          <a:extLst>
            <a:ext uri="{FF2B5EF4-FFF2-40B4-BE49-F238E27FC236}">
              <a16:creationId xmlns:a16="http://schemas.microsoft.com/office/drawing/2014/main" id="{6ECA3B4E-7913-47D4-8796-7712D5B199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67775" y="5438776"/>
          <a:ext cx="323850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2</xdr:row>
      <xdr:rowOff>85726</xdr:rowOff>
    </xdr:from>
    <xdr:to>
      <xdr:col>9</xdr:col>
      <xdr:colOff>3314701</xdr:colOff>
      <xdr:row>12</xdr:row>
      <xdr:rowOff>152401</xdr:rowOff>
    </xdr:to>
    <xdr:pic>
      <xdr:nvPicPr>
        <xdr:cNvPr id="3" name="Picture 2">
          <a:extLst>
            <a:ext uri="{FF2B5EF4-FFF2-40B4-BE49-F238E27FC236}">
              <a16:creationId xmlns:a16="http://schemas.microsoft.com/office/drawing/2014/main" id="{80413A68-C3B4-42BA-B499-600C53630F12}"/>
            </a:ext>
          </a:extLst>
        </xdr:cNvPr>
        <xdr:cNvPicPr preferRelativeResize="0">
          <a:picLocks noChangeAspect="1"/>
        </xdr:cNvPicPr>
      </xdr:nvPicPr>
      <xdr:blipFill>
        <a:blip xmlns:r="http://schemas.openxmlformats.org/officeDocument/2006/relationships" r:embed="rId2"/>
        <a:stretch>
          <a:fillRect/>
        </a:stretch>
      </xdr:blipFill>
      <xdr:spPr>
        <a:xfrm>
          <a:off x="8858251" y="523876"/>
          <a:ext cx="3238500" cy="1962150"/>
        </a:xfrm>
        <a:prstGeom prst="rect">
          <a:avLst/>
        </a:prstGeom>
      </xdr:spPr>
    </xdr:pic>
    <xdr:clientData/>
  </xdr:twoCellAnchor>
  <xdr:twoCellAnchor editAs="oneCell">
    <xdr:from>
      <xdr:col>9</xdr:col>
      <xdr:colOff>76201</xdr:colOff>
      <xdr:row>14</xdr:row>
      <xdr:rowOff>66675</xdr:rowOff>
    </xdr:from>
    <xdr:to>
      <xdr:col>9</xdr:col>
      <xdr:colOff>3324225</xdr:colOff>
      <xdr:row>25</xdr:row>
      <xdr:rowOff>18538</xdr:rowOff>
    </xdr:to>
    <xdr:pic>
      <xdr:nvPicPr>
        <xdr:cNvPr id="4" name="Picture 2">
          <a:extLst>
            <a:ext uri="{FF2B5EF4-FFF2-40B4-BE49-F238E27FC236}">
              <a16:creationId xmlns:a16="http://schemas.microsoft.com/office/drawing/2014/main" id="{32CB4B23-C079-415E-B664-0D2BDD1433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858251" y="300037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39</xdr:row>
      <xdr:rowOff>114300</xdr:rowOff>
    </xdr:to>
    <xdr:pic>
      <xdr:nvPicPr>
        <xdr:cNvPr id="2" name="Picture 1">
          <a:extLst>
            <a:ext uri="{FF2B5EF4-FFF2-40B4-BE49-F238E27FC236}">
              <a16:creationId xmlns:a16="http://schemas.microsoft.com/office/drawing/2014/main" id="{D4E5DCCD-0C72-4C78-9234-6524A42BC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48725" y="5543550"/>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3DAEC2E8-ABDE-482E-AADC-8058B0276D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58250" y="32004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57150</xdr:rowOff>
    </xdr:from>
    <xdr:to>
      <xdr:col>9</xdr:col>
      <xdr:colOff>3305175</xdr:colOff>
      <xdr:row>13</xdr:row>
      <xdr:rowOff>95249</xdr:rowOff>
    </xdr:to>
    <xdr:pic>
      <xdr:nvPicPr>
        <xdr:cNvPr id="4" name="Picture 3">
          <a:extLst>
            <a:ext uri="{FF2B5EF4-FFF2-40B4-BE49-F238E27FC236}">
              <a16:creationId xmlns:a16="http://schemas.microsoft.com/office/drawing/2014/main" id="{14ECD1E1-87D9-4930-A842-43690E4B377B}"/>
            </a:ext>
          </a:extLst>
        </xdr:cNvPr>
        <xdr:cNvPicPr>
          <a:picLocks noChangeAspect="1"/>
        </xdr:cNvPicPr>
      </xdr:nvPicPr>
      <xdr:blipFill>
        <a:blip xmlns:r="http://schemas.openxmlformats.org/officeDocument/2006/relationships" r:embed="rId3"/>
        <a:stretch>
          <a:fillRect/>
        </a:stretch>
      </xdr:blipFill>
      <xdr:spPr>
        <a:xfrm>
          <a:off x="8839200" y="495300"/>
          <a:ext cx="3248025" cy="20954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D4ED8602-2986-43D1-B9CE-B6C7210A1B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3450" y="2895599"/>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66676</xdr:colOff>
      <xdr:row>27</xdr:row>
      <xdr:rowOff>95249</xdr:rowOff>
    </xdr:from>
    <xdr:to>
      <xdr:col>9</xdr:col>
      <xdr:colOff>3343276</xdr:colOff>
      <xdr:row>35</xdr:row>
      <xdr:rowOff>111123</xdr:rowOff>
    </xdr:to>
    <xdr:pic>
      <xdr:nvPicPr>
        <xdr:cNvPr id="3" name="Picture 2">
          <a:extLst>
            <a:ext uri="{FF2B5EF4-FFF2-40B4-BE49-F238E27FC236}">
              <a16:creationId xmlns:a16="http://schemas.microsoft.com/office/drawing/2014/main" id="{A6B6EEC0-386F-4B8D-8AC2-87CA5AE3E5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62976" y="5305424"/>
          <a:ext cx="3276600"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4" name="Picture 3">
          <a:extLst>
            <a:ext uri="{FF2B5EF4-FFF2-40B4-BE49-F238E27FC236}">
              <a16:creationId xmlns:a16="http://schemas.microsoft.com/office/drawing/2014/main" id="{84A03A75-28F8-499C-BF84-A0C663E2F7EC}"/>
            </a:ext>
          </a:extLst>
        </xdr:cNvPr>
        <xdr:cNvPicPr preferRelativeResize="0">
          <a:picLocks noChangeAspect="1"/>
        </xdr:cNvPicPr>
      </xdr:nvPicPr>
      <xdr:blipFill>
        <a:blip xmlns:r="http://schemas.openxmlformats.org/officeDocument/2006/relationships" r:embed="rId3"/>
        <a:stretch>
          <a:fillRect/>
        </a:stretch>
      </xdr:blipFill>
      <xdr:spPr>
        <a:xfrm>
          <a:off x="8915401" y="400050"/>
          <a:ext cx="32766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38</xdr:row>
      <xdr:rowOff>6349</xdr:rowOff>
    </xdr:to>
    <xdr:pic>
      <xdr:nvPicPr>
        <xdr:cNvPr id="2" name="Picture 1">
          <a:extLst>
            <a:ext uri="{FF2B5EF4-FFF2-40B4-BE49-F238E27FC236}">
              <a16:creationId xmlns:a16="http://schemas.microsoft.com/office/drawing/2014/main" id="{A61A6B34-9BD3-4D85-8327-88594107FF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72527" y="536257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0B1104B0-6FCB-4F58-ACDA-323DBFE925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91575" y="29718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95251</xdr:rowOff>
    </xdr:from>
    <xdr:to>
      <xdr:col>9</xdr:col>
      <xdr:colOff>3343275</xdr:colOff>
      <xdr:row>13</xdr:row>
      <xdr:rowOff>85726</xdr:rowOff>
    </xdr:to>
    <xdr:pic>
      <xdr:nvPicPr>
        <xdr:cNvPr id="4" name="Picture 3">
          <a:extLst>
            <a:ext uri="{FF2B5EF4-FFF2-40B4-BE49-F238E27FC236}">
              <a16:creationId xmlns:a16="http://schemas.microsoft.com/office/drawing/2014/main" id="{74DE6571-ECF0-4EF5-A486-6A21DD56D750}"/>
            </a:ext>
          </a:extLst>
        </xdr:cNvPr>
        <xdr:cNvPicPr preferRelativeResize="0">
          <a:picLocks noChangeAspect="1"/>
        </xdr:cNvPicPr>
      </xdr:nvPicPr>
      <xdr:blipFill>
        <a:blip xmlns:r="http://schemas.openxmlformats.org/officeDocument/2006/relationships" r:embed="rId3"/>
        <a:stretch>
          <a:fillRect/>
        </a:stretch>
      </xdr:blipFill>
      <xdr:spPr>
        <a:xfrm>
          <a:off x="8753475" y="533401"/>
          <a:ext cx="3305175" cy="2047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CC61DFA3-C966-47B7-8A2B-AB77742DAB04}"/>
            </a:ext>
          </a:extLst>
        </xdr:cNvPr>
        <xdr:cNvPicPr>
          <a:picLocks noChangeAspect="1"/>
        </xdr:cNvPicPr>
      </xdr:nvPicPr>
      <xdr:blipFill>
        <a:blip xmlns:r="http://schemas.openxmlformats.org/officeDocument/2006/relationships" r:embed="rId1"/>
        <a:stretch>
          <a:fillRect/>
        </a:stretch>
      </xdr:blipFill>
      <xdr:spPr>
        <a:xfrm>
          <a:off x="9163051"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AFE10CFB-E7EC-4BE3-B77F-475D3CE943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100"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D098567E-FD00-4DAE-8531-A40252329B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91627"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57150</xdr:colOff>
      <xdr:row>16</xdr:row>
      <xdr:rowOff>85725</xdr:rowOff>
    </xdr:from>
    <xdr:to>
      <xdr:col>9</xdr:col>
      <xdr:colOff>3324226</xdr:colOff>
      <xdr:row>24</xdr:row>
      <xdr:rowOff>112739</xdr:rowOff>
    </xdr:to>
    <xdr:pic>
      <xdr:nvPicPr>
        <xdr:cNvPr id="2" name="Picture 1">
          <a:extLst>
            <a:ext uri="{FF2B5EF4-FFF2-40B4-BE49-F238E27FC236}">
              <a16:creationId xmlns:a16="http://schemas.microsoft.com/office/drawing/2014/main" id="{64822CF6-8FD3-4104-BA51-7DA7DA595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3305175"/>
          <a:ext cx="3267076"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12</xdr:row>
      <xdr:rowOff>85726</xdr:rowOff>
    </xdr:to>
    <xdr:pic>
      <xdr:nvPicPr>
        <xdr:cNvPr id="3" name="Picture 2">
          <a:extLst>
            <a:ext uri="{FF2B5EF4-FFF2-40B4-BE49-F238E27FC236}">
              <a16:creationId xmlns:a16="http://schemas.microsoft.com/office/drawing/2014/main" id="{2ED29F77-4791-42D9-856B-55235923B6E0}"/>
            </a:ext>
          </a:extLst>
        </xdr:cNvPr>
        <xdr:cNvPicPr>
          <a:picLocks/>
        </xdr:cNvPicPr>
      </xdr:nvPicPr>
      <xdr:blipFill>
        <a:blip xmlns:r="http://schemas.openxmlformats.org/officeDocument/2006/relationships" r:embed="rId2"/>
        <a:stretch>
          <a:fillRect/>
        </a:stretch>
      </xdr:blipFill>
      <xdr:spPr>
        <a:xfrm>
          <a:off x="9020175"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EEEFA27F-5597-4830-8E09-616968966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1"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940DC443-8959-41E9-8562-B01F9BC448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39149"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B8A8E350-5204-449F-81A3-FEE84DBCE166}"/>
            </a:ext>
          </a:extLst>
        </xdr:cNvPr>
        <xdr:cNvPicPr>
          <a:picLocks noChangeAspect="1"/>
        </xdr:cNvPicPr>
      </xdr:nvPicPr>
      <xdr:blipFill>
        <a:blip xmlns:r="http://schemas.openxmlformats.org/officeDocument/2006/relationships" r:embed="rId2"/>
        <a:stretch>
          <a:fillRect/>
        </a:stretch>
      </xdr:blipFill>
      <xdr:spPr>
        <a:xfrm>
          <a:off x="8391525" y="48577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ED21-7114-4DCB-9439-9A02BF9E84DB}">
  <dimension ref="A1:C11"/>
  <sheetViews>
    <sheetView tabSelected="1" workbookViewId="0">
      <selection activeCell="B6" sqref="B6"/>
    </sheetView>
  </sheetViews>
  <sheetFormatPr defaultColWidth="8.85546875" defaultRowHeight="15" x14ac:dyDescent="0.25"/>
  <cols>
    <col min="1" max="1" width="6.140625" style="93" bestFit="1" customWidth="1"/>
    <col min="2" max="2" width="10.85546875" style="93" bestFit="1" customWidth="1"/>
    <col min="3" max="3" width="35" style="93" bestFit="1" customWidth="1"/>
    <col min="4" max="16384" width="8.85546875" style="93"/>
  </cols>
  <sheetData>
    <row r="1" spans="1:3" x14ac:dyDescent="0.25">
      <c r="A1" s="91" t="s">
        <v>556</v>
      </c>
      <c r="B1" s="92" t="s">
        <v>557</v>
      </c>
      <c r="C1" s="92" t="s">
        <v>558</v>
      </c>
    </row>
    <row r="2" spans="1:3" x14ac:dyDescent="0.25">
      <c r="A2" s="94">
        <v>1</v>
      </c>
      <c r="B2" s="95" t="s">
        <v>559</v>
      </c>
      <c r="C2" s="96" t="s">
        <v>1</v>
      </c>
    </row>
    <row r="3" spans="1:3" x14ac:dyDescent="0.25">
      <c r="A3" s="94">
        <v>2</v>
      </c>
      <c r="B3" s="95" t="s">
        <v>560</v>
      </c>
      <c r="C3" s="96" t="s">
        <v>106</v>
      </c>
    </row>
    <row r="4" spans="1:3" x14ac:dyDescent="0.25">
      <c r="A4" s="94">
        <v>3</v>
      </c>
      <c r="B4" s="95" t="s">
        <v>561</v>
      </c>
      <c r="C4" s="96" t="s">
        <v>139</v>
      </c>
    </row>
    <row r="5" spans="1:3" x14ac:dyDescent="0.25">
      <c r="A5" s="94">
        <v>4</v>
      </c>
      <c r="B5" s="95" t="s">
        <v>562</v>
      </c>
      <c r="C5" s="96" t="s">
        <v>178</v>
      </c>
    </row>
    <row r="6" spans="1:3" x14ac:dyDescent="0.25">
      <c r="A6" s="94">
        <v>5</v>
      </c>
      <c r="B6" s="95" t="s">
        <v>563</v>
      </c>
      <c r="C6" s="96" t="s">
        <v>238</v>
      </c>
    </row>
    <row r="7" spans="1:3" x14ac:dyDescent="0.25">
      <c r="A7" s="94">
        <v>6</v>
      </c>
      <c r="B7" s="95" t="s">
        <v>564</v>
      </c>
      <c r="C7" s="96" t="s">
        <v>356</v>
      </c>
    </row>
    <row r="8" spans="1:3" x14ac:dyDescent="0.25">
      <c r="A8" s="94">
        <v>7</v>
      </c>
      <c r="B8" s="95" t="s">
        <v>565</v>
      </c>
      <c r="C8" s="96" t="s">
        <v>370</v>
      </c>
    </row>
    <row r="9" spans="1:3" x14ac:dyDescent="0.25">
      <c r="A9" s="94">
        <v>8</v>
      </c>
      <c r="B9" s="95" t="s">
        <v>566</v>
      </c>
      <c r="C9" s="96" t="s">
        <v>430</v>
      </c>
    </row>
    <row r="10" spans="1:3" x14ac:dyDescent="0.25">
      <c r="A10" s="94">
        <v>9</v>
      </c>
      <c r="B10" s="95" t="s">
        <v>567</v>
      </c>
      <c r="C10" s="96" t="s">
        <v>436</v>
      </c>
    </row>
    <row r="11" spans="1:3" x14ac:dyDescent="0.25">
      <c r="A11" s="94">
        <v>10</v>
      </c>
      <c r="B11" s="95" t="s">
        <v>568</v>
      </c>
      <c r="C11" s="96" t="s">
        <v>478</v>
      </c>
    </row>
  </sheetData>
  <hyperlinks>
    <hyperlink ref="B3" location="SFRSTP!A1" display="SFRSTP" xr:uid="{5F8AB6D0-8242-486F-B46C-12491E1959B9}"/>
    <hyperlink ref="B4" location="SMMF!A1" display="SMMF" xr:uid="{EA2B0C84-5A3A-4DA8-93F7-888028C201E8}"/>
    <hyperlink ref="B5" location="SPLDF!A1" display="SPLDF" xr:uid="{51589F17-ACB5-4A9B-B83D-0812AACC581B}"/>
    <hyperlink ref="B6" location="SPMON!A1" display="SPMON" xr:uid="{9F0C6B94-3E17-4DC0-861D-2FD5256A5B3E}"/>
    <hyperlink ref="B7" location="SPSDF!A1" display="SPSDF" xr:uid="{3AD96DD8-19C5-4DAA-BDBF-97141C7AE461}"/>
    <hyperlink ref="B8" location="SPUSDF!A1" display="SPUSDF" xr:uid="{69E11831-1FD7-43E5-AD28-7C6787C7ACD7}"/>
    <hyperlink ref="B9" location="SUNBDS!A1" display="SUNBDS" xr:uid="{1DEDDA3D-711F-4CB1-B766-5EC6CFF093A1}"/>
    <hyperlink ref="B10" location="SUNMIA!A1" display="SUNMIA" xr:uid="{C85EF7D5-F027-4473-8446-08581B49017A}"/>
    <hyperlink ref="B11" location="SUNONF!A1" display="SUNONF" xr:uid="{B8F012A4-5DFD-42C7-BBC7-76D54B458C64}"/>
    <hyperlink ref="B2" location="SFRLTP!A1" display="SFRLTP" xr:uid="{9BBFD238-BE6A-48CB-96EA-E1DB736375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C2A8-E56D-4621-A49C-65F1FF05AA99}">
  <sheetPr>
    <outlinePr summaryBelow="0" summaryRight="0"/>
  </sheetPr>
  <dimension ref="A1:R141"/>
  <sheetViews>
    <sheetView showGridLines="0" workbookViewId="0">
      <selection activeCell="H76" sqref="H76"/>
    </sheetView>
  </sheetViews>
  <sheetFormatPr defaultRowHeight="12.75" x14ac:dyDescent="0.2"/>
  <cols>
    <col min="1" max="1" width="5.85546875" bestFit="1" customWidth="1"/>
    <col min="2" max="2" width="20.28515625" bestFit="1" customWidth="1"/>
    <col min="3" max="3" width="43.140625" customWidth="1"/>
    <col min="4" max="4" width="12.28515625" customWidth="1"/>
    <col min="5" max="5" width="9.42578125" bestFit="1" customWidth="1"/>
    <col min="6" max="6" width="10.140625" bestFit="1" customWidth="1"/>
    <col min="7" max="7" width="14" bestFit="1" customWidth="1"/>
    <col min="8" max="8" width="9.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1</v>
      </c>
      <c r="B2" s="101"/>
      <c r="C2" s="101"/>
      <c r="D2" s="101"/>
      <c r="E2" s="101"/>
      <c r="F2" s="101"/>
      <c r="G2" s="101"/>
      <c r="H2" s="101"/>
      <c r="J2" s="38" t="s">
        <v>570</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490</v>
      </c>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1"/>
      <c r="B7" s="1"/>
      <c r="C7" s="2" t="s">
        <v>11</v>
      </c>
      <c r="D7" s="1"/>
      <c r="E7" s="1" t="s">
        <v>12</v>
      </c>
      <c r="F7" s="3" t="s">
        <v>13</v>
      </c>
      <c r="G7" s="4">
        <v>0</v>
      </c>
      <c r="H7" s="40" t="s">
        <v>12</v>
      </c>
    </row>
    <row r="8" spans="1:10" x14ac:dyDescent="0.2">
      <c r="A8" s="1"/>
      <c r="B8" s="1"/>
      <c r="C8" s="5"/>
      <c r="D8" s="1"/>
      <c r="E8" s="1"/>
      <c r="F8" s="6"/>
      <c r="G8" s="6"/>
      <c r="H8" s="40" t="s">
        <v>12</v>
      </c>
    </row>
    <row r="9" spans="1:10" x14ac:dyDescent="0.2">
      <c r="A9" s="1"/>
      <c r="B9" s="1"/>
      <c r="C9" s="2" t="s">
        <v>14</v>
      </c>
      <c r="D9" s="1"/>
      <c r="E9" s="1"/>
      <c r="F9" s="1"/>
      <c r="G9" s="1"/>
      <c r="H9" s="40" t="s">
        <v>12</v>
      </c>
    </row>
    <row r="10" spans="1:10" x14ac:dyDescent="0.2">
      <c r="A10" s="1"/>
      <c r="B10" s="1"/>
      <c r="C10" s="2" t="s">
        <v>11</v>
      </c>
      <c r="D10" s="1"/>
      <c r="E10" s="1" t="s">
        <v>12</v>
      </c>
      <c r="F10" s="3" t="s">
        <v>13</v>
      </c>
      <c r="G10" s="4">
        <v>0</v>
      </c>
      <c r="H10" s="40" t="s">
        <v>12</v>
      </c>
    </row>
    <row r="11" spans="1:10" x14ac:dyDescent="0.2">
      <c r="A11" s="1"/>
      <c r="B11" s="1"/>
      <c r="C11" s="5"/>
      <c r="D11" s="1"/>
      <c r="E11" s="1"/>
      <c r="F11" s="6"/>
      <c r="G11" s="6"/>
      <c r="H11" s="40" t="s">
        <v>12</v>
      </c>
    </row>
    <row r="12" spans="1:10" ht="15" x14ac:dyDescent="0.2">
      <c r="A12" s="1"/>
      <c r="B12" s="1"/>
      <c r="C12" s="2" t="s">
        <v>15</v>
      </c>
      <c r="D12" s="1"/>
      <c r="E12" s="1"/>
      <c r="F12" s="1"/>
      <c r="G12" s="1"/>
      <c r="H12" s="40" t="s">
        <v>12</v>
      </c>
      <c r="J12" s="97"/>
    </row>
    <row r="13" spans="1:10" x14ac:dyDescent="0.2">
      <c r="A13" s="1"/>
      <c r="B13" s="1"/>
      <c r="C13" s="2" t="s">
        <v>11</v>
      </c>
      <c r="D13" s="1"/>
      <c r="E13" s="1" t="s">
        <v>12</v>
      </c>
      <c r="F13" s="3" t="s">
        <v>13</v>
      </c>
      <c r="G13" s="4">
        <v>0</v>
      </c>
      <c r="H13" s="40" t="s">
        <v>12</v>
      </c>
      <c r="J13" s="89"/>
    </row>
    <row r="14" spans="1:10" x14ac:dyDescent="0.2">
      <c r="A14" s="1"/>
      <c r="B14" s="1"/>
      <c r="C14" s="5"/>
      <c r="D14" s="1"/>
      <c r="E14" s="1"/>
      <c r="F14" s="6"/>
      <c r="G14" s="6"/>
      <c r="H14" s="40" t="s">
        <v>12</v>
      </c>
    </row>
    <row r="15" spans="1:10" ht="25.5" x14ac:dyDescent="0.2">
      <c r="A15" s="1"/>
      <c r="B15" s="1"/>
      <c r="C15" s="2" t="s">
        <v>16</v>
      </c>
      <c r="D15" s="1"/>
      <c r="E15" s="1"/>
      <c r="F15" s="1"/>
      <c r="G15" s="1"/>
      <c r="H15" s="40" t="s">
        <v>12</v>
      </c>
      <c r="J15" s="89" t="s">
        <v>571</v>
      </c>
    </row>
    <row r="16" spans="1:10" x14ac:dyDescent="0.2">
      <c r="A16" s="1"/>
      <c r="B16" s="1"/>
      <c r="C16" s="2" t="s">
        <v>11</v>
      </c>
      <c r="D16" s="1"/>
      <c r="E16" s="1" t="s">
        <v>12</v>
      </c>
      <c r="F16" s="3" t="s">
        <v>13</v>
      </c>
      <c r="G16" s="4">
        <v>0</v>
      </c>
      <c r="H16" s="40" t="s">
        <v>12</v>
      </c>
    </row>
    <row r="17" spans="1:10" x14ac:dyDescent="0.2">
      <c r="A17" s="1"/>
      <c r="B17" s="1"/>
      <c r="C17" s="5"/>
      <c r="D17" s="1"/>
      <c r="E17" s="1"/>
      <c r="F17" s="6"/>
      <c r="G17" s="6"/>
      <c r="H17" s="40" t="s">
        <v>12</v>
      </c>
    </row>
    <row r="18" spans="1:10" x14ac:dyDescent="0.2">
      <c r="A18" s="1"/>
      <c r="B18" s="1"/>
      <c r="C18" s="2" t="s">
        <v>17</v>
      </c>
      <c r="D18" s="1"/>
      <c r="E18" s="1"/>
      <c r="F18" s="6"/>
      <c r="G18" s="6"/>
      <c r="H18" s="40" t="s">
        <v>12</v>
      </c>
    </row>
    <row r="19" spans="1:10" x14ac:dyDescent="0.2">
      <c r="A19" s="1"/>
      <c r="B19" s="1"/>
      <c r="C19" s="2" t="s">
        <v>11</v>
      </c>
      <c r="D19" s="1"/>
      <c r="E19" s="1" t="s">
        <v>12</v>
      </c>
      <c r="F19" s="3" t="s">
        <v>13</v>
      </c>
      <c r="G19" s="4">
        <v>0</v>
      </c>
      <c r="H19" s="40" t="s">
        <v>12</v>
      </c>
    </row>
    <row r="20" spans="1:10" x14ac:dyDescent="0.2">
      <c r="A20" s="1"/>
      <c r="B20" s="1"/>
      <c r="C20" s="5"/>
      <c r="D20" s="1"/>
      <c r="E20" s="1"/>
      <c r="F20" s="6"/>
      <c r="G20" s="6"/>
      <c r="H20" s="40" t="s">
        <v>12</v>
      </c>
    </row>
    <row r="21" spans="1:10" x14ac:dyDescent="0.2">
      <c r="A21" s="1"/>
      <c r="B21" s="1"/>
      <c r="C21" s="2" t="s">
        <v>18</v>
      </c>
      <c r="D21" s="1"/>
      <c r="E21" s="1"/>
      <c r="F21" s="6"/>
      <c r="G21" s="6"/>
      <c r="H21" s="40" t="s">
        <v>12</v>
      </c>
    </row>
    <row r="22" spans="1:10" ht="15" x14ac:dyDescent="0.2">
      <c r="A22" s="1"/>
      <c r="B22" s="1"/>
      <c r="C22" s="2" t="s">
        <v>11</v>
      </c>
      <c r="D22" s="1"/>
      <c r="E22" s="1" t="s">
        <v>12</v>
      </c>
      <c r="F22" s="3" t="s">
        <v>13</v>
      </c>
      <c r="G22" s="4">
        <v>0</v>
      </c>
      <c r="H22" s="40" t="s">
        <v>12</v>
      </c>
      <c r="J22" s="97"/>
    </row>
    <row r="23" spans="1:10" x14ac:dyDescent="0.2">
      <c r="A23" s="1"/>
      <c r="B23" s="1"/>
      <c r="C23" s="5"/>
      <c r="D23" s="1"/>
      <c r="E23" s="1"/>
      <c r="F23" s="6"/>
      <c r="G23" s="6"/>
      <c r="H23" s="40" t="s">
        <v>12</v>
      </c>
      <c r="J23" s="89"/>
    </row>
    <row r="24" spans="1:10" x14ac:dyDescent="0.2">
      <c r="A24" s="1"/>
      <c r="B24" s="1"/>
      <c r="C24" s="2" t="s">
        <v>19</v>
      </c>
      <c r="D24" s="1"/>
      <c r="E24" s="1"/>
      <c r="F24" s="7">
        <v>0</v>
      </c>
      <c r="G24" s="4">
        <v>0</v>
      </c>
      <c r="H24" s="40" t="s">
        <v>12</v>
      </c>
    </row>
    <row r="25" spans="1:10" x14ac:dyDescent="0.2">
      <c r="A25" s="1"/>
      <c r="B25" s="1"/>
      <c r="C25" s="5"/>
      <c r="D25" s="1"/>
      <c r="E25" s="1"/>
      <c r="F25" s="6"/>
      <c r="G25" s="6"/>
      <c r="H25" s="40" t="s">
        <v>12</v>
      </c>
    </row>
    <row r="26" spans="1:10" x14ac:dyDescent="0.2">
      <c r="A26" s="1"/>
      <c r="B26" s="1"/>
      <c r="C26" s="2" t="s">
        <v>20</v>
      </c>
      <c r="D26" s="1"/>
      <c r="E26" s="1"/>
      <c r="F26" s="6"/>
      <c r="G26" s="6"/>
      <c r="H26" s="40" t="s">
        <v>12</v>
      </c>
    </row>
    <row r="27" spans="1:10" x14ac:dyDescent="0.2">
      <c r="A27" s="1"/>
      <c r="B27" s="1"/>
      <c r="C27" s="2" t="s">
        <v>10</v>
      </c>
      <c r="D27" s="1"/>
      <c r="E27" s="1"/>
      <c r="F27" s="6"/>
      <c r="G27" s="6"/>
      <c r="H27" s="40" t="s">
        <v>12</v>
      </c>
    </row>
    <row r="28" spans="1:10" ht="25.5" x14ac:dyDescent="0.2">
      <c r="A28" s="8">
        <v>1</v>
      </c>
      <c r="B28" s="9" t="s">
        <v>21</v>
      </c>
      <c r="C28" s="9" t="s">
        <v>22</v>
      </c>
      <c r="D28" s="9" t="s">
        <v>23</v>
      </c>
      <c r="E28" s="10">
        <v>6500</v>
      </c>
      <c r="F28" s="11">
        <v>6451.2174999999997</v>
      </c>
      <c r="G28" s="12">
        <v>9.102797E-2</v>
      </c>
      <c r="H28" s="40">
        <v>7.6</v>
      </c>
      <c r="J28" s="89" t="s">
        <v>572</v>
      </c>
    </row>
    <row r="29" spans="1:10" ht="25.5" x14ac:dyDescent="0.2">
      <c r="A29" s="8">
        <v>2</v>
      </c>
      <c r="B29" s="9" t="s">
        <v>24</v>
      </c>
      <c r="C29" s="9" t="s">
        <v>25</v>
      </c>
      <c r="D29" s="9" t="s">
        <v>23</v>
      </c>
      <c r="E29" s="10">
        <v>6000</v>
      </c>
      <c r="F29" s="11">
        <v>5958.5940000000001</v>
      </c>
      <c r="G29" s="12">
        <v>8.4076960000000006E-2</v>
      </c>
      <c r="H29" s="40">
        <v>7.75</v>
      </c>
    </row>
    <row r="30" spans="1:10" x14ac:dyDescent="0.2">
      <c r="A30" s="8">
        <v>3</v>
      </c>
      <c r="B30" s="9" t="s">
        <v>26</v>
      </c>
      <c r="C30" s="9" t="s">
        <v>27</v>
      </c>
      <c r="D30" s="9" t="s">
        <v>23</v>
      </c>
      <c r="E30" s="10">
        <v>4000</v>
      </c>
      <c r="F30" s="11">
        <v>3984.24</v>
      </c>
      <c r="G30" s="12">
        <v>5.621843E-2</v>
      </c>
      <c r="H30" s="40">
        <v>7.6050000000000004</v>
      </c>
    </row>
    <row r="31" spans="1:10" x14ac:dyDescent="0.2">
      <c r="A31" s="8">
        <v>4</v>
      </c>
      <c r="B31" s="9" t="s">
        <v>28</v>
      </c>
      <c r="C31" s="9" t="s">
        <v>29</v>
      </c>
      <c r="D31" s="9" t="s">
        <v>23</v>
      </c>
      <c r="E31" s="10">
        <v>300</v>
      </c>
      <c r="F31" s="11">
        <v>2984.8229999999999</v>
      </c>
      <c r="G31" s="12">
        <v>4.211645E-2</v>
      </c>
      <c r="H31" s="40">
        <v>7.85</v>
      </c>
    </row>
    <row r="32" spans="1:10" ht="25.5" x14ac:dyDescent="0.2">
      <c r="A32" s="8">
        <v>5</v>
      </c>
      <c r="B32" s="9" t="s">
        <v>30</v>
      </c>
      <c r="C32" s="9" t="s">
        <v>31</v>
      </c>
      <c r="D32" s="9" t="s">
        <v>23</v>
      </c>
      <c r="E32" s="10">
        <v>2500</v>
      </c>
      <c r="F32" s="11">
        <v>2495.8674999999998</v>
      </c>
      <c r="G32" s="12">
        <v>3.5217190000000002E-2</v>
      </c>
      <c r="H32" s="40">
        <v>7.6574999999999998</v>
      </c>
    </row>
    <row r="33" spans="1:8" x14ac:dyDescent="0.2">
      <c r="A33" s="8">
        <v>6</v>
      </c>
      <c r="B33" s="9" t="s">
        <v>32</v>
      </c>
      <c r="C33" s="9" t="s">
        <v>33</v>
      </c>
      <c r="D33" s="9" t="s">
        <v>23</v>
      </c>
      <c r="E33" s="10">
        <v>2500</v>
      </c>
      <c r="F33" s="11">
        <v>2489.35</v>
      </c>
      <c r="G33" s="12">
        <v>3.512523E-2</v>
      </c>
      <c r="H33" s="40">
        <v>7.5788000000000002</v>
      </c>
    </row>
    <row r="34" spans="1:8" x14ac:dyDescent="0.2">
      <c r="A34" s="8">
        <v>7</v>
      </c>
      <c r="B34" s="9" t="s">
        <v>34</v>
      </c>
      <c r="C34" s="9" t="s">
        <v>35</v>
      </c>
      <c r="D34" s="9" t="s">
        <v>23</v>
      </c>
      <c r="E34" s="10">
        <v>2500</v>
      </c>
      <c r="F34" s="11">
        <v>2488.895</v>
      </c>
      <c r="G34" s="12">
        <v>3.511881E-2</v>
      </c>
      <c r="H34" s="40">
        <v>7.7050000000000001</v>
      </c>
    </row>
    <row r="35" spans="1:8" ht="25.5" x14ac:dyDescent="0.2">
      <c r="A35" s="8">
        <v>8</v>
      </c>
      <c r="B35" s="9" t="s">
        <v>36</v>
      </c>
      <c r="C35" s="9" t="s">
        <v>37</v>
      </c>
      <c r="D35" s="9" t="s">
        <v>23</v>
      </c>
      <c r="E35" s="10">
        <v>2500</v>
      </c>
      <c r="F35" s="11">
        <v>2486.7624999999998</v>
      </c>
      <c r="G35" s="12">
        <v>3.5088719999999997E-2</v>
      </c>
      <c r="H35" s="40">
        <v>7.8437999999999999</v>
      </c>
    </row>
    <row r="36" spans="1:8" ht="25.5" x14ac:dyDescent="0.2">
      <c r="A36" s="8">
        <v>9</v>
      </c>
      <c r="B36" s="9" t="s">
        <v>38</v>
      </c>
      <c r="C36" s="9" t="s">
        <v>39</v>
      </c>
      <c r="D36" s="9" t="s">
        <v>23</v>
      </c>
      <c r="E36" s="10">
        <v>2500</v>
      </c>
      <c r="F36" s="11">
        <v>2486.2224999999999</v>
      </c>
      <c r="G36" s="12">
        <v>3.5081099999999997E-2</v>
      </c>
      <c r="H36" s="40">
        <v>7.75</v>
      </c>
    </row>
    <row r="37" spans="1:8" x14ac:dyDescent="0.2">
      <c r="A37" s="8">
        <v>10</v>
      </c>
      <c r="B37" s="9" t="s">
        <v>40</v>
      </c>
      <c r="C37" s="9" t="s">
        <v>41</v>
      </c>
      <c r="D37" s="9" t="s">
        <v>23</v>
      </c>
      <c r="E37" s="10">
        <v>2500</v>
      </c>
      <c r="F37" s="11">
        <v>2482.25</v>
      </c>
      <c r="G37" s="12">
        <v>3.5025050000000002E-2</v>
      </c>
      <c r="H37" s="40">
        <v>7.6050000000000004</v>
      </c>
    </row>
    <row r="38" spans="1:8" ht="25.5" x14ac:dyDescent="0.2">
      <c r="A38" s="8">
        <v>11</v>
      </c>
      <c r="B38" s="9" t="s">
        <v>42</v>
      </c>
      <c r="C38" s="9" t="s">
        <v>43</v>
      </c>
      <c r="D38" s="9" t="s">
        <v>23</v>
      </c>
      <c r="E38" s="10">
        <v>250</v>
      </c>
      <c r="F38" s="11">
        <v>2473.1550000000002</v>
      </c>
      <c r="G38" s="12">
        <v>3.4896709999999997E-2</v>
      </c>
      <c r="H38" s="40">
        <v>7.6849999999999996</v>
      </c>
    </row>
    <row r="39" spans="1:8" ht="25.5" x14ac:dyDescent="0.2">
      <c r="A39" s="8">
        <v>12</v>
      </c>
      <c r="B39" s="9" t="s">
        <v>44</v>
      </c>
      <c r="C39" s="9" t="s">
        <v>45</v>
      </c>
      <c r="D39" s="9" t="s">
        <v>23</v>
      </c>
      <c r="E39" s="10">
        <v>2000</v>
      </c>
      <c r="F39" s="11">
        <v>2000.1479999999999</v>
      </c>
      <c r="G39" s="12">
        <v>2.8222489999999999E-2</v>
      </c>
      <c r="H39" s="40">
        <v>7.59</v>
      </c>
    </row>
    <row r="40" spans="1:8" x14ac:dyDescent="0.2">
      <c r="A40" s="8">
        <v>13</v>
      </c>
      <c r="B40" s="9" t="s">
        <v>46</v>
      </c>
      <c r="C40" s="9" t="s">
        <v>47</v>
      </c>
      <c r="D40" s="9" t="s">
        <v>48</v>
      </c>
      <c r="E40" s="10">
        <v>200</v>
      </c>
      <c r="F40" s="11">
        <v>1994.796</v>
      </c>
      <c r="G40" s="12">
        <v>2.814697E-2</v>
      </c>
      <c r="H40" s="40">
        <v>7.5049999999999999</v>
      </c>
    </row>
    <row r="41" spans="1:8" x14ac:dyDescent="0.2">
      <c r="A41" s="8">
        <v>14</v>
      </c>
      <c r="B41" s="9" t="s">
        <v>49</v>
      </c>
      <c r="C41" s="9" t="s">
        <v>50</v>
      </c>
      <c r="D41" s="9" t="s">
        <v>23</v>
      </c>
      <c r="E41" s="10">
        <v>2000</v>
      </c>
      <c r="F41" s="11">
        <v>1983.7739999999999</v>
      </c>
      <c r="G41" s="12">
        <v>2.7991450000000001E-2</v>
      </c>
      <c r="H41" s="40">
        <v>8.0403000000000002</v>
      </c>
    </row>
    <row r="42" spans="1:8" ht="25.5" x14ac:dyDescent="0.2">
      <c r="A42" s="8">
        <v>15</v>
      </c>
      <c r="B42" s="9" t="s">
        <v>51</v>
      </c>
      <c r="C42" s="9" t="s">
        <v>52</v>
      </c>
      <c r="D42" s="9" t="s">
        <v>23</v>
      </c>
      <c r="E42" s="10">
        <v>1500</v>
      </c>
      <c r="F42" s="11">
        <v>1505.3325</v>
      </c>
      <c r="G42" s="12">
        <v>2.1240539999999999E-2</v>
      </c>
      <c r="H42" s="40">
        <v>7.74</v>
      </c>
    </row>
    <row r="43" spans="1:8" x14ac:dyDescent="0.2">
      <c r="A43" s="8">
        <v>16</v>
      </c>
      <c r="B43" s="9" t="s">
        <v>53</v>
      </c>
      <c r="C43" s="9" t="s">
        <v>54</v>
      </c>
      <c r="D43" s="9" t="s">
        <v>23</v>
      </c>
      <c r="E43" s="10">
        <v>1500</v>
      </c>
      <c r="F43" s="11">
        <v>1502.7539999999999</v>
      </c>
      <c r="G43" s="12">
        <v>2.120416E-2</v>
      </c>
      <c r="H43" s="40">
        <v>7.6600999999999999</v>
      </c>
    </row>
    <row r="44" spans="1:8" ht="25.5" x14ac:dyDescent="0.2">
      <c r="A44" s="8">
        <v>17</v>
      </c>
      <c r="B44" s="9" t="s">
        <v>55</v>
      </c>
      <c r="C44" s="9" t="s">
        <v>56</v>
      </c>
      <c r="D44" s="9" t="s">
        <v>23</v>
      </c>
      <c r="E44" s="10">
        <v>1500</v>
      </c>
      <c r="F44" s="11">
        <v>1495.5165</v>
      </c>
      <c r="G44" s="12">
        <v>2.1102039999999999E-2</v>
      </c>
      <c r="H44" s="40">
        <v>7.7474999999999996</v>
      </c>
    </row>
    <row r="45" spans="1:8" ht="25.5" x14ac:dyDescent="0.2">
      <c r="A45" s="8">
        <v>18</v>
      </c>
      <c r="B45" s="9" t="s">
        <v>57</v>
      </c>
      <c r="C45" s="9" t="s">
        <v>58</v>
      </c>
      <c r="D45" s="9" t="s">
        <v>23</v>
      </c>
      <c r="E45" s="10">
        <v>1500</v>
      </c>
      <c r="F45" s="11">
        <v>1494.2175</v>
      </c>
      <c r="G45" s="12">
        <v>2.1083709999999999E-2</v>
      </c>
      <c r="H45" s="40">
        <v>7.76</v>
      </c>
    </row>
    <row r="46" spans="1:8" x14ac:dyDescent="0.2">
      <c r="A46" s="8">
        <v>19</v>
      </c>
      <c r="B46" s="9" t="s">
        <v>59</v>
      </c>
      <c r="C46" s="9" t="s">
        <v>60</v>
      </c>
      <c r="D46" s="9" t="s">
        <v>23</v>
      </c>
      <c r="E46" s="10">
        <v>100</v>
      </c>
      <c r="F46" s="11">
        <v>1002.409</v>
      </c>
      <c r="G46" s="12">
        <v>1.4144189999999999E-2</v>
      </c>
      <c r="H46" s="40">
        <v>7.85</v>
      </c>
    </row>
    <row r="47" spans="1:8" x14ac:dyDescent="0.2">
      <c r="A47" s="8">
        <v>20</v>
      </c>
      <c r="B47" s="9" t="s">
        <v>61</v>
      </c>
      <c r="C47" s="9" t="s">
        <v>62</v>
      </c>
      <c r="D47" s="9" t="s">
        <v>23</v>
      </c>
      <c r="E47" s="10">
        <v>1000</v>
      </c>
      <c r="F47" s="11">
        <v>998.31299999999999</v>
      </c>
      <c r="G47" s="12">
        <v>1.4086400000000001E-2</v>
      </c>
      <c r="H47" s="40">
        <v>8.1850000000000005</v>
      </c>
    </row>
    <row r="48" spans="1:8" x14ac:dyDescent="0.2">
      <c r="A48" s="1"/>
      <c r="B48" s="1"/>
      <c r="C48" s="2" t="s">
        <v>11</v>
      </c>
      <c r="D48" s="1"/>
      <c r="E48" s="1" t="s">
        <v>12</v>
      </c>
      <c r="F48" s="7">
        <v>50758.637499999997</v>
      </c>
      <c r="G48" s="4">
        <v>0.71621456999999999</v>
      </c>
      <c r="H48" s="40" t="s">
        <v>12</v>
      </c>
    </row>
    <row r="49" spans="1:8" x14ac:dyDescent="0.2">
      <c r="A49" s="1"/>
      <c r="B49" s="1"/>
      <c r="C49" s="5"/>
      <c r="D49" s="1"/>
      <c r="E49" s="1"/>
      <c r="F49" s="6"/>
      <c r="G49" s="6"/>
      <c r="H49" s="40" t="s">
        <v>12</v>
      </c>
    </row>
    <row r="50" spans="1:8" x14ac:dyDescent="0.2">
      <c r="A50" s="1"/>
      <c r="B50" s="1"/>
      <c r="C50" s="2" t="s">
        <v>63</v>
      </c>
      <c r="D50" s="1"/>
      <c r="E50" s="1"/>
      <c r="F50" s="1"/>
      <c r="G50" s="1"/>
      <c r="H50" s="40" t="s">
        <v>12</v>
      </c>
    </row>
    <row r="51" spans="1:8" x14ac:dyDescent="0.2">
      <c r="A51" s="1"/>
      <c r="B51" s="1"/>
      <c r="C51" s="2" t="s">
        <v>11</v>
      </c>
      <c r="D51" s="1"/>
      <c r="E51" s="1" t="s">
        <v>12</v>
      </c>
      <c r="F51" s="3" t="s">
        <v>13</v>
      </c>
      <c r="G51" s="4">
        <v>0</v>
      </c>
      <c r="H51" s="40" t="s">
        <v>12</v>
      </c>
    </row>
    <row r="52" spans="1:8" x14ac:dyDescent="0.2">
      <c r="A52" s="1"/>
      <c r="B52" s="1"/>
      <c r="C52" s="5"/>
      <c r="D52" s="1"/>
      <c r="E52" s="1"/>
      <c r="F52" s="6"/>
      <c r="G52" s="6"/>
      <c r="H52" s="40" t="s">
        <v>12</v>
      </c>
    </row>
    <row r="53" spans="1:8" x14ac:dyDescent="0.2">
      <c r="A53" s="1"/>
      <c r="B53" s="1"/>
      <c r="C53" s="2" t="s">
        <v>64</v>
      </c>
      <c r="D53" s="1"/>
      <c r="E53" s="1"/>
      <c r="F53" s="1"/>
      <c r="G53" s="1"/>
      <c r="H53" s="40" t="s">
        <v>12</v>
      </c>
    </row>
    <row r="54" spans="1:8" x14ac:dyDescent="0.2">
      <c r="A54" s="8">
        <v>1</v>
      </c>
      <c r="B54" s="9" t="s">
        <v>65</v>
      </c>
      <c r="C54" s="9" t="s">
        <v>66</v>
      </c>
      <c r="D54" s="9" t="s">
        <v>67</v>
      </c>
      <c r="E54" s="10">
        <v>10500000</v>
      </c>
      <c r="F54" s="11">
        <v>10594.332</v>
      </c>
      <c r="G54" s="12">
        <v>0.14948814999999999</v>
      </c>
      <c r="H54" s="40">
        <v>7.1675000000000004</v>
      </c>
    </row>
    <row r="55" spans="1:8" x14ac:dyDescent="0.2">
      <c r="A55" s="8">
        <v>2</v>
      </c>
      <c r="B55" s="9" t="s">
        <v>68</v>
      </c>
      <c r="C55" s="9" t="s">
        <v>69</v>
      </c>
      <c r="D55" s="9" t="s">
        <v>67</v>
      </c>
      <c r="E55" s="10">
        <v>3000000</v>
      </c>
      <c r="F55" s="11">
        <v>3040.473</v>
      </c>
      <c r="G55" s="12">
        <v>4.2901679999999998E-2</v>
      </c>
      <c r="H55" s="40">
        <v>7.1794000000000002</v>
      </c>
    </row>
    <row r="56" spans="1:8" x14ac:dyDescent="0.2">
      <c r="A56" s="8">
        <v>3</v>
      </c>
      <c r="B56" s="9" t="s">
        <v>70</v>
      </c>
      <c r="C56" s="9" t="s">
        <v>71</v>
      </c>
      <c r="D56" s="9" t="s">
        <v>67</v>
      </c>
      <c r="E56" s="10">
        <v>2500000</v>
      </c>
      <c r="F56" s="11">
        <v>2500.3150000000001</v>
      </c>
      <c r="G56" s="12">
        <v>3.5279949999999997E-2</v>
      </c>
      <c r="H56" s="40">
        <v>7.1768000000000001</v>
      </c>
    </row>
    <row r="57" spans="1:8" x14ac:dyDescent="0.2">
      <c r="A57" s="8">
        <v>4</v>
      </c>
      <c r="B57" s="9" t="s">
        <v>72</v>
      </c>
      <c r="C57" s="9" t="s">
        <v>73</v>
      </c>
      <c r="D57" s="9" t="s">
        <v>67</v>
      </c>
      <c r="E57" s="10">
        <v>1000000</v>
      </c>
      <c r="F57" s="11">
        <v>1017.7329999999999</v>
      </c>
      <c r="G57" s="12">
        <v>1.436042E-2</v>
      </c>
      <c r="H57" s="40">
        <v>7.1581999999999999</v>
      </c>
    </row>
    <row r="58" spans="1:8" x14ac:dyDescent="0.2">
      <c r="A58" s="1"/>
      <c r="B58" s="1"/>
      <c r="C58" s="2" t="s">
        <v>11</v>
      </c>
      <c r="D58" s="1"/>
      <c r="E58" s="1" t="s">
        <v>12</v>
      </c>
      <c r="F58" s="7">
        <v>17152.852999999999</v>
      </c>
      <c r="G58" s="4">
        <v>0.2420302</v>
      </c>
      <c r="H58" s="40" t="s">
        <v>12</v>
      </c>
    </row>
    <row r="59" spans="1:8" x14ac:dyDescent="0.2">
      <c r="A59" s="1"/>
      <c r="B59" s="1"/>
      <c r="C59" s="5"/>
      <c r="D59" s="1"/>
      <c r="E59" s="1"/>
      <c r="F59" s="6"/>
      <c r="G59" s="6"/>
      <c r="H59" s="40" t="s">
        <v>12</v>
      </c>
    </row>
    <row r="60" spans="1:8" x14ac:dyDescent="0.2">
      <c r="A60" s="1"/>
      <c r="B60" s="1"/>
      <c r="C60" s="2" t="s">
        <v>74</v>
      </c>
      <c r="D60" s="1"/>
      <c r="E60" s="1"/>
      <c r="F60" s="6"/>
      <c r="G60" s="6"/>
      <c r="H60" s="40" t="s">
        <v>12</v>
      </c>
    </row>
    <row r="61" spans="1:8" x14ac:dyDescent="0.2">
      <c r="A61" s="1"/>
      <c r="B61" s="1"/>
      <c r="C61" s="2" t="s">
        <v>11</v>
      </c>
      <c r="D61" s="1"/>
      <c r="E61" s="1" t="s">
        <v>12</v>
      </c>
      <c r="F61" s="3" t="s">
        <v>13</v>
      </c>
      <c r="G61" s="4">
        <v>0</v>
      </c>
      <c r="H61" s="40" t="s">
        <v>12</v>
      </c>
    </row>
    <row r="62" spans="1:8" x14ac:dyDescent="0.2">
      <c r="A62" s="1"/>
      <c r="B62" s="1"/>
      <c r="C62" s="5"/>
      <c r="D62" s="1"/>
      <c r="E62" s="1"/>
      <c r="F62" s="6"/>
      <c r="G62" s="6"/>
      <c r="H62" s="40" t="s">
        <v>12</v>
      </c>
    </row>
    <row r="63" spans="1:8" x14ac:dyDescent="0.2">
      <c r="A63" s="1"/>
      <c r="B63" s="1"/>
      <c r="C63" s="2" t="s">
        <v>75</v>
      </c>
      <c r="D63" s="1"/>
      <c r="E63" s="1"/>
      <c r="F63" s="7">
        <v>67911.4905</v>
      </c>
      <c r="G63" s="4">
        <v>0.95824476999999997</v>
      </c>
      <c r="H63" s="40" t="s">
        <v>12</v>
      </c>
    </row>
    <row r="64" spans="1:8" x14ac:dyDescent="0.2">
      <c r="A64" s="1"/>
      <c r="B64" s="1"/>
      <c r="C64" s="5"/>
      <c r="D64" s="1"/>
      <c r="E64" s="1"/>
      <c r="F64" s="6"/>
      <c r="G64" s="6"/>
      <c r="H64" s="40" t="s">
        <v>12</v>
      </c>
    </row>
    <row r="65" spans="1:8" x14ac:dyDescent="0.2">
      <c r="A65" s="1"/>
      <c r="B65" s="1"/>
      <c r="C65" s="2" t="s">
        <v>76</v>
      </c>
      <c r="D65" s="1"/>
      <c r="E65" s="1"/>
      <c r="F65" s="6"/>
      <c r="G65" s="6"/>
      <c r="H65" s="40" t="s">
        <v>12</v>
      </c>
    </row>
    <row r="66" spans="1:8" x14ac:dyDescent="0.2">
      <c r="A66" s="1"/>
      <c r="B66" s="1"/>
      <c r="C66" s="2" t="s">
        <v>77</v>
      </c>
      <c r="D66" s="1"/>
      <c r="E66" s="1"/>
      <c r="F66" s="6"/>
      <c r="G66" s="6"/>
      <c r="H66" s="40" t="s">
        <v>12</v>
      </c>
    </row>
    <row r="67" spans="1:8" x14ac:dyDescent="0.2">
      <c r="A67" s="1"/>
      <c r="B67" s="1"/>
      <c r="C67" s="2" t="s">
        <v>11</v>
      </c>
      <c r="D67" s="1"/>
      <c r="E67" s="1" t="s">
        <v>12</v>
      </c>
      <c r="F67" s="3" t="s">
        <v>13</v>
      </c>
      <c r="G67" s="4">
        <v>0</v>
      </c>
      <c r="H67" s="40" t="s">
        <v>12</v>
      </c>
    </row>
    <row r="68" spans="1:8" x14ac:dyDescent="0.2">
      <c r="A68" s="1"/>
      <c r="B68" s="1"/>
      <c r="C68" s="5"/>
      <c r="D68" s="1"/>
      <c r="E68" s="1"/>
      <c r="F68" s="6"/>
      <c r="G68" s="6"/>
      <c r="H68" s="40" t="s">
        <v>12</v>
      </c>
    </row>
    <row r="69" spans="1:8" x14ac:dyDescent="0.2">
      <c r="A69" s="1"/>
      <c r="B69" s="1"/>
      <c r="C69" s="2" t="s">
        <v>78</v>
      </c>
      <c r="D69" s="1"/>
      <c r="E69" s="1"/>
      <c r="F69" s="6"/>
      <c r="G69" s="6"/>
      <c r="H69" s="40" t="s">
        <v>12</v>
      </c>
    </row>
    <row r="70" spans="1:8" x14ac:dyDescent="0.2">
      <c r="A70" s="1"/>
      <c r="B70" s="1"/>
      <c r="C70" s="2" t="s">
        <v>11</v>
      </c>
      <c r="D70" s="1"/>
      <c r="E70" s="1" t="s">
        <v>12</v>
      </c>
      <c r="F70" s="3" t="s">
        <v>13</v>
      </c>
      <c r="G70" s="4">
        <v>0</v>
      </c>
      <c r="H70" s="40" t="s">
        <v>12</v>
      </c>
    </row>
    <row r="71" spans="1:8" x14ac:dyDescent="0.2">
      <c r="A71" s="1"/>
      <c r="B71" s="1"/>
      <c r="C71" s="5"/>
      <c r="D71" s="1"/>
      <c r="E71" s="1"/>
      <c r="F71" s="6"/>
      <c r="G71" s="6"/>
      <c r="H71" s="40" t="s">
        <v>12</v>
      </c>
    </row>
    <row r="72" spans="1:8" x14ac:dyDescent="0.2">
      <c r="A72" s="1"/>
      <c r="B72" s="1"/>
      <c r="C72" s="2" t="s">
        <v>79</v>
      </c>
      <c r="D72" s="1"/>
      <c r="E72" s="1"/>
      <c r="F72" s="6"/>
      <c r="G72" s="6"/>
      <c r="H72" s="40" t="s">
        <v>12</v>
      </c>
    </row>
    <row r="73" spans="1:8" x14ac:dyDescent="0.2">
      <c r="A73" s="1"/>
      <c r="B73" s="1"/>
      <c r="C73" s="2" t="s">
        <v>11</v>
      </c>
      <c r="D73" s="1"/>
      <c r="E73" s="1" t="s">
        <v>12</v>
      </c>
      <c r="F73" s="3" t="s">
        <v>13</v>
      </c>
      <c r="G73" s="4">
        <v>0</v>
      </c>
      <c r="H73" s="40" t="s">
        <v>12</v>
      </c>
    </row>
    <row r="74" spans="1:8" x14ac:dyDescent="0.2">
      <c r="A74" s="1"/>
      <c r="B74" s="1"/>
      <c r="C74" s="5"/>
      <c r="D74" s="1"/>
      <c r="E74" s="1"/>
      <c r="F74" s="6"/>
      <c r="G74" s="6"/>
      <c r="H74" s="40" t="s">
        <v>12</v>
      </c>
    </row>
    <row r="75" spans="1:8" x14ac:dyDescent="0.2">
      <c r="A75" s="1"/>
      <c r="B75" s="1"/>
      <c r="C75" s="2" t="s">
        <v>80</v>
      </c>
      <c r="D75" s="1"/>
      <c r="E75" s="1"/>
      <c r="F75" s="6"/>
      <c r="G75" s="6"/>
      <c r="H75" s="40" t="s">
        <v>12</v>
      </c>
    </row>
    <row r="76" spans="1:8" x14ac:dyDescent="0.2">
      <c r="A76" s="8">
        <v>1</v>
      </c>
      <c r="B76" s="9"/>
      <c r="C76" s="9" t="s">
        <v>81</v>
      </c>
      <c r="D76" s="9"/>
      <c r="E76" s="13"/>
      <c r="F76" s="11">
        <v>727.80777829900001</v>
      </c>
      <c r="G76" s="12">
        <v>1.0269510000000001E-2</v>
      </c>
      <c r="H76" s="40">
        <v>6.6416448321270405</v>
      </c>
    </row>
    <row r="77" spans="1:8" x14ac:dyDescent="0.2">
      <c r="A77" s="1"/>
      <c r="B77" s="1"/>
      <c r="C77" s="2" t="s">
        <v>11</v>
      </c>
      <c r="D77" s="1"/>
      <c r="E77" s="1" t="s">
        <v>12</v>
      </c>
      <c r="F77" s="7">
        <v>727.80777829900001</v>
      </c>
      <c r="G77" s="4">
        <v>1.0269510000000001E-2</v>
      </c>
      <c r="H77" s="40" t="s">
        <v>12</v>
      </c>
    </row>
    <row r="78" spans="1:8" x14ac:dyDescent="0.2">
      <c r="A78" s="1"/>
      <c r="B78" s="1"/>
      <c r="C78" s="5"/>
      <c r="D78" s="1"/>
      <c r="E78" s="1"/>
      <c r="F78" s="6"/>
      <c r="G78" s="6"/>
      <c r="H78" s="40" t="s">
        <v>12</v>
      </c>
    </row>
    <row r="79" spans="1:8" x14ac:dyDescent="0.2">
      <c r="A79" s="1"/>
      <c r="B79" s="1"/>
      <c r="C79" s="2" t="s">
        <v>82</v>
      </c>
      <c r="D79" s="1"/>
      <c r="E79" s="1"/>
      <c r="F79" s="7">
        <v>727.80777829900001</v>
      </c>
      <c r="G79" s="4">
        <v>1.0269510000000001E-2</v>
      </c>
      <c r="H79" s="40" t="s">
        <v>12</v>
      </c>
    </row>
    <row r="80" spans="1:8" x14ac:dyDescent="0.2">
      <c r="A80" s="1"/>
      <c r="B80" s="1"/>
      <c r="C80" s="6"/>
      <c r="D80" s="1"/>
      <c r="E80" s="1"/>
      <c r="F80" s="1"/>
      <c r="G80" s="1"/>
      <c r="H80" s="40" t="s">
        <v>12</v>
      </c>
    </row>
    <row r="81" spans="1:18" x14ac:dyDescent="0.2">
      <c r="A81" s="1"/>
      <c r="B81" s="1"/>
      <c r="C81" s="2" t="s">
        <v>83</v>
      </c>
      <c r="D81" s="1"/>
      <c r="E81" s="1"/>
      <c r="F81" s="1"/>
      <c r="G81" s="1"/>
      <c r="H81" s="40" t="s">
        <v>12</v>
      </c>
    </row>
    <row r="82" spans="1:18" x14ac:dyDescent="0.2">
      <c r="A82" s="1"/>
      <c r="B82" s="1"/>
      <c r="C82" s="2" t="s">
        <v>84</v>
      </c>
      <c r="D82" s="1"/>
      <c r="E82" s="1"/>
      <c r="F82" s="1"/>
      <c r="G82" s="1"/>
      <c r="H82" s="40" t="s">
        <v>12</v>
      </c>
    </row>
    <row r="83" spans="1:18" x14ac:dyDescent="0.2">
      <c r="A83" s="1"/>
      <c r="B83" s="1"/>
      <c r="C83" s="2" t="s">
        <v>11</v>
      </c>
      <c r="D83" s="1"/>
      <c r="E83" s="1" t="s">
        <v>12</v>
      </c>
      <c r="F83" s="3" t="s">
        <v>13</v>
      </c>
      <c r="G83" s="4">
        <v>0</v>
      </c>
      <c r="H83" s="40" t="s">
        <v>12</v>
      </c>
    </row>
    <row r="84" spans="1:18" x14ac:dyDescent="0.2">
      <c r="A84" s="1"/>
      <c r="B84" s="1"/>
      <c r="C84" s="5"/>
      <c r="D84" s="1"/>
      <c r="E84" s="1"/>
      <c r="F84" s="6"/>
      <c r="G84" s="6"/>
      <c r="H84" s="40" t="s">
        <v>12</v>
      </c>
    </row>
    <row r="85" spans="1:18" x14ac:dyDescent="0.2">
      <c r="A85" s="1"/>
      <c r="B85" s="1"/>
      <c r="C85" s="2" t="s">
        <v>87</v>
      </c>
      <c r="D85" s="1"/>
      <c r="E85" s="1"/>
      <c r="F85" s="1"/>
      <c r="G85" s="1"/>
      <c r="H85" s="40" t="s">
        <v>12</v>
      </c>
    </row>
    <row r="86" spans="1:18" x14ac:dyDescent="0.2">
      <c r="A86" s="1"/>
      <c r="B86" s="1"/>
      <c r="C86" s="2" t="s">
        <v>88</v>
      </c>
      <c r="D86" s="1"/>
      <c r="E86" s="1"/>
      <c r="F86" s="1"/>
      <c r="G86" s="1"/>
      <c r="H86" s="40" t="s">
        <v>12</v>
      </c>
    </row>
    <row r="87" spans="1:18" x14ac:dyDescent="0.2">
      <c r="A87" s="1"/>
      <c r="B87" s="1"/>
      <c r="C87" s="2" t="s">
        <v>11</v>
      </c>
      <c r="D87" s="1"/>
      <c r="E87" s="1" t="s">
        <v>12</v>
      </c>
      <c r="F87" s="3" t="s">
        <v>13</v>
      </c>
      <c r="G87" s="4">
        <v>0</v>
      </c>
      <c r="H87" s="40" t="s">
        <v>12</v>
      </c>
    </row>
    <row r="88" spans="1:18" x14ac:dyDescent="0.2">
      <c r="A88" s="1"/>
      <c r="B88" s="1"/>
      <c r="C88" s="5"/>
      <c r="D88" s="1"/>
      <c r="E88" s="1"/>
      <c r="F88" s="6"/>
      <c r="G88" s="6"/>
      <c r="H88" s="40" t="s">
        <v>12</v>
      </c>
    </row>
    <row r="89" spans="1:18" x14ac:dyDescent="0.2">
      <c r="A89" s="1"/>
      <c r="B89" s="1"/>
      <c r="C89" s="2" t="s">
        <v>89</v>
      </c>
      <c r="D89" s="1"/>
      <c r="E89" s="1"/>
      <c r="F89" s="6"/>
      <c r="G89" s="6"/>
      <c r="H89" s="40" t="s">
        <v>12</v>
      </c>
    </row>
    <row r="90" spans="1:18" x14ac:dyDescent="0.2">
      <c r="A90" s="1"/>
      <c r="B90" s="1"/>
      <c r="C90" s="2" t="s">
        <v>11</v>
      </c>
      <c r="D90" s="1"/>
      <c r="E90" s="1" t="s">
        <v>12</v>
      </c>
      <c r="F90" s="3" t="s">
        <v>13</v>
      </c>
      <c r="G90" s="4">
        <v>0</v>
      </c>
      <c r="H90" s="40" t="s">
        <v>12</v>
      </c>
    </row>
    <row r="91" spans="1:18" x14ac:dyDescent="0.2">
      <c r="A91" s="1"/>
      <c r="B91" s="1"/>
      <c r="C91" s="2"/>
      <c r="D91" s="1"/>
      <c r="E91" s="1"/>
      <c r="F91" s="3"/>
      <c r="G91" s="4"/>
      <c r="H91" s="40"/>
    </row>
    <row r="92" spans="1:18" x14ac:dyDescent="0.2">
      <c r="A92" s="42"/>
      <c r="B92" s="42"/>
      <c r="C92" s="43" t="s">
        <v>492</v>
      </c>
      <c r="D92" s="42"/>
      <c r="E92" s="42"/>
      <c r="F92" s="44"/>
      <c r="G92" s="44"/>
      <c r="H92" s="11"/>
      <c r="K92" s="45"/>
      <c r="L92" s="45"/>
      <c r="M92" s="45"/>
      <c r="N92" s="45"/>
      <c r="O92" s="45"/>
      <c r="P92" s="46"/>
      <c r="Q92" s="46"/>
      <c r="R92" s="46"/>
    </row>
    <row r="93" spans="1:18" x14ac:dyDescent="0.2">
      <c r="A93" s="8">
        <v>1</v>
      </c>
      <c r="B93" s="9" t="s">
        <v>85</v>
      </c>
      <c r="C93" s="9" t="s">
        <v>86</v>
      </c>
      <c r="D93" s="9"/>
      <c r="E93" s="14">
        <v>2586.3710000000001</v>
      </c>
      <c r="F93" s="11">
        <v>265.12172178999998</v>
      </c>
      <c r="G93" s="12">
        <v>3.74092E-3</v>
      </c>
      <c r="H93" s="40"/>
    </row>
    <row r="94" spans="1:18" x14ac:dyDescent="0.2">
      <c r="A94" s="1"/>
      <c r="B94" s="1"/>
      <c r="C94" s="2" t="s">
        <v>11</v>
      </c>
      <c r="D94" s="1"/>
      <c r="E94" s="1" t="s">
        <v>12</v>
      </c>
      <c r="F94" s="7">
        <v>265.12172178999998</v>
      </c>
      <c r="G94" s="4">
        <v>3.74092E-3</v>
      </c>
      <c r="H94" s="40" t="s">
        <v>12</v>
      </c>
    </row>
    <row r="95" spans="1:18" x14ac:dyDescent="0.2">
      <c r="A95" s="1"/>
      <c r="B95" s="9"/>
      <c r="C95" s="9"/>
      <c r="D95" s="2"/>
      <c r="E95" s="1"/>
      <c r="F95" s="9"/>
      <c r="G95" s="13"/>
      <c r="H95" s="40"/>
    </row>
    <row r="96" spans="1:18" x14ac:dyDescent="0.2">
      <c r="A96" s="1"/>
      <c r="B96" s="1"/>
      <c r="C96" s="5"/>
      <c r="D96" s="1"/>
      <c r="E96" s="1"/>
      <c r="F96" s="6"/>
      <c r="G96" s="6"/>
      <c r="H96" s="40" t="s">
        <v>12</v>
      </c>
    </row>
    <row r="97" spans="1:8" x14ac:dyDescent="0.2">
      <c r="A97" s="1"/>
      <c r="B97" s="9"/>
      <c r="C97" s="9"/>
      <c r="D97" s="2"/>
      <c r="E97" s="1"/>
      <c r="F97" s="9"/>
      <c r="G97" s="13"/>
      <c r="H97" s="40" t="s">
        <v>12</v>
      </c>
    </row>
    <row r="98" spans="1:8" x14ac:dyDescent="0.2">
      <c r="A98" s="13"/>
      <c r="B98" s="9"/>
      <c r="C98" s="9" t="s">
        <v>90</v>
      </c>
      <c r="D98" s="9"/>
      <c r="E98" s="13"/>
      <c r="F98" s="11">
        <v>1966.2958240800001</v>
      </c>
      <c r="G98" s="12">
        <v>2.7744830000000002E-2</v>
      </c>
      <c r="H98" s="40" t="s">
        <v>12</v>
      </c>
    </row>
    <row r="99" spans="1:8" x14ac:dyDescent="0.2">
      <c r="A99" s="5"/>
      <c r="B99" s="5"/>
      <c r="C99" s="2" t="s">
        <v>91</v>
      </c>
      <c r="D99" s="6"/>
      <c r="E99" s="6"/>
      <c r="F99" s="7">
        <v>70870.715824169005</v>
      </c>
      <c r="G99" s="15">
        <v>1.00000003</v>
      </c>
      <c r="H99" s="40"/>
    </row>
    <row r="100" spans="1:8" x14ac:dyDescent="0.2">
      <c r="A100" s="16"/>
      <c r="B100" s="16"/>
      <c r="C100" s="16"/>
      <c r="D100" s="17"/>
      <c r="E100" s="17"/>
      <c r="F100" s="17"/>
      <c r="G100" s="17"/>
    </row>
    <row r="101" spans="1:8" ht="12.75" customHeight="1" x14ac:dyDescent="0.2">
      <c r="A101" s="18"/>
      <c r="B101" s="102" t="s">
        <v>493</v>
      </c>
      <c r="C101" s="102"/>
      <c r="D101" s="102"/>
      <c r="E101" s="102"/>
      <c r="F101" s="102"/>
      <c r="G101" s="102"/>
      <c r="H101" s="102"/>
    </row>
    <row r="102" spans="1:8" ht="12.75" customHeight="1" x14ac:dyDescent="0.2">
      <c r="A102" s="18"/>
      <c r="B102" s="102" t="s">
        <v>494</v>
      </c>
      <c r="C102" s="102"/>
      <c r="D102" s="102"/>
      <c r="E102" s="102"/>
      <c r="F102" s="102"/>
      <c r="G102" s="102"/>
      <c r="H102" s="102"/>
    </row>
    <row r="103" spans="1:8" ht="12.75" customHeight="1" x14ac:dyDescent="0.2">
      <c r="A103" s="18"/>
      <c r="B103" s="102" t="s">
        <v>495</v>
      </c>
      <c r="C103" s="102"/>
      <c r="D103" s="102"/>
      <c r="E103" s="102"/>
      <c r="F103" s="102"/>
      <c r="G103" s="102"/>
      <c r="H103" s="102"/>
    </row>
    <row r="104" spans="1:8" x14ac:dyDescent="0.2">
      <c r="A104" s="18"/>
      <c r="B104" s="18"/>
      <c r="C104" s="18"/>
      <c r="D104" s="20"/>
      <c r="E104" s="20"/>
      <c r="F104" s="20"/>
      <c r="G104" s="20"/>
    </row>
    <row r="105" spans="1:8" ht="14.1" customHeight="1" x14ac:dyDescent="0.2">
      <c r="A105" s="18"/>
      <c r="B105" s="103" t="s">
        <v>92</v>
      </c>
      <c r="C105" s="104"/>
      <c r="D105" s="105"/>
      <c r="E105" s="21"/>
      <c r="F105" s="20"/>
      <c r="G105" s="20"/>
    </row>
    <row r="106" spans="1:8" ht="29.1" customHeight="1" x14ac:dyDescent="0.2">
      <c r="A106" s="18"/>
      <c r="B106" s="99" t="s">
        <v>93</v>
      </c>
      <c r="C106" s="100"/>
      <c r="D106" s="2" t="s">
        <v>94</v>
      </c>
      <c r="E106" s="21"/>
      <c r="F106" s="20"/>
      <c r="G106" s="20"/>
    </row>
    <row r="107" spans="1:8" ht="17.100000000000001" customHeight="1" x14ac:dyDescent="0.2">
      <c r="A107" s="18"/>
      <c r="B107" s="99" t="s">
        <v>95</v>
      </c>
      <c r="C107" s="100"/>
      <c r="D107" s="2" t="s">
        <v>94</v>
      </c>
      <c r="E107" s="21"/>
      <c r="F107" s="20"/>
      <c r="G107" s="20"/>
    </row>
    <row r="108" spans="1:8" ht="17.100000000000001" customHeight="1" x14ac:dyDescent="0.2">
      <c r="A108" s="18"/>
      <c r="B108" s="99" t="s">
        <v>96</v>
      </c>
      <c r="C108" s="100"/>
      <c r="D108" s="6" t="s">
        <v>12</v>
      </c>
      <c r="E108" s="21"/>
      <c r="F108" s="20"/>
      <c r="G108" s="20"/>
    </row>
    <row r="109" spans="1:8" x14ac:dyDescent="0.2">
      <c r="A109" s="22"/>
      <c r="B109" s="23" t="s">
        <v>12</v>
      </c>
      <c r="C109" s="23" t="s">
        <v>531</v>
      </c>
      <c r="D109" s="23" t="s">
        <v>97</v>
      </c>
      <c r="E109" s="22"/>
      <c r="F109" s="22"/>
      <c r="G109" s="22"/>
      <c r="H109" s="87"/>
    </row>
    <row r="110" spans="1:8" ht="18" customHeight="1" x14ac:dyDescent="0.2">
      <c r="A110" s="22"/>
      <c r="B110" s="24" t="s">
        <v>98</v>
      </c>
      <c r="C110" s="98" t="s">
        <v>594</v>
      </c>
      <c r="D110" s="98" t="s">
        <v>529</v>
      </c>
      <c r="E110" s="22"/>
      <c r="F110" s="22"/>
      <c r="G110" s="22"/>
    </row>
    <row r="111" spans="1:8" ht="17.100000000000001" customHeight="1" x14ac:dyDescent="0.2">
      <c r="A111" s="22"/>
      <c r="B111" s="9" t="s">
        <v>99</v>
      </c>
      <c r="C111" s="25">
        <v>37.679000000000002</v>
      </c>
      <c r="D111" s="25">
        <v>37.817700000000002</v>
      </c>
      <c r="E111" s="22"/>
      <c r="F111" s="19"/>
      <c r="G111" s="26"/>
    </row>
    <row r="112" spans="1:8" ht="29.1" customHeight="1" x14ac:dyDescent="0.2">
      <c r="A112" s="22"/>
      <c r="B112" s="9" t="s">
        <v>544</v>
      </c>
      <c r="C112" s="25">
        <v>16.826799999999999</v>
      </c>
      <c r="D112" s="25">
        <v>16.8687</v>
      </c>
      <c r="E112" s="22"/>
      <c r="F112" s="19"/>
      <c r="G112" s="26"/>
    </row>
    <row r="113" spans="1:7" ht="29.1" customHeight="1" x14ac:dyDescent="0.2">
      <c r="A113" s="22"/>
      <c r="B113" s="9" t="s">
        <v>541</v>
      </c>
      <c r="C113" s="25">
        <v>18.6416</v>
      </c>
      <c r="D113" s="25">
        <v>18.7102</v>
      </c>
      <c r="E113" s="22"/>
      <c r="F113" s="19"/>
      <c r="G113" s="26"/>
    </row>
    <row r="114" spans="1:7" ht="29.1" customHeight="1" x14ac:dyDescent="0.2">
      <c r="A114" s="22"/>
      <c r="B114" s="9" t="s">
        <v>545</v>
      </c>
      <c r="C114" s="25">
        <v>16.802399999999999</v>
      </c>
      <c r="D114" s="25">
        <v>16.864000000000001</v>
      </c>
      <c r="E114" s="22"/>
      <c r="F114" s="19"/>
      <c r="G114" s="26"/>
    </row>
    <row r="115" spans="1:7" ht="29.1" customHeight="1" x14ac:dyDescent="0.2">
      <c r="A115" s="22"/>
      <c r="B115" s="9" t="s">
        <v>542</v>
      </c>
      <c r="C115" s="25">
        <v>17.0532</v>
      </c>
      <c r="D115" s="25">
        <v>17.116</v>
      </c>
      <c r="E115" s="22"/>
      <c r="F115" s="19"/>
      <c r="G115" s="26"/>
    </row>
    <row r="116" spans="1:7" ht="17.100000000000001" customHeight="1" x14ac:dyDescent="0.2">
      <c r="A116" s="22"/>
      <c r="B116" s="9" t="s">
        <v>100</v>
      </c>
      <c r="C116" s="25">
        <v>36.5319</v>
      </c>
      <c r="D116" s="25">
        <v>36.662599999999998</v>
      </c>
      <c r="E116" s="22"/>
      <c r="F116" s="19"/>
      <c r="G116" s="26"/>
    </row>
    <row r="117" spans="1:7" ht="29.1" customHeight="1" x14ac:dyDescent="0.2">
      <c r="A117" s="22"/>
      <c r="B117" s="9" t="s">
        <v>546</v>
      </c>
      <c r="C117" s="25">
        <v>15.930199999999999</v>
      </c>
      <c r="D117" s="25">
        <v>15.9671</v>
      </c>
      <c r="E117" s="22"/>
      <c r="F117" s="19"/>
      <c r="G117" s="26"/>
    </row>
    <row r="118" spans="1:7" ht="29.1" customHeight="1" x14ac:dyDescent="0.2">
      <c r="A118" s="22"/>
      <c r="B118" s="9" t="s">
        <v>543</v>
      </c>
      <c r="C118" s="25">
        <v>18.116199999999999</v>
      </c>
      <c r="D118" s="25">
        <v>18.181100000000001</v>
      </c>
      <c r="E118" s="22"/>
      <c r="F118" s="19"/>
      <c r="G118" s="26"/>
    </row>
    <row r="119" spans="1:7" ht="29.1" customHeight="1" x14ac:dyDescent="0.2">
      <c r="A119" s="22"/>
      <c r="B119" s="9" t="s">
        <v>538</v>
      </c>
      <c r="C119" s="25">
        <v>16.712</v>
      </c>
      <c r="D119" s="25">
        <v>16.771799999999999</v>
      </c>
      <c r="E119" s="22"/>
      <c r="F119" s="19"/>
      <c r="G119" s="26"/>
    </row>
    <row r="120" spans="1:7" ht="29.1" customHeight="1" x14ac:dyDescent="0.2">
      <c r="A120" s="22"/>
      <c r="B120" s="9" t="s">
        <v>539</v>
      </c>
      <c r="C120" s="25">
        <v>16.576699999999999</v>
      </c>
      <c r="D120" s="25">
        <v>16.635999999999999</v>
      </c>
      <c r="E120" s="22"/>
      <c r="F120" s="19"/>
      <c r="G120" s="26"/>
    </row>
    <row r="121" spans="1:7" ht="14.1" customHeight="1" x14ac:dyDescent="0.2">
      <c r="A121" s="22"/>
      <c r="B121" s="22"/>
      <c r="C121" s="22"/>
      <c r="D121" s="22"/>
      <c r="E121" s="22"/>
      <c r="F121" s="22"/>
      <c r="G121" s="22"/>
    </row>
    <row r="122" spans="1:7" ht="17.100000000000001" customHeight="1" x14ac:dyDescent="0.2">
      <c r="A122" s="22"/>
      <c r="B122" s="99" t="s">
        <v>540</v>
      </c>
      <c r="C122" s="100"/>
      <c r="D122" s="2" t="s">
        <v>12</v>
      </c>
      <c r="E122" s="22"/>
      <c r="F122" s="22"/>
      <c r="G122" s="22"/>
    </row>
    <row r="123" spans="1:7" ht="18" customHeight="1" x14ac:dyDescent="0.2">
      <c r="A123" s="22"/>
      <c r="B123" s="27" t="s">
        <v>98</v>
      </c>
      <c r="C123" s="28" t="s">
        <v>101</v>
      </c>
      <c r="D123" s="28" t="s">
        <v>102</v>
      </c>
      <c r="E123" s="22"/>
      <c r="F123" s="22"/>
      <c r="G123" s="22"/>
    </row>
    <row r="124" spans="1:7" ht="29.1" customHeight="1" x14ac:dyDescent="0.2">
      <c r="A124" s="22"/>
      <c r="B124" s="9" t="s">
        <v>544</v>
      </c>
      <c r="C124" s="29">
        <v>0.02</v>
      </c>
      <c r="D124" s="13" t="s">
        <v>103</v>
      </c>
      <c r="E124" s="22"/>
      <c r="F124" s="19"/>
      <c r="G124" s="26"/>
    </row>
    <row r="125" spans="1:7" ht="29.1" customHeight="1" x14ac:dyDescent="0.2">
      <c r="A125" s="22"/>
      <c r="B125" s="9" t="s">
        <v>546</v>
      </c>
      <c r="C125" s="29">
        <v>0.02</v>
      </c>
      <c r="D125" s="13" t="s">
        <v>103</v>
      </c>
      <c r="E125" s="22"/>
      <c r="F125" s="19"/>
      <c r="G125" s="26"/>
    </row>
    <row r="126" spans="1:7" x14ac:dyDescent="0.2">
      <c r="A126" s="22"/>
      <c r="B126" s="19"/>
      <c r="C126" s="19"/>
      <c r="D126" s="22"/>
      <c r="E126" s="22"/>
      <c r="F126" s="22"/>
      <c r="G126" s="22"/>
    </row>
    <row r="127" spans="1:7" x14ac:dyDescent="0.2">
      <c r="A127" s="22"/>
      <c r="B127" s="99" t="s">
        <v>104</v>
      </c>
      <c r="C127" s="100"/>
      <c r="D127" s="2" t="s">
        <v>94</v>
      </c>
      <c r="E127" s="32"/>
      <c r="F127" s="22"/>
      <c r="G127" s="22"/>
    </row>
    <row r="128" spans="1:7" x14ac:dyDescent="0.2">
      <c r="A128" s="22"/>
      <c r="B128" s="99" t="s">
        <v>105</v>
      </c>
      <c r="C128" s="100"/>
      <c r="D128" s="2" t="s">
        <v>94</v>
      </c>
      <c r="E128" s="32"/>
      <c r="F128" s="22"/>
      <c r="G128" s="22"/>
    </row>
    <row r="129" spans="1:15" x14ac:dyDescent="0.2">
      <c r="A129" s="22"/>
      <c r="B129" s="99" t="s">
        <v>590</v>
      </c>
      <c r="C129" s="100"/>
      <c r="D129" s="2" t="s">
        <v>94</v>
      </c>
      <c r="E129" s="32"/>
      <c r="F129" s="22"/>
      <c r="G129" s="22"/>
    </row>
    <row r="130" spans="1:15" x14ac:dyDescent="0.2">
      <c r="A130" s="34"/>
      <c r="B130" s="34"/>
      <c r="C130" s="34"/>
      <c r="D130" s="34"/>
      <c r="E130" s="34"/>
      <c r="F130" s="34"/>
      <c r="G130" s="34"/>
    </row>
    <row r="131" spans="1:15" s="47" customFormat="1" x14ac:dyDescent="0.2">
      <c r="B131" s="106" t="s">
        <v>497</v>
      </c>
      <c r="C131" s="107"/>
      <c r="D131" s="108"/>
      <c r="I131"/>
      <c r="J131" s="37"/>
      <c r="K131" s="45"/>
      <c r="L131" s="45"/>
      <c r="M131" s="45"/>
      <c r="N131" s="45"/>
      <c r="O131" s="45"/>
    </row>
    <row r="132" spans="1:15" s="47" customFormat="1" ht="38.25" x14ac:dyDescent="0.2">
      <c r="B132" s="109" t="s">
        <v>498</v>
      </c>
      <c r="C132" s="109"/>
      <c r="D132" s="48" t="s">
        <v>1</v>
      </c>
      <c r="I132"/>
      <c r="J132" s="37"/>
      <c r="K132" s="45"/>
      <c r="L132" s="45"/>
      <c r="M132" s="45"/>
      <c r="N132" s="45"/>
      <c r="O132" s="45"/>
    </row>
    <row r="133" spans="1:15" s="47" customFormat="1" x14ac:dyDescent="0.2">
      <c r="B133" s="110" t="s">
        <v>499</v>
      </c>
      <c r="C133" s="110"/>
      <c r="D133" s="49"/>
      <c r="I133"/>
      <c r="J133" s="37"/>
      <c r="K133" s="45"/>
      <c r="L133" s="45"/>
      <c r="M133" s="45"/>
      <c r="N133" s="45"/>
      <c r="O133" s="45"/>
    </row>
    <row r="134" spans="1:15" s="47" customFormat="1" x14ac:dyDescent="0.2">
      <c r="B134" s="111"/>
      <c r="C134" s="112"/>
      <c r="D134" s="50"/>
      <c r="I134"/>
      <c r="J134" s="37"/>
      <c r="K134" s="45"/>
      <c r="L134" s="45"/>
      <c r="M134" s="45"/>
      <c r="N134" s="45"/>
      <c r="O134" s="45"/>
    </row>
    <row r="135" spans="1:15" s="47" customFormat="1" x14ac:dyDescent="0.2">
      <c r="B135" s="110" t="s">
        <v>500</v>
      </c>
      <c r="C135" s="110"/>
      <c r="D135" s="51">
        <v>7.5644110816344332</v>
      </c>
      <c r="I135"/>
      <c r="J135" s="37"/>
      <c r="K135" s="45"/>
      <c r="L135" s="45"/>
      <c r="M135" s="45"/>
      <c r="N135" s="45"/>
      <c r="O135" s="45"/>
    </row>
    <row r="136" spans="1:15" s="47" customFormat="1" x14ac:dyDescent="0.2">
      <c r="B136" s="111"/>
      <c r="C136" s="112"/>
      <c r="D136" s="50"/>
      <c r="I136"/>
      <c r="J136" s="37"/>
      <c r="K136" s="45"/>
      <c r="L136" s="45"/>
      <c r="M136" s="45"/>
      <c r="N136" s="45"/>
      <c r="O136" s="45"/>
    </row>
    <row r="137" spans="1:15" s="47" customFormat="1" x14ac:dyDescent="0.2">
      <c r="B137" s="110" t="s">
        <v>501</v>
      </c>
      <c r="C137" s="110"/>
      <c r="D137" s="51">
        <v>3.5582805606190586</v>
      </c>
      <c r="I137"/>
      <c r="J137" s="37"/>
      <c r="K137" s="45"/>
      <c r="L137" s="45"/>
      <c r="M137" s="45"/>
      <c r="N137" s="45"/>
      <c r="O137" s="45"/>
    </row>
    <row r="138" spans="1:15" s="47" customFormat="1" x14ac:dyDescent="0.2">
      <c r="B138" s="110" t="s">
        <v>502</v>
      </c>
      <c r="C138" s="110"/>
      <c r="D138" s="51">
        <v>4.6849714060517345</v>
      </c>
      <c r="I138"/>
      <c r="J138" s="37"/>
      <c r="K138" s="45"/>
      <c r="L138" s="45"/>
      <c r="M138" s="45"/>
      <c r="N138" s="45"/>
      <c r="O138" s="45"/>
    </row>
    <row r="139" spans="1:15" s="47" customFormat="1" x14ac:dyDescent="0.2">
      <c r="B139" s="111"/>
      <c r="C139" s="112"/>
      <c r="D139" s="50"/>
      <c r="I139"/>
      <c r="J139" s="37"/>
      <c r="K139" s="45"/>
      <c r="L139" s="45"/>
      <c r="M139" s="45"/>
      <c r="N139" s="45"/>
      <c r="O139" s="45"/>
    </row>
    <row r="140" spans="1:15" s="47" customFormat="1" x14ac:dyDescent="0.2">
      <c r="B140" s="110" t="s">
        <v>503</v>
      </c>
      <c r="C140" s="110"/>
      <c r="D140" s="52" t="s">
        <v>529</v>
      </c>
      <c r="I140"/>
      <c r="J140" s="37"/>
      <c r="K140" s="45"/>
      <c r="L140" s="45"/>
      <c r="M140" s="45"/>
      <c r="N140" s="45"/>
      <c r="O140" s="45"/>
    </row>
    <row r="141" spans="1:15" s="47" customFormat="1" x14ac:dyDescent="0.2">
      <c r="B141" s="111" t="s">
        <v>504</v>
      </c>
      <c r="C141" s="113"/>
      <c r="D141" s="112"/>
      <c r="I141"/>
      <c r="J141" s="37"/>
      <c r="K141" s="45"/>
      <c r="L141" s="45"/>
      <c r="M141" s="45"/>
      <c r="N141" s="45"/>
      <c r="O141" s="45"/>
    </row>
  </sheetData>
  <mergeCells count="25">
    <mergeCell ref="B141:D141"/>
    <mergeCell ref="B136:C136"/>
    <mergeCell ref="B137:C137"/>
    <mergeCell ref="B138:C138"/>
    <mergeCell ref="B139:C139"/>
    <mergeCell ref="B140:C140"/>
    <mergeCell ref="B131:D131"/>
    <mergeCell ref="B132:C132"/>
    <mergeCell ref="B133:C133"/>
    <mergeCell ref="B134:C134"/>
    <mergeCell ref="B135:C135"/>
    <mergeCell ref="B129:C129"/>
    <mergeCell ref="A1:H1"/>
    <mergeCell ref="A2:H2"/>
    <mergeCell ref="A3:H3"/>
    <mergeCell ref="B127:C127"/>
    <mergeCell ref="B101:H101"/>
    <mergeCell ref="B102:H102"/>
    <mergeCell ref="B103:H103"/>
    <mergeCell ref="B128:C128"/>
    <mergeCell ref="B105:D105"/>
    <mergeCell ref="B106:C106"/>
    <mergeCell ref="B107:C107"/>
    <mergeCell ref="B108:C108"/>
    <mergeCell ref="B122:C122"/>
  </mergeCells>
  <hyperlinks>
    <hyperlink ref="I1" location="Index!B2" display="Index" xr:uid="{05A65785-E344-4272-BF68-AEAD73F63B5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2522E-886E-4AA8-9AF3-EF93AA715F89}">
  <sheetPr>
    <outlinePr summaryBelow="0" summaryRight="0"/>
  </sheetPr>
  <dimension ref="A1:R147"/>
  <sheetViews>
    <sheetView showGridLines="0" workbookViewId="0">
      <selection activeCell="I97" sqref="I97"/>
    </sheetView>
  </sheetViews>
  <sheetFormatPr defaultRowHeight="12.75" x14ac:dyDescent="0.2"/>
  <cols>
    <col min="1" max="1" width="5.85546875" bestFit="1" customWidth="1"/>
    <col min="2" max="2" width="19.28515625" bestFit="1" customWidth="1"/>
    <col min="3" max="3" width="44" customWidth="1"/>
    <col min="4" max="4" width="11.7109375" customWidth="1"/>
    <col min="5" max="5" width="9.42578125" bestFit="1" customWidth="1"/>
    <col min="6" max="6" width="10.140625" bestFit="1" customWidth="1"/>
    <col min="7" max="7" width="14" bestFit="1" customWidth="1"/>
    <col min="8" max="8" width="9.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106</v>
      </c>
      <c r="B2" s="101"/>
      <c r="C2" s="101"/>
      <c r="D2" s="101"/>
      <c r="E2" s="101"/>
      <c r="F2" s="101"/>
      <c r="G2" s="101"/>
      <c r="H2" s="101"/>
      <c r="J2" s="38" t="s">
        <v>570</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490</v>
      </c>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1"/>
      <c r="B7" s="1"/>
      <c r="C7" s="2" t="s">
        <v>11</v>
      </c>
      <c r="D7" s="1"/>
      <c r="E7" s="1" t="s">
        <v>12</v>
      </c>
      <c r="F7" s="3" t="s">
        <v>13</v>
      </c>
      <c r="G7" s="4">
        <v>0</v>
      </c>
      <c r="H7" s="40" t="s">
        <v>12</v>
      </c>
    </row>
    <row r="8" spans="1:10" x14ac:dyDescent="0.2">
      <c r="A8" s="1"/>
      <c r="B8" s="1"/>
      <c r="C8" s="5"/>
      <c r="D8" s="1"/>
      <c r="E8" s="1"/>
      <c r="F8" s="6"/>
      <c r="G8" s="6"/>
      <c r="H8" s="40" t="s">
        <v>12</v>
      </c>
    </row>
    <row r="9" spans="1:10" x14ac:dyDescent="0.2">
      <c r="A9" s="1"/>
      <c r="B9" s="1"/>
      <c r="C9" s="2" t="s">
        <v>14</v>
      </c>
      <c r="D9" s="1"/>
      <c r="E9" s="1"/>
      <c r="F9" s="1"/>
      <c r="G9" s="1"/>
      <c r="H9" s="40" t="s">
        <v>12</v>
      </c>
    </row>
    <row r="10" spans="1:10" x14ac:dyDescent="0.2">
      <c r="A10" s="1"/>
      <c r="B10" s="1"/>
      <c r="C10" s="2" t="s">
        <v>11</v>
      </c>
      <c r="D10" s="1"/>
      <c r="E10" s="1" t="s">
        <v>12</v>
      </c>
      <c r="F10" s="3" t="s">
        <v>13</v>
      </c>
      <c r="G10" s="4">
        <v>0</v>
      </c>
      <c r="H10" s="40" t="s">
        <v>12</v>
      </c>
    </row>
    <row r="11" spans="1:10" x14ac:dyDescent="0.2">
      <c r="A11" s="1"/>
      <c r="B11" s="1"/>
      <c r="C11" s="5"/>
      <c r="D11" s="1"/>
      <c r="E11" s="1"/>
      <c r="F11" s="6"/>
      <c r="G11" s="6"/>
      <c r="H11" s="40" t="s">
        <v>12</v>
      </c>
    </row>
    <row r="12" spans="1:10" ht="15" x14ac:dyDescent="0.2">
      <c r="A12" s="1"/>
      <c r="B12" s="1"/>
      <c r="C12" s="2" t="s">
        <v>15</v>
      </c>
      <c r="D12" s="1"/>
      <c r="E12" s="1"/>
      <c r="F12" s="1"/>
      <c r="G12" s="1"/>
      <c r="H12" s="40" t="s">
        <v>12</v>
      </c>
      <c r="J12" s="97"/>
    </row>
    <row r="13" spans="1:10" x14ac:dyDescent="0.2">
      <c r="A13" s="1"/>
      <c r="B13" s="1"/>
      <c r="C13" s="2" t="s">
        <v>11</v>
      </c>
      <c r="D13" s="1"/>
      <c r="E13" s="1" t="s">
        <v>12</v>
      </c>
      <c r="F13" s="3" t="s">
        <v>13</v>
      </c>
      <c r="G13" s="4">
        <v>0</v>
      </c>
      <c r="H13" s="40" t="s">
        <v>12</v>
      </c>
      <c r="J13" s="89"/>
    </row>
    <row r="14" spans="1:10" x14ac:dyDescent="0.2">
      <c r="A14" s="1"/>
      <c r="B14" s="1"/>
      <c r="C14" s="5"/>
      <c r="D14" s="1"/>
      <c r="E14" s="1"/>
      <c r="F14" s="6"/>
      <c r="G14" s="6"/>
      <c r="H14" s="40" t="s">
        <v>12</v>
      </c>
    </row>
    <row r="15" spans="1:10" ht="25.5" x14ac:dyDescent="0.2">
      <c r="A15" s="1"/>
      <c r="B15" s="1"/>
      <c r="C15" s="2" t="s">
        <v>16</v>
      </c>
      <c r="D15" s="1"/>
      <c r="E15" s="1"/>
      <c r="F15" s="1"/>
      <c r="G15" s="1"/>
      <c r="H15" s="40" t="s">
        <v>12</v>
      </c>
      <c r="J15" s="89" t="s">
        <v>573</v>
      </c>
    </row>
    <row r="16" spans="1:10" x14ac:dyDescent="0.2">
      <c r="A16" s="1"/>
      <c r="B16" s="1"/>
      <c r="C16" s="2" t="s">
        <v>11</v>
      </c>
      <c r="D16" s="1"/>
      <c r="E16" s="1" t="s">
        <v>12</v>
      </c>
      <c r="F16" s="3" t="s">
        <v>13</v>
      </c>
      <c r="G16" s="4">
        <v>0</v>
      </c>
      <c r="H16" s="40" t="s">
        <v>12</v>
      </c>
    </row>
    <row r="17" spans="1:10" x14ac:dyDescent="0.2">
      <c r="A17" s="1"/>
      <c r="B17" s="1"/>
      <c r="C17" s="5"/>
      <c r="D17" s="1"/>
      <c r="E17" s="1"/>
      <c r="F17" s="6"/>
      <c r="G17" s="6"/>
      <c r="H17" s="40" t="s">
        <v>12</v>
      </c>
    </row>
    <row r="18" spans="1:10" x14ac:dyDescent="0.2">
      <c r="A18" s="1"/>
      <c r="B18" s="1"/>
      <c r="C18" s="2" t="s">
        <v>17</v>
      </c>
      <c r="D18" s="1"/>
      <c r="E18" s="1"/>
      <c r="F18" s="6"/>
      <c r="G18" s="6"/>
      <c r="H18" s="40" t="s">
        <v>12</v>
      </c>
    </row>
    <row r="19" spans="1:10" x14ac:dyDescent="0.2">
      <c r="A19" s="1"/>
      <c r="B19" s="1"/>
      <c r="C19" s="2" t="s">
        <v>11</v>
      </c>
      <c r="D19" s="1"/>
      <c r="E19" s="1" t="s">
        <v>12</v>
      </c>
      <c r="F19" s="3" t="s">
        <v>13</v>
      </c>
      <c r="G19" s="4">
        <v>0</v>
      </c>
      <c r="H19" s="40" t="s">
        <v>12</v>
      </c>
    </row>
    <row r="20" spans="1:10" x14ac:dyDescent="0.2">
      <c r="A20" s="1"/>
      <c r="B20" s="1"/>
      <c r="C20" s="5"/>
      <c r="D20" s="1"/>
      <c r="E20" s="1"/>
      <c r="F20" s="6"/>
      <c r="G20" s="6"/>
      <c r="H20" s="40" t="s">
        <v>12</v>
      </c>
    </row>
    <row r="21" spans="1:10" x14ac:dyDescent="0.2">
      <c r="A21" s="1"/>
      <c r="B21" s="1"/>
      <c r="C21" s="2" t="s">
        <v>18</v>
      </c>
      <c r="D21" s="1"/>
      <c r="E21" s="1"/>
      <c r="F21" s="6"/>
      <c r="G21" s="6"/>
      <c r="H21" s="40" t="s">
        <v>12</v>
      </c>
    </row>
    <row r="22" spans="1:10" ht="15" x14ac:dyDescent="0.2">
      <c r="A22" s="1"/>
      <c r="B22" s="1"/>
      <c r="C22" s="2" t="s">
        <v>11</v>
      </c>
      <c r="D22" s="1"/>
      <c r="E22" s="1" t="s">
        <v>12</v>
      </c>
      <c r="F22" s="3" t="s">
        <v>13</v>
      </c>
      <c r="G22" s="4">
        <v>0</v>
      </c>
      <c r="H22" s="40" t="s">
        <v>12</v>
      </c>
      <c r="J22" s="97"/>
    </row>
    <row r="23" spans="1:10" x14ac:dyDescent="0.2">
      <c r="A23" s="1"/>
      <c r="B23" s="1"/>
      <c r="C23" s="5"/>
      <c r="D23" s="1"/>
      <c r="E23" s="1"/>
      <c r="F23" s="6"/>
      <c r="G23" s="6"/>
      <c r="H23" s="40" t="s">
        <v>12</v>
      </c>
      <c r="J23" s="89"/>
    </row>
    <row r="24" spans="1:10" x14ac:dyDescent="0.2">
      <c r="A24" s="1"/>
      <c r="B24" s="1"/>
      <c r="C24" s="2" t="s">
        <v>19</v>
      </c>
      <c r="D24" s="1"/>
      <c r="E24" s="1"/>
      <c r="F24" s="7">
        <v>0</v>
      </c>
      <c r="G24" s="4">
        <v>0</v>
      </c>
      <c r="H24" s="40" t="s">
        <v>12</v>
      </c>
    </row>
    <row r="25" spans="1:10" x14ac:dyDescent="0.2">
      <c r="A25" s="1"/>
      <c r="B25" s="1"/>
      <c r="C25" s="5"/>
      <c r="D25" s="1"/>
      <c r="E25" s="1"/>
      <c r="F25" s="6"/>
      <c r="G25" s="6"/>
      <c r="H25" s="40" t="s">
        <v>12</v>
      </c>
    </row>
    <row r="26" spans="1:10" x14ac:dyDescent="0.2">
      <c r="A26" s="1"/>
      <c r="B26" s="1"/>
      <c r="C26" s="2" t="s">
        <v>20</v>
      </c>
      <c r="D26" s="1"/>
      <c r="E26" s="1"/>
      <c r="F26" s="6"/>
      <c r="G26" s="6"/>
      <c r="H26" s="40" t="s">
        <v>12</v>
      </c>
    </row>
    <row r="27" spans="1:10" x14ac:dyDescent="0.2">
      <c r="A27" s="1"/>
      <c r="B27" s="1"/>
      <c r="C27" s="2" t="s">
        <v>10</v>
      </c>
      <c r="D27" s="1"/>
      <c r="E27" s="1"/>
      <c r="F27" s="6"/>
      <c r="G27" s="6"/>
      <c r="H27" s="40" t="s">
        <v>12</v>
      </c>
    </row>
    <row r="28" spans="1:10" x14ac:dyDescent="0.2">
      <c r="A28" s="8">
        <v>1</v>
      </c>
      <c r="B28" s="9" t="s">
        <v>46</v>
      </c>
      <c r="C28" s="9" t="s">
        <v>47</v>
      </c>
      <c r="D28" s="9" t="s">
        <v>48</v>
      </c>
      <c r="E28" s="10">
        <v>300</v>
      </c>
      <c r="F28" s="11">
        <v>2992.194</v>
      </c>
      <c r="G28" s="12">
        <v>9.1032070000000007E-2</v>
      </c>
      <c r="H28" s="40">
        <v>7.5049999999999999</v>
      </c>
      <c r="J28" s="89"/>
    </row>
    <row r="29" spans="1:10" ht="25.5" x14ac:dyDescent="0.2">
      <c r="A29" s="8">
        <v>2</v>
      </c>
      <c r="B29" s="9" t="s">
        <v>107</v>
      </c>
      <c r="C29" s="9" t="s">
        <v>108</v>
      </c>
      <c r="D29" s="9" t="s">
        <v>48</v>
      </c>
      <c r="E29" s="10">
        <v>250</v>
      </c>
      <c r="F29" s="11">
        <v>2496.7175000000002</v>
      </c>
      <c r="G29" s="12">
        <v>7.5958090000000006E-2</v>
      </c>
      <c r="H29" s="40">
        <v>7.5788000000000002</v>
      </c>
      <c r="J29" s="89" t="s">
        <v>572</v>
      </c>
    </row>
    <row r="30" spans="1:10" ht="25.5" x14ac:dyDescent="0.2">
      <c r="A30" s="8">
        <v>3</v>
      </c>
      <c r="B30" s="9" t="s">
        <v>21</v>
      </c>
      <c r="C30" s="9" t="s">
        <v>22</v>
      </c>
      <c r="D30" s="9" t="s">
        <v>23</v>
      </c>
      <c r="E30" s="10">
        <v>2500</v>
      </c>
      <c r="F30" s="11">
        <v>2481.2375000000002</v>
      </c>
      <c r="G30" s="12">
        <v>7.5487139999999994E-2</v>
      </c>
      <c r="H30" s="40">
        <v>7.6</v>
      </c>
    </row>
    <row r="31" spans="1:10" x14ac:dyDescent="0.2">
      <c r="A31" s="8">
        <v>4</v>
      </c>
      <c r="B31" s="9" t="s">
        <v>109</v>
      </c>
      <c r="C31" s="9" t="s">
        <v>110</v>
      </c>
      <c r="D31" s="9" t="s">
        <v>48</v>
      </c>
      <c r="E31" s="10">
        <v>250</v>
      </c>
      <c r="F31" s="11">
        <v>2446.0425</v>
      </c>
      <c r="G31" s="12">
        <v>7.4416399999999994E-2</v>
      </c>
      <c r="H31" s="40">
        <v>7.6449999999999996</v>
      </c>
    </row>
    <row r="32" spans="1:10" ht="25.5" x14ac:dyDescent="0.2">
      <c r="A32" s="8">
        <v>5</v>
      </c>
      <c r="B32" s="9" t="s">
        <v>111</v>
      </c>
      <c r="C32" s="9" t="s">
        <v>112</v>
      </c>
      <c r="D32" s="9" t="s">
        <v>48</v>
      </c>
      <c r="E32" s="10">
        <v>200</v>
      </c>
      <c r="F32" s="11">
        <v>1992.6379999999999</v>
      </c>
      <c r="G32" s="12">
        <v>6.0622389999999998E-2</v>
      </c>
      <c r="H32" s="40">
        <v>7.76</v>
      </c>
    </row>
    <row r="33" spans="1:8" ht="25.5" x14ac:dyDescent="0.2">
      <c r="A33" s="8">
        <v>6</v>
      </c>
      <c r="B33" s="9" t="s">
        <v>113</v>
      </c>
      <c r="C33" s="9" t="s">
        <v>114</v>
      </c>
      <c r="D33" s="9" t="s">
        <v>48</v>
      </c>
      <c r="E33" s="10">
        <v>200</v>
      </c>
      <c r="F33" s="11">
        <v>1935.8</v>
      </c>
      <c r="G33" s="12">
        <v>5.88932E-2</v>
      </c>
      <c r="H33" s="40">
        <v>7.6849999999999996</v>
      </c>
    </row>
    <row r="34" spans="1:8" ht="25.5" x14ac:dyDescent="0.2">
      <c r="A34" s="8">
        <v>7</v>
      </c>
      <c r="B34" s="9" t="s">
        <v>30</v>
      </c>
      <c r="C34" s="9" t="s">
        <v>31</v>
      </c>
      <c r="D34" s="9" t="s">
        <v>23</v>
      </c>
      <c r="E34" s="10">
        <v>1500</v>
      </c>
      <c r="F34" s="11">
        <v>1497.5205000000001</v>
      </c>
      <c r="G34" s="12">
        <v>4.5559339999999997E-2</v>
      </c>
      <c r="H34" s="40">
        <v>7.6574999999999998</v>
      </c>
    </row>
    <row r="35" spans="1:8" ht="25.5" x14ac:dyDescent="0.2">
      <c r="A35" s="8">
        <v>8</v>
      </c>
      <c r="B35" s="9" t="s">
        <v>115</v>
      </c>
      <c r="C35" s="9" t="s">
        <v>116</v>
      </c>
      <c r="D35" s="9" t="s">
        <v>48</v>
      </c>
      <c r="E35" s="10">
        <v>150</v>
      </c>
      <c r="F35" s="11">
        <v>1491.1679999999999</v>
      </c>
      <c r="G35" s="12">
        <v>4.5366080000000003E-2</v>
      </c>
      <c r="H35" s="40">
        <v>7.75</v>
      </c>
    </row>
    <row r="36" spans="1:8" x14ac:dyDescent="0.2">
      <c r="A36" s="8">
        <v>9</v>
      </c>
      <c r="B36" s="9" t="s">
        <v>59</v>
      </c>
      <c r="C36" s="9" t="s">
        <v>60</v>
      </c>
      <c r="D36" s="9" t="s">
        <v>23</v>
      </c>
      <c r="E36" s="10">
        <v>100</v>
      </c>
      <c r="F36" s="11">
        <v>1002.409</v>
      </c>
      <c r="G36" s="12">
        <v>3.0496470000000001E-2</v>
      </c>
      <c r="H36" s="40">
        <v>7.85</v>
      </c>
    </row>
    <row r="37" spans="1:8" ht="25.5" x14ac:dyDescent="0.2">
      <c r="A37" s="8">
        <v>10</v>
      </c>
      <c r="B37" s="9" t="s">
        <v>117</v>
      </c>
      <c r="C37" s="9" t="s">
        <v>118</v>
      </c>
      <c r="D37" s="9" t="s">
        <v>23</v>
      </c>
      <c r="E37" s="10">
        <v>1000</v>
      </c>
      <c r="F37" s="11">
        <v>998.06299999999999</v>
      </c>
      <c r="G37" s="12">
        <v>3.0364249999999999E-2</v>
      </c>
      <c r="H37" s="40">
        <v>7.375</v>
      </c>
    </row>
    <row r="38" spans="1:8" x14ac:dyDescent="0.2">
      <c r="A38" s="8">
        <v>11</v>
      </c>
      <c r="B38" s="9" t="s">
        <v>53</v>
      </c>
      <c r="C38" s="9" t="s">
        <v>54</v>
      </c>
      <c r="D38" s="9" t="s">
        <v>23</v>
      </c>
      <c r="E38" s="10">
        <v>500</v>
      </c>
      <c r="F38" s="11">
        <v>500.91800000000001</v>
      </c>
      <c r="G38" s="12">
        <v>1.5239519999999999E-2</v>
      </c>
      <c r="H38" s="40">
        <v>7.6600999999999999</v>
      </c>
    </row>
    <row r="39" spans="1:8" ht="25.5" x14ac:dyDescent="0.2">
      <c r="A39" s="8">
        <v>12</v>
      </c>
      <c r="B39" s="9" t="s">
        <v>119</v>
      </c>
      <c r="C39" s="9" t="s">
        <v>120</v>
      </c>
      <c r="D39" s="9" t="s">
        <v>23</v>
      </c>
      <c r="E39" s="10">
        <v>500</v>
      </c>
      <c r="F39" s="11">
        <v>500.7715</v>
      </c>
      <c r="G39" s="12">
        <v>1.523506E-2</v>
      </c>
      <c r="H39" s="40">
        <v>7.6</v>
      </c>
    </row>
    <row r="40" spans="1:8" x14ac:dyDescent="0.2">
      <c r="A40" s="8">
        <v>13</v>
      </c>
      <c r="B40" s="9" t="s">
        <v>44</v>
      </c>
      <c r="C40" s="9" t="s">
        <v>45</v>
      </c>
      <c r="D40" s="9" t="s">
        <v>23</v>
      </c>
      <c r="E40" s="10">
        <v>500</v>
      </c>
      <c r="F40" s="11">
        <v>500.03699999999998</v>
      </c>
      <c r="G40" s="12">
        <v>1.5212720000000001E-2</v>
      </c>
      <c r="H40" s="40">
        <v>7.59</v>
      </c>
    </row>
    <row r="41" spans="1:8" x14ac:dyDescent="0.2">
      <c r="A41" s="8">
        <v>14</v>
      </c>
      <c r="B41" s="9" t="s">
        <v>121</v>
      </c>
      <c r="C41" s="9" t="s">
        <v>122</v>
      </c>
      <c r="D41" s="9" t="s">
        <v>23</v>
      </c>
      <c r="E41" s="10">
        <v>500</v>
      </c>
      <c r="F41" s="11">
        <v>499.392</v>
      </c>
      <c r="G41" s="12">
        <v>1.5193089999999999E-2</v>
      </c>
      <c r="H41" s="40">
        <v>7.93</v>
      </c>
    </row>
    <row r="42" spans="1:8" x14ac:dyDescent="0.2">
      <c r="A42" s="8">
        <v>15</v>
      </c>
      <c r="B42" s="9" t="s">
        <v>123</v>
      </c>
      <c r="C42" s="9" t="s">
        <v>124</v>
      </c>
      <c r="D42" s="9" t="s">
        <v>23</v>
      </c>
      <c r="E42" s="10">
        <v>500</v>
      </c>
      <c r="F42" s="11">
        <v>498.64749999999998</v>
      </c>
      <c r="G42" s="12">
        <v>1.517044E-2</v>
      </c>
      <c r="H42" s="40">
        <v>8.18</v>
      </c>
    </row>
    <row r="43" spans="1:8" ht="25.5" x14ac:dyDescent="0.2">
      <c r="A43" s="8">
        <v>16</v>
      </c>
      <c r="B43" s="9" t="s">
        <v>125</v>
      </c>
      <c r="C43" s="9" t="s">
        <v>126</v>
      </c>
      <c r="D43" s="9" t="s">
        <v>48</v>
      </c>
      <c r="E43" s="10">
        <v>50</v>
      </c>
      <c r="F43" s="11">
        <v>497.70800000000003</v>
      </c>
      <c r="G43" s="12">
        <v>1.514186E-2</v>
      </c>
      <c r="H43" s="40">
        <v>7.7625000000000002</v>
      </c>
    </row>
    <row r="44" spans="1:8" ht="25.5" x14ac:dyDescent="0.2">
      <c r="A44" s="8">
        <v>17</v>
      </c>
      <c r="B44" s="9" t="s">
        <v>127</v>
      </c>
      <c r="C44" s="9" t="s">
        <v>128</v>
      </c>
      <c r="D44" s="9" t="s">
        <v>48</v>
      </c>
      <c r="E44" s="10">
        <v>165</v>
      </c>
      <c r="F44" s="11">
        <v>488.23730999999998</v>
      </c>
      <c r="G44" s="12">
        <v>1.4853730000000001E-2</v>
      </c>
      <c r="H44" s="40">
        <v>7.7</v>
      </c>
    </row>
    <row r="45" spans="1:8" x14ac:dyDescent="0.2">
      <c r="A45" s="1"/>
      <c r="B45" s="1"/>
      <c r="C45" s="2" t="s">
        <v>11</v>
      </c>
      <c r="D45" s="1"/>
      <c r="E45" s="1" t="s">
        <v>12</v>
      </c>
      <c r="F45" s="7">
        <v>22819.50131</v>
      </c>
      <c r="G45" s="4">
        <v>0.69424185000000005</v>
      </c>
      <c r="H45" s="40" t="s">
        <v>12</v>
      </c>
    </row>
    <row r="46" spans="1:8" x14ac:dyDescent="0.2">
      <c r="A46" s="1"/>
      <c r="B46" s="1"/>
      <c r="C46" s="5"/>
      <c r="D46" s="1"/>
      <c r="E46" s="1"/>
      <c r="F46" s="6"/>
      <c r="G46" s="6"/>
      <c r="H46" s="40" t="s">
        <v>12</v>
      </c>
    </row>
    <row r="47" spans="1:8" x14ac:dyDescent="0.2">
      <c r="A47" s="1"/>
      <c r="B47" s="1"/>
      <c r="C47" s="2" t="s">
        <v>63</v>
      </c>
      <c r="D47" s="1"/>
      <c r="E47" s="1"/>
      <c r="F47" s="1"/>
      <c r="G47" s="1"/>
      <c r="H47" s="40" t="s">
        <v>12</v>
      </c>
    </row>
    <row r="48" spans="1:8" x14ac:dyDescent="0.2">
      <c r="A48" s="1"/>
      <c r="B48" s="1"/>
      <c r="C48" s="2" t="s">
        <v>11</v>
      </c>
      <c r="D48" s="1"/>
      <c r="E48" s="1" t="s">
        <v>12</v>
      </c>
      <c r="F48" s="3" t="s">
        <v>13</v>
      </c>
      <c r="G48" s="4">
        <v>0</v>
      </c>
      <c r="H48" s="40" t="s">
        <v>12</v>
      </c>
    </row>
    <row r="49" spans="1:8" x14ac:dyDescent="0.2">
      <c r="A49" s="1"/>
      <c r="B49" s="1"/>
      <c r="C49" s="5"/>
      <c r="D49" s="1"/>
      <c r="E49" s="1"/>
      <c r="F49" s="6"/>
      <c r="G49" s="6"/>
      <c r="H49" s="40" t="s">
        <v>12</v>
      </c>
    </row>
    <row r="50" spans="1:8" x14ac:dyDescent="0.2">
      <c r="A50" s="1"/>
      <c r="B50" s="1"/>
      <c r="C50" s="2" t="s">
        <v>64</v>
      </c>
      <c r="D50" s="1"/>
      <c r="E50" s="1"/>
      <c r="F50" s="1"/>
      <c r="G50" s="1"/>
      <c r="H50" s="40" t="s">
        <v>12</v>
      </c>
    </row>
    <row r="51" spans="1:8" x14ac:dyDescent="0.2">
      <c r="A51" s="8">
        <v>1</v>
      </c>
      <c r="B51" s="9" t="s">
        <v>65</v>
      </c>
      <c r="C51" s="9" t="s">
        <v>66</v>
      </c>
      <c r="D51" s="9" t="s">
        <v>67</v>
      </c>
      <c r="E51" s="10">
        <v>3500000</v>
      </c>
      <c r="F51" s="11">
        <v>3531.444</v>
      </c>
      <c r="G51" s="12">
        <v>0.10743777</v>
      </c>
      <c r="H51" s="40">
        <v>7.1675000000000004</v>
      </c>
    </row>
    <row r="52" spans="1:8" x14ac:dyDescent="0.2">
      <c r="A52" s="8">
        <v>2</v>
      </c>
      <c r="B52" s="9" t="s">
        <v>68</v>
      </c>
      <c r="C52" s="9" t="s">
        <v>69</v>
      </c>
      <c r="D52" s="9" t="s">
        <v>67</v>
      </c>
      <c r="E52" s="10">
        <v>2500000</v>
      </c>
      <c r="F52" s="11">
        <v>2533.7275</v>
      </c>
      <c r="G52" s="12">
        <v>7.7084059999999996E-2</v>
      </c>
      <c r="H52" s="40">
        <v>7.1794000000000002</v>
      </c>
    </row>
    <row r="53" spans="1:8" x14ac:dyDescent="0.2">
      <c r="A53" s="8">
        <v>3</v>
      </c>
      <c r="B53" s="9" t="s">
        <v>129</v>
      </c>
      <c r="C53" s="9" t="s">
        <v>130</v>
      </c>
      <c r="D53" s="9" t="s">
        <v>67</v>
      </c>
      <c r="E53" s="10">
        <v>1000000</v>
      </c>
      <c r="F53" s="11">
        <v>1011.921</v>
      </c>
      <c r="G53" s="12">
        <v>3.0785860000000002E-2</v>
      </c>
      <c r="H53" s="40">
        <v>7.1711999999999998</v>
      </c>
    </row>
    <row r="54" spans="1:8" x14ac:dyDescent="0.2">
      <c r="A54" s="1"/>
      <c r="B54" s="1"/>
      <c r="C54" s="2" t="s">
        <v>11</v>
      </c>
      <c r="D54" s="1"/>
      <c r="E54" s="1" t="s">
        <v>12</v>
      </c>
      <c r="F54" s="7">
        <v>7077.0924999999997</v>
      </c>
      <c r="G54" s="4">
        <v>0.21530769</v>
      </c>
      <c r="H54" s="40" t="s">
        <v>12</v>
      </c>
    </row>
    <row r="55" spans="1:8" x14ac:dyDescent="0.2">
      <c r="A55" s="1"/>
      <c r="B55" s="1"/>
      <c r="C55" s="5"/>
      <c r="D55" s="1"/>
      <c r="E55" s="1"/>
      <c r="F55" s="6"/>
      <c r="G55" s="6"/>
      <c r="H55" s="40" t="s">
        <v>12</v>
      </c>
    </row>
    <row r="56" spans="1:8" x14ac:dyDescent="0.2">
      <c r="A56" s="1"/>
      <c r="B56" s="1"/>
      <c r="C56" s="2" t="s">
        <v>74</v>
      </c>
      <c r="D56" s="1"/>
      <c r="E56" s="1"/>
      <c r="F56" s="6"/>
      <c r="G56" s="6"/>
      <c r="H56" s="40" t="s">
        <v>12</v>
      </c>
    </row>
    <row r="57" spans="1:8" x14ac:dyDescent="0.2">
      <c r="A57" s="1"/>
      <c r="B57" s="1"/>
      <c r="C57" s="2" t="s">
        <v>11</v>
      </c>
      <c r="D57" s="1"/>
      <c r="E57" s="1" t="s">
        <v>12</v>
      </c>
      <c r="F57" s="3" t="s">
        <v>13</v>
      </c>
      <c r="G57" s="4">
        <v>0</v>
      </c>
      <c r="H57" s="40" t="s">
        <v>12</v>
      </c>
    </row>
    <row r="58" spans="1:8" x14ac:dyDescent="0.2">
      <c r="A58" s="1"/>
      <c r="B58" s="1"/>
      <c r="C58" s="5"/>
      <c r="D58" s="1"/>
      <c r="E58" s="1"/>
      <c r="F58" s="6"/>
      <c r="G58" s="6"/>
      <c r="H58" s="40" t="s">
        <v>12</v>
      </c>
    </row>
    <row r="59" spans="1:8" x14ac:dyDescent="0.2">
      <c r="A59" s="1"/>
      <c r="B59" s="1"/>
      <c r="C59" s="2" t="s">
        <v>75</v>
      </c>
      <c r="D59" s="1"/>
      <c r="E59" s="1"/>
      <c r="F59" s="7">
        <v>29896.593809999998</v>
      </c>
      <c r="G59" s="4">
        <v>0.90954953999999999</v>
      </c>
      <c r="H59" s="40" t="s">
        <v>12</v>
      </c>
    </row>
    <row r="60" spans="1:8" x14ac:dyDescent="0.2">
      <c r="A60" s="1"/>
      <c r="B60" s="1"/>
      <c r="C60" s="5"/>
      <c r="D60" s="1"/>
      <c r="E60" s="1"/>
      <c r="F60" s="6"/>
      <c r="G60" s="6"/>
      <c r="H60" s="40" t="s">
        <v>12</v>
      </c>
    </row>
    <row r="61" spans="1:8" x14ac:dyDescent="0.2">
      <c r="A61" s="1"/>
      <c r="B61" s="1"/>
      <c r="C61" s="2" t="s">
        <v>76</v>
      </c>
      <c r="D61" s="1"/>
      <c r="E61" s="1"/>
      <c r="F61" s="6"/>
      <c r="G61" s="6"/>
      <c r="H61" s="40" t="s">
        <v>12</v>
      </c>
    </row>
    <row r="62" spans="1:8" x14ac:dyDescent="0.2">
      <c r="A62" s="1"/>
      <c r="B62" s="1"/>
      <c r="C62" s="2" t="s">
        <v>77</v>
      </c>
      <c r="D62" s="1"/>
      <c r="E62" s="1"/>
      <c r="F62" s="6"/>
      <c r="G62" s="6"/>
      <c r="H62" s="40" t="s">
        <v>12</v>
      </c>
    </row>
    <row r="63" spans="1:8" x14ac:dyDescent="0.2">
      <c r="A63" s="8">
        <v>1</v>
      </c>
      <c r="B63" s="9" t="s">
        <v>131</v>
      </c>
      <c r="C63" s="9" t="s">
        <v>132</v>
      </c>
      <c r="D63" s="9" t="s">
        <v>133</v>
      </c>
      <c r="E63" s="10">
        <v>200</v>
      </c>
      <c r="F63" s="11">
        <v>999.62199999999996</v>
      </c>
      <c r="G63" s="12">
        <v>3.041168E-2</v>
      </c>
      <c r="H63" s="40">
        <v>6.8929</v>
      </c>
    </row>
    <row r="64" spans="1:8" x14ac:dyDescent="0.2">
      <c r="A64" s="8">
        <v>2</v>
      </c>
      <c r="B64" s="9" t="s">
        <v>134</v>
      </c>
      <c r="C64" s="9" t="s">
        <v>135</v>
      </c>
      <c r="D64" s="9" t="s">
        <v>133</v>
      </c>
      <c r="E64" s="10">
        <v>200</v>
      </c>
      <c r="F64" s="11">
        <v>964.37900000000002</v>
      </c>
      <c r="G64" s="12">
        <v>2.9339480000000001E-2</v>
      </c>
      <c r="H64" s="40">
        <v>7.49</v>
      </c>
    </row>
    <row r="65" spans="1:8" x14ac:dyDescent="0.2">
      <c r="A65" s="1"/>
      <c r="B65" s="1"/>
      <c r="C65" s="2" t="s">
        <v>11</v>
      </c>
      <c r="D65" s="1"/>
      <c r="E65" s="1" t="s">
        <v>12</v>
      </c>
      <c r="F65" s="7">
        <v>1964.001</v>
      </c>
      <c r="G65" s="4">
        <v>5.9751159999999998E-2</v>
      </c>
      <c r="H65" s="40" t="s">
        <v>12</v>
      </c>
    </row>
    <row r="66" spans="1:8" x14ac:dyDescent="0.2">
      <c r="A66" s="1"/>
      <c r="B66" s="1"/>
      <c r="C66" s="5"/>
      <c r="D66" s="1"/>
      <c r="E66" s="1"/>
      <c r="F66" s="6"/>
      <c r="G66" s="6"/>
      <c r="H66" s="40" t="s">
        <v>12</v>
      </c>
    </row>
    <row r="67" spans="1:8" x14ac:dyDescent="0.2">
      <c r="A67" s="1"/>
      <c r="B67" s="1"/>
      <c r="C67" s="2" t="s">
        <v>78</v>
      </c>
      <c r="D67" s="1"/>
      <c r="E67" s="1"/>
      <c r="F67" s="6"/>
      <c r="G67" s="6"/>
      <c r="H67" s="40" t="s">
        <v>12</v>
      </c>
    </row>
    <row r="68" spans="1:8" x14ac:dyDescent="0.2">
      <c r="A68" s="1"/>
      <c r="B68" s="1"/>
      <c r="C68" s="2" t="s">
        <v>11</v>
      </c>
      <c r="D68" s="1"/>
      <c r="E68" s="1" t="s">
        <v>12</v>
      </c>
      <c r="F68" s="3" t="s">
        <v>13</v>
      </c>
      <c r="G68" s="4">
        <v>0</v>
      </c>
      <c r="H68" s="40" t="s">
        <v>12</v>
      </c>
    </row>
    <row r="69" spans="1:8" x14ac:dyDescent="0.2">
      <c r="A69" s="1"/>
      <c r="B69" s="1"/>
      <c r="C69" s="5"/>
      <c r="D69" s="1"/>
      <c r="E69" s="1"/>
      <c r="F69" s="6"/>
      <c r="G69" s="6"/>
      <c r="H69" s="40" t="s">
        <v>12</v>
      </c>
    </row>
    <row r="70" spans="1:8" x14ac:dyDescent="0.2">
      <c r="A70" s="1"/>
      <c r="B70" s="1"/>
      <c r="C70" s="2" t="s">
        <v>79</v>
      </c>
      <c r="D70" s="1"/>
      <c r="E70" s="1"/>
      <c r="F70" s="6"/>
      <c r="G70" s="6"/>
      <c r="H70" s="40" t="s">
        <v>12</v>
      </c>
    </row>
    <row r="71" spans="1:8" x14ac:dyDescent="0.2">
      <c r="A71" s="1"/>
      <c r="B71" s="1"/>
      <c r="C71" s="2" t="s">
        <v>11</v>
      </c>
      <c r="D71" s="1"/>
      <c r="E71" s="1" t="s">
        <v>12</v>
      </c>
      <c r="F71" s="3" t="s">
        <v>13</v>
      </c>
      <c r="G71" s="4">
        <v>0</v>
      </c>
      <c r="H71" s="40" t="s">
        <v>12</v>
      </c>
    </row>
    <row r="72" spans="1:8" x14ac:dyDescent="0.2">
      <c r="A72" s="1"/>
      <c r="B72" s="1"/>
      <c r="C72" s="5"/>
      <c r="D72" s="1"/>
      <c r="E72" s="1"/>
      <c r="F72" s="6"/>
      <c r="G72" s="6"/>
      <c r="H72" s="40" t="s">
        <v>12</v>
      </c>
    </row>
    <row r="73" spans="1:8" x14ac:dyDescent="0.2">
      <c r="A73" s="1"/>
      <c r="B73" s="1"/>
      <c r="C73" s="2" t="s">
        <v>80</v>
      </c>
      <c r="D73" s="1"/>
      <c r="E73" s="1"/>
      <c r="F73" s="6"/>
      <c r="G73" s="6"/>
      <c r="H73" s="40" t="s">
        <v>12</v>
      </c>
    </row>
    <row r="74" spans="1:8" x14ac:dyDescent="0.2">
      <c r="A74" s="8">
        <v>1</v>
      </c>
      <c r="B74" s="9"/>
      <c r="C74" s="9" t="s">
        <v>81</v>
      </c>
      <c r="D74" s="9"/>
      <c r="E74" s="13"/>
      <c r="F74" s="11">
        <v>105.14510490000001</v>
      </c>
      <c r="G74" s="12">
        <v>3.19885E-3</v>
      </c>
      <c r="H74" s="40">
        <v>6.6416448321270405</v>
      </c>
    </row>
    <row r="75" spans="1:8" x14ac:dyDescent="0.2">
      <c r="A75" s="1"/>
      <c r="B75" s="1"/>
      <c r="C75" s="2" t="s">
        <v>11</v>
      </c>
      <c r="D75" s="1"/>
      <c r="E75" s="1" t="s">
        <v>12</v>
      </c>
      <c r="F75" s="7">
        <v>105.14510490000001</v>
      </c>
      <c r="G75" s="4">
        <v>3.19885E-3</v>
      </c>
      <c r="H75" s="40" t="s">
        <v>12</v>
      </c>
    </row>
    <row r="76" spans="1:8" x14ac:dyDescent="0.2">
      <c r="A76" s="1"/>
      <c r="B76" s="1"/>
      <c r="C76" s="5"/>
      <c r="D76" s="1"/>
      <c r="E76" s="1"/>
      <c r="F76" s="6"/>
      <c r="G76" s="6"/>
      <c r="H76" s="40" t="s">
        <v>12</v>
      </c>
    </row>
    <row r="77" spans="1:8" x14ac:dyDescent="0.2">
      <c r="A77" s="1"/>
      <c r="B77" s="1"/>
      <c r="C77" s="2" t="s">
        <v>82</v>
      </c>
      <c r="D77" s="1"/>
      <c r="E77" s="1"/>
      <c r="F77" s="7">
        <v>2069.1461049</v>
      </c>
      <c r="G77" s="4">
        <v>6.2950010000000001E-2</v>
      </c>
      <c r="H77" s="40" t="s">
        <v>12</v>
      </c>
    </row>
    <row r="78" spans="1:8" x14ac:dyDescent="0.2">
      <c r="A78" s="1"/>
      <c r="B78" s="1"/>
      <c r="C78" s="6"/>
      <c r="D78" s="1"/>
      <c r="E78" s="1"/>
      <c r="F78" s="1"/>
      <c r="G78" s="1"/>
      <c r="H78" s="40" t="s">
        <v>12</v>
      </c>
    </row>
    <row r="79" spans="1:8" x14ac:dyDescent="0.2">
      <c r="A79" s="1"/>
      <c r="B79" s="1"/>
      <c r="C79" s="2" t="s">
        <v>83</v>
      </c>
      <c r="D79" s="1"/>
      <c r="E79" s="1"/>
      <c r="F79" s="1"/>
      <c r="G79" s="1"/>
      <c r="H79" s="40" t="s">
        <v>12</v>
      </c>
    </row>
    <row r="80" spans="1:8" x14ac:dyDescent="0.2">
      <c r="A80" s="1"/>
      <c r="B80" s="1"/>
      <c r="C80" s="2" t="s">
        <v>84</v>
      </c>
      <c r="D80" s="1"/>
      <c r="E80" s="1"/>
      <c r="F80" s="1"/>
      <c r="G80" s="1"/>
      <c r="H80" s="40" t="s">
        <v>12</v>
      </c>
    </row>
    <row r="81" spans="1:18" x14ac:dyDescent="0.2">
      <c r="A81" s="1"/>
      <c r="B81" s="1"/>
      <c r="C81" s="2" t="s">
        <v>11</v>
      </c>
      <c r="D81" s="1"/>
      <c r="E81" s="1" t="s">
        <v>12</v>
      </c>
      <c r="F81" s="3" t="s">
        <v>13</v>
      </c>
      <c r="G81" s="4">
        <v>0</v>
      </c>
      <c r="H81" s="40" t="s">
        <v>12</v>
      </c>
    </row>
    <row r="82" spans="1:18" x14ac:dyDescent="0.2">
      <c r="A82" s="1"/>
      <c r="B82" s="1"/>
      <c r="C82" s="5"/>
      <c r="D82" s="1"/>
      <c r="E82" s="1"/>
      <c r="F82" s="6"/>
      <c r="G82" s="6"/>
      <c r="H82" s="40" t="s">
        <v>12</v>
      </c>
    </row>
    <row r="83" spans="1:18" x14ac:dyDescent="0.2">
      <c r="A83" s="1"/>
      <c r="B83" s="1"/>
      <c r="C83" s="2" t="s">
        <v>87</v>
      </c>
      <c r="D83" s="1"/>
      <c r="E83" s="1"/>
      <c r="F83" s="1"/>
      <c r="G83" s="1"/>
      <c r="H83" s="40" t="s">
        <v>12</v>
      </c>
    </row>
    <row r="84" spans="1:18" x14ac:dyDescent="0.2">
      <c r="A84" s="1"/>
      <c r="B84" s="1"/>
      <c r="C84" s="2" t="s">
        <v>88</v>
      </c>
      <c r="D84" s="1"/>
      <c r="E84" s="1"/>
      <c r="F84" s="1"/>
      <c r="G84" s="1"/>
      <c r="H84" s="40" t="s">
        <v>12</v>
      </c>
    </row>
    <row r="85" spans="1:18" x14ac:dyDescent="0.2">
      <c r="A85" s="1"/>
      <c r="B85" s="1"/>
      <c r="C85" s="2" t="s">
        <v>11</v>
      </c>
      <c r="D85" s="1"/>
      <c r="E85" s="1" t="s">
        <v>12</v>
      </c>
      <c r="F85" s="3" t="s">
        <v>13</v>
      </c>
      <c r="G85" s="4">
        <v>0</v>
      </c>
      <c r="H85" s="40" t="s">
        <v>12</v>
      </c>
    </row>
    <row r="86" spans="1:18" x14ac:dyDescent="0.2">
      <c r="A86" s="1"/>
      <c r="B86" s="1"/>
      <c r="C86" s="5"/>
      <c r="D86" s="1"/>
      <c r="E86" s="1"/>
      <c r="F86" s="6"/>
      <c r="G86" s="6"/>
      <c r="H86" s="40" t="s">
        <v>12</v>
      </c>
    </row>
    <row r="87" spans="1:18" x14ac:dyDescent="0.2">
      <c r="A87" s="1"/>
      <c r="B87" s="1"/>
      <c r="C87" s="2" t="s">
        <v>89</v>
      </c>
      <c r="D87" s="1"/>
      <c r="E87" s="1"/>
      <c r="F87" s="6"/>
      <c r="G87" s="6"/>
      <c r="H87" s="40" t="s">
        <v>12</v>
      </c>
    </row>
    <row r="88" spans="1:18" x14ac:dyDescent="0.2">
      <c r="A88" s="1"/>
      <c r="B88" s="1"/>
      <c r="C88" s="2" t="s">
        <v>11</v>
      </c>
      <c r="D88" s="1"/>
      <c r="E88" s="1" t="s">
        <v>12</v>
      </c>
      <c r="F88" s="3" t="s">
        <v>13</v>
      </c>
      <c r="G88" s="4">
        <v>0</v>
      </c>
      <c r="H88" s="40" t="s">
        <v>12</v>
      </c>
    </row>
    <row r="89" spans="1:18" x14ac:dyDescent="0.2">
      <c r="A89" s="1"/>
      <c r="B89" s="1"/>
      <c r="C89" s="2"/>
      <c r="D89" s="1"/>
      <c r="E89" s="1"/>
      <c r="F89" s="3"/>
      <c r="G89" s="4"/>
      <c r="H89" s="40"/>
    </row>
    <row r="90" spans="1:18" x14ac:dyDescent="0.2">
      <c r="A90" s="42"/>
      <c r="B90" s="42"/>
      <c r="C90" s="43" t="s">
        <v>492</v>
      </c>
      <c r="D90" s="42"/>
      <c r="E90" s="42"/>
      <c r="F90" s="44"/>
      <c r="G90" s="44"/>
      <c r="H90" s="11"/>
      <c r="K90" s="45"/>
      <c r="L90" s="45"/>
      <c r="M90" s="45"/>
      <c r="N90" s="45"/>
      <c r="O90" s="45"/>
      <c r="P90" s="46"/>
      <c r="Q90" s="46"/>
      <c r="R90" s="46"/>
    </row>
    <row r="91" spans="1:18" x14ac:dyDescent="0.2">
      <c r="A91" s="8">
        <v>1</v>
      </c>
      <c r="B91" s="9" t="s">
        <v>85</v>
      </c>
      <c r="C91" s="9" t="s">
        <v>86</v>
      </c>
      <c r="D91" s="9"/>
      <c r="E91" s="14">
        <v>1138.2429999999999</v>
      </c>
      <c r="F91" s="11">
        <v>116.67813472</v>
      </c>
      <c r="G91" s="12">
        <v>3.5497200000000001E-3</v>
      </c>
      <c r="H91" s="40"/>
    </row>
    <row r="92" spans="1:18" x14ac:dyDescent="0.2">
      <c r="A92" s="1"/>
      <c r="B92" s="1"/>
      <c r="C92" s="2" t="s">
        <v>11</v>
      </c>
      <c r="D92" s="1"/>
      <c r="E92" s="1" t="s">
        <v>12</v>
      </c>
      <c r="F92" s="7">
        <v>116.67813472</v>
      </c>
      <c r="G92" s="4">
        <v>3.5497200000000001E-3</v>
      </c>
      <c r="H92" s="40" t="s">
        <v>12</v>
      </c>
    </row>
    <row r="93" spans="1:18" x14ac:dyDescent="0.2">
      <c r="A93" s="1"/>
      <c r="B93" s="9"/>
      <c r="C93" s="9"/>
      <c r="D93" s="2"/>
      <c r="E93" s="1"/>
      <c r="F93" s="9"/>
      <c r="G93" s="13"/>
      <c r="H93" s="40"/>
    </row>
    <row r="94" spans="1:18" x14ac:dyDescent="0.2">
      <c r="A94" s="1"/>
      <c r="B94" s="1"/>
      <c r="C94" s="2"/>
      <c r="D94" s="1"/>
      <c r="E94" s="1"/>
      <c r="F94" s="3"/>
      <c r="G94" s="4"/>
      <c r="H94" s="40"/>
    </row>
    <row r="95" spans="1:18" x14ac:dyDescent="0.2">
      <c r="A95" s="1"/>
      <c r="B95" s="1"/>
      <c r="C95" s="5"/>
      <c r="D95" s="1"/>
      <c r="E95" s="1"/>
      <c r="F95" s="6"/>
      <c r="G95" s="6"/>
      <c r="H95" s="40" t="s">
        <v>12</v>
      </c>
    </row>
    <row r="96" spans="1:18" x14ac:dyDescent="0.2">
      <c r="A96" s="1"/>
      <c r="B96" s="9"/>
      <c r="C96" s="9"/>
      <c r="D96" s="2"/>
      <c r="E96" s="1"/>
      <c r="F96" s="9"/>
      <c r="G96" s="13"/>
      <c r="H96" s="40" t="s">
        <v>12</v>
      </c>
    </row>
    <row r="97" spans="1:8" x14ac:dyDescent="0.2">
      <c r="A97" s="13"/>
      <c r="B97" s="9"/>
      <c r="C97" s="9" t="s">
        <v>90</v>
      </c>
      <c r="D97" s="9"/>
      <c r="E97" s="13"/>
      <c r="F97" s="11">
        <v>787.25210544000004</v>
      </c>
      <c r="G97" s="12">
        <v>2.3950720000000002E-2</v>
      </c>
      <c r="H97" s="40" t="s">
        <v>12</v>
      </c>
    </row>
    <row r="98" spans="1:8" x14ac:dyDescent="0.2">
      <c r="A98" s="5"/>
      <c r="B98" s="5"/>
      <c r="C98" s="2" t="s">
        <v>91</v>
      </c>
      <c r="D98" s="6"/>
      <c r="E98" s="6"/>
      <c r="F98" s="7">
        <v>32869.670155059997</v>
      </c>
      <c r="G98" s="15">
        <v>0.99999998999999995</v>
      </c>
      <c r="H98" s="40"/>
    </row>
    <row r="99" spans="1:8" x14ac:dyDescent="0.2">
      <c r="A99" s="16"/>
      <c r="B99" s="16"/>
      <c r="C99" s="16"/>
      <c r="D99" s="17"/>
      <c r="E99" s="17"/>
      <c r="F99" s="17"/>
      <c r="G99" s="17"/>
    </row>
    <row r="100" spans="1:8" ht="12.75" customHeight="1" x14ac:dyDescent="0.2">
      <c r="A100" s="18"/>
      <c r="B100" s="102" t="s">
        <v>493</v>
      </c>
      <c r="C100" s="102"/>
      <c r="D100" s="102"/>
      <c r="E100" s="102"/>
      <c r="F100" s="102"/>
      <c r="G100" s="102"/>
      <c r="H100" s="102"/>
    </row>
    <row r="101" spans="1:8" ht="12.75" customHeight="1" x14ac:dyDescent="0.2">
      <c r="A101" s="18"/>
      <c r="B101" s="102" t="s">
        <v>494</v>
      </c>
      <c r="C101" s="102"/>
      <c r="D101" s="102"/>
      <c r="E101" s="102"/>
      <c r="F101" s="102"/>
      <c r="G101" s="102"/>
      <c r="H101" s="102"/>
    </row>
    <row r="102" spans="1:8" ht="12.75" customHeight="1" x14ac:dyDescent="0.2">
      <c r="A102" s="18"/>
      <c r="B102" s="102" t="s">
        <v>495</v>
      </c>
      <c r="C102" s="102"/>
      <c r="D102" s="102"/>
      <c r="E102" s="102"/>
      <c r="F102" s="102"/>
      <c r="G102" s="102"/>
      <c r="H102" s="102"/>
    </row>
    <row r="103" spans="1:8" x14ac:dyDescent="0.2">
      <c r="A103" s="18"/>
      <c r="B103" s="18"/>
      <c r="C103" s="18"/>
      <c r="D103" s="20"/>
      <c r="E103" s="20"/>
      <c r="F103" s="20"/>
      <c r="G103" s="20"/>
    </row>
    <row r="104" spans="1:8" ht="14.1" customHeight="1" x14ac:dyDescent="0.2">
      <c r="A104" s="18"/>
      <c r="B104" s="103" t="s">
        <v>92</v>
      </c>
      <c r="C104" s="104"/>
      <c r="D104" s="105"/>
      <c r="E104" s="21"/>
      <c r="F104" s="20"/>
      <c r="G104" s="20"/>
    </row>
    <row r="105" spans="1:8" ht="29.1" customHeight="1" x14ac:dyDescent="0.2">
      <c r="A105" s="18"/>
      <c r="B105" s="99" t="s">
        <v>93</v>
      </c>
      <c r="C105" s="100"/>
      <c r="D105" s="2" t="s">
        <v>94</v>
      </c>
      <c r="E105" s="21"/>
      <c r="F105" s="20"/>
      <c r="G105" s="20"/>
    </row>
    <row r="106" spans="1:8" ht="17.100000000000001" customHeight="1" x14ac:dyDescent="0.2">
      <c r="A106" s="18"/>
      <c r="B106" s="99" t="s">
        <v>95</v>
      </c>
      <c r="C106" s="100"/>
      <c r="D106" s="2" t="s">
        <v>94</v>
      </c>
      <c r="E106" s="21"/>
      <c r="F106" s="20"/>
      <c r="G106" s="20"/>
    </row>
    <row r="107" spans="1:8" ht="17.100000000000001" customHeight="1" x14ac:dyDescent="0.2">
      <c r="A107" s="18"/>
      <c r="B107" s="99" t="s">
        <v>96</v>
      </c>
      <c r="C107" s="100"/>
      <c r="D107" s="6" t="s">
        <v>12</v>
      </c>
      <c r="E107" s="21"/>
      <c r="F107" s="20"/>
      <c r="G107" s="20"/>
    </row>
    <row r="108" spans="1:8" x14ac:dyDescent="0.2">
      <c r="A108" s="22"/>
      <c r="B108" s="23" t="s">
        <v>12</v>
      </c>
      <c r="C108" s="23" t="s">
        <v>531</v>
      </c>
      <c r="D108" s="23" t="s">
        <v>97</v>
      </c>
      <c r="E108" s="22"/>
      <c r="F108" s="22"/>
      <c r="G108" s="22"/>
      <c r="H108" s="87"/>
    </row>
    <row r="109" spans="1:8" ht="18" customHeight="1" x14ac:dyDescent="0.2">
      <c r="A109" s="22"/>
      <c r="B109" s="24" t="s">
        <v>98</v>
      </c>
      <c r="C109" s="98" t="s">
        <v>594</v>
      </c>
      <c r="D109" s="98" t="s">
        <v>529</v>
      </c>
      <c r="E109" s="22"/>
      <c r="F109" s="22"/>
      <c r="G109" s="22"/>
    </row>
    <row r="110" spans="1:8" ht="17.100000000000001" customHeight="1" x14ac:dyDescent="0.2">
      <c r="A110" s="22"/>
      <c r="B110" s="9" t="s">
        <v>99</v>
      </c>
      <c r="C110" s="25">
        <v>39.664400000000001</v>
      </c>
      <c r="D110" s="25">
        <v>39.823700000000002</v>
      </c>
      <c r="E110" s="22"/>
      <c r="F110" s="19"/>
      <c r="G110" s="26"/>
    </row>
    <row r="111" spans="1:8" ht="17.100000000000001" customHeight="1" x14ac:dyDescent="0.2">
      <c r="A111" s="22"/>
      <c r="B111" s="9" t="s">
        <v>136</v>
      </c>
      <c r="C111" s="25">
        <v>19.8429</v>
      </c>
      <c r="D111" s="25">
        <v>19.922499999999999</v>
      </c>
      <c r="E111" s="22"/>
      <c r="F111" s="19"/>
      <c r="G111" s="26"/>
    </row>
    <row r="112" spans="1:8" ht="29.1" customHeight="1" x14ac:dyDescent="0.2">
      <c r="A112" s="22"/>
      <c r="B112" s="9" t="s">
        <v>547</v>
      </c>
      <c r="C112" s="25">
        <v>10.23</v>
      </c>
      <c r="D112" s="25">
        <v>10.23</v>
      </c>
      <c r="E112" s="22"/>
      <c r="F112" s="19"/>
      <c r="G112" s="26"/>
    </row>
    <row r="113" spans="1:7" ht="29.1" customHeight="1" x14ac:dyDescent="0.2">
      <c r="A113" s="22"/>
      <c r="B113" s="9" t="s">
        <v>548</v>
      </c>
      <c r="C113" s="25">
        <v>12.889200000000001</v>
      </c>
      <c r="D113" s="25">
        <v>12.941000000000001</v>
      </c>
      <c r="E113" s="22"/>
      <c r="F113" s="19"/>
      <c r="G113" s="26"/>
    </row>
    <row r="114" spans="1:7" ht="29.1" customHeight="1" x14ac:dyDescent="0.2">
      <c r="A114" s="22"/>
      <c r="B114" s="9" t="s">
        <v>544</v>
      </c>
      <c r="C114" s="25">
        <v>11.5837</v>
      </c>
      <c r="D114" s="25">
        <v>11.542</v>
      </c>
      <c r="E114" s="22"/>
      <c r="F114" s="19"/>
      <c r="G114" s="26"/>
    </row>
    <row r="115" spans="1:7" ht="17.100000000000001" customHeight="1" x14ac:dyDescent="0.2">
      <c r="A115" s="22"/>
      <c r="B115" s="9" t="s">
        <v>137</v>
      </c>
      <c r="C115" s="25">
        <v>35.2986</v>
      </c>
      <c r="D115" s="25">
        <v>35.438299999999998</v>
      </c>
      <c r="E115" s="22"/>
      <c r="F115" s="19"/>
      <c r="G115" s="26"/>
    </row>
    <row r="116" spans="1:7" ht="29.1" customHeight="1" x14ac:dyDescent="0.2">
      <c r="A116" s="22"/>
      <c r="B116" s="9" t="s">
        <v>549</v>
      </c>
      <c r="C116" s="25">
        <v>11.5398</v>
      </c>
      <c r="D116" s="25">
        <v>11.4992</v>
      </c>
      <c r="E116" s="22"/>
      <c r="F116" s="19"/>
      <c r="G116" s="26"/>
    </row>
    <row r="117" spans="1:7" ht="17.100000000000001" customHeight="1" x14ac:dyDescent="0.2">
      <c r="A117" s="22"/>
      <c r="B117" s="9" t="s">
        <v>100</v>
      </c>
      <c r="C117" s="25">
        <v>39.170400000000001</v>
      </c>
      <c r="D117" s="25">
        <v>39.325400000000002</v>
      </c>
      <c r="E117" s="22"/>
      <c r="F117" s="19"/>
      <c r="G117" s="26"/>
    </row>
    <row r="118" spans="1:7" ht="17.100000000000001" customHeight="1" x14ac:dyDescent="0.2">
      <c r="A118" s="22"/>
      <c r="B118" s="9" t="s">
        <v>138</v>
      </c>
      <c r="C118" s="25">
        <v>19.752500000000001</v>
      </c>
      <c r="D118" s="25">
        <v>19.8307</v>
      </c>
      <c r="E118" s="22"/>
      <c r="F118" s="19"/>
      <c r="G118" s="26"/>
    </row>
    <row r="119" spans="1:7" ht="29.1" customHeight="1" x14ac:dyDescent="0.2">
      <c r="A119" s="22"/>
      <c r="B119" s="9" t="s">
        <v>550</v>
      </c>
      <c r="C119" s="25">
        <v>10.355</v>
      </c>
      <c r="D119" s="25">
        <v>10.355</v>
      </c>
      <c r="E119" s="22"/>
      <c r="F119" s="19"/>
      <c r="G119" s="26"/>
    </row>
    <row r="120" spans="1:7" ht="29.1" customHeight="1" x14ac:dyDescent="0.2">
      <c r="A120" s="22"/>
      <c r="B120" s="9" t="s">
        <v>551</v>
      </c>
      <c r="C120" s="25">
        <v>12.1137</v>
      </c>
      <c r="D120" s="25">
        <v>12.104200000000001</v>
      </c>
      <c r="E120" s="22"/>
      <c r="F120" s="19"/>
      <c r="G120" s="26"/>
    </row>
    <row r="121" spans="1:7" ht="29.1" customHeight="1" x14ac:dyDescent="0.2">
      <c r="A121" s="22"/>
      <c r="B121" s="9" t="s">
        <v>546</v>
      </c>
      <c r="C121" s="25">
        <v>11.6358</v>
      </c>
      <c r="D121" s="25">
        <v>11.5945</v>
      </c>
      <c r="E121" s="22"/>
      <c r="F121" s="19"/>
      <c r="G121" s="26"/>
    </row>
    <row r="122" spans="1:7" ht="14.1" customHeight="1" x14ac:dyDescent="0.2">
      <c r="A122" s="22"/>
      <c r="B122" s="22"/>
      <c r="C122" s="22"/>
      <c r="D122" s="22"/>
      <c r="E122" s="22"/>
      <c r="F122" s="22"/>
      <c r="G122" s="22"/>
    </row>
    <row r="123" spans="1:7" ht="17.100000000000001" customHeight="1" x14ac:dyDescent="0.2">
      <c r="A123" s="22"/>
      <c r="B123" s="99" t="s">
        <v>540</v>
      </c>
      <c r="C123" s="100"/>
      <c r="D123" s="2" t="s">
        <v>12</v>
      </c>
      <c r="E123" s="22"/>
      <c r="F123" s="22"/>
      <c r="G123" s="22"/>
    </row>
    <row r="124" spans="1:7" ht="18" customHeight="1" x14ac:dyDescent="0.2">
      <c r="A124" s="22"/>
      <c r="B124" s="27" t="s">
        <v>98</v>
      </c>
      <c r="C124" s="28" t="s">
        <v>101</v>
      </c>
      <c r="D124" s="28" t="s">
        <v>102</v>
      </c>
      <c r="E124" s="22"/>
      <c r="F124" s="22"/>
      <c r="G124" s="22"/>
    </row>
    <row r="125" spans="1:7" ht="29.1" customHeight="1" x14ac:dyDescent="0.2">
      <c r="A125" s="22"/>
      <c r="B125" s="9" t="s">
        <v>547</v>
      </c>
      <c r="C125" s="29">
        <v>4.1002999999999998E-2</v>
      </c>
      <c r="D125" s="13" t="s">
        <v>103</v>
      </c>
      <c r="E125" s="22"/>
      <c r="F125" s="19"/>
      <c r="G125" s="26"/>
    </row>
    <row r="126" spans="1:7" ht="29.1" customHeight="1" x14ac:dyDescent="0.2">
      <c r="A126" s="22"/>
      <c r="B126" s="9" t="s">
        <v>544</v>
      </c>
      <c r="C126" s="29">
        <v>8.7999999999999995E-2</v>
      </c>
      <c r="D126" s="13" t="s">
        <v>103</v>
      </c>
      <c r="E126" s="22"/>
      <c r="F126" s="19"/>
      <c r="G126" s="26"/>
    </row>
    <row r="127" spans="1:7" ht="29.1" customHeight="1" x14ac:dyDescent="0.2">
      <c r="A127" s="22"/>
      <c r="B127" s="9" t="s">
        <v>549</v>
      </c>
      <c r="C127" s="29">
        <v>8.6099999999999996E-2</v>
      </c>
      <c r="D127" s="29">
        <v>8.6099999999999996E-2</v>
      </c>
      <c r="E127" s="22"/>
      <c r="F127" s="19"/>
      <c r="G127" s="26"/>
    </row>
    <row r="128" spans="1:7" ht="29.1" customHeight="1" x14ac:dyDescent="0.2">
      <c r="A128" s="22"/>
      <c r="B128" s="9" t="s">
        <v>550</v>
      </c>
      <c r="C128" s="29">
        <v>4.0898999999999998E-2</v>
      </c>
      <c r="D128" s="13" t="s">
        <v>103</v>
      </c>
      <c r="E128" s="22"/>
      <c r="F128" s="19"/>
      <c r="G128" s="26"/>
    </row>
    <row r="129" spans="1:15" ht="29.1" customHeight="1" x14ac:dyDescent="0.2">
      <c r="A129" s="22"/>
      <c r="B129" s="9" t="s">
        <v>551</v>
      </c>
      <c r="C129" s="29">
        <v>6.6799999999999998E-2</v>
      </c>
      <c r="D129" s="13" t="s">
        <v>103</v>
      </c>
      <c r="E129" s="22"/>
      <c r="F129" s="19"/>
      <c r="G129" s="26"/>
    </row>
    <row r="130" spans="1:15" ht="29.1" customHeight="1" x14ac:dyDescent="0.2">
      <c r="A130" s="22"/>
      <c r="B130" s="9" t="s">
        <v>546</v>
      </c>
      <c r="C130" s="29">
        <v>8.7099999999999997E-2</v>
      </c>
      <c r="D130" s="29">
        <v>8.7099999999999997E-2</v>
      </c>
      <c r="E130" s="22"/>
      <c r="F130" s="19"/>
      <c r="G130" s="26"/>
    </row>
    <row r="131" spans="1:15" x14ac:dyDescent="0.2">
      <c r="A131" s="22"/>
      <c r="B131" s="19"/>
      <c r="C131" s="19"/>
      <c r="D131" s="22"/>
      <c r="E131" s="22"/>
      <c r="F131" s="22"/>
      <c r="G131" s="22"/>
    </row>
    <row r="132" spans="1:15" s="47" customFormat="1" ht="17.100000000000001" customHeight="1" x14ac:dyDescent="0.2">
      <c r="A132" s="26"/>
      <c r="B132" s="99" t="s">
        <v>595</v>
      </c>
      <c r="C132" s="100"/>
      <c r="D132" s="2" t="s">
        <v>94</v>
      </c>
      <c r="E132" s="26"/>
      <c r="F132" s="19"/>
      <c r="G132" s="26"/>
      <c r="I132"/>
      <c r="J132" s="45"/>
      <c r="K132" s="45"/>
      <c r="L132" s="45"/>
      <c r="M132" s="45"/>
      <c r="N132" s="45"/>
      <c r="O132" s="53"/>
    </row>
    <row r="133" spans="1:15" x14ac:dyDescent="0.2">
      <c r="A133" s="22"/>
      <c r="B133" s="99" t="s">
        <v>596</v>
      </c>
      <c r="C133" s="100"/>
      <c r="D133" s="2" t="s">
        <v>94</v>
      </c>
      <c r="E133" s="32"/>
      <c r="F133" s="22"/>
      <c r="G133" s="22"/>
    </row>
    <row r="134" spans="1:15" x14ac:dyDescent="0.2">
      <c r="A134" s="22"/>
      <c r="B134" s="99" t="s">
        <v>591</v>
      </c>
      <c r="C134" s="100"/>
      <c r="D134" s="2" t="s">
        <v>94</v>
      </c>
      <c r="E134" s="32"/>
      <c r="F134" s="22"/>
      <c r="G134" s="22"/>
    </row>
    <row r="135" spans="1:15" x14ac:dyDescent="0.2">
      <c r="A135" s="22"/>
      <c r="B135" s="99" t="s">
        <v>597</v>
      </c>
      <c r="C135" s="100"/>
      <c r="D135" s="2" t="s">
        <v>94</v>
      </c>
      <c r="E135" s="32"/>
      <c r="F135" s="22"/>
      <c r="G135" s="22"/>
    </row>
    <row r="136" spans="1:15" x14ac:dyDescent="0.2">
      <c r="A136" s="34"/>
      <c r="B136" s="34"/>
      <c r="C136" s="34"/>
      <c r="D136" s="34"/>
      <c r="E136" s="34"/>
      <c r="F136" s="34"/>
      <c r="G136" s="34"/>
    </row>
    <row r="137" spans="1:15" s="47" customFormat="1" x14ac:dyDescent="0.2">
      <c r="B137" s="106" t="s">
        <v>497</v>
      </c>
      <c r="C137" s="107"/>
      <c r="D137" s="108"/>
      <c r="I137"/>
      <c r="J137" s="37"/>
      <c r="K137" s="45"/>
      <c r="L137" s="45"/>
      <c r="M137" s="45"/>
      <c r="N137" s="45"/>
      <c r="O137" s="53"/>
    </row>
    <row r="138" spans="1:15" s="47" customFormat="1" ht="38.25" x14ac:dyDescent="0.2">
      <c r="B138" s="114" t="s">
        <v>498</v>
      </c>
      <c r="C138" s="114"/>
      <c r="D138" s="48" t="s">
        <v>106</v>
      </c>
      <c r="I138"/>
      <c r="J138" s="37"/>
      <c r="K138" s="45"/>
      <c r="L138" s="45"/>
      <c r="M138" s="45"/>
      <c r="N138" s="45"/>
      <c r="O138" s="53"/>
    </row>
    <row r="139" spans="1:15" s="47" customFormat="1" x14ac:dyDescent="0.2">
      <c r="B139" s="115" t="s">
        <v>499</v>
      </c>
      <c r="C139" s="115"/>
      <c r="D139" s="49"/>
      <c r="I139"/>
      <c r="J139" s="37"/>
      <c r="K139" s="45"/>
      <c r="L139" s="45"/>
      <c r="M139" s="45"/>
      <c r="N139" s="45"/>
      <c r="O139" s="53"/>
    </row>
    <row r="140" spans="1:15" s="47" customFormat="1" x14ac:dyDescent="0.2">
      <c r="B140" s="115"/>
      <c r="C140" s="115"/>
      <c r="D140" s="50"/>
      <c r="I140"/>
      <c r="J140" s="37"/>
      <c r="K140" s="45"/>
      <c r="L140" s="45"/>
      <c r="M140" s="45"/>
      <c r="N140" s="45"/>
      <c r="O140" s="53"/>
    </row>
    <row r="141" spans="1:15" s="47" customFormat="1" x14ac:dyDescent="0.2">
      <c r="B141" s="115" t="s">
        <v>500</v>
      </c>
      <c r="C141" s="115"/>
      <c r="D141" s="33">
        <v>7.5168592001650563</v>
      </c>
      <c r="I141"/>
      <c r="J141" s="37"/>
      <c r="K141" s="45"/>
      <c r="L141" s="45"/>
      <c r="M141" s="45"/>
      <c r="N141" s="45"/>
      <c r="O141" s="53"/>
    </row>
    <row r="142" spans="1:15" s="47" customFormat="1" x14ac:dyDescent="0.2">
      <c r="B142" s="115"/>
      <c r="C142" s="115"/>
      <c r="D142" s="50"/>
      <c r="I142"/>
      <c r="J142" s="37"/>
      <c r="K142" s="45"/>
      <c r="L142" s="45"/>
      <c r="M142" s="45"/>
      <c r="N142" s="45"/>
      <c r="O142" s="53"/>
    </row>
    <row r="143" spans="1:15" s="47" customFormat="1" x14ac:dyDescent="0.2">
      <c r="B143" s="115" t="s">
        <v>501</v>
      </c>
      <c r="C143" s="115"/>
      <c r="D143" s="33">
        <v>3.1537180704951018</v>
      </c>
      <c r="I143"/>
      <c r="J143" s="37"/>
      <c r="K143" s="45"/>
      <c r="L143" s="45"/>
      <c r="M143" s="45"/>
      <c r="N143" s="45"/>
      <c r="O143" s="53"/>
    </row>
    <row r="144" spans="1:15" s="47" customFormat="1" x14ac:dyDescent="0.2">
      <c r="B144" s="115" t="s">
        <v>502</v>
      </c>
      <c r="C144" s="115"/>
      <c r="D144" s="33">
        <v>3.7901947203867361</v>
      </c>
      <c r="I144"/>
      <c r="J144" s="37"/>
      <c r="K144" s="45"/>
      <c r="L144" s="45"/>
      <c r="M144" s="45"/>
      <c r="N144" s="45"/>
      <c r="O144" s="53"/>
    </row>
    <row r="145" spans="2:18" s="47" customFormat="1" x14ac:dyDescent="0.2">
      <c r="B145" s="115"/>
      <c r="C145" s="115"/>
      <c r="D145" s="50"/>
      <c r="I145"/>
      <c r="J145" s="37"/>
      <c r="K145" s="45"/>
      <c r="L145" s="45"/>
      <c r="M145" s="45"/>
      <c r="N145" s="45"/>
      <c r="O145" s="53"/>
      <c r="R145"/>
    </row>
    <row r="146" spans="2:18" s="47" customFormat="1" x14ac:dyDescent="0.2">
      <c r="B146" s="115" t="s">
        <v>503</v>
      </c>
      <c r="C146" s="115"/>
      <c r="D146" s="52" t="s">
        <v>529</v>
      </c>
      <c r="I146"/>
      <c r="J146" s="37"/>
      <c r="K146" s="45"/>
      <c r="L146" s="45"/>
      <c r="M146" s="45"/>
      <c r="N146" s="45"/>
      <c r="O146" s="53"/>
      <c r="R146"/>
    </row>
    <row r="147" spans="2:18" s="47" customFormat="1" x14ac:dyDescent="0.2">
      <c r="B147" s="116" t="s">
        <v>504</v>
      </c>
      <c r="C147" s="117"/>
      <c r="D147" s="118"/>
      <c r="I147"/>
      <c r="J147" s="37"/>
      <c r="K147" s="45"/>
      <c r="L147" s="45"/>
      <c r="M147" s="45"/>
      <c r="N147" s="45"/>
      <c r="O147" s="53"/>
      <c r="R147"/>
    </row>
  </sheetData>
  <mergeCells count="26">
    <mergeCell ref="B147:D147"/>
    <mergeCell ref="B142:C142"/>
    <mergeCell ref="B143:C143"/>
    <mergeCell ref="B144:C144"/>
    <mergeCell ref="B145:C145"/>
    <mergeCell ref="B146:C146"/>
    <mergeCell ref="B137:D137"/>
    <mergeCell ref="B138:C138"/>
    <mergeCell ref="B139:C139"/>
    <mergeCell ref="B140:C140"/>
    <mergeCell ref="B141:C141"/>
    <mergeCell ref="B134:C134"/>
    <mergeCell ref="B135:C135"/>
    <mergeCell ref="B132:C132"/>
    <mergeCell ref="A1:H1"/>
    <mergeCell ref="A2:H2"/>
    <mergeCell ref="A3:H3"/>
    <mergeCell ref="B104:D104"/>
    <mergeCell ref="B105:C105"/>
    <mergeCell ref="B106:C106"/>
    <mergeCell ref="B107:C107"/>
    <mergeCell ref="B123:C123"/>
    <mergeCell ref="B133:C133"/>
    <mergeCell ref="B100:H100"/>
    <mergeCell ref="B101:H101"/>
    <mergeCell ref="B102:H102"/>
  </mergeCells>
  <hyperlinks>
    <hyperlink ref="I1" location="Index!B3" display="Index" xr:uid="{A9757724-A70A-424E-935C-608FFAB11E3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4AD81-CDD1-4E44-B5E7-6CB4E9855479}">
  <sheetPr>
    <outlinePr summaryBelow="0" summaryRight="0"/>
  </sheetPr>
  <dimension ref="A1:R138"/>
  <sheetViews>
    <sheetView showGridLines="0" workbookViewId="0">
      <selection activeCell="H141" sqref="H141"/>
    </sheetView>
  </sheetViews>
  <sheetFormatPr defaultRowHeight="12.75" x14ac:dyDescent="0.2"/>
  <cols>
    <col min="1" max="1" width="5.85546875" bestFit="1" customWidth="1"/>
    <col min="2" max="2" width="20.28515625" bestFit="1" customWidth="1"/>
    <col min="3" max="3" width="43.85546875" customWidth="1"/>
    <col min="4" max="4" width="11.7109375" customWidth="1"/>
    <col min="5" max="5" width="8.7109375" bestFit="1" customWidth="1"/>
    <col min="6" max="6" width="15.140625" bestFit="1" customWidth="1"/>
    <col min="7" max="7" width="14" bestFit="1" customWidth="1"/>
    <col min="8" max="8" width="8.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139</v>
      </c>
      <c r="B2" s="101"/>
      <c r="C2" s="101"/>
      <c r="D2" s="101"/>
      <c r="E2" s="101"/>
      <c r="F2" s="101"/>
      <c r="G2" s="101"/>
      <c r="H2" s="101"/>
      <c r="J2" s="38" t="s">
        <v>570</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491</v>
      </c>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1"/>
      <c r="B7" s="1"/>
      <c r="C7" s="2" t="s">
        <v>11</v>
      </c>
      <c r="D7" s="1"/>
      <c r="E7" s="1" t="s">
        <v>12</v>
      </c>
      <c r="F7" s="3" t="s">
        <v>13</v>
      </c>
      <c r="G7" s="4">
        <v>0</v>
      </c>
      <c r="H7" s="40" t="s">
        <v>12</v>
      </c>
    </row>
    <row r="8" spans="1:10" x14ac:dyDescent="0.2">
      <c r="A8" s="1"/>
      <c r="B8" s="1"/>
      <c r="C8" s="5"/>
      <c r="D8" s="1"/>
      <c r="E8" s="1"/>
      <c r="F8" s="6"/>
      <c r="G8" s="6"/>
      <c r="H8" s="40" t="s">
        <v>12</v>
      </c>
    </row>
    <row r="9" spans="1:10" x14ac:dyDescent="0.2">
      <c r="A9" s="1"/>
      <c r="B9" s="1"/>
      <c r="C9" s="2" t="s">
        <v>14</v>
      </c>
      <c r="D9" s="1"/>
      <c r="E9" s="1"/>
      <c r="F9" s="1"/>
      <c r="G9" s="1"/>
      <c r="H9" s="40" t="s">
        <v>12</v>
      </c>
    </row>
    <row r="10" spans="1:10" x14ac:dyDescent="0.2">
      <c r="A10" s="1"/>
      <c r="B10" s="1"/>
      <c r="C10" s="2" t="s">
        <v>11</v>
      </c>
      <c r="D10" s="1"/>
      <c r="E10" s="1" t="s">
        <v>12</v>
      </c>
      <c r="F10" s="3" t="s">
        <v>13</v>
      </c>
      <c r="G10" s="4">
        <v>0</v>
      </c>
      <c r="H10" s="40" t="s">
        <v>12</v>
      </c>
    </row>
    <row r="11" spans="1:10" x14ac:dyDescent="0.2">
      <c r="A11" s="1"/>
      <c r="B11" s="1"/>
      <c r="C11" s="5"/>
      <c r="D11" s="1"/>
      <c r="E11" s="1"/>
      <c r="F11" s="6"/>
      <c r="G11" s="6"/>
      <c r="H11" s="40" t="s">
        <v>12</v>
      </c>
    </row>
    <row r="12" spans="1:10" ht="15" x14ac:dyDescent="0.2">
      <c r="A12" s="1"/>
      <c r="B12" s="1"/>
      <c r="C12" s="2" t="s">
        <v>15</v>
      </c>
      <c r="D12" s="1"/>
      <c r="E12" s="1"/>
      <c r="F12" s="1"/>
      <c r="G12" s="1"/>
      <c r="H12" s="40" t="s">
        <v>12</v>
      </c>
      <c r="J12" s="97"/>
    </row>
    <row r="13" spans="1:10" x14ac:dyDescent="0.2">
      <c r="A13" s="1"/>
      <c r="B13" s="1"/>
      <c r="C13" s="2" t="s">
        <v>11</v>
      </c>
      <c r="D13" s="1"/>
      <c r="E13" s="1" t="s">
        <v>12</v>
      </c>
      <c r="F13" s="3" t="s">
        <v>13</v>
      </c>
      <c r="G13" s="4">
        <v>0</v>
      </c>
      <c r="H13" s="40" t="s">
        <v>12</v>
      </c>
      <c r="J13" s="89"/>
    </row>
    <row r="14" spans="1:10" x14ac:dyDescent="0.2">
      <c r="A14" s="1"/>
      <c r="B14" s="1"/>
      <c r="C14" s="5"/>
      <c r="D14" s="1"/>
      <c r="E14" s="1"/>
      <c r="F14" s="6"/>
      <c r="G14" s="6"/>
      <c r="H14" s="40" t="s">
        <v>12</v>
      </c>
    </row>
    <row r="15" spans="1:10" ht="25.5" x14ac:dyDescent="0.2">
      <c r="A15" s="1"/>
      <c r="B15" s="1"/>
      <c r="C15" s="2" t="s">
        <v>16</v>
      </c>
      <c r="D15" s="1"/>
      <c r="E15" s="1"/>
      <c r="F15" s="1"/>
      <c r="G15" s="1"/>
      <c r="H15" s="40" t="s">
        <v>12</v>
      </c>
      <c r="J15" s="89" t="s">
        <v>574</v>
      </c>
    </row>
    <row r="16" spans="1:10" x14ac:dyDescent="0.2">
      <c r="A16" s="1"/>
      <c r="B16" s="1"/>
      <c r="C16" s="2" t="s">
        <v>11</v>
      </c>
      <c r="D16" s="1"/>
      <c r="E16" s="1" t="s">
        <v>12</v>
      </c>
      <c r="F16" s="3" t="s">
        <v>13</v>
      </c>
      <c r="G16" s="4">
        <v>0</v>
      </c>
      <c r="H16" s="40" t="s">
        <v>12</v>
      </c>
    </row>
    <row r="17" spans="1:10" x14ac:dyDescent="0.2">
      <c r="A17" s="1"/>
      <c r="B17" s="1"/>
      <c r="C17" s="5"/>
      <c r="D17" s="1"/>
      <c r="E17" s="1"/>
      <c r="F17" s="6"/>
      <c r="G17" s="6"/>
      <c r="H17" s="40" t="s">
        <v>12</v>
      </c>
    </row>
    <row r="18" spans="1:10" x14ac:dyDescent="0.2">
      <c r="A18" s="1"/>
      <c r="B18" s="1"/>
      <c r="C18" s="2" t="s">
        <v>17</v>
      </c>
      <c r="D18" s="1"/>
      <c r="E18" s="1"/>
      <c r="F18" s="6"/>
      <c r="G18" s="6"/>
      <c r="H18" s="40" t="s">
        <v>12</v>
      </c>
    </row>
    <row r="19" spans="1:10" x14ac:dyDescent="0.2">
      <c r="A19" s="1"/>
      <c r="B19" s="1"/>
      <c r="C19" s="2" t="s">
        <v>11</v>
      </c>
      <c r="D19" s="1"/>
      <c r="E19" s="1" t="s">
        <v>12</v>
      </c>
      <c r="F19" s="3" t="s">
        <v>13</v>
      </c>
      <c r="G19" s="4">
        <v>0</v>
      </c>
      <c r="H19" s="40" t="s">
        <v>12</v>
      </c>
    </row>
    <row r="20" spans="1:10" x14ac:dyDescent="0.2">
      <c r="A20" s="1"/>
      <c r="B20" s="1"/>
      <c r="C20" s="5"/>
      <c r="D20" s="1"/>
      <c r="E20" s="1"/>
      <c r="F20" s="6"/>
      <c r="G20" s="6"/>
      <c r="H20" s="40" t="s">
        <v>12</v>
      </c>
    </row>
    <row r="21" spans="1:10" x14ac:dyDescent="0.2">
      <c r="A21" s="1"/>
      <c r="B21" s="1"/>
      <c r="C21" s="2" t="s">
        <v>18</v>
      </c>
      <c r="D21" s="1"/>
      <c r="E21" s="1"/>
      <c r="F21" s="6"/>
      <c r="G21" s="6"/>
      <c r="H21" s="40" t="s">
        <v>12</v>
      </c>
    </row>
    <row r="22" spans="1:10" ht="15" x14ac:dyDescent="0.2">
      <c r="A22" s="1"/>
      <c r="B22" s="1"/>
      <c r="C22" s="2" t="s">
        <v>11</v>
      </c>
      <c r="D22" s="1"/>
      <c r="E22" s="1" t="s">
        <v>12</v>
      </c>
      <c r="F22" s="3" t="s">
        <v>13</v>
      </c>
      <c r="G22" s="4">
        <v>0</v>
      </c>
      <c r="H22" s="40" t="s">
        <v>12</v>
      </c>
      <c r="J22" s="97"/>
    </row>
    <row r="23" spans="1:10" x14ac:dyDescent="0.2">
      <c r="A23" s="1"/>
      <c r="B23" s="1"/>
      <c r="C23" s="5"/>
      <c r="D23" s="1"/>
      <c r="E23" s="1"/>
      <c r="F23" s="6"/>
      <c r="G23" s="6"/>
      <c r="H23" s="40" t="s">
        <v>12</v>
      </c>
      <c r="J23" s="89"/>
    </row>
    <row r="24" spans="1:10" x14ac:dyDescent="0.2">
      <c r="A24" s="1"/>
      <c r="B24" s="1"/>
      <c r="C24" s="2" t="s">
        <v>19</v>
      </c>
      <c r="D24" s="1"/>
      <c r="E24" s="1"/>
      <c r="F24" s="7">
        <v>0</v>
      </c>
      <c r="G24" s="4">
        <v>0</v>
      </c>
      <c r="H24" s="40" t="s">
        <v>12</v>
      </c>
    </row>
    <row r="25" spans="1:10" x14ac:dyDescent="0.2">
      <c r="A25" s="1"/>
      <c r="B25" s="1"/>
      <c r="C25" s="5"/>
      <c r="D25" s="1"/>
      <c r="E25" s="1"/>
      <c r="F25" s="6"/>
      <c r="G25" s="6"/>
      <c r="H25" s="40" t="s">
        <v>12</v>
      </c>
    </row>
    <row r="26" spans="1:10" x14ac:dyDescent="0.2">
      <c r="A26" s="1"/>
      <c r="B26" s="1"/>
      <c r="C26" s="2" t="s">
        <v>20</v>
      </c>
      <c r="D26" s="1"/>
      <c r="E26" s="1"/>
      <c r="F26" s="6"/>
      <c r="G26" s="6"/>
      <c r="H26" s="40" t="s">
        <v>12</v>
      </c>
    </row>
    <row r="27" spans="1:10" x14ac:dyDescent="0.2">
      <c r="A27" s="1"/>
      <c r="B27" s="1"/>
      <c r="C27" s="2" t="s">
        <v>10</v>
      </c>
      <c r="D27" s="1"/>
      <c r="E27" s="1"/>
      <c r="F27" s="6"/>
      <c r="G27" s="6"/>
      <c r="H27" s="40" t="s">
        <v>12</v>
      </c>
    </row>
    <row r="28" spans="1:10" ht="25.5" x14ac:dyDescent="0.2">
      <c r="A28" s="1"/>
      <c r="B28" s="1"/>
      <c r="C28" s="2" t="s">
        <v>11</v>
      </c>
      <c r="D28" s="1"/>
      <c r="E28" s="1" t="s">
        <v>12</v>
      </c>
      <c r="F28" s="3" t="s">
        <v>13</v>
      </c>
      <c r="G28" s="4">
        <v>0</v>
      </c>
      <c r="H28" s="40" t="s">
        <v>12</v>
      </c>
      <c r="J28" s="89" t="s">
        <v>575</v>
      </c>
    </row>
    <row r="29" spans="1:10" x14ac:dyDescent="0.2">
      <c r="A29" s="1"/>
      <c r="B29" s="1"/>
      <c r="C29" s="5"/>
      <c r="D29" s="1"/>
      <c r="E29" s="1"/>
      <c r="F29" s="6"/>
      <c r="G29" s="6"/>
      <c r="H29" s="40" t="s">
        <v>12</v>
      </c>
      <c r="J29" s="89"/>
    </row>
    <row r="30" spans="1:10" x14ac:dyDescent="0.2">
      <c r="A30" s="1"/>
      <c r="B30" s="1"/>
      <c r="C30" s="2" t="s">
        <v>63</v>
      </c>
      <c r="D30" s="1"/>
      <c r="E30" s="1"/>
      <c r="F30" s="1"/>
      <c r="G30" s="1"/>
      <c r="H30" s="40" t="s">
        <v>12</v>
      </c>
    </row>
    <row r="31" spans="1:10" x14ac:dyDescent="0.2">
      <c r="A31" s="1"/>
      <c r="B31" s="1"/>
      <c r="C31" s="2" t="s">
        <v>11</v>
      </c>
      <c r="D31" s="1"/>
      <c r="E31" s="1" t="s">
        <v>12</v>
      </c>
      <c r="F31" s="3" t="s">
        <v>13</v>
      </c>
      <c r="G31" s="4">
        <v>0</v>
      </c>
      <c r="H31" s="40" t="s">
        <v>12</v>
      </c>
    </row>
    <row r="32" spans="1:10" x14ac:dyDescent="0.2">
      <c r="A32" s="1"/>
      <c r="B32" s="1"/>
      <c r="C32" s="5"/>
      <c r="D32" s="1"/>
      <c r="E32" s="1"/>
      <c r="F32" s="6"/>
      <c r="G32" s="6"/>
      <c r="H32" s="40" t="s">
        <v>12</v>
      </c>
    </row>
    <row r="33" spans="1:8" x14ac:dyDescent="0.2">
      <c r="A33" s="1"/>
      <c r="B33" s="1"/>
      <c r="C33" s="2" t="s">
        <v>64</v>
      </c>
      <c r="D33" s="1"/>
      <c r="E33" s="1"/>
      <c r="F33" s="1"/>
      <c r="G33" s="1"/>
      <c r="H33" s="40" t="s">
        <v>12</v>
      </c>
    </row>
    <row r="34" spans="1:8" x14ac:dyDescent="0.2">
      <c r="A34" s="1"/>
      <c r="B34" s="1"/>
      <c r="C34" s="2" t="s">
        <v>11</v>
      </c>
      <c r="D34" s="1"/>
      <c r="E34" s="1" t="s">
        <v>12</v>
      </c>
      <c r="F34" s="3" t="s">
        <v>13</v>
      </c>
      <c r="G34" s="4">
        <v>0</v>
      </c>
      <c r="H34" s="40" t="s">
        <v>12</v>
      </c>
    </row>
    <row r="35" spans="1:8" x14ac:dyDescent="0.2">
      <c r="A35" s="1"/>
      <c r="B35" s="1"/>
      <c r="C35" s="5"/>
      <c r="D35" s="1"/>
      <c r="E35" s="1"/>
      <c r="F35" s="6"/>
      <c r="G35" s="6"/>
      <c r="H35" s="40" t="s">
        <v>12</v>
      </c>
    </row>
    <row r="36" spans="1:8" x14ac:dyDescent="0.2">
      <c r="A36" s="1"/>
      <c r="B36" s="1"/>
      <c r="C36" s="2" t="s">
        <v>74</v>
      </c>
      <c r="D36" s="1"/>
      <c r="E36" s="1"/>
      <c r="F36" s="6"/>
      <c r="G36" s="6"/>
      <c r="H36" s="40" t="s">
        <v>12</v>
      </c>
    </row>
    <row r="37" spans="1:8" x14ac:dyDescent="0.2">
      <c r="A37" s="1"/>
      <c r="B37" s="1"/>
      <c r="C37" s="2" t="s">
        <v>11</v>
      </c>
      <c r="D37" s="1"/>
      <c r="E37" s="1" t="s">
        <v>12</v>
      </c>
      <c r="F37" s="3" t="s">
        <v>13</v>
      </c>
      <c r="G37" s="4">
        <v>0</v>
      </c>
      <c r="H37" s="40" t="s">
        <v>12</v>
      </c>
    </row>
    <row r="38" spans="1:8" x14ac:dyDescent="0.2">
      <c r="A38" s="1"/>
      <c r="B38" s="1"/>
      <c r="C38" s="5"/>
      <c r="D38" s="1"/>
      <c r="E38" s="1"/>
      <c r="F38" s="6"/>
      <c r="G38" s="6"/>
      <c r="H38" s="40" t="s">
        <v>12</v>
      </c>
    </row>
    <row r="39" spans="1:8" x14ac:dyDescent="0.2">
      <c r="A39" s="1"/>
      <c r="B39" s="1"/>
      <c r="C39" s="2" t="s">
        <v>75</v>
      </c>
      <c r="D39" s="1"/>
      <c r="E39" s="1"/>
      <c r="F39" s="7">
        <v>0</v>
      </c>
      <c r="G39" s="4">
        <v>0</v>
      </c>
      <c r="H39" s="40" t="s">
        <v>12</v>
      </c>
    </row>
    <row r="40" spans="1:8" x14ac:dyDescent="0.2">
      <c r="A40" s="1"/>
      <c r="B40" s="1"/>
      <c r="C40" s="5"/>
      <c r="D40" s="1"/>
      <c r="E40" s="1"/>
      <c r="F40" s="6"/>
      <c r="G40" s="6"/>
      <c r="H40" s="40" t="s">
        <v>12</v>
      </c>
    </row>
    <row r="41" spans="1:8" x14ac:dyDescent="0.2">
      <c r="A41" s="1"/>
      <c r="B41" s="1"/>
      <c r="C41" s="2" t="s">
        <v>76</v>
      </c>
      <c r="D41" s="1"/>
      <c r="E41" s="1"/>
      <c r="F41" s="6"/>
      <c r="G41" s="6"/>
      <c r="H41" s="40" t="s">
        <v>12</v>
      </c>
    </row>
    <row r="42" spans="1:8" x14ac:dyDescent="0.2">
      <c r="A42" s="1"/>
      <c r="B42" s="1"/>
      <c r="C42" s="2" t="s">
        <v>77</v>
      </c>
      <c r="D42" s="1"/>
      <c r="E42" s="1"/>
      <c r="F42" s="6"/>
      <c r="G42" s="6"/>
      <c r="H42" s="40" t="s">
        <v>12</v>
      </c>
    </row>
    <row r="43" spans="1:8" x14ac:dyDescent="0.2">
      <c r="A43" s="8">
        <v>1</v>
      </c>
      <c r="B43" s="9" t="s">
        <v>140</v>
      </c>
      <c r="C43" s="9" t="s">
        <v>141</v>
      </c>
      <c r="D43" s="9" t="s">
        <v>142</v>
      </c>
      <c r="E43" s="10">
        <v>300</v>
      </c>
      <c r="F43" s="11">
        <v>1422.867</v>
      </c>
      <c r="G43" s="12">
        <v>6.6914909999999994E-2</v>
      </c>
      <c r="H43" s="40">
        <v>7.4950000000000001</v>
      </c>
    </row>
    <row r="44" spans="1:8" x14ac:dyDescent="0.2">
      <c r="A44" s="8">
        <v>2</v>
      </c>
      <c r="B44" s="9" t="s">
        <v>143</v>
      </c>
      <c r="C44" s="9" t="s">
        <v>144</v>
      </c>
      <c r="D44" s="9" t="s">
        <v>133</v>
      </c>
      <c r="E44" s="10">
        <v>300</v>
      </c>
      <c r="F44" s="11">
        <v>1420.2795000000001</v>
      </c>
      <c r="G44" s="12">
        <v>6.6793229999999995E-2</v>
      </c>
      <c r="H44" s="40">
        <v>7.56</v>
      </c>
    </row>
    <row r="45" spans="1:8" x14ac:dyDescent="0.2">
      <c r="A45" s="8">
        <v>3</v>
      </c>
      <c r="B45" s="9" t="s">
        <v>145</v>
      </c>
      <c r="C45" s="9" t="s">
        <v>146</v>
      </c>
      <c r="D45" s="9" t="s">
        <v>133</v>
      </c>
      <c r="E45" s="10">
        <v>300</v>
      </c>
      <c r="F45" s="11">
        <v>1415.2004999999999</v>
      </c>
      <c r="G45" s="12">
        <v>6.6554370000000002E-2</v>
      </c>
      <c r="H45" s="40">
        <v>7.49</v>
      </c>
    </row>
    <row r="46" spans="1:8" x14ac:dyDescent="0.2">
      <c r="A46" s="8">
        <v>4</v>
      </c>
      <c r="B46" s="9" t="s">
        <v>147</v>
      </c>
      <c r="C46" s="9" t="s">
        <v>148</v>
      </c>
      <c r="D46" s="9" t="s">
        <v>133</v>
      </c>
      <c r="E46" s="10">
        <v>300</v>
      </c>
      <c r="F46" s="11">
        <v>1395.6285</v>
      </c>
      <c r="G46" s="12">
        <v>6.5633940000000002E-2</v>
      </c>
      <c r="H46" s="40">
        <v>7.6675000000000004</v>
      </c>
    </row>
    <row r="47" spans="1:8" ht="25.5" x14ac:dyDescent="0.2">
      <c r="A47" s="8">
        <v>5</v>
      </c>
      <c r="B47" s="9" t="s">
        <v>149</v>
      </c>
      <c r="C47" s="9" t="s">
        <v>150</v>
      </c>
      <c r="D47" s="9" t="s">
        <v>133</v>
      </c>
      <c r="E47" s="10">
        <v>200</v>
      </c>
      <c r="F47" s="11">
        <v>949.96299999999997</v>
      </c>
      <c r="G47" s="12">
        <v>4.4675079999999999E-2</v>
      </c>
      <c r="H47" s="40">
        <v>7.51</v>
      </c>
    </row>
    <row r="48" spans="1:8" x14ac:dyDescent="0.2">
      <c r="A48" s="8">
        <v>6</v>
      </c>
      <c r="B48" s="9" t="s">
        <v>151</v>
      </c>
      <c r="C48" s="9" t="s">
        <v>152</v>
      </c>
      <c r="D48" s="9" t="s">
        <v>133</v>
      </c>
      <c r="E48" s="10">
        <v>200</v>
      </c>
      <c r="F48" s="11">
        <v>948.154</v>
      </c>
      <c r="G48" s="12">
        <v>4.4589999999999998E-2</v>
      </c>
      <c r="H48" s="40">
        <v>7.56</v>
      </c>
    </row>
    <row r="49" spans="1:8" x14ac:dyDescent="0.2">
      <c r="A49" s="8">
        <v>7</v>
      </c>
      <c r="B49" s="9" t="s">
        <v>153</v>
      </c>
      <c r="C49" s="9" t="s">
        <v>154</v>
      </c>
      <c r="D49" s="9" t="s">
        <v>133</v>
      </c>
      <c r="E49" s="10">
        <v>200</v>
      </c>
      <c r="F49" s="11">
        <v>947.48900000000003</v>
      </c>
      <c r="G49" s="12">
        <v>4.4558729999999998E-2</v>
      </c>
      <c r="H49" s="40">
        <v>7.52</v>
      </c>
    </row>
    <row r="50" spans="1:8" x14ac:dyDescent="0.2">
      <c r="A50" s="8">
        <v>8</v>
      </c>
      <c r="B50" s="9" t="s">
        <v>155</v>
      </c>
      <c r="C50" s="9" t="s">
        <v>156</v>
      </c>
      <c r="D50" s="9" t="s">
        <v>133</v>
      </c>
      <c r="E50" s="10">
        <v>200</v>
      </c>
      <c r="F50" s="11">
        <v>945.09699999999998</v>
      </c>
      <c r="G50" s="12">
        <v>4.4446239999999998E-2</v>
      </c>
      <c r="H50" s="40">
        <v>7.6</v>
      </c>
    </row>
    <row r="51" spans="1:8" x14ac:dyDescent="0.2">
      <c r="A51" s="8">
        <v>9</v>
      </c>
      <c r="B51" s="9" t="s">
        <v>157</v>
      </c>
      <c r="C51" s="9" t="s">
        <v>158</v>
      </c>
      <c r="D51" s="9" t="s">
        <v>133</v>
      </c>
      <c r="E51" s="10">
        <v>140</v>
      </c>
      <c r="F51" s="11">
        <v>663.23599999999999</v>
      </c>
      <c r="G51" s="12">
        <v>3.1190809999999999E-2</v>
      </c>
      <c r="H51" s="40">
        <v>7.6349999999999998</v>
      </c>
    </row>
    <row r="52" spans="1:8" x14ac:dyDescent="0.2">
      <c r="A52" s="8">
        <v>10</v>
      </c>
      <c r="B52" s="9" t="s">
        <v>159</v>
      </c>
      <c r="C52" s="9" t="s">
        <v>160</v>
      </c>
      <c r="D52" s="9" t="s">
        <v>133</v>
      </c>
      <c r="E52" s="10">
        <v>140</v>
      </c>
      <c r="F52" s="11">
        <v>662.74950000000001</v>
      </c>
      <c r="G52" s="12">
        <v>3.116793E-2</v>
      </c>
      <c r="H52" s="40">
        <v>7.6550000000000002</v>
      </c>
    </row>
    <row r="53" spans="1:8" x14ac:dyDescent="0.2">
      <c r="A53" s="8">
        <v>11</v>
      </c>
      <c r="B53" s="9" t="s">
        <v>161</v>
      </c>
      <c r="C53" s="9" t="s">
        <v>162</v>
      </c>
      <c r="D53" s="9" t="s">
        <v>163</v>
      </c>
      <c r="E53" s="10">
        <v>100</v>
      </c>
      <c r="F53" s="11">
        <v>476.21949999999998</v>
      </c>
      <c r="G53" s="12">
        <v>2.2395760000000001E-2</v>
      </c>
      <c r="H53" s="40">
        <v>7.47</v>
      </c>
    </row>
    <row r="54" spans="1:8" x14ac:dyDescent="0.2">
      <c r="A54" s="8">
        <v>12</v>
      </c>
      <c r="B54" s="9" t="s">
        <v>164</v>
      </c>
      <c r="C54" s="9" t="s">
        <v>165</v>
      </c>
      <c r="D54" s="9" t="s">
        <v>133</v>
      </c>
      <c r="E54" s="10">
        <v>100</v>
      </c>
      <c r="F54" s="11">
        <v>475.387</v>
      </c>
      <c r="G54" s="12">
        <v>2.2356609999999999E-2</v>
      </c>
      <c r="H54" s="40">
        <v>7.62</v>
      </c>
    </row>
    <row r="55" spans="1:8" x14ac:dyDescent="0.2">
      <c r="A55" s="8">
        <v>13</v>
      </c>
      <c r="B55" s="9" t="s">
        <v>166</v>
      </c>
      <c r="C55" s="9" t="s">
        <v>167</v>
      </c>
      <c r="D55" s="9" t="s">
        <v>163</v>
      </c>
      <c r="E55" s="10">
        <v>100</v>
      </c>
      <c r="F55" s="11">
        <v>473.5265</v>
      </c>
      <c r="G55" s="12">
        <v>2.2269110000000002E-2</v>
      </c>
      <c r="H55" s="40">
        <v>7.53</v>
      </c>
    </row>
    <row r="56" spans="1:8" x14ac:dyDescent="0.2">
      <c r="A56" s="1"/>
      <c r="B56" s="1"/>
      <c r="C56" s="2" t="s">
        <v>11</v>
      </c>
      <c r="D56" s="1"/>
      <c r="E56" s="1" t="s">
        <v>12</v>
      </c>
      <c r="F56" s="7">
        <v>12195.797</v>
      </c>
      <c r="G56" s="4">
        <v>0.57354671999999995</v>
      </c>
      <c r="H56" s="40" t="s">
        <v>12</v>
      </c>
    </row>
    <row r="57" spans="1:8" x14ac:dyDescent="0.2">
      <c r="A57" s="1"/>
      <c r="B57" s="1"/>
      <c r="C57" s="5"/>
      <c r="D57" s="1"/>
      <c r="E57" s="1"/>
      <c r="F57" s="6"/>
      <c r="G57" s="6"/>
      <c r="H57" s="40" t="s">
        <v>12</v>
      </c>
    </row>
    <row r="58" spans="1:8" x14ac:dyDescent="0.2">
      <c r="A58" s="1"/>
      <c r="B58" s="1"/>
      <c r="C58" s="2" t="s">
        <v>78</v>
      </c>
      <c r="D58" s="1"/>
      <c r="E58" s="1"/>
      <c r="F58" s="6"/>
      <c r="G58" s="6"/>
      <c r="H58" s="40" t="s">
        <v>12</v>
      </c>
    </row>
    <row r="59" spans="1:8" ht="25.5" x14ac:dyDescent="0.2">
      <c r="A59" s="8">
        <v>1</v>
      </c>
      <c r="B59" s="9" t="s">
        <v>168</v>
      </c>
      <c r="C59" s="9" t="s">
        <v>169</v>
      </c>
      <c r="D59" s="9" t="s">
        <v>133</v>
      </c>
      <c r="E59" s="10">
        <v>200</v>
      </c>
      <c r="F59" s="11">
        <v>983.99099999999999</v>
      </c>
      <c r="G59" s="12">
        <v>4.627535E-2</v>
      </c>
      <c r="H59" s="40">
        <v>8.0250000000000004</v>
      </c>
    </row>
    <row r="60" spans="1:8" x14ac:dyDescent="0.2">
      <c r="A60" s="8">
        <v>2</v>
      </c>
      <c r="B60" s="9" t="s">
        <v>170</v>
      </c>
      <c r="C60" s="9" t="s">
        <v>171</v>
      </c>
      <c r="D60" s="9" t="s">
        <v>133</v>
      </c>
      <c r="E60" s="10">
        <v>200</v>
      </c>
      <c r="F60" s="11">
        <v>944.32899999999995</v>
      </c>
      <c r="G60" s="12">
        <v>4.4410119999999997E-2</v>
      </c>
      <c r="H60" s="40">
        <v>8.1199999999999992</v>
      </c>
    </row>
    <row r="61" spans="1:8" x14ac:dyDescent="0.2">
      <c r="A61" s="8">
        <v>3</v>
      </c>
      <c r="B61" s="9" t="s">
        <v>172</v>
      </c>
      <c r="C61" s="9" t="s">
        <v>173</v>
      </c>
      <c r="D61" s="9" t="s">
        <v>133</v>
      </c>
      <c r="E61" s="10">
        <v>200</v>
      </c>
      <c r="F61" s="11">
        <v>942.14400000000001</v>
      </c>
      <c r="G61" s="12">
        <v>4.4307359999999997E-2</v>
      </c>
      <c r="H61" s="40">
        <v>7.65</v>
      </c>
    </row>
    <row r="62" spans="1:8" ht="25.5" x14ac:dyDescent="0.2">
      <c r="A62" s="8">
        <v>4</v>
      </c>
      <c r="B62" s="9" t="s">
        <v>174</v>
      </c>
      <c r="C62" s="9" t="s">
        <v>175</v>
      </c>
      <c r="D62" s="9"/>
      <c r="E62" s="10">
        <v>200</v>
      </c>
      <c r="F62" s="11">
        <v>929.59799999999996</v>
      </c>
      <c r="G62" s="12">
        <v>4.3717350000000002E-2</v>
      </c>
      <c r="H62" s="40">
        <v>0</v>
      </c>
    </row>
    <row r="63" spans="1:8" x14ac:dyDescent="0.2">
      <c r="A63" s="1"/>
      <c r="B63" s="1"/>
      <c r="C63" s="2" t="s">
        <v>11</v>
      </c>
      <c r="D63" s="1"/>
      <c r="E63" s="1" t="s">
        <v>12</v>
      </c>
      <c r="F63" s="7">
        <v>3800.0619999999999</v>
      </c>
      <c r="G63" s="4">
        <v>0.17871018</v>
      </c>
      <c r="H63" s="40" t="s">
        <v>12</v>
      </c>
    </row>
    <row r="64" spans="1:8" x14ac:dyDescent="0.2">
      <c r="A64" s="1"/>
      <c r="B64" s="1"/>
      <c r="C64" s="5"/>
      <c r="D64" s="1"/>
      <c r="E64" s="1"/>
      <c r="F64" s="6"/>
      <c r="G64" s="6"/>
      <c r="H64" s="40" t="s">
        <v>12</v>
      </c>
    </row>
    <row r="65" spans="1:8" x14ac:dyDescent="0.2">
      <c r="A65" s="1"/>
      <c r="B65" s="1"/>
      <c r="C65" s="2" t="s">
        <v>79</v>
      </c>
      <c r="D65" s="1"/>
      <c r="E65" s="1"/>
      <c r="F65" s="6"/>
      <c r="G65" s="6"/>
      <c r="H65" s="40" t="s">
        <v>12</v>
      </c>
    </row>
    <row r="66" spans="1:8" x14ac:dyDescent="0.2">
      <c r="A66" s="8">
        <v>1</v>
      </c>
      <c r="B66" s="9" t="s">
        <v>176</v>
      </c>
      <c r="C66" s="9" t="s">
        <v>177</v>
      </c>
      <c r="D66" s="9" t="s">
        <v>67</v>
      </c>
      <c r="E66" s="10">
        <v>5000000</v>
      </c>
      <c r="F66" s="11">
        <v>4686.4449999999997</v>
      </c>
      <c r="G66" s="12">
        <v>0.22039520000000001</v>
      </c>
      <c r="H66" s="40">
        <v>7.0175000000000001</v>
      </c>
    </row>
    <row r="67" spans="1:8" x14ac:dyDescent="0.2">
      <c r="A67" s="1"/>
      <c r="B67" s="1"/>
      <c r="C67" s="2" t="s">
        <v>11</v>
      </c>
      <c r="D67" s="1"/>
      <c r="E67" s="1" t="s">
        <v>12</v>
      </c>
      <c r="F67" s="7">
        <v>4686.4449999999997</v>
      </c>
      <c r="G67" s="4">
        <v>0.22039520000000001</v>
      </c>
      <c r="H67" s="40" t="s">
        <v>12</v>
      </c>
    </row>
    <row r="68" spans="1:8" x14ac:dyDescent="0.2">
      <c r="A68" s="1"/>
      <c r="B68" s="1"/>
      <c r="C68" s="5"/>
      <c r="D68" s="1"/>
      <c r="E68" s="1"/>
      <c r="F68" s="6"/>
      <c r="G68" s="6"/>
      <c r="H68" s="40" t="s">
        <v>12</v>
      </c>
    </row>
    <row r="69" spans="1:8" x14ac:dyDescent="0.2">
      <c r="A69" s="1"/>
      <c r="B69" s="1"/>
      <c r="C69" s="2" t="s">
        <v>80</v>
      </c>
      <c r="D69" s="1"/>
      <c r="E69" s="1"/>
      <c r="F69" s="6"/>
      <c r="G69" s="6"/>
      <c r="H69" s="40" t="s">
        <v>12</v>
      </c>
    </row>
    <row r="70" spans="1:8" x14ac:dyDescent="0.2">
      <c r="A70" s="8">
        <v>1</v>
      </c>
      <c r="B70" s="9"/>
      <c r="C70" s="9" t="s">
        <v>81</v>
      </c>
      <c r="D70" s="9"/>
      <c r="E70" s="13"/>
      <c r="F70" s="11">
        <v>1561.101850304</v>
      </c>
      <c r="G70" s="12">
        <v>7.3415850000000005E-2</v>
      </c>
      <c r="H70" s="40">
        <v>6.6416448321270405</v>
      </c>
    </row>
    <row r="71" spans="1:8" x14ac:dyDescent="0.2">
      <c r="A71" s="1"/>
      <c r="B71" s="1"/>
      <c r="C71" s="2" t="s">
        <v>11</v>
      </c>
      <c r="D71" s="1"/>
      <c r="E71" s="1" t="s">
        <v>12</v>
      </c>
      <c r="F71" s="7">
        <v>1561.101850304</v>
      </c>
      <c r="G71" s="4">
        <v>7.3415850000000005E-2</v>
      </c>
      <c r="H71" s="40" t="s">
        <v>12</v>
      </c>
    </row>
    <row r="72" spans="1:8" x14ac:dyDescent="0.2">
      <c r="A72" s="1"/>
      <c r="B72" s="1"/>
      <c r="C72" s="5"/>
      <c r="D72" s="1"/>
      <c r="E72" s="1"/>
      <c r="F72" s="6"/>
      <c r="G72" s="6"/>
      <c r="H72" s="40" t="s">
        <v>12</v>
      </c>
    </row>
    <row r="73" spans="1:8" x14ac:dyDescent="0.2">
      <c r="A73" s="1"/>
      <c r="B73" s="1"/>
      <c r="C73" s="2" t="s">
        <v>82</v>
      </c>
      <c r="D73" s="1"/>
      <c r="E73" s="1"/>
      <c r="F73" s="7">
        <v>22243.405850304</v>
      </c>
      <c r="G73" s="4">
        <v>1.0460679500000001</v>
      </c>
      <c r="H73" s="40" t="s">
        <v>12</v>
      </c>
    </row>
    <row r="74" spans="1:8" x14ac:dyDescent="0.2">
      <c r="A74" s="1"/>
      <c r="B74" s="1"/>
      <c r="C74" s="6"/>
      <c r="D74" s="1"/>
      <c r="E74" s="1"/>
      <c r="F74" s="1"/>
      <c r="G74" s="1"/>
      <c r="H74" s="40" t="s">
        <v>12</v>
      </c>
    </row>
    <row r="75" spans="1:8" x14ac:dyDescent="0.2">
      <c r="A75" s="1"/>
      <c r="B75" s="1"/>
      <c r="C75" s="2" t="s">
        <v>83</v>
      </c>
      <c r="D75" s="1"/>
      <c r="E75" s="1"/>
      <c r="F75" s="1"/>
      <c r="G75" s="1"/>
      <c r="H75" s="40" t="s">
        <v>12</v>
      </c>
    </row>
    <row r="76" spans="1:8" x14ac:dyDescent="0.2">
      <c r="A76" s="1"/>
      <c r="B76" s="1"/>
      <c r="C76" s="2" t="s">
        <v>84</v>
      </c>
      <c r="D76" s="1"/>
      <c r="E76" s="1"/>
      <c r="F76" s="1"/>
      <c r="G76" s="1"/>
      <c r="H76" s="40" t="s">
        <v>12</v>
      </c>
    </row>
    <row r="77" spans="1:8" x14ac:dyDescent="0.2">
      <c r="A77" s="1"/>
      <c r="B77" s="1"/>
      <c r="C77" s="2" t="s">
        <v>11</v>
      </c>
      <c r="D77" s="1"/>
      <c r="E77" s="1" t="s">
        <v>12</v>
      </c>
      <c r="F77" s="3" t="s">
        <v>13</v>
      </c>
      <c r="G77" s="4">
        <v>0</v>
      </c>
      <c r="H77" s="40" t="s">
        <v>12</v>
      </c>
    </row>
    <row r="78" spans="1:8" x14ac:dyDescent="0.2">
      <c r="A78" s="1"/>
      <c r="B78" s="1"/>
      <c r="C78" s="5"/>
      <c r="D78" s="1"/>
      <c r="E78" s="1"/>
      <c r="F78" s="6"/>
      <c r="G78" s="6"/>
      <c r="H78" s="40" t="s">
        <v>12</v>
      </c>
    </row>
    <row r="79" spans="1:8" x14ac:dyDescent="0.2">
      <c r="A79" s="1"/>
      <c r="B79" s="1"/>
      <c r="C79" s="2" t="s">
        <v>87</v>
      </c>
      <c r="D79" s="1"/>
      <c r="E79" s="1"/>
      <c r="F79" s="1"/>
      <c r="G79" s="1"/>
      <c r="H79" s="40" t="s">
        <v>12</v>
      </c>
    </row>
    <row r="80" spans="1:8" x14ac:dyDescent="0.2">
      <c r="A80" s="1"/>
      <c r="B80" s="1"/>
      <c r="C80" s="2" t="s">
        <v>88</v>
      </c>
      <c r="D80" s="1"/>
      <c r="E80" s="1"/>
      <c r="F80" s="1"/>
      <c r="G80" s="1"/>
      <c r="H80" s="40" t="s">
        <v>12</v>
      </c>
    </row>
    <row r="81" spans="1:18" x14ac:dyDescent="0.2">
      <c r="A81" s="1"/>
      <c r="B81" s="1"/>
      <c r="C81" s="2" t="s">
        <v>11</v>
      </c>
      <c r="D81" s="1"/>
      <c r="E81" s="1" t="s">
        <v>12</v>
      </c>
      <c r="F81" s="3" t="s">
        <v>13</v>
      </c>
      <c r="G81" s="4">
        <v>0</v>
      </c>
      <c r="H81" s="40" t="s">
        <v>12</v>
      </c>
    </row>
    <row r="82" spans="1:18" x14ac:dyDescent="0.2">
      <c r="A82" s="1"/>
      <c r="B82" s="1"/>
      <c r="C82" s="5"/>
      <c r="D82" s="1"/>
      <c r="E82" s="1"/>
      <c r="F82" s="6"/>
      <c r="G82" s="6"/>
      <c r="H82" s="40" t="s">
        <v>12</v>
      </c>
    </row>
    <row r="83" spans="1:18" x14ac:dyDescent="0.2">
      <c r="A83" s="1"/>
      <c r="B83" s="1"/>
      <c r="C83" s="2" t="s">
        <v>89</v>
      </c>
      <c r="D83" s="1"/>
      <c r="E83" s="1"/>
      <c r="F83" s="6"/>
      <c r="G83" s="6"/>
      <c r="H83" s="40" t="s">
        <v>12</v>
      </c>
    </row>
    <row r="84" spans="1:18" x14ac:dyDescent="0.2">
      <c r="A84" s="1"/>
      <c r="B84" s="1"/>
      <c r="C84" s="2" t="s">
        <v>11</v>
      </c>
      <c r="D84" s="1"/>
      <c r="E84" s="1" t="s">
        <v>12</v>
      </c>
      <c r="F84" s="3" t="s">
        <v>13</v>
      </c>
      <c r="G84" s="4">
        <v>0</v>
      </c>
      <c r="H84" s="40" t="s">
        <v>12</v>
      </c>
    </row>
    <row r="85" spans="1:18" x14ac:dyDescent="0.2">
      <c r="A85" s="1"/>
      <c r="B85" s="1"/>
      <c r="C85" s="2"/>
      <c r="D85" s="1"/>
      <c r="E85" s="1"/>
      <c r="F85" s="3"/>
      <c r="G85" s="4"/>
      <c r="H85" s="40"/>
    </row>
    <row r="86" spans="1:18" x14ac:dyDescent="0.2">
      <c r="A86" s="42"/>
      <c r="B86" s="42"/>
      <c r="C86" s="43" t="s">
        <v>492</v>
      </c>
      <c r="D86" s="42"/>
      <c r="E86" s="42"/>
      <c r="F86" s="44"/>
      <c r="G86" s="44"/>
      <c r="H86" s="11"/>
      <c r="K86" s="45"/>
      <c r="L86" s="45"/>
      <c r="M86" s="45"/>
      <c r="N86" s="45"/>
      <c r="O86" s="45"/>
      <c r="P86" s="46"/>
      <c r="Q86" s="46"/>
      <c r="R86" s="46"/>
    </row>
    <row r="87" spans="1:18" x14ac:dyDescent="0.2">
      <c r="A87" s="8">
        <v>1</v>
      </c>
      <c r="B87" s="9" t="s">
        <v>85</v>
      </c>
      <c r="C87" s="9" t="s">
        <v>86</v>
      </c>
      <c r="D87" s="9"/>
      <c r="E87" s="14">
        <v>337.54399999999998</v>
      </c>
      <c r="F87" s="11">
        <v>34.600699767999998</v>
      </c>
      <c r="G87" s="12">
        <v>1.62721E-3</v>
      </c>
      <c r="H87" s="40"/>
    </row>
    <row r="88" spans="1:18" x14ac:dyDescent="0.2">
      <c r="A88" s="1"/>
      <c r="B88" s="1"/>
      <c r="C88" s="2" t="s">
        <v>11</v>
      </c>
      <c r="D88" s="1"/>
      <c r="E88" s="1" t="s">
        <v>12</v>
      </c>
      <c r="F88" s="7">
        <v>34.600699767999998</v>
      </c>
      <c r="G88" s="4">
        <v>1.62721E-3</v>
      </c>
      <c r="H88" s="40" t="s">
        <v>12</v>
      </c>
    </row>
    <row r="89" spans="1:18" x14ac:dyDescent="0.2">
      <c r="A89" s="1"/>
      <c r="B89" s="9"/>
      <c r="C89" s="9"/>
      <c r="D89" s="2"/>
      <c r="E89" s="1"/>
      <c r="F89" s="9"/>
      <c r="G89" s="13"/>
      <c r="H89" s="40"/>
    </row>
    <row r="90" spans="1:18" x14ac:dyDescent="0.2">
      <c r="A90" s="1"/>
      <c r="B90" s="1"/>
      <c r="C90" s="5"/>
      <c r="D90" s="1"/>
      <c r="E90" s="1"/>
      <c r="F90" s="6"/>
      <c r="G90" s="6"/>
      <c r="H90" s="40" t="s">
        <v>12</v>
      </c>
    </row>
    <row r="91" spans="1:18" x14ac:dyDescent="0.2">
      <c r="A91" s="1"/>
      <c r="B91" s="9"/>
      <c r="C91" s="9"/>
      <c r="D91" s="2"/>
      <c r="E91" s="1"/>
      <c r="F91" s="9"/>
      <c r="G91" s="13"/>
      <c r="H91" s="40" t="s">
        <v>12</v>
      </c>
    </row>
    <row r="92" spans="1:18" x14ac:dyDescent="0.2">
      <c r="A92" s="13"/>
      <c r="B92" s="9"/>
      <c r="C92" s="9" t="s">
        <v>90</v>
      </c>
      <c r="D92" s="9"/>
      <c r="E92" s="13"/>
      <c r="F92" s="11">
        <f>-1014.18154627-0.0000018720006942749</f>
        <v>-1014.1815481420007</v>
      </c>
      <c r="G92" s="12">
        <v>-4.769516E-2</v>
      </c>
      <c r="H92" s="40" t="s">
        <v>12</v>
      </c>
    </row>
    <row r="93" spans="1:18" x14ac:dyDescent="0.2">
      <c r="A93" s="5"/>
      <c r="B93" s="5"/>
      <c r="C93" s="2" t="s">
        <v>91</v>
      </c>
      <c r="D93" s="6"/>
      <c r="E93" s="6"/>
      <c r="F93" s="7">
        <f>21263.825003802-0.0000018720006942749</f>
        <v>21263.825001929999</v>
      </c>
      <c r="G93" s="15">
        <v>1</v>
      </c>
      <c r="H93" s="40"/>
    </row>
    <row r="94" spans="1:18" x14ac:dyDescent="0.2">
      <c r="A94" s="16"/>
      <c r="B94" s="16"/>
      <c r="C94" s="16"/>
      <c r="D94" s="17"/>
      <c r="E94" s="17"/>
      <c r="F94" s="88"/>
      <c r="G94" s="17"/>
    </row>
    <row r="95" spans="1:18" ht="12.75" customHeight="1" x14ac:dyDescent="0.2">
      <c r="A95" s="18"/>
      <c r="B95" s="102" t="s">
        <v>493</v>
      </c>
      <c r="C95" s="102"/>
      <c r="D95" s="102"/>
      <c r="E95" s="102"/>
      <c r="F95" s="102"/>
      <c r="G95" s="102"/>
      <c r="H95" s="102"/>
    </row>
    <row r="96" spans="1:18" ht="12.75" customHeight="1" x14ac:dyDescent="0.2">
      <c r="A96" s="18"/>
      <c r="B96" s="102" t="s">
        <v>494</v>
      </c>
      <c r="C96" s="102"/>
      <c r="D96" s="102"/>
      <c r="E96" s="102"/>
      <c r="F96" s="102"/>
      <c r="G96" s="102"/>
      <c r="H96" s="102"/>
    </row>
    <row r="97" spans="1:8" ht="12.75" customHeight="1" x14ac:dyDescent="0.2">
      <c r="A97" s="18"/>
      <c r="B97" s="102" t="s">
        <v>495</v>
      </c>
      <c r="C97" s="102"/>
      <c r="D97" s="102"/>
      <c r="E97" s="102"/>
      <c r="F97" s="102"/>
      <c r="G97" s="102"/>
      <c r="H97" s="102"/>
    </row>
    <row r="98" spans="1:8" x14ac:dyDescent="0.2">
      <c r="A98" s="18"/>
      <c r="B98" s="18"/>
      <c r="C98" s="18"/>
      <c r="D98" s="20"/>
      <c r="E98" s="20"/>
      <c r="F98" s="20"/>
      <c r="G98" s="20"/>
    </row>
    <row r="99" spans="1:8" ht="14.1" customHeight="1" x14ac:dyDescent="0.2">
      <c r="A99" s="18"/>
      <c r="B99" s="103" t="s">
        <v>92</v>
      </c>
      <c r="C99" s="104"/>
      <c r="D99" s="105"/>
      <c r="E99" s="21"/>
      <c r="F99" s="20"/>
      <c r="G99" s="20"/>
    </row>
    <row r="100" spans="1:8" ht="29.1" customHeight="1" x14ac:dyDescent="0.2">
      <c r="A100" s="18"/>
      <c r="B100" s="99" t="s">
        <v>93</v>
      </c>
      <c r="C100" s="100"/>
      <c r="D100" s="2" t="s">
        <v>94</v>
      </c>
      <c r="E100" s="21"/>
      <c r="F100" s="20"/>
      <c r="G100" s="20"/>
    </row>
    <row r="101" spans="1:8" ht="17.100000000000001" customHeight="1" x14ac:dyDescent="0.2">
      <c r="A101" s="18"/>
      <c r="B101" s="99" t="s">
        <v>95</v>
      </c>
      <c r="C101" s="100"/>
      <c r="D101" s="2" t="s">
        <v>94</v>
      </c>
      <c r="E101" s="21"/>
      <c r="F101" s="20"/>
      <c r="G101" s="20"/>
    </row>
    <row r="102" spans="1:8" ht="17.100000000000001" customHeight="1" x14ac:dyDescent="0.2">
      <c r="A102" s="18"/>
      <c r="B102" s="99" t="s">
        <v>96</v>
      </c>
      <c r="C102" s="100"/>
      <c r="D102" s="6" t="s">
        <v>12</v>
      </c>
      <c r="E102" s="21"/>
      <c r="F102" s="20"/>
      <c r="G102" s="20"/>
    </row>
    <row r="103" spans="1:8" x14ac:dyDescent="0.2">
      <c r="A103" s="22"/>
      <c r="B103" s="23" t="s">
        <v>12</v>
      </c>
      <c r="C103" s="23" t="s">
        <v>531</v>
      </c>
      <c r="D103" s="23" t="s">
        <v>97</v>
      </c>
      <c r="E103" s="22"/>
      <c r="F103" s="22"/>
      <c r="G103" s="22"/>
      <c r="H103" s="87"/>
    </row>
    <row r="104" spans="1:8" ht="18" customHeight="1" x14ac:dyDescent="0.2">
      <c r="A104" s="22"/>
      <c r="B104" s="24" t="s">
        <v>98</v>
      </c>
      <c r="C104" s="98" t="s">
        <v>594</v>
      </c>
      <c r="D104" s="98" t="s">
        <v>529</v>
      </c>
      <c r="E104" s="22"/>
      <c r="F104" s="22"/>
      <c r="G104" s="22"/>
    </row>
    <row r="105" spans="1:8" ht="17.100000000000001" customHeight="1" x14ac:dyDescent="0.2">
      <c r="A105" s="22"/>
      <c r="B105" s="9" t="s">
        <v>99</v>
      </c>
      <c r="C105" s="25">
        <v>13.8626</v>
      </c>
      <c r="D105" s="25">
        <v>13.9057</v>
      </c>
      <c r="E105" s="22"/>
      <c r="F105" s="19"/>
      <c r="G105" s="26"/>
    </row>
    <row r="106" spans="1:8" ht="29.1" customHeight="1" x14ac:dyDescent="0.2">
      <c r="A106" s="22"/>
      <c r="B106" s="9" t="s">
        <v>547</v>
      </c>
      <c r="C106" s="25">
        <v>10.061999999999999</v>
      </c>
      <c r="D106" s="25">
        <v>10.061999999999999</v>
      </c>
      <c r="E106" s="22"/>
      <c r="F106" s="19"/>
      <c r="G106" s="26"/>
    </row>
    <row r="107" spans="1:8" ht="29.1" customHeight="1" x14ac:dyDescent="0.2">
      <c r="A107" s="22"/>
      <c r="B107" s="9" t="s">
        <v>544</v>
      </c>
      <c r="C107" s="25">
        <v>11.208</v>
      </c>
      <c r="D107" s="25">
        <v>11.182499999999999</v>
      </c>
      <c r="E107" s="22"/>
      <c r="F107" s="19"/>
      <c r="G107" s="26"/>
    </row>
    <row r="108" spans="1:8" ht="29.1" customHeight="1" x14ac:dyDescent="0.2">
      <c r="A108" s="22"/>
      <c r="B108" s="9" t="s">
        <v>541</v>
      </c>
      <c r="C108" s="25">
        <v>12.1502</v>
      </c>
      <c r="D108" s="25">
        <v>12.188000000000001</v>
      </c>
      <c r="E108" s="22"/>
      <c r="F108" s="19"/>
      <c r="G108" s="26"/>
    </row>
    <row r="109" spans="1:8" ht="17.100000000000001" customHeight="1" x14ac:dyDescent="0.2">
      <c r="A109" s="22"/>
      <c r="B109" s="9" t="s">
        <v>100</v>
      </c>
      <c r="C109" s="25">
        <v>13.792199999999999</v>
      </c>
      <c r="D109" s="25">
        <v>13.8345</v>
      </c>
      <c r="E109" s="22"/>
      <c r="F109" s="19"/>
      <c r="G109" s="26"/>
    </row>
    <row r="110" spans="1:8" ht="29.1" customHeight="1" x14ac:dyDescent="0.2">
      <c r="A110" s="22"/>
      <c r="B110" s="9" t="s">
        <v>550</v>
      </c>
      <c r="C110" s="25">
        <v>10.061999999999999</v>
      </c>
      <c r="D110" s="25">
        <v>10.061999999999999</v>
      </c>
      <c r="E110" s="22"/>
      <c r="F110" s="19"/>
      <c r="G110" s="26"/>
    </row>
    <row r="111" spans="1:8" ht="29.1" customHeight="1" x14ac:dyDescent="0.2">
      <c r="A111" s="22"/>
      <c r="B111" s="9" t="s">
        <v>551</v>
      </c>
      <c r="C111" s="25">
        <v>10.490600000000001</v>
      </c>
      <c r="D111" s="25">
        <v>10.492800000000001</v>
      </c>
      <c r="E111" s="22"/>
      <c r="F111" s="19"/>
      <c r="G111" s="26"/>
    </row>
    <row r="112" spans="1:8" ht="29.1" customHeight="1" x14ac:dyDescent="0.2">
      <c r="A112" s="22"/>
      <c r="B112" s="9" t="s">
        <v>552</v>
      </c>
      <c r="C112" s="25">
        <v>11.186500000000001</v>
      </c>
      <c r="D112" s="25">
        <v>11.2209</v>
      </c>
      <c r="E112" s="22"/>
      <c r="F112" s="19"/>
      <c r="G112" s="26"/>
    </row>
    <row r="113" spans="1:15" ht="29.1" customHeight="1" x14ac:dyDescent="0.2">
      <c r="A113" s="22"/>
      <c r="B113" s="9" t="s">
        <v>546</v>
      </c>
      <c r="C113" s="25">
        <v>11.186400000000001</v>
      </c>
      <c r="D113" s="25">
        <v>11.1614</v>
      </c>
      <c r="E113" s="22"/>
      <c r="F113" s="19"/>
      <c r="G113" s="26"/>
    </row>
    <row r="114" spans="1:15" ht="29.1" customHeight="1" x14ac:dyDescent="0.2">
      <c r="A114" s="22"/>
      <c r="B114" s="9" t="s">
        <v>543</v>
      </c>
      <c r="C114" s="25">
        <v>12.0868</v>
      </c>
      <c r="D114" s="25">
        <v>12.123900000000001</v>
      </c>
      <c r="E114" s="22"/>
      <c r="F114" s="19"/>
      <c r="G114" s="26"/>
    </row>
    <row r="115" spans="1:15" ht="14.1" customHeight="1" x14ac:dyDescent="0.2">
      <c r="A115" s="22"/>
      <c r="B115" s="22"/>
      <c r="C115" s="22"/>
      <c r="D115" s="22"/>
      <c r="E115" s="22"/>
      <c r="F115" s="22"/>
      <c r="G115" s="22"/>
    </row>
    <row r="116" spans="1:15" ht="17.100000000000001" customHeight="1" x14ac:dyDescent="0.2">
      <c r="A116" s="22"/>
      <c r="B116" s="99" t="s">
        <v>540</v>
      </c>
      <c r="C116" s="100"/>
      <c r="D116" s="2" t="s">
        <v>12</v>
      </c>
      <c r="E116" s="22"/>
      <c r="F116" s="22"/>
      <c r="G116" s="22"/>
    </row>
    <row r="117" spans="1:15" ht="18" customHeight="1" x14ac:dyDescent="0.2">
      <c r="A117" s="22"/>
      <c r="B117" s="27" t="s">
        <v>98</v>
      </c>
      <c r="C117" s="28" t="s">
        <v>101</v>
      </c>
      <c r="D117" s="28" t="s">
        <v>102</v>
      </c>
      <c r="E117" s="22"/>
      <c r="F117" s="22"/>
      <c r="G117" s="22"/>
    </row>
    <row r="118" spans="1:15" ht="29.1" customHeight="1" x14ac:dyDescent="0.2">
      <c r="A118" s="22"/>
      <c r="B118" s="9" t="s">
        <v>547</v>
      </c>
      <c r="C118" s="29">
        <v>3.1136E-2</v>
      </c>
      <c r="D118" s="13" t="s">
        <v>103</v>
      </c>
      <c r="E118" s="22"/>
      <c r="F118" s="19"/>
      <c r="G118" s="26"/>
    </row>
    <row r="119" spans="1:15" ht="29.1" customHeight="1" x14ac:dyDescent="0.2">
      <c r="A119" s="22"/>
      <c r="B119" s="9" t="s">
        <v>544</v>
      </c>
      <c r="C119" s="29">
        <v>6.0299999999999999E-2</v>
      </c>
      <c r="D119" s="13" t="s">
        <v>103</v>
      </c>
      <c r="E119" s="22"/>
      <c r="F119" s="19"/>
      <c r="G119" s="26"/>
    </row>
    <row r="120" spans="1:15" ht="29.1" customHeight="1" x14ac:dyDescent="0.2">
      <c r="A120" s="22"/>
      <c r="B120" s="9" t="s">
        <v>550</v>
      </c>
      <c r="C120" s="29">
        <v>3.0832999999999999E-2</v>
      </c>
      <c r="D120" s="13" t="s">
        <v>103</v>
      </c>
      <c r="E120" s="22"/>
      <c r="F120" s="19"/>
      <c r="G120" s="26"/>
    </row>
    <row r="121" spans="1:15" ht="29.1" customHeight="1" x14ac:dyDescent="0.2">
      <c r="A121" s="22"/>
      <c r="B121" s="9" t="s">
        <v>551</v>
      </c>
      <c r="C121" s="29">
        <v>4.2700000000000002E-2</v>
      </c>
      <c r="D121" s="13" t="s">
        <v>103</v>
      </c>
      <c r="E121" s="22"/>
      <c r="F121" s="19"/>
      <c r="G121" s="26"/>
    </row>
    <row r="122" spans="1:15" ht="29.1" customHeight="1" x14ac:dyDescent="0.2">
      <c r="A122" s="22"/>
      <c r="B122" s="9" t="s">
        <v>546</v>
      </c>
      <c r="C122" s="29">
        <v>5.91E-2</v>
      </c>
      <c r="D122" s="13" t="s">
        <v>103</v>
      </c>
      <c r="E122" s="22"/>
      <c r="F122" s="19"/>
      <c r="G122" s="26"/>
    </row>
    <row r="123" spans="1:15" x14ac:dyDescent="0.2">
      <c r="A123" s="22"/>
      <c r="B123" s="19"/>
      <c r="C123" s="19"/>
      <c r="D123" s="22"/>
      <c r="E123" s="22"/>
      <c r="F123" s="22"/>
      <c r="G123" s="22"/>
    </row>
    <row r="124" spans="1:15" x14ac:dyDescent="0.2">
      <c r="A124" s="22"/>
      <c r="B124" s="99" t="s">
        <v>104</v>
      </c>
      <c r="C124" s="100"/>
      <c r="D124" s="2" t="s">
        <v>94</v>
      </c>
      <c r="E124" s="32"/>
      <c r="F124" s="22"/>
      <c r="G124" s="22"/>
    </row>
    <row r="125" spans="1:15" x14ac:dyDescent="0.2">
      <c r="A125" s="22"/>
      <c r="B125" s="99" t="s">
        <v>105</v>
      </c>
      <c r="C125" s="100"/>
      <c r="D125" s="2" t="s">
        <v>94</v>
      </c>
      <c r="E125" s="32"/>
      <c r="F125" s="22"/>
      <c r="G125" s="22"/>
    </row>
    <row r="126" spans="1:15" x14ac:dyDescent="0.2">
      <c r="A126" s="22"/>
      <c r="B126" s="99" t="s">
        <v>590</v>
      </c>
      <c r="C126" s="100"/>
      <c r="D126" s="2" t="s">
        <v>94</v>
      </c>
      <c r="E126" s="32"/>
      <c r="F126" s="22"/>
      <c r="G126" s="22"/>
    </row>
    <row r="127" spans="1:15" x14ac:dyDescent="0.2">
      <c r="A127" s="34"/>
      <c r="B127" s="34"/>
      <c r="C127" s="34"/>
      <c r="D127" s="34"/>
      <c r="E127" s="34"/>
      <c r="F127" s="34"/>
      <c r="G127" s="34"/>
    </row>
    <row r="128" spans="1:15" s="47" customFormat="1" x14ac:dyDescent="0.2">
      <c r="B128" s="106" t="s">
        <v>497</v>
      </c>
      <c r="C128" s="107"/>
      <c r="D128" s="108"/>
      <c r="I128"/>
      <c r="J128" s="37"/>
      <c r="K128" s="45"/>
      <c r="L128" s="45"/>
      <c r="M128" s="45"/>
      <c r="N128" s="45"/>
      <c r="O128" s="53"/>
    </row>
    <row r="129" spans="2:17" s="47" customFormat="1" ht="38.25" x14ac:dyDescent="0.2">
      <c r="B129" s="109" t="s">
        <v>498</v>
      </c>
      <c r="C129" s="109"/>
      <c r="D129" s="48" t="s">
        <v>139</v>
      </c>
      <c r="I129"/>
      <c r="J129" s="37"/>
      <c r="K129" s="45"/>
      <c r="L129" s="45"/>
      <c r="M129" s="45"/>
      <c r="N129" s="45"/>
      <c r="O129" s="53"/>
    </row>
    <row r="130" spans="2:17" s="47" customFormat="1" x14ac:dyDescent="0.2">
      <c r="B130" s="110" t="s">
        <v>499</v>
      </c>
      <c r="C130" s="110"/>
      <c r="D130" s="49"/>
      <c r="I130"/>
      <c r="J130" s="37"/>
      <c r="K130" s="45"/>
      <c r="L130" s="45"/>
      <c r="M130" s="45"/>
      <c r="N130" s="45"/>
      <c r="O130" s="53"/>
    </row>
    <row r="131" spans="2:17" s="47" customFormat="1" x14ac:dyDescent="0.2">
      <c r="B131" s="110"/>
      <c r="C131" s="110"/>
      <c r="D131" s="50"/>
      <c r="I131"/>
      <c r="J131" s="37"/>
      <c r="K131" s="45"/>
      <c r="L131" s="45"/>
      <c r="M131" s="45"/>
      <c r="N131" s="45"/>
      <c r="O131" s="53"/>
    </row>
    <row r="132" spans="2:17" s="47" customFormat="1" x14ac:dyDescent="0.2">
      <c r="B132" s="110" t="s">
        <v>500</v>
      </c>
      <c r="C132" s="110"/>
      <c r="D132" s="51">
        <v>7.4280120677997603</v>
      </c>
      <c r="I132"/>
      <c r="J132" s="37"/>
      <c r="K132" s="45"/>
      <c r="L132" s="45"/>
      <c r="M132" s="45"/>
      <c r="N132" s="45"/>
      <c r="O132" s="53"/>
    </row>
    <row r="133" spans="2:17" s="47" customFormat="1" x14ac:dyDescent="0.2">
      <c r="B133" s="110"/>
      <c r="C133" s="110"/>
      <c r="D133" s="50"/>
      <c r="I133"/>
      <c r="J133" s="37"/>
      <c r="K133" s="45"/>
      <c r="L133" s="45"/>
      <c r="M133" s="45"/>
      <c r="N133" s="45"/>
      <c r="O133" s="53"/>
    </row>
    <row r="134" spans="2:17" s="47" customFormat="1" x14ac:dyDescent="0.2">
      <c r="B134" s="110" t="s">
        <v>501</v>
      </c>
      <c r="C134" s="110"/>
      <c r="D134" s="51">
        <v>0.73106609279528578</v>
      </c>
      <c r="I134"/>
      <c r="J134" s="37"/>
      <c r="K134" s="45"/>
      <c r="L134" s="45"/>
      <c r="M134" s="45"/>
      <c r="N134" s="45"/>
      <c r="O134" s="53"/>
    </row>
    <row r="135" spans="2:17" s="47" customFormat="1" x14ac:dyDescent="0.2">
      <c r="B135" s="110" t="s">
        <v>502</v>
      </c>
      <c r="C135" s="110"/>
      <c r="D135" s="51">
        <v>0.73106609279528578</v>
      </c>
      <c r="I135"/>
      <c r="J135" s="37"/>
      <c r="K135" s="45"/>
      <c r="L135" s="45"/>
      <c r="M135" s="45"/>
      <c r="N135" s="45"/>
      <c r="O135" s="53"/>
    </row>
    <row r="136" spans="2:17" s="47" customFormat="1" x14ac:dyDescent="0.2">
      <c r="B136" s="110"/>
      <c r="C136" s="110"/>
      <c r="D136" s="50"/>
      <c r="I136"/>
      <c r="J136" s="37"/>
      <c r="K136" s="45"/>
      <c r="L136" s="45"/>
      <c r="M136" s="45"/>
      <c r="N136" s="45"/>
      <c r="O136" s="53"/>
    </row>
    <row r="137" spans="2:17" s="47" customFormat="1" x14ac:dyDescent="0.2">
      <c r="B137" s="110" t="s">
        <v>503</v>
      </c>
      <c r="C137" s="110"/>
      <c r="D137" s="52" t="s">
        <v>529</v>
      </c>
      <c r="I137"/>
      <c r="J137" s="37"/>
      <c r="K137" s="45"/>
      <c r="L137" s="45"/>
      <c r="M137" s="45"/>
      <c r="N137" s="45"/>
      <c r="O137" s="53"/>
    </row>
    <row r="138" spans="2:17" s="47" customFormat="1" x14ac:dyDescent="0.2">
      <c r="B138" s="111" t="s">
        <v>504</v>
      </c>
      <c r="C138" s="113"/>
      <c r="D138" s="112"/>
      <c r="I138"/>
      <c r="J138" s="37"/>
      <c r="K138" s="45"/>
      <c r="L138" s="45"/>
      <c r="M138" s="45"/>
      <c r="N138" s="45"/>
      <c r="O138" s="53"/>
      <c r="P138"/>
      <c r="Q138"/>
    </row>
  </sheetData>
  <mergeCells count="25">
    <mergeCell ref="B138:D138"/>
    <mergeCell ref="B133:C133"/>
    <mergeCell ref="B134:C134"/>
    <mergeCell ref="B135:C135"/>
    <mergeCell ref="B136:C136"/>
    <mergeCell ref="B137:C137"/>
    <mergeCell ref="B128:D128"/>
    <mergeCell ref="B129:C129"/>
    <mergeCell ref="B130:C130"/>
    <mergeCell ref="B131:C131"/>
    <mergeCell ref="B132:C132"/>
    <mergeCell ref="B126:C126"/>
    <mergeCell ref="A1:H1"/>
    <mergeCell ref="A2:H2"/>
    <mergeCell ref="A3:H3"/>
    <mergeCell ref="B124:C124"/>
    <mergeCell ref="B99:D99"/>
    <mergeCell ref="B100:C100"/>
    <mergeCell ref="B101:C101"/>
    <mergeCell ref="B102:C102"/>
    <mergeCell ref="B116:C116"/>
    <mergeCell ref="B95:H95"/>
    <mergeCell ref="B96:H96"/>
    <mergeCell ref="B97:H97"/>
    <mergeCell ref="B125:C125"/>
  </mergeCells>
  <hyperlinks>
    <hyperlink ref="I1" location="Index!B4" display="Index" xr:uid="{AE9BA6FD-006D-4A55-BB45-27689DBFA4E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E73C-A080-497A-B362-76B60C2996A5}">
  <sheetPr>
    <outlinePr summaryBelow="0" summaryRight="0"/>
  </sheetPr>
  <dimension ref="A1:T173"/>
  <sheetViews>
    <sheetView showGridLines="0" workbookViewId="0">
      <selection activeCell="H93" sqref="H93"/>
    </sheetView>
  </sheetViews>
  <sheetFormatPr defaultRowHeight="12.75" x14ac:dyDescent="0.2"/>
  <cols>
    <col min="1" max="1" width="5.85546875" bestFit="1" customWidth="1"/>
    <col min="2" max="2" width="20.28515625" bestFit="1" customWidth="1"/>
    <col min="3" max="3" width="43" customWidth="1"/>
    <col min="4" max="4" width="17.28515625" customWidth="1"/>
    <col min="5" max="5" width="9.42578125" bestFit="1" customWidth="1"/>
    <col min="6" max="6" width="10.140625" bestFit="1" customWidth="1"/>
    <col min="7" max="7" width="14" bestFit="1" customWidth="1"/>
    <col min="8" max="8" width="9.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178</v>
      </c>
      <c r="B2" s="101"/>
      <c r="C2" s="101"/>
      <c r="D2" s="101"/>
      <c r="E2" s="101"/>
      <c r="F2" s="101"/>
      <c r="G2" s="101"/>
      <c r="H2" s="101"/>
      <c r="J2" s="38" t="s">
        <v>570</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490</v>
      </c>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1"/>
      <c r="B7" s="1"/>
      <c r="C7" s="2" t="s">
        <v>11</v>
      </c>
      <c r="D7" s="1"/>
      <c r="E7" s="1" t="s">
        <v>12</v>
      </c>
      <c r="F7" s="3" t="s">
        <v>13</v>
      </c>
      <c r="G7" s="4">
        <v>0</v>
      </c>
      <c r="H7" s="40" t="s">
        <v>12</v>
      </c>
    </row>
    <row r="8" spans="1:10" x14ac:dyDescent="0.2">
      <c r="A8" s="1"/>
      <c r="B8" s="1"/>
      <c r="C8" s="5"/>
      <c r="D8" s="1"/>
      <c r="E8" s="1"/>
      <c r="F8" s="6"/>
      <c r="G8" s="6"/>
      <c r="H8" s="40" t="s">
        <v>12</v>
      </c>
    </row>
    <row r="9" spans="1:10" x14ac:dyDescent="0.2">
      <c r="A9" s="1"/>
      <c r="B9" s="1"/>
      <c r="C9" s="2" t="s">
        <v>14</v>
      </c>
      <c r="D9" s="1"/>
      <c r="E9" s="1"/>
      <c r="F9" s="1"/>
      <c r="G9" s="1"/>
      <c r="H9" s="40" t="s">
        <v>12</v>
      </c>
    </row>
    <row r="10" spans="1:10" x14ac:dyDescent="0.2">
      <c r="A10" s="1"/>
      <c r="B10" s="1"/>
      <c r="C10" s="2" t="s">
        <v>11</v>
      </c>
      <c r="D10" s="1"/>
      <c r="E10" s="1" t="s">
        <v>12</v>
      </c>
      <c r="F10" s="3" t="s">
        <v>13</v>
      </c>
      <c r="G10" s="4">
        <v>0</v>
      </c>
      <c r="H10" s="40" t="s">
        <v>12</v>
      </c>
    </row>
    <row r="11" spans="1:10" x14ac:dyDescent="0.2">
      <c r="A11" s="1"/>
      <c r="B11" s="1"/>
      <c r="C11" s="5"/>
      <c r="D11" s="1"/>
      <c r="E11" s="1"/>
      <c r="F11" s="6"/>
      <c r="G11" s="6"/>
      <c r="H11" s="40" t="s">
        <v>12</v>
      </c>
    </row>
    <row r="12" spans="1:10" ht="15" x14ac:dyDescent="0.2">
      <c r="A12" s="1"/>
      <c r="B12" s="1"/>
      <c r="C12" s="2" t="s">
        <v>15</v>
      </c>
      <c r="D12" s="1"/>
      <c r="E12" s="1"/>
      <c r="F12" s="1"/>
      <c r="G12" s="1"/>
      <c r="H12" s="40" t="s">
        <v>12</v>
      </c>
      <c r="J12" s="97"/>
    </row>
    <row r="13" spans="1:10" x14ac:dyDescent="0.2">
      <c r="A13" s="1"/>
      <c r="B13" s="1"/>
      <c r="C13" s="2" t="s">
        <v>11</v>
      </c>
      <c r="D13" s="1"/>
      <c r="E13" s="1" t="s">
        <v>12</v>
      </c>
      <c r="F13" s="3" t="s">
        <v>13</v>
      </c>
      <c r="G13" s="4">
        <v>0</v>
      </c>
      <c r="H13" s="40" t="s">
        <v>12</v>
      </c>
      <c r="J13" s="89"/>
    </row>
    <row r="14" spans="1:10" ht="25.5" x14ac:dyDescent="0.2">
      <c r="A14" s="1"/>
      <c r="B14" s="1"/>
      <c r="C14" s="5"/>
      <c r="D14" s="1"/>
      <c r="E14" s="1"/>
      <c r="F14" s="6"/>
      <c r="G14" s="6"/>
      <c r="H14" s="40" t="s">
        <v>12</v>
      </c>
      <c r="J14" s="89" t="s">
        <v>576</v>
      </c>
    </row>
    <row r="15" spans="1:10" x14ac:dyDescent="0.2">
      <c r="A15" s="1"/>
      <c r="B15" s="1"/>
      <c r="C15" s="2" t="s">
        <v>16</v>
      </c>
      <c r="D15" s="1"/>
      <c r="E15" s="1"/>
      <c r="F15" s="1"/>
      <c r="G15" s="1"/>
      <c r="H15" s="40" t="s">
        <v>12</v>
      </c>
      <c r="J15" s="89"/>
    </row>
    <row r="16" spans="1:10" x14ac:dyDescent="0.2">
      <c r="A16" s="1"/>
      <c r="B16" s="1"/>
      <c r="C16" s="2" t="s">
        <v>11</v>
      </c>
      <c r="D16" s="1"/>
      <c r="E16" s="1" t="s">
        <v>12</v>
      </c>
      <c r="F16" s="3" t="s">
        <v>13</v>
      </c>
      <c r="G16" s="4">
        <v>0</v>
      </c>
      <c r="H16" s="40" t="s">
        <v>12</v>
      </c>
    </row>
    <row r="17" spans="1:10" x14ac:dyDescent="0.2">
      <c r="A17" s="1"/>
      <c r="B17" s="1"/>
      <c r="C17" s="5"/>
      <c r="D17" s="1"/>
      <c r="E17" s="1"/>
      <c r="F17" s="6"/>
      <c r="G17" s="6"/>
      <c r="H17" s="40" t="s">
        <v>12</v>
      </c>
    </row>
    <row r="18" spans="1:10" x14ac:dyDescent="0.2">
      <c r="A18" s="1"/>
      <c r="B18" s="1"/>
      <c r="C18" s="2" t="s">
        <v>17</v>
      </c>
      <c r="D18" s="1"/>
      <c r="E18" s="1"/>
      <c r="F18" s="6"/>
      <c r="G18" s="6"/>
      <c r="H18" s="40" t="s">
        <v>12</v>
      </c>
    </row>
    <row r="19" spans="1:10" x14ac:dyDescent="0.2">
      <c r="A19" s="1"/>
      <c r="B19" s="1"/>
      <c r="C19" s="2" t="s">
        <v>11</v>
      </c>
      <c r="D19" s="1"/>
      <c r="E19" s="1" t="s">
        <v>12</v>
      </c>
      <c r="F19" s="3" t="s">
        <v>13</v>
      </c>
      <c r="G19" s="4">
        <v>0</v>
      </c>
      <c r="H19" s="40" t="s">
        <v>12</v>
      </c>
    </row>
    <row r="20" spans="1:10" x14ac:dyDescent="0.2">
      <c r="A20" s="1"/>
      <c r="B20" s="1"/>
      <c r="C20" s="5"/>
      <c r="D20" s="1"/>
      <c r="E20" s="1"/>
      <c r="F20" s="6"/>
      <c r="G20" s="6"/>
      <c r="H20" s="40" t="s">
        <v>12</v>
      </c>
    </row>
    <row r="21" spans="1:10" x14ac:dyDescent="0.2">
      <c r="A21" s="1"/>
      <c r="B21" s="1"/>
      <c r="C21" s="2" t="s">
        <v>18</v>
      </c>
      <c r="D21" s="1"/>
      <c r="E21" s="1"/>
      <c r="F21" s="6"/>
      <c r="G21" s="6"/>
      <c r="H21" s="40" t="s">
        <v>12</v>
      </c>
    </row>
    <row r="22" spans="1:10" ht="15" x14ac:dyDescent="0.2">
      <c r="A22" s="1"/>
      <c r="B22" s="1"/>
      <c r="C22" s="2" t="s">
        <v>11</v>
      </c>
      <c r="D22" s="1"/>
      <c r="E22" s="1" t="s">
        <v>12</v>
      </c>
      <c r="F22" s="3" t="s">
        <v>13</v>
      </c>
      <c r="G22" s="4">
        <v>0</v>
      </c>
      <c r="H22" s="40" t="s">
        <v>12</v>
      </c>
      <c r="J22" s="97"/>
    </row>
    <row r="23" spans="1:10" x14ac:dyDescent="0.2">
      <c r="A23" s="1"/>
      <c r="B23" s="1"/>
      <c r="C23" s="5"/>
      <c r="D23" s="1"/>
      <c r="E23" s="1"/>
      <c r="F23" s="6"/>
      <c r="G23" s="6"/>
      <c r="H23" s="40" t="s">
        <v>12</v>
      </c>
      <c r="J23" s="89"/>
    </row>
    <row r="24" spans="1:10" x14ac:dyDescent="0.2">
      <c r="A24" s="1"/>
      <c r="B24" s="1"/>
      <c r="C24" s="2" t="s">
        <v>19</v>
      </c>
      <c r="D24" s="1"/>
      <c r="E24" s="1"/>
      <c r="F24" s="7">
        <v>0</v>
      </c>
      <c r="G24" s="4">
        <v>0</v>
      </c>
      <c r="H24" s="40" t="s">
        <v>12</v>
      </c>
    </row>
    <row r="25" spans="1:10" x14ac:dyDescent="0.2">
      <c r="A25" s="1"/>
      <c r="B25" s="1"/>
      <c r="C25" s="5"/>
      <c r="D25" s="1"/>
      <c r="E25" s="1"/>
      <c r="F25" s="6"/>
      <c r="G25" s="6"/>
      <c r="H25" s="40" t="s">
        <v>12</v>
      </c>
    </row>
    <row r="26" spans="1:10" x14ac:dyDescent="0.2">
      <c r="A26" s="1"/>
      <c r="B26" s="1"/>
      <c r="C26" s="2" t="s">
        <v>20</v>
      </c>
      <c r="D26" s="1"/>
      <c r="E26" s="1"/>
      <c r="F26" s="6"/>
      <c r="G26" s="6"/>
      <c r="H26" s="40" t="s">
        <v>12</v>
      </c>
    </row>
    <row r="27" spans="1:10" ht="25.5" x14ac:dyDescent="0.2">
      <c r="A27" s="1"/>
      <c r="B27" s="1"/>
      <c r="C27" s="2" t="s">
        <v>10</v>
      </c>
      <c r="D27" s="1"/>
      <c r="E27" s="1"/>
      <c r="F27" s="6"/>
      <c r="G27" s="6"/>
      <c r="H27" s="40" t="s">
        <v>12</v>
      </c>
      <c r="J27" s="89" t="s">
        <v>577</v>
      </c>
    </row>
    <row r="28" spans="1:10" ht="25.5" x14ac:dyDescent="0.2">
      <c r="A28" s="8">
        <v>1</v>
      </c>
      <c r="B28" s="9" t="s">
        <v>179</v>
      </c>
      <c r="C28" s="9" t="s">
        <v>180</v>
      </c>
      <c r="D28" s="9" t="s">
        <v>23</v>
      </c>
      <c r="E28" s="10">
        <v>250</v>
      </c>
      <c r="F28" s="11">
        <v>2488.1774999999998</v>
      </c>
      <c r="G28" s="12">
        <v>4.9376169999999997E-2</v>
      </c>
      <c r="H28" s="40">
        <v>7.6775000000000002</v>
      </c>
      <c r="J28" s="89"/>
    </row>
    <row r="29" spans="1:10" x14ac:dyDescent="0.2">
      <c r="A29" s="8">
        <v>2</v>
      </c>
      <c r="B29" s="9" t="s">
        <v>181</v>
      </c>
      <c r="C29" s="9" t="s">
        <v>182</v>
      </c>
      <c r="D29" s="9" t="s">
        <v>183</v>
      </c>
      <c r="E29" s="10">
        <v>2000</v>
      </c>
      <c r="F29" s="11">
        <v>2000.9280000000001</v>
      </c>
      <c r="G29" s="12">
        <v>3.9707039999999999E-2</v>
      </c>
      <c r="H29" s="40">
        <v>7.6562999999999999</v>
      </c>
      <c r="J29" s="89"/>
    </row>
    <row r="30" spans="1:10" x14ac:dyDescent="0.2">
      <c r="A30" s="8">
        <v>3</v>
      </c>
      <c r="B30" s="9" t="s">
        <v>184</v>
      </c>
      <c r="C30" s="9" t="s">
        <v>185</v>
      </c>
      <c r="D30" s="9" t="s">
        <v>186</v>
      </c>
      <c r="E30" s="10">
        <v>1700</v>
      </c>
      <c r="F30" s="11">
        <v>1701.0029999999999</v>
      </c>
      <c r="G30" s="12">
        <v>3.3755229999999997E-2</v>
      </c>
      <c r="H30" s="40">
        <v>8.7875999999999994</v>
      </c>
    </row>
    <row r="31" spans="1:10" x14ac:dyDescent="0.2">
      <c r="A31" s="8">
        <v>4</v>
      </c>
      <c r="B31" s="9" t="s">
        <v>187</v>
      </c>
      <c r="C31" s="9" t="s">
        <v>188</v>
      </c>
      <c r="D31" s="9" t="s">
        <v>186</v>
      </c>
      <c r="E31" s="10">
        <v>1500</v>
      </c>
      <c r="F31" s="11">
        <v>1499.1120000000001</v>
      </c>
      <c r="G31" s="12">
        <v>2.974885E-2</v>
      </c>
      <c r="H31" s="40">
        <v>9.2280999999999995</v>
      </c>
    </row>
    <row r="32" spans="1:10" x14ac:dyDescent="0.2">
      <c r="A32" s="8">
        <v>5</v>
      </c>
      <c r="B32" s="9" t="s">
        <v>189</v>
      </c>
      <c r="C32" s="9" t="s">
        <v>190</v>
      </c>
      <c r="D32" s="9" t="s">
        <v>23</v>
      </c>
      <c r="E32" s="10">
        <v>100</v>
      </c>
      <c r="F32" s="11">
        <v>998.63</v>
      </c>
      <c r="G32" s="12">
        <v>1.9817129999999999E-2</v>
      </c>
      <c r="H32" s="40">
        <v>7.52</v>
      </c>
    </row>
    <row r="33" spans="1:8" ht="25.5" x14ac:dyDescent="0.2">
      <c r="A33" s="8">
        <v>6</v>
      </c>
      <c r="B33" s="9" t="s">
        <v>191</v>
      </c>
      <c r="C33" s="9" t="s">
        <v>192</v>
      </c>
      <c r="D33" s="9" t="s">
        <v>23</v>
      </c>
      <c r="E33" s="10">
        <v>100</v>
      </c>
      <c r="F33" s="11">
        <v>995.66700000000003</v>
      </c>
      <c r="G33" s="12">
        <v>1.9758330000000001E-2</v>
      </c>
      <c r="H33" s="40">
        <v>7.75</v>
      </c>
    </row>
    <row r="34" spans="1:8" ht="25.5" x14ac:dyDescent="0.2">
      <c r="A34" s="8">
        <v>7</v>
      </c>
      <c r="B34" s="9" t="s">
        <v>21</v>
      </c>
      <c r="C34" s="9" t="s">
        <v>22</v>
      </c>
      <c r="D34" s="9" t="s">
        <v>23</v>
      </c>
      <c r="E34" s="10">
        <v>1000</v>
      </c>
      <c r="F34" s="11">
        <v>992.495</v>
      </c>
      <c r="G34" s="12">
        <v>1.9695379999999998E-2</v>
      </c>
      <c r="H34" s="40">
        <v>7.6</v>
      </c>
    </row>
    <row r="35" spans="1:8" x14ac:dyDescent="0.2">
      <c r="A35" s="8">
        <v>8</v>
      </c>
      <c r="B35" s="9" t="s">
        <v>193</v>
      </c>
      <c r="C35" s="9" t="s">
        <v>194</v>
      </c>
      <c r="D35" s="9" t="s">
        <v>23</v>
      </c>
      <c r="E35" s="10">
        <v>100</v>
      </c>
      <c r="F35" s="11">
        <v>985.81</v>
      </c>
      <c r="G35" s="12">
        <v>1.9562719999999999E-2</v>
      </c>
      <c r="H35" s="40">
        <v>7.8250000000000002</v>
      </c>
    </row>
    <row r="36" spans="1:8" x14ac:dyDescent="0.2">
      <c r="A36" s="8">
        <v>9</v>
      </c>
      <c r="B36" s="9" t="s">
        <v>195</v>
      </c>
      <c r="C36" s="9" t="s">
        <v>196</v>
      </c>
      <c r="D36" s="9" t="s">
        <v>23</v>
      </c>
      <c r="E36" s="10">
        <v>100</v>
      </c>
      <c r="F36" s="11">
        <v>984.01900000000001</v>
      </c>
      <c r="G36" s="12">
        <v>1.9527180000000002E-2</v>
      </c>
      <c r="H36" s="40">
        <v>7.88</v>
      </c>
    </row>
    <row r="37" spans="1:8" x14ac:dyDescent="0.2">
      <c r="A37" s="8">
        <v>10</v>
      </c>
      <c r="B37" s="9" t="s">
        <v>197</v>
      </c>
      <c r="C37" s="9" t="s">
        <v>198</v>
      </c>
      <c r="D37" s="9" t="s">
        <v>199</v>
      </c>
      <c r="E37" s="10">
        <v>1000</v>
      </c>
      <c r="F37" s="11">
        <v>979.22799999999995</v>
      </c>
      <c r="G37" s="12">
        <v>1.9432109999999999E-2</v>
      </c>
      <c r="H37" s="40">
        <v>10.3644</v>
      </c>
    </row>
    <row r="38" spans="1:8" x14ac:dyDescent="0.2">
      <c r="A38" s="8">
        <v>11</v>
      </c>
      <c r="B38" s="9" t="s">
        <v>200</v>
      </c>
      <c r="C38" s="9" t="s">
        <v>201</v>
      </c>
      <c r="D38" s="9" t="s">
        <v>199</v>
      </c>
      <c r="E38" s="10">
        <v>900</v>
      </c>
      <c r="F38" s="11">
        <v>900.21960000000001</v>
      </c>
      <c r="G38" s="12">
        <v>1.786424E-2</v>
      </c>
      <c r="H38" s="40">
        <v>8.3550000000000004</v>
      </c>
    </row>
    <row r="39" spans="1:8" x14ac:dyDescent="0.2">
      <c r="A39" s="8">
        <v>12</v>
      </c>
      <c r="B39" s="9" t="s">
        <v>53</v>
      </c>
      <c r="C39" s="9" t="s">
        <v>54</v>
      </c>
      <c r="D39" s="9" t="s">
        <v>23</v>
      </c>
      <c r="E39" s="10">
        <v>500</v>
      </c>
      <c r="F39" s="11">
        <v>500.91800000000001</v>
      </c>
      <c r="G39" s="12">
        <v>9.9403700000000005E-3</v>
      </c>
      <c r="H39" s="40">
        <v>7.6600999999999999</v>
      </c>
    </row>
    <row r="40" spans="1:8" x14ac:dyDescent="0.2">
      <c r="A40" s="8">
        <v>13</v>
      </c>
      <c r="B40" s="9" t="s">
        <v>202</v>
      </c>
      <c r="C40" s="9" t="s">
        <v>203</v>
      </c>
      <c r="D40" s="9" t="s">
        <v>186</v>
      </c>
      <c r="E40" s="10">
        <v>500</v>
      </c>
      <c r="F40" s="11">
        <v>500.25599999999997</v>
      </c>
      <c r="G40" s="12">
        <v>9.9272400000000004E-3</v>
      </c>
      <c r="H40" s="40">
        <v>9.141</v>
      </c>
    </row>
    <row r="41" spans="1:8" ht="25.5" x14ac:dyDescent="0.2">
      <c r="A41" s="8">
        <v>14</v>
      </c>
      <c r="B41" s="9" t="s">
        <v>204</v>
      </c>
      <c r="C41" s="9" t="s">
        <v>205</v>
      </c>
      <c r="D41" s="9" t="s">
        <v>23</v>
      </c>
      <c r="E41" s="10">
        <v>500</v>
      </c>
      <c r="F41" s="11">
        <v>500.06450000000001</v>
      </c>
      <c r="G41" s="12">
        <v>9.9234400000000004E-3</v>
      </c>
      <c r="H41" s="40">
        <v>7.2850000000000001</v>
      </c>
    </row>
    <row r="42" spans="1:8" x14ac:dyDescent="0.2">
      <c r="A42" s="8">
        <v>15</v>
      </c>
      <c r="B42" s="9" t="s">
        <v>61</v>
      </c>
      <c r="C42" s="9" t="s">
        <v>62</v>
      </c>
      <c r="D42" s="9" t="s">
        <v>23</v>
      </c>
      <c r="E42" s="10">
        <v>500</v>
      </c>
      <c r="F42" s="11">
        <v>499.15649999999999</v>
      </c>
      <c r="G42" s="12">
        <v>9.9054199999999998E-3</v>
      </c>
      <c r="H42" s="40">
        <v>8.1850000000000005</v>
      </c>
    </row>
    <row r="43" spans="1:8" x14ac:dyDescent="0.2">
      <c r="A43" s="1"/>
      <c r="B43" s="1"/>
      <c r="C43" s="2" t="s">
        <v>11</v>
      </c>
      <c r="D43" s="1"/>
      <c r="E43" s="1" t="s">
        <v>12</v>
      </c>
      <c r="F43" s="7">
        <v>16525.684099999999</v>
      </c>
      <c r="G43" s="4">
        <v>0.32794085000000001</v>
      </c>
      <c r="H43" s="40" t="s">
        <v>12</v>
      </c>
    </row>
    <row r="44" spans="1:8" x14ac:dyDescent="0.2">
      <c r="A44" s="1"/>
      <c r="B44" s="1"/>
      <c r="C44" s="5"/>
      <c r="D44" s="1"/>
      <c r="E44" s="1"/>
      <c r="F44" s="6"/>
      <c r="G44" s="6"/>
      <c r="H44" s="40" t="s">
        <v>12</v>
      </c>
    </row>
    <row r="45" spans="1:8" x14ac:dyDescent="0.2">
      <c r="A45" s="1"/>
      <c r="B45" s="1"/>
      <c r="C45" s="2" t="s">
        <v>63</v>
      </c>
      <c r="D45" s="1"/>
      <c r="E45" s="1"/>
      <c r="F45" s="1"/>
      <c r="G45" s="1"/>
      <c r="H45" s="40" t="s">
        <v>12</v>
      </c>
    </row>
    <row r="46" spans="1:8" x14ac:dyDescent="0.2">
      <c r="A46" s="1"/>
      <c r="B46" s="1"/>
      <c r="C46" s="2" t="s">
        <v>11</v>
      </c>
      <c r="D46" s="1"/>
      <c r="E46" s="1" t="s">
        <v>12</v>
      </c>
      <c r="F46" s="3" t="s">
        <v>13</v>
      </c>
      <c r="G46" s="4">
        <v>0</v>
      </c>
      <c r="H46" s="40" t="s">
        <v>12</v>
      </c>
    </row>
    <row r="47" spans="1:8" x14ac:dyDescent="0.2">
      <c r="A47" s="1"/>
      <c r="B47" s="1"/>
      <c r="C47" s="5"/>
      <c r="D47" s="1"/>
      <c r="E47" s="1"/>
      <c r="F47" s="6"/>
      <c r="G47" s="6"/>
      <c r="H47" s="40" t="s">
        <v>12</v>
      </c>
    </row>
    <row r="48" spans="1:8" x14ac:dyDescent="0.2">
      <c r="A48" s="1"/>
      <c r="B48" s="1"/>
      <c r="C48" s="2" t="s">
        <v>64</v>
      </c>
      <c r="D48" s="1"/>
      <c r="E48" s="1"/>
      <c r="F48" s="1"/>
      <c r="G48" s="1"/>
      <c r="H48" s="40" t="s">
        <v>12</v>
      </c>
    </row>
    <row r="49" spans="1:8" x14ac:dyDescent="0.2">
      <c r="A49" s="8">
        <v>1</v>
      </c>
      <c r="B49" s="9" t="s">
        <v>206</v>
      </c>
      <c r="C49" s="9" t="s">
        <v>207</v>
      </c>
      <c r="D49" s="9" t="s">
        <v>67</v>
      </c>
      <c r="E49" s="10">
        <v>1500000</v>
      </c>
      <c r="F49" s="11">
        <v>1513.1849999999999</v>
      </c>
      <c r="G49" s="12">
        <v>3.0028119999999998E-2</v>
      </c>
      <c r="H49" s="40">
        <v>7.1771000000000003</v>
      </c>
    </row>
    <row r="50" spans="1:8" x14ac:dyDescent="0.2">
      <c r="A50" s="8">
        <v>2</v>
      </c>
      <c r="B50" s="9" t="s">
        <v>129</v>
      </c>
      <c r="C50" s="9" t="s">
        <v>130</v>
      </c>
      <c r="D50" s="9" t="s">
        <v>67</v>
      </c>
      <c r="E50" s="10">
        <v>1000000</v>
      </c>
      <c r="F50" s="11">
        <v>1011.921</v>
      </c>
      <c r="G50" s="12">
        <v>2.0080879999999999E-2</v>
      </c>
      <c r="H50" s="40">
        <v>7.1711999999999998</v>
      </c>
    </row>
    <row r="51" spans="1:8" x14ac:dyDescent="0.2">
      <c r="A51" s="1"/>
      <c r="B51" s="1"/>
      <c r="C51" s="2" t="s">
        <v>11</v>
      </c>
      <c r="D51" s="1"/>
      <c r="E51" s="1" t="s">
        <v>12</v>
      </c>
      <c r="F51" s="7">
        <v>2525.1060000000002</v>
      </c>
      <c r="G51" s="4">
        <v>5.0109000000000001E-2</v>
      </c>
      <c r="H51" s="40" t="s">
        <v>12</v>
      </c>
    </row>
    <row r="52" spans="1:8" x14ac:dyDescent="0.2">
      <c r="A52" s="1"/>
      <c r="B52" s="1"/>
      <c r="C52" s="5"/>
      <c r="D52" s="1"/>
      <c r="E52" s="1"/>
      <c r="F52" s="6"/>
      <c r="G52" s="6"/>
      <c r="H52" s="40" t="s">
        <v>12</v>
      </c>
    </row>
    <row r="53" spans="1:8" x14ac:dyDescent="0.2">
      <c r="A53" s="1"/>
      <c r="B53" s="1"/>
      <c r="C53" s="2" t="s">
        <v>74</v>
      </c>
      <c r="D53" s="1"/>
      <c r="E53" s="1"/>
      <c r="F53" s="6"/>
      <c r="G53" s="6"/>
      <c r="H53" s="40" t="s">
        <v>12</v>
      </c>
    </row>
    <row r="54" spans="1:8" x14ac:dyDescent="0.2">
      <c r="A54" s="1"/>
      <c r="B54" s="1"/>
      <c r="C54" s="2" t="s">
        <v>11</v>
      </c>
      <c r="D54" s="1"/>
      <c r="E54" s="1" t="s">
        <v>12</v>
      </c>
      <c r="F54" s="3" t="s">
        <v>13</v>
      </c>
      <c r="G54" s="4">
        <v>0</v>
      </c>
      <c r="H54" s="40" t="s">
        <v>12</v>
      </c>
    </row>
    <row r="55" spans="1:8" x14ac:dyDescent="0.2">
      <c r="A55" s="1"/>
      <c r="B55" s="1"/>
      <c r="C55" s="5"/>
      <c r="D55" s="1"/>
      <c r="E55" s="1"/>
      <c r="F55" s="6"/>
      <c r="G55" s="6"/>
      <c r="H55" s="40" t="s">
        <v>12</v>
      </c>
    </row>
    <row r="56" spans="1:8" x14ac:dyDescent="0.2">
      <c r="A56" s="1"/>
      <c r="B56" s="1"/>
      <c r="C56" s="2" t="s">
        <v>75</v>
      </c>
      <c r="D56" s="1"/>
      <c r="E56" s="1"/>
      <c r="F56" s="7">
        <v>19050.790099999998</v>
      </c>
      <c r="G56" s="4">
        <v>0.37804985000000002</v>
      </c>
      <c r="H56" s="40" t="s">
        <v>12</v>
      </c>
    </row>
    <row r="57" spans="1:8" x14ac:dyDescent="0.2">
      <c r="A57" s="1"/>
      <c r="B57" s="1"/>
      <c r="C57" s="5"/>
      <c r="D57" s="1"/>
      <c r="E57" s="1"/>
      <c r="F57" s="6"/>
      <c r="G57" s="6"/>
      <c r="H57" s="40" t="s">
        <v>12</v>
      </c>
    </row>
    <row r="58" spans="1:8" x14ac:dyDescent="0.2">
      <c r="A58" s="1"/>
      <c r="B58" s="1"/>
      <c r="C58" s="2" t="s">
        <v>76</v>
      </c>
      <c r="D58" s="1"/>
      <c r="E58" s="1"/>
      <c r="F58" s="6"/>
      <c r="G58" s="6"/>
      <c r="H58" s="40" t="s">
        <v>12</v>
      </c>
    </row>
    <row r="59" spans="1:8" x14ac:dyDescent="0.2">
      <c r="A59" s="1"/>
      <c r="B59" s="1"/>
      <c r="C59" s="2" t="s">
        <v>77</v>
      </c>
      <c r="D59" s="1"/>
      <c r="E59" s="1"/>
      <c r="F59" s="6"/>
      <c r="G59" s="6"/>
      <c r="H59" s="40" t="s">
        <v>12</v>
      </c>
    </row>
    <row r="60" spans="1:8" x14ac:dyDescent="0.2">
      <c r="A60" s="8">
        <v>1</v>
      </c>
      <c r="B60" s="9" t="s">
        <v>208</v>
      </c>
      <c r="C60" s="9" t="s">
        <v>209</v>
      </c>
      <c r="D60" s="9" t="s">
        <v>133</v>
      </c>
      <c r="E60" s="10">
        <v>500</v>
      </c>
      <c r="F60" s="11">
        <v>2366.6675</v>
      </c>
      <c r="G60" s="12">
        <v>4.6964890000000002E-2</v>
      </c>
      <c r="H60" s="40">
        <v>7.56</v>
      </c>
    </row>
    <row r="61" spans="1:8" x14ac:dyDescent="0.2">
      <c r="A61" s="8">
        <v>2</v>
      </c>
      <c r="B61" s="9" t="s">
        <v>210</v>
      </c>
      <c r="C61" s="9" t="s">
        <v>211</v>
      </c>
      <c r="D61" s="9" t="s">
        <v>133</v>
      </c>
      <c r="E61" s="10">
        <v>500</v>
      </c>
      <c r="F61" s="11">
        <v>2364.5349999999999</v>
      </c>
      <c r="G61" s="12">
        <v>4.6922569999999997E-2</v>
      </c>
      <c r="H61" s="40">
        <v>7.4950000000000001</v>
      </c>
    </row>
    <row r="62" spans="1:8" x14ac:dyDescent="0.2">
      <c r="A62" s="8">
        <v>3</v>
      </c>
      <c r="B62" s="9" t="s">
        <v>212</v>
      </c>
      <c r="C62" s="9" t="s">
        <v>213</v>
      </c>
      <c r="D62" s="9" t="s">
        <v>163</v>
      </c>
      <c r="E62" s="10">
        <v>300</v>
      </c>
      <c r="F62" s="11">
        <v>1465.614</v>
      </c>
      <c r="G62" s="12">
        <v>2.9084100000000002E-2</v>
      </c>
      <c r="H62" s="40">
        <v>7.2575000000000003</v>
      </c>
    </row>
    <row r="63" spans="1:8" x14ac:dyDescent="0.2">
      <c r="A63" s="8">
        <v>4</v>
      </c>
      <c r="B63" s="9" t="s">
        <v>134</v>
      </c>
      <c r="C63" s="9" t="s">
        <v>135</v>
      </c>
      <c r="D63" s="9" t="s">
        <v>133</v>
      </c>
      <c r="E63" s="10">
        <v>300</v>
      </c>
      <c r="F63" s="11">
        <v>1446.5685000000001</v>
      </c>
      <c r="G63" s="12">
        <v>2.8706160000000001E-2</v>
      </c>
      <c r="H63" s="40">
        <v>7.49</v>
      </c>
    </row>
    <row r="64" spans="1:8" ht="25.5" x14ac:dyDescent="0.2">
      <c r="A64" s="8">
        <v>5</v>
      </c>
      <c r="B64" s="9" t="s">
        <v>214</v>
      </c>
      <c r="C64" s="9" t="s">
        <v>215</v>
      </c>
      <c r="D64" s="9" t="s">
        <v>133</v>
      </c>
      <c r="E64" s="10">
        <v>300</v>
      </c>
      <c r="F64" s="11">
        <v>1442.7465</v>
      </c>
      <c r="G64" s="12">
        <v>2.8630309999999999E-2</v>
      </c>
      <c r="H64" s="40">
        <v>7.5049999999999999</v>
      </c>
    </row>
    <row r="65" spans="1:8" x14ac:dyDescent="0.2">
      <c r="A65" s="8">
        <v>6</v>
      </c>
      <c r="B65" s="9" t="s">
        <v>216</v>
      </c>
      <c r="C65" s="9" t="s">
        <v>217</v>
      </c>
      <c r="D65" s="9" t="s">
        <v>133</v>
      </c>
      <c r="E65" s="10">
        <v>300</v>
      </c>
      <c r="F65" s="11">
        <v>1433.7764999999999</v>
      </c>
      <c r="G65" s="12">
        <v>2.8452310000000001E-2</v>
      </c>
      <c r="H65" s="40">
        <v>7.56</v>
      </c>
    </row>
    <row r="66" spans="1:8" x14ac:dyDescent="0.2">
      <c r="A66" s="8">
        <v>7</v>
      </c>
      <c r="B66" s="9" t="s">
        <v>161</v>
      </c>
      <c r="C66" s="9" t="s">
        <v>162</v>
      </c>
      <c r="D66" s="9" t="s">
        <v>163</v>
      </c>
      <c r="E66" s="10">
        <v>200</v>
      </c>
      <c r="F66" s="11">
        <v>952.43899999999996</v>
      </c>
      <c r="G66" s="12">
        <v>1.8900500000000001E-2</v>
      </c>
      <c r="H66" s="40">
        <v>7.47</v>
      </c>
    </row>
    <row r="67" spans="1:8" ht="25.5" x14ac:dyDescent="0.2">
      <c r="A67" s="8">
        <v>8</v>
      </c>
      <c r="B67" s="9" t="s">
        <v>218</v>
      </c>
      <c r="C67" s="9" t="s">
        <v>219</v>
      </c>
      <c r="D67" s="9" t="s">
        <v>133</v>
      </c>
      <c r="E67" s="10">
        <v>200</v>
      </c>
      <c r="F67" s="11">
        <v>950.89200000000005</v>
      </c>
      <c r="G67" s="12">
        <v>1.8869799999999999E-2</v>
      </c>
      <c r="H67" s="40">
        <v>7.51</v>
      </c>
    </row>
    <row r="68" spans="1:8" x14ac:dyDescent="0.2">
      <c r="A68" s="8">
        <v>9</v>
      </c>
      <c r="B68" s="9" t="s">
        <v>164</v>
      </c>
      <c r="C68" s="9" t="s">
        <v>165</v>
      </c>
      <c r="D68" s="9" t="s">
        <v>133</v>
      </c>
      <c r="E68" s="10">
        <v>200</v>
      </c>
      <c r="F68" s="11">
        <v>950.774</v>
      </c>
      <c r="G68" s="12">
        <v>1.8867459999999999E-2</v>
      </c>
      <c r="H68" s="40">
        <v>7.62</v>
      </c>
    </row>
    <row r="69" spans="1:8" x14ac:dyDescent="0.2">
      <c r="A69" s="8">
        <v>10</v>
      </c>
      <c r="B69" s="9" t="s">
        <v>140</v>
      </c>
      <c r="C69" s="9" t="s">
        <v>141</v>
      </c>
      <c r="D69" s="9" t="s">
        <v>142</v>
      </c>
      <c r="E69" s="10">
        <v>200</v>
      </c>
      <c r="F69" s="11">
        <v>948.57799999999997</v>
      </c>
      <c r="G69" s="12">
        <v>1.8823880000000001E-2</v>
      </c>
      <c r="H69" s="40">
        <v>7.4950000000000001</v>
      </c>
    </row>
    <row r="70" spans="1:8" x14ac:dyDescent="0.2">
      <c r="A70" s="8">
        <v>11</v>
      </c>
      <c r="B70" s="9" t="s">
        <v>151</v>
      </c>
      <c r="C70" s="9" t="s">
        <v>152</v>
      </c>
      <c r="D70" s="9" t="s">
        <v>133</v>
      </c>
      <c r="E70" s="10">
        <v>200</v>
      </c>
      <c r="F70" s="11">
        <v>948.154</v>
      </c>
      <c r="G70" s="12">
        <v>1.8815459999999999E-2</v>
      </c>
      <c r="H70" s="40">
        <v>7.56</v>
      </c>
    </row>
    <row r="71" spans="1:8" x14ac:dyDescent="0.2">
      <c r="A71" s="8">
        <v>12</v>
      </c>
      <c r="B71" s="9" t="s">
        <v>157</v>
      </c>
      <c r="C71" s="9" t="s">
        <v>158</v>
      </c>
      <c r="D71" s="9" t="s">
        <v>133</v>
      </c>
      <c r="E71" s="10">
        <v>200</v>
      </c>
      <c r="F71" s="11">
        <v>947.48</v>
      </c>
      <c r="G71" s="12">
        <v>1.880209E-2</v>
      </c>
      <c r="H71" s="40">
        <v>7.6349999999999998</v>
      </c>
    </row>
    <row r="72" spans="1:8" ht="25.5" x14ac:dyDescent="0.2">
      <c r="A72" s="8">
        <v>13</v>
      </c>
      <c r="B72" s="9" t="s">
        <v>220</v>
      </c>
      <c r="C72" s="9" t="s">
        <v>221</v>
      </c>
      <c r="D72" s="9" t="s">
        <v>133</v>
      </c>
      <c r="E72" s="10">
        <v>200</v>
      </c>
      <c r="F72" s="11">
        <v>947.37</v>
      </c>
      <c r="G72" s="12">
        <v>1.879991E-2</v>
      </c>
      <c r="H72" s="40">
        <v>7.51</v>
      </c>
    </row>
    <row r="73" spans="1:8" x14ac:dyDescent="0.2">
      <c r="A73" s="8">
        <v>14</v>
      </c>
      <c r="B73" s="9" t="s">
        <v>159</v>
      </c>
      <c r="C73" s="9" t="s">
        <v>160</v>
      </c>
      <c r="D73" s="9" t="s">
        <v>133</v>
      </c>
      <c r="E73" s="10">
        <v>200</v>
      </c>
      <c r="F73" s="11">
        <v>946.78499999999997</v>
      </c>
      <c r="G73" s="12">
        <v>1.8788300000000001E-2</v>
      </c>
      <c r="H73" s="40">
        <v>7.6550000000000002</v>
      </c>
    </row>
    <row r="74" spans="1:8" x14ac:dyDescent="0.2">
      <c r="A74" s="8">
        <v>15</v>
      </c>
      <c r="B74" s="9" t="s">
        <v>145</v>
      </c>
      <c r="C74" s="9" t="s">
        <v>146</v>
      </c>
      <c r="D74" s="9" t="s">
        <v>133</v>
      </c>
      <c r="E74" s="10">
        <v>200</v>
      </c>
      <c r="F74" s="11">
        <v>943.46699999999998</v>
      </c>
      <c r="G74" s="12">
        <v>1.8722450000000002E-2</v>
      </c>
      <c r="H74" s="40">
        <v>7.49</v>
      </c>
    </row>
    <row r="75" spans="1:8" x14ac:dyDescent="0.2">
      <c r="A75" s="8">
        <v>16</v>
      </c>
      <c r="B75" s="9" t="s">
        <v>147</v>
      </c>
      <c r="C75" s="9" t="s">
        <v>148</v>
      </c>
      <c r="D75" s="9" t="s">
        <v>133</v>
      </c>
      <c r="E75" s="10">
        <v>200</v>
      </c>
      <c r="F75" s="11">
        <v>930.41899999999998</v>
      </c>
      <c r="G75" s="12">
        <v>1.8463529999999999E-2</v>
      </c>
      <c r="H75" s="40">
        <v>7.6675000000000004</v>
      </c>
    </row>
    <row r="76" spans="1:8" x14ac:dyDescent="0.2">
      <c r="A76" s="1"/>
      <c r="B76" s="1"/>
      <c r="C76" s="2" t="s">
        <v>11</v>
      </c>
      <c r="D76" s="1"/>
      <c r="E76" s="1" t="s">
        <v>12</v>
      </c>
      <c r="F76" s="7">
        <v>19986.266</v>
      </c>
      <c r="G76" s="4">
        <v>0.39661372</v>
      </c>
      <c r="H76" s="40" t="s">
        <v>12</v>
      </c>
    </row>
    <row r="77" spans="1:8" x14ac:dyDescent="0.2">
      <c r="A77" s="1"/>
      <c r="B77" s="1"/>
      <c r="C77" s="5"/>
      <c r="D77" s="1"/>
      <c r="E77" s="1"/>
      <c r="F77" s="6"/>
      <c r="G77" s="6"/>
      <c r="H77" s="40" t="s">
        <v>12</v>
      </c>
    </row>
    <row r="78" spans="1:8" x14ac:dyDescent="0.2">
      <c r="A78" s="1"/>
      <c r="B78" s="1"/>
      <c r="C78" s="2" t="s">
        <v>78</v>
      </c>
      <c r="D78" s="1"/>
      <c r="E78" s="1"/>
      <c r="F78" s="6"/>
      <c r="G78" s="6"/>
      <c r="H78" s="40" t="s">
        <v>12</v>
      </c>
    </row>
    <row r="79" spans="1:8" ht="25.5" x14ac:dyDescent="0.2">
      <c r="A79" s="8">
        <v>1</v>
      </c>
      <c r="B79" s="9" t="s">
        <v>222</v>
      </c>
      <c r="C79" s="9" t="s">
        <v>223</v>
      </c>
      <c r="D79" s="9" t="s">
        <v>133</v>
      </c>
      <c r="E79" s="10">
        <v>300</v>
      </c>
      <c r="F79" s="11">
        <v>1400.367</v>
      </c>
      <c r="G79" s="12">
        <v>2.7789319999999999E-2</v>
      </c>
      <c r="H79" s="40">
        <v>9.08</v>
      </c>
    </row>
    <row r="80" spans="1:8" x14ac:dyDescent="0.2">
      <c r="A80" s="8">
        <v>2</v>
      </c>
      <c r="B80" s="9" t="s">
        <v>224</v>
      </c>
      <c r="C80" s="9" t="s">
        <v>225</v>
      </c>
      <c r="D80" s="9" t="s">
        <v>133</v>
      </c>
      <c r="E80" s="10">
        <v>200</v>
      </c>
      <c r="F80" s="11">
        <v>999.39099999999996</v>
      </c>
      <c r="G80" s="12">
        <v>1.9832229999999999E-2</v>
      </c>
      <c r="H80" s="40">
        <v>7.4109999999999996</v>
      </c>
    </row>
    <row r="81" spans="1:8" x14ac:dyDescent="0.2">
      <c r="A81" s="8">
        <v>3</v>
      </c>
      <c r="B81" s="9" t="s">
        <v>226</v>
      </c>
      <c r="C81" s="9" t="s">
        <v>227</v>
      </c>
      <c r="D81" s="9" t="s">
        <v>133</v>
      </c>
      <c r="E81" s="10">
        <v>200</v>
      </c>
      <c r="F81" s="11">
        <v>982.471</v>
      </c>
      <c r="G81" s="12">
        <v>1.949646E-2</v>
      </c>
      <c r="H81" s="40">
        <v>8.0399999999999991</v>
      </c>
    </row>
    <row r="82" spans="1:8" ht="25.5" x14ac:dyDescent="0.2">
      <c r="A82" s="8">
        <v>4</v>
      </c>
      <c r="B82" s="9" t="s">
        <v>228</v>
      </c>
      <c r="C82" s="9" t="s">
        <v>229</v>
      </c>
      <c r="D82" s="9" t="s">
        <v>133</v>
      </c>
      <c r="E82" s="10">
        <v>200</v>
      </c>
      <c r="F82" s="11">
        <v>944.26499999999999</v>
      </c>
      <c r="G82" s="12">
        <v>1.8738290000000001E-2</v>
      </c>
      <c r="H82" s="40">
        <v>8.1300000000000008</v>
      </c>
    </row>
    <row r="83" spans="1:8" x14ac:dyDescent="0.2">
      <c r="A83" s="8">
        <v>5</v>
      </c>
      <c r="B83" s="9" t="s">
        <v>230</v>
      </c>
      <c r="C83" s="9" t="s">
        <v>231</v>
      </c>
      <c r="D83" s="9" t="s">
        <v>163</v>
      </c>
      <c r="E83" s="10">
        <v>100</v>
      </c>
      <c r="F83" s="11">
        <v>494.13549999999998</v>
      </c>
      <c r="G83" s="12">
        <v>9.8057800000000001E-3</v>
      </c>
      <c r="H83" s="40">
        <v>7.22</v>
      </c>
    </row>
    <row r="84" spans="1:8" ht="25.5" x14ac:dyDescent="0.2">
      <c r="A84" s="8">
        <v>6</v>
      </c>
      <c r="B84" s="9" t="s">
        <v>232</v>
      </c>
      <c r="C84" s="9" t="s">
        <v>233</v>
      </c>
      <c r="D84" s="9" t="s">
        <v>133</v>
      </c>
      <c r="E84" s="10">
        <v>100</v>
      </c>
      <c r="F84" s="11">
        <v>488.93099999999998</v>
      </c>
      <c r="G84" s="12">
        <v>9.7024999999999993E-3</v>
      </c>
      <c r="H84" s="40">
        <v>8.1013000000000002</v>
      </c>
    </row>
    <row r="85" spans="1:8" x14ac:dyDescent="0.2">
      <c r="A85" s="1"/>
      <c r="B85" s="1"/>
      <c r="C85" s="2" t="s">
        <v>11</v>
      </c>
      <c r="D85" s="1"/>
      <c r="E85" s="1" t="s">
        <v>12</v>
      </c>
      <c r="F85" s="7">
        <v>5309.5604999999996</v>
      </c>
      <c r="G85" s="4">
        <v>0.10536458</v>
      </c>
      <c r="H85" s="40" t="s">
        <v>12</v>
      </c>
    </row>
    <row r="86" spans="1:8" x14ac:dyDescent="0.2">
      <c r="A86" s="1"/>
      <c r="B86" s="1"/>
      <c r="C86" s="5"/>
      <c r="D86" s="1"/>
      <c r="E86" s="1"/>
      <c r="F86" s="6"/>
      <c r="G86" s="6"/>
      <c r="H86" s="40" t="s">
        <v>12</v>
      </c>
    </row>
    <row r="87" spans="1:8" x14ac:dyDescent="0.2">
      <c r="A87" s="1"/>
      <c r="B87" s="1"/>
      <c r="C87" s="2" t="s">
        <v>79</v>
      </c>
      <c r="D87" s="1"/>
      <c r="E87" s="1"/>
      <c r="F87" s="6"/>
      <c r="G87" s="6"/>
      <c r="H87" s="40" t="s">
        <v>12</v>
      </c>
    </row>
    <row r="88" spans="1:8" x14ac:dyDescent="0.2">
      <c r="A88" s="8">
        <v>1</v>
      </c>
      <c r="B88" s="9" t="s">
        <v>234</v>
      </c>
      <c r="C88" s="9" t="s">
        <v>235</v>
      </c>
      <c r="D88" s="9" t="s">
        <v>67</v>
      </c>
      <c r="E88" s="10">
        <v>2500000</v>
      </c>
      <c r="F88" s="11">
        <v>2422.7624999999998</v>
      </c>
      <c r="G88" s="12">
        <v>4.8078059999999999E-2</v>
      </c>
      <c r="H88" s="40">
        <v>7.01</v>
      </c>
    </row>
    <row r="89" spans="1:8" x14ac:dyDescent="0.2">
      <c r="A89" s="8">
        <v>2</v>
      </c>
      <c r="B89" s="9" t="s">
        <v>236</v>
      </c>
      <c r="C89" s="9" t="s">
        <v>237</v>
      </c>
      <c r="D89" s="9" t="s">
        <v>67</v>
      </c>
      <c r="E89" s="10">
        <v>2500000</v>
      </c>
      <c r="F89" s="11">
        <v>2382.25</v>
      </c>
      <c r="G89" s="12">
        <v>4.7274110000000001E-2</v>
      </c>
      <c r="H89" s="40">
        <v>7.02</v>
      </c>
    </row>
    <row r="90" spans="1:8" x14ac:dyDescent="0.2">
      <c r="A90" s="1"/>
      <c r="B90" s="1"/>
      <c r="C90" s="2" t="s">
        <v>11</v>
      </c>
      <c r="D90" s="1"/>
      <c r="E90" s="1" t="s">
        <v>12</v>
      </c>
      <c r="F90" s="7">
        <v>4805.0124999999998</v>
      </c>
      <c r="G90" s="4">
        <v>9.535217E-2</v>
      </c>
      <c r="H90" s="40" t="s">
        <v>12</v>
      </c>
    </row>
    <row r="91" spans="1:8" x14ac:dyDescent="0.2">
      <c r="A91" s="1"/>
      <c r="B91" s="1"/>
      <c r="C91" s="5"/>
      <c r="D91" s="1"/>
      <c r="E91" s="1"/>
      <c r="F91" s="6"/>
      <c r="G91" s="6"/>
      <c r="H91" s="40" t="s">
        <v>12</v>
      </c>
    </row>
    <row r="92" spans="1:8" x14ac:dyDescent="0.2">
      <c r="A92" s="1"/>
      <c r="B92" s="1"/>
      <c r="C92" s="2" t="s">
        <v>80</v>
      </c>
      <c r="D92" s="1"/>
      <c r="E92" s="1"/>
      <c r="F92" s="6"/>
      <c r="G92" s="6"/>
      <c r="H92" s="40" t="s">
        <v>12</v>
      </c>
    </row>
    <row r="93" spans="1:8" x14ac:dyDescent="0.2">
      <c r="A93" s="8">
        <v>1</v>
      </c>
      <c r="B93" s="9"/>
      <c r="C93" s="9" t="s">
        <v>81</v>
      </c>
      <c r="D93" s="9"/>
      <c r="E93" s="13"/>
      <c r="F93" s="11">
        <v>1315.486185905</v>
      </c>
      <c r="G93" s="12">
        <v>2.610492E-2</v>
      </c>
      <c r="H93" s="40">
        <v>6.6416448321270405</v>
      </c>
    </row>
    <row r="94" spans="1:8" x14ac:dyDescent="0.2">
      <c r="A94" s="1"/>
      <c r="B94" s="1"/>
      <c r="C94" s="2" t="s">
        <v>11</v>
      </c>
      <c r="D94" s="1"/>
      <c r="E94" s="1" t="s">
        <v>12</v>
      </c>
      <c r="F94" s="7">
        <v>1315.486185905</v>
      </c>
      <c r="G94" s="4">
        <v>2.610492E-2</v>
      </c>
      <c r="H94" s="40" t="s">
        <v>12</v>
      </c>
    </row>
    <row r="95" spans="1:8" x14ac:dyDescent="0.2">
      <c r="A95" s="1"/>
      <c r="B95" s="1"/>
      <c r="C95" s="5"/>
      <c r="D95" s="1"/>
      <c r="E95" s="1"/>
      <c r="F95" s="6"/>
      <c r="G95" s="6"/>
      <c r="H95" s="40" t="s">
        <v>12</v>
      </c>
    </row>
    <row r="96" spans="1:8" x14ac:dyDescent="0.2">
      <c r="A96" s="1"/>
      <c r="B96" s="1"/>
      <c r="C96" s="2" t="s">
        <v>82</v>
      </c>
      <c r="D96" s="1"/>
      <c r="E96" s="1"/>
      <c r="F96" s="7">
        <v>31416.325185905</v>
      </c>
      <c r="G96" s="4">
        <v>0.62343539000000003</v>
      </c>
      <c r="H96" s="40" t="s">
        <v>12</v>
      </c>
    </row>
    <row r="97" spans="1:18" x14ac:dyDescent="0.2">
      <c r="A97" s="1"/>
      <c r="B97" s="1"/>
      <c r="C97" s="6"/>
      <c r="D97" s="1"/>
      <c r="E97" s="1"/>
      <c r="F97" s="1"/>
      <c r="G97" s="1"/>
      <c r="H97" s="40" t="s">
        <v>12</v>
      </c>
    </row>
    <row r="98" spans="1:18" x14ac:dyDescent="0.2">
      <c r="A98" s="1"/>
      <c r="B98" s="1"/>
      <c r="C98" s="2" t="s">
        <v>83</v>
      </c>
      <c r="D98" s="1"/>
      <c r="E98" s="1"/>
      <c r="F98" s="1"/>
      <c r="G98" s="1"/>
      <c r="H98" s="40" t="s">
        <v>12</v>
      </c>
    </row>
    <row r="99" spans="1:18" x14ac:dyDescent="0.2">
      <c r="A99" s="1"/>
      <c r="B99" s="1"/>
      <c r="C99" s="2" t="s">
        <v>84</v>
      </c>
      <c r="D99" s="1"/>
      <c r="E99" s="1"/>
      <c r="F99" s="1"/>
      <c r="G99" s="1"/>
      <c r="H99" s="40" t="s">
        <v>12</v>
      </c>
    </row>
    <row r="100" spans="1:18" x14ac:dyDescent="0.2">
      <c r="A100" s="1"/>
      <c r="B100" s="1"/>
      <c r="C100" s="2" t="s">
        <v>11</v>
      </c>
      <c r="D100" s="1"/>
      <c r="E100" s="1" t="s">
        <v>12</v>
      </c>
      <c r="F100" s="3" t="s">
        <v>13</v>
      </c>
      <c r="G100" s="4">
        <v>0</v>
      </c>
      <c r="H100" s="40" t="s">
        <v>12</v>
      </c>
    </row>
    <row r="101" spans="1:18" x14ac:dyDescent="0.2">
      <c r="A101" s="1"/>
      <c r="B101" s="1"/>
      <c r="C101" s="5"/>
      <c r="D101" s="1"/>
      <c r="E101" s="1"/>
      <c r="F101" s="6"/>
      <c r="G101" s="6"/>
      <c r="H101" s="40" t="s">
        <v>12</v>
      </c>
    </row>
    <row r="102" spans="1:18" x14ac:dyDescent="0.2">
      <c r="A102" s="1"/>
      <c r="B102" s="1"/>
      <c r="C102" s="2" t="s">
        <v>87</v>
      </c>
      <c r="D102" s="1"/>
      <c r="E102" s="1"/>
      <c r="F102" s="1"/>
      <c r="G102" s="1"/>
      <c r="H102" s="40" t="s">
        <v>12</v>
      </c>
    </row>
    <row r="103" spans="1:18" x14ac:dyDescent="0.2">
      <c r="A103" s="1"/>
      <c r="B103" s="1"/>
      <c r="C103" s="2" t="s">
        <v>88</v>
      </c>
      <c r="D103" s="1"/>
      <c r="E103" s="1"/>
      <c r="F103" s="1"/>
      <c r="G103" s="1"/>
      <c r="H103" s="40" t="s">
        <v>12</v>
      </c>
    </row>
    <row r="104" spans="1:18" x14ac:dyDescent="0.2">
      <c r="A104" s="1"/>
      <c r="B104" s="1"/>
      <c r="C104" s="2" t="s">
        <v>11</v>
      </c>
      <c r="D104" s="1"/>
      <c r="E104" s="1" t="s">
        <v>12</v>
      </c>
      <c r="F104" s="3" t="s">
        <v>13</v>
      </c>
      <c r="G104" s="4">
        <v>0</v>
      </c>
      <c r="H104" s="40" t="s">
        <v>12</v>
      </c>
    </row>
    <row r="105" spans="1:18" x14ac:dyDescent="0.2">
      <c r="A105" s="1"/>
      <c r="B105" s="1"/>
      <c r="C105" s="5"/>
      <c r="D105" s="1"/>
      <c r="E105" s="1"/>
      <c r="F105" s="6"/>
      <c r="G105" s="6"/>
      <c r="H105" s="40" t="s">
        <v>12</v>
      </c>
    </row>
    <row r="106" spans="1:18" x14ac:dyDescent="0.2">
      <c r="A106" s="1"/>
      <c r="B106" s="1"/>
      <c r="C106" s="2" t="s">
        <v>89</v>
      </c>
      <c r="D106" s="1"/>
      <c r="E106" s="1"/>
      <c r="F106" s="6"/>
      <c r="G106" s="6"/>
      <c r="H106" s="40" t="s">
        <v>12</v>
      </c>
    </row>
    <row r="107" spans="1:18" x14ac:dyDescent="0.2">
      <c r="A107" s="1"/>
      <c r="B107" s="1"/>
      <c r="C107" s="2" t="s">
        <v>11</v>
      </c>
      <c r="D107" s="1"/>
      <c r="E107" s="1" t="s">
        <v>12</v>
      </c>
      <c r="F107" s="3" t="s">
        <v>13</v>
      </c>
      <c r="G107" s="4">
        <v>0</v>
      </c>
      <c r="H107" s="40" t="s">
        <v>12</v>
      </c>
    </row>
    <row r="108" spans="1:18" x14ac:dyDescent="0.2">
      <c r="A108" s="1"/>
      <c r="B108" s="1"/>
      <c r="C108" s="2"/>
      <c r="D108" s="1"/>
      <c r="E108" s="1"/>
      <c r="F108" s="3"/>
      <c r="G108" s="4"/>
      <c r="H108" s="40"/>
    </row>
    <row r="109" spans="1:18" x14ac:dyDescent="0.2">
      <c r="A109" s="42"/>
      <c r="B109" s="42"/>
      <c r="C109" s="43" t="s">
        <v>492</v>
      </c>
      <c r="D109" s="42"/>
      <c r="E109" s="42"/>
      <c r="F109" s="44"/>
      <c r="G109" s="44"/>
      <c r="H109" s="11"/>
      <c r="K109" s="45"/>
      <c r="L109" s="45"/>
      <c r="M109" s="45"/>
      <c r="N109" s="45"/>
      <c r="O109" s="45"/>
      <c r="P109" s="46"/>
      <c r="Q109" s="46"/>
      <c r="R109" s="46"/>
    </row>
    <row r="110" spans="1:18" x14ac:dyDescent="0.2">
      <c r="A110" s="8">
        <v>1</v>
      </c>
      <c r="B110" s="9" t="s">
        <v>85</v>
      </c>
      <c r="C110" s="9" t="s">
        <v>86</v>
      </c>
      <c r="D110" s="9"/>
      <c r="E110" s="14">
        <v>1043.4449999999999</v>
      </c>
      <c r="F110" s="11">
        <v>106.96065452000001</v>
      </c>
      <c r="G110" s="12">
        <v>2.1225599999999999E-3</v>
      </c>
      <c r="H110" s="40"/>
    </row>
    <row r="111" spans="1:18" x14ac:dyDescent="0.2">
      <c r="A111" s="1"/>
      <c r="B111" s="1"/>
      <c r="C111" s="2" t="s">
        <v>11</v>
      </c>
      <c r="D111" s="1"/>
      <c r="E111" s="1" t="s">
        <v>12</v>
      </c>
      <c r="F111" s="7">
        <v>106.96065452000001</v>
      </c>
      <c r="G111" s="4">
        <v>2.1225599999999999E-3</v>
      </c>
      <c r="H111" s="40" t="s">
        <v>12</v>
      </c>
    </row>
    <row r="112" spans="1:18" x14ac:dyDescent="0.2">
      <c r="A112" s="1"/>
      <c r="B112" s="9"/>
      <c r="C112" s="9"/>
      <c r="D112" s="2"/>
      <c r="E112" s="1"/>
      <c r="F112" s="9"/>
      <c r="G112" s="13"/>
      <c r="H112" s="40"/>
    </row>
    <row r="113" spans="1:8" x14ac:dyDescent="0.2">
      <c r="A113" s="1"/>
      <c r="B113" s="1"/>
      <c r="C113" s="5"/>
      <c r="D113" s="1"/>
      <c r="E113" s="1"/>
      <c r="F113" s="6"/>
      <c r="G113" s="6"/>
      <c r="H113" s="40" t="s">
        <v>12</v>
      </c>
    </row>
    <row r="114" spans="1:8" x14ac:dyDescent="0.2">
      <c r="A114" s="1"/>
      <c r="B114" s="9"/>
      <c r="C114" s="9"/>
      <c r="D114" s="2"/>
      <c r="E114" s="1"/>
      <c r="F114" s="9"/>
      <c r="G114" s="13"/>
      <c r="H114" s="40" t="s">
        <v>12</v>
      </c>
    </row>
    <row r="115" spans="1:8" x14ac:dyDescent="0.2">
      <c r="A115" s="13"/>
      <c r="B115" s="9"/>
      <c r="C115" s="9" t="s">
        <v>90</v>
      </c>
      <c r="D115" s="9"/>
      <c r="E115" s="13"/>
      <c r="F115" s="11">
        <v>-181.80197353</v>
      </c>
      <c r="G115" s="12">
        <v>-3.6077399999999999E-3</v>
      </c>
      <c r="H115" s="40" t="s">
        <v>12</v>
      </c>
    </row>
    <row r="116" spans="1:8" x14ac:dyDescent="0.2">
      <c r="A116" s="5"/>
      <c r="B116" s="5"/>
      <c r="C116" s="2" t="s">
        <v>91</v>
      </c>
      <c r="D116" s="6"/>
      <c r="E116" s="6"/>
      <c r="F116" s="7">
        <v>50392.273966895002</v>
      </c>
      <c r="G116" s="15">
        <v>1.0000000600000001</v>
      </c>
      <c r="H116" s="40"/>
    </row>
    <row r="117" spans="1:8" x14ac:dyDescent="0.2">
      <c r="A117" s="16"/>
      <c r="B117" s="16"/>
      <c r="C117" s="16"/>
      <c r="D117" s="17"/>
      <c r="E117" s="17"/>
      <c r="F117" s="17"/>
      <c r="G117" s="17"/>
    </row>
    <row r="118" spans="1:8" ht="12.75" customHeight="1" x14ac:dyDescent="0.2">
      <c r="A118" s="18"/>
      <c r="B118" s="102" t="s">
        <v>493</v>
      </c>
      <c r="C118" s="102"/>
      <c r="D118" s="102"/>
      <c r="E118" s="102"/>
      <c r="F118" s="102"/>
      <c r="G118" s="102"/>
      <c r="H118" s="102"/>
    </row>
    <row r="119" spans="1:8" ht="12.75" customHeight="1" x14ac:dyDescent="0.2">
      <c r="A119" s="18"/>
      <c r="B119" s="102" t="s">
        <v>494</v>
      </c>
      <c r="C119" s="102"/>
      <c r="D119" s="102"/>
      <c r="E119" s="102"/>
      <c r="F119" s="102"/>
      <c r="G119" s="102"/>
      <c r="H119" s="102"/>
    </row>
    <row r="120" spans="1:8" ht="12.75" customHeight="1" x14ac:dyDescent="0.2">
      <c r="A120" s="18"/>
      <c r="B120" s="102" t="s">
        <v>495</v>
      </c>
      <c r="C120" s="102"/>
      <c r="D120" s="102"/>
      <c r="E120" s="102"/>
      <c r="F120" s="102"/>
      <c r="G120" s="102"/>
      <c r="H120" s="102"/>
    </row>
    <row r="121" spans="1:8" x14ac:dyDescent="0.2">
      <c r="A121" s="18"/>
      <c r="B121" s="18"/>
      <c r="C121" s="18"/>
      <c r="D121" s="20"/>
      <c r="E121" s="20"/>
      <c r="F121" s="20"/>
      <c r="G121" s="20"/>
    </row>
    <row r="122" spans="1:8" ht="14.1" customHeight="1" x14ac:dyDescent="0.2">
      <c r="A122" s="18"/>
      <c r="B122" s="103" t="s">
        <v>92</v>
      </c>
      <c r="C122" s="104"/>
      <c r="D122" s="105"/>
      <c r="E122" s="21"/>
      <c r="F122" s="20"/>
      <c r="G122" s="20"/>
    </row>
    <row r="123" spans="1:8" ht="29.1" customHeight="1" x14ac:dyDescent="0.2">
      <c r="A123" s="18"/>
      <c r="B123" s="99" t="s">
        <v>93</v>
      </c>
      <c r="C123" s="100"/>
      <c r="D123" s="43" t="s">
        <v>599</v>
      </c>
      <c r="E123" s="21"/>
      <c r="F123" s="20"/>
      <c r="G123" s="20"/>
    </row>
    <row r="124" spans="1:8" ht="17.100000000000001" customHeight="1" x14ac:dyDescent="0.2">
      <c r="A124" s="18"/>
      <c r="B124" s="99" t="s">
        <v>95</v>
      </c>
      <c r="C124" s="100"/>
      <c r="D124" s="2" t="s">
        <v>94</v>
      </c>
      <c r="E124" s="21"/>
      <c r="F124" s="20"/>
      <c r="G124" s="20"/>
    </row>
    <row r="125" spans="1:8" ht="17.100000000000001" customHeight="1" x14ac:dyDescent="0.2">
      <c r="A125" s="18"/>
      <c r="B125" s="99" t="s">
        <v>96</v>
      </c>
      <c r="C125" s="100"/>
      <c r="D125" s="6" t="s">
        <v>12</v>
      </c>
      <c r="E125" s="21"/>
      <c r="F125" s="20"/>
      <c r="G125" s="20"/>
    </row>
    <row r="126" spans="1:8" x14ac:dyDescent="0.2">
      <c r="A126" s="22"/>
      <c r="B126" s="23" t="s">
        <v>12</v>
      </c>
      <c r="C126" s="23" t="s">
        <v>531</v>
      </c>
      <c r="D126" s="23" t="s">
        <v>97</v>
      </c>
      <c r="E126" s="22"/>
      <c r="F126" s="22"/>
      <c r="G126" s="22"/>
      <c r="H126" s="87"/>
    </row>
    <row r="127" spans="1:8" ht="18" customHeight="1" x14ac:dyDescent="0.2">
      <c r="A127" s="22"/>
      <c r="B127" s="24" t="s">
        <v>98</v>
      </c>
      <c r="C127" s="98" t="s">
        <v>594</v>
      </c>
      <c r="D127" s="98" t="s">
        <v>529</v>
      </c>
      <c r="E127" s="22"/>
      <c r="F127" s="22"/>
      <c r="G127" s="22"/>
    </row>
    <row r="128" spans="1:8" ht="17.100000000000001" customHeight="1" x14ac:dyDescent="0.2">
      <c r="A128" s="22"/>
      <c r="B128" s="9" t="s">
        <v>99</v>
      </c>
      <c r="C128" s="25">
        <v>3389.9690999999998</v>
      </c>
      <c r="D128" s="25">
        <v>3400.3391999999999</v>
      </c>
      <c r="E128" s="22"/>
      <c r="F128" s="19"/>
      <c r="G128" s="26"/>
    </row>
    <row r="129" spans="1:7" ht="29.1" customHeight="1" x14ac:dyDescent="0.2">
      <c r="A129" s="22"/>
      <c r="B129" s="9" t="s">
        <v>547</v>
      </c>
      <c r="C129" s="25">
        <v>1009.6449</v>
      </c>
      <c r="D129" s="25">
        <v>1009.6449</v>
      </c>
      <c r="E129" s="22"/>
      <c r="F129" s="19"/>
      <c r="G129" s="26"/>
    </row>
    <row r="130" spans="1:7" ht="29.1" customHeight="1" x14ac:dyDescent="0.2">
      <c r="A130" s="22"/>
      <c r="B130" s="9" t="s">
        <v>548</v>
      </c>
      <c r="C130" s="25">
        <v>1006.1286</v>
      </c>
      <c r="D130" s="25">
        <v>1006.0749</v>
      </c>
      <c r="E130" s="22"/>
      <c r="F130" s="19"/>
      <c r="G130" s="26"/>
    </row>
    <row r="131" spans="1:7" ht="29.1" customHeight="1" x14ac:dyDescent="0.2">
      <c r="A131" s="22"/>
      <c r="B131" s="9" t="s">
        <v>553</v>
      </c>
      <c r="C131" s="25">
        <v>1096.1599000000001</v>
      </c>
      <c r="D131" s="25">
        <v>1096.0997</v>
      </c>
      <c r="E131" s="22"/>
      <c r="F131" s="19"/>
      <c r="G131" s="26"/>
    </row>
    <row r="132" spans="1:7" ht="29.1" customHeight="1" x14ac:dyDescent="0.2">
      <c r="A132" s="22"/>
      <c r="B132" s="9" t="s">
        <v>544</v>
      </c>
      <c r="C132" s="25">
        <v>1100.7401</v>
      </c>
      <c r="D132" s="25">
        <v>1097.8989999999999</v>
      </c>
      <c r="E132" s="22"/>
      <c r="F132" s="19"/>
      <c r="G132" s="26"/>
    </row>
    <row r="133" spans="1:7" ht="29.1" customHeight="1" x14ac:dyDescent="0.2">
      <c r="A133" s="22"/>
      <c r="B133" s="9" t="s">
        <v>541</v>
      </c>
      <c r="C133" s="25">
        <v>1194.4478999999999</v>
      </c>
      <c r="D133" s="25">
        <v>1198.1017999999999</v>
      </c>
      <c r="E133" s="22"/>
      <c r="F133" s="19"/>
      <c r="G133" s="26"/>
    </row>
    <row r="134" spans="1:7" ht="17.100000000000001" customHeight="1" x14ac:dyDescent="0.2">
      <c r="A134" s="22"/>
      <c r="B134" s="9" t="s">
        <v>100</v>
      </c>
      <c r="C134" s="25">
        <v>3188.6323000000002</v>
      </c>
      <c r="D134" s="25">
        <v>3197.3775999999998</v>
      </c>
      <c r="E134" s="22"/>
      <c r="F134" s="19"/>
      <c r="G134" s="26"/>
    </row>
    <row r="135" spans="1:7" ht="17.100000000000001" customHeight="1" x14ac:dyDescent="0.2">
      <c r="A135" s="22"/>
      <c r="B135" s="9" t="s">
        <v>138</v>
      </c>
      <c r="C135" s="25">
        <v>1234.8702000000001</v>
      </c>
      <c r="D135" s="25">
        <v>1238.2566999999999</v>
      </c>
      <c r="E135" s="22"/>
      <c r="F135" s="19"/>
      <c r="G135" s="26"/>
    </row>
    <row r="136" spans="1:7" ht="29.1" customHeight="1" x14ac:dyDescent="0.2">
      <c r="A136" s="22"/>
      <c r="B136" s="9" t="s">
        <v>550</v>
      </c>
      <c r="C136" s="25">
        <v>1015.7943</v>
      </c>
      <c r="D136" s="25">
        <v>1015.7943</v>
      </c>
      <c r="E136" s="22"/>
      <c r="F136" s="19"/>
      <c r="G136" s="26"/>
    </row>
    <row r="137" spans="1:7" ht="29.1" customHeight="1" x14ac:dyDescent="0.2">
      <c r="A137" s="22"/>
      <c r="B137" s="9" t="s">
        <v>551</v>
      </c>
      <c r="C137" s="25">
        <v>1009.8256</v>
      </c>
      <c r="D137" s="25">
        <v>1010.1386</v>
      </c>
      <c r="E137" s="22"/>
      <c r="F137" s="19"/>
      <c r="G137" s="26"/>
    </row>
    <row r="138" spans="1:7" ht="29.1" customHeight="1" x14ac:dyDescent="0.2">
      <c r="A138" s="22"/>
      <c r="B138" s="9" t="s">
        <v>552</v>
      </c>
      <c r="C138" s="25">
        <v>1086.3452</v>
      </c>
      <c r="D138" s="25">
        <v>1086.2437</v>
      </c>
      <c r="E138" s="22"/>
      <c r="F138" s="19"/>
      <c r="G138" s="26"/>
    </row>
    <row r="139" spans="1:7" ht="29.1" customHeight="1" x14ac:dyDescent="0.2">
      <c r="A139" s="22"/>
      <c r="B139" s="9" t="s">
        <v>546</v>
      </c>
      <c r="C139" s="25">
        <v>1090.3661</v>
      </c>
      <c r="D139" s="25">
        <v>1087.8738000000001</v>
      </c>
      <c r="E139" s="22"/>
      <c r="F139" s="19"/>
      <c r="G139" s="26"/>
    </row>
    <row r="140" spans="1:7" ht="29.1" customHeight="1" x14ac:dyDescent="0.2">
      <c r="A140" s="22"/>
      <c r="B140" s="9" t="s">
        <v>543</v>
      </c>
      <c r="C140" s="25">
        <v>1162.3242</v>
      </c>
      <c r="D140" s="25">
        <v>1165.5119</v>
      </c>
      <c r="E140" s="22"/>
      <c r="F140" s="19"/>
      <c r="G140" s="26"/>
    </row>
    <row r="141" spans="1:7" ht="14.1" customHeight="1" x14ac:dyDescent="0.2">
      <c r="A141" s="22"/>
      <c r="B141" s="22"/>
      <c r="C141" s="22"/>
      <c r="D141" s="22"/>
      <c r="E141" s="22"/>
      <c r="F141" s="22"/>
      <c r="G141" s="22"/>
    </row>
    <row r="142" spans="1:7" ht="17.100000000000001" customHeight="1" x14ac:dyDescent="0.2">
      <c r="A142" s="22"/>
      <c r="B142" s="99" t="s">
        <v>540</v>
      </c>
      <c r="C142" s="100"/>
      <c r="D142" s="2" t="s">
        <v>12</v>
      </c>
      <c r="E142" s="22"/>
      <c r="F142" s="22"/>
      <c r="G142" s="22"/>
    </row>
    <row r="143" spans="1:7" ht="18" customHeight="1" x14ac:dyDescent="0.2">
      <c r="A143" s="22"/>
      <c r="B143" s="27" t="s">
        <v>98</v>
      </c>
      <c r="C143" s="28" t="s">
        <v>101</v>
      </c>
      <c r="D143" s="28" t="s">
        <v>102</v>
      </c>
      <c r="E143" s="22"/>
      <c r="F143" s="22"/>
      <c r="G143" s="22"/>
    </row>
    <row r="144" spans="1:7" ht="29.1" customHeight="1" x14ac:dyDescent="0.2">
      <c r="A144" s="22"/>
      <c r="B144" s="9" t="s">
        <v>547</v>
      </c>
      <c r="C144" s="29">
        <v>3.0872449999999998</v>
      </c>
      <c r="D144" s="29">
        <v>3.0872449999999998</v>
      </c>
      <c r="E144" s="22"/>
      <c r="F144" s="19"/>
      <c r="G144" s="26"/>
    </row>
    <row r="145" spans="1:15" ht="29.1" customHeight="1" x14ac:dyDescent="0.2">
      <c r="A145" s="22"/>
      <c r="B145" s="9" t="s">
        <v>548</v>
      </c>
      <c r="C145" s="29">
        <v>4.2012999999999998</v>
      </c>
      <c r="D145" s="13" t="s">
        <v>103</v>
      </c>
      <c r="E145" s="22"/>
      <c r="F145" s="19"/>
      <c r="G145" s="26"/>
    </row>
    <row r="146" spans="1:15" ht="29.1" customHeight="1" x14ac:dyDescent="0.2">
      <c r="A146" s="22"/>
      <c r="B146" s="9" t="s">
        <v>553</v>
      </c>
      <c r="C146" s="29">
        <v>3.4089999999999998</v>
      </c>
      <c r="D146" s="13" t="s">
        <v>103</v>
      </c>
      <c r="E146" s="22"/>
      <c r="F146" s="19"/>
      <c r="G146" s="26"/>
    </row>
    <row r="147" spans="1:15" ht="29.1" customHeight="1" x14ac:dyDescent="0.2">
      <c r="A147" s="22"/>
      <c r="B147" s="9" t="s">
        <v>544</v>
      </c>
      <c r="C147" s="29">
        <v>6.1927000000000003</v>
      </c>
      <c r="D147" s="29">
        <v>6.1927000000000003</v>
      </c>
      <c r="E147" s="22"/>
      <c r="F147" s="19"/>
      <c r="G147" s="26"/>
    </row>
    <row r="148" spans="1:15" ht="29.1" customHeight="1" x14ac:dyDescent="0.2">
      <c r="A148" s="22"/>
      <c r="B148" s="9" t="s">
        <v>550</v>
      </c>
      <c r="C148" s="29">
        <v>2.7840569999999998</v>
      </c>
      <c r="D148" s="29">
        <v>2.7840569999999998</v>
      </c>
      <c r="E148" s="22"/>
      <c r="F148" s="19"/>
      <c r="G148" s="26"/>
    </row>
    <row r="149" spans="1:15" ht="29.1" customHeight="1" x14ac:dyDescent="0.2">
      <c r="A149" s="22"/>
      <c r="B149" s="9" t="s">
        <v>551</v>
      </c>
      <c r="C149" s="29">
        <v>3.6920000000000002</v>
      </c>
      <c r="D149" s="29">
        <v>3.6920000000000002</v>
      </c>
      <c r="E149" s="22"/>
      <c r="F149" s="19"/>
      <c r="G149" s="26"/>
    </row>
    <row r="150" spans="1:15" ht="29.1" customHeight="1" x14ac:dyDescent="0.2">
      <c r="A150" s="22"/>
      <c r="B150" s="9" t="s">
        <v>552</v>
      </c>
      <c r="C150" s="29">
        <v>3.0781000000000001</v>
      </c>
      <c r="D150" s="13" t="s">
        <v>103</v>
      </c>
      <c r="E150" s="22"/>
      <c r="F150" s="19"/>
      <c r="G150" s="26"/>
    </row>
    <row r="151" spans="1:15" ht="29.1" customHeight="1" x14ac:dyDescent="0.2">
      <c r="A151" s="22"/>
      <c r="B151" s="9" t="s">
        <v>546</v>
      </c>
      <c r="C151" s="29">
        <v>5.4713000000000003</v>
      </c>
      <c r="D151" s="29">
        <v>5.4713000000000003</v>
      </c>
      <c r="E151" s="22"/>
      <c r="F151" s="19"/>
      <c r="G151" s="26"/>
    </row>
    <row r="152" spans="1:15" x14ac:dyDescent="0.2">
      <c r="A152" s="22"/>
      <c r="B152" s="19"/>
      <c r="C152" s="19"/>
      <c r="D152" s="22"/>
      <c r="E152" s="22"/>
      <c r="F152" s="22"/>
      <c r="G152" s="22"/>
    </row>
    <row r="153" spans="1:15" s="47" customFormat="1" ht="17.100000000000001" customHeight="1" x14ac:dyDescent="0.2">
      <c r="A153" s="26"/>
      <c r="B153" s="99" t="s">
        <v>595</v>
      </c>
      <c r="C153" s="100"/>
      <c r="D153" s="2" t="s">
        <v>94</v>
      </c>
      <c r="G153" s="26"/>
      <c r="I153"/>
      <c r="J153" s="45"/>
      <c r="K153" s="45"/>
      <c r="L153" s="45"/>
      <c r="M153" s="45"/>
      <c r="N153" s="45"/>
      <c r="O153" s="53"/>
    </row>
    <row r="154" spans="1:15" x14ac:dyDescent="0.2">
      <c r="A154" s="22"/>
      <c r="B154" s="99" t="s">
        <v>596</v>
      </c>
      <c r="C154" s="100"/>
      <c r="D154" s="2" t="s">
        <v>94</v>
      </c>
      <c r="E154" s="32"/>
      <c r="F154" s="22"/>
      <c r="G154" s="22"/>
      <c r="I154" s="45"/>
    </row>
    <row r="155" spans="1:15" x14ac:dyDescent="0.2">
      <c r="A155" s="22"/>
      <c r="B155" s="99" t="s">
        <v>591</v>
      </c>
      <c r="C155" s="100"/>
      <c r="D155" s="2" t="s">
        <v>94</v>
      </c>
      <c r="E155" s="32"/>
      <c r="F155" s="22"/>
      <c r="G155" s="22"/>
    </row>
    <row r="156" spans="1:15" x14ac:dyDescent="0.2">
      <c r="A156" s="22"/>
      <c r="B156" s="99" t="s">
        <v>597</v>
      </c>
      <c r="C156" s="100"/>
      <c r="D156" s="2" t="s">
        <v>94</v>
      </c>
      <c r="E156" s="32"/>
      <c r="F156" s="22"/>
      <c r="G156" s="22"/>
    </row>
    <row r="157" spans="1:15" x14ac:dyDescent="0.2">
      <c r="A157" s="34"/>
      <c r="B157" s="34"/>
      <c r="C157" s="34"/>
      <c r="D157" s="34"/>
      <c r="E157" s="34"/>
      <c r="F157" s="34"/>
      <c r="G157" s="34"/>
    </row>
    <row r="158" spans="1:15" s="47" customFormat="1" ht="15" x14ac:dyDescent="0.25">
      <c r="B158" s="54" t="s">
        <v>598</v>
      </c>
      <c r="C158" s="54"/>
      <c r="D158" s="54"/>
      <c r="E158" s="54"/>
      <c r="F158" s="54"/>
      <c r="G158" s="54"/>
      <c r="H158" s="54"/>
      <c r="I158" s="64"/>
      <c r="J158" s="37"/>
      <c r="K158" s="45"/>
      <c r="L158" s="45"/>
      <c r="M158" s="45"/>
      <c r="N158" s="45"/>
      <c r="O158" s="53"/>
    </row>
    <row r="159" spans="1:15" s="47" customFormat="1" ht="7.5" customHeight="1" x14ac:dyDescent="0.2">
      <c r="B159" s="55"/>
      <c r="C159" s="55"/>
      <c r="D159" s="55"/>
      <c r="E159" s="55"/>
      <c r="F159" s="55"/>
      <c r="G159" s="55"/>
      <c r="H159" s="55"/>
      <c r="I159"/>
      <c r="J159" s="37"/>
      <c r="K159" s="45"/>
      <c r="L159" s="45"/>
      <c r="M159" s="45"/>
      <c r="N159" s="45"/>
      <c r="O159" s="53"/>
    </row>
    <row r="160" spans="1:15" s="47" customFormat="1" ht="63.75" x14ac:dyDescent="0.2">
      <c r="A160" s="56"/>
      <c r="B160" s="57" t="s">
        <v>505</v>
      </c>
      <c r="C160" s="57" t="s">
        <v>506</v>
      </c>
      <c r="D160" s="57" t="s">
        <v>507</v>
      </c>
      <c r="E160" s="57" t="s">
        <v>508</v>
      </c>
      <c r="F160" s="57" t="s">
        <v>509</v>
      </c>
      <c r="G160" s="55"/>
      <c r="H160" s="55"/>
      <c r="I160"/>
      <c r="J160" s="37"/>
      <c r="K160" s="45"/>
      <c r="L160" s="45"/>
      <c r="M160" s="45"/>
      <c r="N160" s="45"/>
      <c r="O160" s="53"/>
    </row>
    <row r="161" spans="1:20" s="47" customFormat="1" x14ac:dyDescent="0.2">
      <c r="A161" s="58"/>
      <c r="B161" s="59" t="s">
        <v>510</v>
      </c>
      <c r="C161" s="59" t="s">
        <v>511</v>
      </c>
      <c r="D161" s="60">
        <v>0</v>
      </c>
      <c r="E161" s="61">
        <v>0</v>
      </c>
      <c r="F161" s="62">
        <v>300</v>
      </c>
      <c r="G161" s="55"/>
      <c r="H161" s="55"/>
      <c r="I161" s="45"/>
      <c r="J161" s="37"/>
      <c r="K161" s="45"/>
      <c r="L161" s="45"/>
      <c r="M161" s="45"/>
      <c r="N161" s="45"/>
      <c r="O161" s="53"/>
    </row>
    <row r="162" spans="1:20" s="47" customFormat="1" x14ac:dyDescent="0.2">
      <c r="A162" s="63"/>
      <c r="B162" s="63"/>
      <c r="C162" s="63"/>
      <c r="D162" s="63"/>
      <c r="E162" s="63"/>
      <c r="F162" s="63"/>
      <c r="G162" s="63"/>
      <c r="I162" s="45"/>
      <c r="J162" s="37"/>
      <c r="K162" s="45"/>
      <c r="L162" s="45"/>
      <c r="M162" s="45"/>
      <c r="N162" s="45"/>
      <c r="O162" s="53"/>
    </row>
    <row r="163" spans="1:20" s="47" customFormat="1" x14ac:dyDescent="0.2">
      <c r="B163" s="106" t="s">
        <v>497</v>
      </c>
      <c r="C163" s="107"/>
      <c r="D163" s="108"/>
      <c r="I163" s="45"/>
      <c r="J163" s="37"/>
      <c r="K163" s="45"/>
      <c r="L163" s="45"/>
      <c r="M163" s="45"/>
      <c r="N163" s="45"/>
      <c r="O163" s="53"/>
    </row>
    <row r="164" spans="1:20" s="47" customFormat="1" ht="25.5" x14ac:dyDescent="0.2">
      <c r="B164" s="109" t="s">
        <v>498</v>
      </c>
      <c r="C164" s="109"/>
      <c r="D164" s="48" t="s">
        <v>178</v>
      </c>
      <c r="I164" s="45"/>
      <c r="J164" s="37"/>
      <c r="K164" s="45"/>
      <c r="L164" s="45"/>
      <c r="M164" s="45"/>
      <c r="N164" s="45"/>
      <c r="O164" s="53"/>
    </row>
    <row r="165" spans="1:20" s="47" customFormat="1" x14ac:dyDescent="0.2">
      <c r="B165" s="110" t="s">
        <v>499</v>
      </c>
      <c r="C165" s="110"/>
      <c r="D165" s="49"/>
      <c r="I165" s="45"/>
      <c r="J165" s="37"/>
      <c r="K165" s="45"/>
      <c r="L165" s="45"/>
      <c r="M165" s="45"/>
      <c r="N165" s="45"/>
      <c r="O165" s="53"/>
    </row>
    <row r="166" spans="1:20" s="47" customFormat="1" x14ac:dyDescent="0.2">
      <c r="B166" s="110"/>
      <c r="C166" s="110"/>
      <c r="D166" s="50"/>
      <c r="I166"/>
      <c r="J166" s="37"/>
      <c r="K166" s="45"/>
      <c r="L166" s="45"/>
      <c r="M166" s="45"/>
      <c r="N166" s="45"/>
      <c r="O166" s="53"/>
    </row>
    <row r="167" spans="1:20" s="47" customFormat="1" x14ac:dyDescent="0.2">
      <c r="B167" s="110" t="s">
        <v>500</v>
      </c>
      <c r="C167" s="110"/>
      <c r="D167" s="51">
        <v>7.7264805323529337</v>
      </c>
      <c r="I167"/>
      <c r="J167" s="37"/>
      <c r="K167" s="45"/>
      <c r="L167" s="45"/>
      <c r="M167" s="45"/>
      <c r="N167" s="45"/>
      <c r="O167" s="53"/>
    </row>
    <row r="168" spans="1:20" s="47" customFormat="1" x14ac:dyDescent="0.2">
      <c r="B168" s="110"/>
      <c r="C168" s="110"/>
      <c r="D168" s="50"/>
      <c r="I168"/>
      <c r="J168" s="37"/>
      <c r="K168" s="45"/>
      <c r="L168" s="45"/>
      <c r="M168" s="45"/>
      <c r="N168" s="45"/>
      <c r="O168" s="53"/>
      <c r="P168"/>
      <c r="Q168"/>
    </row>
    <row r="169" spans="1:20" s="47" customFormat="1" x14ac:dyDescent="0.2">
      <c r="B169" s="110" t="s">
        <v>501</v>
      </c>
      <c r="C169" s="110"/>
      <c r="D169" s="51">
        <v>0.91256262810054756</v>
      </c>
      <c r="I169"/>
      <c r="J169" s="37"/>
      <c r="K169" s="45"/>
      <c r="L169" s="45"/>
      <c r="M169" s="45"/>
      <c r="N169" s="45"/>
      <c r="O169" s="53"/>
      <c r="P169"/>
      <c r="Q169"/>
    </row>
    <row r="170" spans="1:20" s="47" customFormat="1" x14ac:dyDescent="0.2">
      <c r="B170" s="110" t="s">
        <v>502</v>
      </c>
      <c r="C170" s="110"/>
      <c r="D170" s="51">
        <v>1.0412522571894856</v>
      </c>
      <c r="I170"/>
      <c r="J170" s="37"/>
      <c r="K170" s="45"/>
      <c r="L170" s="45"/>
      <c r="M170" s="45"/>
      <c r="N170" s="45"/>
      <c r="O170"/>
      <c r="P170"/>
      <c r="Q170"/>
    </row>
    <row r="171" spans="1:20" s="47" customFormat="1" x14ac:dyDescent="0.2">
      <c r="B171" s="110"/>
      <c r="C171" s="110"/>
      <c r="D171" s="50"/>
      <c r="I171"/>
      <c r="J171" s="37"/>
      <c r="K171" s="45"/>
      <c r="L171" s="45"/>
      <c r="M171" s="45"/>
      <c r="N171" s="45"/>
      <c r="O171"/>
      <c r="P171"/>
      <c r="Q171"/>
    </row>
    <row r="172" spans="1:20" s="47" customFormat="1" x14ac:dyDescent="0.2">
      <c r="B172" s="110" t="s">
        <v>503</v>
      </c>
      <c r="C172" s="110"/>
      <c r="D172" s="52" t="s">
        <v>529</v>
      </c>
      <c r="I172"/>
      <c r="J172" s="37"/>
      <c r="K172" s="45"/>
      <c r="L172" s="45"/>
      <c r="M172" s="45"/>
      <c r="N172" s="45"/>
      <c r="O172"/>
      <c r="P172"/>
      <c r="Q172"/>
    </row>
    <row r="173" spans="1:20" s="47" customFormat="1" x14ac:dyDescent="0.2">
      <c r="B173" s="111" t="s">
        <v>504</v>
      </c>
      <c r="C173" s="113"/>
      <c r="D173" s="112"/>
      <c r="I173"/>
      <c r="J173" s="37"/>
      <c r="K173" s="45"/>
      <c r="L173" s="45"/>
      <c r="M173" s="45"/>
      <c r="N173" s="45"/>
      <c r="O173"/>
      <c r="P173"/>
      <c r="Q173"/>
      <c r="R173"/>
      <c r="S173"/>
      <c r="T173"/>
    </row>
  </sheetData>
  <mergeCells count="26">
    <mergeCell ref="B173:D173"/>
    <mergeCell ref="B168:C168"/>
    <mergeCell ref="B169:C169"/>
    <mergeCell ref="B170:C170"/>
    <mergeCell ref="B171:C171"/>
    <mergeCell ref="B172:C172"/>
    <mergeCell ref="B163:D163"/>
    <mergeCell ref="B164:C164"/>
    <mergeCell ref="B165:C165"/>
    <mergeCell ref="B166:C166"/>
    <mergeCell ref="B167:C167"/>
    <mergeCell ref="B156:C156"/>
    <mergeCell ref="A1:H1"/>
    <mergeCell ref="A2:H2"/>
    <mergeCell ref="A3:H3"/>
    <mergeCell ref="B154:C154"/>
    <mergeCell ref="B122:D122"/>
    <mergeCell ref="B123:C123"/>
    <mergeCell ref="B124:C124"/>
    <mergeCell ref="B125:C125"/>
    <mergeCell ref="B142:C142"/>
    <mergeCell ref="B118:H118"/>
    <mergeCell ref="B119:H119"/>
    <mergeCell ref="B120:H120"/>
    <mergeCell ref="B155:C155"/>
    <mergeCell ref="B153:C153"/>
  </mergeCells>
  <hyperlinks>
    <hyperlink ref="I1" location="Index!B5" display="Index" xr:uid="{0654738F-85FE-4430-821E-246CB240E10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BC629-7E50-4CB1-B134-3B5B98CBB588}">
  <sheetPr>
    <outlinePr summaryBelow="0" summaryRight="0"/>
  </sheetPr>
  <dimension ref="A1:R196"/>
  <sheetViews>
    <sheetView showGridLines="0" workbookViewId="0">
      <selection sqref="A1:H1"/>
    </sheetView>
  </sheetViews>
  <sheetFormatPr defaultRowHeight="12.75" x14ac:dyDescent="0.2"/>
  <cols>
    <col min="1" max="1" width="5.85546875" bestFit="1" customWidth="1"/>
    <col min="2" max="2" width="20.28515625" bestFit="1" customWidth="1"/>
    <col min="3" max="3" width="43.85546875" customWidth="1"/>
    <col min="4" max="4" width="18.28515625" customWidth="1"/>
    <col min="5" max="5" width="9.42578125" bestFit="1" customWidth="1"/>
    <col min="6" max="6" width="10.140625" bestFit="1" customWidth="1"/>
    <col min="7" max="7" width="14" bestFit="1" customWidth="1"/>
    <col min="8" max="8" width="8.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238</v>
      </c>
      <c r="B2" s="101"/>
      <c r="C2" s="101"/>
      <c r="D2" s="101"/>
      <c r="E2" s="101"/>
      <c r="F2" s="101"/>
      <c r="G2" s="101"/>
      <c r="H2" s="101"/>
      <c r="J2" s="38" t="s">
        <v>570</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491</v>
      </c>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1"/>
      <c r="B7" s="1"/>
      <c r="C7" s="2" t="s">
        <v>11</v>
      </c>
      <c r="D7" s="1"/>
      <c r="E7" s="1" t="s">
        <v>12</v>
      </c>
      <c r="F7" s="3" t="s">
        <v>13</v>
      </c>
      <c r="G7" s="4">
        <v>0</v>
      </c>
      <c r="H7" s="40" t="s">
        <v>12</v>
      </c>
    </row>
    <row r="8" spans="1:10" x14ac:dyDescent="0.2">
      <c r="A8" s="1"/>
      <c r="B8" s="1"/>
      <c r="C8" s="5"/>
      <c r="D8" s="1"/>
      <c r="E8" s="1"/>
      <c r="F8" s="6"/>
      <c r="G8" s="6"/>
      <c r="H8" s="40" t="s">
        <v>12</v>
      </c>
    </row>
    <row r="9" spans="1:10" x14ac:dyDescent="0.2">
      <c r="A9" s="1"/>
      <c r="B9" s="1"/>
      <c r="C9" s="2" t="s">
        <v>14</v>
      </c>
      <c r="D9" s="1"/>
      <c r="E9" s="1"/>
      <c r="F9" s="1"/>
      <c r="G9" s="1"/>
      <c r="H9" s="40" t="s">
        <v>12</v>
      </c>
    </row>
    <row r="10" spans="1:10" x14ac:dyDescent="0.2">
      <c r="A10" s="1"/>
      <c r="B10" s="1"/>
      <c r="C10" s="2" t="s">
        <v>11</v>
      </c>
      <c r="D10" s="1"/>
      <c r="E10" s="1" t="s">
        <v>12</v>
      </c>
      <c r="F10" s="3" t="s">
        <v>13</v>
      </c>
      <c r="G10" s="4">
        <v>0</v>
      </c>
      <c r="H10" s="40" t="s">
        <v>12</v>
      </c>
    </row>
    <row r="11" spans="1:10" x14ac:dyDescent="0.2">
      <c r="A11" s="1"/>
      <c r="B11" s="1"/>
      <c r="C11" s="5"/>
      <c r="D11" s="1"/>
      <c r="E11" s="1"/>
      <c r="F11" s="6"/>
      <c r="G11" s="6"/>
      <c r="H11" s="40" t="s">
        <v>12</v>
      </c>
    </row>
    <row r="12" spans="1:10" ht="15" x14ac:dyDescent="0.2">
      <c r="A12" s="1"/>
      <c r="B12" s="1"/>
      <c r="C12" s="2" t="s">
        <v>15</v>
      </c>
      <c r="D12" s="1"/>
      <c r="E12" s="1"/>
      <c r="F12" s="1"/>
      <c r="G12" s="1"/>
      <c r="H12" s="40" t="s">
        <v>12</v>
      </c>
      <c r="J12" s="97"/>
    </row>
    <row r="13" spans="1:10" x14ac:dyDescent="0.2">
      <c r="A13" s="1"/>
      <c r="B13" s="1"/>
      <c r="C13" s="2" t="s">
        <v>11</v>
      </c>
      <c r="D13" s="1"/>
      <c r="E13" s="1" t="s">
        <v>12</v>
      </c>
      <c r="F13" s="3" t="s">
        <v>13</v>
      </c>
      <c r="G13" s="4">
        <v>0</v>
      </c>
      <c r="H13" s="40" t="s">
        <v>12</v>
      </c>
      <c r="J13" s="89"/>
    </row>
    <row r="14" spans="1:10" x14ac:dyDescent="0.2">
      <c r="A14" s="1"/>
      <c r="B14" s="1"/>
      <c r="C14" s="5"/>
      <c r="D14" s="1"/>
      <c r="E14" s="1"/>
      <c r="F14" s="6"/>
      <c r="G14" s="6"/>
      <c r="H14" s="40" t="s">
        <v>12</v>
      </c>
      <c r="J14" s="89"/>
    </row>
    <row r="15" spans="1:10" x14ac:dyDescent="0.2">
      <c r="A15" s="1"/>
      <c r="B15" s="1"/>
      <c r="C15" s="2" t="s">
        <v>16</v>
      </c>
      <c r="D15" s="1"/>
      <c r="E15" s="1"/>
      <c r="F15" s="1"/>
      <c r="G15" s="1"/>
      <c r="H15" s="40" t="s">
        <v>12</v>
      </c>
      <c r="J15" s="89" t="s">
        <v>578</v>
      </c>
    </row>
    <row r="16" spans="1:10" x14ac:dyDescent="0.2">
      <c r="A16" s="1"/>
      <c r="B16" s="1"/>
      <c r="C16" s="2" t="s">
        <v>11</v>
      </c>
      <c r="D16" s="1"/>
      <c r="E16" s="1" t="s">
        <v>12</v>
      </c>
      <c r="F16" s="3" t="s">
        <v>13</v>
      </c>
      <c r="G16" s="4">
        <v>0</v>
      </c>
      <c r="H16" s="40" t="s">
        <v>12</v>
      </c>
    </row>
    <row r="17" spans="1:10" x14ac:dyDescent="0.2">
      <c r="A17" s="1"/>
      <c r="B17" s="1"/>
      <c r="C17" s="5"/>
      <c r="D17" s="1"/>
      <c r="E17" s="1"/>
      <c r="F17" s="6"/>
      <c r="G17" s="6"/>
      <c r="H17" s="40" t="s">
        <v>12</v>
      </c>
    </row>
    <row r="18" spans="1:10" x14ac:dyDescent="0.2">
      <c r="A18" s="1"/>
      <c r="B18" s="1"/>
      <c r="C18" s="2" t="s">
        <v>17</v>
      </c>
      <c r="D18" s="1"/>
      <c r="E18" s="1"/>
      <c r="F18" s="6"/>
      <c r="G18" s="6"/>
      <c r="H18" s="40" t="s">
        <v>12</v>
      </c>
    </row>
    <row r="19" spans="1:10" x14ac:dyDescent="0.2">
      <c r="A19" s="1"/>
      <c r="B19" s="1"/>
      <c r="C19" s="2" t="s">
        <v>11</v>
      </c>
      <c r="D19" s="1"/>
      <c r="E19" s="1" t="s">
        <v>12</v>
      </c>
      <c r="F19" s="3" t="s">
        <v>13</v>
      </c>
      <c r="G19" s="4">
        <v>0</v>
      </c>
      <c r="H19" s="40" t="s">
        <v>12</v>
      </c>
    </row>
    <row r="20" spans="1:10" x14ac:dyDescent="0.2">
      <c r="A20" s="1"/>
      <c r="B20" s="1"/>
      <c r="C20" s="5"/>
      <c r="D20" s="1"/>
      <c r="E20" s="1"/>
      <c r="F20" s="6"/>
      <c r="G20" s="6"/>
      <c r="H20" s="40" t="s">
        <v>12</v>
      </c>
    </row>
    <row r="21" spans="1:10" x14ac:dyDescent="0.2">
      <c r="A21" s="1"/>
      <c r="B21" s="1"/>
      <c r="C21" s="2" t="s">
        <v>18</v>
      </c>
      <c r="D21" s="1"/>
      <c r="E21" s="1"/>
      <c r="F21" s="6"/>
      <c r="G21" s="6"/>
      <c r="H21" s="40" t="s">
        <v>12</v>
      </c>
    </row>
    <row r="22" spans="1:10" ht="15" x14ac:dyDescent="0.2">
      <c r="A22" s="1"/>
      <c r="B22" s="1"/>
      <c r="C22" s="2" t="s">
        <v>11</v>
      </c>
      <c r="D22" s="1"/>
      <c r="E22" s="1" t="s">
        <v>12</v>
      </c>
      <c r="F22" s="3" t="s">
        <v>13</v>
      </c>
      <c r="G22" s="4">
        <v>0</v>
      </c>
      <c r="H22" s="40" t="s">
        <v>12</v>
      </c>
      <c r="J22" s="97"/>
    </row>
    <row r="23" spans="1:10" x14ac:dyDescent="0.2">
      <c r="A23" s="1"/>
      <c r="B23" s="1"/>
      <c r="C23" s="5"/>
      <c r="D23" s="1"/>
      <c r="E23" s="1"/>
      <c r="F23" s="6"/>
      <c r="G23" s="6"/>
      <c r="H23" s="40" t="s">
        <v>12</v>
      </c>
      <c r="J23" s="89"/>
    </row>
    <row r="24" spans="1:10" x14ac:dyDescent="0.2">
      <c r="A24" s="1"/>
      <c r="B24" s="1"/>
      <c r="C24" s="2" t="s">
        <v>19</v>
      </c>
      <c r="D24" s="1"/>
      <c r="E24" s="1"/>
      <c r="F24" s="7">
        <v>0</v>
      </c>
      <c r="G24" s="4">
        <v>0</v>
      </c>
      <c r="H24" s="40" t="s">
        <v>12</v>
      </c>
    </row>
    <row r="25" spans="1:10" x14ac:dyDescent="0.2">
      <c r="A25" s="1"/>
      <c r="B25" s="1"/>
      <c r="C25" s="5"/>
      <c r="D25" s="1"/>
      <c r="E25" s="1"/>
      <c r="F25" s="6"/>
      <c r="G25" s="6"/>
      <c r="H25" s="40" t="s">
        <v>12</v>
      </c>
    </row>
    <row r="26" spans="1:10" x14ac:dyDescent="0.2">
      <c r="A26" s="1"/>
      <c r="B26" s="1"/>
      <c r="C26" s="2" t="s">
        <v>20</v>
      </c>
      <c r="D26" s="1"/>
      <c r="E26" s="1"/>
      <c r="F26" s="6"/>
      <c r="G26" s="6"/>
      <c r="H26" s="40" t="s">
        <v>12</v>
      </c>
    </row>
    <row r="27" spans="1:10" x14ac:dyDescent="0.2">
      <c r="A27" s="1"/>
      <c r="B27" s="1"/>
      <c r="C27" s="2" t="s">
        <v>10</v>
      </c>
      <c r="D27" s="1"/>
      <c r="E27" s="1"/>
      <c r="F27" s="6"/>
      <c r="G27" s="6"/>
      <c r="H27" s="40" t="s">
        <v>12</v>
      </c>
      <c r="J27" s="89"/>
    </row>
    <row r="28" spans="1:10" ht="25.5" x14ac:dyDescent="0.2">
      <c r="A28" s="8">
        <v>1</v>
      </c>
      <c r="B28" s="9" t="s">
        <v>239</v>
      </c>
      <c r="C28" s="9" t="s">
        <v>240</v>
      </c>
      <c r="D28" s="9" t="s">
        <v>48</v>
      </c>
      <c r="E28" s="10">
        <v>750</v>
      </c>
      <c r="F28" s="11">
        <v>7489.77</v>
      </c>
      <c r="G28" s="12">
        <v>1.325351E-2</v>
      </c>
      <c r="H28" s="40">
        <v>7.2784000000000004</v>
      </c>
      <c r="J28" s="89" t="s">
        <v>579</v>
      </c>
    </row>
    <row r="29" spans="1:10" x14ac:dyDescent="0.2">
      <c r="A29" s="1"/>
      <c r="B29" s="1"/>
      <c r="C29" s="2" t="s">
        <v>11</v>
      </c>
      <c r="D29" s="1"/>
      <c r="E29" s="1" t="s">
        <v>12</v>
      </c>
      <c r="F29" s="7">
        <v>7489.77</v>
      </c>
      <c r="G29" s="4">
        <v>1.325351E-2</v>
      </c>
      <c r="H29" s="40" t="s">
        <v>12</v>
      </c>
    </row>
    <row r="30" spans="1:10" x14ac:dyDescent="0.2">
      <c r="A30" s="1"/>
      <c r="B30" s="1"/>
      <c r="C30" s="5"/>
      <c r="D30" s="1"/>
      <c r="E30" s="1"/>
      <c r="F30" s="6"/>
      <c r="G30" s="6"/>
      <c r="H30" s="40" t="s">
        <v>12</v>
      </c>
    </row>
    <row r="31" spans="1:10" x14ac:dyDescent="0.2">
      <c r="A31" s="1"/>
      <c r="B31" s="1"/>
      <c r="C31" s="2" t="s">
        <v>63</v>
      </c>
      <c r="D31" s="1"/>
      <c r="E31" s="1"/>
      <c r="F31" s="1"/>
      <c r="G31" s="1"/>
      <c r="H31" s="40" t="s">
        <v>12</v>
      </c>
    </row>
    <row r="32" spans="1:10" x14ac:dyDescent="0.2">
      <c r="A32" s="1"/>
      <c r="B32" s="1"/>
      <c r="C32" s="2" t="s">
        <v>11</v>
      </c>
      <c r="D32" s="1"/>
      <c r="E32" s="1" t="s">
        <v>12</v>
      </c>
      <c r="F32" s="3" t="s">
        <v>13</v>
      </c>
      <c r="G32" s="4">
        <v>0</v>
      </c>
      <c r="H32" s="40" t="s">
        <v>12</v>
      </c>
    </row>
    <row r="33" spans="1:8" x14ac:dyDescent="0.2">
      <c r="A33" s="1"/>
      <c r="B33" s="1"/>
      <c r="C33" s="5"/>
      <c r="D33" s="1"/>
      <c r="E33" s="1"/>
      <c r="F33" s="6"/>
      <c r="G33" s="6"/>
      <c r="H33" s="40" t="s">
        <v>12</v>
      </c>
    </row>
    <row r="34" spans="1:8" x14ac:dyDescent="0.2">
      <c r="A34" s="1"/>
      <c r="B34" s="1"/>
      <c r="C34" s="2" t="s">
        <v>64</v>
      </c>
      <c r="D34" s="1"/>
      <c r="E34" s="1"/>
      <c r="F34" s="1"/>
      <c r="G34" s="1"/>
      <c r="H34" s="40" t="s">
        <v>12</v>
      </c>
    </row>
    <row r="35" spans="1:8" x14ac:dyDescent="0.2">
      <c r="A35" s="1"/>
      <c r="B35" s="1"/>
      <c r="C35" s="2" t="s">
        <v>11</v>
      </c>
      <c r="D35" s="1"/>
      <c r="E35" s="1" t="s">
        <v>12</v>
      </c>
      <c r="F35" s="3" t="s">
        <v>13</v>
      </c>
      <c r="G35" s="4">
        <v>0</v>
      </c>
      <c r="H35" s="40" t="s">
        <v>12</v>
      </c>
    </row>
    <row r="36" spans="1:8" x14ac:dyDescent="0.2">
      <c r="A36" s="1"/>
      <c r="B36" s="1"/>
      <c r="C36" s="5"/>
      <c r="D36" s="1"/>
      <c r="E36" s="1"/>
      <c r="F36" s="6"/>
      <c r="G36" s="6"/>
      <c r="H36" s="40" t="s">
        <v>12</v>
      </c>
    </row>
    <row r="37" spans="1:8" x14ac:dyDescent="0.2">
      <c r="A37" s="1"/>
      <c r="B37" s="1"/>
      <c r="C37" s="2" t="s">
        <v>74</v>
      </c>
      <c r="D37" s="1"/>
      <c r="E37" s="1"/>
      <c r="F37" s="6"/>
      <c r="G37" s="6"/>
      <c r="H37" s="40" t="s">
        <v>12</v>
      </c>
    </row>
    <row r="38" spans="1:8" x14ac:dyDescent="0.2">
      <c r="A38" s="1"/>
      <c r="B38" s="1"/>
      <c r="C38" s="2" t="s">
        <v>11</v>
      </c>
      <c r="D38" s="1"/>
      <c r="E38" s="1" t="s">
        <v>12</v>
      </c>
      <c r="F38" s="3" t="s">
        <v>13</v>
      </c>
      <c r="G38" s="4">
        <v>0</v>
      </c>
      <c r="H38" s="40" t="s">
        <v>12</v>
      </c>
    </row>
    <row r="39" spans="1:8" x14ac:dyDescent="0.2">
      <c r="A39" s="1"/>
      <c r="B39" s="1"/>
      <c r="C39" s="5"/>
      <c r="D39" s="1"/>
      <c r="E39" s="1"/>
      <c r="F39" s="6"/>
      <c r="G39" s="6"/>
      <c r="H39" s="40" t="s">
        <v>12</v>
      </c>
    </row>
    <row r="40" spans="1:8" x14ac:dyDescent="0.2">
      <c r="A40" s="1"/>
      <c r="B40" s="1"/>
      <c r="C40" s="2" t="s">
        <v>75</v>
      </c>
      <c r="D40" s="1"/>
      <c r="E40" s="1"/>
      <c r="F40" s="7">
        <v>7489.77</v>
      </c>
      <c r="G40" s="4">
        <v>1.325351E-2</v>
      </c>
      <c r="H40" s="40" t="s">
        <v>12</v>
      </c>
    </row>
    <row r="41" spans="1:8" x14ac:dyDescent="0.2">
      <c r="A41" s="1"/>
      <c r="B41" s="1"/>
      <c r="C41" s="5"/>
      <c r="D41" s="1"/>
      <c r="E41" s="1"/>
      <c r="F41" s="6"/>
      <c r="G41" s="6"/>
      <c r="H41" s="40" t="s">
        <v>12</v>
      </c>
    </row>
    <row r="42" spans="1:8" x14ac:dyDescent="0.2">
      <c r="A42" s="1"/>
      <c r="B42" s="1"/>
      <c r="C42" s="2" t="s">
        <v>76</v>
      </c>
      <c r="D42" s="1"/>
      <c r="E42" s="1"/>
      <c r="F42" s="6"/>
      <c r="G42" s="6"/>
      <c r="H42" s="40" t="s">
        <v>12</v>
      </c>
    </row>
    <row r="43" spans="1:8" x14ac:dyDescent="0.2">
      <c r="A43" s="1"/>
      <c r="B43" s="1"/>
      <c r="C43" s="2" t="s">
        <v>77</v>
      </c>
      <c r="D43" s="1"/>
      <c r="E43" s="1"/>
      <c r="F43" s="6"/>
      <c r="G43" s="6"/>
      <c r="H43" s="40" t="s">
        <v>12</v>
      </c>
    </row>
    <row r="44" spans="1:8" x14ac:dyDescent="0.2">
      <c r="A44" s="8">
        <v>1</v>
      </c>
      <c r="B44" s="9" t="s">
        <v>241</v>
      </c>
      <c r="C44" s="9" t="s">
        <v>242</v>
      </c>
      <c r="D44" s="9" t="s">
        <v>133</v>
      </c>
      <c r="E44" s="10">
        <v>3500</v>
      </c>
      <c r="F44" s="11">
        <v>17230.36</v>
      </c>
      <c r="G44" s="12">
        <v>3.048996E-2</v>
      </c>
      <c r="H44" s="40">
        <v>7.1401000000000003</v>
      </c>
    </row>
    <row r="45" spans="1:8" x14ac:dyDescent="0.2">
      <c r="A45" s="8">
        <v>2</v>
      </c>
      <c r="B45" s="9" t="s">
        <v>243</v>
      </c>
      <c r="C45" s="9" t="s">
        <v>244</v>
      </c>
      <c r="D45" s="9" t="s">
        <v>133</v>
      </c>
      <c r="E45" s="10">
        <v>3000</v>
      </c>
      <c r="F45" s="11">
        <v>14962.695</v>
      </c>
      <c r="G45" s="12">
        <v>2.6477210000000001E-2</v>
      </c>
      <c r="H45" s="40">
        <v>6.9997999999999996</v>
      </c>
    </row>
    <row r="46" spans="1:8" x14ac:dyDescent="0.2">
      <c r="A46" s="8">
        <v>3</v>
      </c>
      <c r="B46" s="9" t="s">
        <v>245</v>
      </c>
      <c r="C46" s="9" t="s">
        <v>246</v>
      </c>
      <c r="D46" s="9" t="s">
        <v>133</v>
      </c>
      <c r="E46" s="10">
        <v>3000</v>
      </c>
      <c r="F46" s="11">
        <v>14942.28</v>
      </c>
      <c r="G46" s="12">
        <v>2.644109E-2</v>
      </c>
      <c r="H46" s="40">
        <v>7.0503</v>
      </c>
    </row>
    <row r="47" spans="1:8" x14ac:dyDescent="0.2">
      <c r="A47" s="8">
        <v>4</v>
      </c>
      <c r="B47" s="9" t="s">
        <v>247</v>
      </c>
      <c r="C47" s="9" t="s">
        <v>248</v>
      </c>
      <c r="D47" s="9" t="s">
        <v>142</v>
      </c>
      <c r="E47" s="10">
        <v>2000</v>
      </c>
      <c r="F47" s="11">
        <v>9992.44</v>
      </c>
      <c r="G47" s="12">
        <v>1.7682110000000001E-2</v>
      </c>
      <c r="H47" s="40">
        <v>6.9032</v>
      </c>
    </row>
    <row r="48" spans="1:8" x14ac:dyDescent="0.2">
      <c r="A48" s="8">
        <v>5</v>
      </c>
      <c r="B48" s="9" t="s">
        <v>249</v>
      </c>
      <c r="C48" s="9" t="s">
        <v>250</v>
      </c>
      <c r="D48" s="9" t="s">
        <v>163</v>
      </c>
      <c r="E48" s="10">
        <v>2000</v>
      </c>
      <c r="F48" s="11">
        <v>9980.86</v>
      </c>
      <c r="G48" s="12">
        <v>1.7661610000000001E-2</v>
      </c>
      <c r="H48" s="40">
        <v>7.0004</v>
      </c>
    </row>
    <row r="49" spans="1:8" x14ac:dyDescent="0.2">
      <c r="A49" s="8">
        <v>6</v>
      </c>
      <c r="B49" s="9" t="s">
        <v>251</v>
      </c>
      <c r="C49" s="9" t="s">
        <v>252</v>
      </c>
      <c r="D49" s="9" t="s">
        <v>133</v>
      </c>
      <c r="E49" s="10">
        <v>2000</v>
      </c>
      <c r="F49" s="11">
        <v>9978.9500000000007</v>
      </c>
      <c r="G49" s="12">
        <v>1.7658239999999999E-2</v>
      </c>
      <c r="H49" s="40">
        <v>6.9996999999999998</v>
      </c>
    </row>
    <row r="50" spans="1:8" x14ac:dyDescent="0.2">
      <c r="A50" s="8">
        <v>7</v>
      </c>
      <c r="B50" s="9" t="s">
        <v>253</v>
      </c>
      <c r="C50" s="9" t="s">
        <v>254</v>
      </c>
      <c r="D50" s="9" t="s">
        <v>142</v>
      </c>
      <c r="E50" s="10">
        <v>2000</v>
      </c>
      <c r="F50" s="11">
        <v>9977.08</v>
      </c>
      <c r="G50" s="12">
        <v>1.7654929999999999E-2</v>
      </c>
      <c r="H50" s="40">
        <v>6.9892000000000003</v>
      </c>
    </row>
    <row r="51" spans="1:8" x14ac:dyDescent="0.2">
      <c r="A51" s="8">
        <v>8</v>
      </c>
      <c r="B51" s="9" t="s">
        <v>255</v>
      </c>
      <c r="C51" s="9" t="s">
        <v>256</v>
      </c>
      <c r="D51" s="9" t="s">
        <v>133</v>
      </c>
      <c r="E51" s="10">
        <v>2000</v>
      </c>
      <c r="F51" s="11">
        <v>9866.4500000000007</v>
      </c>
      <c r="G51" s="12">
        <v>1.7459160000000001E-2</v>
      </c>
      <c r="H51" s="40">
        <v>7.16</v>
      </c>
    </row>
    <row r="52" spans="1:8" x14ac:dyDescent="0.2">
      <c r="A52" s="8">
        <v>9</v>
      </c>
      <c r="B52" s="9" t="s">
        <v>257</v>
      </c>
      <c r="C52" s="9" t="s">
        <v>258</v>
      </c>
      <c r="D52" s="9" t="s">
        <v>142</v>
      </c>
      <c r="E52" s="10">
        <v>2000</v>
      </c>
      <c r="F52" s="11">
        <v>9854.1200000000008</v>
      </c>
      <c r="G52" s="12">
        <v>1.7437339999999999E-2</v>
      </c>
      <c r="H52" s="40">
        <v>7.11</v>
      </c>
    </row>
    <row r="53" spans="1:8" x14ac:dyDescent="0.2">
      <c r="A53" s="8">
        <v>10</v>
      </c>
      <c r="B53" s="9" t="s">
        <v>259</v>
      </c>
      <c r="C53" s="9" t="s">
        <v>260</v>
      </c>
      <c r="D53" s="9" t="s">
        <v>142</v>
      </c>
      <c r="E53" s="10">
        <v>2000</v>
      </c>
      <c r="F53" s="11">
        <v>9840.89</v>
      </c>
      <c r="G53" s="12">
        <v>1.7413930000000001E-2</v>
      </c>
      <c r="H53" s="40">
        <v>7.11</v>
      </c>
    </row>
    <row r="54" spans="1:8" x14ac:dyDescent="0.2">
      <c r="A54" s="8">
        <v>11</v>
      </c>
      <c r="B54" s="9" t="s">
        <v>261</v>
      </c>
      <c r="C54" s="9" t="s">
        <v>262</v>
      </c>
      <c r="D54" s="9" t="s">
        <v>163</v>
      </c>
      <c r="E54" s="10">
        <v>2000</v>
      </c>
      <c r="F54" s="11">
        <v>9840.34</v>
      </c>
      <c r="G54" s="12">
        <v>1.7412960000000002E-2</v>
      </c>
      <c r="H54" s="40">
        <v>7.1349999999999998</v>
      </c>
    </row>
    <row r="55" spans="1:8" x14ac:dyDescent="0.2">
      <c r="A55" s="8">
        <v>12</v>
      </c>
      <c r="B55" s="9" t="s">
        <v>263</v>
      </c>
      <c r="C55" s="9" t="s">
        <v>264</v>
      </c>
      <c r="D55" s="9" t="s">
        <v>133</v>
      </c>
      <c r="E55" s="10">
        <v>1500</v>
      </c>
      <c r="F55" s="11">
        <v>7474.2375000000002</v>
      </c>
      <c r="G55" s="12">
        <v>1.322603E-2</v>
      </c>
      <c r="H55" s="40">
        <v>6.99</v>
      </c>
    </row>
    <row r="56" spans="1:8" x14ac:dyDescent="0.2">
      <c r="A56" s="8">
        <v>13</v>
      </c>
      <c r="B56" s="9" t="s">
        <v>265</v>
      </c>
      <c r="C56" s="9" t="s">
        <v>266</v>
      </c>
      <c r="D56" s="9" t="s">
        <v>133</v>
      </c>
      <c r="E56" s="10">
        <v>1500</v>
      </c>
      <c r="F56" s="11">
        <v>7425.7650000000003</v>
      </c>
      <c r="G56" s="12">
        <v>1.3140249999999999E-2</v>
      </c>
      <c r="H56" s="40">
        <v>7.1551</v>
      </c>
    </row>
    <row r="57" spans="1:8" x14ac:dyDescent="0.2">
      <c r="A57" s="8">
        <v>14</v>
      </c>
      <c r="B57" s="9" t="s">
        <v>267</v>
      </c>
      <c r="C57" s="9" t="s">
        <v>268</v>
      </c>
      <c r="D57" s="9" t="s">
        <v>133</v>
      </c>
      <c r="E57" s="10">
        <v>1500</v>
      </c>
      <c r="F57" s="11">
        <v>7392.9825000000001</v>
      </c>
      <c r="G57" s="12">
        <v>1.308224E-2</v>
      </c>
      <c r="H57" s="40">
        <v>7.14</v>
      </c>
    </row>
    <row r="58" spans="1:8" x14ac:dyDescent="0.2">
      <c r="A58" s="8">
        <v>15</v>
      </c>
      <c r="B58" s="9" t="s">
        <v>269</v>
      </c>
      <c r="C58" s="9" t="s">
        <v>270</v>
      </c>
      <c r="D58" s="9" t="s">
        <v>142</v>
      </c>
      <c r="E58" s="10">
        <v>1500</v>
      </c>
      <c r="F58" s="11">
        <v>7373.6025</v>
      </c>
      <c r="G58" s="12">
        <v>1.3047950000000001E-2</v>
      </c>
      <c r="H58" s="40">
        <v>7.11</v>
      </c>
    </row>
    <row r="59" spans="1:8" x14ac:dyDescent="0.2">
      <c r="A59" s="8">
        <v>16</v>
      </c>
      <c r="B59" s="9" t="s">
        <v>271</v>
      </c>
      <c r="C59" s="9" t="s">
        <v>272</v>
      </c>
      <c r="D59" s="9" t="s">
        <v>133</v>
      </c>
      <c r="E59" s="10">
        <v>1000</v>
      </c>
      <c r="F59" s="11">
        <v>4996.2049999999999</v>
      </c>
      <c r="G59" s="12">
        <v>8.8410299999999997E-3</v>
      </c>
      <c r="H59" s="40">
        <v>6.9325000000000001</v>
      </c>
    </row>
    <row r="60" spans="1:8" ht="25.5" x14ac:dyDescent="0.2">
      <c r="A60" s="8">
        <v>17</v>
      </c>
      <c r="B60" s="9" t="s">
        <v>273</v>
      </c>
      <c r="C60" s="9" t="s">
        <v>274</v>
      </c>
      <c r="D60" s="9" t="s">
        <v>133</v>
      </c>
      <c r="E60" s="10">
        <v>1000</v>
      </c>
      <c r="F60" s="11">
        <v>4995.2449999999999</v>
      </c>
      <c r="G60" s="12">
        <v>8.8393299999999994E-3</v>
      </c>
      <c r="H60" s="40">
        <v>6.9489999999999998</v>
      </c>
    </row>
    <row r="61" spans="1:8" x14ac:dyDescent="0.2">
      <c r="A61" s="8">
        <v>18</v>
      </c>
      <c r="B61" s="9" t="s">
        <v>131</v>
      </c>
      <c r="C61" s="9" t="s">
        <v>132</v>
      </c>
      <c r="D61" s="9" t="s">
        <v>133</v>
      </c>
      <c r="E61" s="10">
        <v>300</v>
      </c>
      <c r="F61" s="11">
        <v>1499.433</v>
      </c>
      <c r="G61" s="12">
        <v>2.6533199999999998E-3</v>
      </c>
      <c r="H61" s="40">
        <v>6.8929</v>
      </c>
    </row>
    <row r="62" spans="1:8" x14ac:dyDescent="0.2">
      <c r="A62" s="1"/>
      <c r="B62" s="1"/>
      <c r="C62" s="2" t="s">
        <v>11</v>
      </c>
      <c r="D62" s="1"/>
      <c r="E62" s="1" t="s">
        <v>12</v>
      </c>
      <c r="F62" s="7">
        <v>167623.93549999999</v>
      </c>
      <c r="G62" s="4">
        <v>0.29661869000000002</v>
      </c>
      <c r="H62" s="40" t="s">
        <v>12</v>
      </c>
    </row>
    <row r="63" spans="1:8" x14ac:dyDescent="0.2">
      <c r="A63" s="1"/>
      <c r="B63" s="1"/>
      <c r="C63" s="5"/>
      <c r="D63" s="1"/>
      <c r="E63" s="1"/>
      <c r="F63" s="6"/>
      <c r="G63" s="6"/>
      <c r="H63" s="40" t="s">
        <v>12</v>
      </c>
    </row>
    <row r="64" spans="1:8" x14ac:dyDescent="0.2">
      <c r="A64" s="1"/>
      <c r="B64" s="1"/>
      <c r="C64" s="2" t="s">
        <v>78</v>
      </c>
      <c r="D64" s="1"/>
      <c r="E64" s="1"/>
      <c r="F64" s="6"/>
      <c r="G64" s="6"/>
      <c r="H64" s="40" t="s">
        <v>12</v>
      </c>
    </row>
    <row r="65" spans="1:8" ht="25.5" x14ac:dyDescent="0.2">
      <c r="A65" s="8">
        <v>1</v>
      </c>
      <c r="B65" s="9" t="s">
        <v>275</v>
      </c>
      <c r="C65" s="9" t="s">
        <v>276</v>
      </c>
      <c r="D65" s="9" t="s">
        <v>133</v>
      </c>
      <c r="E65" s="10">
        <v>3000</v>
      </c>
      <c r="F65" s="11">
        <v>14750.64</v>
      </c>
      <c r="G65" s="12">
        <v>2.6101969999999999E-2</v>
      </c>
      <c r="H65" s="40">
        <v>7.1749999999999998</v>
      </c>
    </row>
    <row r="66" spans="1:8" ht="25.5" x14ac:dyDescent="0.2">
      <c r="A66" s="8">
        <v>2</v>
      </c>
      <c r="B66" s="9" t="s">
        <v>277</v>
      </c>
      <c r="C66" s="9" t="s">
        <v>278</v>
      </c>
      <c r="D66" s="9" t="s">
        <v>133</v>
      </c>
      <c r="E66" s="10">
        <v>2000</v>
      </c>
      <c r="F66" s="11">
        <v>9992.36</v>
      </c>
      <c r="G66" s="12">
        <v>1.768196E-2</v>
      </c>
      <c r="H66" s="40">
        <v>6.9794999999999998</v>
      </c>
    </row>
    <row r="67" spans="1:8" ht="25.5" x14ac:dyDescent="0.2">
      <c r="A67" s="8">
        <v>3</v>
      </c>
      <c r="B67" s="9" t="s">
        <v>279</v>
      </c>
      <c r="C67" s="9" t="s">
        <v>280</v>
      </c>
      <c r="D67" s="9" t="s">
        <v>133</v>
      </c>
      <c r="E67" s="10">
        <v>2000</v>
      </c>
      <c r="F67" s="11">
        <v>9992.34</v>
      </c>
      <c r="G67" s="12">
        <v>1.7681929999999998E-2</v>
      </c>
      <c r="H67" s="40">
        <v>6.9946000000000002</v>
      </c>
    </row>
    <row r="68" spans="1:8" x14ac:dyDescent="0.2">
      <c r="A68" s="8">
        <v>4</v>
      </c>
      <c r="B68" s="9" t="s">
        <v>281</v>
      </c>
      <c r="C68" s="9" t="s">
        <v>282</v>
      </c>
      <c r="D68" s="9" t="s">
        <v>133</v>
      </c>
      <c r="E68" s="10">
        <v>2000</v>
      </c>
      <c r="F68" s="11">
        <v>9992.06</v>
      </c>
      <c r="G68" s="12">
        <v>1.7681430000000001E-2</v>
      </c>
      <c r="H68" s="40">
        <v>7.2500999999999998</v>
      </c>
    </row>
    <row r="69" spans="1:8" x14ac:dyDescent="0.2">
      <c r="A69" s="8">
        <v>5</v>
      </c>
      <c r="B69" s="9" t="s">
        <v>283</v>
      </c>
      <c r="C69" s="9" t="s">
        <v>284</v>
      </c>
      <c r="D69" s="9" t="s">
        <v>133</v>
      </c>
      <c r="E69" s="10">
        <v>2000</v>
      </c>
      <c r="F69" s="11">
        <v>9982.69</v>
      </c>
      <c r="G69" s="12">
        <v>1.7664849999999999E-2</v>
      </c>
      <c r="H69" s="40">
        <v>7.0350999999999999</v>
      </c>
    </row>
    <row r="70" spans="1:8" x14ac:dyDescent="0.2">
      <c r="A70" s="8">
        <v>6</v>
      </c>
      <c r="B70" s="9" t="s">
        <v>285</v>
      </c>
      <c r="C70" s="9" t="s">
        <v>286</v>
      </c>
      <c r="D70" s="9" t="s">
        <v>133</v>
      </c>
      <c r="E70" s="10">
        <v>2000</v>
      </c>
      <c r="F70" s="11">
        <v>9976.7900000000009</v>
      </c>
      <c r="G70" s="12">
        <v>1.7654409999999999E-2</v>
      </c>
      <c r="H70" s="40">
        <v>7.72</v>
      </c>
    </row>
    <row r="71" spans="1:8" x14ac:dyDescent="0.2">
      <c r="A71" s="8">
        <v>7</v>
      </c>
      <c r="B71" s="9" t="s">
        <v>287</v>
      </c>
      <c r="C71" s="9" t="s">
        <v>288</v>
      </c>
      <c r="D71" s="9" t="s">
        <v>133</v>
      </c>
      <c r="E71" s="10">
        <v>2000</v>
      </c>
      <c r="F71" s="11">
        <v>9826.2099999999991</v>
      </c>
      <c r="G71" s="12">
        <v>1.7387949999999999E-2</v>
      </c>
      <c r="H71" s="40">
        <v>7.42</v>
      </c>
    </row>
    <row r="72" spans="1:8" x14ac:dyDescent="0.2">
      <c r="A72" s="8">
        <v>8</v>
      </c>
      <c r="B72" s="9" t="s">
        <v>289</v>
      </c>
      <c r="C72" s="9" t="s">
        <v>290</v>
      </c>
      <c r="D72" s="9" t="s">
        <v>133</v>
      </c>
      <c r="E72" s="10">
        <v>2000</v>
      </c>
      <c r="F72" s="11">
        <v>9811.84</v>
      </c>
      <c r="G72" s="12">
        <v>1.7362530000000001E-2</v>
      </c>
      <c r="H72" s="40">
        <v>7.8650000000000002</v>
      </c>
    </row>
    <row r="73" spans="1:8" x14ac:dyDescent="0.2">
      <c r="A73" s="8">
        <v>9</v>
      </c>
      <c r="B73" s="9" t="s">
        <v>291</v>
      </c>
      <c r="C73" s="9" t="s">
        <v>292</v>
      </c>
      <c r="D73" s="9" t="s">
        <v>133</v>
      </c>
      <c r="E73" s="10">
        <v>1500</v>
      </c>
      <c r="F73" s="11">
        <v>7492.5074999999997</v>
      </c>
      <c r="G73" s="12">
        <v>1.325835E-2</v>
      </c>
      <c r="H73" s="40">
        <v>7.3049999999999997</v>
      </c>
    </row>
    <row r="74" spans="1:8" x14ac:dyDescent="0.2">
      <c r="A74" s="8">
        <v>10</v>
      </c>
      <c r="B74" s="9" t="s">
        <v>293</v>
      </c>
      <c r="C74" s="9" t="s">
        <v>294</v>
      </c>
      <c r="D74" s="9" t="s">
        <v>133</v>
      </c>
      <c r="E74" s="10">
        <v>1500</v>
      </c>
      <c r="F74" s="11">
        <v>7473.7875000000004</v>
      </c>
      <c r="G74" s="12">
        <v>1.3225229999999999E-2</v>
      </c>
      <c r="H74" s="40">
        <v>7.5307000000000004</v>
      </c>
    </row>
    <row r="75" spans="1:8" ht="25.5" x14ac:dyDescent="0.2">
      <c r="A75" s="8">
        <v>11</v>
      </c>
      <c r="B75" s="9" t="s">
        <v>295</v>
      </c>
      <c r="C75" s="9" t="s">
        <v>296</v>
      </c>
      <c r="D75" s="9" t="s">
        <v>133</v>
      </c>
      <c r="E75" s="10">
        <v>1500</v>
      </c>
      <c r="F75" s="11">
        <v>7439.1225000000004</v>
      </c>
      <c r="G75" s="12">
        <v>1.3163889999999999E-2</v>
      </c>
      <c r="H75" s="40">
        <v>7.86</v>
      </c>
    </row>
    <row r="76" spans="1:8" ht="25.5" x14ac:dyDescent="0.2">
      <c r="A76" s="8">
        <v>12</v>
      </c>
      <c r="B76" s="9" t="s">
        <v>297</v>
      </c>
      <c r="C76" s="9" t="s">
        <v>298</v>
      </c>
      <c r="D76" s="9" t="s">
        <v>133</v>
      </c>
      <c r="E76" s="10">
        <v>1500</v>
      </c>
      <c r="F76" s="11">
        <v>7412.5725000000002</v>
      </c>
      <c r="G76" s="12">
        <v>1.3116910000000001E-2</v>
      </c>
      <c r="H76" s="40">
        <v>7.1749999999999998</v>
      </c>
    </row>
    <row r="77" spans="1:8" ht="25.5" x14ac:dyDescent="0.2">
      <c r="A77" s="8">
        <v>13</v>
      </c>
      <c r="B77" s="9" t="s">
        <v>299</v>
      </c>
      <c r="C77" s="9" t="s">
        <v>300</v>
      </c>
      <c r="D77" s="9" t="s">
        <v>133</v>
      </c>
      <c r="E77" s="10">
        <v>1500</v>
      </c>
      <c r="F77" s="11">
        <v>7399.9125000000004</v>
      </c>
      <c r="G77" s="12">
        <v>1.30945E-2</v>
      </c>
      <c r="H77" s="40">
        <v>7.1550000000000002</v>
      </c>
    </row>
    <row r="78" spans="1:8" x14ac:dyDescent="0.2">
      <c r="A78" s="8">
        <v>14</v>
      </c>
      <c r="B78" s="9" t="s">
        <v>301</v>
      </c>
      <c r="C78" s="9" t="s">
        <v>302</v>
      </c>
      <c r="D78" s="9" t="s">
        <v>163</v>
      </c>
      <c r="E78" s="10">
        <v>1500</v>
      </c>
      <c r="F78" s="11">
        <v>7388.4674999999997</v>
      </c>
      <c r="G78" s="12">
        <v>1.3074250000000001E-2</v>
      </c>
      <c r="H78" s="40">
        <v>7.25</v>
      </c>
    </row>
    <row r="79" spans="1:8" x14ac:dyDescent="0.2">
      <c r="A79" s="8">
        <v>15</v>
      </c>
      <c r="B79" s="9" t="s">
        <v>303</v>
      </c>
      <c r="C79" s="9" t="s">
        <v>304</v>
      </c>
      <c r="D79" s="9" t="s">
        <v>133</v>
      </c>
      <c r="E79" s="10">
        <v>1500</v>
      </c>
      <c r="F79" s="11">
        <v>7364.1075000000001</v>
      </c>
      <c r="G79" s="12">
        <v>1.303114E-2</v>
      </c>
      <c r="H79" s="40">
        <v>8.1150000000000002</v>
      </c>
    </row>
    <row r="80" spans="1:8" x14ac:dyDescent="0.2">
      <c r="A80" s="8">
        <v>16</v>
      </c>
      <c r="B80" s="9" t="s">
        <v>305</v>
      </c>
      <c r="C80" s="9" t="s">
        <v>306</v>
      </c>
      <c r="D80" s="9" t="s">
        <v>133</v>
      </c>
      <c r="E80" s="10">
        <v>1000</v>
      </c>
      <c r="F80" s="11">
        <v>4997.0450000000001</v>
      </c>
      <c r="G80" s="12">
        <v>8.8425099999999996E-3</v>
      </c>
      <c r="H80" s="40">
        <v>7.2</v>
      </c>
    </row>
    <row r="81" spans="1:8" x14ac:dyDescent="0.2">
      <c r="A81" s="8">
        <v>17</v>
      </c>
      <c r="B81" s="9" t="s">
        <v>307</v>
      </c>
      <c r="C81" s="9" t="s">
        <v>308</v>
      </c>
      <c r="D81" s="9" t="s">
        <v>133</v>
      </c>
      <c r="E81" s="10">
        <v>1000</v>
      </c>
      <c r="F81" s="11">
        <v>4988.8599999999997</v>
      </c>
      <c r="G81" s="12">
        <v>8.8280300000000006E-3</v>
      </c>
      <c r="H81" s="40">
        <v>7.4095000000000004</v>
      </c>
    </row>
    <row r="82" spans="1:8" ht="25.5" x14ac:dyDescent="0.2">
      <c r="A82" s="8">
        <v>18</v>
      </c>
      <c r="B82" s="9" t="s">
        <v>309</v>
      </c>
      <c r="C82" s="9" t="s">
        <v>310</v>
      </c>
      <c r="D82" s="9" t="s">
        <v>133</v>
      </c>
      <c r="E82" s="10">
        <v>1000</v>
      </c>
      <c r="F82" s="11">
        <v>4988.5200000000004</v>
      </c>
      <c r="G82" s="12">
        <v>8.8274300000000007E-3</v>
      </c>
      <c r="H82" s="40">
        <v>7.0000999999999998</v>
      </c>
    </row>
    <row r="83" spans="1:8" x14ac:dyDescent="0.2">
      <c r="A83" s="8">
        <v>19</v>
      </c>
      <c r="B83" s="9" t="s">
        <v>311</v>
      </c>
      <c r="C83" s="9" t="s">
        <v>312</v>
      </c>
      <c r="D83" s="9" t="s">
        <v>133</v>
      </c>
      <c r="E83" s="10">
        <v>1000</v>
      </c>
      <c r="F83" s="11">
        <v>4987.2849999999999</v>
      </c>
      <c r="G83" s="12">
        <v>8.8252399999999998E-3</v>
      </c>
      <c r="H83" s="40">
        <v>7.16</v>
      </c>
    </row>
    <row r="84" spans="1:8" x14ac:dyDescent="0.2">
      <c r="A84" s="8">
        <v>20</v>
      </c>
      <c r="B84" s="9" t="s">
        <v>313</v>
      </c>
      <c r="C84" s="9" t="s">
        <v>314</v>
      </c>
      <c r="D84" s="9" t="s">
        <v>133</v>
      </c>
      <c r="E84" s="10">
        <v>1000</v>
      </c>
      <c r="F84" s="11">
        <v>4986.68</v>
      </c>
      <c r="G84" s="12">
        <v>8.8241699999999992E-3</v>
      </c>
      <c r="H84" s="40">
        <v>7.5</v>
      </c>
    </row>
    <row r="85" spans="1:8" x14ac:dyDescent="0.2">
      <c r="A85" s="8">
        <v>21</v>
      </c>
      <c r="B85" s="9" t="s">
        <v>315</v>
      </c>
      <c r="C85" s="9" t="s">
        <v>316</v>
      </c>
      <c r="D85" s="9" t="s">
        <v>133</v>
      </c>
      <c r="E85" s="10">
        <v>1000</v>
      </c>
      <c r="F85" s="11">
        <v>4970.04</v>
      </c>
      <c r="G85" s="12">
        <v>8.7947300000000006E-3</v>
      </c>
      <c r="H85" s="40">
        <v>8.15</v>
      </c>
    </row>
    <row r="86" spans="1:8" x14ac:dyDescent="0.2">
      <c r="A86" s="8">
        <v>22</v>
      </c>
      <c r="B86" s="9" t="s">
        <v>317</v>
      </c>
      <c r="C86" s="9" t="s">
        <v>318</v>
      </c>
      <c r="D86" s="9" t="s">
        <v>133</v>
      </c>
      <c r="E86" s="10">
        <v>1000</v>
      </c>
      <c r="F86" s="11">
        <v>4944.7150000000001</v>
      </c>
      <c r="G86" s="12">
        <v>8.7499099999999996E-3</v>
      </c>
      <c r="H86" s="40">
        <v>7.42</v>
      </c>
    </row>
    <row r="87" spans="1:8" x14ac:dyDescent="0.2">
      <c r="A87" s="8">
        <v>23</v>
      </c>
      <c r="B87" s="9" t="s">
        <v>319</v>
      </c>
      <c r="C87" s="9" t="s">
        <v>320</v>
      </c>
      <c r="D87" s="9" t="s">
        <v>133</v>
      </c>
      <c r="E87" s="10">
        <v>1000</v>
      </c>
      <c r="F87" s="11">
        <v>4943.2950000000001</v>
      </c>
      <c r="G87" s="12">
        <v>8.7474000000000007E-3</v>
      </c>
      <c r="H87" s="40">
        <v>7.9</v>
      </c>
    </row>
    <row r="88" spans="1:8" x14ac:dyDescent="0.2">
      <c r="A88" s="8">
        <v>24</v>
      </c>
      <c r="B88" s="9" t="s">
        <v>321</v>
      </c>
      <c r="C88" s="9" t="s">
        <v>322</v>
      </c>
      <c r="D88" s="9" t="s">
        <v>133</v>
      </c>
      <c r="E88" s="10">
        <v>1000</v>
      </c>
      <c r="F88" s="11">
        <v>4936.13</v>
      </c>
      <c r="G88" s="12">
        <v>8.7347199999999996E-3</v>
      </c>
      <c r="H88" s="40">
        <v>8.0050000000000008</v>
      </c>
    </row>
    <row r="89" spans="1:8" x14ac:dyDescent="0.2">
      <c r="A89" s="8">
        <v>25</v>
      </c>
      <c r="B89" s="9" t="s">
        <v>323</v>
      </c>
      <c r="C89" s="9" t="s">
        <v>324</v>
      </c>
      <c r="D89" s="9" t="s">
        <v>133</v>
      </c>
      <c r="E89" s="10">
        <v>1000</v>
      </c>
      <c r="F89" s="11">
        <v>4931.2700000000004</v>
      </c>
      <c r="G89" s="12">
        <v>8.7261200000000004E-3</v>
      </c>
      <c r="H89" s="40">
        <v>8.34</v>
      </c>
    </row>
    <row r="90" spans="1:8" x14ac:dyDescent="0.2">
      <c r="A90" s="8">
        <v>26</v>
      </c>
      <c r="B90" s="9" t="s">
        <v>325</v>
      </c>
      <c r="C90" s="9" t="s">
        <v>326</v>
      </c>
      <c r="D90" s="9" t="s">
        <v>133</v>
      </c>
      <c r="E90" s="10">
        <v>1000</v>
      </c>
      <c r="F90" s="11">
        <v>4923.18</v>
      </c>
      <c r="G90" s="12">
        <v>8.7118100000000004E-3</v>
      </c>
      <c r="H90" s="40">
        <v>7.91</v>
      </c>
    </row>
    <row r="91" spans="1:8" ht="25.5" x14ac:dyDescent="0.2">
      <c r="A91" s="8">
        <v>27</v>
      </c>
      <c r="B91" s="9" t="s">
        <v>327</v>
      </c>
      <c r="C91" s="9" t="s">
        <v>328</v>
      </c>
      <c r="D91" s="9" t="s">
        <v>133</v>
      </c>
      <c r="E91" s="10">
        <v>1000</v>
      </c>
      <c r="F91" s="11">
        <v>4906.1549999999997</v>
      </c>
      <c r="G91" s="12">
        <v>8.6816800000000006E-3</v>
      </c>
      <c r="H91" s="40">
        <v>8.0250000000000004</v>
      </c>
    </row>
    <row r="92" spans="1:8" x14ac:dyDescent="0.2">
      <c r="A92" s="8">
        <v>28</v>
      </c>
      <c r="B92" s="9" t="s">
        <v>329</v>
      </c>
      <c r="C92" s="9" t="s">
        <v>330</v>
      </c>
      <c r="D92" s="9" t="s">
        <v>133</v>
      </c>
      <c r="E92" s="10">
        <v>1000</v>
      </c>
      <c r="F92" s="11">
        <v>4904.88</v>
      </c>
      <c r="G92" s="12">
        <v>8.6794200000000002E-3</v>
      </c>
      <c r="H92" s="40">
        <v>7.8650000000000002</v>
      </c>
    </row>
    <row r="93" spans="1:8" x14ac:dyDescent="0.2">
      <c r="A93" s="8">
        <v>29</v>
      </c>
      <c r="B93" s="9" t="s">
        <v>331</v>
      </c>
      <c r="C93" s="9" t="s">
        <v>332</v>
      </c>
      <c r="D93" s="9" t="s">
        <v>133</v>
      </c>
      <c r="E93" s="10">
        <v>1000</v>
      </c>
      <c r="F93" s="11">
        <v>4903.3950000000004</v>
      </c>
      <c r="G93" s="12">
        <v>8.6768000000000001E-3</v>
      </c>
      <c r="H93" s="40">
        <v>8.08</v>
      </c>
    </row>
    <row r="94" spans="1:8" x14ac:dyDescent="0.2">
      <c r="A94" s="8">
        <v>30</v>
      </c>
      <c r="B94" s="9" t="s">
        <v>333</v>
      </c>
      <c r="C94" s="9" t="s">
        <v>334</v>
      </c>
      <c r="D94" s="9" t="s">
        <v>133</v>
      </c>
      <c r="E94" s="10">
        <v>1000</v>
      </c>
      <c r="F94" s="11">
        <v>4902.9849999999997</v>
      </c>
      <c r="G94" s="12">
        <v>8.6760699999999993E-3</v>
      </c>
      <c r="H94" s="40">
        <v>8.1150000000000002</v>
      </c>
    </row>
    <row r="95" spans="1:8" x14ac:dyDescent="0.2">
      <c r="A95" s="8">
        <v>31</v>
      </c>
      <c r="B95" s="9"/>
      <c r="C95" s="9" t="s">
        <v>335</v>
      </c>
      <c r="D95" s="9"/>
      <c r="E95" s="10">
        <v>1000</v>
      </c>
      <c r="F95" s="11">
        <v>4902.4650000000001</v>
      </c>
      <c r="G95" s="12">
        <v>8.6751499999999995E-3</v>
      </c>
      <c r="H95" s="40" t="s">
        <v>12</v>
      </c>
    </row>
    <row r="96" spans="1:8" x14ac:dyDescent="0.2">
      <c r="A96" s="8">
        <v>32</v>
      </c>
      <c r="B96" s="9" t="s">
        <v>230</v>
      </c>
      <c r="C96" s="9" t="s">
        <v>231</v>
      </c>
      <c r="D96" s="9" t="s">
        <v>163</v>
      </c>
      <c r="E96" s="10">
        <v>900</v>
      </c>
      <c r="F96" s="11">
        <v>4447.2195000000002</v>
      </c>
      <c r="G96" s="12">
        <v>7.8695699999999993E-3</v>
      </c>
      <c r="H96" s="40">
        <v>7.22</v>
      </c>
    </row>
    <row r="97" spans="1:8" ht="25.5" x14ac:dyDescent="0.2">
      <c r="A97" s="8">
        <v>33</v>
      </c>
      <c r="B97" s="9" t="s">
        <v>168</v>
      </c>
      <c r="C97" s="9" t="s">
        <v>169</v>
      </c>
      <c r="D97" s="9" t="s">
        <v>133</v>
      </c>
      <c r="E97" s="10">
        <v>800</v>
      </c>
      <c r="F97" s="11">
        <v>3935.9639999999999</v>
      </c>
      <c r="G97" s="12">
        <v>6.9648799999999997E-3</v>
      </c>
      <c r="H97" s="40">
        <v>8.0250000000000004</v>
      </c>
    </row>
    <row r="98" spans="1:8" x14ac:dyDescent="0.2">
      <c r="A98" s="8">
        <v>34</v>
      </c>
      <c r="B98" s="9" t="s">
        <v>336</v>
      </c>
      <c r="C98" s="9" t="s">
        <v>337</v>
      </c>
      <c r="D98" s="9" t="s">
        <v>133</v>
      </c>
      <c r="E98" s="10">
        <v>500</v>
      </c>
      <c r="F98" s="11">
        <v>2462.2275</v>
      </c>
      <c r="G98" s="12">
        <v>4.3570299999999996E-3</v>
      </c>
      <c r="H98" s="40">
        <v>8.1150000000000002</v>
      </c>
    </row>
    <row r="99" spans="1:8" x14ac:dyDescent="0.2">
      <c r="A99" s="8">
        <v>35</v>
      </c>
      <c r="B99" s="9" t="s">
        <v>338</v>
      </c>
      <c r="C99" s="9" t="s">
        <v>339</v>
      </c>
      <c r="D99" s="9"/>
      <c r="E99" s="10">
        <v>500</v>
      </c>
      <c r="F99" s="11">
        <v>2456.8775000000001</v>
      </c>
      <c r="G99" s="12">
        <v>4.3475600000000003E-3</v>
      </c>
      <c r="H99" s="40">
        <v>0</v>
      </c>
    </row>
    <row r="100" spans="1:8" x14ac:dyDescent="0.2">
      <c r="A100" s="1"/>
      <c r="B100" s="1"/>
      <c r="C100" s="2" t="s">
        <v>11</v>
      </c>
      <c r="D100" s="1"/>
      <c r="E100" s="1" t="s">
        <v>12</v>
      </c>
      <c r="F100" s="7">
        <v>228714.59599999999</v>
      </c>
      <c r="G100" s="4">
        <v>0.40472153</v>
      </c>
      <c r="H100" s="40" t="s">
        <v>12</v>
      </c>
    </row>
    <row r="101" spans="1:8" x14ac:dyDescent="0.2">
      <c r="A101" s="1"/>
      <c r="B101" s="1"/>
      <c r="C101" s="5"/>
      <c r="D101" s="1"/>
      <c r="E101" s="1"/>
      <c r="F101" s="6"/>
      <c r="G101" s="6"/>
      <c r="H101" s="40" t="s">
        <v>12</v>
      </c>
    </row>
    <row r="102" spans="1:8" x14ac:dyDescent="0.2">
      <c r="A102" s="1"/>
      <c r="B102" s="1"/>
      <c r="C102" s="2" t="s">
        <v>79</v>
      </c>
      <c r="D102" s="1"/>
      <c r="E102" s="1"/>
      <c r="F102" s="6"/>
      <c r="G102" s="6"/>
      <c r="H102" s="40" t="s">
        <v>12</v>
      </c>
    </row>
    <row r="103" spans="1:8" x14ac:dyDescent="0.2">
      <c r="A103" s="8">
        <v>1</v>
      </c>
      <c r="B103" s="9" t="s">
        <v>340</v>
      </c>
      <c r="C103" s="9" t="s">
        <v>341</v>
      </c>
      <c r="D103" s="9" t="s">
        <v>67</v>
      </c>
      <c r="E103" s="10">
        <v>25000000</v>
      </c>
      <c r="F103" s="11">
        <v>24845.95</v>
      </c>
      <c r="G103" s="12">
        <v>4.3966110000000003E-2</v>
      </c>
      <c r="H103" s="40">
        <v>6.8574999999999999</v>
      </c>
    </row>
    <row r="104" spans="1:8" x14ac:dyDescent="0.2">
      <c r="A104" s="8">
        <v>2</v>
      </c>
      <c r="B104" s="9" t="s">
        <v>342</v>
      </c>
      <c r="C104" s="9" t="s">
        <v>343</v>
      </c>
      <c r="D104" s="9" t="s">
        <v>67</v>
      </c>
      <c r="E104" s="10">
        <v>20000000</v>
      </c>
      <c r="F104" s="11">
        <v>19768.3</v>
      </c>
      <c r="G104" s="12">
        <v>3.4980959999999998E-2</v>
      </c>
      <c r="H104" s="40">
        <v>6.9</v>
      </c>
    </row>
    <row r="105" spans="1:8" x14ac:dyDescent="0.2">
      <c r="A105" s="8">
        <v>3</v>
      </c>
      <c r="B105" s="9" t="s">
        <v>344</v>
      </c>
      <c r="C105" s="9" t="s">
        <v>345</v>
      </c>
      <c r="D105" s="9" t="s">
        <v>67</v>
      </c>
      <c r="E105" s="10">
        <v>20000000</v>
      </c>
      <c r="F105" s="11">
        <v>19723.599999999999</v>
      </c>
      <c r="G105" s="12">
        <v>3.490186E-2</v>
      </c>
      <c r="H105" s="40">
        <v>6.82</v>
      </c>
    </row>
    <row r="106" spans="1:8" x14ac:dyDescent="0.2">
      <c r="A106" s="8">
        <v>4</v>
      </c>
      <c r="B106" s="9" t="s">
        <v>346</v>
      </c>
      <c r="C106" s="9" t="s">
        <v>347</v>
      </c>
      <c r="D106" s="9" t="s">
        <v>67</v>
      </c>
      <c r="E106" s="10">
        <v>15000000</v>
      </c>
      <c r="F106" s="11">
        <v>14829</v>
      </c>
      <c r="G106" s="12">
        <v>2.6240630000000001E-2</v>
      </c>
      <c r="H106" s="40">
        <v>6.9</v>
      </c>
    </row>
    <row r="107" spans="1:8" x14ac:dyDescent="0.2">
      <c r="A107" s="8">
        <v>5</v>
      </c>
      <c r="B107" s="9" t="s">
        <v>348</v>
      </c>
      <c r="C107" s="9" t="s">
        <v>349</v>
      </c>
      <c r="D107" s="9" t="s">
        <v>67</v>
      </c>
      <c r="E107" s="10">
        <v>10000000</v>
      </c>
      <c r="F107" s="11">
        <v>9952.68</v>
      </c>
      <c r="G107" s="12">
        <v>1.7611749999999999E-2</v>
      </c>
      <c r="H107" s="40">
        <v>6.6749999999999998</v>
      </c>
    </row>
    <row r="108" spans="1:8" x14ac:dyDescent="0.2">
      <c r="A108" s="8">
        <v>6</v>
      </c>
      <c r="B108" s="9" t="s">
        <v>350</v>
      </c>
      <c r="C108" s="9" t="s">
        <v>351</v>
      </c>
      <c r="D108" s="9" t="s">
        <v>67</v>
      </c>
      <c r="E108" s="10">
        <v>10000000</v>
      </c>
      <c r="F108" s="11">
        <v>9835.24</v>
      </c>
      <c r="G108" s="12">
        <v>1.7403930000000001E-2</v>
      </c>
      <c r="H108" s="40">
        <v>6.87</v>
      </c>
    </row>
    <row r="109" spans="1:8" x14ac:dyDescent="0.2">
      <c r="A109" s="8">
        <v>7</v>
      </c>
      <c r="B109" s="9" t="s">
        <v>352</v>
      </c>
      <c r="C109" s="9" t="s">
        <v>353</v>
      </c>
      <c r="D109" s="9" t="s">
        <v>67</v>
      </c>
      <c r="E109" s="10">
        <v>5000000</v>
      </c>
      <c r="F109" s="11">
        <v>4956.4399999999996</v>
      </c>
      <c r="G109" s="12">
        <v>8.7706599999999996E-3</v>
      </c>
      <c r="H109" s="40">
        <v>6.8250999999999999</v>
      </c>
    </row>
    <row r="110" spans="1:8" x14ac:dyDescent="0.2">
      <c r="A110" s="8">
        <v>8</v>
      </c>
      <c r="B110" s="9" t="s">
        <v>354</v>
      </c>
      <c r="C110" s="9" t="s">
        <v>355</v>
      </c>
      <c r="D110" s="9" t="s">
        <v>67</v>
      </c>
      <c r="E110" s="10">
        <v>2500000</v>
      </c>
      <c r="F110" s="11">
        <v>2468.27</v>
      </c>
      <c r="G110" s="12">
        <v>4.3677200000000003E-3</v>
      </c>
      <c r="H110" s="40">
        <v>6.9</v>
      </c>
    </row>
    <row r="111" spans="1:8" x14ac:dyDescent="0.2">
      <c r="A111" s="1"/>
      <c r="B111" s="1"/>
      <c r="C111" s="2" t="s">
        <v>11</v>
      </c>
      <c r="D111" s="1"/>
      <c r="E111" s="1" t="s">
        <v>12</v>
      </c>
      <c r="F111" s="7">
        <v>106379.48</v>
      </c>
      <c r="G111" s="4">
        <v>0.18824362</v>
      </c>
      <c r="H111" s="40" t="s">
        <v>12</v>
      </c>
    </row>
    <row r="112" spans="1:8" x14ac:dyDescent="0.2">
      <c r="A112" s="1"/>
      <c r="B112" s="1"/>
      <c r="C112" s="5"/>
      <c r="D112" s="1"/>
      <c r="E112" s="1"/>
      <c r="F112" s="6"/>
      <c r="G112" s="6"/>
      <c r="H112" s="40" t="s">
        <v>12</v>
      </c>
    </row>
    <row r="113" spans="1:8" x14ac:dyDescent="0.2">
      <c r="A113" s="1"/>
      <c r="B113" s="1"/>
      <c r="C113" s="2" t="s">
        <v>80</v>
      </c>
      <c r="D113" s="1"/>
      <c r="E113" s="1"/>
      <c r="F113" s="6"/>
      <c r="G113" s="6"/>
      <c r="H113" s="40" t="s">
        <v>12</v>
      </c>
    </row>
    <row r="114" spans="1:8" x14ac:dyDescent="0.2">
      <c r="A114" s="8">
        <v>1</v>
      </c>
      <c r="B114" s="9"/>
      <c r="C114" s="9" t="s">
        <v>81</v>
      </c>
      <c r="D114" s="9"/>
      <c r="E114" s="13"/>
      <c r="F114" s="11">
        <v>70827.190204683997</v>
      </c>
      <c r="G114" s="12">
        <v>0.12533214000000001</v>
      </c>
      <c r="H114" s="40">
        <v>6.6416448321270405</v>
      </c>
    </row>
    <row r="115" spans="1:8" x14ac:dyDescent="0.2">
      <c r="A115" s="1"/>
      <c r="B115" s="1"/>
      <c r="C115" s="2" t="s">
        <v>11</v>
      </c>
      <c r="D115" s="1"/>
      <c r="E115" s="1" t="s">
        <v>12</v>
      </c>
      <c r="F115" s="7">
        <v>70827.190204683997</v>
      </c>
      <c r="G115" s="4">
        <v>0.12533214000000001</v>
      </c>
      <c r="H115" s="40" t="s">
        <v>12</v>
      </c>
    </row>
    <row r="116" spans="1:8" x14ac:dyDescent="0.2">
      <c r="A116" s="1"/>
      <c r="B116" s="1"/>
      <c r="C116" s="5"/>
      <c r="D116" s="1"/>
      <c r="E116" s="1"/>
      <c r="F116" s="6"/>
      <c r="G116" s="6"/>
      <c r="H116" s="40" t="s">
        <v>12</v>
      </c>
    </row>
    <row r="117" spans="1:8" x14ac:dyDescent="0.2">
      <c r="A117" s="1"/>
      <c r="B117" s="1"/>
      <c r="C117" s="2" t="s">
        <v>82</v>
      </c>
      <c r="D117" s="1"/>
      <c r="E117" s="1"/>
      <c r="F117" s="7">
        <v>573545.20170468395</v>
      </c>
      <c r="G117" s="4">
        <v>1.0149159800000001</v>
      </c>
      <c r="H117" s="40" t="s">
        <v>12</v>
      </c>
    </row>
    <row r="118" spans="1:8" x14ac:dyDescent="0.2">
      <c r="A118" s="1"/>
      <c r="B118" s="1"/>
      <c r="C118" s="6"/>
      <c r="D118" s="1"/>
      <c r="E118" s="1"/>
      <c r="F118" s="1"/>
      <c r="G118" s="1"/>
      <c r="H118" s="40" t="s">
        <v>12</v>
      </c>
    </row>
    <row r="119" spans="1:8" x14ac:dyDescent="0.2">
      <c r="A119" s="1"/>
      <c r="B119" s="1"/>
      <c r="C119" s="2" t="s">
        <v>83</v>
      </c>
      <c r="D119" s="1"/>
      <c r="E119" s="1"/>
      <c r="F119" s="1"/>
      <c r="G119" s="1"/>
      <c r="H119" s="40" t="s">
        <v>12</v>
      </c>
    </row>
    <row r="120" spans="1:8" x14ac:dyDescent="0.2">
      <c r="A120" s="1"/>
      <c r="B120" s="1"/>
      <c r="C120" s="2" t="s">
        <v>84</v>
      </c>
      <c r="D120" s="1"/>
      <c r="E120" s="1"/>
      <c r="F120" s="1"/>
      <c r="G120" s="1"/>
      <c r="H120" s="40" t="s">
        <v>12</v>
      </c>
    </row>
    <row r="121" spans="1:8" x14ac:dyDescent="0.2">
      <c r="A121" s="1"/>
      <c r="B121" s="1"/>
      <c r="C121" s="2" t="s">
        <v>11</v>
      </c>
      <c r="D121" s="1"/>
      <c r="E121" s="1" t="s">
        <v>12</v>
      </c>
      <c r="F121" s="3" t="s">
        <v>13</v>
      </c>
      <c r="G121" s="4">
        <v>0</v>
      </c>
      <c r="H121" s="40" t="s">
        <v>12</v>
      </c>
    </row>
    <row r="122" spans="1:8" x14ac:dyDescent="0.2">
      <c r="A122" s="1"/>
      <c r="B122" s="1"/>
      <c r="C122" s="5"/>
      <c r="D122" s="1"/>
      <c r="E122" s="1"/>
      <c r="F122" s="6"/>
      <c r="G122" s="6"/>
      <c r="H122" s="40" t="s">
        <v>12</v>
      </c>
    </row>
    <row r="123" spans="1:8" x14ac:dyDescent="0.2">
      <c r="A123" s="1"/>
      <c r="B123" s="1"/>
      <c r="C123" s="2" t="s">
        <v>87</v>
      </c>
      <c r="D123" s="1"/>
      <c r="E123" s="1"/>
      <c r="F123" s="1"/>
      <c r="G123" s="1"/>
      <c r="H123" s="40" t="s">
        <v>12</v>
      </c>
    </row>
    <row r="124" spans="1:8" x14ac:dyDescent="0.2">
      <c r="A124" s="1"/>
      <c r="B124" s="1"/>
      <c r="C124" s="2" t="s">
        <v>88</v>
      </c>
      <c r="D124" s="1"/>
      <c r="E124" s="1"/>
      <c r="F124" s="1"/>
      <c r="G124" s="1"/>
      <c r="H124" s="40" t="s">
        <v>12</v>
      </c>
    </row>
    <row r="125" spans="1:8" x14ac:dyDescent="0.2">
      <c r="A125" s="1"/>
      <c r="B125" s="1"/>
      <c r="C125" s="2" t="s">
        <v>11</v>
      </c>
      <c r="D125" s="1"/>
      <c r="E125" s="1" t="s">
        <v>12</v>
      </c>
      <c r="F125" s="3" t="s">
        <v>13</v>
      </c>
      <c r="G125" s="4">
        <v>0</v>
      </c>
      <c r="H125" s="40" t="s">
        <v>12</v>
      </c>
    </row>
    <row r="126" spans="1:8" x14ac:dyDescent="0.2">
      <c r="A126" s="1"/>
      <c r="B126" s="1"/>
      <c r="C126" s="5"/>
      <c r="D126" s="1"/>
      <c r="E126" s="1"/>
      <c r="F126" s="6"/>
      <c r="G126" s="6"/>
      <c r="H126" s="40" t="s">
        <v>12</v>
      </c>
    </row>
    <row r="127" spans="1:8" x14ac:dyDescent="0.2">
      <c r="A127" s="1"/>
      <c r="B127" s="1"/>
      <c r="C127" s="2" t="s">
        <v>89</v>
      </c>
      <c r="D127" s="1"/>
      <c r="E127" s="1"/>
      <c r="F127" s="6"/>
      <c r="G127" s="6"/>
      <c r="H127" s="40" t="s">
        <v>12</v>
      </c>
    </row>
    <row r="128" spans="1:8" x14ac:dyDescent="0.2">
      <c r="A128" s="1"/>
      <c r="B128" s="1"/>
      <c r="C128" s="2" t="s">
        <v>11</v>
      </c>
      <c r="D128" s="1"/>
      <c r="E128" s="1" t="s">
        <v>12</v>
      </c>
      <c r="F128" s="3" t="s">
        <v>13</v>
      </c>
      <c r="G128" s="4">
        <v>0</v>
      </c>
      <c r="H128" s="40" t="s">
        <v>12</v>
      </c>
    </row>
    <row r="129" spans="1:18" x14ac:dyDescent="0.2">
      <c r="A129" s="1"/>
      <c r="B129" s="1"/>
      <c r="C129" s="2"/>
      <c r="D129" s="1"/>
      <c r="E129" s="1"/>
      <c r="F129" s="3"/>
      <c r="G129" s="4"/>
      <c r="H129" s="40"/>
    </row>
    <row r="130" spans="1:18" x14ac:dyDescent="0.2">
      <c r="A130" s="42"/>
      <c r="B130" s="42"/>
      <c r="C130" s="43" t="s">
        <v>492</v>
      </c>
      <c r="D130" s="42"/>
      <c r="E130" s="42"/>
      <c r="F130" s="44"/>
      <c r="G130" s="44"/>
      <c r="H130" s="11"/>
      <c r="K130" s="45"/>
      <c r="L130" s="45"/>
      <c r="M130" s="45"/>
      <c r="N130" s="45"/>
      <c r="O130" s="45"/>
      <c r="P130" s="46"/>
      <c r="Q130" s="46"/>
      <c r="R130" s="46"/>
    </row>
    <row r="131" spans="1:18" x14ac:dyDescent="0.2">
      <c r="A131" s="8">
        <v>1</v>
      </c>
      <c r="B131" s="9" t="s">
        <v>85</v>
      </c>
      <c r="C131" s="9" t="s">
        <v>86</v>
      </c>
      <c r="D131" s="9"/>
      <c r="E131" s="14">
        <v>7968.2974000000004</v>
      </c>
      <c r="F131" s="11">
        <v>816.80807835400003</v>
      </c>
      <c r="G131" s="12">
        <v>1.44538E-3</v>
      </c>
      <c r="H131" s="40"/>
    </row>
    <row r="132" spans="1:18" x14ac:dyDescent="0.2">
      <c r="A132" s="1"/>
      <c r="B132" s="1"/>
      <c r="C132" s="2" t="s">
        <v>11</v>
      </c>
      <c r="D132" s="1"/>
      <c r="E132" s="1" t="s">
        <v>12</v>
      </c>
      <c r="F132" s="7">
        <v>816.80807835400003</v>
      </c>
      <c r="G132" s="4">
        <v>1.44538E-3</v>
      </c>
      <c r="H132" s="40" t="s">
        <v>12</v>
      </c>
    </row>
    <row r="133" spans="1:18" x14ac:dyDescent="0.2">
      <c r="A133" s="1"/>
      <c r="B133" s="9"/>
      <c r="C133" s="9"/>
      <c r="D133" s="2"/>
      <c r="E133" s="1"/>
      <c r="F133" s="9"/>
      <c r="G133" s="13"/>
      <c r="H133" s="40"/>
    </row>
    <row r="134" spans="1:18" x14ac:dyDescent="0.2">
      <c r="A134" s="1"/>
      <c r="B134" s="1"/>
      <c r="C134" s="5"/>
      <c r="D134" s="1"/>
      <c r="E134" s="1"/>
      <c r="F134" s="6"/>
      <c r="G134" s="6"/>
      <c r="H134" s="40" t="s">
        <v>12</v>
      </c>
    </row>
    <row r="135" spans="1:18" x14ac:dyDescent="0.2">
      <c r="A135" s="1"/>
      <c r="B135" s="9"/>
      <c r="C135" s="9"/>
      <c r="D135" s="2"/>
      <c r="E135" s="1"/>
      <c r="F135" s="9"/>
      <c r="G135" s="13"/>
      <c r="H135" s="40" t="s">
        <v>12</v>
      </c>
    </row>
    <row r="136" spans="1:18" x14ac:dyDescent="0.2">
      <c r="A136" s="13"/>
      <c r="B136" s="9"/>
      <c r="C136" s="9" t="s">
        <v>90</v>
      </c>
      <c r="D136" s="9"/>
      <c r="E136" s="13"/>
      <c r="F136" s="11">
        <f>-16735.83239234-0.000842817916870117</f>
        <v>-16735.833235157916</v>
      </c>
      <c r="G136" s="12">
        <v>-2.9614870000000001E-2</v>
      </c>
      <c r="H136" s="40" t="s">
        <v>12</v>
      </c>
    </row>
    <row r="137" spans="1:18" x14ac:dyDescent="0.2">
      <c r="A137" s="5"/>
      <c r="B137" s="5"/>
      <c r="C137" s="2" t="s">
        <v>91</v>
      </c>
      <c r="D137" s="6"/>
      <c r="E137" s="6"/>
      <c r="F137" s="7">
        <f>565115.947390698-0.000842817916870117</f>
        <v>565115.94654788007</v>
      </c>
      <c r="G137" s="15">
        <v>1</v>
      </c>
      <c r="H137" s="40"/>
    </row>
    <row r="138" spans="1:18" x14ac:dyDescent="0.2">
      <c r="A138" s="16"/>
      <c r="B138" s="16"/>
      <c r="C138" s="16"/>
      <c r="D138" s="17"/>
      <c r="E138" s="17"/>
      <c r="F138" s="17"/>
      <c r="G138" s="17"/>
    </row>
    <row r="139" spans="1:18" ht="12.75" customHeight="1" x14ac:dyDescent="0.2">
      <c r="A139" s="18"/>
      <c r="B139" s="102" t="s">
        <v>493</v>
      </c>
      <c r="C139" s="102"/>
      <c r="D139" s="102"/>
      <c r="E139" s="102"/>
      <c r="F139" s="102"/>
      <c r="G139" s="102"/>
      <c r="H139" s="102"/>
    </row>
    <row r="140" spans="1:18" ht="12.75" customHeight="1" x14ac:dyDescent="0.2">
      <c r="A140" s="18"/>
      <c r="B140" s="102" t="s">
        <v>494</v>
      </c>
      <c r="C140" s="102"/>
      <c r="D140" s="102"/>
      <c r="E140" s="102"/>
      <c r="F140" s="102"/>
      <c r="G140" s="102"/>
      <c r="H140" s="102"/>
    </row>
    <row r="141" spans="1:18" ht="12.75" customHeight="1" x14ac:dyDescent="0.2">
      <c r="A141" s="18"/>
      <c r="B141" s="102" t="s">
        <v>495</v>
      </c>
      <c r="C141" s="102"/>
      <c r="D141" s="102"/>
      <c r="E141" s="102"/>
      <c r="F141" s="102"/>
      <c r="G141" s="102"/>
      <c r="H141" s="102"/>
    </row>
    <row r="142" spans="1:18" ht="12.75" customHeight="1" x14ac:dyDescent="0.2">
      <c r="A142" s="18"/>
      <c r="B142" s="102" t="s">
        <v>537</v>
      </c>
      <c r="C142" s="102"/>
      <c r="D142" s="102"/>
      <c r="E142" s="102"/>
      <c r="F142" s="102"/>
      <c r="G142" s="102"/>
      <c r="H142" s="102"/>
    </row>
    <row r="143" spans="1:18" x14ac:dyDescent="0.2">
      <c r="A143" s="18"/>
      <c r="B143" s="18"/>
      <c r="C143" s="18"/>
      <c r="D143" s="20"/>
      <c r="E143" s="20"/>
      <c r="F143" s="20"/>
      <c r="G143" s="20"/>
    </row>
    <row r="144" spans="1:18" ht="14.1" customHeight="1" x14ac:dyDescent="0.2">
      <c r="A144" s="18"/>
      <c r="B144" s="103" t="s">
        <v>92</v>
      </c>
      <c r="C144" s="104"/>
      <c r="D144" s="105"/>
      <c r="E144" s="21"/>
      <c r="F144" s="20"/>
      <c r="G144" s="20"/>
    </row>
    <row r="145" spans="1:8" ht="29.1" customHeight="1" x14ac:dyDescent="0.2">
      <c r="A145" s="18"/>
      <c r="B145" s="99" t="s">
        <v>93</v>
      </c>
      <c r="C145" s="100"/>
      <c r="D145" s="43" t="s">
        <v>599</v>
      </c>
      <c r="E145" s="21"/>
      <c r="F145" s="20"/>
      <c r="G145" s="20"/>
    </row>
    <row r="146" spans="1:8" ht="17.100000000000001" customHeight="1" x14ac:dyDescent="0.2">
      <c r="A146" s="18"/>
      <c r="B146" s="99" t="s">
        <v>95</v>
      </c>
      <c r="C146" s="100"/>
      <c r="D146" s="2" t="s">
        <v>94</v>
      </c>
      <c r="E146" s="21"/>
      <c r="F146" s="20"/>
      <c r="G146" s="20"/>
    </row>
    <row r="147" spans="1:8" ht="17.100000000000001" customHeight="1" x14ac:dyDescent="0.2">
      <c r="A147" s="18"/>
      <c r="B147" s="99" t="s">
        <v>96</v>
      </c>
      <c r="C147" s="100"/>
      <c r="D147" s="6" t="s">
        <v>12</v>
      </c>
      <c r="E147" s="21"/>
      <c r="F147" s="20"/>
      <c r="G147" s="20"/>
    </row>
    <row r="148" spans="1:8" x14ac:dyDescent="0.2">
      <c r="A148" s="22"/>
      <c r="B148" s="23" t="s">
        <v>12</v>
      </c>
      <c r="C148" s="23" t="s">
        <v>531</v>
      </c>
      <c r="D148" s="23" t="s">
        <v>97</v>
      </c>
      <c r="E148" s="22"/>
      <c r="F148" s="22"/>
      <c r="G148" s="22"/>
      <c r="H148" s="87"/>
    </row>
    <row r="149" spans="1:8" ht="18" customHeight="1" x14ac:dyDescent="0.2">
      <c r="A149" s="22"/>
      <c r="B149" s="24" t="s">
        <v>98</v>
      </c>
      <c r="C149" s="98" t="s">
        <v>594</v>
      </c>
      <c r="D149" s="98" t="s">
        <v>529</v>
      </c>
      <c r="E149" s="22"/>
      <c r="F149" s="22"/>
      <c r="G149" s="22"/>
    </row>
    <row r="150" spans="1:8" ht="17.100000000000001" customHeight="1" x14ac:dyDescent="0.2">
      <c r="A150" s="22"/>
      <c r="B150" s="9" t="s">
        <v>99</v>
      </c>
      <c r="C150" s="25">
        <v>2151.9526999999998</v>
      </c>
      <c r="D150" s="25">
        <v>2158.8658</v>
      </c>
      <c r="E150" s="22"/>
      <c r="F150" s="19"/>
      <c r="G150" s="26"/>
    </row>
    <row r="151" spans="1:8" ht="17.100000000000001" customHeight="1" x14ac:dyDescent="0.2">
      <c r="A151" s="22"/>
      <c r="B151" s="9" t="s">
        <v>136</v>
      </c>
      <c r="C151" s="25">
        <v>1183.3815999999999</v>
      </c>
      <c r="D151" s="25">
        <v>1187.1831</v>
      </c>
      <c r="E151" s="22"/>
      <c r="F151" s="19"/>
      <c r="G151" s="26"/>
    </row>
    <row r="152" spans="1:8" ht="29.1" customHeight="1" x14ac:dyDescent="0.2">
      <c r="A152" s="22"/>
      <c r="B152" s="9" t="s">
        <v>547</v>
      </c>
      <c r="C152" s="25">
        <v>1000.6367</v>
      </c>
      <c r="D152" s="25">
        <v>1000.6367</v>
      </c>
      <c r="E152" s="22"/>
      <c r="F152" s="19"/>
      <c r="G152" s="26"/>
    </row>
    <row r="153" spans="1:8" ht="29.1" customHeight="1" x14ac:dyDescent="0.2">
      <c r="A153" s="22"/>
      <c r="B153" s="9" t="s">
        <v>548</v>
      </c>
      <c r="C153" s="25">
        <v>1008.0644</v>
      </c>
      <c r="D153" s="25">
        <v>1008.3781</v>
      </c>
      <c r="E153" s="22"/>
      <c r="F153" s="19"/>
      <c r="G153" s="26"/>
    </row>
    <row r="154" spans="1:8" ht="29.1" customHeight="1" x14ac:dyDescent="0.2">
      <c r="A154" s="22"/>
      <c r="B154" s="9" t="s">
        <v>553</v>
      </c>
      <c r="C154" s="25">
        <v>1025.2273</v>
      </c>
      <c r="D154" s="25">
        <v>1025.5473</v>
      </c>
      <c r="E154" s="22"/>
      <c r="F154" s="19"/>
      <c r="G154" s="26"/>
    </row>
    <row r="155" spans="1:8" ht="29.1" customHeight="1" x14ac:dyDescent="0.2">
      <c r="A155" s="22"/>
      <c r="B155" s="9" t="s">
        <v>544</v>
      </c>
      <c r="C155" s="25">
        <v>1029.6035999999999</v>
      </c>
      <c r="D155" s="25">
        <v>1027.0501999999999</v>
      </c>
      <c r="E155" s="22"/>
      <c r="F155" s="19"/>
      <c r="G155" s="26"/>
    </row>
    <row r="156" spans="1:8" ht="29.1" customHeight="1" x14ac:dyDescent="0.2">
      <c r="A156" s="22"/>
      <c r="B156" s="9" t="s">
        <v>541</v>
      </c>
      <c r="C156" s="25">
        <v>1110.3036999999999</v>
      </c>
      <c r="D156" s="25">
        <v>1113.8710000000001</v>
      </c>
      <c r="E156" s="22"/>
      <c r="F156" s="19"/>
      <c r="G156" s="26"/>
    </row>
    <row r="157" spans="1:8" ht="17.100000000000001" customHeight="1" x14ac:dyDescent="0.2">
      <c r="A157" s="22"/>
      <c r="B157" s="9" t="s">
        <v>100</v>
      </c>
      <c r="C157" s="25">
        <v>2131.652</v>
      </c>
      <c r="D157" s="25">
        <v>2138.3687</v>
      </c>
      <c r="E157" s="22"/>
      <c r="F157" s="19"/>
      <c r="G157" s="26"/>
    </row>
    <row r="158" spans="1:8" ht="17.100000000000001" customHeight="1" x14ac:dyDescent="0.2">
      <c r="A158" s="22"/>
      <c r="B158" s="9" t="s">
        <v>138</v>
      </c>
      <c r="C158" s="25">
        <v>1179.9337</v>
      </c>
      <c r="D158" s="25">
        <v>1183.6514999999999</v>
      </c>
      <c r="E158" s="22"/>
      <c r="F158" s="19"/>
      <c r="G158" s="26"/>
    </row>
    <row r="159" spans="1:8" ht="29.1" customHeight="1" x14ac:dyDescent="0.2">
      <c r="A159" s="22"/>
      <c r="B159" s="9" t="s">
        <v>550</v>
      </c>
      <c r="C159" s="25">
        <v>1000.8893</v>
      </c>
      <c r="D159" s="25">
        <v>1000.8893</v>
      </c>
      <c r="E159" s="22"/>
      <c r="F159" s="19"/>
      <c r="G159" s="26"/>
    </row>
    <row r="160" spans="1:8" ht="29.1" customHeight="1" x14ac:dyDescent="0.2">
      <c r="A160" s="22"/>
      <c r="B160" s="9" t="s">
        <v>551</v>
      </c>
      <c r="C160" s="25">
        <v>1007.5863000000001</v>
      </c>
      <c r="D160" s="25">
        <v>1007.8909</v>
      </c>
      <c r="E160" s="22"/>
      <c r="F160" s="19"/>
      <c r="G160" s="26"/>
    </row>
    <row r="161" spans="1:17" ht="29.1" customHeight="1" x14ac:dyDescent="0.2">
      <c r="A161" s="22"/>
      <c r="B161" s="9" t="s">
        <v>552</v>
      </c>
      <c r="C161" s="25">
        <v>1025.1541999999999</v>
      </c>
      <c r="D161" s="25">
        <v>1025.4662000000001</v>
      </c>
      <c r="E161" s="22"/>
      <c r="F161" s="19"/>
      <c r="G161" s="26"/>
    </row>
    <row r="162" spans="1:17" ht="29.1" customHeight="1" x14ac:dyDescent="0.2">
      <c r="A162" s="22"/>
      <c r="B162" s="9" t="s">
        <v>546</v>
      </c>
      <c r="C162" s="25">
        <v>1029.4345000000001</v>
      </c>
      <c r="D162" s="25">
        <v>1026.9395</v>
      </c>
      <c r="E162" s="22"/>
      <c r="F162" s="19"/>
      <c r="G162" s="26"/>
    </row>
    <row r="163" spans="1:17" ht="29.1" customHeight="1" x14ac:dyDescent="0.2">
      <c r="A163" s="22"/>
      <c r="B163" s="9" t="s">
        <v>543</v>
      </c>
      <c r="C163" s="25">
        <v>1107.3358000000001</v>
      </c>
      <c r="D163" s="25">
        <v>1110.825</v>
      </c>
      <c r="E163" s="22"/>
      <c r="F163" s="19"/>
      <c r="G163" s="26"/>
    </row>
    <row r="164" spans="1:17" ht="14.1" customHeight="1" x14ac:dyDescent="0.2">
      <c r="A164" s="22"/>
      <c r="B164" s="22"/>
      <c r="C164" s="22"/>
      <c r="D164" s="22"/>
      <c r="E164" s="22"/>
      <c r="F164" s="22"/>
      <c r="G164" s="22"/>
    </row>
    <row r="165" spans="1:17" ht="17.100000000000001" customHeight="1" x14ac:dyDescent="0.2">
      <c r="A165" s="22"/>
      <c r="B165" s="99" t="s">
        <v>540</v>
      </c>
      <c r="C165" s="100"/>
      <c r="D165" s="2" t="s">
        <v>12</v>
      </c>
      <c r="E165" s="22"/>
      <c r="F165" s="22"/>
      <c r="G165" s="22"/>
    </row>
    <row r="166" spans="1:17" ht="18" customHeight="1" x14ac:dyDescent="0.2">
      <c r="A166" s="22"/>
      <c r="B166" s="27" t="s">
        <v>98</v>
      </c>
      <c r="C166" s="28" t="s">
        <v>101</v>
      </c>
      <c r="D166" s="28" t="s">
        <v>102</v>
      </c>
      <c r="E166" s="22"/>
      <c r="F166" s="22"/>
      <c r="G166" s="22"/>
    </row>
    <row r="167" spans="1:17" ht="29.1" customHeight="1" x14ac:dyDescent="0.2">
      <c r="A167" s="22"/>
      <c r="B167" s="9" t="s">
        <v>547</v>
      </c>
      <c r="C167" s="29">
        <v>3.2107260000000002</v>
      </c>
      <c r="D167" s="29">
        <v>3.2107260000000002</v>
      </c>
      <c r="E167" s="22"/>
      <c r="F167" s="19"/>
      <c r="G167" s="26"/>
    </row>
    <row r="168" spans="1:17" ht="29.1" customHeight="1" x14ac:dyDescent="0.2">
      <c r="A168" s="22"/>
      <c r="B168" s="9" t="s">
        <v>548</v>
      </c>
      <c r="C168" s="29">
        <v>4.2660999999999998</v>
      </c>
      <c r="D168" s="13" t="s">
        <v>103</v>
      </c>
      <c r="E168" s="22"/>
      <c r="F168" s="19"/>
      <c r="G168" s="26"/>
    </row>
    <row r="169" spans="1:17" ht="29.1" customHeight="1" x14ac:dyDescent="0.2">
      <c r="A169" s="22"/>
      <c r="B169" s="9" t="s">
        <v>553</v>
      </c>
      <c r="C169" s="29">
        <v>2.9695999999999998</v>
      </c>
      <c r="D169" s="13" t="s">
        <v>103</v>
      </c>
      <c r="E169" s="22"/>
      <c r="F169" s="19"/>
      <c r="G169" s="26"/>
    </row>
    <row r="170" spans="1:17" ht="29.1" customHeight="1" x14ac:dyDescent="0.2">
      <c r="A170" s="22"/>
      <c r="B170" s="9" t="s">
        <v>544</v>
      </c>
      <c r="C170" s="29">
        <v>5.8463000000000003</v>
      </c>
      <c r="D170" s="13" t="s">
        <v>103</v>
      </c>
      <c r="E170" s="22"/>
      <c r="F170" s="19"/>
      <c r="G170" s="26"/>
    </row>
    <row r="171" spans="1:17" ht="29.1" customHeight="1" x14ac:dyDescent="0.2">
      <c r="A171" s="22"/>
      <c r="B171" s="9" t="s">
        <v>550</v>
      </c>
      <c r="C171" s="29">
        <v>3.1498590000000002</v>
      </c>
      <c r="D171" s="29">
        <v>3.1498590000000002</v>
      </c>
      <c r="E171" s="22"/>
      <c r="F171" s="19"/>
      <c r="G171" s="26"/>
    </row>
    <row r="172" spans="1:17" ht="29.1" customHeight="1" x14ac:dyDescent="0.2">
      <c r="A172" s="22"/>
      <c r="B172" s="9" t="s">
        <v>551</v>
      </c>
      <c r="C172" s="29">
        <v>4.1806000000000001</v>
      </c>
      <c r="D172" s="29">
        <v>4.1806000000000001</v>
      </c>
      <c r="E172" s="22"/>
      <c r="F172" s="19"/>
      <c r="G172" s="26"/>
    </row>
    <row r="173" spans="1:17" ht="29.1" customHeight="1" x14ac:dyDescent="0.2">
      <c r="A173" s="22"/>
      <c r="B173" s="9" t="s">
        <v>552</v>
      </c>
      <c r="C173" s="29">
        <v>2.9155000000000002</v>
      </c>
      <c r="D173" s="13" t="s">
        <v>103</v>
      </c>
      <c r="E173" s="22"/>
      <c r="F173" s="19"/>
      <c r="G173" s="26"/>
    </row>
    <row r="174" spans="1:17" ht="29.1" customHeight="1" x14ac:dyDescent="0.2">
      <c r="A174" s="22"/>
      <c r="B174" s="9" t="s">
        <v>546</v>
      </c>
      <c r="C174" s="29">
        <v>5.7245999999999997</v>
      </c>
      <c r="D174" s="13" t="s">
        <v>103</v>
      </c>
      <c r="E174" s="22"/>
      <c r="F174" s="19"/>
      <c r="G174" s="26"/>
    </row>
    <row r="175" spans="1:17" x14ac:dyDescent="0.2">
      <c r="A175" s="22"/>
      <c r="B175" s="19"/>
      <c r="C175" s="19"/>
      <c r="D175" s="22"/>
      <c r="E175" s="22"/>
      <c r="F175" s="22"/>
      <c r="G175" s="22"/>
    </row>
    <row r="176" spans="1:17" s="47" customFormat="1" ht="17.100000000000001" customHeight="1" x14ac:dyDescent="0.2">
      <c r="A176" s="26"/>
      <c r="B176" s="99" t="s">
        <v>595</v>
      </c>
      <c r="C176" s="100"/>
      <c r="D176" s="2" t="s">
        <v>94</v>
      </c>
      <c r="E176" s="26"/>
      <c r="F176" s="26"/>
      <c r="G176" s="26"/>
      <c r="I176"/>
      <c r="J176" s="45"/>
      <c r="K176" s="45"/>
      <c r="L176" s="45"/>
      <c r="M176" s="45"/>
      <c r="N176" s="45"/>
      <c r="O176" s="53"/>
      <c r="P176"/>
      <c r="Q176"/>
    </row>
    <row r="177" spans="1:18" ht="12.75" customHeight="1" x14ac:dyDescent="0.2">
      <c r="A177" s="22"/>
      <c r="B177" s="99" t="s">
        <v>596</v>
      </c>
      <c r="C177" s="100"/>
      <c r="D177" s="2" t="s">
        <v>94</v>
      </c>
      <c r="E177" s="32"/>
      <c r="F177" s="22"/>
      <c r="G177" s="22"/>
    </row>
    <row r="178" spans="1:18" ht="12.75" customHeight="1" x14ac:dyDescent="0.2">
      <c r="A178" s="22"/>
      <c r="B178" s="99" t="s">
        <v>591</v>
      </c>
      <c r="C178" s="100"/>
      <c r="D178" s="2" t="s">
        <v>94</v>
      </c>
      <c r="E178" s="32"/>
      <c r="F178" s="22"/>
      <c r="G178" s="22"/>
    </row>
    <row r="179" spans="1:18" ht="12.75" customHeight="1" x14ac:dyDescent="0.2">
      <c r="A179" s="22"/>
      <c r="B179" s="99" t="s">
        <v>597</v>
      </c>
      <c r="C179" s="100"/>
      <c r="D179" s="2" t="s">
        <v>94</v>
      </c>
      <c r="E179" s="32"/>
      <c r="F179" s="22"/>
      <c r="G179" s="22"/>
    </row>
    <row r="180" spans="1:18" x14ac:dyDescent="0.2">
      <c r="A180" s="34"/>
      <c r="B180" s="34"/>
      <c r="C180" s="34"/>
      <c r="D180" s="34"/>
      <c r="E180" s="34"/>
      <c r="F180" s="34"/>
      <c r="G180" s="34"/>
    </row>
    <row r="181" spans="1:18" s="47" customFormat="1" x14ac:dyDescent="0.2">
      <c r="B181" s="54" t="s">
        <v>598</v>
      </c>
      <c r="C181" s="54"/>
      <c r="D181" s="54"/>
      <c r="E181" s="54"/>
      <c r="F181" s="54"/>
      <c r="G181" s="54"/>
      <c r="I181"/>
      <c r="J181" s="37"/>
      <c r="K181" s="45"/>
      <c r="L181" s="45"/>
      <c r="M181" s="45"/>
      <c r="N181" s="45"/>
      <c r="O181"/>
    </row>
    <row r="182" spans="1:18" s="47" customFormat="1" x14ac:dyDescent="0.2">
      <c r="B182" s="54"/>
      <c r="C182" s="54"/>
      <c r="D182" s="54"/>
      <c r="E182" s="54"/>
      <c r="F182" s="54"/>
      <c r="G182" s="54"/>
      <c r="I182"/>
      <c r="J182" s="37"/>
      <c r="K182" s="45"/>
      <c r="L182" s="45"/>
      <c r="M182" s="45"/>
      <c r="N182" s="45"/>
      <c r="O182"/>
    </row>
    <row r="183" spans="1:18" s="47" customFormat="1" ht="63.75" x14ac:dyDescent="0.2">
      <c r="B183" s="57" t="s">
        <v>506</v>
      </c>
      <c r="C183" s="57" t="s">
        <v>505</v>
      </c>
      <c r="D183" s="57" t="s">
        <v>512</v>
      </c>
      <c r="E183" s="57" t="s">
        <v>513</v>
      </c>
      <c r="F183" s="57" t="s">
        <v>509</v>
      </c>
      <c r="I183"/>
      <c r="J183" s="37"/>
      <c r="K183" s="45"/>
      <c r="L183" s="45"/>
      <c r="M183" s="45"/>
      <c r="N183" s="45"/>
      <c r="O183"/>
    </row>
    <row r="184" spans="1:18" s="47" customFormat="1" ht="25.5" x14ac:dyDescent="0.2">
      <c r="B184" s="49" t="s">
        <v>511</v>
      </c>
      <c r="C184" s="59" t="s">
        <v>510</v>
      </c>
      <c r="D184" s="65">
        <v>0</v>
      </c>
      <c r="E184" s="66">
        <v>0</v>
      </c>
      <c r="F184" s="62">
        <v>5650</v>
      </c>
      <c r="I184"/>
      <c r="J184" s="37"/>
      <c r="K184" s="45"/>
      <c r="L184" s="45"/>
      <c r="M184" s="45"/>
      <c r="N184" s="45"/>
      <c r="O184"/>
      <c r="R184"/>
    </row>
    <row r="185" spans="1:18" s="47" customFormat="1" x14ac:dyDescent="0.2">
      <c r="I185"/>
      <c r="J185" s="37"/>
      <c r="K185" s="45"/>
      <c r="L185" s="45"/>
      <c r="M185" s="45"/>
      <c r="N185" s="45"/>
      <c r="O185"/>
      <c r="R185"/>
    </row>
    <row r="186" spans="1:18" s="47" customFormat="1" x14ac:dyDescent="0.2">
      <c r="B186" s="106" t="s">
        <v>497</v>
      </c>
      <c r="C186" s="107"/>
      <c r="D186" s="108"/>
      <c r="I186"/>
      <c r="J186" s="37"/>
      <c r="K186" s="45"/>
      <c r="L186" s="45"/>
      <c r="M186" s="45"/>
      <c r="N186" s="45"/>
      <c r="O186"/>
      <c r="R186"/>
    </row>
    <row r="187" spans="1:18" s="47" customFormat="1" ht="25.5" x14ac:dyDescent="0.2">
      <c r="B187" s="109" t="s">
        <v>498</v>
      </c>
      <c r="C187" s="109"/>
      <c r="D187" s="48" t="s">
        <v>238</v>
      </c>
      <c r="I187"/>
      <c r="J187" s="37"/>
      <c r="K187" s="45"/>
      <c r="L187" s="45"/>
      <c r="M187" s="45"/>
      <c r="N187" s="45"/>
      <c r="O187"/>
      <c r="R187"/>
    </row>
    <row r="188" spans="1:18" s="47" customFormat="1" x14ac:dyDescent="0.2">
      <c r="B188" s="110" t="s">
        <v>499</v>
      </c>
      <c r="C188" s="110"/>
      <c r="D188" s="49"/>
      <c r="I188"/>
      <c r="J188" s="37"/>
      <c r="K188" s="45"/>
      <c r="L188" s="45"/>
      <c r="M188" s="45"/>
      <c r="N188" s="45"/>
      <c r="O188"/>
      <c r="R188"/>
    </row>
    <row r="189" spans="1:18" s="47" customFormat="1" x14ac:dyDescent="0.2">
      <c r="B189" s="110"/>
      <c r="C189" s="110"/>
      <c r="D189" s="50"/>
      <c r="I189"/>
      <c r="J189" s="37"/>
      <c r="K189" s="45"/>
      <c r="L189" s="45"/>
      <c r="M189" s="45"/>
      <c r="N189" s="45"/>
      <c r="O189"/>
      <c r="R189"/>
    </row>
    <row r="190" spans="1:18" s="47" customFormat="1" x14ac:dyDescent="0.2">
      <c r="B190" s="110" t="s">
        <v>500</v>
      </c>
      <c r="C190" s="110"/>
      <c r="D190" s="51">
        <v>7.1507919920738843</v>
      </c>
      <c r="I190"/>
      <c r="J190" s="37"/>
      <c r="K190" s="45"/>
      <c r="L190" s="45"/>
      <c r="M190" s="45"/>
      <c r="N190" s="45"/>
      <c r="O190"/>
      <c r="R190"/>
    </row>
    <row r="191" spans="1:18" s="47" customFormat="1" x14ac:dyDescent="0.2">
      <c r="B191" s="110"/>
      <c r="C191" s="110"/>
      <c r="D191" s="50"/>
      <c r="I191"/>
      <c r="J191" s="37"/>
      <c r="K191" s="45"/>
      <c r="L191" s="45"/>
      <c r="M191" s="45"/>
      <c r="N191" s="45"/>
      <c r="O191"/>
      <c r="R191"/>
    </row>
    <row r="192" spans="1:18" s="47" customFormat="1" x14ac:dyDescent="0.2">
      <c r="B192" s="110" t="s">
        <v>501</v>
      </c>
      <c r="C192" s="110"/>
      <c r="D192" s="51">
        <v>0.1136318437856606</v>
      </c>
      <c r="I192"/>
      <c r="J192" s="37"/>
      <c r="K192" s="45"/>
      <c r="L192" s="45"/>
      <c r="M192" s="45"/>
      <c r="N192" s="45"/>
      <c r="O192"/>
      <c r="R192"/>
    </row>
    <row r="193" spans="2:18" s="47" customFormat="1" x14ac:dyDescent="0.2">
      <c r="B193" s="110" t="s">
        <v>502</v>
      </c>
      <c r="C193" s="110"/>
      <c r="D193" s="51">
        <v>0.1136318437856606</v>
      </c>
      <c r="I193"/>
      <c r="J193" s="37"/>
      <c r="K193" s="45"/>
      <c r="L193" s="45"/>
      <c r="M193" s="45"/>
      <c r="N193" s="45"/>
      <c r="O193"/>
      <c r="R193"/>
    </row>
    <row r="194" spans="2:18" s="47" customFormat="1" x14ac:dyDescent="0.2">
      <c r="B194" s="110"/>
      <c r="C194" s="110"/>
      <c r="D194" s="50"/>
      <c r="I194"/>
      <c r="J194" s="37"/>
      <c r="K194" s="45"/>
      <c r="L194" s="45"/>
      <c r="M194" s="45"/>
      <c r="N194" s="45"/>
      <c r="O194"/>
      <c r="P194"/>
      <c r="Q194"/>
      <c r="R194"/>
    </row>
    <row r="195" spans="2:18" s="47" customFormat="1" x14ac:dyDescent="0.2">
      <c r="B195" s="110" t="s">
        <v>503</v>
      </c>
      <c r="C195" s="110"/>
      <c r="D195" s="52" t="s">
        <v>529</v>
      </c>
      <c r="I195"/>
      <c r="J195" s="37"/>
      <c r="K195" s="45"/>
      <c r="L195" s="45"/>
      <c r="M195" s="45"/>
      <c r="N195" s="45"/>
      <c r="O195"/>
      <c r="P195"/>
      <c r="Q195"/>
      <c r="R195"/>
    </row>
    <row r="196" spans="2:18" s="47" customFormat="1" x14ac:dyDescent="0.2">
      <c r="B196" s="111" t="s">
        <v>504</v>
      </c>
      <c r="C196" s="113"/>
      <c r="D196" s="112"/>
      <c r="I196"/>
      <c r="J196" s="37"/>
      <c r="K196" s="45"/>
      <c r="L196" s="45"/>
      <c r="M196" s="45"/>
      <c r="N196" s="45"/>
      <c r="O196"/>
      <c r="P196"/>
      <c r="Q196"/>
      <c r="R196"/>
    </row>
  </sheetData>
  <mergeCells count="27">
    <mergeCell ref="B178:C178"/>
    <mergeCell ref="B195:C195"/>
    <mergeCell ref="B196:D196"/>
    <mergeCell ref="B190:C190"/>
    <mergeCell ref="B191:C191"/>
    <mergeCell ref="B192:C192"/>
    <mergeCell ref="B193:C193"/>
    <mergeCell ref="B194:C194"/>
    <mergeCell ref="B186:D186"/>
    <mergeCell ref="B187:C187"/>
    <mergeCell ref="B188:C188"/>
    <mergeCell ref="B189:C189"/>
    <mergeCell ref="B179:C179"/>
    <mergeCell ref="A1:H1"/>
    <mergeCell ref="A2:H2"/>
    <mergeCell ref="A3:H3"/>
    <mergeCell ref="B177:C177"/>
    <mergeCell ref="B144:D144"/>
    <mergeCell ref="B145:C145"/>
    <mergeCell ref="B146:C146"/>
    <mergeCell ref="B147:C147"/>
    <mergeCell ref="B165:C165"/>
    <mergeCell ref="B139:H139"/>
    <mergeCell ref="B140:H140"/>
    <mergeCell ref="B141:H141"/>
    <mergeCell ref="B142:H142"/>
    <mergeCell ref="B176:C176"/>
  </mergeCells>
  <hyperlinks>
    <hyperlink ref="I1" location="Index!B6" display="Index" xr:uid="{2FB63F2B-4DD2-40A6-AD96-43CECD8C5E8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2D551-67D5-49CE-A39D-4E6616885D5B}">
  <sheetPr>
    <outlinePr summaryBelow="0" summaryRight="0"/>
  </sheetPr>
  <dimension ref="A1:S160"/>
  <sheetViews>
    <sheetView showGridLines="0" workbookViewId="0">
      <selection activeCell="H72" sqref="H72"/>
    </sheetView>
  </sheetViews>
  <sheetFormatPr defaultRowHeight="12.75" x14ac:dyDescent="0.2"/>
  <cols>
    <col min="1" max="1" width="5.85546875" bestFit="1" customWidth="1"/>
    <col min="2" max="2" width="20.28515625" bestFit="1" customWidth="1"/>
    <col min="3" max="3" width="44.5703125" customWidth="1"/>
    <col min="4" max="4" width="13.5703125" customWidth="1"/>
    <col min="5" max="5" width="8.7109375" bestFit="1" customWidth="1"/>
    <col min="6" max="6" width="10.140625" bestFit="1" customWidth="1"/>
    <col min="7" max="7" width="14" bestFit="1" customWidth="1"/>
    <col min="8" max="8" width="9.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356</v>
      </c>
      <c r="B2" s="101"/>
      <c r="C2" s="101"/>
      <c r="D2" s="101"/>
      <c r="E2" s="101"/>
      <c r="F2" s="101"/>
      <c r="G2" s="101"/>
      <c r="H2" s="101"/>
      <c r="J2" s="38" t="s">
        <v>570</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490</v>
      </c>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1"/>
      <c r="B7" s="1"/>
      <c r="C7" s="2" t="s">
        <v>11</v>
      </c>
      <c r="D7" s="1"/>
      <c r="E7" s="1" t="s">
        <v>12</v>
      </c>
      <c r="F7" s="3" t="s">
        <v>13</v>
      </c>
      <c r="G7" s="4">
        <v>0</v>
      </c>
      <c r="H7" s="40" t="s">
        <v>12</v>
      </c>
    </row>
    <row r="8" spans="1:10" x14ac:dyDescent="0.2">
      <c r="A8" s="1"/>
      <c r="B8" s="1"/>
      <c r="C8" s="5"/>
      <c r="D8" s="1"/>
      <c r="E8" s="1"/>
      <c r="F8" s="6"/>
      <c r="G8" s="6"/>
      <c r="H8" s="40" t="s">
        <v>12</v>
      </c>
    </row>
    <row r="9" spans="1:10" x14ac:dyDescent="0.2">
      <c r="A9" s="1"/>
      <c r="B9" s="1"/>
      <c r="C9" s="2" t="s">
        <v>14</v>
      </c>
      <c r="D9" s="1"/>
      <c r="E9" s="1"/>
      <c r="F9" s="1"/>
      <c r="G9" s="1"/>
      <c r="H9" s="40" t="s">
        <v>12</v>
      </c>
    </row>
    <row r="10" spans="1:10" x14ac:dyDescent="0.2">
      <c r="A10" s="1"/>
      <c r="B10" s="1"/>
      <c r="C10" s="2" t="s">
        <v>11</v>
      </c>
      <c r="D10" s="1"/>
      <c r="E10" s="1" t="s">
        <v>12</v>
      </c>
      <c r="F10" s="3" t="s">
        <v>13</v>
      </c>
      <c r="G10" s="4">
        <v>0</v>
      </c>
      <c r="H10" s="40" t="s">
        <v>12</v>
      </c>
    </row>
    <row r="11" spans="1:10" x14ac:dyDescent="0.2">
      <c r="A11" s="1"/>
      <c r="B11" s="1"/>
      <c r="C11" s="5"/>
      <c r="D11" s="1"/>
      <c r="E11" s="1"/>
      <c r="F11" s="6"/>
      <c r="G11" s="6"/>
      <c r="H11" s="40" t="s">
        <v>12</v>
      </c>
    </row>
    <row r="12" spans="1:10" ht="15" x14ac:dyDescent="0.2">
      <c r="A12" s="1"/>
      <c r="B12" s="1"/>
      <c r="C12" s="2" t="s">
        <v>15</v>
      </c>
      <c r="D12" s="1"/>
      <c r="E12" s="1"/>
      <c r="F12" s="1"/>
      <c r="G12" s="1"/>
      <c r="H12" s="40" t="s">
        <v>12</v>
      </c>
      <c r="J12" s="97"/>
    </row>
    <row r="13" spans="1:10" x14ac:dyDescent="0.2">
      <c r="A13" s="1"/>
      <c r="B13" s="1"/>
      <c r="C13" s="2" t="s">
        <v>11</v>
      </c>
      <c r="D13" s="1"/>
      <c r="E13" s="1" t="s">
        <v>12</v>
      </c>
      <c r="F13" s="3" t="s">
        <v>13</v>
      </c>
      <c r="G13" s="4">
        <v>0</v>
      </c>
      <c r="H13" s="40" t="s">
        <v>12</v>
      </c>
      <c r="J13" s="89"/>
    </row>
    <row r="14" spans="1:10" ht="25.5" x14ac:dyDescent="0.2">
      <c r="A14" s="1"/>
      <c r="B14" s="1"/>
      <c r="C14" s="5"/>
      <c r="D14" s="1"/>
      <c r="E14" s="1"/>
      <c r="F14" s="6"/>
      <c r="G14" s="6"/>
      <c r="H14" s="40" t="s">
        <v>12</v>
      </c>
      <c r="J14" s="89" t="s">
        <v>580</v>
      </c>
    </row>
    <row r="15" spans="1:10" x14ac:dyDescent="0.2">
      <c r="A15" s="1"/>
      <c r="B15" s="1"/>
      <c r="C15" s="2" t="s">
        <v>16</v>
      </c>
      <c r="D15" s="1"/>
      <c r="E15" s="1"/>
      <c r="F15" s="1"/>
      <c r="G15" s="1"/>
      <c r="H15" s="40" t="s">
        <v>12</v>
      </c>
      <c r="J15" s="89"/>
    </row>
    <row r="16" spans="1:10" x14ac:dyDescent="0.2">
      <c r="A16" s="1"/>
      <c r="B16" s="1"/>
      <c r="C16" s="2" t="s">
        <v>11</v>
      </c>
      <c r="D16" s="1"/>
      <c r="E16" s="1" t="s">
        <v>12</v>
      </c>
      <c r="F16" s="3" t="s">
        <v>13</v>
      </c>
      <c r="G16" s="4">
        <v>0</v>
      </c>
      <c r="H16" s="40" t="s">
        <v>12</v>
      </c>
    </row>
    <row r="17" spans="1:10" x14ac:dyDescent="0.2">
      <c r="A17" s="1"/>
      <c r="B17" s="1"/>
      <c r="C17" s="5"/>
      <c r="D17" s="1"/>
      <c r="E17" s="1"/>
      <c r="F17" s="6"/>
      <c r="G17" s="6"/>
      <c r="H17" s="40" t="s">
        <v>12</v>
      </c>
    </row>
    <row r="18" spans="1:10" x14ac:dyDescent="0.2">
      <c r="A18" s="1"/>
      <c r="B18" s="1"/>
      <c r="C18" s="2" t="s">
        <v>17</v>
      </c>
      <c r="D18" s="1"/>
      <c r="E18" s="1"/>
      <c r="F18" s="6"/>
      <c r="G18" s="6"/>
      <c r="H18" s="40" t="s">
        <v>12</v>
      </c>
    </row>
    <row r="19" spans="1:10" x14ac:dyDescent="0.2">
      <c r="A19" s="1"/>
      <c r="B19" s="1"/>
      <c r="C19" s="2" t="s">
        <v>11</v>
      </c>
      <c r="D19" s="1"/>
      <c r="E19" s="1" t="s">
        <v>12</v>
      </c>
      <c r="F19" s="3" t="s">
        <v>13</v>
      </c>
      <c r="G19" s="4">
        <v>0</v>
      </c>
      <c r="H19" s="40" t="s">
        <v>12</v>
      </c>
    </row>
    <row r="20" spans="1:10" x14ac:dyDescent="0.2">
      <c r="A20" s="1"/>
      <c r="B20" s="1"/>
      <c r="C20" s="5"/>
      <c r="D20" s="1"/>
      <c r="E20" s="1"/>
      <c r="F20" s="6"/>
      <c r="G20" s="6"/>
      <c r="H20" s="40" t="s">
        <v>12</v>
      </c>
    </row>
    <row r="21" spans="1:10" x14ac:dyDescent="0.2">
      <c r="A21" s="1"/>
      <c r="B21" s="1"/>
      <c r="C21" s="2" t="s">
        <v>18</v>
      </c>
      <c r="D21" s="1"/>
      <c r="E21" s="1"/>
      <c r="F21" s="6"/>
      <c r="G21" s="6"/>
      <c r="H21" s="40" t="s">
        <v>12</v>
      </c>
    </row>
    <row r="22" spans="1:10" ht="15" x14ac:dyDescent="0.2">
      <c r="A22" s="1"/>
      <c r="B22" s="1"/>
      <c r="C22" s="2" t="s">
        <v>11</v>
      </c>
      <c r="D22" s="1"/>
      <c r="E22" s="1" t="s">
        <v>12</v>
      </c>
      <c r="F22" s="3" t="s">
        <v>13</v>
      </c>
      <c r="G22" s="4">
        <v>0</v>
      </c>
      <c r="H22" s="40" t="s">
        <v>12</v>
      </c>
      <c r="J22" s="97"/>
    </row>
    <row r="23" spans="1:10" x14ac:dyDescent="0.2">
      <c r="A23" s="1"/>
      <c r="B23" s="1"/>
      <c r="C23" s="5"/>
      <c r="D23" s="1"/>
      <c r="E23" s="1"/>
      <c r="F23" s="6"/>
      <c r="G23" s="6"/>
      <c r="H23" s="40" t="s">
        <v>12</v>
      </c>
      <c r="J23" s="89"/>
    </row>
    <row r="24" spans="1:10" x14ac:dyDescent="0.2">
      <c r="A24" s="1"/>
      <c r="B24" s="1"/>
      <c r="C24" s="2" t="s">
        <v>19</v>
      </c>
      <c r="D24" s="1"/>
      <c r="E24" s="1"/>
      <c r="F24" s="7">
        <v>0</v>
      </c>
      <c r="G24" s="4">
        <v>0</v>
      </c>
      <c r="H24" s="40" t="s">
        <v>12</v>
      </c>
    </row>
    <row r="25" spans="1:10" x14ac:dyDescent="0.2">
      <c r="A25" s="1"/>
      <c r="B25" s="1"/>
      <c r="C25" s="5"/>
      <c r="D25" s="1"/>
      <c r="E25" s="1"/>
      <c r="F25" s="6"/>
      <c r="G25" s="6"/>
      <c r="H25" s="40" t="s">
        <v>12</v>
      </c>
    </row>
    <row r="26" spans="1:10" x14ac:dyDescent="0.2">
      <c r="A26" s="1"/>
      <c r="B26" s="1"/>
      <c r="C26" s="2" t="s">
        <v>20</v>
      </c>
      <c r="D26" s="1"/>
      <c r="E26" s="1"/>
      <c r="F26" s="6"/>
      <c r="G26" s="6"/>
      <c r="H26" s="40" t="s">
        <v>12</v>
      </c>
    </row>
    <row r="27" spans="1:10" ht="25.5" x14ac:dyDescent="0.2">
      <c r="A27" s="1"/>
      <c r="B27" s="1"/>
      <c r="C27" s="2" t="s">
        <v>10</v>
      </c>
      <c r="D27" s="1"/>
      <c r="E27" s="1"/>
      <c r="F27" s="6"/>
      <c r="G27" s="6"/>
      <c r="H27" s="40" t="s">
        <v>12</v>
      </c>
      <c r="J27" s="89" t="s">
        <v>581</v>
      </c>
    </row>
    <row r="28" spans="1:10" x14ac:dyDescent="0.2">
      <c r="A28" s="8">
        <v>1</v>
      </c>
      <c r="B28" s="9" t="s">
        <v>357</v>
      </c>
      <c r="C28" s="9" t="s">
        <v>358</v>
      </c>
      <c r="D28" s="9" t="s">
        <v>23</v>
      </c>
      <c r="E28" s="10">
        <v>1000</v>
      </c>
      <c r="F28" s="11">
        <v>1013.915</v>
      </c>
      <c r="G28" s="12">
        <v>5.231309E-2</v>
      </c>
      <c r="H28" s="40">
        <v>7.4630999999999998</v>
      </c>
      <c r="J28" s="89"/>
    </row>
    <row r="29" spans="1:10" ht="25.5" x14ac:dyDescent="0.2">
      <c r="A29" s="8">
        <v>2</v>
      </c>
      <c r="B29" s="9" t="s">
        <v>359</v>
      </c>
      <c r="C29" s="9" t="s">
        <v>360</v>
      </c>
      <c r="D29" s="9" t="s">
        <v>23</v>
      </c>
      <c r="E29" s="10">
        <v>1000</v>
      </c>
      <c r="F29" s="11">
        <v>1005.699</v>
      </c>
      <c r="G29" s="12">
        <v>5.1889190000000002E-2</v>
      </c>
      <c r="H29" s="40">
        <v>7.585</v>
      </c>
    </row>
    <row r="30" spans="1:10" ht="25.5" x14ac:dyDescent="0.2">
      <c r="A30" s="8">
        <v>3</v>
      </c>
      <c r="B30" s="9" t="s">
        <v>30</v>
      </c>
      <c r="C30" s="9" t="s">
        <v>31</v>
      </c>
      <c r="D30" s="9" t="s">
        <v>23</v>
      </c>
      <c r="E30" s="10">
        <v>1000</v>
      </c>
      <c r="F30" s="11">
        <v>998.34699999999998</v>
      </c>
      <c r="G30" s="12">
        <v>5.1509859999999998E-2</v>
      </c>
      <c r="H30" s="40">
        <v>7.6574999999999998</v>
      </c>
    </row>
    <row r="31" spans="1:10" ht="25.5" x14ac:dyDescent="0.2">
      <c r="A31" s="8">
        <v>4</v>
      </c>
      <c r="B31" s="9" t="s">
        <v>125</v>
      </c>
      <c r="C31" s="9" t="s">
        <v>126</v>
      </c>
      <c r="D31" s="9" t="s">
        <v>48</v>
      </c>
      <c r="E31" s="10">
        <v>100</v>
      </c>
      <c r="F31" s="11">
        <v>995.41600000000005</v>
      </c>
      <c r="G31" s="12">
        <v>5.1358630000000002E-2</v>
      </c>
      <c r="H31" s="40">
        <v>7.7625000000000002</v>
      </c>
    </row>
    <row r="32" spans="1:10" x14ac:dyDescent="0.2">
      <c r="A32" s="8">
        <v>5</v>
      </c>
      <c r="B32" s="9" t="s">
        <v>184</v>
      </c>
      <c r="C32" s="9" t="s">
        <v>185</v>
      </c>
      <c r="D32" s="9" t="s">
        <v>186</v>
      </c>
      <c r="E32" s="10">
        <v>700</v>
      </c>
      <c r="F32" s="11">
        <v>700.41300000000001</v>
      </c>
      <c r="G32" s="12">
        <v>3.6137910000000002E-2</v>
      </c>
      <c r="H32" s="40">
        <v>8.7875999999999994</v>
      </c>
    </row>
    <row r="33" spans="1:8" x14ac:dyDescent="0.2">
      <c r="A33" s="8">
        <v>6</v>
      </c>
      <c r="B33" s="9" t="s">
        <v>59</v>
      </c>
      <c r="C33" s="9" t="s">
        <v>60</v>
      </c>
      <c r="D33" s="9" t="s">
        <v>23</v>
      </c>
      <c r="E33" s="10">
        <v>50</v>
      </c>
      <c r="F33" s="11">
        <v>501.2045</v>
      </c>
      <c r="G33" s="12">
        <v>2.5859719999999999E-2</v>
      </c>
      <c r="H33" s="40">
        <v>7.85</v>
      </c>
    </row>
    <row r="34" spans="1:8" x14ac:dyDescent="0.2">
      <c r="A34" s="8">
        <v>7</v>
      </c>
      <c r="B34" s="9" t="s">
        <v>181</v>
      </c>
      <c r="C34" s="9" t="s">
        <v>182</v>
      </c>
      <c r="D34" s="9" t="s">
        <v>183</v>
      </c>
      <c r="E34" s="10">
        <v>500</v>
      </c>
      <c r="F34" s="11">
        <v>500.23200000000003</v>
      </c>
      <c r="G34" s="12">
        <v>2.5809539999999999E-2</v>
      </c>
      <c r="H34" s="40">
        <v>7.6562999999999999</v>
      </c>
    </row>
    <row r="35" spans="1:8" x14ac:dyDescent="0.2">
      <c r="A35" s="8">
        <v>8</v>
      </c>
      <c r="B35" s="9" t="s">
        <v>204</v>
      </c>
      <c r="C35" s="9" t="s">
        <v>205</v>
      </c>
      <c r="D35" s="9" t="s">
        <v>23</v>
      </c>
      <c r="E35" s="10">
        <v>500</v>
      </c>
      <c r="F35" s="11">
        <v>500.06450000000001</v>
      </c>
      <c r="G35" s="12">
        <v>2.5800900000000002E-2</v>
      </c>
      <c r="H35" s="40">
        <v>7.2850000000000001</v>
      </c>
    </row>
    <row r="36" spans="1:8" x14ac:dyDescent="0.2">
      <c r="A36" s="8">
        <v>9</v>
      </c>
      <c r="B36" s="9" t="s">
        <v>61</v>
      </c>
      <c r="C36" s="9" t="s">
        <v>62</v>
      </c>
      <c r="D36" s="9" t="s">
        <v>23</v>
      </c>
      <c r="E36" s="10">
        <v>500</v>
      </c>
      <c r="F36" s="11">
        <v>499.15649999999999</v>
      </c>
      <c r="G36" s="12">
        <v>2.5754050000000001E-2</v>
      </c>
      <c r="H36" s="40">
        <v>8.1850000000000005</v>
      </c>
    </row>
    <row r="37" spans="1:8" x14ac:dyDescent="0.2">
      <c r="A37" s="8">
        <v>10</v>
      </c>
      <c r="B37" s="9" t="s">
        <v>361</v>
      </c>
      <c r="C37" s="9" t="s">
        <v>362</v>
      </c>
      <c r="D37" s="9" t="s">
        <v>23</v>
      </c>
      <c r="E37" s="10">
        <v>500</v>
      </c>
      <c r="F37" s="11">
        <v>498.36250000000001</v>
      </c>
      <c r="G37" s="12">
        <v>2.5713090000000001E-2</v>
      </c>
      <c r="H37" s="40">
        <v>7.6600999999999999</v>
      </c>
    </row>
    <row r="38" spans="1:8" ht="25.5" x14ac:dyDescent="0.2">
      <c r="A38" s="8">
        <v>11</v>
      </c>
      <c r="B38" s="9" t="s">
        <v>42</v>
      </c>
      <c r="C38" s="9" t="s">
        <v>43</v>
      </c>
      <c r="D38" s="9" t="s">
        <v>23</v>
      </c>
      <c r="E38" s="10">
        <v>50</v>
      </c>
      <c r="F38" s="11">
        <v>494.63099999999997</v>
      </c>
      <c r="G38" s="12">
        <v>2.5520560000000001E-2</v>
      </c>
      <c r="H38" s="40">
        <v>7.6849999999999996</v>
      </c>
    </row>
    <row r="39" spans="1:8" x14ac:dyDescent="0.2">
      <c r="A39" s="8">
        <v>12</v>
      </c>
      <c r="B39" s="9" t="s">
        <v>363</v>
      </c>
      <c r="C39" s="9" t="s">
        <v>364</v>
      </c>
      <c r="D39" s="9" t="s">
        <v>23</v>
      </c>
      <c r="E39" s="10">
        <v>50</v>
      </c>
      <c r="F39" s="11">
        <v>482.21699999999998</v>
      </c>
      <c r="G39" s="12">
        <v>2.4880059999999999E-2</v>
      </c>
      <c r="H39" s="40">
        <v>7.93</v>
      </c>
    </row>
    <row r="40" spans="1:8" x14ac:dyDescent="0.2">
      <c r="A40" s="1"/>
      <c r="B40" s="1"/>
      <c r="C40" s="2" t="s">
        <v>11</v>
      </c>
      <c r="D40" s="1"/>
      <c r="E40" s="1" t="s">
        <v>12</v>
      </c>
      <c r="F40" s="7">
        <v>8189.6580000000004</v>
      </c>
      <c r="G40" s="4">
        <v>0.42254659999999999</v>
      </c>
      <c r="H40" s="40" t="s">
        <v>12</v>
      </c>
    </row>
    <row r="41" spans="1:8" x14ac:dyDescent="0.2">
      <c r="A41" s="1"/>
      <c r="B41" s="1"/>
      <c r="C41" s="5"/>
      <c r="D41" s="1"/>
      <c r="E41" s="1"/>
      <c r="F41" s="6"/>
      <c r="G41" s="6"/>
      <c r="H41" s="40" t="s">
        <v>12</v>
      </c>
    </row>
    <row r="42" spans="1:8" x14ac:dyDescent="0.2">
      <c r="A42" s="1"/>
      <c r="B42" s="1"/>
      <c r="C42" s="2" t="s">
        <v>63</v>
      </c>
      <c r="D42" s="1"/>
      <c r="E42" s="1"/>
      <c r="F42" s="1"/>
      <c r="G42" s="1"/>
      <c r="H42" s="40" t="s">
        <v>12</v>
      </c>
    </row>
    <row r="43" spans="1:8" x14ac:dyDescent="0.2">
      <c r="A43" s="1"/>
      <c r="B43" s="1"/>
      <c r="C43" s="2" t="s">
        <v>11</v>
      </c>
      <c r="D43" s="1"/>
      <c r="E43" s="1" t="s">
        <v>12</v>
      </c>
      <c r="F43" s="3" t="s">
        <v>13</v>
      </c>
      <c r="G43" s="4">
        <v>0</v>
      </c>
      <c r="H43" s="40" t="s">
        <v>12</v>
      </c>
    </row>
    <row r="44" spans="1:8" x14ac:dyDescent="0.2">
      <c r="A44" s="1"/>
      <c r="B44" s="1"/>
      <c r="C44" s="5"/>
      <c r="D44" s="1"/>
      <c r="E44" s="1"/>
      <c r="F44" s="6"/>
      <c r="G44" s="6"/>
      <c r="H44" s="40" t="s">
        <v>12</v>
      </c>
    </row>
    <row r="45" spans="1:8" x14ac:dyDescent="0.2">
      <c r="A45" s="1"/>
      <c r="B45" s="1"/>
      <c r="C45" s="2" t="s">
        <v>64</v>
      </c>
      <c r="D45" s="1"/>
      <c r="E45" s="1"/>
      <c r="F45" s="1"/>
      <c r="G45" s="1"/>
      <c r="H45" s="40" t="s">
        <v>12</v>
      </c>
    </row>
    <row r="46" spans="1:8" x14ac:dyDescent="0.2">
      <c r="A46" s="8">
        <v>1</v>
      </c>
      <c r="B46" s="9" t="s">
        <v>65</v>
      </c>
      <c r="C46" s="9" t="s">
        <v>66</v>
      </c>
      <c r="D46" s="9" t="s">
        <v>67</v>
      </c>
      <c r="E46" s="10">
        <v>3000000</v>
      </c>
      <c r="F46" s="11">
        <v>3026.9520000000002</v>
      </c>
      <c r="G46" s="12">
        <v>0.15617602999999999</v>
      </c>
      <c r="H46" s="40">
        <v>7.1675000000000004</v>
      </c>
    </row>
    <row r="47" spans="1:8" x14ac:dyDescent="0.2">
      <c r="A47" s="8">
        <v>2</v>
      </c>
      <c r="B47" s="9" t="s">
        <v>70</v>
      </c>
      <c r="C47" s="9" t="s">
        <v>71</v>
      </c>
      <c r="D47" s="9" t="s">
        <v>67</v>
      </c>
      <c r="E47" s="10">
        <v>1500000</v>
      </c>
      <c r="F47" s="11">
        <v>1500.1890000000001</v>
      </c>
      <c r="G47" s="12">
        <v>7.7402470000000001E-2</v>
      </c>
      <c r="H47" s="40">
        <v>7.1768000000000001</v>
      </c>
    </row>
    <row r="48" spans="1:8" x14ac:dyDescent="0.2">
      <c r="A48" s="8">
        <v>3</v>
      </c>
      <c r="B48" s="9" t="s">
        <v>206</v>
      </c>
      <c r="C48" s="9" t="s">
        <v>207</v>
      </c>
      <c r="D48" s="9" t="s">
        <v>67</v>
      </c>
      <c r="E48" s="10">
        <v>1000000</v>
      </c>
      <c r="F48" s="11">
        <v>1008.79</v>
      </c>
      <c r="G48" s="12">
        <v>5.2048669999999998E-2</v>
      </c>
      <c r="H48" s="40">
        <v>7.1771000000000003</v>
      </c>
    </row>
    <row r="49" spans="1:8" ht="25.5" x14ac:dyDescent="0.2">
      <c r="A49" s="8">
        <v>4</v>
      </c>
      <c r="B49" s="9" t="s">
        <v>365</v>
      </c>
      <c r="C49" s="9" t="s">
        <v>366</v>
      </c>
      <c r="D49" s="9" t="s">
        <v>67</v>
      </c>
      <c r="E49" s="10">
        <v>500000</v>
      </c>
      <c r="F49" s="11">
        <v>501.39</v>
      </c>
      <c r="G49" s="12">
        <v>2.586929E-2</v>
      </c>
      <c r="H49" s="40">
        <v>7.5340999999999996</v>
      </c>
    </row>
    <row r="50" spans="1:8" ht="25.5" x14ac:dyDescent="0.2">
      <c r="A50" s="8">
        <v>5</v>
      </c>
      <c r="B50" s="9" t="s">
        <v>367</v>
      </c>
      <c r="C50" s="9" t="s">
        <v>532</v>
      </c>
      <c r="D50" s="9" t="s">
        <v>67</v>
      </c>
      <c r="E50" s="10">
        <v>500000</v>
      </c>
      <c r="F50" s="11">
        <v>500.40649999999999</v>
      </c>
      <c r="G50" s="12">
        <v>2.5818549999999999E-2</v>
      </c>
      <c r="H50" s="40">
        <v>7.6206546063336322</v>
      </c>
    </row>
    <row r="51" spans="1:8" ht="25.5" x14ac:dyDescent="0.2">
      <c r="A51" s="8">
        <v>6</v>
      </c>
      <c r="B51" s="9" t="s">
        <v>368</v>
      </c>
      <c r="C51" s="9" t="s">
        <v>369</v>
      </c>
      <c r="D51" s="9" t="s">
        <v>67</v>
      </c>
      <c r="E51" s="10">
        <v>400000</v>
      </c>
      <c r="F51" s="11">
        <v>403.3852</v>
      </c>
      <c r="G51" s="12">
        <v>2.081272E-2</v>
      </c>
      <c r="H51" s="40">
        <v>7.3670999999999998</v>
      </c>
    </row>
    <row r="52" spans="1:8" x14ac:dyDescent="0.2">
      <c r="A52" s="1"/>
      <c r="B52" s="1"/>
      <c r="C52" s="2" t="s">
        <v>11</v>
      </c>
      <c r="D52" s="1"/>
      <c r="E52" s="1" t="s">
        <v>12</v>
      </c>
      <c r="F52" s="7">
        <v>6941.1126999999997</v>
      </c>
      <c r="G52" s="4">
        <v>0.35812772999999998</v>
      </c>
      <c r="H52" s="40" t="s">
        <v>12</v>
      </c>
    </row>
    <row r="53" spans="1:8" x14ac:dyDescent="0.2">
      <c r="A53" s="1"/>
      <c r="B53" s="1"/>
      <c r="C53" s="5"/>
      <c r="D53" s="1"/>
      <c r="E53" s="1"/>
      <c r="F53" s="6"/>
      <c r="G53" s="6"/>
      <c r="H53" s="40" t="s">
        <v>12</v>
      </c>
    </row>
    <row r="54" spans="1:8" x14ac:dyDescent="0.2">
      <c r="A54" s="1"/>
      <c r="B54" s="1"/>
      <c r="C54" s="2" t="s">
        <v>74</v>
      </c>
      <c r="D54" s="1"/>
      <c r="E54" s="1"/>
      <c r="F54" s="6"/>
      <c r="G54" s="6"/>
      <c r="H54" s="40" t="s">
        <v>12</v>
      </c>
    </row>
    <row r="55" spans="1:8" x14ac:dyDescent="0.2">
      <c r="A55" s="1"/>
      <c r="B55" s="1"/>
      <c r="C55" s="2" t="s">
        <v>11</v>
      </c>
      <c r="D55" s="1"/>
      <c r="E55" s="1" t="s">
        <v>12</v>
      </c>
      <c r="F55" s="3" t="s">
        <v>13</v>
      </c>
      <c r="G55" s="4">
        <v>0</v>
      </c>
      <c r="H55" s="40" t="s">
        <v>12</v>
      </c>
    </row>
    <row r="56" spans="1:8" x14ac:dyDescent="0.2">
      <c r="A56" s="1"/>
      <c r="B56" s="1"/>
      <c r="C56" s="5"/>
      <c r="D56" s="1"/>
      <c r="E56" s="1"/>
      <c r="F56" s="6"/>
      <c r="G56" s="6"/>
      <c r="H56" s="40" t="s">
        <v>12</v>
      </c>
    </row>
    <row r="57" spans="1:8" x14ac:dyDescent="0.2">
      <c r="A57" s="1"/>
      <c r="B57" s="1"/>
      <c r="C57" s="2" t="s">
        <v>75</v>
      </c>
      <c r="D57" s="1"/>
      <c r="E57" s="1"/>
      <c r="F57" s="7">
        <v>15130.770699999999</v>
      </c>
      <c r="G57" s="4">
        <v>0.78067432999999997</v>
      </c>
      <c r="H57" s="40" t="s">
        <v>12</v>
      </c>
    </row>
    <row r="58" spans="1:8" x14ac:dyDescent="0.2">
      <c r="A58" s="1"/>
      <c r="B58" s="1"/>
      <c r="C58" s="5"/>
      <c r="D58" s="1"/>
      <c r="E58" s="1"/>
      <c r="F58" s="6"/>
      <c r="G58" s="6"/>
      <c r="H58" s="40" t="s">
        <v>12</v>
      </c>
    </row>
    <row r="59" spans="1:8" x14ac:dyDescent="0.2">
      <c r="A59" s="1"/>
      <c r="B59" s="1"/>
      <c r="C59" s="2" t="s">
        <v>76</v>
      </c>
      <c r="D59" s="1"/>
      <c r="E59" s="1"/>
      <c r="F59" s="6"/>
      <c r="G59" s="6"/>
      <c r="H59" s="40" t="s">
        <v>12</v>
      </c>
    </row>
    <row r="60" spans="1:8" x14ac:dyDescent="0.2">
      <c r="A60" s="1"/>
      <c r="B60" s="1"/>
      <c r="C60" s="2" t="s">
        <v>77</v>
      </c>
      <c r="D60" s="1"/>
      <c r="E60" s="1"/>
      <c r="F60" s="6"/>
      <c r="G60" s="6"/>
      <c r="H60" s="40" t="s">
        <v>12</v>
      </c>
    </row>
    <row r="61" spans="1:8" x14ac:dyDescent="0.2">
      <c r="A61" s="8">
        <v>1</v>
      </c>
      <c r="B61" s="9" t="s">
        <v>161</v>
      </c>
      <c r="C61" s="9" t="s">
        <v>162</v>
      </c>
      <c r="D61" s="9" t="s">
        <v>163</v>
      </c>
      <c r="E61" s="10">
        <v>100</v>
      </c>
      <c r="F61" s="11">
        <v>476.21949999999998</v>
      </c>
      <c r="G61" s="12">
        <v>2.4570620000000001E-2</v>
      </c>
      <c r="H61" s="40">
        <v>7.47</v>
      </c>
    </row>
    <row r="62" spans="1:8" x14ac:dyDescent="0.2">
      <c r="A62" s="8">
        <v>2</v>
      </c>
      <c r="B62" s="9" t="s">
        <v>166</v>
      </c>
      <c r="C62" s="9" t="s">
        <v>167</v>
      </c>
      <c r="D62" s="9" t="s">
        <v>163</v>
      </c>
      <c r="E62" s="10">
        <v>100</v>
      </c>
      <c r="F62" s="11">
        <v>473.5265</v>
      </c>
      <c r="G62" s="12">
        <v>2.4431669999999999E-2</v>
      </c>
      <c r="H62" s="40">
        <v>7.53</v>
      </c>
    </row>
    <row r="63" spans="1:8" x14ac:dyDescent="0.2">
      <c r="A63" s="1"/>
      <c r="B63" s="1"/>
      <c r="C63" s="2" t="s">
        <v>11</v>
      </c>
      <c r="D63" s="1"/>
      <c r="E63" s="1" t="s">
        <v>12</v>
      </c>
      <c r="F63" s="7">
        <v>949.74599999999998</v>
      </c>
      <c r="G63" s="4">
        <v>4.9002289999999997E-2</v>
      </c>
      <c r="H63" s="40" t="s">
        <v>12</v>
      </c>
    </row>
    <row r="64" spans="1:8" x14ac:dyDescent="0.2">
      <c r="A64" s="1"/>
      <c r="B64" s="1"/>
      <c r="C64" s="5"/>
      <c r="D64" s="1"/>
      <c r="E64" s="1"/>
      <c r="F64" s="6"/>
      <c r="G64" s="6"/>
      <c r="H64" s="40" t="s">
        <v>12</v>
      </c>
    </row>
    <row r="65" spans="1:8" x14ac:dyDescent="0.2">
      <c r="A65" s="1"/>
      <c r="B65" s="1"/>
      <c r="C65" s="2" t="s">
        <v>78</v>
      </c>
      <c r="D65" s="1"/>
      <c r="E65" s="1"/>
      <c r="F65" s="6"/>
      <c r="G65" s="6"/>
      <c r="H65" s="40" t="s">
        <v>12</v>
      </c>
    </row>
    <row r="66" spans="1:8" x14ac:dyDescent="0.2">
      <c r="A66" s="1"/>
      <c r="B66" s="1"/>
      <c r="C66" s="2" t="s">
        <v>11</v>
      </c>
      <c r="D66" s="1"/>
      <c r="E66" s="1" t="s">
        <v>12</v>
      </c>
      <c r="F66" s="3" t="s">
        <v>13</v>
      </c>
      <c r="G66" s="4">
        <v>0</v>
      </c>
      <c r="H66" s="40" t="s">
        <v>12</v>
      </c>
    </row>
    <row r="67" spans="1:8" x14ac:dyDescent="0.2">
      <c r="A67" s="1"/>
      <c r="B67" s="1"/>
      <c r="C67" s="5"/>
      <c r="D67" s="1"/>
      <c r="E67" s="1"/>
      <c r="F67" s="6"/>
      <c r="G67" s="6"/>
      <c r="H67" s="40" t="s">
        <v>12</v>
      </c>
    </row>
    <row r="68" spans="1:8" x14ac:dyDescent="0.2">
      <c r="A68" s="1"/>
      <c r="B68" s="1"/>
      <c r="C68" s="2" t="s">
        <v>79</v>
      </c>
      <c r="D68" s="1"/>
      <c r="E68" s="1"/>
      <c r="F68" s="6"/>
      <c r="G68" s="6"/>
      <c r="H68" s="40" t="s">
        <v>12</v>
      </c>
    </row>
    <row r="69" spans="1:8" x14ac:dyDescent="0.2">
      <c r="A69" s="1"/>
      <c r="B69" s="1"/>
      <c r="C69" s="2" t="s">
        <v>11</v>
      </c>
      <c r="D69" s="1"/>
      <c r="E69" s="1" t="s">
        <v>12</v>
      </c>
      <c r="F69" s="3" t="s">
        <v>13</v>
      </c>
      <c r="G69" s="4">
        <v>0</v>
      </c>
      <c r="H69" s="40" t="s">
        <v>12</v>
      </c>
    </row>
    <row r="70" spans="1:8" x14ac:dyDescent="0.2">
      <c r="A70" s="1"/>
      <c r="B70" s="1"/>
      <c r="C70" s="5"/>
      <c r="D70" s="1"/>
      <c r="E70" s="1"/>
      <c r="F70" s="6"/>
      <c r="G70" s="6"/>
      <c r="H70" s="40" t="s">
        <v>12</v>
      </c>
    </row>
    <row r="71" spans="1:8" x14ac:dyDescent="0.2">
      <c r="A71" s="1"/>
      <c r="B71" s="1"/>
      <c r="C71" s="2" t="s">
        <v>80</v>
      </c>
      <c r="D71" s="1"/>
      <c r="E71" s="1"/>
      <c r="F71" s="6"/>
      <c r="G71" s="6"/>
      <c r="H71" s="40" t="s">
        <v>12</v>
      </c>
    </row>
    <row r="72" spans="1:8" x14ac:dyDescent="0.2">
      <c r="A72" s="8">
        <v>1</v>
      </c>
      <c r="B72" s="9"/>
      <c r="C72" s="9" t="s">
        <v>81</v>
      </c>
      <c r="D72" s="9"/>
      <c r="E72" s="13"/>
      <c r="F72" s="11">
        <v>2907.9678293910001</v>
      </c>
      <c r="G72" s="12">
        <v>0.15003702999999999</v>
      </c>
      <c r="H72" s="40">
        <v>6.6416448321270405</v>
      </c>
    </row>
    <row r="73" spans="1:8" x14ac:dyDescent="0.2">
      <c r="A73" s="1"/>
      <c r="B73" s="1"/>
      <c r="C73" s="2" t="s">
        <v>11</v>
      </c>
      <c r="D73" s="1"/>
      <c r="E73" s="1" t="s">
        <v>12</v>
      </c>
      <c r="F73" s="7">
        <v>2907.9678293910001</v>
      </c>
      <c r="G73" s="4">
        <v>0.15003702999999999</v>
      </c>
      <c r="H73" s="40" t="s">
        <v>12</v>
      </c>
    </row>
    <row r="74" spans="1:8" x14ac:dyDescent="0.2">
      <c r="A74" s="1"/>
      <c r="B74" s="1"/>
      <c r="C74" s="5"/>
      <c r="D74" s="1"/>
      <c r="E74" s="1"/>
      <c r="F74" s="6"/>
      <c r="G74" s="6"/>
      <c r="H74" s="40" t="s">
        <v>12</v>
      </c>
    </row>
    <row r="75" spans="1:8" x14ac:dyDescent="0.2">
      <c r="A75" s="1"/>
      <c r="B75" s="1"/>
      <c r="C75" s="2" t="s">
        <v>82</v>
      </c>
      <c r="D75" s="1"/>
      <c r="E75" s="1"/>
      <c r="F75" s="7">
        <v>3857.7138293910002</v>
      </c>
      <c r="G75" s="4">
        <v>0.19903931999999999</v>
      </c>
      <c r="H75" s="40" t="s">
        <v>12</v>
      </c>
    </row>
    <row r="76" spans="1:8" x14ac:dyDescent="0.2">
      <c r="A76" s="1"/>
      <c r="B76" s="1"/>
      <c r="C76" s="6"/>
      <c r="D76" s="1"/>
      <c r="E76" s="1"/>
      <c r="F76" s="1"/>
      <c r="G76" s="1"/>
      <c r="H76" s="40" t="s">
        <v>12</v>
      </c>
    </row>
    <row r="77" spans="1:8" x14ac:dyDescent="0.2">
      <c r="A77" s="1"/>
      <c r="B77" s="1"/>
      <c r="C77" s="2" t="s">
        <v>83</v>
      </c>
      <c r="D77" s="1"/>
      <c r="E77" s="1"/>
      <c r="F77" s="1"/>
      <c r="G77" s="1"/>
      <c r="H77" s="40" t="s">
        <v>12</v>
      </c>
    </row>
    <row r="78" spans="1:8" x14ac:dyDescent="0.2">
      <c r="A78" s="1"/>
      <c r="B78" s="1"/>
      <c r="C78" s="2" t="s">
        <v>84</v>
      </c>
      <c r="D78" s="1"/>
      <c r="E78" s="1"/>
      <c r="F78" s="1"/>
      <c r="G78" s="1"/>
      <c r="H78" s="40" t="s">
        <v>12</v>
      </c>
    </row>
    <row r="79" spans="1:8" x14ac:dyDescent="0.2">
      <c r="A79" s="1"/>
      <c r="B79" s="1"/>
      <c r="C79" s="2" t="s">
        <v>11</v>
      </c>
      <c r="D79" s="1"/>
      <c r="E79" s="1" t="s">
        <v>12</v>
      </c>
      <c r="F79" s="3" t="s">
        <v>13</v>
      </c>
      <c r="G79" s="4">
        <v>0</v>
      </c>
      <c r="H79" s="40" t="s">
        <v>12</v>
      </c>
    </row>
    <row r="80" spans="1:8" x14ac:dyDescent="0.2">
      <c r="A80" s="1"/>
      <c r="B80" s="1"/>
      <c r="C80" s="5"/>
      <c r="D80" s="1"/>
      <c r="E80" s="1"/>
      <c r="F80" s="6"/>
      <c r="G80" s="6"/>
      <c r="H80" s="40" t="s">
        <v>12</v>
      </c>
    </row>
    <row r="81" spans="1:18" x14ac:dyDescent="0.2">
      <c r="A81" s="1"/>
      <c r="B81" s="1"/>
      <c r="C81" s="2" t="s">
        <v>87</v>
      </c>
      <c r="D81" s="1"/>
      <c r="E81" s="1"/>
      <c r="F81" s="1"/>
      <c r="G81" s="1"/>
      <c r="H81" s="40" t="s">
        <v>12</v>
      </c>
    </row>
    <row r="82" spans="1:18" x14ac:dyDescent="0.2">
      <c r="A82" s="1"/>
      <c r="B82" s="1"/>
      <c r="C82" s="2" t="s">
        <v>88</v>
      </c>
      <c r="D82" s="1"/>
      <c r="E82" s="1"/>
      <c r="F82" s="1"/>
      <c r="G82" s="1"/>
      <c r="H82" s="40" t="s">
        <v>12</v>
      </c>
    </row>
    <row r="83" spans="1:18" x14ac:dyDescent="0.2">
      <c r="A83" s="1"/>
      <c r="B83" s="1"/>
      <c r="C83" s="2" t="s">
        <v>11</v>
      </c>
      <c r="D83" s="1"/>
      <c r="E83" s="1" t="s">
        <v>12</v>
      </c>
      <c r="F83" s="3" t="s">
        <v>13</v>
      </c>
      <c r="G83" s="4">
        <v>0</v>
      </c>
      <c r="H83" s="40" t="s">
        <v>12</v>
      </c>
    </row>
    <row r="84" spans="1:18" x14ac:dyDescent="0.2">
      <c r="A84" s="1"/>
      <c r="B84" s="1"/>
      <c r="C84" s="5"/>
      <c r="D84" s="1"/>
      <c r="E84" s="1"/>
      <c r="F84" s="6"/>
      <c r="G84" s="6"/>
      <c r="H84" s="40" t="s">
        <v>12</v>
      </c>
    </row>
    <row r="85" spans="1:18" x14ac:dyDescent="0.2">
      <c r="A85" s="1"/>
      <c r="B85" s="1"/>
      <c r="C85" s="2" t="s">
        <v>89</v>
      </c>
      <c r="D85" s="1"/>
      <c r="E85" s="1"/>
      <c r="F85" s="6"/>
      <c r="G85" s="6"/>
      <c r="H85" s="40" t="s">
        <v>12</v>
      </c>
    </row>
    <row r="86" spans="1:18" x14ac:dyDescent="0.2">
      <c r="A86" s="1"/>
      <c r="B86" s="1"/>
      <c r="C86" s="2" t="s">
        <v>11</v>
      </c>
      <c r="D86" s="1"/>
      <c r="E86" s="1" t="s">
        <v>12</v>
      </c>
      <c r="F86" s="3" t="s">
        <v>13</v>
      </c>
      <c r="G86" s="4">
        <v>0</v>
      </c>
      <c r="H86" s="40" t="s">
        <v>12</v>
      </c>
    </row>
    <row r="87" spans="1:18" x14ac:dyDescent="0.2">
      <c r="A87" s="1"/>
      <c r="B87" s="1"/>
      <c r="C87" s="2"/>
      <c r="D87" s="1"/>
      <c r="E87" s="1"/>
      <c r="F87" s="3"/>
      <c r="G87" s="4"/>
      <c r="H87" s="40"/>
    </row>
    <row r="88" spans="1:18" x14ac:dyDescent="0.2">
      <c r="A88" s="42"/>
      <c r="B88" s="42"/>
      <c r="C88" s="43" t="s">
        <v>492</v>
      </c>
      <c r="D88" s="42"/>
      <c r="E88" s="42"/>
      <c r="F88" s="44"/>
      <c r="G88" s="44"/>
      <c r="H88" s="11"/>
      <c r="K88" s="45"/>
      <c r="L88" s="45"/>
      <c r="M88" s="45"/>
      <c r="N88" s="45"/>
      <c r="O88" s="45"/>
      <c r="P88" s="46"/>
      <c r="Q88" s="46"/>
      <c r="R88" s="46"/>
    </row>
    <row r="89" spans="1:18" x14ac:dyDescent="0.2">
      <c r="A89" s="8">
        <v>1</v>
      </c>
      <c r="B89" s="9" t="s">
        <v>85</v>
      </c>
      <c r="C89" s="9" t="s">
        <v>86</v>
      </c>
      <c r="D89" s="9"/>
      <c r="E89" s="14">
        <v>511.47399999999999</v>
      </c>
      <c r="F89" s="11">
        <v>52.429781933999998</v>
      </c>
      <c r="G89" s="12">
        <v>2.7051200000000001E-3</v>
      </c>
      <c r="H89" s="40"/>
    </row>
    <row r="90" spans="1:18" x14ac:dyDescent="0.2">
      <c r="A90" s="1"/>
      <c r="B90" s="1"/>
      <c r="C90" s="2" t="s">
        <v>11</v>
      </c>
      <c r="D90" s="1"/>
      <c r="E90" s="1" t="s">
        <v>12</v>
      </c>
      <c r="F90" s="7">
        <v>52.429781933999998</v>
      </c>
      <c r="G90" s="4">
        <v>2.7051200000000001E-3</v>
      </c>
      <c r="H90" s="40" t="s">
        <v>12</v>
      </c>
    </row>
    <row r="91" spans="1:18" x14ac:dyDescent="0.2">
      <c r="A91" s="1"/>
      <c r="B91" s="9"/>
      <c r="C91" s="9"/>
      <c r="D91" s="2"/>
      <c r="E91" s="1"/>
      <c r="F91" s="9"/>
      <c r="G91" s="13"/>
      <c r="H91" s="40"/>
    </row>
    <row r="92" spans="1:18" x14ac:dyDescent="0.2">
      <c r="A92" s="1"/>
      <c r="B92" s="1"/>
      <c r="C92" s="5"/>
      <c r="D92" s="1"/>
      <c r="E92" s="1"/>
      <c r="F92" s="6"/>
      <c r="G92" s="6"/>
      <c r="H92" s="40" t="s">
        <v>12</v>
      </c>
    </row>
    <row r="93" spans="1:18" x14ac:dyDescent="0.2">
      <c r="A93" s="1"/>
      <c r="B93" s="9"/>
      <c r="C93" s="9"/>
      <c r="D93" s="2"/>
      <c r="E93" s="1"/>
      <c r="F93" s="9"/>
      <c r="G93" s="13"/>
      <c r="H93" s="40" t="s">
        <v>12</v>
      </c>
    </row>
    <row r="94" spans="1:18" x14ac:dyDescent="0.2">
      <c r="A94" s="13"/>
      <c r="B94" s="9"/>
      <c r="C94" s="9" t="s">
        <v>90</v>
      </c>
      <c r="D94" s="9"/>
      <c r="E94" s="13"/>
      <c r="F94" s="11">
        <v>340.75370339</v>
      </c>
      <c r="G94" s="12">
        <v>1.7581240000000001E-2</v>
      </c>
      <c r="H94" s="40" t="s">
        <v>12</v>
      </c>
    </row>
    <row r="95" spans="1:18" x14ac:dyDescent="0.2">
      <c r="A95" s="5"/>
      <c r="B95" s="5"/>
      <c r="C95" s="2" t="s">
        <v>91</v>
      </c>
      <c r="D95" s="6"/>
      <c r="E95" s="6"/>
      <c r="F95" s="7">
        <v>19381.668014715</v>
      </c>
      <c r="G95" s="15">
        <v>1.0000000099999999</v>
      </c>
      <c r="H95" s="40"/>
    </row>
    <row r="96" spans="1:18" x14ac:dyDescent="0.2">
      <c r="A96" s="16"/>
      <c r="B96" s="16"/>
      <c r="C96" s="16"/>
      <c r="D96" s="17"/>
      <c r="E96" s="17"/>
      <c r="F96" s="17"/>
      <c r="G96" s="17"/>
    </row>
    <row r="97" spans="1:10" ht="12.75" customHeight="1" x14ac:dyDescent="0.2">
      <c r="A97" s="18"/>
      <c r="B97" s="102" t="s">
        <v>493</v>
      </c>
      <c r="C97" s="102"/>
      <c r="D97" s="102"/>
      <c r="E97" s="102"/>
      <c r="F97" s="102"/>
      <c r="G97" s="102"/>
      <c r="H97" s="102"/>
    </row>
    <row r="98" spans="1:10" ht="12.75" customHeight="1" x14ac:dyDescent="0.2">
      <c r="A98" s="18"/>
      <c r="B98" s="102" t="s">
        <v>494</v>
      </c>
      <c r="C98" s="102"/>
      <c r="D98" s="102"/>
      <c r="E98" s="102"/>
      <c r="F98" s="102"/>
      <c r="G98" s="102"/>
      <c r="H98" s="102"/>
    </row>
    <row r="99" spans="1:10" ht="12.75" customHeight="1" x14ac:dyDescent="0.2">
      <c r="A99" s="18"/>
      <c r="B99" s="102" t="s">
        <v>495</v>
      </c>
      <c r="C99" s="102"/>
      <c r="D99" s="102"/>
      <c r="E99" s="102"/>
      <c r="F99" s="102"/>
      <c r="G99" s="102"/>
      <c r="H99" s="102"/>
    </row>
    <row r="100" spans="1:10" s="68" customFormat="1" ht="66" customHeight="1" x14ac:dyDescent="0.2">
      <c r="A100" s="67"/>
      <c r="B100" s="119" t="s">
        <v>514</v>
      </c>
      <c r="C100" s="119"/>
      <c r="D100" s="119"/>
      <c r="E100" s="119"/>
      <c r="F100" s="119"/>
      <c r="G100" s="119"/>
      <c r="H100" s="119"/>
      <c r="I100"/>
      <c r="J100" s="37"/>
    </row>
    <row r="101" spans="1:10" x14ac:dyDescent="0.2">
      <c r="A101" s="18"/>
      <c r="B101" s="18"/>
      <c r="C101" s="18"/>
      <c r="D101" s="20"/>
      <c r="E101" s="20"/>
      <c r="F101" s="20"/>
      <c r="G101" s="20"/>
    </row>
    <row r="102" spans="1:10" ht="14.1" customHeight="1" x14ac:dyDescent="0.2">
      <c r="A102" s="18"/>
      <c r="B102" s="103" t="s">
        <v>92</v>
      </c>
      <c r="C102" s="104"/>
      <c r="D102" s="105"/>
      <c r="E102" s="21"/>
      <c r="F102" s="20"/>
      <c r="G102" s="20"/>
    </row>
    <row r="103" spans="1:10" ht="29.1" customHeight="1" x14ac:dyDescent="0.2">
      <c r="A103" s="18"/>
      <c r="B103" s="99" t="s">
        <v>93</v>
      </c>
      <c r="C103" s="100"/>
      <c r="D103" s="2" t="s">
        <v>94</v>
      </c>
      <c r="E103" s="21"/>
      <c r="F103" s="20"/>
      <c r="G103" s="20"/>
    </row>
    <row r="104" spans="1:10" ht="17.100000000000001" customHeight="1" x14ac:dyDescent="0.2">
      <c r="A104" s="18"/>
      <c r="B104" s="99" t="s">
        <v>95</v>
      </c>
      <c r="C104" s="100"/>
      <c r="D104" s="2" t="s">
        <v>94</v>
      </c>
      <c r="E104" s="21"/>
      <c r="F104" s="20"/>
      <c r="G104" s="20"/>
    </row>
    <row r="105" spans="1:10" ht="17.100000000000001" customHeight="1" x14ac:dyDescent="0.2">
      <c r="A105" s="18"/>
      <c r="B105" s="99" t="s">
        <v>96</v>
      </c>
      <c r="C105" s="100"/>
      <c r="D105" s="6" t="s">
        <v>12</v>
      </c>
      <c r="E105" s="21"/>
      <c r="F105" s="20"/>
      <c r="G105" s="20"/>
    </row>
    <row r="106" spans="1:10" x14ac:dyDescent="0.2">
      <c r="A106" s="22"/>
      <c r="B106" s="23" t="s">
        <v>12</v>
      </c>
      <c r="C106" s="23" t="s">
        <v>531</v>
      </c>
      <c r="D106" s="23" t="s">
        <v>97</v>
      </c>
      <c r="E106" s="22"/>
      <c r="F106" s="22"/>
      <c r="G106" s="22"/>
      <c r="H106" s="87"/>
    </row>
    <row r="107" spans="1:10" ht="18" customHeight="1" x14ac:dyDescent="0.2">
      <c r="A107" s="22"/>
      <c r="B107" s="24" t="s">
        <v>98</v>
      </c>
      <c r="C107" s="98" t="s">
        <v>594</v>
      </c>
      <c r="D107" s="98" t="s">
        <v>529</v>
      </c>
      <c r="E107" s="22"/>
      <c r="F107" s="22"/>
      <c r="G107" s="22"/>
    </row>
    <row r="108" spans="1:10" ht="17.100000000000001" customHeight="1" x14ac:dyDescent="0.2">
      <c r="A108" s="22"/>
      <c r="B108" s="9" t="s">
        <v>99</v>
      </c>
      <c r="C108" s="25">
        <v>43.384700000000002</v>
      </c>
      <c r="D108" s="25">
        <v>43.561399999999999</v>
      </c>
      <c r="E108" s="22"/>
      <c r="F108" s="19"/>
      <c r="G108" s="26"/>
    </row>
    <row r="109" spans="1:10" ht="29.1" customHeight="1" x14ac:dyDescent="0.2">
      <c r="A109" s="22"/>
      <c r="B109" s="9" t="s">
        <v>548</v>
      </c>
      <c r="C109" s="25">
        <v>12.903</v>
      </c>
      <c r="D109" s="25">
        <v>12.894500000000001</v>
      </c>
      <c r="E109" s="22"/>
      <c r="F109" s="19"/>
      <c r="G109" s="26"/>
    </row>
    <row r="110" spans="1:10" ht="29.1" customHeight="1" x14ac:dyDescent="0.2">
      <c r="A110" s="22"/>
      <c r="B110" s="9" t="s">
        <v>553</v>
      </c>
      <c r="C110" s="25">
        <v>12.903</v>
      </c>
      <c r="D110" s="25">
        <v>12.894600000000001</v>
      </c>
      <c r="E110" s="22"/>
      <c r="F110" s="19"/>
      <c r="G110" s="26"/>
    </row>
    <row r="111" spans="1:10" ht="29.1" customHeight="1" x14ac:dyDescent="0.2">
      <c r="A111" s="22"/>
      <c r="B111" s="9" t="s">
        <v>544</v>
      </c>
      <c r="C111" s="25">
        <v>12.9757</v>
      </c>
      <c r="D111" s="25">
        <v>12.9259</v>
      </c>
      <c r="E111" s="22"/>
      <c r="F111" s="19"/>
      <c r="G111" s="26"/>
    </row>
    <row r="112" spans="1:10" ht="29.1" customHeight="1" x14ac:dyDescent="0.2">
      <c r="A112" s="22"/>
      <c r="B112" s="9" t="s">
        <v>541</v>
      </c>
      <c r="C112" s="25">
        <v>14.1716</v>
      </c>
      <c r="D112" s="25">
        <v>14.2293</v>
      </c>
      <c r="E112" s="22"/>
      <c r="F112" s="19"/>
      <c r="G112" s="26"/>
    </row>
    <row r="113" spans="1:7" ht="29.1" customHeight="1" x14ac:dyDescent="0.2">
      <c r="A113" s="22"/>
      <c r="B113" s="9" t="s">
        <v>545</v>
      </c>
      <c r="C113" s="25">
        <v>14.0059</v>
      </c>
      <c r="D113" s="25">
        <v>14.062900000000001</v>
      </c>
      <c r="E113" s="22"/>
      <c r="F113" s="19"/>
      <c r="G113" s="26"/>
    </row>
    <row r="114" spans="1:7" ht="29.1" customHeight="1" x14ac:dyDescent="0.2">
      <c r="A114" s="22"/>
      <c r="B114" s="9" t="s">
        <v>542</v>
      </c>
      <c r="C114" s="25">
        <v>14.1496</v>
      </c>
      <c r="D114" s="25">
        <v>14.2074</v>
      </c>
      <c r="E114" s="22"/>
      <c r="F114" s="19"/>
      <c r="G114" s="26"/>
    </row>
    <row r="115" spans="1:7" ht="17.100000000000001" customHeight="1" x14ac:dyDescent="0.2">
      <c r="A115" s="22"/>
      <c r="B115" s="9" t="s">
        <v>100</v>
      </c>
      <c r="C115" s="25">
        <v>40.359200000000001</v>
      </c>
      <c r="D115" s="25">
        <v>40.513599999999997</v>
      </c>
      <c r="E115" s="22"/>
      <c r="F115" s="19"/>
      <c r="G115" s="26"/>
    </row>
    <row r="116" spans="1:7" ht="17.100000000000001" customHeight="1" x14ac:dyDescent="0.2">
      <c r="A116" s="22"/>
      <c r="B116" s="9" t="s">
        <v>138</v>
      </c>
      <c r="C116" s="25">
        <v>14.578799999999999</v>
      </c>
      <c r="D116" s="25">
        <v>14.634499999999999</v>
      </c>
      <c r="E116" s="22"/>
      <c r="F116" s="19"/>
      <c r="G116" s="26"/>
    </row>
    <row r="117" spans="1:7" ht="29.1" customHeight="1" x14ac:dyDescent="0.2">
      <c r="A117" s="22"/>
      <c r="B117" s="9" t="s">
        <v>551</v>
      </c>
      <c r="C117" s="25">
        <v>12.8672</v>
      </c>
      <c r="D117" s="25">
        <v>12.8584</v>
      </c>
      <c r="E117" s="22"/>
      <c r="F117" s="19"/>
      <c r="G117" s="26"/>
    </row>
    <row r="118" spans="1:7" ht="29.1" customHeight="1" x14ac:dyDescent="0.2">
      <c r="A118" s="22"/>
      <c r="B118" s="9" t="s">
        <v>552</v>
      </c>
      <c r="C118" s="25">
        <v>12.8673</v>
      </c>
      <c r="D118" s="25">
        <v>12.8584</v>
      </c>
      <c r="E118" s="22"/>
      <c r="F118" s="19"/>
      <c r="G118" s="26"/>
    </row>
    <row r="119" spans="1:7" ht="29.1" customHeight="1" x14ac:dyDescent="0.2">
      <c r="A119" s="22"/>
      <c r="B119" s="9" t="s">
        <v>546</v>
      </c>
      <c r="C119" s="25">
        <v>12.935</v>
      </c>
      <c r="D119" s="25">
        <v>12.888199999999999</v>
      </c>
      <c r="E119" s="22"/>
      <c r="F119" s="19"/>
      <c r="G119" s="26"/>
    </row>
    <row r="120" spans="1:7" ht="29.1" customHeight="1" x14ac:dyDescent="0.2">
      <c r="A120" s="22"/>
      <c r="B120" s="9" t="s">
        <v>543</v>
      </c>
      <c r="C120" s="25">
        <v>13.9373</v>
      </c>
      <c r="D120" s="25">
        <v>13.990600000000001</v>
      </c>
      <c r="E120" s="22"/>
      <c r="F120" s="19"/>
      <c r="G120" s="26"/>
    </row>
    <row r="121" spans="1:7" ht="29.1" customHeight="1" x14ac:dyDescent="0.2">
      <c r="A121" s="22"/>
      <c r="B121" s="9" t="s">
        <v>538</v>
      </c>
      <c r="C121" s="25">
        <v>13.771800000000001</v>
      </c>
      <c r="D121" s="25">
        <v>13.824400000000001</v>
      </c>
      <c r="E121" s="22"/>
      <c r="F121" s="19"/>
      <c r="G121" s="26"/>
    </row>
    <row r="122" spans="1:7" ht="29.1" customHeight="1" x14ac:dyDescent="0.2">
      <c r="A122" s="22"/>
      <c r="B122" s="9" t="s">
        <v>539</v>
      </c>
      <c r="C122" s="25">
        <v>13.915699999999999</v>
      </c>
      <c r="D122" s="25">
        <v>13.968999999999999</v>
      </c>
      <c r="E122" s="22"/>
      <c r="F122" s="19"/>
      <c r="G122" s="26"/>
    </row>
    <row r="123" spans="1:7" ht="14.1" customHeight="1" x14ac:dyDescent="0.2">
      <c r="A123" s="22"/>
      <c r="B123" s="22"/>
      <c r="C123" s="22"/>
      <c r="D123" s="22"/>
      <c r="E123" s="22"/>
      <c r="F123" s="22"/>
      <c r="G123" s="22"/>
    </row>
    <row r="124" spans="1:7" ht="17.100000000000001" customHeight="1" x14ac:dyDescent="0.2">
      <c r="A124" s="22"/>
      <c r="B124" s="99" t="s">
        <v>540</v>
      </c>
      <c r="C124" s="100"/>
      <c r="D124" s="2" t="s">
        <v>12</v>
      </c>
      <c r="E124" s="22"/>
      <c r="F124" s="22"/>
      <c r="G124" s="22"/>
    </row>
    <row r="125" spans="1:7" ht="18" customHeight="1" x14ac:dyDescent="0.2">
      <c r="A125" s="22"/>
      <c r="B125" s="27" t="s">
        <v>98</v>
      </c>
      <c r="C125" s="28" t="s">
        <v>101</v>
      </c>
      <c r="D125" s="28" t="s">
        <v>102</v>
      </c>
      <c r="E125" s="22"/>
      <c r="F125" s="22"/>
      <c r="G125" s="22"/>
    </row>
    <row r="126" spans="1:7" ht="29.1" customHeight="1" x14ac:dyDescent="0.2">
      <c r="A126" s="22"/>
      <c r="B126" s="9" t="s">
        <v>548</v>
      </c>
      <c r="C126" s="29">
        <v>7.2400000000000006E-2</v>
      </c>
      <c r="D126" s="13" t="s">
        <v>103</v>
      </c>
      <c r="E126" s="22"/>
      <c r="F126" s="19"/>
      <c r="G126" s="26"/>
    </row>
    <row r="127" spans="1:7" ht="29.1" customHeight="1" x14ac:dyDescent="0.2">
      <c r="A127" s="22"/>
      <c r="B127" s="9" t="s">
        <v>553</v>
      </c>
      <c r="C127" s="29">
        <v>6.0900000000000003E-2</v>
      </c>
      <c r="D127" s="13" t="s">
        <v>103</v>
      </c>
      <c r="E127" s="22"/>
      <c r="F127" s="19"/>
      <c r="G127" s="26"/>
    </row>
    <row r="128" spans="1:7" ht="29.1" customHeight="1" x14ac:dyDescent="0.2">
      <c r="A128" s="22"/>
      <c r="B128" s="9" t="s">
        <v>544</v>
      </c>
      <c r="C128" s="29">
        <v>0.1023</v>
      </c>
      <c r="D128" s="13" t="s">
        <v>103</v>
      </c>
      <c r="E128" s="22"/>
      <c r="F128" s="19"/>
      <c r="G128" s="26"/>
    </row>
    <row r="129" spans="1:19" ht="29.1" customHeight="1" x14ac:dyDescent="0.2">
      <c r="A129" s="22"/>
      <c r="B129" s="9" t="s">
        <v>551</v>
      </c>
      <c r="C129" s="29">
        <v>6.8000000000000005E-2</v>
      </c>
      <c r="D129" s="13" t="s">
        <v>103</v>
      </c>
      <c r="E129" s="22"/>
      <c r="F129" s="19"/>
      <c r="G129" s="26"/>
    </row>
    <row r="130" spans="1:19" ht="29.1" customHeight="1" x14ac:dyDescent="0.2">
      <c r="A130" s="22"/>
      <c r="B130" s="9" t="s">
        <v>552</v>
      </c>
      <c r="C130" s="29">
        <v>5.8000000000000003E-2</v>
      </c>
      <c r="D130" s="13" t="s">
        <v>103</v>
      </c>
      <c r="E130" s="22"/>
      <c r="F130" s="19"/>
      <c r="G130" s="26"/>
    </row>
    <row r="131" spans="1:19" ht="29.1" customHeight="1" x14ac:dyDescent="0.2">
      <c r="A131" s="22"/>
      <c r="B131" s="9" t="s">
        <v>546</v>
      </c>
      <c r="C131" s="29">
        <v>9.6000000000000002E-2</v>
      </c>
      <c r="D131" s="29">
        <v>9.6000000000000002E-2</v>
      </c>
      <c r="E131" s="22"/>
      <c r="F131" s="19"/>
      <c r="G131" s="26"/>
    </row>
    <row r="132" spans="1:19" x14ac:dyDescent="0.2">
      <c r="A132" s="22"/>
      <c r="B132" s="19"/>
      <c r="C132" s="19"/>
      <c r="D132" s="22"/>
      <c r="E132" s="22"/>
      <c r="F132" s="22"/>
      <c r="G132" s="22"/>
    </row>
    <row r="133" spans="1:19" s="47" customFormat="1" ht="17.100000000000001" customHeight="1" x14ac:dyDescent="0.2">
      <c r="A133" s="26"/>
      <c r="B133" s="99" t="s">
        <v>595</v>
      </c>
      <c r="C133" s="100"/>
      <c r="D133" s="2" t="s">
        <v>94</v>
      </c>
      <c r="E133" s="26"/>
      <c r="F133" s="26"/>
      <c r="G133" s="26"/>
      <c r="I133"/>
      <c r="J133" s="45"/>
      <c r="K133" s="45"/>
      <c r="L133" s="45"/>
      <c r="M133" s="45"/>
      <c r="N133" s="45"/>
      <c r="O133" s="53"/>
      <c r="P133"/>
      <c r="Q133"/>
    </row>
    <row r="134" spans="1:19" x14ac:dyDescent="0.2">
      <c r="A134" s="22"/>
      <c r="B134" s="99" t="s">
        <v>596</v>
      </c>
      <c r="C134" s="100"/>
      <c r="D134" s="2" t="s">
        <v>94</v>
      </c>
      <c r="E134" s="32"/>
      <c r="F134" s="22"/>
      <c r="G134" s="22"/>
    </row>
    <row r="135" spans="1:19" x14ac:dyDescent="0.2">
      <c r="A135" s="22"/>
      <c r="B135" s="99" t="s">
        <v>591</v>
      </c>
      <c r="C135" s="100"/>
      <c r="D135" s="2" t="s">
        <v>94</v>
      </c>
      <c r="E135" s="32"/>
      <c r="F135" s="22"/>
      <c r="G135" s="22"/>
    </row>
    <row r="136" spans="1:19" x14ac:dyDescent="0.2">
      <c r="A136" s="22"/>
      <c r="B136" s="99" t="s">
        <v>597</v>
      </c>
      <c r="C136" s="100"/>
      <c r="D136" s="2" t="s">
        <v>94</v>
      </c>
      <c r="E136" s="32"/>
      <c r="F136" s="22"/>
      <c r="G136" s="22"/>
    </row>
    <row r="137" spans="1:19" x14ac:dyDescent="0.2">
      <c r="A137" s="34"/>
      <c r="B137" s="34"/>
      <c r="C137" s="34"/>
      <c r="D137" s="34"/>
      <c r="E137" s="34"/>
      <c r="F137" s="34"/>
      <c r="G137" s="34"/>
    </row>
    <row r="138" spans="1:19" s="47" customFormat="1" x14ac:dyDescent="0.2">
      <c r="B138" s="106" t="s">
        <v>497</v>
      </c>
      <c r="C138" s="107"/>
      <c r="D138" s="108"/>
      <c r="I138"/>
      <c r="J138" s="37"/>
      <c r="K138" s="45"/>
      <c r="L138" s="45"/>
      <c r="M138" s="45"/>
      <c r="N138" s="45"/>
      <c r="O138" s="53"/>
      <c r="R138"/>
      <c r="S138"/>
    </row>
    <row r="139" spans="1:19" s="47" customFormat="1" ht="38.25" x14ac:dyDescent="0.2">
      <c r="B139" s="109" t="s">
        <v>498</v>
      </c>
      <c r="C139" s="109"/>
      <c r="D139" s="48" t="s">
        <v>356</v>
      </c>
      <c r="I139"/>
      <c r="J139" s="37"/>
      <c r="K139" s="45"/>
      <c r="L139" s="45"/>
      <c r="M139" s="45"/>
      <c r="N139" s="45"/>
      <c r="O139" s="53"/>
      <c r="R139"/>
      <c r="S139"/>
    </row>
    <row r="140" spans="1:19" s="47" customFormat="1" x14ac:dyDescent="0.2">
      <c r="B140" s="110" t="s">
        <v>499</v>
      </c>
      <c r="C140" s="110"/>
      <c r="D140" s="49"/>
      <c r="I140"/>
      <c r="J140" s="37"/>
      <c r="K140" s="45"/>
      <c r="L140" s="45"/>
      <c r="M140" s="45"/>
      <c r="N140" s="45"/>
      <c r="O140" s="53"/>
      <c r="R140"/>
      <c r="S140"/>
    </row>
    <row r="141" spans="1:19" s="47" customFormat="1" x14ac:dyDescent="0.2">
      <c r="B141" s="110"/>
      <c r="C141" s="110"/>
      <c r="D141" s="50"/>
      <c r="I141"/>
      <c r="J141" s="37"/>
      <c r="K141" s="45"/>
      <c r="L141" s="45"/>
      <c r="M141" s="45"/>
      <c r="N141" s="45"/>
      <c r="O141" s="53"/>
      <c r="R141"/>
      <c r="S141"/>
    </row>
    <row r="142" spans="1:19" s="47" customFormat="1" x14ac:dyDescent="0.2">
      <c r="B142" s="110" t="s">
        <v>500</v>
      </c>
      <c r="C142" s="110"/>
      <c r="D142" s="51">
        <v>7.3993013451386718</v>
      </c>
      <c r="I142"/>
      <c r="J142" s="37"/>
      <c r="K142" s="45"/>
      <c r="L142" s="45"/>
      <c r="M142" s="45"/>
      <c r="N142" s="45"/>
      <c r="O142" s="53"/>
    </row>
    <row r="143" spans="1:19" s="47" customFormat="1" x14ac:dyDescent="0.2">
      <c r="B143" s="110"/>
      <c r="C143" s="110"/>
      <c r="D143" s="50"/>
      <c r="I143"/>
      <c r="J143" s="37"/>
      <c r="K143" s="45"/>
      <c r="L143" s="45"/>
      <c r="M143" s="45"/>
      <c r="N143" s="45"/>
      <c r="O143" s="53"/>
    </row>
    <row r="144" spans="1:19" s="47" customFormat="1" x14ac:dyDescent="0.2">
      <c r="B144" s="110" t="s">
        <v>501</v>
      </c>
      <c r="C144" s="110"/>
      <c r="D144" s="51">
        <v>2.9260966679810263</v>
      </c>
      <c r="I144"/>
      <c r="J144" s="37"/>
      <c r="K144" s="45"/>
      <c r="L144" s="45"/>
      <c r="M144" s="45"/>
      <c r="N144" s="45"/>
      <c r="O144" s="53"/>
    </row>
    <row r="145" spans="2:15" s="47" customFormat="1" x14ac:dyDescent="0.2">
      <c r="B145" s="110" t="s">
        <v>502</v>
      </c>
      <c r="C145" s="110"/>
      <c r="D145" s="51">
        <v>3.8139972532240241</v>
      </c>
      <c r="I145"/>
      <c r="J145" s="37"/>
      <c r="K145" s="45"/>
      <c r="L145" s="45"/>
      <c r="M145" s="45"/>
      <c r="N145" s="45"/>
      <c r="O145" s="53"/>
    </row>
    <row r="146" spans="2:15" s="47" customFormat="1" x14ac:dyDescent="0.2">
      <c r="B146" s="110"/>
      <c r="C146" s="110"/>
      <c r="D146" s="50"/>
      <c r="I146"/>
      <c r="J146" s="37"/>
      <c r="K146" s="45"/>
      <c r="L146" s="45"/>
      <c r="M146" s="45"/>
      <c r="N146" s="45"/>
      <c r="O146" s="53"/>
    </row>
    <row r="147" spans="2:15" s="47" customFormat="1" x14ac:dyDescent="0.2">
      <c r="B147" s="110" t="s">
        <v>503</v>
      </c>
      <c r="C147" s="110"/>
      <c r="D147" s="52" t="s">
        <v>529</v>
      </c>
      <c r="I147"/>
      <c r="J147" s="37"/>
      <c r="K147" s="45"/>
      <c r="L147" s="45"/>
      <c r="M147" s="45"/>
      <c r="N147" s="45"/>
      <c r="O147" s="53"/>
    </row>
    <row r="148" spans="2:15" s="47" customFormat="1" x14ac:dyDescent="0.2">
      <c r="B148" s="111" t="s">
        <v>504</v>
      </c>
      <c r="C148" s="113"/>
      <c r="D148" s="112"/>
      <c r="I148"/>
      <c r="J148" s="37"/>
      <c r="K148" s="45"/>
      <c r="L148" s="45"/>
      <c r="M148" s="45"/>
      <c r="N148" s="45"/>
      <c r="O148" s="53"/>
    </row>
    <row r="149" spans="2:15" x14ac:dyDescent="0.2">
      <c r="I149" s="45"/>
    </row>
    <row r="157" spans="2:15" x14ac:dyDescent="0.2">
      <c r="I157" s="45"/>
    </row>
    <row r="158" spans="2:15" x14ac:dyDescent="0.2">
      <c r="I158" s="45"/>
    </row>
    <row r="159" spans="2:15" x14ac:dyDescent="0.2">
      <c r="I159" s="45"/>
    </row>
    <row r="160" spans="2:15" x14ac:dyDescent="0.2">
      <c r="I160" s="45"/>
    </row>
  </sheetData>
  <mergeCells count="27">
    <mergeCell ref="B147:C147"/>
    <mergeCell ref="B148:D148"/>
    <mergeCell ref="B142:C142"/>
    <mergeCell ref="B143:C143"/>
    <mergeCell ref="B144:C144"/>
    <mergeCell ref="B145:C145"/>
    <mergeCell ref="B146:C146"/>
    <mergeCell ref="B104:C104"/>
    <mergeCell ref="B105:C105"/>
    <mergeCell ref="B124:C124"/>
    <mergeCell ref="B134:C134"/>
    <mergeCell ref="B135:C135"/>
    <mergeCell ref="B133:C133"/>
    <mergeCell ref="B138:D138"/>
    <mergeCell ref="B139:C139"/>
    <mergeCell ref="B140:C140"/>
    <mergeCell ref="B141:C141"/>
    <mergeCell ref="B136:C136"/>
    <mergeCell ref="A1:H1"/>
    <mergeCell ref="A2:H2"/>
    <mergeCell ref="A3:H3"/>
    <mergeCell ref="B102:D102"/>
    <mergeCell ref="B103:C103"/>
    <mergeCell ref="B97:H97"/>
    <mergeCell ref="B98:H98"/>
    <mergeCell ref="B99:H99"/>
    <mergeCell ref="B100:H100"/>
  </mergeCells>
  <hyperlinks>
    <hyperlink ref="I1" location="Index!B7" display="Index" xr:uid="{A34D6AC3-7DB4-4659-B29C-CFAF839D75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72B7-5260-4010-AB8E-9E92DC30A819}">
  <sheetPr>
    <outlinePr summaryBelow="0" summaryRight="0"/>
  </sheetPr>
  <dimension ref="A1:R194"/>
  <sheetViews>
    <sheetView showGridLines="0" workbookViewId="0">
      <selection activeCell="H194" sqref="H194"/>
    </sheetView>
  </sheetViews>
  <sheetFormatPr defaultRowHeight="12.75" x14ac:dyDescent="0.2"/>
  <cols>
    <col min="1" max="1" width="5.85546875" bestFit="1" customWidth="1"/>
    <col min="2" max="2" width="20.28515625" bestFit="1" customWidth="1"/>
    <col min="3" max="3" width="43.7109375" customWidth="1"/>
    <col min="4" max="4" width="18.42578125" customWidth="1"/>
    <col min="5" max="5" width="9.42578125" bestFit="1" customWidth="1"/>
    <col min="6" max="6" width="10.140625" bestFit="1" customWidth="1"/>
    <col min="7" max="7" width="14" bestFit="1" customWidth="1"/>
    <col min="8" max="8" width="8.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370</v>
      </c>
      <c r="B2" s="101"/>
      <c r="C2" s="101"/>
      <c r="D2" s="101"/>
      <c r="E2" s="101"/>
      <c r="F2" s="101"/>
      <c r="G2" s="101"/>
      <c r="H2" s="101"/>
      <c r="J2" s="38" t="s">
        <v>582</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491</v>
      </c>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1"/>
      <c r="B7" s="1"/>
      <c r="C7" s="2" t="s">
        <v>11</v>
      </c>
      <c r="D7" s="1"/>
      <c r="E7" s="1" t="s">
        <v>12</v>
      </c>
      <c r="F7" s="3" t="s">
        <v>13</v>
      </c>
      <c r="G7" s="4">
        <v>0</v>
      </c>
      <c r="H7" s="40" t="s">
        <v>12</v>
      </c>
    </row>
    <row r="8" spans="1:10" x14ac:dyDescent="0.2">
      <c r="A8" s="1"/>
      <c r="B8" s="1"/>
      <c r="C8" s="5"/>
      <c r="D8" s="1"/>
      <c r="E8" s="1"/>
      <c r="F8" s="6"/>
      <c r="G8" s="6"/>
      <c r="H8" s="40" t="s">
        <v>12</v>
      </c>
    </row>
    <row r="9" spans="1:10" x14ac:dyDescent="0.2">
      <c r="A9" s="1"/>
      <c r="B9" s="1"/>
      <c r="C9" s="2" t="s">
        <v>14</v>
      </c>
      <c r="D9" s="1"/>
      <c r="E9" s="1"/>
      <c r="F9" s="1"/>
      <c r="G9" s="1"/>
      <c r="H9" s="40" t="s">
        <v>12</v>
      </c>
    </row>
    <row r="10" spans="1:10" x14ac:dyDescent="0.2">
      <c r="A10" s="1"/>
      <c r="B10" s="1"/>
      <c r="C10" s="2" t="s">
        <v>11</v>
      </c>
      <c r="D10" s="1"/>
      <c r="E10" s="1" t="s">
        <v>12</v>
      </c>
      <c r="F10" s="3" t="s">
        <v>13</v>
      </c>
      <c r="G10" s="4">
        <v>0</v>
      </c>
      <c r="H10" s="40" t="s">
        <v>12</v>
      </c>
    </row>
    <row r="11" spans="1:10" x14ac:dyDescent="0.2">
      <c r="A11" s="1"/>
      <c r="B11" s="1"/>
      <c r="C11" s="5"/>
      <c r="D11" s="1"/>
      <c r="E11" s="1"/>
      <c r="F11" s="6"/>
      <c r="G11" s="6"/>
      <c r="H11" s="40" t="s">
        <v>12</v>
      </c>
    </row>
    <row r="12" spans="1:10" ht="15" x14ac:dyDescent="0.2">
      <c r="A12" s="1"/>
      <c r="B12" s="1"/>
      <c r="C12" s="2" t="s">
        <v>15</v>
      </c>
      <c r="D12" s="1"/>
      <c r="E12" s="1"/>
      <c r="F12" s="1"/>
      <c r="G12" s="1"/>
      <c r="H12" s="40" t="s">
        <v>12</v>
      </c>
      <c r="J12" s="97"/>
    </row>
    <row r="13" spans="1:10" x14ac:dyDescent="0.2">
      <c r="A13" s="1"/>
      <c r="B13" s="1"/>
      <c r="C13" s="2" t="s">
        <v>11</v>
      </c>
      <c r="D13" s="1"/>
      <c r="E13" s="1" t="s">
        <v>12</v>
      </c>
      <c r="F13" s="3" t="s">
        <v>13</v>
      </c>
      <c r="G13" s="4">
        <v>0</v>
      </c>
      <c r="H13" s="40" t="s">
        <v>12</v>
      </c>
      <c r="J13" s="89"/>
    </row>
    <row r="14" spans="1:10" x14ac:dyDescent="0.2">
      <c r="A14" s="1"/>
      <c r="B14" s="1"/>
      <c r="C14" s="5"/>
      <c r="D14" s="1"/>
      <c r="E14" s="1"/>
      <c r="F14" s="6"/>
      <c r="G14" s="6"/>
      <c r="H14" s="40" t="s">
        <v>12</v>
      </c>
      <c r="J14" s="89"/>
    </row>
    <row r="15" spans="1:10" ht="25.5" x14ac:dyDescent="0.2">
      <c r="A15" s="1"/>
      <c r="B15" s="1"/>
      <c r="C15" s="2" t="s">
        <v>16</v>
      </c>
      <c r="D15" s="1"/>
      <c r="E15" s="1"/>
      <c r="F15" s="1"/>
      <c r="G15" s="1"/>
      <c r="H15" s="40" t="s">
        <v>12</v>
      </c>
      <c r="J15" s="89" t="s">
        <v>583</v>
      </c>
    </row>
    <row r="16" spans="1:10" x14ac:dyDescent="0.2">
      <c r="A16" s="1"/>
      <c r="B16" s="1"/>
      <c r="C16" s="2" t="s">
        <v>11</v>
      </c>
      <c r="D16" s="1"/>
      <c r="E16" s="1" t="s">
        <v>12</v>
      </c>
      <c r="F16" s="3" t="s">
        <v>13</v>
      </c>
      <c r="G16" s="4">
        <v>0</v>
      </c>
      <c r="H16" s="40" t="s">
        <v>12</v>
      </c>
    </row>
    <row r="17" spans="1:10" x14ac:dyDescent="0.2">
      <c r="A17" s="1"/>
      <c r="B17" s="1"/>
      <c r="C17" s="5"/>
      <c r="D17" s="1"/>
      <c r="E17" s="1"/>
      <c r="F17" s="6"/>
      <c r="G17" s="6"/>
      <c r="H17" s="40" t="s">
        <v>12</v>
      </c>
    </row>
    <row r="18" spans="1:10" x14ac:dyDescent="0.2">
      <c r="A18" s="1"/>
      <c r="B18" s="1"/>
      <c r="C18" s="2" t="s">
        <v>17</v>
      </c>
      <c r="D18" s="1"/>
      <c r="E18" s="1"/>
      <c r="F18" s="6"/>
      <c r="G18" s="6"/>
      <c r="H18" s="40" t="s">
        <v>12</v>
      </c>
    </row>
    <row r="19" spans="1:10" x14ac:dyDescent="0.2">
      <c r="A19" s="1"/>
      <c r="B19" s="1"/>
      <c r="C19" s="2" t="s">
        <v>11</v>
      </c>
      <c r="D19" s="1"/>
      <c r="E19" s="1" t="s">
        <v>12</v>
      </c>
      <c r="F19" s="3" t="s">
        <v>13</v>
      </c>
      <c r="G19" s="4">
        <v>0</v>
      </c>
      <c r="H19" s="40" t="s">
        <v>12</v>
      </c>
    </row>
    <row r="20" spans="1:10" x14ac:dyDescent="0.2">
      <c r="A20" s="1"/>
      <c r="B20" s="1"/>
      <c r="C20" s="5"/>
      <c r="D20" s="1"/>
      <c r="E20" s="1"/>
      <c r="F20" s="6"/>
      <c r="G20" s="6"/>
      <c r="H20" s="40" t="s">
        <v>12</v>
      </c>
    </row>
    <row r="21" spans="1:10" x14ac:dyDescent="0.2">
      <c r="A21" s="1"/>
      <c r="B21" s="1"/>
      <c r="C21" s="2" t="s">
        <v>18</v>
      </c>
      <c r="D21" s="1"/>
      <c r="E21" s="1"/>
      <c r="F21" s="6"/>
      <c r="G21" s="6"/>
      <c r="H21" s="40" t="s">
        <v>12</v>
      </c>
    </row>
    <row r="22" spans="1:10" ht="15" x14ac:dyDescent="0.2">
      <c r="A22" s="1"/>
      <c r="B22" s="1"/>
      <c r="C22" s="2" t="s">
        <v>11</v>
      </c>
      <c r="D22" s="1"/>
      <c r="E22" s="1" t="s">
        <v>12</v>
      </c>
      <c r="F22" s="3" t="s">
        <v>13</v>
      </c>
      <c r="G22" s="4">
        <v>0</v>
      </c>
      <c r="H22" s="40" t="s">
        <v>12</v>
      </c>
      <c r="J22" s="97"/>
    </row>
    <row r="23" spans="1:10" x14ac:dyDescent="0.2">
      <c r="A23" s="1"/>
      <c r="B23" s="1"/>
      <c r="C23" s="5"/>
      <c r="D23" s="1"/>
      <c r="E23" s="1"/>
      <c r="F23" s="6"/>
      <c r="G23" s="6"/>
      <c r="H23" s="40" t="s">
        <v>12</v>
      </c>
      <c r="J23" s="89"/>
    </row>
    <row r="24" spans="1:10" x14ac:dyDescent="0.2">
      <c r="A24" s="1"/>
      <c r="B24" s="1"/>
      <c r="C24" s="2" t="s">
        <v>19</v>
      </c>
      <c r="D24" s="1"/>
      <c r="E24" s="1"/>
      <c r="F24" s="7">
        <v>0</v>
      </c>
      <c r="G24" s="4">
        <v>0</v>
      </c>
      <c r="H24" s="40" t="s">
        <v>12</v>
      </c>
    </row>
    <row r="25" spans="1:10" x14ac:dyDescent="0.2">
      <c r="A25" s="1"/>
      <c r="B25" s="1"/>
      <c r="C25" s="5"/>
      <c r="D25" s="1"/>
      <c r="E25" s="1"/>
      <c r="F25" s="6"/>
      <c r="G25" s="6"/>
      <c r="H25" s="40" t="s">
        <v>12</v>
      </c>
    </row>
    <row r="26" spans="1:10" x14ac:dyDescent="0.2">
      <c r="A26" s="1"/>
      <c r="B26" s="1"/>
      <c r="C26" s="2" t="s">
        <v>20</v>
      </c>
      <c r="D26" s="1"/>
      <c r="E26" s="1"/>
      <c r="F26" s="6"/>
      <c r="G26" s="6"/>
      <c r="H26" s="40" t="s">
        <v>12</v>
      </c>
    </row>
    <row r="27" spans="1:10" ht="25.5" x14ac:dyDescent="0.2">
      <c r="A27" s="1"/>
      <c r="B27" s="1"/>
      <c r="C27" s="2" t="s">
        <v>10</v>
      </c>
      <c r="D27" s="1"/>
      <c r="E27" s="1"/>
      <c r="F27" s="6"/>
      <c r="G27" s="6"/>
      <c r="H27" s="40" t="s">
        <v>12</v>
      </c>
      <c r="J27" s="89" t="s">
        <v>584</v>
      </c>
    </row>
    <row r="28" spans="1:10" x14ac:dyDescent="0.2">
      <c r="A28" s="8">
        <v>1</v>
      </c>
      <c r="B28" s="9" t="s">
        <v>184</v>
      </c>
      <c r="C28" s="9" t="s">
        <v>185</v>
      </c>
      <c r="D28" s="9" t="s">
        <v>186</v>
      </c>
      <c r="E28" s="10">
        <v>5000</v>
      </c>
      <c r="F28" s="11">
        <v>5002.95</v>
      </c>
      <c r="G28" s="12">
        <v>2.4789160000000001E-2</v>
      </c>
      <c r="H28" s="40">
        <v>8.7875999999999994</v>
      </c>
    </row>
    <row r="29" spans="1:10" x14ac:dyDescent="0.2">
      <c r="A29" s="8">
        <v>2</v>
      </c>
      <c r="B29" s="9" t="s">
        <v>193</v>
      </c>
      <c r="C29" s="9" t="s">
        <v>194</v>
      </c>
      <c r="D29" s="9" t="s">
        <v>23</v>
      </c>
      <c r="E29" s="10">
        <v>300</v>
      </c>
      <c r="F29" s="11">
        <v>2957.43</v>
      </c>
      <c r="G29" s="12">
        <v>1.46538E-2</v>
      </c>
      <c r="H29" s="40">
        <v>7.8250000000000002</v>
      </c>
    </row>
    <row r="30" spans="1:10" x14ac:dyDescent="0.2">
      <c r="A30" s="8">
        <v>3</v>
      </c>
      <c r="B30" s="9" t="s">
        <v>371</v>
      </c>
      <c r="C30" s="9" t="s">
        <v>372</v>
      </c>
      <c r="D30" s="9" t="s">
        <v>183</v>
      </c>
      <c r="E30" s="10">
        <v>250</v>
      </c>
      <c r="F30" s="11">
        <v>2498.2800000000002</v>
      </c>
      <c r="G30" s="12">
        <v>1.2378750000000001E-2</v>
      </c>
      <c r="H30" s="40">
        <v>7.29</v>
      </c>
    </row>
    <row r="31" spans="1:10" ht="25.5" x14ac:dyDescent="0.2">
      <c r="A31" s="8">
        <v>4</v>
      </c>
      <c r="B31" s="9" t="s">
        <v>373</v>
      </c>
      <c r="C31" s="9" t="s">
        <v>374</v>
      </c>
      <c r="D31" s="9" t="s">
        <v>375</v>
      </c>
      <c r="E31" s="10">
        <v>250000</v>
      </c>
      <c r="F31" s="11">
        <v>2498</v>
      </c>
      <c r="G31" s="12">
        <v>1.237736E-2</v>
      </c>
      <c r="H31" s="40">
        <v>8.31</v>
      </c>
    </row>
    <row r="32" spans="1:10" x14ac:dyDescent="0.2">
      <c r="A32" s="8">
        <v>5</v>
      </c>
      <c r="B32" s="9" t="s">
        <v>376</v>
      </c>
      <c r="C32" s="9" t="s">
        <v>377</v>
      </c>
      <c r="D32" s="9" t="s">
        <v>23</v>
      </c>
      <c r="E32" s="10">
        <v>250</v>
      </c>
      <c r="F32" s="11">
        <v>2474.8150000000001</v>
      </c>
      <c r="G32" s="12">
        <v>1.2262479999999999E-2</v>
      </c>
      <c r="H32" s="40">
        <v>8.2882999999999996</v>
      </c>
    </row>
    <row r="33" spans="1:8" x14ac:dyDescent="0.2">
      <c r="A33" s="8">
        <v>6</v>
      </c>
      <c r="B33" s="9" t="s">
        <v>187</v>
      </c>
      <c r="C33" s="9" t="s">
        <v>188</v>
      </c>
      <c r="D33" s="9" t="s">
        <v>186</v>
      </c>
      <c r="E33" s="10">
        <v>2000</v>
      </c>
      <c r="F33" s="11">
        <v>1998.816</v>
      </c>
      <c r="G33" s="12">
        <v>9.9039499999999999E-3</v>
      </c>
      <c r="H33" s="40">
        <v>9.2280999999999995</v>
      </c>
    </row>
    <row r="34" spans="1:8" x14ac:dyDescent="0.2">
      <c r="A34" s="8">
        <v>7</v>
      </c>
      <c r="B34" s="9" t="s">
        <v>121</v>
      </c>
      <c r="C34" s="9" t="s">
        <v>122</v>
      </c>
      <c r="D34" s="9" t="s">
        <v>23</v>
      </c>
      <c r="E34" s="10">
        <v>1500</v>
      </c>
      <c r="F34" s="11">
        <v>1498.1759999999999</v>
      </c>
      <c r="G34" s="12">
        <v>7.4233299999999997E-3</v>
      </c>
      <c r="H34" s="40">
        <v>7.93</v>
      </c>
    </row>
    <row r="35" spans="1:8" x14ac:dyDescent="0.2">
      <c r="A35" s="8">
        <v>8</v>
      </c>
      <c r="B35" s="9" t="s">
        <v>189</v>
      </c>
      <c r="C35" s="9" t="s">
        <v>190</v>
      </c>
      <c r="D35" s="9" t="s">
        <v>23</v>
      </c>
      <c r="E35" s="10">
        <v>150</v>
      </c>
      <c r="F35" s="11">
        <v>1497.9449999999999</v>
      </c>
      <c r="G35" s="12">
        <v>7.4221799999999996E-3</v>
      </c>
      <c r="H35" s="40">
        <v>7.52</v>
      </c>
    </row>
    <row r="36" spans="1:8" x14ac:dyDescent="0.2">
      <c r="A36" s="8">
        <v>9</v>
      </c>
      <c r="B36" s="9" t="s">
        <v>61</v>
      </c>
      <c r="C36" s="9" t="s">
        <v>62</v>
      </c>
      <c r="D36" s="9" t="s">
        <v>23</v>
      </c>
      <c r="E36" s="10">
        <v>1500</v>
      </c>
      <c r="F36" s="11">
        <v>1497.4694999999999</v>
      </c>
      <c r="G36" s="12">
        <v>7.4198299999999997E-3</v>
      </c>
      <c r="H36" s="40">
        <v>8.1850000000000005</v>
      </c>
    </row>
    <row r="37" spans="1:8" x14ac:dyDescent="0.2">
      <c r="A37" s="8">
        <v>10</v>
      </c>
      <c r="B37" s="9" t="s">
        <v>202</v>
      </c>
      <c r="C37" s="9" t="s">
        <v>203</v>
      </c>
      <c r="D37" s="9" t="s">
        <v>186</v>
      </c>
      <c r="E37" s="10">
        <v>1000</v>
      </c>
      <c r="F37" s="11">
        <v>1000.5119999999999</v>
      </c>
      <c r="G37" s="12">
        <v>4.9574500000000004E-3</v>
      </c>
      <c r="H37" s="40">
        <v>9.141</v>
      </c>
    </row>
    <row r="38" spans="1:8" x14ac:dyDescent="0.2">
      <c r="A38" s="1"/>
      <c r="B38" s="1"/>
      <c r="C38" s="2" t="s">
        <v>11</v>
      </c>
      <c r="D38" s="1"/>
      <c r="E38" s="1" t="s">
        <v>12</v>
      </c>
      <c r="F38" s="7">
        <v>22924.393499999998</v>
      </c>
      <c r="G38" s="4">
        <v>0.11358828999999999</v>
      </c>
      <c r="H38" s="40" t="s">
        <v>12</v>
      </c>
    </row>
    <row r="39" spans="1:8" x14ac:dyDescent="0.2">
      <c r="A39" s="1"/>
      <c r="B39" s="1"/>
      <c r="C39" s="5"/>
      <c r="D39" s="1"/>
      <c r="E39" s="1"/>
      <c r="F39" s="6"/>
      <c r="G39" s="6"/>
      <c r="H39" s="40" t="s">
        <v>12</v>
      </c>
    </row>
    <row r="40" spans="1:8" x14ac:dyDescent="0.2">
      <c r="A40" s="1"/>
      <c r="B40" s="1"/>
      <c r="C40" s="2" t="s">
        <v>63</v>
      </c>
      <c r="D40" s="1"/>
      <c r="E40" s="1"/>
      <c r="F40" s="1"/>
      <c r="G40" s="1"/>
      <c r="H40" s="40" t="s">
        <v>12</v>
      </c>
    </row>
    <row r="41" spans="1:8" x14ac:dyDescent="0.2">
      <c r="A41" s="1"/>
      <c r="B41" s="1"/>
      <c r="C41" s="2" t="s">
        <v>11</v>
      </c>
      <c r="D41" s="1"/>
      <c r="E41" s="1" t="s">
        <v>12</v>
      </c>
      <c r="F41" s="3" t="s">
        <v>13</v>
      </c>
      <c r="G41" s="4">
        <v>0</v>
      </c>
      <c r="H41" s="40" t="s">
        <v>12</v>
      </c>
    </row>
    <row r="42" spans="1:8" x14ac:dyDescent="0.2">
      <c r="A42" s="1"/>
      <c r="B42" s="1"/>
      <c r="C42" s="5"/>
      <c r="D42" s="1"/>
      <c r="E42" s="1"/>
      <c r="F42" s="6"/>
      <c r="G42" s="6"/>
      <c r="H42" s="40" t="s">
        <v>12</v>
      </c>
    </row>
    <row r="43" spans="1:8" x14ac:dyDescent="0.2">
      <c r="A43" s="1"/>
      <c r="B43" s="1"/>
      <c r="C43" s="2" t="s">
        <v>64</v>
      </c>
      <c r="D43" s="1"/>
      <c r="E43" s="1"/>
      <c r="F43" s="1"/>
      <c r="G43" s="1"/>
      <c r="H43" s="40" t="s">
        <v>12</v>
      </c>
    </row>
    <row r="44" spans="1:8" x14ac:dyDescent="0.2">
      <c r="A44" s="1"/>
      <c r="B44" s="1"/>
      <c r="C44" s="2" t="s">
        <v>11</v>
      </c>
      <c r="D44" s="1"/>
      <c r="E44" s="1" t="s">
        <v>12</v>
      </c>
      <c r="F44" s="3" t="s">
        <v>13</v>
      </c>
      <c r="G44" s="4">
        <v>0</v>
      </c>
      <c r="H44" s="40" t="s">
        <v>12</v>
      </c>
    </row>
    <row r="45" spans="1:8" x14ac:dyDescent="0.2">
      <c r="A45" s="1"/>
      <c r="B45" s="1"/>
      <c r="C45" s="5"/>
      <c r="D45" s="1"/>
      <c r="E45" s="1"/>
      <c r="F45" s="6"/>
      <c r="G45" s="6"/>
      <c r="H45" s="40" t="s">
        <v>12</v>
      </c>
    </row>
    <row r="46" spans="1:8" x14ac:dyDescent="0.2">
      <c r="A46" s="1"/>
      <c r="B46" s="1"/>
      <c r="C46" s="2" t="s">
        <v>74</v>
      </c>
      <c r="D46" s="1"/>
      <c r="E46" s="1"/>
      <c r="F46" s="6"/>
      <c r="G46" s="6"/>
      <c r="H46" s="40" t="s">
        <v>12</v>
      </c>
    </row>
    <row r="47" spans="1:8" x14ac:dyDescent="0.2">
      <c r="A47" s="1"/>
      <c r="B47" s="1"/>
      <c r="C47" s="2" t="s">
        <v>11</v>
      </c>
      <c r="D47" s="1"/>
      <c r="E47" s="1" t="s">
        <v>12</v>
      </c>
      <c r="F47" s="3" t="s">
        <v>13</v>
      </c>
      <c r="G47" s="4">
        <v>0</v>
      </c>
      <c r="H47" s="40" t="s">
        <v>12</v>
      </c>
    </row>
    <row r="48" spans="1:8" x14ac:dyDescent="0.2">
      <c r="A48" s="1"/>
      <c r="B48" s="1"/>
      <c r="C48" s="5"/>
      <c r="D48" s="1"/>
      <c r="E48" s="1"/>
      <c r="F48" s="6"/>
      <c r="G48" s="6"/>
      <c r="H48" s="40" t="s">
        <v>12</v>
      </c>
    </row>
    <row r="49" spans="1:8" x14ac:dyDescent="0.2">
      <c r="A49" s="1"/>
      <c r="B49" s="1"/>
      <c r="C49" s="2" t="s">
        <v>75</v>
      </c>
      <c r="D49" s="1"/>
      <c r="E49" s="1"/>
      <c r="F49" s="7">
        <v>22924.393499999998</v>
      </c>
      <c r="G49" s="4">
        <v>0.11358828999999999</v>
      </c>
      <c r="H49" s="40" t="s">
        <v>12</v>
      </c>
    </row>
    <row r="50" spans="1:8" x14ac:dyDescent="0.2">
      <c r="A50" s="1"/>
      <c r="B50" s="1"/>
      <c r="C50" s="5"/>
      <c r="D50" s="1"/>
      <c r="E50" s="1"/>
      <c r="F50" s="6"/>
      <c r="G50" s="6"/>
      <c r="H50" s="40" t="s">
        <v>12</v>
      </c>
    </row>
    <row r="51" spans="1:8" x14ac:dyDescent="0.2">
      <c r="A51" s="1"/>
      <c r="B51" s="1"/>
      <c r="C51" s="2" t="s">
        <v>76</v>
      </c>
      <c r="D51" s="1"/>
      <c r="E51" s="1"/>
      <c r="F51" s="6"/>
      <c r="G51" s="6"/>
      <c r="H51" s="40" t="s">
        <v>12</v>
      </c>
    </row>
    <row r="52" spans="1:8" x14ac:dyDescent="0.2">
      <c r="A52" s="1"/>
      <c r="B52" s="1"/>
      <c r="C52" s="2" t="s">
        <v>77</v>
      </c>
      <c r="D52" s="1"/>
      <c r="E52" s="1"/>
      <c r="F52" s="6"/>
      <c r="G52" s="6"/>
      <c r="H52" s="40" t="s">
        <v>12</v>
      </c>
    </row>
    <row r="53" spans="1:8" x14ac:dyDescent="0.2">
      <c r="A53" s="8">
        <v>1</v>
      </c>
      <c r="B53" s="9" t="s">
        <v>378</v>
      </c>
      <c r="C53" s="9" t="s">
        <v>379</v>
      </c>
      <c r="D53" s="9" t="s">
        <v>133</v>
      </c>
      <c r="E53" s="10">
        <v>2000</v>
      </c>
      <c r="F53" s="11">
        <v>9784.81</v>
      </c>
      <c r="G53" s="12">
        <v>4.8482839999999999E-2</v>
      </c>
      <c r="H53" s="40">
        <v>7.2975000000000003</v>
      </c>
    </row>
    <row r="54" spans="1:8" x14ac:dyDescent="0.2">
      <c r="A54" s="8">
        <v>2</v>
      </c>
      <c r="B54" s="9" t="s">
        <v>380</v>
      </c>
      <c r="C54" s="9" t="s">
        <v>381</v>
      </c>
      <c r="D54" s="9" t="s">
        <v>133</v>
      </c>
      <c r="E54" s="10">
        <v>1500</v>
      </c>
      <c r="F54" s="11">
        <v>7346.9775</v>
      </c>
      <c r="G54" s="12">
        <v>3.6403600000000001E-2</v>
      </c>
      <c r="H54" s="40">
        <v>7.31</v>
      </c>
    </row>
    <row r="55" spans="1:8" x14ac:dyDescent="0.2">
      <c r="A55" s="8">
        <v>3</v>
      </c>
      <c r="B55" s="9" t="s">
        <v>153</v>
      </c>
      <c r="C55" s="9" t="s">
        <v>154</v>
      </c>
      <c r="D55" s="9" t="s">
        <v>133</v>
      </c>
      <c r="E55" s="10">
        <v>1300</v>
      </c>
      <c r="F55" s="11">
        <v>6158.6785</v>
      </c>
      <c r="G55" s="12">
        <v>3.0515690000000002E-2</v>
      </c>
      <c r="H55" s="40">
        <v>7.52</v>
      </c>
    </row>
    <row r="56" spans="1:8" x14ac:dyDescent="0.2">
      <c r="A56" s="8">
        <v>4</v>
      </c>
      <c r="B56" s="9" t="s">
        <v>212</v>
      </c>
      <c r="C56" s="9" t="s">
        <v>213</v>
      </c>
      <c r="D56" s="9" t="s">
        <v>163</v>
      </c>
      <c r="E56" s="10">
        <v>1200</v>
      </c>
      <c r="F56" s="11">
        <v>5862.4560000000001</v>
      </c>
      <c r="G56" s="12">
        <v>2.904793E-2</v>
      </c>
      <c r="H56" s="40">
        <v>7.2575000000000003</v>
      </c>
    </row>
    <row r="57" spans="1:8" x14ac:dyDescent="0.2">
      <c r="A57" s="8">
        <v>5</v>
      </c>
      <c r="B57" s="9" t="s">
        <v>251</v>
      </c>
      <c r="C57" s="9" t="s">
        <v>252</v>
      </c>
      <c r="D57" s="9" t="s">
        <v>133</v>
      </c>
      <c r="E57" s="10">
        <v>1000</v>
      </c>
      <c r="F57" s="11">
        <v>4989.4750000000004</v>
      </c>
      <c r="G57" s="12">
        <v>2.472239E-2</v>
      </c>
      <c r="H57" s="40">
        <v>6.9996999999999998</v>
      </c>
    </row>
    <row r="58" spans="1:8" x14ac:dyDescent="0.2">
      <c r="A58" s="8">
        <v>6</v>
      </c>
      <c r="B58" s="9" t="s">
        <v>382</v>
      </c>
      <c r="C58" s="9" t="s">
        <v>383</v>
      </c>
      <c r="D58" s="9" t="s">
        <v>133</v>
      </c>
      <c r="E58" s="10">
        <v>1000</v>
      </c>
      <c r="F58" s="11">
        <v>4975.1949999999997</v>
      </c>
      <c r="G58" s="12">
        <v>2.4651639999999999E-2</v>
      </c>
      <c r="H58" s="40">
        <v>6.9997999999999996</v>
      </c>
    </row>
    <row r="59" spans="1:8" x14ac:dyDescent="0.2">
      <c r="A59" s="8">
        <v>7</v>
      </c>
      <c r="B59" s="9" t="s">
        <v>384</v>
      </c>
      <c r="C59" s="9" t="s">
        <v>385</v>
      </c>
      <c r="D59" s="9" t="s">
        <v>142</v>
      </c>
      <c r="E59" s="10">
        <v>1000</v>
      </c>
      <c r="F59" s="11">
        <v>4826.1149999999998</v>
      </c>
      <c r="G59" s="12">
        <v>2.391296E-2</v>
      </c>
      <c r="H59" s="40">
        <v>7.4301000000000004</v>
      </c>
    </row>
    <row r="60" spans="1:8" x14ac:dyDescent="0.2">
      <c r="A60" s="8">
        <v>8</v>
      </c>
      <c r="B60" s="9" t="s">
        <v>386</v>
      </c>
      <c r="C60" s="9" t="s">
        <v>387</v>
      </c>
      <c r="D60" s="9" t="s">
        <v>163</v>
      </c>
      <c r="E60" s="10">
        <v>1000</v>
      </c>
      <c r="F60" s="11">
        <v>4816.3050000000003</v>
      </c>
      <c r="G60" s="12">
        <v>2.3864349999999999E-2</v>
      </c>
      <c r="H60" s="40">
        <v>7.4050000000000002</v>
      </c>
    </row>
    <row r="61" spans="1:8" x14ac:dyDescent="0.2">
      <c r="A61" s="8">
        <v>9</v>
      </c>
      <c r="B61" s="9" t="s">
        <v>388</v>
      </c>
      <c r="C61" s="9" t="s">
        <v>389</v>
      </c>
      <c r="D61" s="9" t="s">
        <v>133</v>
      </c>
      <c r="E61" s="10">
        <v>1000</v>
      </c>
      <c r="F61" s="11">
        <v>4760.9799999999996</v>
      </c>
      <c r="G61" s="12">
        <v>2.3590219999999999E-2</v>
      </c>
      <c r="H61" s="40">
        <v>7.51</v>
      </c>
    </row>
    <row r="62" spans="1:8" ht="25.5" x14ac:dyDescent="0.2">
      <c r="A62" s="8">
        <v>10</v>
      </c>
      <c r="B62" s="9" t="s">
        <v>218</v>
      </c>
      <c r="C62" s="9" t="s">
        <v>219</v>
      </c>
      <c r="D62" s="9" t="s">
        <v>133</v>
      </c>
      <c r="E62" s="10">
        <v>800</v>
      </c>
      <c r="F62" s="11">
        <v>3803.5680000000002</v>
      </c>
      <c r="G62" s="12">
        <v>1.8846330000000001E-2</v>
      </c>
      <c r="H62" s="40">
        <v>7.51</v>
      </c>
    </row>
    <row r="63" spans="1:8" x14ac:dyDescent="0.2">
      <c r="A63" s="8">
        <v>11</v>
      </c>
      <c r="B63" s="9" t="s">
        <v>166</v>
      </c>
      <c r="C63" s="9" t="s">
        <v>167</v>
      </c>
      <c r="D63" s="9" t="s">
        <v>163</v>
      </c>
      <c r="E63" s="10">
        <v>800</v>
      </c>
      <c r="F63" s="11">
        <v>3788.212</v>
      </c>
      <c r="G63" s="12">
        <v>1.8770249999999999E-2</v>
      </c>
      <c r="H63" s="40">
        <v>7.53</v>
      </c>
    </row>
    <row r="64" spans="1:8" ht="25.5" x14ac:dyDescent="0.2">
      <c r="A64" s="8">
        <v>12</v>
      </c>
      <c r="B64" s="9" t="s">
        <v>214</v>
      </c>
      <c r="C64" s="9" t="s">
        <v>215</v>
      </c>
      <c r="D64" s="9" t="s">
        <v>133</v>
      </c>
      <c r="E64" s="10">
        <v>700</v>
      </c>
      <c r="F64" s="11">
        <v>3366.4085</v>
      </c>
      <c r="G64" s="12">
        <v>1.6680250000000001E-2</v>
      </c>
      <c r="H64" s="40">
        <v>7.5049999999999999</v>
      </c>
    </row>
    <row r="65" spans="1:8" x14ac:dyDescent="0.2">
      <c r="A65" s="8">
        <v>13</v>
      </c>
      <c r="B65" s="9" t="s">
        <v>216</v>
      </c>
      <c r="C65" s="9" t="s">
        <v>217</v>
      </c>
      <c r="D65" s="9" t="s">
        <v>133</v>
      </c>
      <c r="E65" s="10">
        <v>700</v>
      </c>
      <c r="F65" s="11">
        <v>3345.4785000000002</v>
      </c>
      <c r="G65" s="12">
        <v>1.6576540000000001E-2</v>
      </c>
      <c r="H65" s="40">
        <v>7.56</v>
      </c>
    </row>
    <row r="66" spans="1:8" x14ac:dyDescent="0.2">
      <c r="A66" s="8">
        <v>14</v>
      </c>
      <c r="B66" s="9" t="s">
        <v>164</v>
      </c>
      <c r="C66" s="9" t="s">
        <v>165</v>
      </c>
      <c r="D66" s="9" t="s">
        <v>133</v>
      </c>
      <c r="E66" s="10">
        <v>700</v>
      </c>
      <c r="F66" s="11">
        <v>3327.7089999999998</v>
      </c>
      <c r="G66" s="12">
        <v>1.6488490000000001E-2</v>
      </c>
      <c r="H66" s="40">
        <v>7.62</v>
      </c>
    </row>
    <row r="67" spans="1:8" x14ac:dyDescent="0.2">
      <c r="A67" s="8">
        <v>15</v>
      </c>
      <c r="B67" s="9" t="s">
        <v>157</v>
      </c>
      <c r="C67" s="9" t="s">
        <v>158</v>
      </c>
      <c r="D67" s="9" t="s">
        <v>133</v>
      </c>
      <c r="E67" s="10">
        <v>660</v>
      </c>
      <c r="F67" s="11">
        <v>3126.6840000000002</v>
      </c>
      <c r="G67" s="12">
        <v>1.549243E-2</v>
      </c>
      <c r="H67" s="40">
        <v>7.6349999999999998</v>
      </c>
    </row>
    <row r="68" spans="1:8" x14ac:dyDescent="0.2">
      <c r="A68" s="8">
        <v>16</v>
      </c>
      <c r="B68" s="9" t="s">
        <v>159</v>
      </c>
      <c r="C68" s="9" t="s">
        <v>160</v>
      </c>
      <c r="D68" s="9" t="s">
        <v>133</v>
      </c>
      <c r="E68" s="10">
        <v>660</v>
      </c>
      <c r="F68" s="11">
        <v>3124.3905</v>
      </c>
      <c r="G68" s="12">
        <v>1.548107E-2</v>
      </c>
      <c r="H68" s="40">
        <v>7.6550000000000002</v>
      </c>
    </row>
    <row r="69" spans="1:8" x14ac:dyDescent="0.2">
      <c r="A69" s="8">
        <v>17</v>
      </c>
      <c r="B69" s="9" t="s">
        <v>161</v>
      </c>
      <c r="C69" s="9" t="s">
        <v>162</v>
      </c>
      <c r="D69" s="9" t="s">
        <v>163</v>
      </c>
      <c r="E69" s="10">
        <v>600</v>
      </c>
      <c r="F69" s="11">
        <v>2857.317</v>
      </c>
      <c r="G69" s="12">
        <v>1.415775E-2</v>
      </c>
      <c r="H69" s="40">
        <v>7.47</v>
      </c>
    </row>
    <row r="70" spans="1:8" x14ac:dyDescent="0.2">
      <c r="A70" s="8">
        <v>18</v>
      </c>
      <c r="B70" s="9" t="s">
        <v>151</v>
      </c>
      <c r="C70" s="9" t="s">
        <v>152</v>
      </c>
      <c r="D70" s="9" t="s">
        <v>133</v>
      </c>
      <c r="E70" s="10">
        <v>600</v>
      </c>
      <c r="F70" s="11">
        <v>2844.462</v>
      </c>
      <c r="G70" s="12">
        <v>1.409405E-2</v>
      </c>
      <c r="H70" s="40">
        <v>7.56</v>
      </c>
    </row>
    <row r="71" spans="1:8" x14ac:dyDescent="0.2">
      <c r="A71" s="8">
        <v>19</v>
      </c>
      <c r="B71" s="9" t="s">
        <v>390</v>
      </c>
      <c r="C71" s="9" t="s">
        <v>391</v>
      </c>
      <c r="D71" s="9" t="s">
        <v>163</v>
      </c>
      <c r="E71" s="10">
        <v>500</v>
      </c>
      <c r="F71" s="11">
        <v>2494.7375000000002</v>
      </c>
      <c r="G71" s="12">
        <v>1.2361199999999999E-2</v>
      </c>
      <c r="H71" s="40">
        <v>7</v>
      </c>
    </row>
    <row r="72" spans="1:8" x14ac:dyDescent="0.2">
      <c r="A72" s="8">
        <v>20</v>
      </c>
      <c r="B72" s="9" t="s">
        <v>392</v>
      </c>
      <c r="C72" s="9" t="s">
        <v>393</v>
      </c>
      <c r="D72" s="9" t="s">
        <v>133</v>
      </c>
      <c r="E72" s="10">
        <v>500</v>
      </c>
      <c r="F72" s="11">
        <v>2493.7649999999999</v>
      </c>
      <c r="G72" s="12">
        <v>1.235638E-2</v>
      </c>
      <c r="H72" s="40">
        <v>7.0205000000000002</v>
      </c>
    </row>
    <row r="73" spans="1:8" x14ac:dyDescent="0.2">
      <c r="A73" s="8">
        <v>21</v>
      </c>
      <c r="B73" s="9" t="s">
        <v>394</v>
      </c>
      <c r="C73" s="9" t="s">
        <v>395</v>
      </c>
      <c r="D73" s="9" t="s">
        <v>133</v>
      </c>
      <c r="E73" s="10">
        <v>500</v>
      </c>
      <c r="F73" s="11">
        <v>2490.9375</v>
      </c>
      <c r="G73" s="12">
        <v>1.234237E-2</v>
      </c>
      <c r="H73" s="40">
        <v>6.99</v>
      </c>
    </row>
    <row r="74" spans="1:8" x14ac:dyDescent="0.2">
      <c r="A74" s="8">
        <v>22</v>
      </c>
      <c r="B74" s="9" t="s">
        <v>245</v>
      </c>
      <c r="C74" s="9" t="s">
        <v>246</v>
      </c>
      <c r="D74" s="9" t="s">
        <v>133</v>
      </c>
      <c r="E74" s="10">
        <v>500</v>
      </c>
      <c r="F74" s="11">
        <v>2490.38</v>
      </c>
      <c r="G74" s="12">
        <v>1.2339610000000001E-2</v>
      </c>
      <c r="H74" s="40">
        <v>7.0503</v>
      </c>
    </row>
    <row r="75" spans="1:8" ht="25.5" x14ac:dyDescent="0.2">
      <c r="A75" s="8">
        <v>23</v>
      </c>
      <c r="B75" s="9" t="s">
        <v>396</v>
      </c>
      <c r="C75" s="9" t="s">
        <v>397</v>
      </c>
      <c r="D75" s="9" t="s">
        <v>133</v>
      </c>
      <c r="E75" s="10">
        <v>500</v>
      </c>
      <c r="F75" s="11">
        <v>2490.38</v>
      </c>
      <c r="G75" s="12">
        <v>1.2339610000000001E-2</v>
      </c>
      <c r="H75" s="40">
        <v>7.0503999999999998</v>
      </c>
    </row>
    <row r="76" spans="1:8" x14ac:dyDescent="0.2">
      <c r="A76" s="8">
        <v>24</v>
      </c>
      <c r="B76" s="9" t="s">
        <v>398</v>
      </c>
      <c r="C76" s="9" t="s">
        <v>399</v>
      </c>
      <c r="D76" s="9" t="s">
        <v>133</v>
      </c>
      <c r="E76" s="10">
        <v>500</v>
      </c>
      <c r="F76" s="11">
        <v>2410.1824999999999</v>
      </c>
      <c r="G76" s="12">
        <v>1.194223E-2</v>
      </c>
      <c r="H76" s="40">
        <v>7.5151000000000003</v>
      </c>
    </row>
    <row r="77" spans="1:8" x14ac:dyDescent="0.2">
      <c r="A77" s="8">
        <v>25</v>
      </c>
      <c r="B77" s="9" t="s">
        <v>400</v>
      </c>
      <c r="C77" s="9" t="s">
        <v>401</v>
      </c>
      <c r="D77" s="9" t="s">
        <v>133</v>
      </c>
      <c r="E77" s="10">
        <v>500</v>
      </c>
      <c r="F77" s="11">
        <v>2407.1950000000002</v>
      </c>
      <c r="G77" s="12">
        <v>1.1927429999999999E-2</v>
      </c>
      <c r="H77" s="40">
        <v>7.4850000000000003</v>
      </c>
    </row>
    <row r="78" spans="1:8" ht="25.5" x14ac:dyDescent="0.2">
      <c r="A78" s="8">
        <v>26</v>
      </c>
      <c r="B78" s="9" t="s">
        <v>402</v>
      </c>
      <c r="C78" s="9" t="s">
        <v>403</v>
      </c>
      <c r="D78" s="9" t="s">
        <v>133</v>
      </c>
      <c r="E78" s="10">
        <v>500</v>
      </c>
      <c r="F78" s="11">
        <v>2401.2525000000001</v>
      </c>
      <c r="G78" s="12">
        <v>1.1897990000000001E-2</v>
      </c>
      <c r="H78" s="40">
        <v>7.5049999999999999</v>
      </c>
    </row>
    <row r="79" spans="1:8" ht="25.5" x14ac:dyDescent="0.2">
      <c r="A79" s="8">
        <v>27</v>
      </c>
      <c r="B79" s="9" t="s">
        <v>404</v>
      </c>
      <c r="C79" s="9" t="s">
        <v>405</v>
      </c>
      <c r="D79" s="9" t="s">
        <v>133</v>
      </c>
      <c r="E79" s="10">
        <v>500</v>
      </c>
      <c r="F79" s="11">
        <v>2384.2275</v>
      </c>
      <c r="G79" s="12">
        <v>1.181363E-2</v>
      </c>
      <c r="H79" s="40">
        <v>7.51</v>
      </c>
    </row>
    <row r="80" spans="1:8" x14ac:dyDescent="0.2">
      <c r="A80" s="8">
        <v>28</v>
      </c>
      <c r="B80" s="9" t="s">
        <v>406</v>
      </c>
      <c r="C80" s="9" t="s">
        <v>407</v>
      </c>
      <c r="D80" s="9" t="s">
        <v>133</v>
      </c>
      <c r="E80" s="10">
        <v>500</v>
      </c>
      <c r="F80" s="11">
        <v>2378.3924999999999</v>
      </c>
      <c r="G80" s="12">
        <v>1.178472E-2</v>
      </c>
      <c r="H80" s="40">
        <v>7.4950000000000001</v>
      </c>
    </row>
    <row r="81" spans="1:8" x14ac:dyDescent="0.2">
      <c r="A81" s="8">
        <v>29</v>
      </c>
      <c r="B81" s="9" t="s">
        <v>408</v>
      </c>
      <c r="C81" s="9" t="s">
        <v>409</v>
      </c>
      <c r="D81" s="9" t="s">
        <v>133</v>
      </c>
      <c r="E81" s="10">
        <v>500</v>
      </c>
      <c r="F81" s="11">
        <v>2377.0749999999998</v>
      </c>
      <c r="G81" s="12">
        <v>1.1778189999999999E-2</v>
      </c>
      <c r="H81" s="40">
        <v>7.52</v>
      </c>
    </row>
    <row r="82" spans="1:8" ht="25.5" x14ac:dyDescent="0.2">
      <c r="A82" s="8">
        <v>30</v>
      </c>
      <c r="B82" s="9" t="s">
        <v>410</v>
      </c>
      <c r="C82" s="9" t="s">
        <v>411</v>
      </c>
      <c r="D82" s="9" t="s">
        <v>133</v>
      </c>
      <c r="E82" s="10">
        <v>500</v>
      </c>
      <c r="F82" s="11">
        <v>2376.4524999999999</v>
      </c>
      <c r="G82" s="12">
        <v>1.177511E-2</v>
      </c>
      <c r="H82" s="40">
        <v>7.56</v>
      </c>
    </row>
    <row r="83" spans="1:8" x14ac:dyDescent="0.2">
      <c r="A83" s="8">
        <v>31</v>
      </c>
      <c r="B83" s="9" t="s">
        <v>140</v>
      </c>
      <c r="C83" s="9" t="s">
        <v>141</v>
      </c>
      <c r="D83" s="9" t="s">
        <v>142</v>
      </c>
      <c r="E83" s="10">
        <v>500</v>
      </c>
      <c r="F83" s="11">
        <v>2371.4450000000002</v>
      </c>
      <c r="G83" s="12">
        <v>1.175029E-2</v>
      </c>
      <c r="H83" s="40">
        <v>7.4950000000000001</v>
      </c>
    </row>
    <row r="84" spans="1:8" x14ac:dyDescent="0.2">
      <c r="A84" s="8">
        <v>32</v>
      </c>
      <c r="B84" s="9" t="s">
        <v>147</v>
      </c>
      <c r="C84" s="9" t="s">
        <v>148</v>
      </c>
      <c r="D84" s="9" t="s">
        <v>133</v>
      </c>
      <c r="E84" s="10">
        <v>500</v>
      </c>
      <c r="F84" s="11">
        <v>2326.0475000000001</v>
      </c>
      <c r="G84" s="12">
        <v>1.152535E-2</v>
      </c>
      <c r="H84" s="40">
        <v>7.6675000000000004</v>
      </c>
    </row>
    <row r="85" spans="1:8" ht="25.5" x14ac:dyDescent="0.2">
      <c r="A85" s="8">
        <v>33</v>
      </c>
      <c r="B85" s="9" t="s">
        <v>149</v>
      </c>
      <c r="C85" s="9" t="s">
        <v>150</v>
      </c>
      <c r="D85" s="9" t="s">
        <v>133</v>
      </c>
      <c r="E85" s="10">
        <v>300</v>
      </c>
      <c r="F85" s="11">
        <v>1424.9445000000001</v>
      </c>
      <c r="G85" s="12">
        <v>7.0604700000000001E-3</v>
      </c>
      <c r="H85" s="40">
        <v>7.51</v>
      </c>
    </row>
    <row r="86" spans="1:8" ht="25.5" x14ac:dyDescent="0.2">
      <c r="A86" s="8">
        <v>34</v>
      </c>
      <c r="B86" s="9" t="s">
        <v>220</v>
      </c>
      <c r="C86" s="9" t="s">
        <v>221</v>
      </c>
      <c r="D86" s="9" t="s">
        <v>133</v>
      </c>
      <c r="E86" s="10">
        <v>300</v>
      </c>
      <c r="F86" s="11">
        <v>1421.0550000000001</v>
      </c>
      <c r="G86" s="12">
        <v>7.0412000000000001E-3</v>
      </c>
      <c r="H86" s="40">
        <v>7.51</v>
      </c>
    </row>
    <row r="87" spans="1:8" x14ac:dyDescent="0.2">
      <c r="A87" s="8">
        <v>35</v>
      </c>
      <c r="B87" s="9" t="s">
        <v>155</v>
      </c>
      <c r="C87" s="9" t="s">
        <v>156</v>
      </c>
      <c r="D87" s="9" t="s">
        <v>133</v>
      </c>
      <c r="E87" s="10">
        <v>300</v>
      </c>
      <c r="F87" s="11">
        <v>1417.6455000000001</v>
      </c>
      <c r="G87" s="12">
        <v>7.0242999999999998E-3</v>
      </c>
      <c r="H87" s="40">
        <v>7.6</v>
      </c>
    </row>
    <row r="88" spans="1:8" x14ac:dyDescent="0.2">
      <c r="A88" s="8">
        <v>36</v>
      </c>
      <c r="B88" s="9" t="s">
        <v>143</v>
      </c>
      <c r="C88" s="9" t="s">
        <v>144</v>
      </c>
      <c r="D88" s="9" t="s">
        <v>133</v>
      </c>
      <c r="E88" s="10">
        <v>200</v>
      </c>
      <c r="F88" s="11">
        <v>946.85299999999995</v>
      </c>
      <c r="G88" s="12">
        <v>4.6915699999999999E-3</v>
      </c>
      <c r="H88" s="40">
        <v>7.56</v>
      </c>
    </row>
    <row r="89" spans="1:8" x14ac:dyDescent="0.2">
      <c r="A89" s="1"/>
      <c r="B89" s="1"/>
      <c r="C89" s="2" t="s">
        <v>11</v>
      </c>
      <c r="D89" s="1"/>
      <c r="E89" s="1" t="s">
        <v>12</v>
      </c>
      <c r="F89" s="7">
        <v>122208.18949999999</v>
      </c>
      <c r="G89" s="4">
        <v>0.60553042999999995</v>
      </c>
      <c r="H89" s="40" t="s">
        <v>12</v>
      </c>
    </row>
    <row r="90" spans="1:8" x14ac:dyDescent="0.2">
      <c r="A90" s="1"/>
      <c r="B90" s="1"/>
      <c r="C90" s="5"/>
      <c r="D90" s="1"/>
      <c r="E90" s="1"/>
      <c r="F90" s="6"/>
      <c r="G90" s="6"/>
      <c r="H90" s="40" t="s">
        <v>12</v>
      </c>
    </row>
    <row r="91" spans="1:8" x14ac:dyDescent="0.2">
      <c r="A91" s="1"/>
      <c r="B91" s="1"/>
      <c r="C91" s="2" t="s">
        <v>78</v>
      </c>
      <c r="D91" s="1"/>
      <c r="E91" s="1"/>
      <c r="F91" s="6"/>
      <c r="G91" s="6"/>
      <c r="H91" s="40" t="s">
        <v>12</v>
      </c>
    </row>
    <row r="92" spans="1:8" x14ac:dyDescent="0.2">
      <c r="A92" s="8">
        <v>1</v>
      </c>
      <c r="B92" s="9" t="s">
        <v>412</v>
      </c>
      <c r="C92" s="9" t="s">
        <v>413</v>
      </c>
      <c r="D92" s="9" t="s">
        <v>133</v>
      </c>
      <c r="E92" s="10">
        <v>1000</v>
      </c>
      <c r="F92" s="11">
        <v>4915.4449999999997</v>
      </c>
      <c r="G92" s="12">
        <v>2.4355580000000002E-2</v>
      </c>
      <c r="H92" s="40">
        <v>7.1349999999999998</v>
      </c>
    </row>
    <row r="93" spans="1:8" ht="25.5" x14ac:dyDescent="0.2">
      <c r="A93" s="8">
        <v>2</v>
      </c>
      <c r="B93" s="9" t="s">
        <v>414</v>
      </c>
      <c r="C93" s="9" t="s">
        <v>415</v>
      </c>
      <c r="D93" s="9" t="s">
        <v>133</v>
      </c>
      <c r="E93" s="10">
        <v>1000</v>
      </c>
      <c r="F93" s="11">
        <v>4732</v>
      </c>
      <c r="G93" s="12">
        <v>2.344663E-2</v>
      </c>
      <c r="H93" s="40">
        <v>7.6001000000000003</v>
      </c>
    </row>
    <row r="94" spans="1:8" ht="25.5" x14ac:dyDescent="0.2">
      <c r="A94" s="8">
        <v>3</v>
      </c>
      <c r="B94" s="9" t="s">
        <v>416</v>
      </c>
      <c r="C94" s="9" t="s">
        <v>417</v>
      </c>
      <c r="D94" s="9" t="s">
        <v>133</v>
      </c>
      <c r="E94" s="10">
        <v>500</v>
      </c>
      <c r="F94" s="11">
        <v>2495.4025000000001</v>
      </c>
      <c r="G94" s="12">
        <v>1.2364490000000001E-2</v>
      </c>
      <c r="H94" s="40">
        <v>7.4749999999999996</v>
      </c>
    </row>
    <row r="95" spans="1:8" ht="25.5" x14ac:dyDescent="0.2">
      <c r="A95" s="8">
        <v>4</v>
      </c>
      <c r="B95" s="9" t="s">
        <v>309</v>
      </c>
      <c r="C95" s="9" t="s">
        <v>310</v>
      </c>
      <c r="D95" s="9" t="s">
        <v>133</v>
      </c>
      <c r="E95" s="10">
        <v>500</v>
      </c>
      <c r="F95" s="11">
        <v>2494.2600000000002</v>
      </c>
      <c r="G95" s="12">
        <v>1.2358829999999999E-2</v>
      </c>
      <c r="H95" s="40">
        <v>7.0000999999999998</v>
      </c>
    </row>
    <row r="96" spans="1:8" ht="25.5" x14ac:dyDescent="0.2">
      <c r="A96" s="8">
        <v>5</v>
      </c>
      <c r="B96" s="9" t="s">
        <v>418</v>
      </c>
      <c r="C96" s="9" t="s">
        <v>419</v>
      </c>
      <c r="D96" s="9" t="s">
        <v>133</v>
      </c>
      <c r="E96" s="10">
        <v>500</v>
      </c>
      <c r="F96" s="11">
        <v>2493.2249999999999</v>
      </c>
      <c r="G96" s="12">
        <v>1.23537E-2</v>
      </c>
      <c r="H96" s="40">
        <v>7.6288</v>
      </c>
    </row>
    <row r="97" spans="1:8" x14ac:dyDescent="0.2">
      <c r="A97" s="8">
        <v>6</v>
      </c>
      <c r="B97" s="9" t="s">
        <v>315</v>
      </c>
      <c r="C97" s="9" t="s">
        <v>316</v>
      </c>
      <c r="D97" s="9" t="s">
        <v>133</v>
      </c>
      <c r="E97" s="10">
        <v>500</v>
      </c>
      <c r="F97" s="11">
        <v>2485.02</v>
      </c>
      <c r="G97" s="12">
        <v>1.2313050000000001E-2</v>
      </c>
      <c r="H97" s="40">
        <v>8.15</v>
      </c>
    </row>
    <row r="98" spans="1:8" ht="25.5" x14ac:dyDescent="0.2">
      <c r="A98" s="8">
        <v>7</v>
      </c>
      <c r="B98" s="9" t="s">
        <v>336</v>
      </c>
      <c r="C98" s="9" t="s">
        <v>337</v>
      </c>
      <c r="D98" s="9" t="s">
        <v>133</v>
      </c>
      <c r="E98" s="10">
        <v>500</v>
      </c>
      <c r="F98" s="11">
        <v>2462.2275</v>
      </c>
      <c r="G98" s="12">
        <v>1.220011E-2</v>
      </c>
      <c r="H98" s="40">
        <v>8.1150000000000002</v>
      </c>
    </row>
    <row r="99" spans="1:8" x14ac:dyDescent="0.2">
      <c r="A99" s="8">
        <v>8</v>
      </c>
      <c r="B99" s="9" t="s">
        <v>420</v>
      </c>
      <c r="C99" s="9" t="s">
        <v>421</v>
      </c>
      <c r="D99" s="9" t="s">
        <v>133</v>
      </c>
      <c r="E99" s="10">
        <v>500</v>
      </c>
      <c r="F99" s="11">
        <v>2363.2925</v>
      </c>
      <c r="G99" s="12">
        <v>1.1709900000000001E-2</v>
      </c>
      <c r="H99" s="40">
        <v>7.65</v>
      </c>
    </row>
    <row r="100" spans="1:8" ht="25.5" x14ac:dyDescent="0.2">
      <c r="A100" s="8">
        <v>9</v>
      </c>
      <c r="B100" s="9" t="s">
        <v>422</v>
      </c>
      <c r="C100" s="9" t="s">
        <v>423</v>
      </c>
      <c r="D100" s="9" t="s">
        <v>133</v>
      </c>
      <c r="E100" s="10">
        <v>500</v>
      </c>
      <c r="F100" s="11">
        <v>2341.8975</v>
      </c>
      <c r="G100" s="12">
        <v>1.160389E-2</v>
      </c>
      <c r="H100" s="40">
        <v>8.41</v>
      </c>
    </row>
    <row r="101" spans="1:8" ht="25.5" x14ac:dyDescent="0.2">
      <c r="A101" s="8">
        <v>10</v>
      </c>
      <c r="B101" s="9" t="s">
        <v>232</v>
      </c>
      <c r="C101" s="9" t="s">
        <v>233</v>
      </c>
      <c r="D101" s="9" t="s">
        <v>133</v>
      </c>
      <c r="E101" s="10">
        <v>400</v>
      </c>
      <c r="F101" s="11">
        <v>1955.7239999999999</v>
      </c>
      <c r="G101" s="12">
        <v>9.6904299999999999E-3</v>
      </c>
      <c r="H101" s="40">
        <v>8.1013000000000002</v>
      </c>
    </row>
    <row r="102" spans="1:8" x14ac:dyDescent="0.2">
      <c r="A102" s="8">
        <v>11</v>
      </c>
      <c r="B102" s="9" t="s">
        <v>224</v>
      </c>
      <c r="C102" s="9" t="s">
        <v>225</v>
      </c>
      <c r="D102" s="9" t="s">
        <v>133</v>
      </c>
      <c r="E102" s="10">
        <v>300</v>
      </c>
      <c r="F102" s="11">
        <v>1499.0864999999999</v>
      </c>
      <c r="G102" s="12">
        <v>7.4278399999999998E-3</v>
      </c>
      <c r="H102" s="40">
        <v>7.4109999999999996</v>
      </c>
    </row>
    <row r="103" spans="1:8" x14ac:dyDescent="0.2">
      <c r="A103" s="8">
        <v>12</v>
      </c>
      <c r="B103" s="9" t="s">
        <v>170</v>
      </c>
      <c r="C103" s="9" t="s">
        <v>171</v>
      </c>
      <c r="D103" s="9" t="s">
        <v>133</v>
      </c>
      <c r="E103" s="10">
        <v>300</v>
      </c>
      <c r="F103" s="11">
        <v>1416.4935</v>
      </c>
      <c r="G103" s="12">
        <v>7.0185999999999998E-3</v>
      </c>
      <c r="H103" s="40">
        <v>8.1199999999999992</v>
      </c>
    </row>
    <row r="104" spans="1:8" ht="25.5" x14ac:dyDescent="0.2">
      <c r="A104" s="8">
        <v>13</v>
      </c>
      <c r="B104" s="9" t="s">
        <v>228</v>
      </c>
      <c r="C104" s="9" t="s">
        <v>229</v>
      </c>
      <c r="D104" s="9" t="s">
        <v>133</v>
      </c>
      <c r="E104" s="10">
        <v>300</v>
      </c>
      <c r="F104" s="11">
        <v>1416.3975</v>
      </c>
      <c r="G104" s="12">
        <v>7.0181200000000001E-3</v>
      </c>
      <c r="H104" s="40">
        <v>8.1300000000000008</v>
      </c>
    </row>
    <row r="105" spans="1:8" ht="25.5" x14ac:dyDescent="0.2">
      <c r="A105" s="8">
        <v>14</v>
      </c>
      <c r="B105" s="9" t="s">
        <v>174</v>
      </c>
      <c r="C105" s="9" t="s">
        <v>175</v>
      </c>
      <c r="D105" s="9"/>
      <c r="E105" s="10">
        <v>300</v>
      </c>
      <c r="F105" s="11">
        <v>1394.3969999999999</v>
      </c>
      <c r="G105" s="12">
        <v>6.9091100000000004E-3</v>
      </c>
      <c r="H105" s="40">
        <v>0</v>
      </c>
    </row>
    <row r="106" spans="1:8" x14ac:dyDescent="0.2">
      <c r="A106" s="8">
        <v>15</v>
      </c>
      <c r="B106" s="9" t="s">
        <v>424</v>
      </c>
      <c r="C106" s="9" t="s">
        <v>425</v>
      </c>
      <c r="D106" s="9" t="s">
        <v>133</v>
      </c>
      <c r="E106" s="10">
        <v>200</v>
      </c>
      <c r="F106" s="11">
        <v>999.61199999999997</v>
      </c>
      <c r="G106" s="12">
        <v>4.95299E-3</v>
      </c>
      <c r="H106" s="40">
        <v>7.0853000000000002</v>
      </c>
    </row>
    <row r="107" spans="1:8" x14ac:dyDescent="0.2">
      <c r="A107" s="1"/>
      <c r="B107" s="1"/>
      <c r="C107" s="2" t="s">
        <v>11</v>
      </c>
      <c r="D107" s="1"/>
      <c r="E107" s="1" t="s">
        <v>12</v>
      </c>
      <c r="F107" s="7">
        <v>35464.480499999998</v>
      </c>
      <c r="G107" s="4">
        <v>0.17572326999999999</v>
      </c>
      <c r="H107" s="40" t="s">
        <v>12</v>
      </c>
    </row>
    <row r="108" spans="1:8" x14ac:dyDescent="0.2">
      <c r="A108" s="1"/>
      <c r="B108" s="1"/>
      <c r="C108" s="5"/>
      <c r="D108" s="1"/>
      <c r="E108" s="1"/>
      <c r="F108" s="6"/>
      <c r="G108" s="6"/>
      <c r="H108" s="40" t="s">
        <v>12</v>
      </c>
    </row>
    <row r="109" spans="1:8" x14ac:dyDescent="0.2">
      <c r="A109" s="1"/>
      <c r="B109" s="1"/>
      <c r="C109" s="2" t="s">
        <v>79</v>
      </c>
      <c r="D109" s="1"/>
      <c r="E109" s="1"/>
      <c r="F109" s="6"/>
      <c r="G109" s="6"/>
      <c r="H109" s="40" t="s">
        <v>12</v>
      </c>
    </row>
    <row r="110" spans="1:8" x14ac:dyDescent="0.2">
      <c r="A110" s="8">
        <v>1</v>
      </c>
      <c r="B110" s="9" t="s">
        <v>234</v>
      </c>
      <c r="C110" s="9" t="s">
        <v>235</v>
      </c>
      <c r="D110" s="9" t="s">
        <v>67</v>
      </c>
      <c r="E110" s="10">
        <v>7500000</v>
      </c>
      <c r="F110" s="11">
        <v>7268.2875000000004</v>
      </c>
      <c r="G110" s="12">
        <v>3.6013700000000003E-2</v>
      </c>
      <c r="H110" s="40">
        <v>7.01</v>
      </c>
    </row>
    <row r="111" spans="1:8" x14ac:dyDescent="0.2">
      <c r="A111" s="8">
        <v>2</v>
      </c>
      <c r="B111" s="9" t="s">
        <v>346</v>
      </c>
      <c r="C111" s="9" t="s">
        <v>347</v>
      </c>
      <c r="D111" s="9" t="s">
        <v>67</v>
      </c>
      <c r="E111" s="10">
        <v>5000000</v>
      </c>
      <c r="F111" s="11">
        <v>4943</v>
      </c>
      <c r="G111" s="12">
        <v>2.4492110000000001E-2</v>
      </c>
      <c r="H111" s="40">
        <v>6.9</v>
      </c>
    </row>
    <row r="112" spans="1:8" x14ac:dyDescent="0.2">
      <c r="A112" s="8">
        <v>3</v>
      </c>
      <c r="B112" s="9" t="s">
        <v>426</v>
      </c>
      <c r="C112" s="9" t="s">
        <v>427</v>
      </c>
      <c r="D112" s="9" t="s">
        <v>67</v>
      </c>
      <c r="E112" s="10">
        <v>5000000</v>
      </c>
      <c r="F112" s="11">
        <v>4936.54</v>
      </c>
      <c r="G112" s="12">
        <v>2.446011E-2</v>
      </c>
      <c r="H112" s="40">
        <v>6.9</v>
      </c>
    </row>
    <row r="113" spans="1:8" x14ac:dyDescent="0.2">
      <c r="A113" s="8">
        <v>4</v>
      </c>
      <c r="B113" s="9" t="s">
        <v>344</v>
      </c>
      <c r="C113" s="9" t="s">
        <v>345</v>
      </c>
      <c r="D113" s="9" t="s">
        <v>67</v>
      </c>
      <c r="E113" s="10">
        <v>5000000</v>
      </c>
      <c r="F113" s="11">
        <v>4930.8999999999996</v>
      </c>
      <c r="G113" s="12">
        <v>2.4432160000000001E-2</v>
      </c>
      <c r="H113" s="40">
        <v>6.82</v>
      </c>
    </row>
    <row r="114" spans="1:8" x14ac:dyDescent="0.2">
      <c r="A114" s="8">
        <v>5</v>
      </c>
      <c r="B114" s="9" t="s">
        <v>428</v>
      </c>
      <c r="C114" s="9" t="s">
        <v>429</v>
      </c>
      <c r="D114" s="9" t="s">
        <v>67</v>
      </c>
      <c r="E114" s="10">
        <v>500000</v>
      </c>
      <c r="F114" s="11">
        <v>488.39449999999999</v>
      </c>
      <c r="G114" s="12">
        <v>2.4199500000000001E-3</v>
      </c>
      <c r="H114" s="40">
        <v>6.9947999999999997</v>
      </c>
    </row>
    <row r="115" spans="1:8" x14ac:dyDescent="0.2">
      <c r="A115" s="1"/>
      <c r="B115" s="1"/>
      <c r="C115" s="2" t="s">
        <v>11</v>
      </c>
      <c r="D115" s="1"/>
      <c r="E115" s="1" t="s">
        <v>12</v>
      </c>
      <c r="F115" s="7">
        <v>22567.121999999999</v>
      </c>
      <c r="G115" s="4">
        <v>0.11181803</v>
      </c>
      <c r="H115" s="40" t="s">
        <v>12</v>
      </c>
    </row>
    <row r="116" spans="1:8" x14ac:dyDescent="0.2">
      <c r="A116" s="1"/>
      <c r="B116" s="1"/>
      <c r="C116" s="5"/>
      <c r="D116" s="1"/>
      <c r="E116" s="1"/>
      <c r="F116" s="6"/>
      <c r="G116" s="6"/>
      <c r="H116" s="40" t="s">
        <v>12</v>
      </c>
    </row>
    <row r="117" spans="1:8" x14ac:dyDescent="0.2">
      <c r="A117" s="1"/>
      <c r="B117" s="1"/>
      <c r="C117" s="2" t="s">
        <v>80</v>
      </c>
      <c r="D117" s="1"/>
      <c r="E117" s="1"/>
      <c r="F117" s="6"/>
      <c r="G117" s="6"/>
      <c r="H117" s="40" t="s">
        <v>12</v>
      </c>
    </row>
    <row r="118" spans="1:8" x14ac:dyDescent="0.2">
      <c r="A118" s="8">
        <v>1</v>
      </c>
      <c r="B118" s="9"/>
      <c r="C118" s="9" t="s">
        <v>81</v>
      </c>
      <c r="D118" s="9"/>
      <c r="E118" s="13"/>
      <c r="F118" s="11">
        <v>763.88364869700001</v>
      </c>
      <c r="G118" s="12">
        <v>3.7849699999999999E-3</v>
      </c>
      <c r="H118" s="40">
        <v>6.6416448321270405</v>
      </c>
    </row>
    <row r="119" spans="1:8" x14ac:dyDescent="0.2">
      <c r="A119" s="1"/>
      <c r="B119" s="1"/>
      <c r="C119" s="2" t="s">
        <v>11</v>
      </c>
      <c r="D119" s="1"/>
      <c r="E119" s="1" t="s">
        <v>12</v>
      </c>
      <c r="F119" s="7">
        <v>763.88364869700001</v>
      </c>
      <c r="G119" s="4">
        <v>3.7849699999999999E-3</v>
      </c>
      <c r="H119" s="40" t="s">
        <v>12</v>
      </c>
    </row>
    <row r="120" spans="1:8" x14ac:dyDescent="0.2">
      <c r="A120" s="1"/>
      <c r="B120" s="1"/>
      <c r="C120" s="5"/>
      <c r="D120" s="1"/>
      <c r="E120" s="1"/>
      <c r="F120" s="6"/>
      <c r="G120" s="6"/>
      <c r="H120" s="40" t="s">
        <v>12</v>
      </c>
    </row>
    <row r="121" spans="1:8" x14ac:dyDescent="0.2">
      <c r="A121" s="1"/>
      <c r="B121" s="1"/>
      <c r="C121" s="2" t="s">
        <v>82</v>
      </c>
      <c r="D121" s="1"/>
      <c r="E121" s="1"/>
      <c r="F121" s="7">
        <v>181003.67564869701</v>
      </c>
      <c r="G121" s="4">
        <v>0.89685669999999995</v>
      </c>
      <c r="H121" s="40" t="s">
        <v>12</v>
      </c>
    </row>
    <row r="122" spans="1:8" x14ac:dyDescent="0.2">
      <c r="A122" s="1"/>
      <c r="B122" s="1"/>
      <c r="C122" s="6"/>
      <c r="D122" s="1"/>
      <c r="E122" s="1"/>
      <c r="F122" s="1"/>
      <c r="G122" s="1"/>
      <c r="H122" s="40" t="s">
        <v>12</v>
      </c>
    </row>
    <row r="123" spans="1:8" x14ac:dyDescent="0.2">
      <c r="A123" s="1"/>
      <c r="B123" s="1"/>
      <c r="C123" s="2" t="s">
        <v>83</v>
      </c>
      <c r="D123" s="1"/>
      <c r="E123" s="1"/>
      <c r="F123" s="1"/>
      <c r="G123" s="1"/>
      <c r="H123" s="40" t="s">
        <v>12</v>
      </c>
    </row>
    <row r="124" spans="1:8" x14ac:dyDescent="0.2">
      <c r="A124" s="1"/>
      <c r="B124" s="1"/>
      <c r="C124" s="2" t="s">
        <v>84</v>
      </c>
      <c r="D124" s="1"/>
      <c r="E124" s="1"/>
      <c r="F124" s="1"/>
      <c r="G124" s="1"/>
      <c r="H124" s="40" t="s">
        <v>12</v>
      </c>
    </row>
    <row r="125" spans="1:8" x14ac:dyDescent="0.2">
      <c r="A125" s="1"/>
      <c r="B125" s="1"/>
      <c r="C125" s="2" t="s">
        <v>11</v>
      </c>
      <c r="D125" s="1"/>
      <c r="E125" s="1" t="s">
        <v>12</v>
      </c>
      <c r="F125" s="3" t="s">
        <v>13</v>
      </c>
      <c r="G125" s="4">
        <v>0</v>
      </c>
      <c r="H125" s="40" t="s">
        <v>12</v>
      </c>
    </row>
    <row r="126" spans="1:8" x14ac:dyDescent="0.2">
      <c r="A126" s="1"/>
      <c r="B126" s="1"/>
      <c r="C126" s="5"/>
      <c r="D126" s="1"/>
      <c r="E126" s="1"/>
      <c r="F126" s="6"/>
      <c r="G126" s="6"/>
      <c r="H126" s="40" t="s">
        <v>12</v>
      </c>
    </row>
    <row r="127" spans="1:8" x14ac:dyDescent="0.2">
      <c r="A127" s="1"/>
      <c r="B127" s="1"/>
      <c r="C127" s="2" t="s">
        <v>87</v>
      </c>
      <c r="D127" s="1"/>
      <c r="E127" s="1"/>
      <c r="F127" s="1"/>
      <c r="G127" s="1"/>
      <c r="H127" s="40" t="s">
        <v>12</v>
      </c>
    </row>
    <row r="128" spans="1:8" x14ac:dyDescent="0.2">
      <c r="A128" s="1"/>
      <c r="B128" s="1"/>
      <c r="C128" s="2" t="s">
        <v>88</v>
      </c>
      <c r="D128" s="1"/>
      <c r="E128" s="1"/>
      <c r="F128" s="1"/>
      <c r="G128" s="1"/>
      <c r="H128" s="40" t="s">
        <v>12</v>
      </c>
    </row>
    <row r="129" spans="1:18" x14ac:dyDescent="0.2">
      <c r="A129" s="1"/>
      <c r="B129" s="1"/>
      <c r="C129" s="2" t="s">
        <v>11</v>
      </c>
      <c r="D129" s="1"/>
      <c r="E129" s="1" t="s">
        <v>12</v>
      </c>
      <c r="F129" s="3" t="s">
        <v>13</v>
      </c>
      <c r="G129" s="4">
        <v>0</v>
      </c>
      <c r="H129" s="40" t="s">
        <v>12</v>
      </c>
    </row>
    <row r="130" spans="1:18" x14ac:dyDescent="0.2">
      <c r="A130" s="1"/>
      <c r="B130" s="1"/>
      <c r="C130" s="5"/>
      <c r="D130" s="1"/>
      <c r="E130" s="1"/>
      <c r="F130" s="6"/>
      <c r="G130" s="6"/>
      <c r="H130" s="40" t="s">
        <v>12</v>
      </c>
    </row>
    <row r="131" spans="1:18" x14ac:dyDescent="0.2">
      <c r="A131" s="1"/>
      <c r="B131" s="1"/>
      <c r="C131" s="2" t="s">
        <v>89</v>
      </c>
      <c r="D131" s="1"/>
      <c r="E131" s="1"/>
      <c r="F131" s="6"/>
      <c r="G131" s="6"/>
      <c r="H131" s="40" t="s">
        <v>12</v>
      </c>
    </row>
    <row r="132" spans="1:18" x14ac:dyDescent="0.2">
      <c r="A132" s="1"/>
      <c r="B132" s="1"/>
      <c r="C132" s="2" t="s">
        <v>11</v>
      </c>
      <c r="D132" s="1"/>
      <c r="E132" s="1" t="s">
        <v>12</v>
      </c>
      <c r="F132" s="3" t="s">
        <v>13</v>
      </c>
      <c r="G132" s="4">
        <v>0</v>
      </c>
      <c r="H132" s="40" t="s">
        <v>12</v>
      </c>
    </row>
    <row r="133" spans="1:18" x14ac:dyDescent="0.2">
      <c r="A133" s="1"/>
      <c r="B133" s="1"/>
      <c r="C133" s="2"/>
      <c r="D133" s="1"/>
      <c r="E133" s="1"/>
      <c r="F133" s="3"/>
      <c r="G133" s="4"/>
      <c r="H133" s="40"/>
    </row>
    <row r="134" spans="1:18" x14ac:dyDescent="0.2">
      <c r="A134" s="42"/>
      <c r="B134" s="42"/>
      <c r="C134" s="43" t="s">
        <v>492</v>
      </c>
      <c r="D134" s="42"/>
      <c r="E134" s="42"/>
      <c r="F134" s="44"/>
      <c r="G134" s="44"/>
      <c r="H134" s="11"/>
      <c r="K134" s="45"/>
      <c r="L134" s="45"/>
      <c r="M134" s="45"/>
      <c r="N134" s="45"/>
      <c r="O134" s="45"/>
      <c r="P134" s="46"/>
      <c r="Q134" s="46"/>
      <c r="R134" s="46"/>
    </row>
    <row r="135" spans="1:18" x14ac:dyDescent="0.2">
      <c r="A135" s="8">
        <v>1</v>
      </c>
      <c r="B135" s="9" t="s">
        <v>85</v>
      </c>
      <c r="C135" s="9" t="s">
        <v>86</v>
      </c>
      <c r="D135" s="9"/>
      <c r="E135" s="14">
        <v>4528.5039999999999</v>
      </c>
      <c r="F135" s="11">
        <v>464.20439202699998</v>
      </c>
      <c r="G135" s="12">
        <v>2.3000899999999999E-3</v>
      </c>
      <c r="H135" s="40"/>
    </row>
    <row r="136" spans="1:18" x14ac:dyDescent="0.2">
      <c r="A136" s="1"/>
      <c r="B136" s="1"/>
      <c r="C136" s="2" t="s">
        <v>11</v>
      </c>
      <c r="D136" s="1"/>
      <c r="E136" s="1" t="s">
        <v>12</v>
      </c>
      <c r="F136" s="7">
        <v>464.20439202699998</v>
      </c>
      <c r="G136" s="4">
        <v>2.3000899999999999E-3</v>
      </c>
      <c r="H136" s="40" t="s">
        <v>12</v>
      </c>
    </row>
    <row r="137" spans="1:18" x14ac:dyDescent="0.2">
      <c r="A137" s="1"/>
      <c r="B137" s="9"/>
      <c r="C137" s="9"/>
      <c r="D137" s="2"/>
      <c r="E137" s="1"/>
      <c r="F137" s="9"/>
      <c r="G137" s="13"/>
      <c r="H137" s="40"/>
    </row>
    <row r="138" spans="1:18" x14ac:dyDescent="0.2">
      <c r="A138" s="1"/>
      <c r="B138" s="1"/>
      <c r="C138" s="5"/>
      <c r="D138" s="1"/>
      <c r="E138" s="1"/>
      <c r="F138" s="6"/>
      <c r="G138" s="6"/>
      <c r="H138" s="40" t="s">
        <v>12</v>
      </c>
    </row>
    <row r="139" spans="1:18" x14ac:dyDescent="0.2">
      <c r="A139" s="1"/>
      <c r="B139" s="9"/>
      <c r="C139" s="9"/>
      <c r="D139" s="2"/>
      <c r="E139" s="1"/>
      <c r="F139" s="9"/>
      <c r="G139" s="13"/>
      <c r="H139" s="40" t="s">
        <v>12</v>
      </c>
    </row>
    <row r="140" spans="1:18" x14ac:dyDescent="0.2">
      <c r="A140" s="13"/>
      <c r="B140" s="9"/>
      <c r="C140" s="9" t="s">
        <v>90</v>
      </c>
      <c r="D140" s="9"/>
      <c r="E140" s="13"/>
      <c r="F140" s="11">
        <v>-2572.2076484899999</v>
      </c>
      <c r="G140" s="12">
        <v>-1.2745050000000001E-2</v>
      </c>
      <c r="H140" s="40" t="s">
        <v>12</v>
      </c>
    </row>
    <row r="141" spans="1:18" x14ac:dyDescent="0.2">
      <c r="A141" s="5"/>
      <c r="B141" s="5"/>
      <c r="C141" s="2" t="s">
        <v>91</v>
      </c>
      <c r="D141" s="6"/>
      <c r="E141" s="6"/>
      <c r="F141" s="7">
        <v>201820.06589223401</v>
      </c>
      <c r="G141" s="15">
        <v>1.00000003</v>
      </c>
      <c r="H141" s="40"/>
    </row>
    <row r="142" spans="1:18" x14ac:dyDescent="0.2">
      <c r="A142" s="16"/>
      <c r="B142" s="16"/>
      <c r="C142" s="16"/>
      <c r="D142" s="17"/>
      <c r="E142" s="17"/>
      <c r="F142" s="17"/>
      <c r="G142" s="17"/>
    </row>
    <row r="143" spans="1:18" ht="12.75" customHeight="1" x14ac:dyDescent="0.2">
      <c r="A143" s="18"/>
      <c r="B143" s="102" t="s">
        <v>493</v>
      </c>
      <c r="C143" s="102"/>
      <c r="D143" s="102"/>
      <c r="E143" s="102"/>
      <c r="F143" s="102"/>
      <c r="G143" s="102"/>
      <c r="H143" s="102"/>
    </row>
    <row r="144" spans="1:18" ht="12.75" customHeight="1" x14ac:dyDescent="0.2">
      <c r="A144" s="18"/>
      <c r="B144" s="102" t="s">
        <v>494</v>
      </c>
      <c r="C144" s="102"/>
      <c r="D144" s="102"/>
      <c r="E144" s="102"/>
      <c r="F144" s="102"/>
      <c r="G144" s="102"/>
      <c r="H144" s="102"/>
    </row>
    <row r="145" spans="1:8" ht="12.75" customHeight="1" x14ac:dyDescent="0.2">
      <c r="A145" s="18"/>
      <c r="B145" s="102" t="s">
        <v>495</v>
      </c>
      <c r="C145" s="102"/>
      <c r="D145" s="102"/>
      <c r="E145" s="102"/>
      <c r="F145" s="102"/>
      <c r="G145" s="102"/>
      <c r="H145" s="102"/>
    </row>
    <row r="146" spans="1:8" x14ac:dyDescent="0.2">
      <c r="A146" s="18"/>
      <c r="B146" s="18"/>
      <c r="C146" s="18"/>
      <c r="D146" s="20"/>
      <c r="E146" s="20"/>
      <c r="F146" s="20"/>
      <c r="G146" s="20"/>
    </row>
    <row r="147" spans="1:8" ht="14.1" customHeight="1" x14ac:dyDescent="0.2">
      <c r="A147" s="18"/>
      <c r="B147" s="103" t="s">
        <v>92</v>
      </c>
      <c r="C147" s="104"/>
      <c r="D147" s="105"/>
      <c r="E147" s="21"/>
      <c r="F147" s="20"/>
      <c r="G147" s="20"/>
    </row>
    <row r="148" spans="1:8" ht="29.1" customHeight="1" x14ac:dyDescent="0.2">
      <c r="A148" s="18"/>
      <c r="B148" s="99" t="s">
        <v>93</v>
      </c>
      <c r="C148" s="100"/>
      <c r="D148" s="43" t="s">
        <v>593</v>
      </c>
      <c r="E148" s="21"/>
      <c r="F148" s="20"/>
      <c r="G148" s="20"/>
    </row>
    <row r="149" spans="1:8" ht="17.100000000000001" customHeight="1" x14ac:dyDescent="0.2">
      <c r="A149" s="18"/>
      <c r="B149" s="99" t="s">
        <v>95</v>
      </c>
      <c r="C149" s="100"/>
      <c r="D149" s="2" t="s">
        <v>94</v>
      </c>
      <c r="E149" s="21"/>
      <c r="F149" s="20"/>
      <c r="G149" s="20"/>
    </row>
    <row r="150" spans="1:8" ht="17.100000000000001" customHeight="1" x14ac:dyDescent="0.2">
      <c r="A150" s="18"/>
      <c r="B150" s="99" t="s">
        <v>96</v>
      </c>
      <c r="C150" s="100"/>
      <c r="D150" s="6" t="s">
        <v>12</v>
      </c>
      <c r="E150" s="21"/>
      <c r="F150" s="20"/>
      <c r="G150" s="20"/>
    </row>
    <row r="151" spans="1:8" x14ac:dyDescent="0.2">
      <c r="A151" s="22"/>
      <c r="B151" s="23" t="s">
        <v>12</v>
      </c>
      <c r="C151" s="23" t="s">
        <v>531</v>
      </c>
      <c r="D151" s="23" t="s">
        <v>97</v>
      </c>
      <c r="E151" s="22"/>
      <c r="F151" s="22"/>
      <c r="G151" s="22"/>
      <c r="H151" s="87"/>
    </row>
    <row r="152" spans="1:8" ht="18" customHeight="1" x14ac:dyDescent="0.2">
      <c r="A152" s="22"/>
      <c r="B152" s="24" t="s">
        <v>98</v>
      </c>
      <c r="C152" s="98" t="s">
        <v>594</v>
      </c>
      <c r="D152" s="98" t="s">
        <v>529</v>
      </c>
      <c r="E152" s="22"/>
      <c r="F152" s="22"/>
      <c r="G152" s="22"/>
    </row>
    <row r="153" spans="1:8" ht="17.100000000000001" customHeight="1" x14ac:dyDescent="0.2">
      <c r="A153" s="22"/>
      <c r="B153" s="9" t="s">
        <v>99</v>
      </c>
      <c r="C153" s="25">
        <v>2690.7935000000002</v>
      </c>
      <c r="D153" s="25">
        <v>2699.3463999999999</v>
      </c>
      <c r="E153" s="22"/>
      <c r="F153" s="19"/>
      <c r="G153" s="26"/>
    </row>
    <row r="154" spans="1:8" ht="29.1" customHeight="1" x14ac:dyDescent="0.2">
      <c r="A154" s="22"/>
      <c r="B154" s="9" t="s">
        <v>547</v>
      </c>
      <c r="C154" s="25">
        <v>1006.1763</v>
      </c>
      <c r="D154" s="25">
        <v>1006.1763</v>
      </c>
      <c r="E154" s="22"/>
      <c r="F154" s="19"/>
      <c r="G154" s="26"/>
    </row>
    <row r="155" spans="1:8" ht="29.1" customHeight="1" x14ac:dyDescent="0.2">
      <c r="A155" s="22"/>
      <c r="B155" s="9" t="s">
        <v>553</v>
      </c>
      <c r="C155" s="25">
        <v>1062.1283000000001</v>
      </c>
      <c r="D155" s="25">
        <v>1062.7054000000001</v>
      </c>
      <c r="E155" s="22"/>
      <c r="F155" s="19"/>
      <c r="G155" s="26"/>
    </row>
    <row r="156" spans="1:8" ht="29.1" customHeight="1" x14ac:dyDescent="0.2">
      <c r="A156" s="22"/>
      <c r="B156" s="9" t="s">
        <v>544</v>
      </c>
      <c r="C156" s="25">
        <v>1065.8888999999999</v>
      </c>
      <c r="D156" s="25">
        <v>1063.3522</v>
      </c>
      <c r="E156" s="22"/>
      <c r="F156" s="19"/>
      <c r="G156" s="26"/>
    </row>
    <row r="157" spans="1:8" ht="29.1" customHeight="1" x14ac:dyDescent="0.2">
      <c r="A157" s="22"/>
      <c r="B157" s="9" t="s">
        <v>541</v>
      </c>
      <c r="C157" s="25">
        <v>1156.1611</v>
      </c>
      <c r="D157" s="25">
        <v>1159.8367000000001</v>
      </c>
      <c r="E157" s="22"/>
      <c r="F157" s="19"/>
      <c r="G157" s="26"/>
    </row>
    <row r="158" spans="1:8" ht="17.100000000000001" customHeight="1" x14ac:dyDescent="0.2">
      <c r="A158" s="22"/>
      <c r="B158" s="9" t="s">
        <v>100</v>
      </c>
      <c r="C158" s="25">
        <v>2501.8348999999998</v>
      </c>
      <c r="D158" s="25">
        <v>2508.4452999999999</v>
      </c>
      <c r="E158" s="22"/>
      <c r="F158" s="19"/>
      <c r="G158" s="26"/>
    </row>
    <row r="159" spans="1:8" ht="29.1" customHeight="1" x14ac:dyDescent="0.2">
      <c r="A159" s="22"/>
      <c r="B159" s="9" t="s">
        <v>550</v>
      </c>
      <c r="C159" s="25">
        <v>1005.43</v>
      </c>
      <c r="D159" s="25">
        <v>1005.43</v>
      </c>
      <c r="E159" s="22"/>
      <c r="F159" s="19"/>
      <c r="G159" s="26"/>
    </row>
    <row r="160" spans="1:8" ht="29.1" customHeight="1" x14ac:dyDescent="0.2">
      <c r="A160" s="22"/>
      <c r="B160" s="9" t="s">
        <v>551</v>
      </c>
      <c r="C160" s="25">
        <v>1020.0727000000001</v>
      </c>
      <c r="D160" s="25">
        <v>1020.2814</v>
      </c>
      <c r="E160" s="22"/>
      <c r="F160" s="19"/>
      <c r="G160" s="26"/>
    </row>
    <row r="161" spans="1:7" ht="29.1" customHeight="1" x14ac:dyDescent="0.2">
      <c r="A161" s="22"/>
      <c r="B161" s="9" t="s">
        <v>552</v>
      </c>
      <c r="C161" s="25">
        <v>1060.9238</v>
      </c>
      <c r="D161" s="25">
        <v>1061.1410000000001</v>
      </c>
      <c r="E161" s="22"/>
      <c r="F161" s="19"/>
      <c r="G161" s="26"/>
    </row>
    <row r="162" spans="1:7" ht="29.1" customHeight="1" x14ac:dyDescent="0.2">
      <c r="A162" s="22"/>
      <c r="B162" s="9" t="s">
        <v>546</v>
      </c>
      <c r="C162" s="25">
        <v>1064.4447</v>
      </c>
      <c r="D162" s="25">
        <v>1062.4591</v>
      </c>
      <c r="E162" s="22"/>
      <c r="F162" s="19"/>
      <c r="G162" s="26"/>
    </row>
    <row r="163" spans="1:7" ht="29.1" customHeight="1" x14ac:dyDescent="0.2">
      <c r="A163" s="22"/>
      <c r="B163" s="9" t="s">
        <v>543</v>
      </c>
      <c r="C163" s="25">
        <v>1121.8037999999999</v>
      </c>
      <c r="D163" s="25">
        <v>1124.7665999999999</v>
      </c>
      <c r="E163" s="22"/>
      <c r="F163" s="19"/>
      <c r="G163" s="26"/>
    </row>
    <row r="164" spans="1:7" ht="14.1" customHeight="1" x14ac:dyDescent="0.2">
      <c r="A164" s="22"/>
      <c r="B164" s="22"/>
      <c r="C164" s="22"/>
      <c r="D164" s="22"/>
      <c r="E164" s="22"/>
      <c r="F164" s="22"/>
      <c r="G164" s="22"/>
    </row>
    <row r="165" spans="1:7" ht="17.100000000000001" customHeight="1" x14ac:dyDescent="0.2">
      <c r="A165" s="22"/>
      <c r="B165" s="99" t="s">
        <v>540</v>
      </c>
      <c r="C165" s="100"/>
      <c r="D165" s="2" t="s">
        <v>12</v>
      </c>
      <c r="E165" s="22"/>
      <c r="F165" s="22"/>
      <c r="G165" s="22"/>
    </row>
    <row r="166" spans="1:7" ht="18" customHeight="1" x14ac:dyDescent="0.2">
      <c r="A166" s="22"/>
      <c r="B166" s="27" t="s">
        <v>98</v>
      </c>
      <c r="C166" s="28" t="s">
        <v>101</v>
      </c>
      <c r="D166" s="28" t="s">
        <v>102</v>
      </c>
      <c r="E166" s="22"/>
      <c r="F166" s="22"/>
      <c r="G166" s="22"/>
    </row>
    <row r="167" spans="1:7" ht="29.1" customHeight="1" x14ac:dyDescent="0.2">
      <c r="A167" s="22"/>
      <c r="B167" s="9" t="s">
        <v>547</v>
      </c>
      <c r="C167" s="29">
        <v>3.191144</v>
      </c>
      <c r="D167" s="13" t="s">
        <v>103</v>
      </c>
      <c r="E167" s="22"/>
      <c r="F167" s="19"/>
      <c r="G167" s="26"/>
    </row>
    <row r="168" spans="1:7" ht="29.1" customHeight="1" x14ac:dyDescent="0.2">
      <c r="A168" s="22"/>
      <c r="B168" s="9" t="s">
        <v>553</v>
      </c>
      <c r="C168" s="29">
        <v>2.9</v>
      </c>
      <c r="D168" s="13" t="s">
        <v>103</v>
      </c>
      <c r="E168" s="22"/>
      <c r="F168" s="19"/>
      <c r="G168" s="26"/>
    </row>
    <row r="169" spans="1:7" ht="29.1" customHeight="1" x14ac:dyDescent="0.2">
      <c r="A169" s="22"/>
      <c r="B169" s="9" t="s">
        <v>544</v>
      </c>
      <c r="C169" s="29">
        <v>5.9051999999999998</v>
      </c>
      <c r="D169" s="13" t="s">
        <v>103</v>
      </c>
      <c r="E169" s="22"/>
      <c r="F169" s="19"/>
      <c r="G169" s="26"/>
    </row>
    <row r="170" spans="1:7" ht="29.1" customHeight="1" x14ac:dyDescent="0.2">
      <c r="A170" s="22"/>
      <c r="B170" s="9" t="s">
        <v>550</v>
      </c>
      <c r="C170" s="29">
        <v>2.6554329999999999</v>
      </c>
      <c r="D170" s="13" t="s">
        <v>103</v>
      </c>
      <c r="E170" s="22"/>
      <c r="F170" s="19"/>
      <c r="G170" s="26"/>
    </row>
    <row r="171" spans="1:7" ht="29.1" customHeight="1" x14ac:dyDescent="0.2">
      <c r="A171" s="22"/>
      <c r="B171" s="9" t="s">
        <v>551</v>
      </c>
      <c r="C171" s="29">
        <v>3.5958999999999999</v>
      </c>
      <c r="D171" s="29">
        <v>3.5958999999999999</v>
      </c>
      <c r="E171" s="22"/>
      <c r="F171" s="19"/>
      <c r="G171" s="26"/>
    </row>
    <row r="172" spans="1:7" ht="29.1" customHeight="1" x14ac:dyDescent="0.2">
      <c r="A172" s="22"/>
      <c r="B172" s="9" t="s">
        <v>552</v>
      </c>
      <c r="C172" s="29">
        <v>2.5838000000000001</v>
      </c>
      <c r="D172" s="13" t="s">
        <v>103</v>
      </c>
      <c r="E172" s="22"/>
      <c r="F172" s="19"/>
      <c r="G172" s="26"/>
    </row>
    <row r="173" spans="1:7" ht="29.1" customHeight="1" x14ac:dyDescent="0.2">
      <c r="A173" s="22"/>
      <c r="B173" s="9" t="s">
        <v>546</v>
      </c>
      <c r="C173" s="29">
        <v>4.7881</v>
      </c>
      <c r="D173" s="29">
        <v>4.7881</v>
      </c>
      <c r="E173" s="22"/>
      <c r="F173" s="19"/>
      <c r="G173" s="26"/>
    </row>
    <row r="174" spans="1:7" x14ac:dyDescent="0.2">
      <c r="A174" s="22"/>
      <c r="B174" s="19"/>
      <c r="C174" s="19"/>
      <c r="D174" s="22"/>
      <c r="E174" s="22"/>
      <c r="F174" s="22"/>
      <c r="G174" s="22"/>
    </row>
    <row r="175" spans="1:7" x14ac:dyDescent="0.2">
      <c r="A175" s="22"/>
      <c r="B175" s="99" t="s">
        <v>104</v>
      </c>
      <c r="C175" s="100"/>
      <c r="D175" s="2" t="s">
        <v>94</v>
      </c>
      <c r="E175" s="32"/>
      <c r="F175" s="22"/>
      <c r="G175" s="22"/>
    </row>
    <row r="176" spans="1:7" x14ac:dyDescent="0.2">
      <c r="A176" s="22"/>
      <c r="B176" s="99" t="s">
        <v>105</v>
      </c>
      <c r="C176" s="100"/>
      <c r="D176" s="2" t="s">
        <v>94</v>
      </c>
      <c r="E176" s="32"/>
      <c r="F176" s="22"/>
      <c r="G176" s="22"/>
    </row>
    <row r="177" spans="1:15" x14ac:dyDescent="0.2">
      <c r="A177" s="22"/>
      <c r="B177" s="99" t="s">
        <v>590</v>
      </c>
      <c r="C177" s="100"/>
      <c r="D177" s="2" t="s">
        <v>94</v>
      </c>
      <c r="E177" s="32"/>
      <c r="F177" s="22"/>
      <c r="G177" s="22"/>
    </row>
    <row r="178" spans="1:15" x14ac:dyDescent="0.2">
      <c r="A178" s="34"/>
      <c r="B178" s="34"/>
      <c r="C178" s="34"/>
      <c r="D178" s="34"/>
      <c r="E178" s="34"/>
      <c r="F178" s="34"/>
      <c r="G178" s="34"/>
    </row>
    <row r="179" spans="1:15" s="47" customFormat="1" x14ac:dyDescent="0.2">
      <c r="B179" s="54" t="s">
        <v>592</v>
      </c>
      <c r="C179" s="54"/>
      <c r="D179" s="54"/>
      <c r="E179" s="54"/>
      <c r="F179" s="54"/>
      <c r="G179" s="54"/>
      <c r="I179"/>
      <c r="J179" s="37"/>
      <c r="K179" s="45"/>
      <c r="L179" s="45"/>
      <c r="M179" s="45"/>
      <c r="N179" s="45"/>
      <c r="O179" s="53"/>
    </row>
    <row r="180" spans="1:15" s="47" customFormat="1" ht="7.5" customHeight="1" x14ac:dyDescent="0.2">
      <c r="B180" s="55"/>
      <c r="C180" s="55"/>
      <c r="D180" s="55"/>
      <c r="E180" s="55"/>
      <c r="F180" s="55"/>
      <c r="G180" s="55"/>
      <c r="I180"/>
      <c r="J180" s="37"/>
      <c r="K180" s="45"/>
      <c r="L180" s="45"/>
      <c r="M180" s="45"/>
      <c r="N180" s="45"/>
      <c r="O180" s="53"/>
    </row>
    <row r="181" spans="1:15" s="47" customFormat="1" ht="63.75" x14ac:dyDescent="0.2">
      <c r="B181" s="69" t="s">
        <v>505</v>
      </c>
      <c r="C181" s="69" t="s">
        <v>506</v>
      </c>
      <c r="D181" s="69" t="s">
        <v>507</v>
      </c>
      <c r="E181" s="69" t="s">
        <v>508</v>
      </c>
      <c r="F181" s="69" t="s">
        <v>509</v>
      </c>
      <c r="G181" s="55"/>
      <c r="I181"/>
      <c r="J181" s="37"/>
      <c r="K181" s="45"/>
      <c r="L181" s="45"/>
      <c r="M181" s="45"/>
      <c r="N181" s="45"/>
      <c r="O181" s="53"/>
    </row>
    <row r="182" spans="1:15" s="47" customFormat="1" x14ac:dyDescent="0.2">
      <c r="B182" s="59" t="s">
        <v>510</v>
      </c>
      <c r="C182" s="59" t="s">
        <v>511</v>
      </c>
      <c r="D182" s="60">
        <v>0</v>
      </c>
      <c r="E182" s="61">
        <v>0</v>
      </c>
      <c r="F182" s="62">
        <v>500</v>
      </c>
      <c r="G182" s="55"/>
      <c r="I182"/>
      <c r="J182" s="37"/>
      <c r="K182" s="45"/>
      <c r="L182" s="45"/>
      <c r="M182" s="45"/>
      <c r="N182" s="45"/>
      <c r="O182" s="53"/>
    </row>
    <row r="183" spans="1:15" s="47" customFormat="1" x14ac:dyDescent="0.2">
      <c r="I183"/>
      <c r="J183" s="37"/>
      <c r="K183" s="45"/>
      <c r="L183" s="45"/>
      <c r="M183" s="45"/>
      <c r="N183" s="45"/>
      <c r="O183" s="53"/>
    </row>
    <row r="184" spans="1:15" s="47" customFormat="1" x14ac:dyDescent="0.2">
      <c r="B184" s="106" t="s">
        <v>497</v>
      </c>
      <c r="C184" s="107"/>
      <c r="D184" s="108"/>
      <c r="I184"/>
      <c r="J184" s="37"/>
      <c r="K184" s="45"/>
      <c r="L184" s="45"/>
      <c r="M184" s="45"/>
      <c r="N184" s="45"/>
      <c r="O184" s="53"/>
    </row>
    <row r="185" spans="1:15" s="47" customFormat="1" ht="25.5" x14ac:dyDescent="0.2">
      <c r="B185" s="109" t="s">
        <v>498</v>
      </c>
      <c r="C185" s="109"/>
      <c r="D185" s="48" t="s">
        <v>370</v>
      </c>
      <c r="I185"/>
      <c r="J185" s="37"/>
      <c r="K185" s="45"/>
      <c r="L185" s="45"/>
      <c r="M185" s="45"/>
      <c r="N185" s="45"/>
      <c r="O185" s="53"/>
    </row>
    <row r="186" spans="1:15" s="47" customFormat="1" x14ac:dyDescent="0.2">
      <c r="B186" s="110" t="s">
        <v>499</v>
      </c>
      <c r="C186" s="110"/>
      <c r="D186" s="49"/>
      <c r="I186"/>
      <c r="J186" s="37"/>
      <c r="K186" s="45"/>
      <c r="L186" s="45"/>
      <c r="M186" s="45"/>
      <c r="N186" s="45"/>
      <c r="O186" s="53"/>
    </row>
    <row r="187" spans="1:15" s="47" customFormat="1" x14ac:dyDescent="0.2">
      <c r="B187" s="110"/>
      <c r="C187" s="110"/>
      <c r="D187" s="50"/>
      <c r="I187"/>
      <c r="J187" s="37"/>
      <c r="K187" s="45"/>
      <c r="L187" s="45"/>
      <c r="M187" s="45"/>
      <c r="N187" s="45"/>
      <c r="O187" s="53"/>
    </row>
    <row r="188" spans="1:15" s="47" customFormat="1" x14ac:dyDescent="0.2">
      <c r="B188" s="110" t="s">
        <v>500</v>
      </c>
      <c r="C188" s="110"/>
      <c r="D188" s="51">
        <v>7.4902722909037287</v>
      </c>
      <c r="I188"/>
      <c r="J188" s="37"/>
      <c r="K188" s="45"/>
      <c r="L188" s="45"/>
      <c r="M188" s="45"/>
      <c r="N188" s="45"/>
      <c r="O188" s="53"/>
    </row>
    <row r="189" spans="1:15" s="47" customFormat="1" x14ac:dyDescent="0.2">
      <c r="B189" s="110"/>
      <c r="C189" s="110"/>
      <c r="D189" s="50"/>
      <c r="I189"/>
      <c r="J189" s="37"/>
      <c r="K189" s="45"/>
      <c r="L189" s="45"/>
      <c r="M189" s="45"/>
      <c r="N189" s="45"/>
      <c r="O189" s="53"/>
    </row>
    <row r="190" spans="1:15" s="47" customFormat="1" x14ac:dyDescent="0.2">
      <c r="B190" s="110" t="s">
        <v>501</v>
      </c>
      <c r="C190" s="110"/>
      <c r="D190" s="51">
        <v>0.50146977523504177</v>
      </c>
      <c r="I190"/>
      <c r="J190" s="37"/>
      <c r="K190" s="45"/>
      <c r="L190" s="45"/>
      <c r="M190" s="45"/>
      <c r="N190" s="45"/>
      <c r="O190" s="53"/>
    </row>
    <row r="191" spans="1:15" s="47" customFormat="1" x14ac:dyDescent="0.2">
      <c r="B191" s="110" t="s">
        <v>502</v>
      </c>
      <c r="C191" s="110"/>
      <c r="D191" s="51">
        <v>0.50712875726019813</v>
      </c>
      <c r="I191"/>
      <c r="J191" s="37"/>
      <c r="K191" s="45"/>
      <c r="L191" s="45"/>
      <c r="M191" s="45"/>
      <c r="N191" s="45"/>
      <c r="O191" s="53"/>
    </row>
    <row r="192" spans="1:15" s="47" customFormat="1" x14ac:dyDescent="0.2">
      <c r="B192" s="110"/>
      <c r="C192" s="110"/>
      <c r="D192" s="50"/>
      <c r="I192"/>
      <c r="J192" s="37"/>
      <c r="K192" s="45"/>
      <c r="L192" s="45"/>
      <c r="M192" s="45"/>
      <c r="N192" s="45"/>
      <c r="O192" s="53"/>
    </row>
    <row r="193" spans="2:17" s="47" customFormat="1" x14ac:dyDescent="0.2">
      <c r="B193" s="110" t="s">
        <v>503</v>
      </c>
      <c r="C193" s="110"/>
      <c r="D193" s="52" t="s">
        <v>529</v>
      </c>
      <c r="I193"/>
      <c r="J193" s="37"/>
      <c r="K193" s="45"/>
      <c r="L193" s="45"/>
      <c r="M193" s="45"/>
      <c r="N193" s="45"/>
      <c r="O193" s="53"/>
    </row>
    <row r="194" spans="2:17" s="47" customFormat="1" x14ac:dyDescent="0.2">
      <c r="B194" s="111" t="s">
        <v>504</v>
      </c>
      <c r="C194" s="113"/>
      <c r="D194" s="112"/>
      <c r="I194"/>
      <c r="J194" s="37"/>
      <c r="K194" s="45"/>
      <c r="L194" s="45"/>
      <c r="M194" s="45"/>
      <c r="N194" s="45"/>
      <c r="O194" s="53"/>
      <c r="P194"/>
      <c r="Q194"/>
    </row>
  </sheetData>
  <mergeCells count="25">
    <mergeCell ref="B194:D194"/>
    <mergeCell ref="B189:C189"/>
    <mergeCell ref="B190:C190"/>
    <mergeCell ref="B191:C191"/>
    <mergeCell ref="B192:C192"/>
    <mergeCell ref="B193:C193"/>
    <mergeCell ref="B184:D184"/>
    <mergeCell ref="B185:C185"/>
    <mergeCell ref="B186:C186"/>
    <mergeCell ref="B187:C187"/>
    <mergeCell ref="B188:C188"/>
    <mergeCell ref="B177:C177"/>
    <mergeCell ref="A1:H1"/>
    <mergeCell ref="A2:H2"/>
    <mergeCell ref="A3:H3"/>
    <mergeCell ref="B175:C175"/>
    <mergeCell ref="B147:D147"/>
    <mergeCell ref="B148:C148"/>
    <mergeCell ref="B149:C149"/>
    <mergeCell ref="B150:C150"/>
    <mergeCell ref="B165:C165"/>
    <mergeCell ref="B143:H143"/>
    <mergeCell ref="B144:H144"/>
    <mergeCell ref="B145:H145"/>
    <mergeCell ref="B176:C176"/>
  </mergeCells>
  <hyperlinks>
    <hyperlink ref="I1" location="Index!B8" display="Index" xr:uid="{A52A2E4B-016B-4935-A5A7-181F5C8B73C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DE34D-7A63-4A96-A3CB-F9EC66EAA6A6}">
  <sheetPr>
    <outlinePr summaryBelow="0" summaryRight="0"/>
  </sheetPr>
  <dimension ref="A1:R130"/>
  <sheetViews>
    <sheetView showGridLines="0" workbookViewId="0">
      <selection sqref="A1:H1"/>
    </sheetView>
  </sheetViews>
  <sheetFormatPr defaultRowHeight="12.75" x14ac:dyDescent="0.2"/>
  <cols>
    <col min="1" max="1" width="5.85546875" bestFit="1" customWidth="1"/>
    <col min="2" max="2" width="19.7109375" bestFit="1" customWidth="1"/>
    <col min="3" max="3" width="43.42578125" customWidth="1"/>
    <col min="4" max="4" width="17.5703125" customWidth="1"/>
    <col min="5" max="5" width="8.7109375" bestFit="1" customWidth="1"/>
    <col min="6" max="6" width="10.140625" bestFit="1" customWidth="1"/>
    <col min="7" max="7" width="14" bestFit="1" customWidth="1"/>
    <col min="8" max="8" width="9.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430</v>
      </c>
      <c r="B2" s="101"/>
      <c r="C2" s="101"/>
      <c r="D2" s="101"/>
      <c r="E2" s="101"/>
      <c r="F2" s="101"/>
      <c r="G2" s="101"/>
      <c r="H2" s="101"/>
      <c r="J2" s="38" t="s">
        <v>570</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490</v>
      </c>
      <c r="I4"/>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1"/>
      <c r="B7" s="1"/>
      <c r="C7" s="2" t="s">
        <v>11</v>
      </c>
      <c r="D7" s="1"/>
      <c r="E7" s="1" t="s">
        <v>12</v>
      </c>
      <c r="F7" s="3" t="s">
        <v>13</v>
      </c>
      <c r="G7" s="4">
        <v>0</v>
      </c>
      <c r="H7" s="40" t="s">
        <v>12</v>
      </c>
    </row>
    <row r="8" spans="1:10" x14ac:dyDescent="0.2">
      <c r="A8" s="1"/>
      <c r="B8" s="1"/>
      <c r="C8" s="5"/>
      <c r="D8" s="1"/>
      <c r="E8" s="1"/>
      <c r="F8" s="6"/>
      <c r="G8" s="6"/>
      <c r="H8" s="40" t="s">
        <v>12</v>
      </c>
    </row>
    <row r="9" spans="1:10" x14ac:dyDescent="0.2">
      <c r="A9" s="1"/>
      <c r="B9" s="1"/>
      <c r="C9" s="2" t="s">
        <v>14</v>
      </c>
      <c r="D9" s="1"/>
      <c r="E9" s="1"/>
      <c r="F9" s="1"/>
      <c r="G9" s="1"/>
      <c r="H9" s="40" t="s">
        <v>12</v>
      </c>
    </row>
    <row r="10" spans="1:10" x14ac:dyDescent="0.2">
      <c r="A10" s="1"/>
      <c r="B10" s="1"/>
      <c r="C10" s="2" t="s">
        <v>11</v>
      </c>
      <c r="D10" s="1"/>
      <c r="E10" s="1" t="s">
        <v>12</v>
      </c>
      <c r="F10" s="3" t="s">
        <v>13</v>
      </c>
      <c r="G10" s="4">
        <v>0</v>
      </c>
      <c r="H10" s="40" t="s">
        <v>12</v>
      </c>
    </row>
    <row r="11" spans="1:10" x14ac:dyDescent="0.2">
      <c r="A11" s="1"/>
      <c r="B11" s="1"/>
      <c r="C11" s="5"/>
      <c r="D11" s="1"/>
      <c r="E11" s="1"/>
      <c r="F11" s="6"/>
      <c r="G11" s="6"/>
      <c r="H11" s="40" t="s">
        <v>12</v>
      </c>
    </row>
    <row r="12" spans="1:10" ht="15" x14ac:dyDescent="0.2">
      <c r="A12" s="1"/>
      <c r="B12" s="1"/>
      <c r="C12" s="2" t="s">
        <v>15</v>
      </c>
      <c r="D12" s="1"/>
      <c r="E12" s="1"/>
      <c r="F12" s="1"/>
      <c r="G12" s="1"/>
      <c r="H12" s="40" t="s">
        <v>12</v>
      </c>
      <c r="J12" s="97"/>
    </row>
    <row r="13" spans="1:10" x14ac:dyDescent="0.2">
      <c r="A13" s="1"/>
      <c r="B13" s="1"/>
      <c r="C13" s="2" t="s">
        <v>11</v>
      </c>
      <c r="D13" s="1"/>
      <c r="E13" s="1" t="s">
        <v>12</v>
      </c>
      <c r="F13" s="3" t="s">
        <v>13</v>
      </c>
      <c r="G13" s="4">
        <v>0</v>
      </c>
      <c r="H13" s="40" t="s">
        <v>12</v>
      </c>
      <c r="J13" s="89"/>
    </row>
    <row r="14" spans="1:10" ht="25.5" x14ac:dyDescent="0.2">
      <c r="A14" s="1"/>
      <c r="B14" s="1"/>
      <c r="C14" s="5"/>
      <c r="D14" s="1"/>
      <c r="E14" s="1"/>
      <c r="F14" s="6"/>
      <c r="G14" s="6"/>
      <c r="H14" s="40" t="s">
        <v>12</v>
      </c>
      <c r="J14" s="89" t="s">
        <v>585</v>
      </c>
    </row>
    <row r="15" spans="1:10" x14ac:dyDescent="0.2">
      <c r="A15" s="1"/>
      <c r="B15" s="1"/>
      <c r="C15" s="2" t="s">
        <v>16</v>
      </c>
      <c r="D15" s="1"/>
      <c r="E15" s="1"/>
      <c r="F15" s="1"/>
      <c r="G15" s="1"/>
      <c r="H15" s="40" t="s">
        <v>12</v>
      </c>
      <c r="J15" s="89"/>
    </row>
    <row r="16" spans="1:10" x14ac:dyDescent="0.2">
      <c r="A16" s="1"/>
      <c r="B16" s="1"/>
      <c r="C16" s="2" t="s">
        <v>11</v>
      </c>
      <c r="D16" s="1"/>
      <c r="E16" s="1" t="s">
        <v>12</v>
      </c>
      <c r="F16" s="3" t="s">
        <v>13</v>
      </c>
      <c r="G16" s="4">
        <v>0</v>
      </c>
      <c r="H16" s="40" t="s">
        <v>12</v>
      </c>
    </row>
    <row r="17" spans="1:10" x14ac:dyDescent="0.2">
      <c r="A17" s="1"/>
      <c r="B17" s="1"/>
      <c r="C17" s="5"/>
      <c r="D17" s="1"/>
      <c r="E17" s="1"/>
      <c r="F17" s="6"/>
      <c r="G17" s="6"/>
      <c r="H17" s="40" t="s">
        <v>12</v>
      </c>
    </row>
    <row r="18" spans="1:10" x14ac:dyDescent="0.2">
      <c r="A18" s="1"/>
      <c r="B18" s="1"/>
      <c r="C18" s="2" t="s">
        <v>17</v>
      </c>
      <c r="D18" s="1"/>
      <c r="E18" s="1"/>
      <c r="F18" s="6"/>
      <c r="G18" s="6"/>
      <c r="H18" s="40" t="s">
        <v>12</v>
      </c>
    </row>
    <row r="19" spans="1:10" x14ac:dyDescent="0.2">
      <c r="A19" s="1"/>
      <c r="B19" s="1"/>
      <c r="C19" s="2" t="s">
        <v>11</v>
      </c>
      <c r="D19" s="1"/>
      <c r="E19" s="1" t="s">
        <v>12</v>
      </c>
      <c r="F19" s="3" t="s">
        <v>13</v>
      </c>
      <c r="G19" s="4">
        <v>0</v>
      </c>
      <c r="H19" s="40" t="s">
        <v>12</v>
      </c>
    </row>
    <row r="20" spans="1:10" x14ac:dyDescent="0.2">
      <c r="A20" s="1"/>
      <c r="B20" s="1"/>
      <c r="C20" s="5"/>
      <c r="D20" s="1"/>
      <c r="E20" s="1"/>
      <c r="F20" s="6"/>
      <c r="G20" s="6"/>
      <c r="H20" s="40" t="s">
        <v>12</v>
      </c>
    </row>
    <row r="21" spans="1:10" x14ac:dyDescent="0.2">
      <c r="A21" s="1"/>
      <c r="B21" s="1"/>
      <c r="C21" s="2" t="s">
        <v>18</v>
      </c>
      <c r="D21" s="1"/>
      <c r="E21" s="1"/>
      <c r="F21" s="6"/>
      <c r="G21" s="6"/>
      <c r="H21" s="40" t="s">
        <v>12</v>
      </c>
    </row>
    <row r="22" spans="1:10" ht="15" x14ac:dyDescent="0.2">
      <c r="A22" s="1"/>
      <c r="B22" s="1"/>
      <c r="C22" s="2" t="s">
        <v>11</v>
      </c>
      <c r="D22" s="1"/>
      <c r="E22" s="1" t="s">
        <v>12</v>
      </c>
      <c r="F22" s="3" t="s">
        <v>13</v>
      </c>
      <c r="G22" s="4">
        <v>0</v>
      </c>
      <c r="H22" s="40" t="s">
        <v>12</v>
      </c>
      <c r="J22" s="97"/>
    </row>
    <row r="23" spans="1:10" x14ac:dyDescent="0.2">
      <c r="A23" s="1"/>
      <c r="B23" s="1"/>
      <c r="C23" s="5"/>
      <c r="D23" s="1"/>
      <c r="E23" s="1"/>
      <c r="F23" s="6"/>
      <c r="G23" s="6"/>
      <c r="H23" s="40" t="s">
        <v>12</v>
      </c>
      <c r="J23" s="89"/>
    </row>
    <row r="24" spans="1:10" x14ac:dyDescent="0.2">
      <c r="A24" s="1"/>
      <c r="B24" s="1"/>
      <c r="C24" s="2" t="s">
        <v>19</v>
      </c>
      <c r="D24" s="1"/>
      <c r="E24" s="1"/>
      <c r="F24" s="7">
        <v>0</v>
      </c>
      <c r="G24" s="4">
        <v>0</v>
      </c>
      <c r="H24" s="40" t="s">
        <v>12</v>
      </c>
    </row>
    <row r="25" spans="1:10" x14ac:dyDescent="0.2">
      <c r="A25" s="1"/>
      <c r="B25" s="1"/>
      <c r="C25" s="5"/>
      <c r="D25" s="1"/>
      <c r="E25" s="1"/>
      <c r="F25" s="6"/>
      <c r="G25" s="6"/>
      <c r="H25" s="40" t="s">
        <v>12</v>
      </c>
    </row>
    <row r="26" spans="1:10" x14ac:dyDescent="0.2">
      <c r="A26" s="1"/>
      <c r="B26" s="1"/>
      <c r="C26" s="2" t="s">
        <v>20</v>
      </c>
      <c r="D26" s="1"/>
      <c r="E26" s="1"/>
      <c r="F26" s="6"/>
      <c r="G26" s="6"/>
      <c r="H26" s="40" t="s">
        <v>12</v>
      </c>
    </row>
    <row r="27" spans="1:10" ht="25.5" x14ac:dyDescent="0.2">
      <c r="A27" s="1"/>
      <c r="B27" s="1"/>
      <c r="C27" s="2" t="s">
        <v>10</v>
      </c>
      <c r="D27" s="1"/>
      <c r="E27" s="1"/>
      <c r="F27" s="6"/>
      <c r="G27" s="6"/>
      <c r="H27" s="40" t="s">
        <v>12</v>
      </c>
      <c r="J27" s="89" t="s">
        <v>586</v>
      </c>
    </row>
    <row r="28" spans="1:10" x14ac:dyDescent="0.2">
      <c r="A28" s="8">
        <v>1</v>
      </c>
      <c r="B28" s="9" t="s">
        <v>184</v>
      </c>
      <c r="C28" s="9" t="s">
        <v>185</v>
      </c>
      <c r="D28" s="9" t="s">
        <v>186</v>
      </c>
      <c r="E28" s="10">
        <v>100</v>
      </c>
      <c r="F28" s="11">
        <v>100.059</v>
      </c>
      <c r="G28" s="12">
        <v>2.28469E-2</v>
      </c>
      <c r="H28" s="40">
        <v>8.7875999999999994</v>
      </c>
    </row>
    <row r="29" spans="1:10" x14ac:dyDescent="0.2">
      <c r="A29" s="8">
        <v>2</v>
      </c>
      <c r="B29" s="9" t="s">
        <v>200</v>
      </c>
      <c r="C29" s="9" t="s">
        <v>201</v>
      </c>
      <c r="D29" s="9" t="s">
        <v>199</v>
      </c>
      <c r="E29" s="10">
        <v>100</v>
      </c>
      <c r="F29" s="11">
        <v>100.0244</v>
      </c>
      <c r="G29" s="12">
        <v>2.2839000000000002E-2</v>
      </c>
      <c r="H29" s="40">
        <v>8.3550000000000004</v>
      </c>
    </row>
    <row r="30" spans="1:10" x14ac:dyDescent="0.2">
      <c r="A30" s="1"/>
      <c r="B30" s="1"/>
      <c r="C30" s="2" t="s">
        <v>11</v>
      </c>
      <c r="D30" s="1"/>
      <c r="E30" s="1" t="s">
        <v>12</v>
      </c>
      <c r="F30" s="7">
        <v>200.08340000000001</v>
      </c>
      <c r="G30" s="4">
        <v>4.5685900000000002E-2</v>
      </c>
      <c r="H30" s="40" t="s">
        <v>12</v>
      </c>
    </row>
    <row r="31" spans="1:10" x14ac:dyDescent="0.2">
      <c r="A31" s="1"/>
      <c r="B31" s="1"/>
      <c r="C31" s="5"/>
      <c r="D31" s="1"/>
      <c r="E31" s="1"/>
      <c r="F31" s="6"/>
      <c r="G31" s="6"/>
      <c r="H31" s="40" t="s">
        <v>12</v>
      </c>
    </row>
    <row r="32" spans="1:10" x14ac:dyDescent="0.2">
      <c r="A32" s="1"/>
      <c r="B32" s="1"/>
      <c r="C32" s="2" t="s">
        <v>63</v>
      </c>
      <c r="D32" s="1"/>
      <c r="E32" s="1"/>
      <c r="F32" s="1"/>
      <c r="G32" s="1"/>
      <c r="H32" s="40" t="s">
        <v>12</v>
      </c>
    </row>
    <row r="33" spans="1:8" x14ac:dyDescent="0.2">
      <c r="A33" s="1"/>
      <c r="B33" s="1"/>
      <c r="C33" s="2" t="s">
        <v>11</v>
      </c>
      <c r="D33" s="1"/>
      <c r="E33" s="1" t="s">
        <v>12</v>
      </c>
      <c r="F33" s="3" t="s">
        <v>13</v>
      </c>
      <c r="G33" s="4">
        <v>0</v>
      </c>
      <c r="H33" s="40" t="s">
        <v>12</v>
      </c>
    </row>
    <row r="34" spans="1:8" x14ac:dyDescent="0.2">
      <c r="A34" s="1"/>
      <c r="B34" s="1"/>
      <c r="C34" s="5"/>
      <c r="D34" s="1"/>
      <c r="E34" s="1"/>
      <c r="F34" s="6"/>
      <c r="G34" s="6"/>
      <c r="H34" s="40" t="s">
        <v>12</v>
      </c>
    </row>
    <row r="35" spans="1:8" x14ac:dyDescent="0.2">
      <c r="A35" s="1"/>
      <c r="B35" s="1"/>
      <c r="C35" s="2" t="s">
        <v>64</v>
      </c>
      <c r="D35" s="1"/>
      <c r="E35" s="1"/>
      <c r="F35" s="1"/>
      <c r="G35" s="1"/>
      <c r="H35" s="40" t="s">
        <v>12</v>
      </c>
    </row>
    <row r="36" spans="1:8" x14ac:dyDescent="0.2">
      <c r="A36" s="8">
        <v>1</v>
      </c>
      <c r="B36" s="9" t="s">
        <v>65</v>
      </c>
      <c r="C36" s="9" t="s">
        <v>66</v>
      </c>
      <c r="D36" s="9" t="s">
        <v>67</v>
      </c>
      <c r="E36" s="10">
        <v>1500000</v>
      </c>
      <c r="F36" s="11">
        <v>1513.4760000000001</v>
      </c>
      <c r="G36" s="12">
        <v>0.34557850000000001</v>
      </c>
      <c r="H36" s="40">
        <v>7.1675000000000004</v>
      </c>
    </row>
    <row r="37" spans="1:8" x14ac:dyDescent="0.2">
      <c r="A37" s="8">
        <v>2</v>
      </c>
      <c r="B37" s="9" t="s">
        <v>431</v>
      </c>
      <c r="C37" s="9" t="s">
        <v>432</v>
      </c>
      <c r="D37" s="9" t="s">
        <v>67</v>
      </c>
      <c r="E37" s="10">
        <v>1500000</v>
      </c>
      <c r="F37" s="11">
        <v>1458.627</v>
      </c>
      <c r="G37" s="12">
        <v>0.33305459999999998</v>
      </c>
      <c r="H37" s="40">
        <v>7.1017999999999999</v>
      </c>
    </row>
    <row r="38" spans="1:8" x14ac:dyDescent="0.2">
      <c r="A38" s="8">
        <v>3</v>
      </c>
      <c r="B38" s="9" t="s">
        <v>433</v>
      </c>
      <c r="C38" s="9" t="s">
        <v>434</v>
      </c>
      <c r="D38" s="9" t="s">
        <v>67</v>
      </c>
      <c r="E38" s="10">
        <v>500000</v>
      </c>
      <c r="F38" s="11">
        <v>487.60399999999998</v>
      </c>
      <c r="G38" s="12">
        <v>0.11133672999999999</v>
      </c>
      <c r="H38" s="40">
        <v>7.1096000000000004</v>
      </c>
    </row>
    <row r="39" spans="1:8" ht="25.5" x14ac:dyDescent="0.2">
      <c r="A39" s="8">
        <v>4</v>
      </c>
      <c r="B39" s="9" t="s">
        <v>365</v>
      </c>
      <c r="C39" s="9" t="s">
        <v>366</v>
      </c>
      <c r="D39" s="9" t="s">
        <v>67</v>
      </c>
      <c r="E39" s="10">
        <v>230000</v>
      </c>
      <c r="F39" s="11">
        <v>230.63939999999999</v>
      </c>
      <c r="G39" s="12">
        <v>5.2662889999999997E-2</v>
      </c>
      <c r="H39" s="40">
        <v>7.5340999999999996</v>
      </c>
    </row>
    <row r="40" spans="1:8" x14ac:dyDescent="0.2">
      <c r="A40" s="1"/>
      <c r="B40" s="1"/>
      <c r="C40" s="2" t="s">
        <v>11</v>
      </c>
      <c r="D40" s="1"/>
      <c r="E40" s="1" t="s">
        <v>12</v>
      </c>
      <c r="F40" s="7">
        <v>3690.3463999999999</v>
      </c>
      <c r="G40" s="4">
        <v>0.84263272</v>
      </c>
      <c r="H40" s="40" t="s">
        <v>12</v>
      </c>
    </row>
    <row r="41" spans="1:8" x14ac:dyDescent="0.2">
      <c r="A41" s="1"/>
      <c r="B41" s="1"/>
      <c r="C41" s="5"/>
      <c r="D41" s="1"/>
      <c r="E41" s="1"/>
      <c r="F41" s="6"/>
      <c r="G41" s="6"/>
      <c r="H41" s="40" t="s">
        <v>12</v>
      </c>
    </row>
    <row r="42" spans="1:8" x14ac:dyDescent="0.2">
      <c r="A42" s="1"/>
      <c r="B42" s="1"/>
      <c r="C42" s="2" t="s">
        <v>74</v>
      </c>
      <c r="D42" s="1"/>
      <c r="E42" s="1"/>
      <c r="F42" s="6"/>
      <c r="G42" s="6"/>
      <c r="H42" s="40" t="s">
        <v>12</v>
      </c>
    </row>
    <row r="43" spans="1:8" x14ac:dyDescent="0.2">
      <c r="A43" s="1"/>
      <c r="B43" s="1"/>
      <c r="C43" s="2" t="s">
        <v>11</v>
      </c>
      <c r="D43" s="1"/>
      <c r="E43" s="1" t="s">
        <v>12</v>
      </c>
      <c r="F43" s="3" t="s">
        <v>13</v>
      </c>
      <c r="G43" s="4">
        <v>0</v>
      </c>
      <c r="H43" s="40" t="s">
        <v>12</v>
      </c>
    </row>
    <row r="44" spans="1:8" x14ac:dyDescent="0.2">
      <c r="A44" s="1"/>
      <c r="B44" s="1"/>
      <c r="C44" s="5"/>
      <c r="D44" s="1"/>
      <c r="E44" s="1"/>
      <c r="F44" s="6"/>
      <c r="G44" s="6"/>
      <c r="H44" s="40" t="s">
        <v>12</v>
      </c>
    </row>
    <row r="45" spans="1:8" x14ac:dyDescent="0.2">
      <c r="A45" s="1"/>
      <c r="B45" s="1"/>
      <c r="C45" s="2" t="s">
        <v>75</v>
      </c>
      <c r="D45" s="1"/>
      <c r="E45" s="1"/>
      <c r="F45" s="7">
        <v>3890.4297999999999</v>
      </c>
      <c r="G45" s="4">
        <v>0.88831861999999995</v>
      </c>
      <c r="H45" s="40" t="s">
        <v>12</v>
      </c>
    </row>
    <row r="46" spans="1:8" x14ac:dyDescent="0.2">
      <c r="A46" s="1"/>
      <c r="B46" s="1"/>
      <c r="C46" s="5"/>
      <c r="D46" s="1"/>
      <c r="E46" s="1"/>
      <c r="F46" s="6"/>
      <c r="G46" s="6"/>
      <c r="H46" s="40" t="s">
        <v>12</v>
      </c>
    </row>
    <row r="47" spans="1:8" x14ac:dyDescent="0.2">
      <c r="A47" s="1"/>
      <c r="B47" s="1"/>
      <c r="C47" s="2" t="s">
        <v>76</v>
      </c>
      <c r="D47" s="1"/>
      <c r="E47" s="1"/>
      <c r="F47" s="6"/>
      <c r="G47" s="6"/>
      <c r="H47" s="40" t="s">
        <v>12</v>
      </c>
    </row>
    <row r="48" spans="1:8" x14ac:dyDescent="0.2">
      <c r="A48" s="1"/>
      <c r="B48" s="1"/>
      <c r="C48" s="2" t="s">
        <v>77</v>
      </c>
      <c r="D48" s="1"/>
      <c r="E48" s="1"/>
      <c r="F48" s="6"/>
      <c r="G48" s="6"/>
      <c r="H48" s="40" t="s">
        <v>12</v>
      </c>
    </row>
    <row r="49" spans="1:8" x14ac:dyDescent="0.2">
      <c r="A49" s="1"/>
      <c r="B49" s="1"/>
      <c r="C49" s="2" t="s">
        <v>11</v>
      </c>
      <c r="D49" s="1"/>
      <c r="E49" s="1" t="s">
        <v>12</v>
      </c>
      <c r="F49" s="3" t="s">
        <v>13</v>
      </c>
      <c r="G49" s="4">
        <v>0</v>
      </c>
      <c r="H49" s="40" t="s">
        <v>12</v>
      </c>
    </row>
    <row r="50" spans="1:8" x14ac:dyDescent="0.2">
      <c r="A50" s="1"/>
      <c r="B50" s="1"/>
      <c r="C50" s="5"/>
      <c r="D50" s="1"/>
      <c r="E50" s="1"/>
      <c r="F50" s="6"/>
      <c r="G50" s="6"/>
      <c r="H50" s="40" t="s">
        <v>12</v>
      </c>
    </row>
    <row r="51" spans="1:8" x14ac:dyDescent="0.2">
      <c r="A51" s="1"/>
      <c r="B51" s="1"/>
      <c r="C51" s="2" t="s">
        <v>78</v>
      </c>
      <c r="D51" s="1"/>
      <c r="E51" s="1"/>
      <c r="F51" s="6"/>
      <c r="G51" s="6"/>
      <c r="H51" s="40" t="s">
        <v>12</v>
      </c>
    </row>
    <row r="52" spans="1:8" x14ac:dyDescent="0.2">
      <c r="A52" s="1"/>
      <c r="B52" s="1"/>
      <c r="C52" s="2" t="s">
        <v>11</v>
      </c>
      <c r="D52" s="1"/>
      <c r="E52" s="1" t="s">
        <v>12</v>
      </c>
      <c r="F52" s="3" t="s">
        <v>13</v>
      </c>
      <c r="G52" s="4">
        <v>0</v>
      </c>
      <c r="H52" s="40" t="s">
        <v>12</v>
      </c>
    </row>
    <row r="53" spans="1:8" x14ac:dyDescent="0.2">
      <c r="A53" s="1"/>
      <c r="B53" s="1"/>
      <c r="C53" s="5"/>
      <c r="D53" s="1"/>
      <c r="E53" s="1"/>
      <c r="F53" s="6"/>
      <c r="G53" s="6"/>
      <c r="H53" s="40" t="s">
        <v>12</v>
      </c>
    </row>
    <row r="54" spans="1:8" x14ac:dyDescent="0.2">
      <c r="A54" s="1"/>
      <c r="B54" s="1"/>
      <c r="C54" s="2" t="s">
        <v>79</v>
      </c>
      <c r="D54" s="1"/>
      <c r="E54" s="1"/>
      <c r="F54" s="6"/>
      <c r="G54" s="6"/>
      <c r="H54" s="40" t="s">
        <v>12</v>
      </c>
    </row>
    <row r="55" spans="1:8" x14ac:dyDescent="0.2">
      <c r="A55" s="1"/>
      <c r="B55" s="1"/>
      <c r="C55" s="2" t="s">
        <v>11</v>
      </c>
      <c r="D55" s="1"/>
      <c r="E55" s="1" t="s">
        <v>12</v>
      </c>
      <c r="F55" s="3" t="s">
        <v>13</v>
      </c>
      <c r="G55" s="4">
        <v>0</v>
      </c>
      <c r="H55" s="40" t="s">
        <v>12</v>
      </c>
    </row>
    <row r="56" spans="1:8" x14ac:dyDescent="0.2">
      <c r="A56" s="1"/>
      <c r="B56" s="1"/>
      <c r="C56" s="5"/>
      <c r="D56" s="1"/>
      <c r="E56" s="1"/>
      <c r="F56" s="6"/>
      <c r="G56" s="6"/>
      <c r="H56" s="40" t="s">
        <v>12</v>
      </c>
    </row>
    <row r="57" spans="1:8" x14ac:dyDescent="0.2">
      <c r="A57" s="1"/>
      <c r="B57" s="1"/>
      <c r="C57" s="2" t="s">
        <v>80</v>
      </c>
      <c r="D57" s="1"/>
      <c r="E57" s="1"/>
      <c r="F57" s="6"/>
      <c r="G57" s="6"/>
      <c r="H57" s="40" t="s">
        <v>12</v>
      </c>
    </row>
    <row r="58" spans="1:8" x14ac:dyDescent="0.2">
      <c r="A58" s="8">
        <v>1</v>
      </c>
      <c r="B58" s="9"/>
      <c r="C58" s="9" t="s">
        <v>81</v>
      </c>
      <c r="D58" s="9"/>
      <c r="E58" s="13"/>
      <c r="F58" s="11">
        <v>431.39599849799998</v>
      </c>
      <c r="G58" s="12">
        <v>9.8502510000000001E-2</v>
      </c>
      <c r="H58" s="40">
        <v>6.6416448321270405</v>
      </c>
    </row>
    <row r="59" spans="1:8" x14ac:dyDescent="0.2">
      <c r="A59" s="1"/>
      <c r="B59" s="1"/>
      <c r="C59" s="2" t="s">
        <v>11</v>
      </c>
      <c r="D59" s="1"/>
      <c r="E59" s="1" t="s">
        <v>12</v>
      </c>
      <c r="F59" s="7">
        <v>431.39599849799998</v>
      </c>
      <c r="G59" s="4">
        <v>9.8502510000000001E-2</v>
      </c>
      <c r="H59" s="40" t="s">
        <v>12</v>
      </c>
    </row>
    <row r="60" spans="1:8" x14ac:dyDescent="0.2">
      <c r="A60" s="1"/>
      <c r="B60" s="1"/>
      <c r="C60" s="5"/>
      <c r="D60" s="1"/>
      <c r="E60" s="1"/>
      <c r="F60" s="6"/>
      <c r="G60" s="6"/>
      <c r="H60" s="40" t="s">
        <v>12</v>
      </c>
    </row>
    <row r="61" spans="1:8" x14ac:dyDescent="0.2">
      <c r="A61" s="1"/>
      <c r="B61" s="1"/>
      <c r="C61" s="2" t="s">
        <v>82</v>
      </c>
      <c r="D61" s="1"/>
      <c r="E61" s="1"/>
      <c r="F61" s="7">
        <v>431.39599849799998</v>
      </c>
      <c r="G61" s="4">
        <v>9.8502510000000001E-2</v>
      </c>
      <c r="H61" s="40" t="s">
        <v>12</v>
      </c>
    </row>
    <row r="62" spans="1:8" x14ac:dyDescent="0.2">
      <c r="A62" s="1"/>
      <c r="B62" s="1"/>
      <c r="C62" s="6"/>
      <c r="D62" s="1"/>
      <c r="E62" s="1"/>
      <c r="F62" s="1"/>
      <c r="G62" s="1"/>
      <c r="H62" s="40" t="s">
        <v>12</v>
      </c>
    </row>
    <row r="63" spans="1:8" x14ac:dyDescent="0.2">
      <c r="A63" s="1"/>
      <c r="B63" s="1"/>
      <c r="C63" s="2" t="s">
        <v>83</v>
      </c>
      <c r="D63" s="1"/>
      <c r="E63" s="1"/>
      <c r="F63" s="1"/>
      <c r="G63" s="1"/>
      <c r="H63" s="40" t="s">
        <v>12</v>
      </c>
    </row>
    <row r="64" spans="1:8" x14ac:dyDescent="0.2">
      <c r="A64" s="1"/>
      <c r="B64" s="1"/>
      <c r="C64" s="2" t="s">
        <v>84</v>
      </c>
      <c r="D64" s="1"/>
      <c r="E64" s="1"/>
      <c r="F64" s="1"/>
      <c r="G64" s="1"/>
      <c r="H64" s="40" t="s">
        <v>12</v>
      </c>
    </row>
    <row r="65" spans="1:18" x14ac:dyDescent="0.2">
      <c r="A65" s="1"/>
      <c r="B65" s="1"/>
      <c r="C65" s="2" t="s">
        <v>11</v>
      </c>
      <c r="D65" s="1"/>
      <c r="E65" s="1" t="s">
        <v>12</v>
      </c>
      <c r="F65" s="3" t="s">
        <v>13</v>
      </c>
      <c r="G65" s="4">
        <v>0</v>
      </c>
      <c r="H65" s="40" t="s">
        <v>12</v>
      </c>
    </row>
    <row r="66" spans="1:18" x14ac:dyDescent="0.2">
      <c r="A66" s="1"/>
      <c r="B66" s="1"/>
      <c r="C66" s="5"/>
      <c r="D66" s="1"/>
      <c r="E66" s="1"/>
      <c r="F66" s="6"/>
      <c r="G66" s="6"/>
      <c r="H66" s="40" t="s">
        <v>12</v>
      </c>
    </row>
    <row r="67" spans="1:18" x14ac:dyDescent="0.2">
      <c r="A67" s="1"/>
      <c r="B67" s="1"/>
      <c r="C67" s="2" t="s">
        <v>87</v>
      </c>
      <c r="D67" s="1"/>
      <c r="E67" s="1"/>
      <c r="F67" s="1"/>
      <c r="G67" s="1"/>
      <c r="H67" s="40" t="s">
        <v>12</v>
      </c>
    </row>
    <row r="68" spans="1:18" x14ac:dyDescent="0.2">
      <c r="A68" s="1"/>
      <c r="B68" s="1"/>
      <c r="C68" s="2" t="s">
        <v>88</v>
      </c>
      <c r="D68" s="1"/>
      <c r="E68" s="1"/>
      <c r="F68" s="1"/>
      <c r="G68" s="1"/>
      <c r="H68" s="40" t="s">
        <v>12</v>
      </c>
    </row>
    <row r="69" spans="1:18" x14ac:dyDescent="0.2">
      <c r="A69" s="1"/>
      <c r="B69" s="1"/>
      <c r="C69" s="2" t="s">
        <v>11</v>
      </c>
      <c r="D69" s="1"/>
      <c r="E69" s="1" t="s">
        <v>12</v>
      </c>
      <c r="F69" s="3" t="s">
        <v>13</v>
      </c>
      <c r="G69" s="4">
        <v>0</v>
      </c>
      <c r="H69" s="40" t="s">
        <v>12</v>
      </c>
    </row>
    <row r="70" spans="1:18" x14ac:dyDescent="0.2">
      <c r="A70" s="1"/>
      <c r="B70" s="1"/>
      <c r="C70" s="5"/>
      <c r="D70" s="1"/>
      <c r="E70" s="1"/>
      <c r="F70" s="6"/>
      <c r="G70" s="6"/>
      <c r="H70" s="40" t="s">
        <v>12</v>
      </c>
    </row>
    <row r="71" spans="1:18" x14ac:dyDescent="0.2">
      <c r="A71" s="1"/>
      <c r="B71" s="1"/>
      <c r="C71" s="2" t="s">
        <v>89</v>
      </c>
      <c r="D71" s="1"/>
      <c r="E71" s="1"/>
      <c r="F71" s="6"/>
      <c r="G71" s="6"/>
      <c r="H71" s="40" t="s">
        <v>12</v>
      </c>
    </row>
    <row r="72" spans="1:18" x14ac:dyDescent="0.2">
      <c r="A72" s="1"/>
      <c r="B72" s="1"/>
      <c r="C72" s="2" t="s">
        <v>11</v>
      </c>
      <c r="D72" s="1"/>
      <c r="E72" s="1" t="s">
        <v>12</v>
      </c>
      <c r="F72" s="3" t="s">
        <v>13</v>
      </c>
      <c r="G72" s="4">
        <v>0</v>
      </c>
      <c r="H72" s="40" t="s">
        <v>12</v>
      </c>
    </row>
    <row r="73" spans="1:18" x14ac:dyDescent="0.2">
      <c r="A73" s="1"/>
      <c r="B73" s="1"/>
      <c r="C73" s="2"/>
      <c r="D73" s="1"/>
      <c r="E73" s="1"/>
      <c r="F73" s="3"/>
      <c r="G73" s="4"/>
      <c r="H73" s="40"/>
    </row>
    <row r="74" spans="1:18" x14ac:dyDescent="0.2">
      <c r="A74" s="42"/>
      <c r="B74" s="42"/>
      <c r="C74" s="43" t="s">
        <v>492</v>
      </c>
      <c r="D74" s="42"/>
      <c r="E74" s="42"/>
      <c r="F74" s="44"/>
      <c r="G74" s="44"/>
      <c r="H74" s="11"/>
      <c r="K74" s="45"/>
      <c r="L74" s="45"/>
      <c r="M74" s="45"/>
      <c r="N74" s="45"/>
      <c r="O74" s="45"/>
      <c r="P74" s="46"/>
      <c r="Q74" s="46"/>
      <c r="R74" s="46"/>
    </row>
    <row r="75" spans="1:18" x14ac:dyDescent="0.2">
      <c r="A75" s="8">
        <v>1</v>
      </c>
      <c r="B75" s="9" t="s">
        <v>85</v>
      </c>
      <c r="C75" s="9" t="s">
        <v>86</v>
      </c>
      <c r="D75" s="9"/>
      <c r="E75" s="14">
        <v>112.994</v>
      </c>
      <c r="F75" s="11">
        <v>11.582701720999999</v>
      </c>
      <c r="G75" s="12">
        <v>2.6447300000000001E-3</v>
      </c>
      <c r="H75" s="40"/>
    </row>
    <row r="76" spans="1:18" x14ac:dyDescent="0.2">
      <c r="A76" s="1"/>
      <c r="B76" s="1"/>
      <c r="C76" s="2" t="s">
        <v>11</v>
      </c>
      <c r="D76" s="1"/>
      <c r="E76" s="1" t="s">
        <v>12</v>
      </c>
      <c r="F76" s="7">
        <v>11.582701720999999</v>
      </c>
      <c r="G76" s="4">
        <v>2.6447300000000001E-3</v>
      </c>
      <c r="H76" s="40" t="s">
        <v>12</v>
      </c>
    </row>
    <row r="77" spans="1:18" x14ac:dyDescent="0.2">
      <c r="A77" s="1"/>
      <c r="B77" s="9"/>
      <c r="C77" s="9"/>
      <c r="D77" s="2"/>
      <c r="E77" s="1"/>
      <c r="F77" s="9"/>
      <c r="G77" s="13"/>
      <c r="H77" s="40"/>
    </row>
    <row r="78" spans="1:18" x14ac:dyDescent="0.2">
      <c r="A78" s="1"/>
      <c r="B78" s="1"/>
      <c r="C78" s="5"/>
      <c r="D78" s="1"/>
      <c r="E78" s="1"/>
      <c r="F78" s="6"/>
      <c r="G78" s="6"/>
      <c r="H78" s="40" t="s">
        <v>12</v>
      </c>
    </row>
    <row r="79" spans="1:18" x14ac:dyDescent="0.2">
      <c r="A79" s="1"/>
      <c r="B79" s="9"/>
      <c r="C79" s="9"/>
      <c r="D79" s="2"/>
      <c r="E79" s="1"/>
      <c r="F79" s="9"/>
      <c r="G79" s="13"/>
      <c r="H79" s="40" t="s">
        <v>12</v>
      </c>
    </row>
    <row r="80" spans="1:18" x14ac:dyDescent="0.2">
      <c r="A80" s="13"/>
      <c r="B80" s="9"/>
      <c r="C80" s="9" t="s">
        <v>90</v>
      </c>
      <c r="D80" s="9"/>
      <c r="E80" s="13"/>
      <c r="F80" s="11">
        <f>46.13473883+0.000997771000862122</f>
        <v>46.135736601000865</v>
      </c>
      <c r="G80" s="12">
        <v>1.0534140000000001E-2</v>
      </c>
      <c r="H80" s="40" t="s">
        <v>12</v>
      </c>
    </row>
    <row r="81" spans="1:8" x14ac:dyDescent="0.2">
      <c r="A81" s="5"/>
      <c r="B81" s="5"/>
      <c r="C81" s="2" t="s">
        <v>91</v>
      </c>
      <c r="D81" s="6"/>
      <c r="E81" s="6"/>
      <c r="F81" s="7">
        <f>4379.543239049+0.000997771000862122</f>
        <v>4379.5442368200002</v>
      </c>
      <c r="G81" s="15">
        <v>1</v>
      </c>
      <c r="H81" s="40"/>
    </row>
    <row r="82" spans="1:8" x14ac:dyDescent="0.2">
      <c r="A82" s="16"/>
      <c r="B82" s="16"/>
      <c r="C82" s="16"/>
      <c r="D82" s="17"/>
      <c r="E82" s="17"/>
      <c r="F82" s="17"/>
      <c r="G82" s="17"/>
    </row>
    <row r="83" spans="1:8" ht="12.75" customHeight="1" x14ac:dyDescent="0.2">
      <c r="A83" s="18"/>
      <c r="B83" s="102" t="s">
        <v>493</v>
      </c>
      <c r="C83" s="102"/>
      <c r="D83" s="102"/>
      <c r="E83" s="102"/>
      <c r="F83" s="102"/>
      <c r="G83" s="102"/>
      <c r="H83" s="102"/>
    </row>
    <row r="84" spans="1:8" ht="12.75" customHeight="1" x14ac:dyDescent="0.2">
      <c r="A84" s="18"/>
      <c r="B84" s="102" t="s">
        <v>494</v>
      </c>
      <c r="C84" s="102"/>
      <c r="D84" s="102"/>
      <c r="E84" s="102"/>
      <c r="F84" s="102"/>
      <c r="G84" s="102"/>
      <c r="H84" s="102"/>
    </row>
    <row r="85" spans="1:8" ht="12.75" customHeight="1" x14ac:dyDescent="0.2">
      <c r="A85" s="18"/>
      <c r="B85" s="102" t="s">
        <v>495</v>
      </c>
      <c r="C85" s="102"/>
      <c r="D85" s="102"/>
      <c r="E85" s="102"/>
      <c r="F85" s="102"/>
      <c r="G85" s="102"/>
      <c r="H85" s="102"/>
    </row>
    <row r="86" spans="1:8" x14ac:dyDescent="0.2">
      <c r="A86" s="18"/>
      <c r="B86" s="18"/>
      <c r="C86" s="18"/>
      <c r="D86" s="20"/>
      <c r="E86" s="20"/>
      <c r="F86" s="20"/>
      <c r="G86" s="20"/>
    </row>
    <row r="87" spans="1:8" ht="14.1" customHeight="1" x14ac:dyDescent="0.2">
      <c r="A87" s="18"/>
      <c r="B87" s="103" t="s">
        <v>92</v>
      </c>
      <c r="C87" s="104"/>
      <c r="D87" s="105"/>
      <c r="E87" s="21"/>
      <c r="F87" s="20"/>
      <c r="G87" s="20"/>
    </row>
    <row r="88" spans="1:8" ht="29.1" customHeight="1" x14ac:dyDescent="0.2">
      <c r="A88" s="18"/>
      <c r="B88" s="99" t="s">
        <v>93</v>
      </c>
      <c r="C88" s="100"/>
      <c r="D88" s="43" t="s">
        <v>599</v>
      </c>
      <c r="E88" s="21"/>
      <c r="F88" s="20"/>
      <c r="G88" s="20"/>
    </row>
    <row r="89" spans="1:8" ht="17.100000000000001" customHeight="1" x14ac:dyDescent="0.2">
      <c r="A89" s="18"/>
      <c r="B89" s="99" t="s">
        <v>95</v>
      </c>
      <c r="C89" s="100"/>
      <c r="D89" s="2" t="s">
        <v>94</v>
      </c>
      <c r="E89" s="21"/>
      <c r="F89" s="20"/>
      <c r="G89" s="20"/>
    </row>
    <row r="90" spans="1:8" ht="17.100000000000001" customHeight="1" x14ac:dyDescent="0.2">
      <c r="A90" s="18"/>
      <c r="B90" s="99" t="s">
        <v>96</v>
      </c>
      <c r="C90" s="100"/>
      <c r="D90" s="6" t="s">
        <v>12</v>
      </c>
      <c r="E90" s="21"/>
      <c r="F90" s="20"/>
      <c r="G90" s="20"/>
    </row>
    <row r="91" spans="1:8" x14ac:dyDescent="0.2">
      <c r="A91" s="22"/>
      <c r="B91" s="23" t="s">
        <v>12</v>
      </c>
      <c r="C91" s="23" t="s">
        <v>531</v>
      </c>
      <c r="D91" s="23" t="s">
        <v>97</v>
      </c>
      <c r="E91" s="22"/>
      <c r="F91" s="22"/>
      <c r="G91" s="22"/>
      <c r="H91" s="87"/>
    </row>
    <row r="92" spans="1:8" ht="18" customHeight="1" x14ac:dyDescent="0.2">
      <c r="A92" s="22"/>
      <c r="B92" s="24" t="s">
        <v>98</v>
      </c>
      <c r="C92" s="98" t="s">
        <v>594</v>
      </c>
      <c r="D92" s="98" t="s">
        <v>529</v>
      </c>
      <c r="E92" s="22"/>
      <c r="F92" s="22"/>
      <c r="G92" s="22"/>
    </row>
    <row r="93" spans="1:8" ht="17.100000000000001" customHeight="1" x14ac:dyDescent="0.2">
      <c r="A93" s="22"/>
      <c r="B93" s="9" t="s">
        <v>99</v>
      </c>
      <c r="C93" s="25">
        <v>70.642899999999997</v>
      </c>
      <c r="D93" s="25">
        <v>70.942700000000002</v>
      </c>
      <c r="E93" s="22"/>
      <c r="F93" s="19"/>
      <c r="G93" s="26"/>
    </row>
    <row r="94" spans="1:8" ht="29.1" customHeight="1" x14ac:dyDescent="0.2">
      <c r="A94" s="22"/>
      <c r="B94" s="9" t="s">
        <v>541</v>
      </c>
      <c r="C94" s="25">
        <v>25.505500000000001</v>
      </c>
      <c r="D94" s="25">
        <v>25.613800000000001</v>
      </c>
      <c r="E94" s="22"/>
      <c r="F94" s="19"/>
      <c r="G94" s="26"/>
    </row>
    <row r="95" spans="1:8" ht="29.1" customHeight="1" x14ac:dyDescent="0.2">
      <c r="A95" s="22"/>
      <c r="B95" s="9" t="s">
        <v>542</v>
      </c>
      <c r="C95" s="25">
        <v>14.5634</v>
      </c>
      <c r="D95" s="25">
        <v>14.6252</v>
      </c>
      <c r="E95" s="22"/>
      <c r="F95" s="19"/>
      <c r="G95" s="26"/>
    </row>
    <row r="96" spans="1:8" ht="29.1" customHeight="1" x14ac:dyDescent="0.2">
      <c r="A96" s="22"/>
      <c r="B96" s="9" t="s">
        <v>435</v>
      </c>
      <c r="C96" s="25">
        <v>72.195400000000006</v>
      </c>
      <c r="D96" s="25">
        <v>72.472899999999996</v>
      </c>
      <c r="E96" s="22"/>
      <c r="F96" s="19"/>
      <c r="G96" s="26"/>
    </row>
    <row r="97" spans="1:15" ht="17.100000000000001" customHeight="1" x14ac:dyDescent="0.2">
      <c r="A97" s="22"/>
      <c r="B97" s="9" t="s">
        <v>100</v>
      </c>
      <c r="C97" s="25">
        <v>63.888800000000003</v>
      </c>
      <c r="D97" s="25">
        <v>64.134299999999996</v>
      </c>
      <c r="E97" s="22"/>
      <c r="F97" s="19"/>
      <c r="G97" s="26"/>
    </row>
    <row r="98" spans="1:15" ht="17.100000000000001" customHeight="1" x14ac:dyDescent="0.2">
      <c r="A98" s="22"/>
      <c r="B98" s="9" t="s">
        <v>138</v>
      </c>
      <c r="C98" s="25">
        <v>21.8215</v>
      </c>
      <c r="D98" s="25">
        <v>21.9054</v>
      </c>
      <c r="E98" s="22"/>
      <c r="F98" s="19"/>
      <c r="G98" s="26"/>
    </row>
    <row r="99" spans="1:15" ht="25.5" x14ac:dyDescent="0.2">
      <c r="A99" s="22"/>
      <c r="B99" s="9" t="s">
        <v>543</v>
      </c>
      <c r="C99" s="25">
        <v>12.809900000000001</v>
      </c>
      <c r="D99" s="25">
        <v>12.8591</v>
      </c>
      <c r="E99" s="22"/>
      <c r="F99" s="19"/>
      <c r="G99" s="26"/>
    </row>
    <row r="100" spans="1:15" ht="29.1" customHeight="1" x14ac:dyDescent="0.2">
      <c r="A100" s="22"/>
      <c r="B100" s="9" t="s">
        <v>538</v>
      </c>
      <c r="C100" s="25">
        <v>13.0869</v>
      </c>
      <c r="D100" s="25">
        <v>13.1372</v>
      </c>
      <c r="E100" s="22"/>
      <c r="F100" s="19"/>
      <c r="G100" s="26"/>
    </row>
    <row r="101" spans="1:15" ht="29.1" customHeight="1" x14ac:dyDescent="0.2">
      <c r="A101" s="22"/>
      <c r="B101" s="9" t="s">
        <v>539</v>
      </c>
      <c r="C101" s="25">
        <v>12.984999999999999</v>
      </c>
      <c r="D101" s="25">
        <v>13.0349</v>
      </c>
      <c r="E101" s="22"/>
      <c r="F101" s="19"/>
      <c r="G101" s="26"/>
    </row>
    <row r="102" spans="1:15" ht="14.1" customHeight="1" x14ac:dyDescent="0.2">
      <c r="A102" s="22"/>
      <c r="B102" s="22"/>
      <c r="C102" s="22"/>
      <c r="D102" s="22"/>
      <c r="E102" s="22"/>
      <c r="F102" s="22"/>
      <c r="G102" s="22"/>
    </row>
    <row r="103" spans="1:15" ht="17.100000000000001" customHeight="1" x14ac:dyDescent="0.2">
      <c r="A103" s="22"/>
      <c r="B103" s="99" t="s">
        <v>540</v>
      </c>
      <c r="C103" s="100"/>
      <c r="D103" s="2" t="s">
        <v>94</v>
      </c>
      <c r="E103" s="22"/>
      <c r="F103" s="22"/>
      <c r="G103" s="22"/>
    </row>
    <row r="104" spans="1:15" x14ac:dyDescent="0.2">
      <c r="A104" s="22"/>
      <c r="B104" s="19"/>
      <c r="C104" s="19"/>
      <c r="D104" s="22"/>
      <c r="E104" s="22"/>
      <c r="F104" s="22"/>
      <c r="G104" s="22"/>
    </row>
    <row r="105" spans="1:15" s="47" customFormat="1" ht="17.100000000000001" customHeight="1" x14ac:dyDescent="0.25">
      <c r="A105" s="26"/>
      <c r="B105" s="99" t="s">
        <v>595</v>
      </c>
      <c r="C105" s="100"/>
      <c r="D105" s="2" t="s">
        <v>94</v>
      </c>
      <c r="E105" s="26"/>
      <c r="F105" s="19"/>
      <c r="G105" s="26"/>
      <c r="I105" s="70"/>
      <c r="J105" s="70"/>
      <c r="K105" s="70"/>
      <c r="L105" s="70"/>
      <c r="M105" s="70"/>
      <c r="N105" s="70"/>
      <c r="O105"/>
    </row>
    <row r="106" spans="1:15" x14ac:dyDescent="0.2">
      <c r="A106" s="22"/>
      <c r="B106" s="99" t="s">
        <v>596</v>
      </c>
      <c r="C106" s="100"/>
      <c r="D106" s="2" t="s">
        <v>94</v>
      </c>
      <c r="E106" s="32"/>
      <c r="F106" s="22"/>
      <c r="G106" s="22"/>
    </row>
    <row r="107" spans="1:15" x14ac:dyDescent="0.2">
      <c r="A107" s="22"/>
      <c r="B107" s="99" t="s">
        <v>591</v>
      </c>
      <c r="C107" s="100"/>
      <c r="D107" s="2" t="s">
        <v>94</v>
      </c>
      <c r="E107" s="32"/>
      <c r="F107" s="22"/>
      <c r="G107" s="22"/>
    </row>
    <row r="108" spans="1:15" ht="15" x14ac:dyDescent="0.25">
      <c r="A108" s="22"/>
      <c r="B108" s="99" t="s">
        <v>597</v>
      </c>
      <c r="C108" s="100"/>
      <c r="D108" s="2" t="s">
        <v>94</v>
      </c>
      <c r="E108" s="32"/>
      <c r="F108" s="22"/>
      <c r="G108" s="22"/>
      <c r="I108" s="70"/>
    </row>
    <row r="109" spans="1:15" ht="15" x14ac:dyDescent="0.25">
      <c r="A109" s="22"/>
      <c r="B109" s="99" t="s">
        <v>12</v>
      </c>
      <c r="C109" s="100"/>
      <c r="D109" s="2" t="s">
        <v>12</v>
      </c>
      <c r="E109" s="22"/>
      <c r="F109" s="19"/>
      <c r="G109" s="26"/>
      <c r="I109" s="70"/>
    </row>
    <row r="110" spans="1:15" ht="15" x14ac:dyDescent="0.2">
      <c r="A110" s="34"/>
      <c r="B110" s="34"/>
      <c r="C110" s="34"/>
      <c r="D110" s="34"/>
      <c r="E110" s="34"/>
      <c r="F110" s="34"/>
      <c r="G110" s="34"/>
      <c r="I110" s="76"/>
    </row>
    <row r="111" spans="1:15" s="47" customFormat="1" ht="15" x14ac:dyDescent="0.25">
      <c r="B111" s="120" t="s">
        <v>598</v>
      </c>
      <c r="C111" s="121"/>
      <c r="D111" s="121"/>
      <c r="E111" s="121"/>
      <c r="F111" s="121"/>
      <c r="G111" s="122"/>
      <c r="I111" s="78"/>
      <c r="J111" s="37"/>
      <c r="K111" s="70"/>
      <c r="L111" s="70"/>
      <c r="M111" s="70"/>
      <c r="N111" s="70"/>
      <c r="O111"/>
    </row>
    <row r="112" spans="1:15" s="47" customFormat="1" ht="40.5" customHeight="1" x14ac:dyDescent="0.25">
      <c r="B112" s="71" t="s">
        <v>515</v>
      </c>
      <c r="C112" s="71" t="s">
        <v>516</v>
      </c>
      <c r="D112" s="123" t="s">
        <v>507</v>
      </c>
      <c r="E112" s="124"/>
      <c r="F112" s="125" t="s">
        <v>508</v>
      </c>
      <c r="G112" s="125"/>
      <c r="H112" s="72"/>
      <c r="I112" s="77"/>
      <c r="J112" s="37"/>
      <c r="K112" s="70"/>
      <c r="L112" s="70"/>
      <c r="M112" s="70"/>
      <c r="N112" s="70"/>
      <c r="O112"/>
    </row>
    <row r="113" spans="2:15" s="47" customFormat="1" ht="25.5" x14ac:dyDescent="0.25">
      <c r="B113" s="73" t="s">
        <v>517</v>
      </c>
      <c r="C113" s="74" t="s">
        <v>518</v>
      </c>
      <c r="D113" s="126">
        <v>0</v>
      </c>
      <c r="E113" s="127"/>
      <c r="F113" s="126">
        <v>0</v>
      </c>
      <c r="G113" s="127"/>
      <c r="H113" s="75"/>
      <c r="I113"/>
      <c r="J113" s="37"/>
      <c r="K113" s="70"/>
      <c r="L113" s="70"/>
      <c r="M113" s="70"/>
      <c r="N113" s="70"/>
      <c r="O113"/>
    </row>
    <row r="114" spans="2:15" s="47" customFormat="1" ht="15" x14ac:dyDescent="0.25">
      <c r="B114" s="128" t="s">
        <v>519</v>
      </c>
      <c r="C114" s="129"/>
      <c r="D114" s="129"/>
      <c r="E114" s="129"/>
      <c r="F114" s="129"/>
      <c r="G114" s="130"/>
      <c r="H114" s="75"/>
      <c r="I114"/>
      <c r="J114" s="37"/>
      <c r="K114" s="77"/>
      <c r="L114" s="77"/>
      <c r="M114" s="77"/>
      <c r="N114" s="70"/>
      <c r="O114"/>
    </row>
    <row r="115" spans="2:15" s="47" customFormat="1" ht="15" x14ac:dyDescent="0.25">
      <c r="B115" s="125" t="s">
        <v>515</v>
      </c>
      <c r="C115" s="125" t="s">
        <v>516</v>
      </c>
      <c r="D115" s="128" t="s">
        <v>520</v>
      </c>
      <c r="E115" s="129"/>
      <c r="F115" s="130"/>
      <c r="G115" s="73"/>
      <c r="H115" s="75"/>
      <c r="I115"/>
      <c r="J115" s="37"/>
      <c r="K115" s="77"/>
      <c r="L115" s="77"/>
      <c r="M115" s="77"/>
      <c r="N115" s="70"/>
      <c r="O115"/>
    </row>
    <row r="116" spans="2:15" s="47" customFormat="1" ht="76.5" x14ac:dyDescent="0.25">
      <c r="B116" s="125"/>
      <c r="C116" s="125"/>
      <c r="D116" s="79" t="s">
        <v>521</v>
      </c>
      <c r="E116" s="79" t="s">
        <v>522</v>
      </c>
      <c r="F116" s="79" t="s">
        <v>523</v>
      </c>
      <c r="G116" s="79" t="s">
        <v>530</v>
      </c>
      <c r="H116" s="80"/>
      <c r="I116"/>
      <c r="J116" s="37"/>
      <c r="K116" s="77"/>
      <c r="L116" s="77"/>
      <c r="M116" s="77"/>
      <c r="N116" s="70"/>
      <c r="O116"/>
    </row>
    <row r="117" spans="2:15" s="47" customFormat="1" ht="25.5" x14ac:dyDescent="0.2">
      <c r="B117" s="81" t="s">
        <v>517</v>
      </c>
      <c r="C117" s="74" t="s">
        <v>518</v>
      </c>
      <c r="D117" s="82">
        <v>200</v>
      </c>
      <c r="E117" s="82">
        <v>6.8852450999999997</v>
      </c>
      <c r="F117" s="82">
        <v>206.88524509999999</v>
      </c>
      <c r="G117" s="83">
        <v>4.7199999999999999E-2</v>
      </c>
      <c r="H117" s="84"/>
      <c r="I117"/>
      <c r="J117" s="37"/>
      <c r="K117"/>
      <c r="L117"/>
      <c r="M117"/>
      <c r="N117"/>
      <c r="O117"/>
    </row>
    <row r="118" spans="2:15" s="47" customFormat="1" ht="27.75" customHeight="1" x14ac:dyDescent="0.2">
      <c r="B118" s="131" t="s">
        <v>524</v>
      </c>
      <c r="C118" s="132"/>
      <c r="D118" s="132"/>
      <c r="E118" s="132"/>
      <c r="F118" s="132"/>
      <c r="G118" s="133"/>
      <c r="H118" s="85"/>
      <c r="I118"/>
      <c r="J118" s="37"/>
      <c r="K118"/>
      <c r="L118"/>
      <c r="M118"/>
      <c r="N118"/>
      <c r="O118"/>
    </row>
    <row r="119" spans="2:15" s="47" customFormat="1" x14ac:dyDescent="0.2">
      <c r="H119" s="85"/>
      <c r="I119"/>
      <c r="J119" s="37"/>
      <c r="K119"/>
      <c r="L119"/>
      <c r="M119"/>
      <c r="N119"/>
      <c r="O119"/>
    </row>
    <row r="120" spans="2:15" s="47" customFormat="1" x14ac:dyDescent="0.2">
      <c r="B120" s="106" t="s">
        <v>497</v>
      </c>
      <c r="C120" s="107"/>
      <c r="D120" s="108"/>
      <c r="I120"/>
      <c r="J120" s="37"/>
      <c r="K120"/>
      <c r="L120"/>
      <c r="M120"/>
      <c r="N120"/>
      <c r="O120"/>
    </row>
    <row r="121" spans="2:15" s="47" customFormat="1" ht="25.5" x14ac:dyDescent="0.2">
      <c r="B121" s="109" t="s">
        <v>498</v>
      </c>
      <c r="C121" s="109"/>
      <c r="D121" s="48" t="s">
        <v>430</v>
      </c>
      <c r="I121"/>
      <c r="J121" s="37"/>
      <c r="K121"/>
      <c r="L121"/>
      <c r="M121"/>
      <c r="N121"/>
      <c r="O121"/>
    </row>
    <row r="122" spans="2:15" s="47" customFormat="1" x14ac:dyDescent="0.2">
      <c r="B122" s="110" t="s">
        <v>499</v>
      </c>
      <c r="C122" s="110"/>
      <c r="D122" s="49"/>
      <c r="I122"/>
      <c r="J122" s="37"/>
      <c r="K122"/>
      <c r="L122"/>
      <c r="M122"/>
      <c r="N122"/>
      <c r="O122"/>
    </row>
    <row r="123" spans="2:15" s="47" customFormat="1" x14ac:dyDescent="0.2">
      <c r="B123" s="110"/>
      <c r="C123" s="110"/>
      <c r="D123" s="50"/>
      <c r="I123"/>
      <c r="J123" s="37"/>
      <c r="K123"/>
      <c r="L123"/>
      <c r="M123"/>
      <c r="N123"/>
      <c r="O123"/>
    </row>
    <row r="124" spans="2:15" s="47" customFormat="1" x14ac:dyDescent="0.2">
      <c r="B124" s="110" t="s">
        <v>500</v>
      </c>
      <c r="C124" s="110"/>
      <c r="D124" s="51">
        <v>7.1754721446972987</v>
      </c>
      <c r="I124"/>
      <c r="J124" s="37"/>
      <c r="K124"/>
      <c r="L124"/>
      <c r="M124"/>
      <c r="N124"/>
      <c r="O124"/>
    </row>
    <row r="125" spans="2:15" s="47" customFormat="1" x14ac:dyDescent="0.2">
      <c r="B125" s="110"/>
      <c r="C125" s="110"/>
      <c r="D125" s="50"/>
      <c r="I125"/>
      <c r="J125" s="37"/>
      <c r="K125"/>
      <c r="L125"/>
      <c r="M125"/>
      <c r="N125"/>
      <c r="O125"/>
    </row>
    <row r="126" spans="2:15" s="47" customFormat="1" x14ac:dyDescent="0.2">
      <c r="B126" s="110" t="s">
        <v>501</v>
      </c>
      <c r="C126" s="110"/>
      <c r="D126" s="51">
        <v>3.7852994313679642</v>
      </c>
      <c r="I126"/>
      <c r="J126" s="37"/>
      <c r="K126"/>
      <c r="L126"/>
      <c r="M126"/>
      <c r="N126"/>
      <c r="O126"/>
    </row>
    <row r="127" spans="2:15" s="47" customFormat="1" x14ac:dyDescent="0.2">
      <c r="B127" s="110" t="s">
        <v>502</v>
      </c>
      <c r="C127" s="110"/>
      <c r="D127" s="51">
        <v>4.8576881050811318</v>
      </c>
      <c r="I127"/>
      <c r="J127" s="37"/>
      <c r="K127"/>
      <c r="L127"/>
      <c r="M127"/>
      <c r="N127"/>
      <c r="O127"/>
    </row>
    <row r="128" spans="2:15" s="47" customFormat="1" x14ac:dyDescent="0.2">
      <c r="B128" s="110"/>
      <c r="C128" s="110"/>
      <c r="D128" s="50"/>
      <c r="I128"/>
      <c r="J128" s="37"/>
      <c r="K128"/>
      <c r="L128"/>
      <c r="M128"/>
      <c r="N128"/>
      <c r="O128"/>
    </row>
    <row r="129" spans="2:17" s="47" customFormat="1" x14ac:dyDescent="0.2">
      <c r="B129" s="110" t="s">
        <v>503</v>
      </c>
      <c r="C129" s="110"/>
      <c r="D129" s="52" t="s">
        <v>529</v>
      </c>
      <c r="I129"/>
      <c r="J129" s="37"/>
      <c r="K129"/>
      <c r="L129"/>
      <c r="M129"/>
      <c r="N129"/>
      <c r="O129"/>
    </row>
    <row r="130" spans="2:17" s="47" customFormat="1" x14ac:dyDescent="0.2">
      <c r="B130" s="111" t="s">
        <v>504</v>
      </c>
      <c r="C130" s="113"/>
      <c r="D130" s="112"/>
      <c r="I130"/>
      <c r="J130" s="37"/>
      <c r="K130"/>
      <c r="L130"/>
      <c r="M130"/>
      <c r="N130"/>
      <c r="O130"/>
      <c r="P130"/>
      <c r="Q130"/>
    </row>
  </sheetData>
  <mergeCells count="37">
    <mergeCell ref="B130:D130"/>
    <mergeCell ref="B125:C125"/>
    <mergeCell ref="B126:C126"/>
    <mergeCell ref="B127:C127"/>
    <mergeCell ref="B128:C128"/>
    <mergeCell ref="B129:C129"/>
    <mergeCell ref="B120:D120"/>
    <mergeCell ref="B121:C121"/>
    <mergeCell ref="B122:C122"/>
    <mergeCell ref="B123:C123"/>
    <mergeCell ref="B124:C124"/>
    <mergeCell ref="B114:G114"/>
    <mergeCell ref="B115:B116"/>
    <mergeCell ref="C115:C116"/>
    <mergeCell ref="D115:F115"/>
    <mergeCell ref="B118:G118"/>
    <mergeCell ref="B111:G111"/>
    <mergeCell ref="D112:E112"/>
    <mergeCell ref="F112:G112"/>
    <mergeCell ref="D113:E113"/>
    <mergeCell ref="F113:G113"/>
    <mergeCell ref="B107:C107"/>
    <mergeCell ref="B108:C108"/>
    <mergeCell ref="B109:C109"/>
    <mergeCell ref="B105:C105"/>
    <mergeCell ref="A1:H1"/>
    <mergeCell ref="A2:H2"/>
    <mergeCell ref="A3:H3"/>
    <mergeCell ref="B87:D87"/>
    <mergeCell ref="B88:C88"/>
    <mergeCell ref="B89:C89"/>
    <mergeCell ref="B90:C90"/>
    <mergeCell ref="B103:C103"/>
    <mergeCell ref="B106:C106"/>
    <mergeCell ref="B83:H83"/>
    <mergeCell ref="B84:H84"/>
    <mergeCell ref="B85:H85"/>
  </mergeCells>
  <hyperlinks>
    <hyperlink ref="I1" location="Index!B9" display="Index" xr:uid="{9E6F78B0-FAE7-48DC-BBCD-E2072408590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F878-4FE0-4937-B719-55C5EAE47A85}">
  <sheetPr>
    <outlinePr summaryBelow="0" summaryRight="0"/>
  </sheetPr>
  <dimension ref="A1:R134"/>
  <sheetViews>
    <sheetView showGridLines="0" workbookViewId="0">
      <selection sqref="A1:H1"/>
    </sheetView>
  </sheetViews>
  <sheetFormatPr defaultRowHeight="12.75" x14ac:dyDescent="0.2"/>
  <cols>
    <col min="1" max="1" width="5.85546875" bestFit="1" customWidth="1"/>
    <col min="2" max="2" width="20.28515625" bestFit="1" customWidth="1"/>
    <col min="3" max="3" width="43.140625" customWidth="1"/>
    <col min="4" max="4" width="16.5703125" bestFit="1" customWidth="1"/>
    <col min="5" max="5" width="8.7109375" bestFit="1" customWidth="1"/>
    <col min="6" max="6" width="10.140625" bestFit="1" customWidth="1"/>
    <col min="7" max="7" width="14" bestFit="1" customWidth="1"/>
    <col min="8" max="8" width="9.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436</v>
      </c>
      <c r="B2" s="101"/>
      <c r="C2" s="101"/>
      <c r="D2" s="101"/>
      <c r="E2" s="101"/>
      <c r="F2" s="101"/>
      <c r="G2" s="101"/>
      <c r="H2" s="101"/>
      <c r="J2" s="38" t="s">
        <v>570</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490</v>
      </c>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8">
        <v>1</v>
      </c>
      <c r="B7" s="9" t="s">
        <v>437</v>
      </c>
      <c r="C7" s="9" t="s">
        <v>438</v>
      </c>
      <c r="D7" s="9" t="s">
        <v>439</v>
      </c>
      <c r="E7" s="10">
        <v>10000</v>
      </c>
      <c r="F7" s="11">
        <v>112.105</v>
      </c>
      <c r="G7" s="12">
        <v>3.6969229999999999E-2</v>
      </c>
      <c r="H7" s="40" t="s">
        <v>12</v>
      </c>
    </row>
    <row r="8" spans="1:10" x14ac:dyDescent="0.2">
      <c r="A8" s="8">
        <v>2</v>
      </c>
      <c r="B8" s="9" t="s">
        <v>440</v>
      </c>
      <c r="C8" s="9" t="s">
        <v>441</v>
      </c>
      <c r="D8" s="9" t="s">
        <v>442</v>
      </c>
      <c r="E8" s="10">
        <v>2400</v>
      </c>
      <c r="F8" s="11">
        <v>68.659199999999998</v>
      </c>
      <c r="G8" s="12">
        <v>2.2641970000000001E-2</v>
      </c>
      <c r="H8" s="40" t="s">
        <v>12</v>
      </c>
    </row>
    <row r="9" spans="1:10" x14ac:dyDescent="0.2">
      <c r="A9" s="8">
        <v>3</v>
      </c>
      <c r="B9" s="9" t="s">
        <v>443</v>
      </c>
      <c r="C9" s="9" t="s">
        <v>444</v>
      </c>
      <c r="D9" s="9" t="s">
        <v>439</v>
      </c>
      <c r="E9" s="10">
        <v>4400</v>
      </c>
      <c r="F9" s="11">
        <v>67.388199999999998</v>
      </c>
      <c r="G9" s="12">
        <v>2.2222820000000001E-2</v>
      </c>
      <c r="H9" s="40" t="s">
        <v>12</v>
      </c>
    </row>
    <row r="10" spans="1:10" x14ac:dyDescent="0.2">
      <c r="A10" s="8">
        <v>4</v>
      </c>
      <c r="B10" s="9" t="s">
        <v>445</v>
      </c>
      <c r="C10" s="9" t="s">
        <v>446</v>
      </c>
      <c r="D10" s="9" t="s">
        <v>447</v>
      </c>
      <c r="E10" s="10">
        <v>1750</v>
      </c>
      <c r="F10" s="11">
        <v>64.21275</v>
      </c>
      <c r="G10" s="12">
        <v>2.1175639999999999E-2</v>
      </c>
      <c r="H10" s="40" t="s">
        <v>12</v>
      </c>
    </row>
    <row r="11" spans="1:10" x14ac:dyDescent="0.2">
      <c r="A11" s="8">
        <v>5</v>
      </c>
      <c r="B11" s="9" t="s">
        <v>448</v>
      </c>
      <c r="C11" s="9" t="s">
        <v>449</v>
      </c>
      <c r="D11" s="9" t="s">
        <v>439</v>
      </c>
      <c r="E11" s="10">
        <v>4750</v>
      </c>
      <c r="F11" s="11">
        <v>55.202125000000002</v>
      </c>
      <c r="G11" s="12">
        <v>1.820418E-2</v>
      </c>
      <c r="H11" s="40" t="s">
        <v>12</v>
      </c>
    </row>
    <row r="12" spans="1:10" ht="25.5" x14ac:dyDescent="0.2">
      <c r="A12" s="8">
        <v>6</v>
      </c>
      <c r="B12" s="9" t="s">
        <v>450</v>
      </c>
      <c r="C12" s="9" t="s">
        <v>451</v>
      </c>
      <c r="D12" s="9" t="s">
        <v>452</v>
      </c>
      <c r="E12" s="10">
        <v>3116</v>
      </c>
      <c r="F12" s="11">
        <v>45.487367999999996</v>
      </c>
      <c r="G12" s="12">
        <v>1.500052E-2</v>
      </c>
      <c r="H12" s="40" t="s">
        <v>12</v>
      </c>
      <c r="J12" s="97"/>
    </row>
    <row r="13" spans="1:10" x14ac:dyDescent="0.2">
      <c r="A13" s="8">
        <v>7</v>
      </c>
      <c r="B13" s="9" t="s">
        <v>453</v>
      </c>
      <c r="C13" s="9" t="s">
        <v>454</v>
      </c>
      <c r="D13" s="9" t="s">
        <v>455</v>
      </c>
      <c r="E13" s="10">
        <v>3000</v>
      </c>
      <c r="F13" s="11">
        <v>42.804000000000002</v>
      </c>
      <c r="G13" s="12">
        <v>1.4115610000000001E-2</v>
      </c>
      <c r="H13" s="40" t="s">
        <v>12</v>
      </c>
    </row>
    <row r="14" spans="1:10" ht="25.5" x14ac:dyDescent="0.2">
      <c r="A14" s="8">
        <v>8</v>
      </c>
      <c r="B14" s="9" t="s">
        <v>456</v>
      </c>
      <c r="C14" s="9" t="s">
        <v>457</v>
      </c>
      <c r="D14" s="9" t="s">
        <v>458</v>
      </c>
      <c r="E14" s="10">
        <v>3000</v>
      </c>
      <c r="F14" s="11">
        <v>41.182499999999997</v>
      </c>
      <c r="G14" s="12">
        <v>1.358089E-2</v>
      </c>
      <c r="H14" s="40" t="s">
        <v>12</v>
      </c>
      <c r="J14" s="89" t="s">
        <v>587</v>
      </c>
    </row>
    <row r="15" spans="1:10" s="90" customFormat="1" x14ac:dyDescent="0.2">
      <c r="A15" s="8">
        <v>9</v>
      </c>
      <c r="B15" s="9" t="s">
        <v>533</v>
      </c>
      <c r="C15" s="9" t="s">
        <v>534</v>
      </c>
      <c r="D15" s="9" t="s">
        <v>535</v>
      </c>
      <c r="E15" s="10">
        <v>30000</v>
      </c>
      <c r="F15" s="11">
        <v>28.491</v>
      </c>
      <c r="G15" s="12">
        <v>9.4000000000000004E-3</v>
      </c>
      <c r="H15" s="11"/>
      <c r="I15"/>
      <c r="J15" s="89"/>
    </row>
    <row r="16" spans="1:10" x14ac:dyDescent="0.2">
      <c r="A16" s="8">
        <v>9</v>
      </c>
      <c r="B16" s="9" t="s">
        <v>459</v>
      </c>
      <c r="C16" s="9" t="s">
        <v>460</v>
      </c>
      <c r="D16" s="9" t="s">
        <v>439</v>
      </c>
      <c r="E16" s="10">
        <v>3000</v>
      </c>
      <c r="F16" s="11">
        <v>24.910499999999999</v>
      </c>
      <c r="G16" s="12">
        <v>8.2148199999999994E-3</v>
      </c>
      <c r="H16" s="40" t="s">
        <v>12</v>
      </c>
    </row>
    <row r="17" spans="1:10" x14ac:dyDescent="0.2">
      <c r="A17" s="8">
        <v>10</v>
      </c>
      <c r="B17" s="9" t="s">
        <v>461</v>
      </c>
      <c r="C17" s="9" t="s">
        <v>462</v>
      </c>
      <c r="D17" s="9" t="s">
        <v>463</v>
      </c>
      <c r="E17" s="10">
        <v>1750</v>
      </c>
      <c r="F17" s="11">
        <v>24.620750000000001</v>
      </c>
      <c r="G17" s="12">
        <v>8.1192599999999997E-3</v>
      </c>
      <c r="H17" s="40" t="s">
        <v>12</v>
      </c>
    </row>
    <row r="18" spans="1:10" x14ac:dyDescent="0.2">
      <c r="A18" s="8">
        <v>11</v>
      </c>
      <c r="B18" s="9" t="s">
        <v>464</v>
      </c>
      <c r="C18" s="9" t="s">
        <v>465</v>
      </c>
      <c r="D18" s="9" t="s">
        <v>463</v>
      </c>
      <c r="E18" s="10">
        <v>1848</v>
      </c>
      <c r="F18" s="11">
        <v>24.469367999999999</v>
      </c>
      <c r="G18" s="12">
        <v>8.0693399999999995E-3</v>
      </c>
      <c r="H18" s="40" t="s">
        <v>12</v>
      </c>
    </row>
    <row r="19" spans="1:10" ht="25.5" x14ac:dyDescent="0.2">
      <c r="A19" s="8">
        <v>12</v>
      </c>
      <c r="B19" s="9" t="s">
        <v>466</v>
      </c>
      <c r="C19" s="9" t="s">
        <v>467</v>
      </c>
      <c r="D19" s="9" t="s">
        <v>452</v>
      </c>
      <c r="E19" s="10">
        <v>1000</v>
      </c>
      <c r="F19" s="11">
        <v>14.472</v>
      </c>
      <c r="G19" s="12">
        <v>4.77248E-3</v>
      </c>
      <c r="H19" s="40" t="s">
        <v>12</v>
      </c>
    </row>
    <row r="20" spans="1:10" ht="25.5" x14ac:dyDescent="0.2">
      <c r="A20" s="8">
        <v>13</v>
      </c>
      <c r="B20" s="9" t="s">
        <v>468</v>
      </c>
      <c r="C20" s="9" t="s">
        <v>469</v>
      </c>
      <c r="D20" s="9" t="s">
        <v>470</v>
      </c>
      <c r="E20" s="10">
        <v>125</v>
      </c>
      <c r="F20" s="11">
        <v>12.394375</v>
      </c>
      <c r="G20" s="12">
        <v>4.0873300000000001E-3</v>
      </c>
      <c r="H20" s="40" t="s">
        <v>12</v>
      </c>
    </row>
    <row r="21" spans="1:10" x14ac:dyDescent="0.2">
      <c r="A21" s="8">
        <v>14</v>
      </c>
      <c r="B21" s="9" t="s">
        <v>471</v>
      </c>
      <c r="C21" s="9" t="s">
        <v>472</v>
      </c>
      <c r="D21" s="9" t="s">
        <v>455</v>
      </c>
      <c r="E21" s="10">
        <v>900</v>
      </c>
      <c r="F21" s="11">
        <v>10.4346</v>
      </c>
      <c r="G21" s="12">
        <v>3.4410500000000002E-3</v>
      </c>
      <c r="H21" s="40" t="s">
        <v>12</v>
      </c>
    </row>
    <row r="22" spans="1:10" ht="25.5" x14ac:dyDescent="0.2">
      <c r="A22" s="8">
        <v>15</v>
      </c>
      <c r="B22" s="9" t="s">
        <v>473</v>
      </c>
      <c r="C22" s="9" t="s">
        <v>474</v>
      </c>
      <c r="D22" s="9" t="s">
        <v>470</v>
      </c>
      <c r="E22" s="10">
        <v>450</v>
      </c>
      <c r="F22" s="11">
        <v>10.423125000000001</v>
      </c>
      <c r="G22" s="12">
        <v>3.4372700000000001E-3</v>
      </c>
      <c r="H22" s="40" t="s">
        <v>12</v>
      </c>
      <c r="J22" s="97"/>
    </row>
    <row r="23" spans="1:10" x14ac:dyDescent="0.2">
      <c r="A23" s="8">
        <v>16</v>
      </c>
      <c r="B23" s="9" t="s">
        <v>475</v>
      </c>
      <c r="C23" s="9" t="s">
        <v>496</v>
      </c>
      <c r="D23" s="9" t="s">
        <v>458</v>
      </c>
      <c r="E23" s="10">
        <v>218</v>
      </c>
      <c r="F23" s="11">
        <v>2.1511149999999999</v>
      </c>
      <c r="G23" s="12">
        <v>7.0938000000000001E-4</v>
      </c>
      <c r="H23" s="40" t="s">
        <v>12</v>
      </c>
      <c r="J23" s="89"/>
    </row>
    <row r="24" spans="1:10" x14ac:dyDescent="0.2">
      <c r="A24" s="1"/>
      <c r="B24" s="1"/>
      <c r="C24" s="2" t="s">
        <v>11</v>
      </c>
      <c r="D24" s="1"/>
      <c r="E24" s="1" t="s">
        <v>12</v>
      </c>
      <c r="F24" s="7">
        <f>SUM(F7:F23)</f>
        <v>649.40797600000008</v>
      </c>
      <c r="G24" s="4">
        <f>SUM(G7:G23)</f>
        <v>0.21416179000000002</v>
      </c>
      <c r="H24" s="40" t="s">
        <v>12</v>
      </c>
    </row>
    <row r="25" spans="1:10" x14ac:dyDescent="0.2">
      <c r="A25" s="1"/>
      <c r="B25" s="1"/>
      <c r="C25" s="5"/>
      <c r="D25" s="1"/>
      <c r="E25" s="1"/>
      <c r="F25" s="6"/>
      <c r="G25" s="6"/>
      <c r="H25" s="40" t="s">
        <v>12</v>
      </c>
    </row>
    <row r="26" spans="1:10" x14ac:dyDescent="0.2">
      <c r="A26" s="1"/>
      <c r="B26" s="1"/>
      <c r="C26" s="2" t="s">
        <v>14</v>
      </c>
      <c r="D26" s="1"/>
      <c r="E26" s="1"/>
      <c r="F26" s="1"/>
      <c r="G26" s="1"/>
      <c r="H26" s="40" t="s">
        <v>12</v>
      </c>
    </row>
    <row r="27" spans="1:10" x14ac:dyDescent="0.2">
      <c r="A27" s="1"/>
      <c r="B27" s="1"/>
      <c r="C27" s="2" t="s">
        <v>11</v>
      </c>
      <c r="D27" s="1"/>
      <c r="E27" s="1" t="s">
        <v>12</v>
      </c>
      <c r="F27" s="3" t="s">
        <v>13</v>
      </c>
      <c r="G27" s="4">
        <v>0</v>
      </c>
      <c r="H27" s="40" t="s">
        <v>12</v>
      </c>
      <c r="J27" s="89"/>
    </row>
    <row r="28" spans="1:10" x14ac:dyDescent="0.2">
      <c r="A28" s="1"/>
      <c r="B28" s="1"/>
      <c r="C28" s="5"/>
      <c r="D28" s="1"/>
      <c r="E28" s="1"/>
      <c r="F28" s="6"/>
      <c r="G28" s="6"/>
      <c r="H28" s="40" t="s">
        <v>12</v>
      </c>
    </row>
    <row r="29" spans="1:10" x14ac:dyDescent="0.2">
      <c r="A29" s="1"/>
      <c r="B29" s="1"/>
      <c r="C29" s="2" t="s">
        <v>15</v>
      </c>
      <c r="D29" s="1"/>
      <c r="E29" s="1"/>
      <c r="F29" s="1"/>
      <c r="G29" s="1"/>
      <c r="H29" s="40" t="s">
        <v>12</v>
      </c>
    </row>
    <row r="30" spans="1:10" x14ac:dyDescent="0.2">
      <c r="A30" s="1"/>
      <c r="B30" s="1"/>
      <c r="C30" s="2" t="s">
        <v>11</v>
      </c>
      <c r="D30" s="1"/>
      <c r="E30" s="1" t="s">
        <v>12</v>
      </c>
      <c r="F30" s="3" t="s">
        <v>13</v>
      </c>
      <c r="G30" s="4">
        <v>0</v>
      </c>
      <c r="H30" s="40" t="s">
        <v>12</v>
      </c>
    </row>
    <row r="31" spans="1:10" x14ac:dyDescent="0.2">
      <c r="A31" s="1"/>
      <c r="B31" s="1"/>
      <c r="C31" s="5"/>
      <c r="D31" s="1"/>
      <c r="E31" s="1"/>
      <c r="F31" s="6"/>
      <c r="G31" s="6"/>
      <c r="H31" s="40" t="s">
        <v>12</v>
      </c>
    </row>
    <row r="32" spans="1:10" x14ac:dyDescent="0.2">
      <c r="A32" s="1"/>
      <c r="B32" s="1"/>
      <c r="C32" s="2" t="s">
        <v>16</v>
      </c>
      <c r="D32" s="1"/>
      <c r="E32" s="1"/>
      <c r="F32" s="1"/>
      <c r="G32" s="1"/>
      <c r="H32" s="40" t="s">
        <v>12</v>
      </c>
    </row>
    <row r="33" spans="1:8" x14ac:dyDescent="0.2">
      <c r="A33" s="1"/>
      <c r="B33" s="1"/>
      <c r="C33" s="2" t="s">
        <v>11</v>
      </c>
      <c r="D33" s="1"/>
      <c r="E33" s="1" t="s">
        <v>12</v>
      </c>
      <c r="F33" s="3" t="s">
        <v>13</v>
      </c>
      <c r="G33" s="4">
        <v>0</v>
      </c>
      <c r="H33" s="40" t="s">
        <v>12</v>
      </c>
    </row>
    <row r="34" spans="1:8" x14ac:dyDescent="0.2">
      <c r="A34" s="1"/>
      <c r="B34" s="1"/>
      <c r="C34" s="5"/>
      <c r="D34" s="1"/>
      <c r="E34" s="1"/>
      <c r="F34" s="6"/>
      <c r="G34" s="6"/>
      <c r="H34" s="40" t="s">
        <v>12</v>
      </c>
    </row>
    <row r="35" spans="1:8" x14ac:dyDescent="0.2">
      <c r="A35" s="1"/>
      <c r="B35" s="1"/>
      <c r="C35" s="2" t="s">
        <v>17</v>
      </c>
      <c r="D35" s="1"/>
      <c r="E35" s="1"/>
      <c r="F35" s="6"/>
      <c r="G35" s="6"/>
      <c r="H35" s="40" t="s">
        <v>12</v>
      </c>
    </row>
    <row r="36" spans="1:8" x14ac:dyDescent="0.2">
      <c r="A36" s="1"/>
      <c r="B36" s="1"/>
      <c r="C36" s="2" t="s">
        <v>11</v>
      </c>
      <c r="D36" s="1"/>
      <c r="E36" s="1" t="s">
        <v>12</v>
      </c>
      <c r="F36" s="3" t="s">
        <v>13</v>
      </c>
      <c r="G36" s="4">
        <v>0</v>
      </c>
      <c r="H36" s="40" t="s">
        <v>12</v>
      </c>
    </row>
    <row r="37" spans="1:8" x14ac:dyDescent="0.2">
      <c r="A37" s="1"/>
      <c r="B37" s="1"/>
      <c r="C37" s="5"/>
      <c r="D37" s="1"/>
      <c r="E37" s="1"/>
      <c r="F37" s="6"/>
      <c r="G37" s="6"/>
      <c r="H37" s="40" t="s">
        <v>12</v>
      </c>
    </row>
    <row r="38" spans="1:8" x14ac:dyDescent="0.2">
      <c r="A38" s="1"/>
      <c r="B38" s="1"/>
      <c r="C38" s="2" t="s">
        <v>18</v>
      </c>
      <c r="D38" s="1"/>
      <c r="E38" s="1"/>
      <c r="F38" s="6"/>
      <c r="G38" s="6"/>
      <c r="H38" s="40" t="s">
        <v>12</v>
      </c>
    </row>
    <row r="39" spans="1:8" x14ac:dyDescent="0.2">
      <c r="A39" s="1"/>
      <c r="B39" s="1"/>
      <c r="C39" s="2" t="s">
        <v>11</v>
      </c>
      <c r="D39" s="1"/>
      <c r="E39" s="1" t="s">
        <v>12</v>
      </c>
      <c r="F39" s="3" t="s">
        <v>13</v>
      </c>
      <c r="G39" s="4">
        <v>0</v>
      </c>
      <c r="H39" s="40" t="s">
        <v>12</v>
      </c>
    </row>
    <row r="40" spans="1:8" x14ac:dyDescent="0.2">
      <c r="A40" s="1"/>
      <c r="B40" s="1"/>
      <c r="C40" s="5"/>
      <c r="D40" s="1"/>
      <c r="E40" s="1"/>
      <c r="F40" s="6"/>
      <c r="G40" s="6"/>
      <c r="H40" s="40" t="s">
        <v>12</v>
      </c>
    </row>
    <row r="41" spans="1:8" x14ac:dyDescent="0.2">
      <c r="A41" s="1"/>
      <c r="B41" s="1"/>
      <c r="C41" s="2" t="s">
        <v>19</v>
      </c>
      <c r="D41" s="1"/>
      <c r="E41" s="1"/>
      <c r="F41" s="7">
        <v>649.4069760000001</v>
      </c>
      <c r="G41" s="4">
        <v>0.21416179000000002</v>
      </c>
      <c r="H41" s="40" t="s">
        <v>12</v>
      </c>
    </row>
    <row r="42" spans="1:8" x14ac:dyDescent="0.2">
      <c r="A42" s="1"/>
      <c r="B42" s="1"/>
      <c r="C42" s="5"/>
      <c r="D42" s="1"/>
      <c r="E42" s="1"/>
      <c r="F42" s="6"/>
      <c r="G42" s="6"/>
      <c r="H42" s="40" t="s">
        <v>12</v>
      </c>
    </row>
    <row r="43" spans="1:8" x14ac:dyDescent="0.2">
      <c r="A43" s="1"/>
      <c r="B43" s="1"/>
      <c r="C43" s="2" t="s">
        <v>20</v>
      </c>
      <c r="D43" s="1"/>
      <c r="E43" s="1"/>
      <c r="F43" s="6"/>
      <c r="G43" s="6"/>
      <c r="H43" s="40" t="s">
        <v>12</v>
      </c>
    </row>
    <row r="44" spans="1:8" x14ac:dyDescent="0.2">
      <c r="A44" s="1"/>
      <c r="B44" s="1"/>
      <c r="C44" s="2" t="s">
        <v>10</v>
      </c>
      <c r="D44" s="1"/>
      <c r="E44" s="1"/>
      <c r="F44" s="6"/>
      <c r="G44" s="6"/>
      <c r="H44" s="40" t="s">
        <v>12</v>
      </c>
    </row>
    <row r="45" spans="1:8" x14ac:dyDescent="0.2">
      <c r="A45" s="1"/>
      <c r="B45" s="1"/>
      <c r="C45" s="2" t="s">
        <v>11</v>
      </c>
      <c r="D45" s="1"/>
      <c r="E45" s="1" t="s">
        <v>12</v>
      </c>
      <c r="F45" s="3" t="s">
        <v>13</v>
      </c>
      <c r="G45" s="4">
        <v>0</v>
      </c>
      <c r="H45" s="40" t="s">
        <v>12</v>
      </c>
    </row>
    <row r="46" spans="1:8" x14ac:dyDescent="0.2">
      <c r="A46" s="1"/>
      <c r="B46" s="1"/>
      <c r="C46" s="5"/>
      <c r="D46" s="1"/>
      <c r="E46" s="1"/>
      <c r="F46" s="6"/>
      <c r="G46" s="6"/>
      <c r="H46" s="40" t="s">
        <v>12</v>
      </c>
    </row>
    <row r="47" spans="1:8" x14ac:dyDescent="0.2">
      <c r="A47" s="1"/>
      <c r="B47" s="1"/>
      <c r="C47" s="2" t="s">
        <v>63</v>
      </c>
      <c r="D47" s="1"/>
      <c r="E47" s="1"/>
      <c r="F47" s="1"/>
      <c r="G47" s="1"/>
      <c r="H47" s="40" t="s">
        <v>12</v>
      </c>
    </row>
    <row r="48" spans="1:8" x14ac:dyDescent="0.2">
      <c r="A48" s="1"/>
      <c r="B48" s="1"/>
      <c r="C48" s="2" t="s">
        <v>11</v>
      </c>
      <c r="D48" s="1"/>
      <c r="E48" s="1" t="s">
        <v>12</v>
      </c>
      <c r="F48" s="3" t="s">
        <v>13</v>
      </c>
      <c r="G48" s="4">
        <v>0</v>
      </c>
      <c r="H48" s="40" t="s">
        <v>12</v>
      </c>
    </row>
    <row r="49" spans="1:8" x14ac:dyDescent="0.2">
      <c r="A49" s="1"/>
      <c r="B49" s="1"/>
      <c r="C49" s="5"/>
      <c r="D49" s="1"/>
      <c r="E49" s="1"/>
      <c r="F49" s="6"/>
      <c r="G49" s="6"/>
      <c r="H49" s="40" t="s">
        <v>12</v>
      </c>
    </row>
    <row r="50" spans="1:8" x14ac:dyDescent="0.2">
      <c r="A50" s="1"/>
      <c r="B50" s="1"/>
      <c r="C50" s="2" t="s">
        <v>64</v>
      </c>
      <c r="D50" s="1"/>
      <c r="E50" s="1"/>
      <c r="F50" s="1"/>
      <c r="G50" s="1"/>
      <c r="H50" s="40" t="s">
        <v>12</v>
      </c>
    </row>
    <row r="51" spans="1:8" x14ac:dyDescent="0.2">
      <c r="A51" s="8">
        <v>1</v>
      </c>
      <c r="B51" s="9" t="s">
        <v>65</v>
      </c>
      <c r="C51" s="9" t="s">
        <v>66</v>
      </c>
      <c r="D51" s="9" t="s">
        <v>67</v>
      </c>
      <c r="E51" s="10">
        <v>1100000</v>
      </c>
      <c r="F51" s="11">
        <v>1109.8824</v>
      </c>
      <c r="G51" s="12">
        <v>0.36600948</v>
      </c>
      <c r="H51" s="40">
        <v>7.1675000000000004</v>
      </c>
    </row>
    <row r="52" spans="1:8" x14ac:dyDescent="0.2">
      <c r="A52" s="8">
        <v>2</v>
      </c>
      <c r="B52" s="9" t="s">
        <v>476</v>
      </c>
      <c r="C52" s="9" t="s">
        <v>477</v>
      </c>
      <c r="D52" s="9" t="s">
        <v>67</v>
      </c>
      <c r="E52" s="10">
        <v>500000</v>
      </c>
      <c r="F52" s="11">
        <v>509.96350000000001</v>
      </c>
      <c r="G52" s="12">
        <v>0.1681723</v>
      </c>
      <c r="H52" s="40">
        <v>7.2633000000000001</v>
      </c>
    </row>
    <row r="53" spans="1:8" x14ac:dyDescent="0.2">
      <c r="A53" s="1"/>
      <c r="B53" s="1"/>
      <c r="C53" s="2" t="s">
        <v>11</v>
      </c>
      <c r="D53" s="1"/>
      <c r="E53" s="1" t="s">
        <v>12</v>
      </c>
      <c r="F53" s="7">
        <v>1619.8459</v>
      </c>
      <c r="G53" s="4">
        <v>0.53418178000000005</v>
      </c>
      <c r="H53" s="40" t="s">
        <v>12</v>
      </c>
    </row>
    <row r="54" spans="1:8" x14ac:dyDescent="0.2">
      <c r="A54" s="1"/>
      <c r="B54" s="1"/>
      <c r="C54" s="5"/>
      <c r="D54" s="1"/>
      <c r="E54" s="1"/>
      <c r="F54" s="6"/>
      <c r="G54" s="6"/>
      <c r="H54" s="40" t="s">
        <v>12</v>
      </c>
    </row>
    <row r="55" spans="1:8" x14ac:dyDescent="0.2">
      <c r="A55" s="1"/>
      <c r="B55" s="1"/>
      <c r="C55" s="2" t="s">
        <v>74</v>
      </c>
      <c r="D55" s="1"/>
      <c r="E55" s="1"/>
      <c r="F55" s="6"/>
      <c r="G55" s="6"/>
      <c r="H55" s="40" t="s">
        <v>12</v>
      </c>
    </row>
    <row r="56" spans="1:8" x14ac:dyDescent="0.2">
      <c r="A56" s="1"/>
      <c r="B56" s="1"/>
      <c r="C56" s="2" t="s">
        <v>11</v>
      </c>
      <c r="D56" s="1"/>
      <c r="E56" s="1" t="s">
        <v>12</v>
      </c>
      <c r="F56" s="3" t="s">
        <v>13</v>
      </c>
      <c r="G56" s="4">
        <v>0</v>
      </c>
      <c r="H56" s="40" t="s">
        <v>12</v>
      </c>
    </row>
    <row r="57" spans="1:8" x14ac:dyDescent="0.2">
      <c r="A57" s="1"/>
      <c r="B57" s="1"/>
      <c r="C57" s="5"/>
      <c r="D57" s="1"/>
      <c r="E57" s="1"/>
      <c r="F57" s="6"/>
      <c r="G57" s="6"/>
      <c r="H57" s="40" t="s">
        <v>12</v>
      </c>
    </row>
    <row r="58" spans="1:8" x14ac:dyDescent="0.2">
      <c r="A58" s="1"/>
      <c r="B58" s="1"/>
      <c r="C58" s="2" t="s">
        <v>75</v>
      </c>
      <c r="D58" s="1"/>
      <c r="E58" s="1"/>
      <c r="F58" s="7">
        <v>1619.8459</v>
      </c>
      <c r="G58" s="4">
        <v>0.53418178000000005</v>
      </c>
      <c r="H58" s="40" t="s">
        <v>12</v>
      </c>
    </row>
    <row r="59" spans="1:8" x14ac:dyDescent="0.2">
      <c r="A59" s="1"/>
      <c r="B59" s="1"/>
      <c r="C59" s="5"/>
      <c r="D59" s="1"/>
      <c r="E59" s="1"/>
      <c r="F59" s="6"/>
      <c r="G59" s="6"/>
      <c r="H59" s="40" t="s">
        <v>12</v>
      </c>
    </row>
    <row r="60" spans="1:8" x14ac:dyDescent="0.2">
      <c r="A60" s="1"/>
      <c r="B60" s="1"/>
      <c r="C60" s="2" t="s">
        <v>76</v>
      </c>
      <c r="D60" s="1"/>
      <c r="E60" s="1"/>
      <c r="F60" s="6"/>
      <c r="G60" s="6"/>
      <c r="H60" s="40" t="s">
        <v>12</v>
      </c>
    </row>
    <row r="61" spans="1:8" x14ac:dyDescent="0.2">
      <c r="A61" s="1"/>
      <c r="B61" s="1"/>
      <c r="C61" s="2" t="s">
        <v>77</v>
      </c>
      <c r="D61" s="1"/>
      <c r="E61" s="1"/>
      <c r="F61" s="6"/>
      <c r="G61" s="6"/>
      <c r="H61" s="40" t="s">
        <v>12</v>
      </c>
    </row>
    <row r="62" spans="1:8" x14ac:dyDescent="0.2">
      <c r="A62" s="1"/>
      <c r="B62" s="1"/>
      <c r="C62" s="2" t="s">
        <v>11</v>
      </c>
      <c r="D62" s="1"/>
      <c r="E62" s="1" t="s">
        <v>12</v>
      </c>
      <c r="F62" s="3" t="s">
        <v>13</v>
      </c>
      <c r="G62" s="4">
        <v>0</v>
      </c>
      <c r="H62" s="40" t="s">
        <v>12</v>
      </c>
    </row>
    <row r="63" spans="1:8" x14ac:dyDescent="0.2">
      <c r="A63" s="1"/>
      <c r="B63" s="1"/>
      <c r="C63" s="5"/>
      <c r="D63" s="1"/>
      <c r="E63" s="1"/>
      <c r="F63" s="6"/>
      <c r="G63" s="6"/>
      <c r="H63" s="40" t="s">
        <v>12</v>
      </c>
    </row>
    <row r="64" spans="1:8" x14ac:dyDescent="0.2">
      <c r="A64" s="1"/>
      <c r="B64" s="1"/>
      <c r="C64" s="2" t="s">
        <v>78</v>
      </c>
      <c r="D64" s="1"/>
      <c r="E64" s="1"/>
      <c r="F64" s="6"/>
      <c r="G64" s="6"/>
      <c r="H64" s="40" t="s">
        <v>12</v>
      </c>
    </row>
    <row r="65" spans="1:8" x14ac:dyDescent="0.2">
      <c r="A65" s="1"/>
      <c r="B65" s="1"/>
      <c r="C65" s="2" t="s">
        <v>11</v>
      </c>
      <c r="D65" s="1"/>
      <c r="E65" s="1" t="s">
        <v>12</v>
      </c>
      <c r="F65" s="3" t="s">
        <v>13</v>
      </c>
      <c r="G65" s="4">
        <v>0</v>
      </c>
      <c r="H65" s="40" t="s">
        <v>12</v>
      </c>
    </row>
    <row r="66" spans="1:8" x14ac:dyDescent="0.2">
      <c r="A66" s="1"/>
      <c r="B66" s="1"/>
      <c r="C66" s="5"/>
      <c r="D66" s="1"/>
      <c r="E66" s="1"/>
      <c r="F66" s="6"/>
      <c r="G66" s="6"/>
      <c r="H66" s="40" t="s">
        <v>12</v>
      </c>
    </row>
    <row r="67" spans="1:8" x14ac:dyDescent="0.2">
      <c r="A67" s="1"/>
      <c r="B67" s="1"/>
      <c r="C67" s="2" t="s">
        <v>79</v>
      </c>
      <c r="D67" s="1"/>
      <c r="E67" s="1"/>
      <c r="F67" s="6"/>
      <c r="G67" s="6"/>
      <c r="H67" s="40" t="s">
        <v>12</v>
      </c>
    </row>
    <row r="68" spans="1:8" x14ac:dyDescent="0.2">
      <c r="A68" s="1"/>
      <c r="B68" s="1"/>
      <c r="C68" s="2" t="s">
        <v>11</v>
      </c>
      <c r="D68" s="1"/>
      <c r="E68" s="1" t="s">
        <v>12</v>
      </c>
      <c r="F68" s="3" t="s">
        <v>13</v>
      </c>
      <c r="G68" s="4">
        <v>0</v>
      </c>
      <c r="H68" s="40" t="s">
        <v>12</v>
      </c>
    </row>
    <row r="69" spans="1:8" x14ac:dyDescent="0.2">
      <c r="A69" s="1"/>
      <c r="B69" s="1"/>
      <c r="C69" s="5"/>
      <c r="D69" s="1"/>
      <c r="E69" s="1"/>
      <c r="F69" s="6"/>
      <c r="G69" s="6"/>
      <c r="H69" s="40" t="s">
        <v>12</v>
      </c>
    </row>
    <row r="70" spans="1:8" x14ac:dyDescent="0.2">
      <c r="A70" s="1"/>
      <c r="B70" s="1"/>
      <c r="C70" s="2" t="s">
        <v>80</v>
      </c>
      <c r="D70" s="1"/>
      <c r="E70" s="1"/>
      <c r="F70" s="6"/>
      <c r="G70" s="6"/>
      <c r="H70" s="40" t="s">
        <v>12</v>
      </c>
    </row>
    <row r="71" spans="1:8" x14ac:dyDescent="0.2">
      <c r="A71" s="8">
        <v>1</v>
      </c>
      <c r="B71" s="9"/>
      <c r="C71" s="9" t="s">
        <v>81</v>
      </c>
      <c r="D71" s="9"/>
      <c r="E71" s="13"/>
      <c r="F71" s="11">
        <v>697.01495739699999</v>
      </c>
      <c r="G71" s="12">
        <v>0.22985686</v>
      </c>
      <c r="H71" s="40">
        <v>6.6416448321270405</v>
      </c>
    </row>
    <row r="72" spans="1:8" x14ac:dyDescent="0.2">
      <c r="A72" s="1"/>
      <c r="B72" s="1"/>
      <c r="C72" s="2" t="s">
        <v>11</v>
      </c>
      <c r="D72" s="1"/>
      <c r="E72" s="1" t="s">
        <v>12</v>
      </c>
      <c r="F72" s="7">
        <v>697.01495739699999</v>
      </c>
      <c r="G72" s="4">
        <v>0.22985686</v>
      </c>
      <c r="H72" s="40" t="s">
        <v>12</v>
      </c>
    </row>
    <row r="73" spans="1:8" x14ac:dyDescent="0.2">
      <c r="A73" s="1"/>
      <c r="B73" s="1"/>
      <c r="C73" s="5"/>
      <c r="D73" s="1"/>
      <c r="E73" s="1"/>
      <c r="F73" s="6"/>
      <c r="G73" s="6"/>
      <c r="H73" s="40" t="s">
        <v>12</v>
      </c>
    </row>
    <row r="74" spans="1:8" x14ac:dyDescent="0.2">
      <c r="A74" s="1"/>
      <c r="B74" s="1"/>
      <c r="C74" s="2" t="s">
        <v>82</v>
      </c>
      <c r="D74" s="1"/>
      <c r="E74" s="1"/>
      <c r="F74" s="7">
        <v>697.01495739699999</v>
      </c>
      <c r="G74" s="4">
        <v>0.22985686</v>
      </c>
      <c r="H74" s="40" t="s">
        <v>12</v>
      </c>
    </row>
    <row r="75" spans="1:8" x14ac:dyDescent="0.2">
      <c r="A75" s="1"/>
      <c r="B75" s="1"/>
      <c r="C75" s="6"/>
      <c r="D75" s="1"/>
      <c r="E75" s="1"/>
      <c r="F75" s="1"/>
      <c r="G75" s="1"/>
      <c r="H75" s="40" t="s">
        <v>12</v>
      </c>
    </row>
    <row r="76" spans="1:8" x14ac:dyDescent="0.2">
      <c r="A76" s="1"/>
      <c r="B76" s="1"/>
      <c r="C76" s="2" t="s">
        <v>83</v>
      </c>
      <c r="D76" s="1"/>
      <c r="E76" s="1"/>
      <c r="F76" s="1"/>
      <c r="G76" s="1"/>
      <c r="H76" s="40" t="s">
        <v>12</v>
      </c>
    </row>
    <row r="77" spans="1:8" x14ac:dyDescent="0.2">
      <c r="A77" s="1"/>
      <c r="B77" s="1"/>
      <c r="C77" s="2" t="s">
        <v>84</v>
      </c>
      <c r="D77" s="1"/>
      <c r="E77" s="1"/>
      <c r="F77" s="1"/>
      <c r="G77" s="1"/>
      <c r="H77" s="40" t="s">
        <v>12</v>
      </c>
    </row>
    <row r="78" spans="1:8" x14ac:dyDescent="0.2">
      <c r="A78" s="1"/>
      <c r="B78" s="1"/>
      <c r="C78" s="2" t="s">
        <v>11</v>
      </c>
      <c r="D78" s="1"/>
      <c r="E78" s="1" t="s">
        <v>12</v>
      </c>
      <c r="F78" s="3" t="s">
        <v>13</v>
      </c>
      <c r="G78" s="4">
        <v>0</v>
      </c>
      <c r="H78" s="40" t="s">
        <v>12</v>
      </c>
    </row>
    <row r="79" spans="1:8" x14ac:dyDescent="0.2">
      <c r="A79" s="1"/>
      <c r="B79" s="1"/>
      <c r="C79" s="5"/>
      <c r="D79" s="1"/>
      <c r="E79" s="1"/>
      <c r="F79" s="6"/>
      <c r="G79" s="6"/>
      <c r="H79" s="40" t="s">
        <v>12</v>
      </c>
    </row>
    <row r="80" spans="1:8" x14ac:dyDescent="0.2">
      <c r="A80" s="1"/>
      <c r="B80" s="1"/>
      <c r="C80" s="2" t="s">
        <v>87</v>
      </c>
      <c r="D80" s="1"/>
      <c r="E80" s="1"/>
      <c r="F80" s="1"/>
      <c r="G80" s="1"/>
      <c r="H80" s="40" t="s">
        <v>12</v>
      </c>
    </row>
    <row r="81" spans="1:18" x14ac:dyDescent="0.2">
      <c r="A81" s="1"/>
      <c r="B81" s="1"/>
      <c r="C81" s="2" t="s">
        <v>88</v>
      </c>
      <c r="D81" s="1"/>
      <c r="E81" s="1"/>
      <c r="F81" s="1"/>
      <c r="G81" s="1"/>
      <c r="H81" s="40" t="s">
        <v>12</v>
      </c>
    </row>
    <row r="82" spans="1:18" x14ac:dyDescent="0.2">
      <c r="A82" s="1"/>
      <c r="B82" s="1"/>
      <c r="C82" s="2" t="s">
        <v>11</v>
      </c>
      <c r="D82" s="1"/>
      <c r="E82" s="1" t="s">
        <v>12</v>
      </c>
      <c r="F82" s="3" t="s">
        <v>13</v>
      </c>
      <c r="G82" s="4">
        <v>0</v>
      </c>
      <c r="H82" s="40" t="s">
        <v>12</v>
      </c>
    </row>
    <row r="83" spans="1:18" x14ac:dyDescent="0.2">
      <c r="A83" s="1"/>
      <c r="B83" s="1"/>
      <c r="C83" s="5"/>
      <c r="D83" s="1"/>
      <c r="E83" s="1"/>
      <c r="F83" s="6"/>
      <c r="G83" s="6"/>
      <c r="H83" s="40" t="s">
        <v>12</v>
      </c>
    </row>
    <row r="84" spans="1:18" x14ac:dyDescent="0.2">
      <c r="A84" s="1"/>
      <c r="B84" s="1"/>
      <c r="C84" s="2" t="s">
        <v>89</v>
      </c>
      <c r="D84" s="1"/>
      <c r="E84" s="1"/>
      <c r="F84" s="6"/>
      <c r="G84" s="6"/>
      <c r="H84" s="40" t="s">
        <v>12</v>
      </c>
    </row>
    <row r="85" spans="1:18" x14ac:dyDescent="0.2">
      <c r="A85" s="1"/>
      <c r="B85" s="1"/>
      <c r="C85" s="2" t="s">
        <v>11</v>
      </c>
      <c r="D85" s="1"/>
      <c r="E85" s="1" t="s">
        <v>12</v>
      </c>
      <c r="F85" s="3" t="s">
        <v>13</v>
      </c>
      <c r="G85" s="4">
        <v>0</v>
      </c>
      <c r="H85" s="40" t="s">
        <v>12</v>
      </c>
    </row>
    <row r="86" spans="1:18" x14ac:dyDescent="0.2">
      <c r="A86" s="1"/>
      <c r="B86" s="1"/>
      <c r="C86" s="2"/>
      <c r="D86" s="1"/>
      <c r="E86" s="1"/>
      <c r="F86" s="3"/>
      <c r="G86" s="4"/>
      <c r="H86" s="40"/>
    </row>
    <row r="87" spans="1:18" x14ac:dyDescent="0.2">
      <c r="A87" s="42"/>
      <c r="B87" s="42"/>
      <c r="C87" s="43" t="s">
        <v>492</v>
      </c>
      <c r="D87" s="42"/>
      <c r="E87" s="42"/>
      <c r="F87" s="44"/>
      <c r="G87" s="44"/>
      <c r="H87" s="11"/>
      <c r="K87" s="45"/>
      <c r="L87" s="45"/>
      <c r="M87" s="45"/>
      <c r="N87" s="45"/>
      <c r="O87" s="45"/>
      <c r="P87" s="46"/>
      <c r="Q87" s="46"/>
      <c r="R87" s="46"/>
    </row>
    <row r="88" spans="1:18" x14ac:dyDescent="0.2">
      <c r="A88" s="8">
        <v>1</v>
      </c>
      <c r="B88" s="9" t="s">
        <v>85</v>
      </c>
      <c r="C88" s="9" t="s">
        <v>86</v>
      </c>
      <c r="D88" s="9"/>
      <c r="E88" s="14">
        <v>76.796000000000006</v>
      </c>
      <c r="F88" s="11">
        <v>7.8721450810000002</v>
      </c>
      <c r="G88" s="12">
        <v>2.5960200000000001E-3</v>
      </c>
      <c r="H88" s="40"/>
    </row>
    <row r="89" spans="1:18" x14ac:dyDescent="0.2">
      <c r="A89" s="1"/>
      <c r="B89" s="1"/>
      <c r="C89" s="2" t="s">
        <v>11</v>
      </c>
      <c r="D89" s="1"/>
      <c r="E89" s="1" t="s">
        <v>12</v>
      </c>
      <c r="F89" s="7">
        <f>SUM(F88)</f>
        <v>7.8721450810000002</v>
      </c>
      <c r="G89" s="4">
        <f>SUM(G88)</f>
        <v>2.5960200000000001E-3</v>
      </c>
      <c r="H89" s="11"/>
      <c r="K89" s="45"/>
      <c r="L89" s="45"/>
      <c r="M89" s="45"/>
      <c r="N89" s="45"/>
      <c r="O89" s="45"/>
      <c r="P89" s="46"/>
      <c r="Q89" s="46"/>
      <c r="R89" s="46"/>
    </row>
    <row r="90" spans="1:18" x14ac:dyDescent="0.2">
      <c r="A90" s="1"/>
      <c r="B90" s="9"/>
      <c r="C90" s="9"/>
      <c r="D90" s="2"/>
      <c r="E90" s="1"/>
      <c r="F90" s="9"/>
      <c r="G90" s="13"/>
      <c r="H90" s="40"/>
    </row>
    <row r="91" spans="1:18" x14ac:dyDescent="0.2">
      <c r="A91" s="1"/>
      <c r="B91" s="1"/>
      <c r="C91" s="5"/>
      <c r="D91" s="1"/>
      <c r="E91" s="1"/>
      <c r="F91" s="6"/>
      <c r="G91" s="6"/>
      <c r="H91" s="40" t="s">
        <v>12</v>
      </c>
    </row>
    <row r="92" spans="1:18" x14ac:dyDescent="0.2">
      <c r="A92" s="1"/>
      <c r="B92" s="9"/>
      <c r="C92" s="9"/>
      <c r="D92" s="2"/>
      <c r="E92" s="1"/>
      <c r="F92" s="9"/>
      <c r="G92" s="13"/>
      <c r="H92" s="40" t="s">
        <v>12</v>
      </c>
    </row>
    <row r="93" spans="1:18" x14ac:dyDescent="0.2">
      <c r="A93" s="13"/>
      <c r="B93" s="9"/>
      <c r="C93" s="9" t="s">
        <v>90</v>
      </c>
      <c r="D93" s="9"/>
      <c r="E93" s="13"/>
      <c r="F93" s="11">
        <v>58.24607417</v>
      </c>
      <c r="G93" s="12">
        <v>1.9207999999999999E-2</v>
      </c>
      <c r="H93" s="40" t="s">
        <v>12</v>
      </c>
    </row>
    <row r="94" spans="1:18" x14ac:dyDescent="0.2">
      <c r="A94" s="5"/>
      <c r="B94" s="5"/>
      <c r="C94" s="2" t="s">
        <v>91</v>
      </c>
      <c r="D94" s="6"/>
      <c r="E94" s="6"/>
      <c r="F94" s="7">
        <f>3003.896052648+28.491</f>
        <v>3032.387052648</v>
      </c>
      <c r="G94" s="15">
        <f>99.060445%+0.94%</f>
        <v>1.00000445</v>
      </c>
      <c r="H94" s="40"/>
    </row>
    <row r="95" spans="1:18" x14ac:dyDescent="0.2">
      <c r="A95" s="16"/>
      <c r="B95" s="16"/>
      <c r="C95" s="16"/>
      <c r="D95" s="17"/>
      <c r="E95" s="17"/>
      <c r="F95" s="17"/>
      <c r="G95" s="17"/>
    </row>
    <row r="96" spans="1:18" ht="12.75" customHeight="1" x14ac:dyDescent="0.2">
      <c r="A96" s="18"/>
      <c r="B96" s="102" t="s">
        <v>493</v>
      </c>
      <c r="C96" s="102"/>
      <c r="D96" s="102"/>
      <c r="E96" s="102"/>
      <c r="F96" s="102"/>
      <c r="G96" s="102"/>
      <c r="H96" s="102"/>
    </row>
    <row r="97" spans="1:8" ht="12.75" customHeight="1" x14ac:dyDescent="0.2">
      <c r="A97" s="18"/>
      <c r="B97" s="102" t="s">
        <v>494</v>
      </c>
      <c r="C97" s="102"/>
      <c r="D97" s="102"/>
      <c r="E97" s="102"/>
      <c r="F97" s="102"/>
      <c r="G97" s="102"/>
      <c r="H97" s="102"/>
    </row>
    <row r="98" spans="1:8" ht="12.75" customHeight="1" x14ac:dyDescent="0.2">
      <c r="A98" s="18"/>
      <c r="B98" s="102" t="s">
        <v>495</v>
      </c>
      <c r="C98" s="102"/>
      <c r="D98" s="102"/>
      <c r="E98" s="102"/>
      <c r="F98" s="102"/>
      <c r="G98" s="102"/>
      <c r="H98" s="102"/>
    </row>
    <row r="99" spans="1:8" x14ac:dyDescent="0.2">
      <c r="A99" s="18"/>
      <c r="B99" s="18"/>
      <c r="C99" s="18"/>
      <c r="D99" s="20"/>
      <c r="E99" s="20"/>
      <c r="F99" s="20"/>
      <c r="G99" s="20"/>
    </row>
    <row r="100" spans="1:8" ht="14.1" customHeight="1" x14ac:dyDescent="0.2">
      <c r="A100" s="18"/>
      <c r="B100" s="103" t="s">
        <v>92</v>
      </c>
      <c r="C100" s="104"/>
      <c r="D100" s="105"/>
      <c r="E100" s="21"/>
      <c r="F100" s="20"/>
      <c r="G100" s="20"/>
    </row>
    <row r="101" spans="1:8" ht="29.1" customHeight="1" x14ac:dyDescent="0.2">
      <c r="A101" s="18"/>
      <c r="B101" s="99" t="s">
        <v>93</v>
      </c>
      <c r="C101" s="100"/>
      <c r="D101" s="2" t="s">
        <v>94</v>
      </c>
      <c r="E101" s="21"/>
      <c r="F101" s="20"/>
      <c r="G101" s="20"/>
    </row>
    <row r="102" spans="1:8" ht="17.100000000000001" customHeight="1" x14ac:dyDescent="0.2">
      <c r="A102" s="18"/>
      <c r="B102" s="99" t="s">
        <v>95</v>
      </c>
      <c r="C102" s="100"/>
      <c r="D102" s="2" t="s">
        <v>94</v>
      </c>
      <c r="E102" s="21"/>
      <c r="F102" s="20"/>
      <c r="G102" s="20"/>
    </row>
    <row r="103" spans="1:8" ht="17.100000000000001" customHeight="1" x14ac:dyDescent="0.2">
      <c r="A103" s="18"/>
      <c r="B103" s="99" t="s">
        <v>96</v>
      </c>
      <c r="C103" s="100"/>
      <c r="D103" s="6" t="s">
        <v>12</v>
      </c>
      <c r="E103" s="21"/>
      <c r="F103" s="20"/>
      <c r="G103" s="20"/>
    </row>
    <row r="104" spans="1:8" x14ac:dyDescent="0.2">
      <c r="A104" s="22"/>
      <c r="B104" s="23" t="s">
        <v>12</v>
      </c>
      <c r="C104" s="23" t="s">
        <v>531</v>
      </c>
      <c r="D104" s="23" t="s">
        <v>97</v>
      </c>
      <c r="E104" s="22"/>
      <c r="F104" s="22"/>
      <c r="G104" s="22"/>
      <c r="H104" s="87"/>
    </row>
    <row r="105" spans="1:8" ht="18" customHeight="1" x14ac:dyDescent="0.2">
      <c r="A105" s="22"/>
      <c r="B105" s="24" t="s">
        <v>98</v>
      </c>
      <c r="C105" s="98" t="s">
        <v>594</v>
      </c>
      <c r="D105" s="98" t="s">
        <v>529</v>
      </c>
      <c r="E105" s="22"/>
      <c r="F105" s="22"/>
      <c r="G105" s="22"/>
    </row>
    <row r="106" spans="1:8" ht="17.100000000000001" customHeight="1" x14ac:dyDescent="0.2">
      <c r="A106" s="22"/>
      <c r="B106" s="9" t="s">
        <v>99</v>
      </c>
      <c r="C106" s="25">
        <v>29.748000000000001</v>
      </c>
      <c r="D106" s="25">
        <v>29.944400000000002</v>
      </c>
      <c r="E106" s="22"/>
      <c r="F106" s="19"/>
      <c r="G106" s="26"/>
    </row>
    <row r="107" spans="1:8" ht="29.1" customHeight="1" x14ac:dyDescent="0.2">
      <c r="A107" s="22"/>
      <c r="B107" s="9" t="s">
        <v>544</v>
      </c>
      <c r="C107" s="25">
        <v>13.6088</v>
      </c>
      <c r="D107" s="25">
        <v>13.5634</v>
      </c>
      <c r="E107" s="22"/>
      <c r="F107" s="19"/>
      <c r="G107" s="26"/>
    </row>
    <row r="108" spans="1:8" ht="29.1" customHeight="1" x14ac:dyDescent="0.2">
      <c r="A108" s="22"/>
      <c r="B108" s="9" t="s">
        <v>541</v>
      </c>
      <c r="C108" s="25">
        <v>19.727799999999998</v>
      </c>
      <c r="D108" s="25">
        <v>19.858000000000001</v>
      </c>
      <c r="E108" s="22"/>
      <c r="F108" s="19"/>
      <c r="G108" s="26"/>
    </row>
    <row r="109" spans="1:8" ht="29.1" customHeight="1" x14ac:dyDescent="0.2">
      <c r="A109" s="22"/>
      <c r="B109" s="9" t="s">
        <v>545</v>
      </c>
      <c r="C109" s="25">
        <v>19.635300000000001</v>
      </c>
      <c r="D109" s="25">
        <v>19.765000000000001</v>
      </c>
      <c r="E109" s="22"/>
      <c r="F109" s="19"/>
      <c r="G109" s="26"/>
    </row>
    <row r="110" spans="1:8" ht="17.100000000000001" customHeight="1" x14ac:dyDescent="0.2">
      <c r="A110" s="22"/>
      <c r="B110" s="9" t="s">
        <v>100</v>
      </c>
      <c r="C110" s="25">
        <v>27.2822</v>
      </c>
      <c r="D110" s="25">
        <v>27.4497</v>
      </c>
      <c r="E110" s="22"/>
      <c r="F110" s="19"/>
      <c r="G110" s="26"/>
    </row>
    <row r="111" spans="1:8" ht="29.1" customHeight="1" x14ac:dyDescent="0.2">
      <c r="A111" s="22"/>
      <c r="B111" s="9" t="s">
        <v>546</v>
      </c>
      <c r="C111" s="25">
        <v>13.482699999999999</v>
      </c>
      <c r="D111" s="25">
        <v>13.4565</v>
      </c>
      <c r="E111" s="22"/>
      <c r="F111" s="19"/>
      <c r="G111" s="26"/>
    </row>
    <row r="112" spans="1:8" ht="29.1" customHeight="1" x14ac:dyDescent="0.2">
      <c r="A112" s="22"/>
      <c r="B112" s="9" t="s">
        <v>543</v>
      </c>
      <c r="C112" s="25">
        <v>17.9998</v>
      </c>
      <c r="D112" s="25">
        <v>18.110299999999999</v>
      </c>
      <c r="E112" s="22"/>
      <c r="F112" s="19"/>
      <c r="G112" s="26"/>
    </row>
    <row r="113" spans="1:18" ht="29.1" customHeight="1" x14ac:dyDescent="0.2">
      <c r="A113" s="22"/>
      <c r="B113" s="9" t="s">
        <v>538</v>
      </c>
      <c r="C113" s="25">
        <v>17.8399</v>
      </c>
      <c r="D113" s="25">
        <v>17.9495</v>
      </c>
      <c r="E113" s="22"/>
      <c r="F113" s="19"/>
      <c r="G113" s="26"/>
    </row>
    <row r="114" spans="1:18" ht="14.1" customHeight="1" x14ac:dyDescent="0.2">
      <c r="A114" s="22"/>
      <c r="B114" s="22"/>
      <c r="C114" s="22"/>
      <c r="D114" s="22"/>
      <c r="E114" s="22"/>
      <c r="F114" s="22"/>
      <c r="G114" s="22"/>
    </row>
    <row r="115" spans="1:18" ht="17.100000000000001" customHeight="1" x14ac:dyDescent="0.2">
      <c r="A115" s="22"/>
      <c r="B115" s="99" t="s">
        <v>540</v>
      </c>
      <c r="C115" s="100"/>
      <c r="D115" s="2" t="s">
        <v>12</v>
      </c>
      <c r="E115" s="22"/>
      <c r="F115" s="22"/>
      <c r="G115" s="22"/>
    </row>
    <row r="116" spans="1:18" ht="18" customHeight="1" x14ac:dyDescent="0.2">
      <c r="A116" s="22"/>
      <c r="B116" s="27" t="s">
        <v>98</v>
      </c>
      <c r="C116" s="28" t="s">
        <v>101</v>
      </c>
      <c r="D116" s="28" t="s">
        <v>102</v>
      </c>
      <c r="E116" s="22"/>
      <c r="F116" s="22"/>
      <c r="G116" s="22"/>
    </row>
    <row r="117" spans="1:18" ht="29.1" customHeight="1" x14ac:dyDescent="0.2">
      <c r="A117" s="22"/>
      <c r="B117" s="9" t="s">
        <v>544</v>
      </c>
      <c r="C117" s="29">
        <v>0.13469999999999999</v>
      </c>
      <c r="D117" s="13" t="s">
        <v>103</v>
      </c>
      <c r="E117" s="22"/>
      <c r="F117" s="19"/>
      <c r="G117" s="26"/>
    </row>
    <row r="118" spans="1:18" ht="29.1" customHeight="1" x14ac:dyDescent="0.2">
      <c r="A118" s="22"/>
      <c r="B118" s="9" t="s">
        <v>546</v>
      </c>
      <c r="C118" s="29">
        <v>0.1086</v>
      </c>
      <c r="D118" s="13" t="s">
        <v>103</v>
      </c>
      <c r="E118" s="22"/>
      <c r="F118" s="19"/>
      <c r="G118" s="26"/>
    </row>
    <row r="119" spans="1:18" x14ac:dyDescent="0.2">
      <c r="A119" s="22"/>
      <c r="B119" s="19"/>
      <c r="C119" s="19"/>
      <c r="D119" s="22"/>
      <c r="E119" s="22"/>
      <c r="F119" s="22"/>
      <c r="G119" s="22"/>
    </row>
    <row r="120" spans="1:18" x14ac:dyDescent="0.2">
      <c r="A120" s="22"/>
      <c r="B120" s="99" t="s">
        <v>104</v>
      </c>
      <c r="C120" s="100"/>
      <c r="D120" s="2" t="s">
        <v>94</v>
      </c>
      <c r="E120" s="32"/>
      <c r="F120" s="22"/>
      <c r="G120" s="22"/>
    </row>
    <row r="121" spans="1:18" x14ac:dyDescent="0.2">
      <c r="A121" s="22"/>
      <c r="B121" s="99" t="s">
        <v>105</v>
      </c>
      <c r="C121" s="100"/>
      <c r="D121" s="2" t="s">
        <v>94</v>
      </c>
      <c r="E121" s="32"/>
      <c r="F121" s="22"/>
      <c r="G121" s="22"/>
    </row>
    <row r="122" spans="1:18" x14ac:dyDescent="0.2">
      <c r="A122" s="22"/>
      <c r="B122" s="99" t="s">
        <v>590</v>
      </c>
      <c r="C122" s="100"/>
      <c r="D122" s="2" t="s">
        <v>94</v>
      </c>
      <c r="E122" s="32"/>
      <c r="F122" s="22"/>
      <c r="G122" s="22"/>
    </row>
    <row r="123" spans="1:18" x14ac:dyDescent="0.2">
      <c r="A123" s="34"/>
      <c r="B123" s="34"/>
      <c r="C123" s="34"/>
      <c r="D123" s="34"/>
      <c r="E123" s="34"/>
      <c r="F123" s="34"/>
      <c r="G123" s="34"/>
    </row>
    <row r="124" spans="1:18" s="47" customFormat="1" x14ac:dyDescent="0.2">
      <c r="B124" s="106" t="s">
        <v>497</v>
      </c>
      <c r="C124" s="107"/>
      <c r="D124" s="108"/>
      <c r="I124"/>
      <c r="J124" s="37"/>
      <c r="K124" s="45"/>
      <c r="L124" s="45"/>
      <c r="M124" s="45"/>
      <c r="N124" s="45"/>
      <c r="O124"/>
      <c r="R124"/>
    </row>
    <row r="125" spans="1:18" s="47" customFormat="1" ht="38.25" x14ac:dyDescent="0.2">
      <c r="B125" s="109" t="s">
        <v>498</v>
      </c>
      <c r="C125" s="109"/>
      <c r="D125" s="48" t="s">
        <v>436</v>
      </c>
      <c r="I125"/>
      <c r="J125" s="37"/>
      <c r="K125" s="45"/>
      <c r="L125" s="45"/>
      <c r="M125" s="45"/>
      <c r="N125" s="45"/>
      <c r="O125"/>
      <c r="R125"/>
    </row>
    <row r="126" spans="1:18" s="47" customFormat="1" x14ac:dyDescent="0.2">
      <c r="B126" s="110" t="s">
        <v>499</v>
      </c>
      <c r="C126" s="110"/>
      <c r="D126" s="49"/>
      <c r="I126"/>
      <c r="J126" s="37"/>
      <c r="K126" s="45"/>
      <c r="L126" s="45"/>
      <c r="M126" s="45"/>
      <c r="N126" s="45"/>
      <c r="O126"/>
      <c r="R126"/>
    </row>
    <row r="127" spans="1:18" s="47" customFormat="1" x14ac:dyDescent="0.2">
      <c r="B127" s="110"/>
      <c r="C127" s="110"/>
      <c r="D127" s="50"/>
      <c r="I127"/>
      <c r="J127" s="37"/>
      <c r="K127" s="45"/>
      <c r="L127" s="45"/>
      <c r="M127" s="45"/>
      <c r="N127" s="45"/>
      <c r="O127"/>
    </row>
    <row r="128" spans="1:18" s="47" customFormat="1" x14ac:dyDescent="0.2">
      <c r="B128" s="110" t="s">
        <v>500</v>
      </c>
      <c r="C128" s="110"/>
      <c r="D128" s="51">
        <v>7.0360494381350316</v>
      </c>
      <c r="I128"/>
      <c r="J128" s="37"/>
      <c r="K128" s="45"/>
      <c r="L128" s="45"/>
      <c r="M128" s="45"/>
      <c r="N128" s="45"/>
      <c r="O128"/>
    </row>
    <row r="129" spans="2:15" s="47" customFormat="1" x14ac:dyDescent="0.2">
      <c r="B129" s="110"/>
      <c r="C129" s="110"/>
      <c r="D129" s="50"/>
      <c r="I129"/>
      <c r="J129" s="37"/>
      <c r="K129" s="45"/>
      <c r="L129" s="45"/>
      <c r="M129" s="45"/>
      <c r="N129" s="45"/>
      <c r="O129"/>
    </row>
    <row r="130" spans="2:15" s="47" customFormat="1" x14ac:dyDescent="0.2">
      <c r="B130" s="110" t="s">
        <v>525</v>
      </c>
      <c r="C130" s="110"/>
      <c r="D130" s="51">
        <v>5.9263430375642274</v>
      </c>
      <c r="I130"/>
      <c r="J130" s="37"/>
      <c r="K130" s="45"/>
      <c r="L130" s="45"/>
      <c r="M130" s="45"/>
      <c r="N130" s="45"/>
      <c r="O130"/>
    </row>
    <row r="131" spans="2:15" s="47" customFormat="1" x14ac:dyDescent="0.2">
      <c r="B131" s="110" t="s">
        <v>526</v>
      </c>
      <c r="C131" s="110"/>
      <c r="D131" s="51">
        <v>10.837546480440325</v>
      </c>
      <c r="I131"/>
      <c r="J131" s="37"/>
      <c r="K131" s="45"/>
      <c r="L131" s="45"/>
      <c r="M131" s="45"/>
      <c r="N131" s="45"/>
      <c r="O131"/>
    </row>
    <row r="132" spans="2:15" s="47" customFormat="1" x14ac:dyDescent="0.2">
      <c r="B132" s="110"/>
      <c r="C132" s="110"/>
      <c r="D132" s="50"/>
      <c r="I132"/>
      <c r="J132" s="37"/>
      <c r="K132" s="45"/>
      <c r="L132" s="45"/>
      <c r="M132" s="45"/>
      <c r="N132" s="45"/>
      <c r="O132"/>
    </row>
    <row r="133" spans="2:15" s="47" customFormat="1" x14ac:dyDescent="0.2">
      <c r="B133" s="110" t="s">
        <v>503</v>
      </c>
      <c r="C133" s="110"/>
      <c r="D133" s="52" t="s">
        <v>529</v>
      </c>
      <c r="I133"/>
      <c r="J133" s="37"/>
      <c r="K133" s="45"/>
      <c r="L133" s="45"/>
      <c r="M133" s="45"/>
      <c r="N133" s="45"/>
      <c r="O133"/>
    </row>
    <row r="134" spans="2:15" s="47" customFormat="1" x14ac:dyDescent="0.2">
      <c r="B134" s="111" t="s">
        <v>504</v>
      </c>
      <c r="C134" s="113"/>
      <c r="D134" s="112"/>
      <c r="I134"/>
      <c r="J134" s="37"/>
      <c r="K134" s="45"/>
      <c r="L134" s="45"/>
      <c r="M134" s="45"/>
      <c r="N134" s="45"/>
      <c r="O134"/>
    </row>
  </sheetData>
  <mergeCells count="25">
    <mergeCell ref="B134:D134"/>
    <mergeCell ref="B129:C129"/>
    <mergeCell ref="B130:C130"/>
    <mergeCell ref="B131:C131"/>
    <mergeCell ref="B132:C132"/>
    <mergeCell ref="B133:C133"/>
    <mergeCell ref="B124:D124"/>
    <mergeCell ref="B125:C125"/>
    <mergeCell ref="B126:C126"/>
    <mergeCell ref="B127:C127"/>
    <mergeCell ref="B128:C128"/>
    <mergeCell ref="B122:C122"/>
    <mergeCell ref="A1:H1"/>
    <mergeCell ref="A2:H2"/>
    <mergeCell ref="A3:H3"/>
    <mergeCell ref="B120:C120"/>
    <mergeCell ref="B100:D100"/>
    <mergeCell ref="B101:C101"/>
    <mergeCell ref="B102:C102"/>
    <mergeCell ref="B103:C103"/>
    <mergeCell ref="B115:C115"/>
    <mergeCell ref="B96:H96"/>
    <mergeCell ref="B97:H97"/>
    <mergeCell ref="B98:H98"/>
    <mergeCell ref="B121:C121"/>
  </mergeCells>
  <hyperlinks>
    <hyperlink ref="I1" location="Index!B10" display="Index" xr:uid="{5DAB6A6B-DDB5-41F0-8943-3FD5068B73B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6F39-7057-4339-894B-FEF2CE6C41AD}">
  <sheetPr>
    <outlinePr summaryBelow="0" summaryRight="0"/>
  </sheetPr>
  <dimension ref="A1:V129"/>
  <sheetViews>
    <sheetView showGridLines="0" workbookViewId="0">
      <selection sqref="A1:H1"/>
    </sheetView>
  </sheetViews>
  <sheetFormatPr defaultRowHeight="12.75" x14ac:dyDescent="0.2"/>
  <cols>
    <col min="1" max="1" width="5.85546875" bestFit="1" customWidth="1"/>
    <col min="2" max="2" width="20.5703125" customWidth="1"/>
    <col min="3" max="3" width="39.140625" bestFit="1" customWidth="1"/>
    <col min="4" max="4" width="12.42578125" customWidth="1"/>
    <col min="5" max="5" width="8.7109375" bestFit="1" customWidth="1"/>
    <col min="6" max="6" width="10.140625" bestFit="1" customWidth="1"/>
    <col min="7" max="7" width="14" bestFit="1" customWidth="1"/>
    <col min="8" max="8" width="8.85546875" bestFit="1" customWidth="1"/>
    <col min="9" max="9" width="6" bestFit="1" customWidth="1"/>
    <col min="10" max="10" width="50.7109375" style="37" customWidth="1"/>
  </cols>
  <sheetData>
    <row r="1" spans="1:10" ht="15" x14ac:dyDescent="0.2">
      <c r="A1" s="101" t="s">
        <v>0</v>
      </c>
      <c r="B1" s="101"/>
      <c r="C1" s="101"/>
      <c r="D1" s="101"/>
      <c r="E1" s="101"/>
      <c r="F1" s="101"/>
      <c r="G1" s="101"/>
      <c r="H1" s="101"/>
      <c r="I1" s="36" t="s">
        <v>569</v>
      </c>
    </row>
    <row r="2" spans="1:10" ht="15" x14ac:dyDescent="0.2">
      <c r="A2" s="101" t="s">
        <v>478</v>
      </c>
      <c r="B2" s="101"/>
      <c r="C2" s="101"/>
      <c r="D2" s="101"/>
      <c r="E2" s="101"/>
      <c r="F2" s="101"/>
      <c r="G2" s="101"/>
      <c r="H2" s="101"/>
      <c r="J2" s="38" t="s">
        <v>570</v>
      </c>
    </row>
    <row r="3" spans="1:10" ht="15" x14ac:dyDescent="0.2">
      <c r="A3" s="101" t="s">
        <v>536</v>
      </c>
      <c r="B3" s="101"/>
      <c r="C3" s="101"/>
      <c r="D3" s="101"/>
      <c r="E3" s="101"/>
      <c r="F3" s="101"/>
      <c r="G3" s="101"/>
      <c r="H3" s="101"/>
    </row>
    <row r="4" spans="1:10" s="39" customFormat="1" ht="30" x14ac:dyDescent="0.2">
      <c r="A4" s="35" t="s">
        <v>2</v>
      </c>
      <c r="B4" s="35" t="s">
        <v>3</v>
      </c>
      <c r="C4" s="35" t="s">
        <v>4</v>
      </c>
      <c r="D4" s="35" t="s">
        <v>5</v>
      </c>
      <c r="E4" s="35" t="s">
        <v>6</v>
      </c>
      <c r="F4" s="35" t="s">
        <v>7</v>
      </c>
      <c r="G4" s="35" t="s">
        <v>8</v>
      </c>
      <c r="H4" s="41" t="s">
        <v>491</v>
      </c>
      <c r="J4" s="37"/>
    </row>
    <row r="5" spans="1:10" x14ac:dyDescent="0.2">
      <c r="A5" s="1"/>
      <c r="B5" s="1"/>
      <c r="C5" s="2" t="s">
        <v>9</v>
      </c>
      <c r="D5" s="1"/>
      <c r="E5" s="1"/>
      <c r="F5" s="1"/>
      <c r="G5" s="1"/>
      <c r="H5" s="40" t="s">
        <v>12</v>
      </c>
    </row>
    <row r="6" spans="1:10" x14ac:dyDescent="0.2">
      <c r="A6" s="1"/>
      <c r="B6" s="1"/>
      <c r="C6" s="2" t="s">
        <v>10</v>
      </c>
      <c r="D6" s="1"/>
      <c r="E6" s="1"/>
      <c r="F6" s="1"/>
      <c r="G6" s="1"/>
      <c r="H6" s="40" t="s">
        <v>12</v>
      </c>
    </row>
    <row r="7" spans="1:10" x14ac:dyDescent="0.2">
      <c r="A7" s="1"/>
      <c r="B7" s="1"/>
      <c r="C7" s="2" t="s">
        <v>11</v>
      </c>
      <c r="D7" s="1"/>
      <c r="E7" s="1" t="s">
        <v>12</v>
      </c>
      <c r="F7" s="3" t="s">
        <v>13</v>
      </c>
      <c r="G7" s="4">
        <v>0</v>
      </c>
      <c r="H7" s="40" t="s">
        <v>12</v>
      </c>
    </row>
    <row r="8" spans="1:10" x14ac:dyDescent="0.2">
      <c r="A8" s="1"/>
      <c r="B8" s="1"/>
      <c r="C8" s="5"/>
      <c r="D8" s="1"/>
      <c r="E8" s="1"/>
      <c r="F8" s="6"/>
      <c r="G8" s="6"/>
      <c r="H8" s="40" t="s">
        <v>12</v>
      </c>
    </row>
    <row r="9" spans="1:10" x14ac:dyDescent="0.2">
      <c r="A9" s="1"/>
      <c r="B9" s="1"/>
      <c r="C9" s="2" t="s">
        <v>14</v>
      </c>
      <c r="D9" s="1"/>
      <c r="E9" s="1"/>
      <c r="F9" s="1"/>
      <c r="G9" s="1"/>
      <c r="H9" s="40" t="s">
        <v>12</v>
      </c>
    </row>
    <row r="10" spans="1:10" x14ac:dyDescent="0.2">
      <c r="A10" s="1"/>
      <c r="B10" s="1"/>
      <c r="C10" s="2" t="s">
        <v>11</v>
      </c>
      <c r="D10" s="1"/>
      <c r="E10" s="1" t="s">
        <v>12</v>
      </c>
      <c r="F10" s="3" t="s">
        <v>13</v>
      </c>
      <c r="G10" s="4">
        <v>0</v>
      </c>
      <c r="H10" s="40" t="s">
        <v>12</v>
      </c>
    </row>
    <row r="11" spans="1:10" x14ac:dyDescent="0.2">
      <c r="A11" s="1"/>
      <c r="B11" s="1"/>
      <c r="C11" s="5"/>
      <c r="D11" s="1"/>
      <c r="E11" s="1"/>
      <c r="F11" s="6"/>
      <c r="G11" s="6"/>
      <c r="H11" s="40" t="s">
        <v>12</v>
      </c>
    </row>
    <row r="12" spans="1:10" ht="15" x14ac:dyDescent="0.2">
      <c r="A12" s="1"/>
      <c r="B12" s="1"/>
      <c r="C12" s="2" t="s">
        <v>15</v>
      </c>
      <c r="D12" s="1"/>
      <c r="E12" s="1"/>
      <c r="F12" s="1"/>
      <c r="G12" s="1"/>
      <c r="H12" s="40" t="s">
        <v>12</v>
      </c>
      <c r="J12" s="97"/>
    </row>
    <row r="13" spans="1:10" x14ac:dyDescent="0.2">
      <c r="A13" s="1"/>
      <c r="B13" s="1"/>
      <c r="C13" s="2" t="s">
        <v>11</v>
      </c>
      <c r="D13" s="1"/>
      <c r="E13" s="1" t="s">
        <v>12</v>
      </c>
      <c r="F13" s="3" t="s">
        <v>13</v>
      </c>
      <c r="G13" s="4">
        <v>0</v>
      </c>
      <c r="H13" s="40" t="s">
        <v>12</v>
      </c>
      <c r="J13" s="89"/>
    </row>
    <row r="14" spans="1:10" x14ac:dyDescent="0.2">
      <c r="A14" s="1"/>
      <c r="B14" s="1"/>
      <c r="C14" s="5"/>
      <c r="D14" s="1"/>
      <c r="E14" s="1"/>
      <c r="F14" s="6"/>
      <c r="G14" s="6"/>
      <c r="H14" s="40" t="s">
        <v>12</v>
      </c>
      <c r="J14" s="89" t="s">
        <v>588</v>
      </c>
    </row>
    <row r="15" spans="1:10" x14ac:dyDescent="0.2">
      <c r="A15" s="1"/>
      <c r="B15" s="1"/>
      <c r="C15" s="2" t="s">
        <v>16</v>
      </c>
      <c r="D15" s="1"/>
      <c r="E15" s="1"/>
      <c r="F15" s="1"/>
      <c r="G15" s="1"/>
      <c r="H15" s="40" t="s">
        <v>12</v>
      </c>
    </row>
    <row r="16" spans="1:10" x14ac:dyDescent="0.2">
      <c r="A16" s="1"/>
      <c r="B16" s="1"/>
      <c r="C16" s="2" t="s">
        <v>11</v>
      </c>
      <c r="D16" s="1"/>
      <c r="E16" s="1" t="s">
        <v>12</v>
      </c>
      <c r="F16" s="3" t="s">
        <v>13</v>
      </c>
      <c r="G16" s="4">
        <v>0</v>
      </c>
      <c r="H16" s="40" t="s">
        <v>12</v>
      </c>
    </row>
    <row r="17" spans="1:10" x14ac:dyDescent="0.2">
      <c r="A17" s="1"/>
      <c r="B17" s="1"/>
      <c r="C17" s="5"/>
      <c r="D17" s="1"/>
      <c r="E17" s="1"/>
      <c r="F17" s="6"/>
      <c r="G17" s="6"/>
      <c r="H17" s="40" t="s">
        <v>12</v>
      </c>
    </row>
    <row r="18" spans="1:10" x14ac:dyDescent="0.2">
      <c r="A18" s="1"/>
      <c r="B18" s="1"/>
      <c r="C18" s="2" t="s">
        <v>17</v>
      </c>
      <c r="D18" s="1"/>
      <c r="E18" s="1"/>
      <c r="F18" s="6"/>
      <c r="G18" s="6"/>
      <c r="H18" s="40" t="s">
        <v>12</v>
      </c>
    </row>
    <row r="19" spans="1:10" x14ac:dyDescent="0.2">
      <c r="A19" s="1"/>
      <c r="B19" s="1"/>
      <c r="C19" s="2" t="s">
        <v>11</v>
      </c>
      <c r="D19" s="1"/>
      <c r="E19" s="1" t="s">
        <v>12</v>
      </c>
      <c r="F19" s="3" t="s">
        <v>13</v>
      </c>
      <c r="G19" s="4">
        <v>0</v>
      </c>
      <c r="H19" s="40" t="s">
        <v>12</v>
      </c>
    </row>
    <row r="20" spans="1:10" x14ac:dyDescent="0.2">
      <c r="A20" s="1"/>
      <c r="B20" s="1"/>
      <c r="C20" s="5"/>
      <c r="D20" s="1"/>
      <c r="E20" s="1"/>
      <c r="F20" s="6"/>
      <c r="G20" s="6"/>
      <c r="H20" s="40" t="s">
        <v>12</v>
      </c>
    </row>
    <row r="21" spans="1:10" x14ac:dyDescent="0.2">
      <c r="A21" s="1"/>
      <c r="B21" s="1"/>
      <c r="C21" s="2" t="s">
        <v>18</v>
      </c>
      <c r="D21" s="1"/>
      <c r="E21" s="1"/>
      <c r="F21" s="6"/>
      <c r="G21" s="6"/>
      <c r="H21" s="40" t="s">
        <v>12</v>
      </c>
    </row>
    <row r="22" spans="1:10" ht="15" x14ac:dyDescent="0.2">
      <c r="A22" s="1"/>
      <c r="B22" s="1"/>
      <c r="C22" s="2" t="s">
        <v>11</v>
      </c>
      <c r="D22" s="1"/>
      <c r="E22" s="1" t="s">
        <v>12</v>
      </c>
      <c r="F22" s="3" t="s">
        <v>13</v>
      </c>
      <c r="G22" s="4">
        <v>0</v>
      </c>
      <c r="H22" s="40" t="s">
        <v>12</v>
      </c>
      <c r="J22" s="97"/>
    </row>
    <row r="23" spans="1:10" x14ac:dyDescent="0.2">
      <c r="A23" s="1"/>
      <c r="B23" s="1"/>
      <c r="C23" s="5"/>
      <c r="D23" s="1"/>
      <c r="E23" s="1"/>
      <c r="F23" s="6"/>
      <c r="G23" s="6"/>
      <c r="H23" s="40" t="s">
        <v>12</v>
      </c>
      <c r="J23" s="89"/>
    </row>
    <row r="24" spans="1:10" x14ac:dyDescent="0.2">
      <c r="A24" s="1"/>
      <c r="B24" s="1"/>
      <c r="C24" s="2" t="s">
        <v>19</v>
      </c>
      <c r="D24" s="1"/>
      <c r="E24" s="1"/>
      <c r="F24" s="7">
        <v>0</v>
      </c>
      <c r="G24" s="4">
        <v>0</v>
      </c>
      <c r="H24" s="40" t="s">
        <v>12</v>
      </c>
    </row>
    <row r="25" spans="1:10" x14ac:dyDescent="0.2">
      <c r="A25" s="1"/>
      <c r="B25" s="1"/>
      <c r="C25" s="5"/>
      <c r="D25" s="1"/>
      <c r="E25" s="1"/>
      <c r="F25" s="6"/>
      <c r="G25" s="6"/>
      <c r="H25" s="40" t="s">
        <v>12</v>
      </c>
    </row>
    <row r="26" spans="1:10" x14ac:dyDescent="0.2">
      <c r="A26" s="1"/>
      <c r="B26" s="1"/>
      <c r="C26" s="2" t="s">
        <v>20</v>
      </c>
      <c r="D26" s="1"/>
      <c r="E26" s="1"/>
      <c r="F26" s="6"/>
      <c r="G26" s="6"/>
      <c r="H26" s="40" t="s">
        <v>12</v>
      </c>
    </row>
    <row r="27" spans="1:10" x14ac:dyDescent="0.2">
      <c r="A27" s="1"/>
      <c r="B27" s="1"/>
      <c r="C27" s="2" t="s">
        <v>10</v>
      </c>
      <c r="D27" s="1"/>
      <c r="E27" s="1"/>
      <c r="F27" s="6"/>
      <c r="G27" s="6"/>
      <c r="H27" s="40" t="s">
        <v>12</v>
      </c>
    </row>
    <row r="28" spans="1:10" x14ac:dyDescent="0.2">
      <c r="A28" s="1"/>
      <c r="B28" s="1"/>
      <c r="C28" s="2" t="s">
        <v>11</v>
      </c>
      <c r="D28" s="1"/>
      <c r="E28" s="1" t="s">
        <v>12</v>
      </c>
      <c r="F28" s="3" t="s">
        <v>13</v>
      </c>
      <c r="G28" s="4">
        <v>0</v>
      </c>
      <c r="H28" s="40" t="s">
        <v>12</v>
      </c>
      <c r="J28" s="89" t="s">
        <v>589</v>
      </c>
    </row>
    <row r="29" spans="1:10" x14ac:dyDescent="0.2">
      <c r="A29" s="1"/>
      <c r="B29" s="1"/>
      <c r="C29" s="5"/>
      <c r="D29" s="1"/>
      <c r="E29" s="1"/>
      <c r="F29" s="6"/>
      <c r="G29" s="6"/>
      <c r="H29" s="40" t="s">
        <v>12</v>
      </c>
    </row>
    <row r="30" spans="1:10" x14ac:dyDescent="0.2">
      <c r="A30" s="1"/>
      <c r="B30" s="1"/>
      <c r="C30" s="2" t="s">
        <v>63</v>
      </c>
      <c r="D30" s="1"/>
      <c r="E30" s="1"/>
      <c r="F30" s="1"/>
      <c r="G30" s="1"/>
      <c r="H30" s="40" t="s">
        <v>12</v>
      </c>
    </row>
    <row r="31" spans="1:10" x14ac:dyDescent="0.2">
      <c r="A31" s="1"/>
      <c r="B31" s="1"/>
      <c r="C31" s="2" t="s">
        <v>11</v>
      </c>
      <c r="D31" s="1"/>
      <c r="E31" s="1" t="s">
        <v>12</v>
      </c>
      <c r="F31" s="3" t="s">
        <v>13</v>
      </c>
      <c r="G31" s="4">
        <v>0</v>
      </c>
      <c r="H31" s="40" t="s">
        <v>12</v>
      </c>
    </row>
    <row r="32" spans="1:10" x14ac:dyDescent="0.2">
      <c r="A32" s="1"/>
      <c r="B32" s="1"/>
      <c r="C32" s="5"/>
      <c r="D32" s="1"/>
      <c r="E32" s="1"/>
      <c r="F32" s="6"/>
      <c r="G32" s="6"/>
      <c r="H32" s="40" t="s">
        <v>12</v>
      </c>
    </row>
    <row r="33" spans="1:8" x14ac:dyDescent="0.2">
      <c r="A33" s="1"/>
      <c r="B33" s="1"/>
      <c r="C33" s="2" t="s">
        <v>64</v>
      </c>
      <c r="D33" s="1"/>
      <c r="E33" s="1"/>
      <c r="F33" s="1"/>
      <c r="G33" s="1"/>
      <c r="H33" s="40" t="s">
        <v>12</v>
      </c>
    </row>
    <row r="34" spans="1:8" x14ac:dyDescent="0.2">
      <c r="A34" s="1"/>
      <c r="B34" s="1"/>
      <c r="C34" s="2" t="s">
        <v>11</v>
      </c>
      <c r="D34" s="1"/>
      <c r="E34" s="1" t="s">
        <v>12</v>
      </c>
      <c r="F34" s="3" t="s">
        <v>13</v>
      </c>
      <c r="G34" s="4">
        <v>0</v>
      </c>
      <c r="H34" s="40" t="s">
        <v>12</v>
      </c>
    </row>
    <row r="35" spans="1:8" x14ac:dyDescent="0.2">
      <c r="A35" s="1"/>
      <c r="B35" s="1"/>
      <c r="C35" s="5"/>
      <c r="D35" s="1"/>
      <c r="E35" s="1"/>
      <c r="F35" s="6"/>
      <c r="G35" s="6"/>
      <c r="H35" s="40" t="s">
        <v>12</v>
      </c>
    </row>
    <row r="36" spans="1:8" x14ac:dyDescent="0.2">
      <c r="A36" s="1"/>
      <c r="B36" s="1"/>
      <c r="C36" s="2" t="s">
        <v>74</v>
      </c>
      <c r="D36" s="1"/>
      <c r="E36" s="1"/>
      <c r="F36" s="6"/>
      <c r="G36" s="6"/>
      <c r="H36" s="40" t="s">
        <v>12</v>
      </c>
    </row>
    <row r="37" spans="1:8" x14ac:dyDescent="0.2">
      <c r="A37" s="1"/>
      <c r="B37" s="1"/>
      <c r="C37" s="2" t="s">
        <v>11</v>
      </c>
      <c r="D37" s="1"/>
      <c r="E37" s="1" t="s">
        <v>12</v>
      </c>
      <c r="F37" s="3" t="s">
        <v>13</v>
      </c>
      <c r="G37" s="4">
        <v>0</v>
      </c>
      <c r="H37" s="40" t="s">
        <v>12</v>
      </c>
    </row>
    <row r="38" spans="1:8" x14ac:dyDescent="0.2">
      <c r="A38" s="1"/>
      <c r="B38" s="1"/>
      <c r="C38" s="5"/>
      <c r="D38" s="1"/>
      <c r="E38" s="1"/>
      <c r="F38" s="6"/>
      <c r="G38" s="6"/>
      <c r="H38" s="40" t="s">
        <v>12</v>
      </c>
    </row>
    <row r="39" spans="1:8" x14ac:dyDescent="0.2">
      <c r="A39" s="1"/>
      <c r="B39" s="1"/>
      <c r="C39" s="2" t="s">
        <v>75</v>
      </c>
      <c r="D39" s="1"/>
      <c r="E39" s="1"/>
      <c r="F39" s="7">
        <v>0</v>
      </c>
      <c r="G39" s="4">
        <v>0</v>
      </c>
      <c r="H39" s="40" t="s">
        <v>12</v>
      </c>
    </row>
    <row r="40" spans="1:8" x14ac:dyDescent="0.2">
      <c r="A40" s="1"/>
      <c r="B40" s="1"/>
      <c r="C40" s="5"/>
      <c r="D40" s="1"/>
      <c r="E40" s="1"/>
      <c r="F40" s="6"/>
      <c r="G40" s="6"/>
      <c r="H40" s="40" t="s">
        <v>12</v>
      </c>
    </row>
    <row r="41" spans="1:8" x14ac:dyDescent="0.2">
      <c r="A41" s="1"/>
      <c r="B41" s="1"/>
      <c r="C41" s="2" t="s">
        <v>76</v>
      </c>
      <c r="D41" s="1"/>
      <c r="E41" s="1"/>
      <c r="F41" s="6"/>
      <c r="G41" s="6"/>
      <c r="H41" s="40" t="s">
        <v>12</v>
      </c>
    </row>
    <row r="42" spans="1:8" x14ac:dyDescent="0.2">
      <c r="A42" s="1"/>
      <c r="B42" s="1"/>
      <c r="C42" s="2" t="s">
        <v>77</v>
      </c>
      <c r="D42" s="1"/>
      <c r="E42" s="1"/>
      <c r="F42" s="6"/>
      <c r="G42" s="6"/>
      <c r="H42" s="40" t="s">
        <v>12</v>
      </c>
    </row>
    <row r="43" spans="1:8" x14ac:dyDescent="0.2">
      <c r="A43" s="1"/>
      <c r="B43" s="1"/>
      <c r="C43" s="2" t="s">
        <v>11</v>
      </c>
      <c r="D43" s="1"/>
      <c r="E43" s="1" t="s">
        <v>12</v>
      </c>
      <c r="F43" s="3" t="s">
        <v>13</v>
      </c>
      <c r="G43" s="4">
        <v>0</v>
      </c>
      <c r="H43" s="40" t="s">
        <v>12</v>
      </c>
    </row>
    <row r="44" spans="1:8" x14ac:dyDescent="0.2">
      <c r="A44" s="1"/>
      <c r="B44" s="1"/>
      <c r="C44" s="5"/>
      <c r="D44" s="1"/>
      <c r="E44" s="1"/>
      <c r="F44" s="6"/>
      <c r="G44" s="6"/>
      <c r="H44" s="40" t="s">
        <v>12</v>
      </c>
    </row>
    <row r="45" spans="1:8" x14ac:dyDescent="0.2">
      <c r="A45" s="1"/>
      <c r="B45" s="1"/>
      <c r="C45" s="2" t="s">
        <v>78</v>
      </c>
      <c r="D45" s="1"/>
      <c r="E45" s="1"/>
      <c r="F45" s="6"/>
      <c r="G45" s="6"/>
      <c r="H45" s="40" t="s">
        <v>12</v>
      </c>
    </row>
    <row r="46" spans="1:8" x14ac:dyDescent="0.2">
      <c r="A46" s="1"/>
      <c r="B46" s="1"/>
      <c r="C46" s="2" t="s">
        <v>11</v>
      </c>
      <c r="D46" s="1"/>
      <c r="E46" s="1" t="s">
        <v>12</v>
      </c>
      <c r="F46" s="3" t="s">
        <v>13</v>
      </c>
      <c r="G46" s="4">
        <v>0</v>
      </c>
      <c r="H46" s="40" t="s">
        <v>12</v>
      </c>
    </row>
    <row r="47" spans="1:8" x14ac:dyDescent="0.2">
      <c r="A47" s="1"/>
      <c r="B47" s="1"/>
      <c r="C47" s="5"/>
      <c r="D47" s="1"/>
      <c r="E47" s="1"/>
      <c r="F47" s="6"/>
      <c r="G47" s="6"/>
      <c r="H47" s="40" t="s">
        <v>12</v>
      </c>
    </row>
    <row r="48" spans="1:8" x14ac:dyDescent="0.2">
      <c r="A48" s="1"/>
      <c r="B48" s="1"/>
      <c r="C48" s="2" t="s">
        <v>79</v>
      </c>
      <c r="D48" s="1"/>
      <c r="E48" s="1"/>
      <c r="F48" s="6"/>
      <c r="G48" s="6"/>
      <c r="H48" s="40" t="s">
        <v>12</v>
      </c>
    </row>
    <row r="49" spans="1:8" x14ac:dyDescent="0.2">
      <c r="A49" s="8">
        <v>1</v>
      </c>
      <c r="B49" s="9" t="s">
        <v>479</v>
      </c>
      <c r="C49" s="9" t="s">
        <v>480</v>
      </c>
      <c r="D49" s="9" t="s">
        <v>67</v>
      </c>
      <c r="E49" s="10">
        <v>2000000</v>
      </c>
      <c r="F49" s="11">
        <v>1998.13</v>
      </c>
      <c r="G49" s="12">
        <v>1.7921880000000001E-2</v>
      </c>
      <c r="H49" s="40">
        <v>6.83</v>
      </c>
    </row>
    <row r="50" spans="1:8" x14ac:dyDescent="0.2">
      <c r="A50" s="8">
        <v>2</v>
      </c>
      <c r="B50" s="9" t="s">
        <v>481</v>
      </c>
      <c r="C50" s="9" t="s">
        <v>482</v>
      </c>
      <c r="D50" s="9" t="s">
        <v>67</v>
      </c>
      <c r="E50" s="10">
        <v>1000000</v>
      </c>
      <c r="F50" s="11">
        <v>997.80200000000002</v>
      </c>
      <c r="G50" s="12">
        <v>8.9496100000000002E-3</v>
      </c>
      <c r="H50" s="40">
        <v>6.7</v>
      </c>
    </row>
    <row r="51" spans="1:8" x14ac:dyDescent="0.2">
      <c r="A51" s="8">
        <v>3</v>
      </c>
      <c r="B51" s="9" t="s">
        <v>483</v>
      </c>
      <c r="C51" s="9" t="s">
        <v>484</v>
      </c>
      <c r="D51" s="9" t="s">
        <v>67</v>
      </c>
      <c r="E51" s="10">
        <v>1000000</v>
      </c>
      <c r="F51" s="11">
        <v>996.53499999999997</v>
      </c>
      <c r="G51" s="12">
        <v>8.93825E-3</v>
      </c>
      <c r="H51" s="40">
        <v>6.6787999999999998</v>
      </c>
    </row>
    <row r="52" spans="1:8" x14ac:dyDescent="0.2">
      <c r="A52" s="8">
        <v>4</v>
      </c>
      <c r="B52" s="9" t="s">
        <v>485</v>
      </c>
      <c r="C52" s="9" t="s">
        <v>486</v>
      </c>
      <c r="D52" s="9" t="s">
        <v>67</v>
      </c>
      <c r="E52" s="10">
        <v>500000</v>
      </c>
      <c r="F52" s="11">
        <v>498.26749999999998</v>
      </c>
      <c r="G52" s="12">
        <v>4.46912E-3</v>
      </c>
      <c r="H52" s="40">
        <v>6.6787999999999998</v>
      </c>
    </row>
    <row r="53" spans="1:8" x14ac:dyDescent="0.2">
      <c r="A53" s="8">
        <v>5</v>
      </c>
      <c r="B53" s="9" t="s">
        <v>348</v>
      </c>
      <c r="C53" s="9" t="s">
        <v>349</v>
      </c>
      <c r="D53" s="9" t="s">
        <v>67</v>
      </c>
      <c r="E53" s="10">
        <v>500000</v>
      </c>
      <c r="F53" s="11">
        <v>497.63400000000001</v>
      </c>
      <c r="G53" s="12">
        <v>4.4634399999999999E-3</v>
      </c>
      <c r="H53" s="40">
        <v>6.6749999999999998</v>
      </c>
    </row>
    <row r="54" spans="1:8" x14ac:dyDescent="0.2">
      <c r="A54" s="1"/>
      <c r="B54" s="1"/>
      <c r="C54" s="2" t="s">
        <v>11</v>
      </c>
      <c r="D54" s="1"/>
      <c r="E54" s="1" t="s">
        <v>12</v>
      </c>
      <c r="F54" s="7">
        <v>4988.3684999999996</v>
      </c>
      <c r="G54" s="4">
        <v>4.4742299999999999E-2</v>
      </c>
      <c r="H54" s="40" t="s">
        <v>12</v>
      </c>
    </row>
    <row r="55" spans="1:8" x14ac:dyDescent="0.2">
      <c r="A55" s="1"/>
      <c r="B55" s="1"/>
      <c r="C55" s="5"/>
      <c r="D55" s="1"/>
      <c r="E55" s="1"/>
      <c r="F55" s="6"/>
      <c r="G55" s="6"/>
      <c r="H55" s="40" t="s">
        <v>12</v>
      </c>
    </row>
    <row r="56" spans="1:8" x14ac:dyDescent="0.2">
      <c r="A56" s="1"/>
      <c r="B56" s="1"/>
      <c r="C56" s="2" t="s">
        <v>80</v>
      </c>
      <c r="D56" s="1"/>
      <c r="E56" s="1"/>
      <c r="F56" s="6"/>
      <c r="G56" s="6"/>
      <c r="H56" s="40" t="s">
        <v>12</v>
      </c>
    </row>
    <row r="57" spans="1:8" x14ac:dyDescent="0.2">
      <c r="A57" s="8">
        <v>1</v>
      </c>
      <c r="B57" s="9"/>
      <c r="C57" s="9" t="s">
        <v>81</v>
      </c>
      <c r="D57" s="9"/>
      <c r="E57" s="13"/>
      <c r="F57" s="11">
        <v>55001.212240973997</v>
      </c>
      <c r="G57" s="12">
        <v>0.49332385000000001</v>
      </c>
      <c r="H57" s="40">
        <v>6.6416448321270405</v>
      </c>
    </row>
    <row r="58" spans="1:8" x14ac:dyDescent="0.2">
      <c r="A58" s="8">
        <v>2</v>
      </c>
      <c r="B58" s="9"/>
      <c r="C58" s="9" t="s">
        <v>487</v>
      </c>
      <c r="D58" s="9"/>
      <c r="E58" s="13"/>
      <c r="F58" s="11">
        <v>50799.166666700003</v>
      </c>
      <c r="G58" s="12">
        <v>0.45563432999999998</v>
      </c>
      <c r="H58" s="40">
        <v>6.75</v>
      </c>
    </row>
    <row r="59" spans="1:8" x14ac:dyDescent="0.2">
      <c r="A59" s="1"/>
      <c r="B59" s="1"/>
      <c r="C59" s="2" t="s">
        <v>11</v>
      </c>
      <c r="D59" s="1"/>
      <c r="E59" s="1" t="s">
        <v>12</v>
      </c>
      <c r="F59" s="7">
        <v>105800.37890767401</v>
      </c>
      <c r="G59" s="4">
        <v>0.94895817999999998</v>
      </c>
      <c r="H59" s="40" t="s">
        <v>12</v>
      </c>
    </row>
    <row r="60" spans="1:8" x14ac:dyDescent="0.2">
      <c r="A60" s="1"/>
      <c r="B60" s="1"/>
      <c r="C60" s="5"/>
      <c r="D60" s="1"/>
      <c r="E60" s="1"/>
      <c r="F60" s="6"/>
      <c r="G60" s="6"/>
      <c r="H60" s="40" t="s">
        <v>12</v>
      </c>
    </row>
    <row r="61" spans="1:8" x14ac:dyDescent="0.2">
      <c r="A61" s="1"/>
      <c r="B61" s="1"/>
      <c r="C61" s="2" t="s">
        <v>82</v>
      </c>
      <c r="D61" s="1"/>
      <c r="E61" s="1"/>
      <c r="F61" s="7">
        <v>110788.747407674</v>
      </c>
      <c r="G61" s="4">
        <v>0.99370048</v>
      </c>
      <c r="H61" s="40" t="s">
        <v>12</v>
      </c>
    </row>
    <row r="62" spans="1:8" x14ac:dyDescent="0.2">
      <c r="A62" s="1"/>
      <c r="B62" s="1"/>
      <c r="C62" s="6"/>
      <c r="D62" s="1"/>
      <c r="E62" s="1"/>
      <c r="F62" s="1"/>
      <c r="G62" s="1"/>
      <c r="H62" s="40" t="s">
        <v>12</v>
      </c>
    </row>
    <row r="63" spans="1:8" x14ac:dyDescent="0.2">
      <c r="A63" s="1"/>
      <c r="B63" s="1"/>
      <c r="C63" s="2" t="s">
        <v>83</v>
      </c>
      <c r="D63" s="1"/>
      <c r="E63" s="1"/>
      <c r="F63" s="1"/>
      <c r="G63" s="1"/>
      <c r="H63" s="40" t="s">
        <v>12</v>
      </c>
    </row>
    <row r="64" spans="1:8" x14ac:dyDescent="0.2">
      <c r="A64" s="1"/>
      <c r="B64" s="1"/>
      <c r="C64" s="2" t="s">
        <v>84</v>
      </c>
      <c r="D64" s="1"/>
      <c r="E64" s="1"/>
      <c r="F64" s="1"/>
      <c r="G64" s="1"/>
      <c r="H64" s="40" t="s">
        <v>12</v>
      </c>
    </row>
    <row r="65" spans="1:8" x14ac:dyDescent="0.2">
      <c r="A65" s="1"/>
      <c r="B65" s="1"/>
      <c r="C65" s="2" t="s">
        <v>11</v>
      </c>
      <c r="D65" s="1"/>
      <c r="E65" s="1" t="s">
        <v>12</v>
      </c>
      <c r="F65" s="3" t="s">
        <v>13</v>
      </c>
      <c r="G65" s="4">
        <v>0</v>
      </c>
      <c r="H65" s="40" t="s">
        <v>12</v>
      </c>
    </row>
    <row r="66" spans="1:8" x14ac:dyDescent="0.2">
      <c r="A66" s="1"/>
      <c r="B66" s="1"/>
      <c r="C66" s="5"/>
      <c r="D66" s="1"/>
      <c r="E66" s="1"/>
      <c r="F66" s="6"/>
      <c r="G66" s="6"/>
      <c r="H66" s="40" t="s">
        <v>12</v>
      </c>
    </row>
    <row r="67" spans="1:8" x14ac:dyDescent="0.2">
      <c r="A67" s="1"/>
      <c r="B67" s="1"/>
      <c r="C67" s="2" t="s">
        <v>87</v>
      </c>
      <c r="D67" s="1"/>
      <c r="E67" s="1"/>
      <c r="F67" s="1"/>
      <c r="G67" s="1"/>
      <c r="H67" s="40" t="s">
        <v>12</v>
      </c>
    </row>
    <row r="68" spans="1:8" x14ac:dyDescent="0.2">
      <c r="A68" s="1"/>
      <c r="B68" s="1"/>
      <c r="C68" s="2" t="s">
        <v>88</v>
      </c>
      <c r="D68" s="1"/>
      <c r="E68" s="1"/>
      <c r="F68" s="1"/>
      <c r="G68" s="1"/>
      <c r="H68" s="40" t="s">
        <v>12</v>
      </c>
    </row>
    <row r="69" spans="1:8" x14ac:dyDescent="0.2">
      <c r="A69" s="1"/>
      <c r="B69" s="1"/>
      <c r="C69" s="2" t="s">
        <v>11</v>
      </c>
      <c r="D69" s="1"/>
      <c r="E69" s="1" t="s">
        <v>12</v>
      </c>
      <c r="F69" s="3" t="s">
        <v>13</v>
      </c>
      <c r="G69" s="4">
        <v>0</v>
      </c>
      <c r="H69" s="40" t="s">
        <v>12</v>
      </c>
    </row>
    <row r="70" spans="1:8" x14ac:dyDescent="0.2">
      <c r="A70" s="1"/>
      <c r="B70" s="1"/>
      <c r="C70" s="5"/>
      <c r="D70" s="1"/>
      <c r="E70" s="1"/>
      <c r="F70" s="6"/>
      <c r="G70" s="6"/>
      <c r="H70" s="40" t="s">
        <v>12</v>
      </c>
    </row>
    <row r="71" spans="1:8" x14ac:dyDescent="0.2">
      <c r="A71" s="1"/>
      <c r="B71" s="1"/>
      <c r="C71" s="2" t="s">
        <v>89</v>
      </c>
      <c r="D71" s="1"/>
      <c r="E71" s="1"/>
      <c r="F71" s="6"/>
      <c r="G71" s="6"/>
      <c r="H71" s="40" t="s">
        <v>12</v>
      </c>
    </row>
    <row r="72" spans="1:8" x14ac:dyDescent="0.2">
      <c r="A72" s="1"/>
      <c r="B72" s="1"/>
      <c r="C72" s="2" t="s">
        <v>11</v>
      </c>
      <c r="D72" s="1"/>
      <c r="E72" s="1" t="s">
        <v>12</v>
      </c>
      <c r="F72" s="3" t="s">
        <v>13</v>
      </c>
      <c r="G72" s="4">
        <v>0</v>
      </c>
      <c r="H72" s="40" t="s">
        <v>12</v>
      </c>
    </row>
    <row r="73" spans="1:8" x14ac:dyDescent="0.2">
      <c r="A73" s="1"/>
      <c r="B73" s="1"/>
      <c r="C73" s="5"/>
      <c r="D73" s="1"/>
      <c r="E73" s="1"/>
      <c r="F73" s="6"/>
      <c r="G73" s="6"/>
      <c r="H73" s="40" t="s">
        <v>12</v>
      </c>
    </row>
    <row r="74" spans="1:8" x14ac:dyDescent="0.2">
      <c r="A74" s="1"/>
      <c r="B74" s="9"/>
      <c r="C74" s="9"/>
      <c r="D74" s="2"/>
      <c r="E74" s="1"/>
      <c r="F74" s="9"/>
      <c r="G74" s="13"/>
      <c r="H74" s="40" t="s">
        <v>12</v>
      </c>
    </row>
    <row r="75" spans="1:8" x14ac:dyDescent="0.2">
      <c r="A75" s="13"/>
      <c r="B75" s="9"/>
      <c r="C75" s="9" t="s">
        <v>90</v>
      </c>
      <c r="D75" s="9"/>
      <c r="E75" s="13"/>
      <c r="F75" s="11">
        <v>702.34075459999997</v>
      </c>
      <c r="G75" s="12">
        <v>6.2995200000000003E-3</v>
      </c>
      <c r="H75" s="40" t="s">
        <v>12</v>
      </c>
    </row>
    <row r="76" spans="1:8" x14ac:dyDescent="0.2">
      <c r="A76" s="5"/>
      <c r="B76" s="5"/>
      <c r="C76" s="2" t="s">
        <v>91</v>
      </c>
      <c r="D76" s="6"/>
      <c r="E76" s="6"/>
      <c r="F76" s="7">
        <v>111491.088162274</v>
      </c>
      <c r="G76" s="15">
        <v>1</v>
      </c>
      <c r="H76" s="40"/>
    </row>
    <row r="77" spans="1:8" x14ac:dyDescent="0.2">
      <c r="A77" s="16"/>
      <c r="B77" s="16"/>
      <c r="C77" s="16"/>
      <c r="D77" s="17"/>
      <c r="E77" s="17"/>
      <c r="F77" s="17"/>
      <c r="G77" s="17"/>
    </row>
    <row r="78" spans="1:8" ht="12.75" customHeight="1" x14ac:dyDescent="0.2">
      <c r="A78" s="18"/>
      <c r="B78" s="102" t="s">
        <v>493</v>
      </c>
      <c r="C78" s="102"/>
      <c r="D78" s="102"/>
      <c r="E78" s="102"/>
      <c r="F78" s="102"/>
      <c r="G78" s="102"/>
      <c r="H78" s="102"/>
    </row>
    <row r="79" spans="1:8" ht="12.75" customHeight="1" x14ac:dyDescent="0.2">
      <c r="A79" s="18"/>
      <c r="B79" s="102" t="s">
        <v>494</v>
      </c>
      <c r="C79" s="102"/>
      <c r="D79" s="102"/>
      <c r="E79" s="102"/>
      <c r="F79" s="102"/>
      <c r="G79" s="102"/>
      <c r="H79" s="102"/>
    </row>
    <row r="80" spans="1:8" ht="12.75" customHeight="1" x14ac:dyDescent="0.2">
      <c r="A80" s="18"/>
      <c r="B80" s="102" t="s">
        <v>495</v>
      </c>
      <c r="C80" s="102"/>
      <c r="D80" s="102"/>
      <c r="E80" s="102"/>
      <c r="F80" s="102"/>
      <c r="G80" s="102"/>
      <c r="H80" s="102"/>
    </row>
    <row r="81" spans="1:8" x14ac:dyDescent="0.2">
      <c r="A81" s="18"/>
      <c r="B81" s="18"/>
      <c r="C81" s="18"/>
      <c r="D81" s="20"/>
      <c r="E81" s="20"/>
      <c r="F81" s="20"/>
      <c r="G81" s="20"/>
    </row>
    <row r="82" spans="1:8" ht="14.1" customHeight="1" x14ac:dyDescent="0.2">
      <c r="A82" s="18"/>
      <c r="B82" s="103" t="s">
        <v>92</v>
      </c>
      <c r="C82" s="104"/>
      <c r="D82" s="105"/>
      <c r="E82" s="21"/>
      <c r="F82" s="20"/>
      <c r="G82" s="20"/>
    </row>
    <row r="83" spans="1:8" ht="29.1" customHeight="1" x14ac:dyDescent="0.2">
      <c r="A83" s="18"/>
      <c r="B83" s="99" t="s">
        <v>93</v>
      </c>
      <c r="C83" s="100"/>
      <c r="D83" s="2" t="s">
        <v>94</v>
      </c>
      <c r="E83" s="21"/>
      <c r="F83" s="20"/>
      <c r="G83" s="20"/>
    </row>
    <row r="84" spans="1:8" ht="17.100000000000001" customHeight="1" x14ac:dyDescent="0.2">
      <c r="A84" s="18"/>
      <c r="B84" s="99" t="s">
        <v>95</v>
      </c>
      <c r="C84" s="100"/>
      <c r="D84" s="2" t="s">
        <v>94</v>
      </c>
      <c r="E84" s="21"/>
      <c r="F84" s="20"/>
      <c r="G84" s="20"/>
    </row>
    <row r="85" spans="1:8" ht="17.100000000000001" customHeight="1" x14ac:dyDescent="0.2">
      <c r="A85" s="18"/>
      <c r="B85" s="99" t="s">
        <v>96</v>
      </c>
      <c r="C85" s="100"/>
      <c r="D85" s="6" t="s">
        <v>12</v>
      </c>
      <c r="E85" s="21"/>
      <c r="F85" s="20"/>
      <c r="G85" s="20"/>
    </row>
    <row r="86" spans="1:8" x14ac:dyDescent="0.2">
      <c r="A86" s="22"/>
      <c r="B86" s="23" t="s">
        <v>12</v>
      </c>
      <c r="C86" s="23" t="s">
        <v>531</v>
      </c>
      <c r="D86" s="23" t="s">
        <v>97</v>
      </c>
      <c r="E86" s="22"/>
      <c r="F86" s="22"/>
      <c r="G86" s="22"/>
      <c r="H86" s="87"/>
    </row>
    <row r="87" spans="1:8" ht="18" customHeight="1" x14ac:dyDescent="0.2">
      <c r="A87" s="22"/>
      <c r="B87" s="24" t="s">
        <v>98</v>
      </c>
      <c r="C87" s="98" t="s">
        <v>594</v>
      </c>
      <c r="D87" s="98" t="s">
        <v>529</v>
      </c>
      <c r="E87" s="22"/>
      <c r="F87" s="22"/>
      <c r="G87" s="22"/>
    </row>
    <row r="88" spans="1:8" ht="17.100000000000001" customHeight="1" x14ac:dyDescent="0.2">
      <c r="A88" s="22"/>
      <c r="B88" s="9" t="s">
        <v>99</v>
      </c>
      <c r="C88" s="25">
        <v>1282.4763</v>
      </c>
      <c r="D88" s="25">
        <v>1286.1772000000001</v>
      </c>
      <c r="E88" s="22"/>
      <c r="F88" s="19"/>
      <c r="G88" s="26"/>
    </row>
    <row r="89" spans="1:8" ht="29.1" customHeight="1" x14ac:dyDescent="0.2">
      <c r="A89" s="22"/>
      <c r="B89" s="9" t="s">
        <v>547</v>
      </c>
      <c r="C89" s="25">
        <v>1000.03</v>
      </c>
      <c r="D89" s="25">
        <v>1000.03</v>
      </c>
      <c r="E89" s="22"/>
      <c r="F89" s="19"/>
      <c r="G89" s="26"/>
    </row>
    <row r="90" spans="1:8" ht="29.1" customHeight="1" x14ac:dyDescent="0.2">
      <c r="A90" s="22"/>
      <c r="B90" s="9" t="s">
        <v>548</v>
      </c>
      <c r="C90" s="25">
        <v>1049.251</v>
      </c>
      <c r="D90" s="25">
        <v>1049.6049</v>
      </c>
      <c r="E90" s="22"/>
      <c r="F90" s="19"/>
      <c r="G90" s="26"/>
    </row>
    <row r="91" spans="1:8" ht="29.1" customHeight="1" x14ac:dyDescent="0.2">
      <c r="A91" s="22"/>
      <c r="B91" s="9" t="s">
        <v>553</v>
      </c>
      <c r="C91" s="25">
        <v>1064.54</v>
      </c>
      <c r="D91" s="25">
        <v>1064.9096</v>
      </c>
      <c r="E91" s="22"/>
      <c r="F91" s="19"/>
      <c r="G91" s="26"/>
    </row>
    <row r="92" spans="1:8" ht="29.1" customHeight="1" x14ac:dyDescent="0.2">
      <c r="A92" s="22"/>
      <c r="B92" s="9" t="s">
        <v>544</v>
      </c>
      <c r="C92" s="25">
        <v>1047.7106000000001</v>
      </c>
      <c r="D92" s="25">
        <v>1044.9585999999999</v>
      </c>
      <c r="E92" s="22"/>
      <c r="F92" s="19"/>
      <c r="G92" s="26"/>
    </row>
    <row r="93" spans="1:8" ht="17.100000000000001" customHeight="1" x14ac:dyDescent="0.2">
      <c r="A93" s="22"/>
      <c r="B93" s="9" t="s">
        <v>100</v>
      </c>
      <c r="C93" s="25">
        <v>1275.9554000000001</v>
      </c>
      <c r="D93" s="25">
        <v>1279.576</v>
      </c>
      <c r="E93" s="22"/>
      <c r="F93" s="19"/>
      <c r="G93" s="26"/>
    </row>
    <row r="94" spans="1:8" ht="29.1" customHeight="1" x14ac:dyDescent="0.2">
      <c r="A94" s="22"/>
      <c r="B94" s="9" t="s">
        <v>550</v>
      </c>
      <c r="C94" s="25">
        <v>1000.03</v>
      </c>
      <c r="D94" s="25">
        <v>1000.03</v>
      </c>
      <c r="E94" s="22"/>
      <c r="F94" s="19"/>
      <c r="G94" s="26"/>
    </row>
    <row r="95" spans="1:8" ht="29.1" customHeight="1" x14ac:dyDescent="0.2">
      <c r="A95" s="22"/>
      <c r="B95" s="9" t="s">
        <v>551</v>
      </c>
      <c r="C95" s="25">
        <v>1048.0908999999999</v>
      </c>
      <c r="D95" s="25">
        <v>1048.4848</v>
      </c>
      <c r="E95" s="22"/>
      <c r="F95" s="19"/>
      <c r="G95" s="26"/>
    </row>
    <row r="96" spans="1:8" ht="29.1" customHeight="1" x14ac:dyDescent="0.2">
      <c r="A96" s="22"/>
      <c r="B96" s="9" t="s">
        <v>552</v>
      </c>
      <c r="C96" s="25">
        <v>1065.9456</v>
      </c>
      <c r="D96" s="25">
        <v>1066.3092999999999</v>
      </c>
      <c r="E96" s="22"/>
      <c r="F96" s="19"/>
      <c r="G96" s="26"/>
    </row>
    <row r="97" spans="1:9" ht="29.1" customHeight="1" x14ac:dyDescent="0.2">
      <c r="A97" s="22"/>
      <c r="B97" s="9" t="s">
        <v>546</v>
      </c>
      <c r="C97" s="25">
        <v>1043.4906000000001</v>
      </c>
      <c r="D97" s="25">
        <v>1041.1976999999999</v>
      </c>
      <c r="E97" s="22"/>
      <c r="F97" s="19"/>
      <c r="G97" s="26"/>
    </row>
    <row r="98" spans="1:9" ht="41.1" customHeight="1" x14ac:dyDescent="0.2">
      <c r="A98" s="22"/>
      <c r="B98" s="9" t="s">
        <v>554</v>
      </c>
      <c r="C98" s="25">
        <v>1000</v>
      </c>
      <c r="D98" s="25">
        <v>1000</v>
      </c>
      <c r="E98" s="22"/>
      <c r="F98" s="19"/>
      <c r="G98" s="26"/>
    </row>
    <row r="99" spans="1:9" ht="41.1" customHeight="1" x14ac:dyDescent="0.2">
      <c r="A99" s="22"/>
      <c r="B99" s="9" t="s">
        <v>555</v>
      </c>
      <c r="C99" s="25">
        <v>1142.3050000000001</v>
      </c>
      <c r="D99" s="25">
        <v>1145.6015</v>
      </c>
      <c r="E99" s="22"/>
      <c r="F99" s="19"/>
      <c r="G99" s="26"/>
    </row>
    <row r="100" spans="1:9" ht="41.1" customHeight="1" x14ac:dyDescent="0.2">
      <c r="A100" s="22"/>
      <c r="B100" s="9" t="s">
        <v>488</v>
      </c>
      <c r="C100" s="25">
        <v>1142.2910999999999</v>
      </c>
      <c r="D100" s="25">
        <v>1145.5875000000001</v>
      </c>
      <c r="E100" s="22"/>
      <c r="F100" s="19"/>
      <c r="G100" s="26"/>
    </row>
    <row r="101" spans="1:9" ht="41.1" customHeight="1" x14ac:dyDescent="0.2">
      <c r="A101" s="22"/>
      <c r="B101" s="9" t="s">
        <v>489</v>
      </c>
      <c r="C101" s="25">
        <v>1000</v>
      </c>
      <c r="D101" s="25">
        <v>1000</v>
      </c>
      <c r="E101" s="22"/>
      <c r="F101" s="19"/>
      <c r="G101" s="26"/>
    </row>
    <row r="102" spans="1:9" ht="14.1" customHeight="1" x14ac:dyDescent="0.2">
      <c r="A102" s="22"/>
      <c r="B102" s="22"/>
      <c r="C102" s="22"/>
      <c r="D102" s="22"/>
      <c r="E102" s="22"/>
      <c r="F102" s="22"/>
      <c r="G102" s="22"/>
    </row>
    <row r="103" spans="1:9" ht="17.100000000000001" customHeight="1" x14ac:dyDescent="0.2">
      <c r="A103" s="22"/>
      <c r="B103" s="99" t="s">
        <v>540</v>
      </c>
      <c r="C103" s="100"/>
      <c r="D103" s="2" t="s">
        <v>12</v>
      </c>
      <c r="E103" s="22"/>
      <c r="F103" s="22"/>
      <c r="G103" s="22"/>
    </row>
    <row r="104" spans="1:9" ht="18" customHeight="1" x14ac:dyDescent="0.2">
      <c r="A104" s="22"/>
      <c r="B104" s="27" t="s">
        <v>98</v>
      </c>
      <c r="C104" s="28" t="s">
        <v>101</v>
      </c>
      <c r="D104" s="28" t="s">
        <v>102</v>
      </c>
      <c r="E104" s="22"/>
      <c r="F104" s="22"/>
      <c r="G104" s="22"/>
    </row>
    <row r="105" spans="1:9" ht="29.1" customHeight="1" x14ac:dyDescent="0.2">
      <c r="A105" s="22"/>
      <c r="B105" s="9" t="s">
        <v>547</v>
      </c>
      <c r="C105" s="29">
        <v>2.8822679999999998</v>
      </c>
      <c r="D105" s="13" t="s">
        <v>103</v>
      </c>
      <c r="E105" s="22"/>
      <c r="F105" s="19"/>
      <c r="G105" s="26"/>
    </row>
    <row r="106" spans="1:9" ht="29.1" customHeight="1" x14ac:dyDescent="0.2">
      <c r="A106" s="22"/>
      <c r="B106" s="9" t="s">
        <v>548</v>
      </c>
      <c r="C106" s="29">
        <v>4.0332999999999997</v>
      </c>
      <c r="D106" s="13" t="s">
        <v>103</v>
      </c>
      <c r="E106" s="22"/>
      <c r="F106" s="19"/>
      <c r="G106" s="26"/>
    </row>
    <row r="107" spans="1:9" ht="29.1" customHeight="1" x14ac:dyDescent="0.2">
      <c r="A107" s="22"/>
      <c r="B107" s="9" t="s">
        <v>553</v>
      </c>
      <c r="C107" s="29">
        <v>2.7315999999999998</v>
      </c>
      <c r="D107" s="13" t="s">
        <v>103</v>
      </c>
      <c r="E107" s="22"/>
      <c r="F107" s="19"/>
      <c r="G107" s="26"/>
    </row>
    <row r="108" spans="1:9" ht="29.1" customHeight="1" x14ac:dyDescent="0.2">
      <c r="A108" s="22"/>
      <c r="B108" s="9" t="s">
        <v>544</v>
      </c>
      <c r="C108" s="29">
        <v>5.7674000000000003</v>
      </c>
      <c r="D108" s="13" t="s">
        <v>103</v>
      </c>
      <c r="E108" s="22"/>
      <c r="F108" s="19"/>
      <c r="G108" s="26"/>
    </row>
    <row r="109" spans="1:9" ht="29.1" customHeight="1" x14ac:dyDescent="0.2">
      <c r="A109" s="22"/>
      <c r="B109" s="9" t="s">
        <v>550</v>
      </c>
      <c r="C109" s="29">
        <v>2.8246660000000001</v>
      </c>
      <c r="D109" s="13" t="s">
        <v>103</v>
      </c>
      <c r="E109" s="22"/>
      <c r="F109" s="19"/>
      <c r="G109" s="26"/>
    </row>
    <row r="110" spans="1:9" ht="29.1" customHeight="1" x14ac:dyDescent="0.2">
      <c r="A110" s="22"/>
      <c r="B110" s="9" t="s">
        <v>551</v>
      </c>
      <c r="C110" s="29">
        <v>3.7785000000000002</v>
      </c>
      <c r="D110" s="13" t="s">
        <v>103</v>
      </c>
      <c r="E110" s="22"/>
      <c r="F110" s="19"/>
      <c r="G110" s="26"/>
      <c r="I110" s="45"/>
    </row>
    <row r="111" spans="1:9" ht="29.1" customHeight="1" x14ac:dyDescent="0.2">
      <c r="A111" s="22"/>
      <c r="B111" s="9" t="s">
        <v>552</v>
      </c>
      <c r="C111" s="29">
        <v>2.6583000000000001</v>
      </c>
      <c r="D111" s="13" t="s">
        <v>103</v>
      </c>
      <c r="E111" s="22"/>
      <c r="F111" s="19"/>
      <c r="G111" s="26"/>
      <c r="I111" s="45"/>
    </row>
    <row r="112" spans="1:9" ht="29.1" customHeight="1" x14ac:dyDescent="0.2">
      <c r="A112" s="22"/>
      <c r="B112" s="9" t="s">
        <v>546</v>
      </c>
      <c r="C112" s="29">
        <v>5.2215999999999996</v>
      </c>
      <c r="D112" s="13" t="s">
        <v>103</v>
      </c>
      <c r="E112" s="22"/>
      <c r="F112" s="19"/>
      <c r="G112" s="26"/>
      <c r="I112" s="45"/>
    </row>
    <row r="113" spans="1:22" x14ac:dyDescent="0.2">
      <c r="A113" s="22"/>
      <c r="B113" s="30"/>
      <c r="C113" s="30"/>
      <c r="D113" s="31"/>
      <c r="E113" s="22"/>
      <c r="F113" s="19"/>
      <c r="G113" s="26"/>
      <c r="I113" s="45"/>
    </row>
    <row r="114" spans="1:22" x14ac:dyDescent="0.2">
      <c r="A114" s="22"/>
      <c r="B114" s="99" t="s">
        <v>104</v>
      </c>
      <c r="C114" s="100"/>
      <c r="D114" s="2" t="s">
        <v>94</v>
      </c>
      <c r="E114" s="32"/>
      <c r="F114" s="22"/>
      <c r="G114" s="22"/>
      <c r="I114" s="45"/>
    </row>
    <row r="115" spans="1:22" x14ac:dyDescent="0.2">
      <c r="A115" s="22"/>
      <c r="B115" s="99" t="s">
        <v>105</v>
      </c>
      <c r="C115" s="100"/>
      <c r="D115" s="2" t="s">
        <v>94</v>
      </c>
      <c r="E115" s="32"/>
      <c r="F115" s="22"/>
      <c r="G115" s="22"/>
      <c r="I115" s="45"/>
    </row>
    <row r="116" spans="1:22" x14ac:dyDescent="0.2">
      <c r="A116" s="22"/>
      <c r="B116" s="99" t="s">
        <v>590</v>
      </c>
      <c r="C116" s="100"/>
      <c r="D116" s="2" t="s">
        <v>94</v>
      </c>
      <c r="E116" s="32"/>
      <c r="F116" s="22"/>
      <c r="G116" s="22"/>
    </row>
    <row r="117" spans="1:22" x14ac:dyDescent="0.2">
      <c r="A117" s="34"/>
      <c r="B117" s="34"/>
      <c r="C117" s="34"/>
      <c r="D117" s="34"/>
      <c r="E117" s="34"/>
      <c r="F117" s="34"/>
      <c r="G117" s="34"/>
    </row>
    <row r="118" spans="1:22" s="47" customFormat="1" x14ac:dyDescent="0.2">
      <c r="B118" s="106" t="s">
        <v>497</v>
      </c>
      <c r="C118" s="107"/>
      <c r="D118" s="108"/>
      <c r="I118"/>
      <c r="J118" s="37"/>
      <c r="K118" s="45"/>
      <c r="L118" s="45"/>
      <c r="M118" s="45"/>
      <c r="N118" s="45"/>
      <c r="O118" s="53"/>
      <c r="R118"/>
      <c r="S118"/>
      <c r="T118"/>
      <c r="U118"/>
      <c r="V118"/>
    </row>
    <row r="119" spans="1:22" s="47" customFormat="1" ht="38.25" x14ac:dyDescent="0.2">
      <c r="B119" s="109" t="s">
        <v>498</v>
      </c>
      <c r="C119" s="109"/>
      <c r="D119" s="48" t="s">
        <v>478</v>
      </c>
      <c r="I119"/>
      <c r="J119" s="37"/>
      <c r="K119" s="45"/>
      <c r="L119" s="45"/>
      <c r="M119" s="45"/>
      <c r="N119" s="45"/>
      <c r="O119" s="53"/>
      <c r="R119"/>
      <c r="S119"/>
      <c r="T119"/>
      <c r="U119"/>
      <c r="V119"/>
    </row>
    <row r="120" spans="1:22" s="47" customFormat="1" x14ac:dyDescent="0.2">
      <c r="B120" s="110" t="s">
        <v>499</v>
      </c>
      <c r="C120" s="110"/>
      <c r="D120" s="49"/>
      <c r="I120"/>
      <c r="J120" s="37"/>
      <c r="K120" s="45"/>
      <c r="L120" s="45"/>
      <c r="M120" s="45"/>
      <c r="N120" s="45"/>
      <c r="O120" s="53"/>
    </row>
    <row r="121" spans="1:22" s="47" customFormat="1" x14ac:dyDescent="0.2">
      <c r="B121" s="110"/>
      <c r="C121" s="110"/>
      <c r="D121" s="50"/>
      <c r="I121"/>
      <c r="J121" s="37"/>
      <c r="K121" s="45"/>
      <c r="L121" s="45"/>
      <c r="M121" s="45"/>
      <c r="N121" s="45"/>
      <c r="O121" s="53"/>
    </row>
    <row r="122" spans="1:22" s="47" customFormat="1" x14ac:dyDescent="0.2">
      <c r="B122" s="110" t="s">
        <v>500</v>
      </c>
      <c r="C122" s="110"/>
      <c r="D122" s="51">
        <v>6.6637263959330602</v>
      </c>
      <c r="I122"/>
      <c r="J122" s="37"/>
      <c r="K122" s="45"/>
      <c r="L122" s="45"/>
      <c r="M122" s="45"/>
      <c r="N122" s="45"/>
      <c r="O122" s="53"/>
    </row>
    <row r="123" spans="1:22" s="47" customFormat="1" x14ac:dyDescent="0.2">
      <c r="B123" s="110"/>
      <c r="C123" s="110"/>
      <c r="D123" s="50"/>
      <c r="I123"/>
      <c r="J123" s="37"/>
      <c r="K123" s="45"/>
      <c r="L123" s="45"/>
      <c r="M123" s="45"/>
      <c r="N123" s="45"/>
      <c r="O123" s="53"/>
    </row>
    <row r="124" spans="1:22" s="47" customFormat="1" x14ac:dyDescent="0.2">
      <c r="B124" s="110" t="s">
        <v>527</v>
      </c>
      <c r="C124" s="110"/>
      <c r="D124" s="51">
        <v>3</v>
      </c>
      <c r="I124"/>
      <c r="J124" s="37"/>
      <c r="K124" s="45"/>
      <c r="L124" s="45"/>
      <c r="M124" s="45"/>
      <c r="N124" s="45"/>
      <c r="O124" s="53"/>
    </row>
    <row r="125" spans="1:22" s="47" customFormat="1" x14ac:dyDescent="0.2">
      <c r="B125" s="110" t="s">
        <v>528</v>
      </c>
      <c r="C125" s="110"/>
      <c r="D125" s="51">
        <v>3</v>
      </c>
      <c r="I125"/>
      <c r="J125" s="37"/>
      <c r="K125" s="45"/>
      <c r="L125" s="45"/>
      <c r="M125" s="45"/>
      <c r="N125" s="45"/>
      <c r="O125" s="53"/>
    </row>
    <row r="126" spans="1:22" s="47" customFormat="1" x14ac:dyDescent="0.2">
      <c r="B126" s="110"/>
      <c r="C126" s="110"/>
      <c r="D126" s="50"/>
      <c r="I126"/>
      <c r="J126" s="37"/>
      <c r="K126" s="45"/>
      <c r="L126" s="45"/>
      <c r="M126" s="45"/>
      <c r="N126" s="45"/>
      <c r="O126" s="53"/>
    </row>
    <row r="127" spans="1:22" s="47" customFormat="1" x14ac:dyDescent="0.2">
      <c r="B127" s="110" t="s">
        <v>503</v>
      </c>
      <c r="C127" s="110"/>
      <c r="D127" s="52" t="s">
        <v>529</v>
      </c>
      <c r="I127"/>
      <c r="J127" s="37"/>
      <c r="K127" s="45"/>
      <c r="L127" s="45"/>
      <c r="M127" s="45"/>
      <c r="N127" s="45"/>
      <c r="O127" s="53"/>
    </row>
    <row r="128" spans="1:22" s="47" customFormat="1" x14ac:dyDescent="0.2">
      <c r="B128" s="111" t="s">
        <v>504</v>
      </c>
      <c r="C128" s="113"/>
      <c r="D128" s="112"/>
      <c r="I128"/>
      <c r="J128" s="37"/>
      <c r="K128" s="45"/>
      <c r="L128" s="45"/>
      <c r="M128" s="45"/>
      <c r="N128" s="45"/>
      <c r="O128" s="53"/>
    </row>
    <row r="129" spans="8:8" x14ac:dyDescent="0.2">
      <c r="H129" s="86"/>
    </row>
  </sheetData>
  <mergeCells count="25">
    <mergeCell ref="B128:D128"/>
    <mergeCell ref="B123:C123"/>
    <mergeCell ref="B124:C124"/>
    <mergeCell ref="B125:C125"/>
    <mergeCell ref="B126:C126"/>
    <mergeCell ref="B127:C127"/>
    <mergeCell ref="B118:D118"/>
    <mergeCell ref="B119:C119"/>
    <mergeCell ref="B120:C120"/>
    <mergeCell ref="B121:C121"/>
    <mergeCell ref="B122:C122"/>
    <mergeCell ref="B116:C116"/>
    <mergeCell ref="A1:H1"/>
    <mergeCell ref="A2:H2"/>
    <mergeCell ref="A3:H3"/>
    <mergeCell ref="B114:C114"/>
    <mergeCell ref="B82:D82"/>
    <mergeCell ref="B83:C83"/>
    <mergeCell ref="B84:C84"/>
    <mergeCell ref="B85:C85"/>
    <mergeCell ref="B103:C103"/>
    <mergeCell ref="B78:H78"/>
    <mergeCell ref="B79:H79"/>
    <mergeCell ref="B80:H80"/>
    <mergeCell ref="B115:C115"/>
  </mergeCells>
  <hyperlinks>
    <hyperlink ref="I1" location="Index!B11" display="Index" xr:uid="{53EB77F7-B9AD-44C3-991E-1B10C9F5607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2024-06-02T11:13:35Z</dcterms:created>
  <dcterms:modified xsi:type="dcterms:W3CDTF">2024-06-04T13:39:42Z</dcterms:modified>
</cp:coreProperties>
</file>