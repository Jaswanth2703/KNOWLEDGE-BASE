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U:\Swapna\OPERATIONS\PORTFOLIO\Temp\Final sent\"/>
    </mc:Choice>
  </mc:AlternateContent>
  <xr:revisionPtr revIDLastSave="0" documentId="13_ncr:1_{AC6E7850-8FF0-456C-8695-EAABDBC39ED1}" xr6:coauthVersionLast="47" xr6:coauthVersionMax="47" xr10:uidLastSave="{00000000-0000-0000-0000-000000000000}"/>
  <bookViews>
    <workbookView xWindow="-120" yWindow="-120" windowWidth="29040" windowHeight="15840" tabRatio="802" xr2:uid="{A650A113-0C59-4F6B-8047-7674D8941AF3}"/>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2" i="7" l="1"/>
  <c r="F83" i="8" l="1"/>
  <c r="F82" i="8"/>
  <c r="F100" i="6"/>
  <c r="F99" i="6"/>
  <c r="F140" i="5"/>
  <c r="F139" i="5"/>
  <c r="F106" i="4"/>
  <c r="F105" i="4"/>
  <c r="F117" i="3"/>
  <c r="F116" i="3"/>
  <c r="F105" i="2"/>
  <c r="G104" i="2" s="1"/>
  <c r="F104" i="2"/>
  <c r="J145" i="9" l="1"/>
  <c r="G99" i="9"/>
  <c r="F99" i="9"/>
  <c r="G13" i="9" s="1"/>
  <c r="G30" i="9" s="1"/>
  <c r="G48" i="9" s="1"/>
  <c r="F13" i="9"/>
  <c r="F30" i="9" s="1"/>
  <c r="F48" i="9" s="1"/>
  <c r="G117" i="8"/>
  <c r="I179" i="7"/>
  <c r="F179" i="7"/>
  <c r="F140" i="7"/>
  <c r="F139" i="7"/>
  <c r="F138" i="7"/>
  <c r="F8" i="7"/>
  <c r="F25" i="7" s="1"/>
  <c r="I157" i="6"/>
  <c r="J157" i="6" s="1"/>
  <c r="I156" i="6"/>
  <c r="J156" i="6" s="1"/>
  <c r="I155" i="6"/>
  <c r="J155" i="6" s="1"/>
  <c r="G155" i="6"/>
  <c r="I154" i="6"/>
  <c r="J154" i="6" s="1"/>
  <c r="I173" i="5"/>
  <c r="F173" i="5"/>
  <c r="F8" i="5"/>
  <c r="F25" i="5" s="1"/>
  <c r="G139" i="5" s="1"/>
  <c r="I162" i="4"/>
  <c r="F162" i="4"/>
  <c r="I157" i="4"/>
  <c r="J157" i="4" s="1"/>
  <c r="I156" i="4"/>
  <c r="J156" i="4" s="1"/>
  <c r="I155" i="4"/>
  <c r="J155" i="4" s="1"/>
  <c r="G105" i="4"/>
  <c r="F8" i="4"/>
  <c r="F25" i="4" s="1"/>
  <c r="G89" i="9"/>
  <c r="F89" i="9"/>
  <c r="G73" i="8"/>
  <c r="F73" i="8"/>
  <c r="F128" i="7"/>
  <c r="G90" i="6"/>
  <c r="F90" i="6"/>
  <c r="G130" i="5"/>
  <c r="F130" i="5"/>
  <c r="G96" i="4"/>
  <c r="F96" i="4"/>
  <c r="G107" i="3"/>
  <c r="F107" i="3"/>
  <c r="G95" i="2"/>
  <c r="F95" i="2"/>
  <c r="G97" i="1"/>
  <c r="F97" i="1"/>
  <c r="F143" i="7" l="1"/>
  <c r="G142" i="7" s="1"/>
  <c r="G52" i="7" l="1"/>
  <c r="G90" i="7"/>
  <c r="G120" i="7"/>
  <c r="G128" i="7"/>
</calcChain>
</file>

<file path=xl/sharedStrings.xml><?xml version="1.0" encoding="utf-8"?>
<sst xmlns="http://schemas.openxmlformats.org/spreadsheetml/2006/main" count="3272" uniqueCount="700">
  <si>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</si>
  <si>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</si>
  <si>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</si>
  <si>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</si>
  <si>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</si>
  <si>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</si>
  <si>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</si>
  <si>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</si>
  <si>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</si>
  <si>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</si>
  <si>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</si>
  <si>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</si>
  <si>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</si>
  <si>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</si>
  <si>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</si>
  <si>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</si>
  <si>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</si>
  <si>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</si>
  <si>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</si>
  <si>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</si>
  <si>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</si>
  <si>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</si>
  <si>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</si>
  <si>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</si>
  <si>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</si>
  <si>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</si>
  <si>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</si>
  <si>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</si>
  <si>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</si>
  <si>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</si>
  <si>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INE261F08EJ7</t>
  </si>
  <si>
    <t>National Bank for Agriculture &amp; Rural Development - 7.64% - 06/12/2029**</t>
  </si>
  <si>
    <t>ICRA AAA</t>
  </si>
  <si>
    <t>INE261F08EH1</t>
  </si>
  <si>
    <t>National Bank for Agriculture &amp; Rural Development - 7.62% - 10/05/2029**</t>
  </si>
  <si>
    <t>INE040A08930</t>
  </si>
  <si>
    <t>HDFC Bank Ltd (Prev HDFC Ltd) - 7.65% - 25/05/2033**</t>
  </si>
  <si>
    <t>INE020B08EK4</t>
  </si>
  <si>
    <t>REC LTD - 7.46% - 30/06/2028**</t>
  </si>
  <si>
    <t>INE053F08304</t>
  </si>
  <si>
    <t>Indian Railway Finance Corporation Ltd - 7.23% - 15/10/2026</t>
  </si>
  <si>
    <t>INE020B08EL2</t>
  </si>
  <si>
    <t>REC LTD - 7.44% - 30/04/2026</t>
  </si>
  <si>
    <t>INE134E08MX3</t>
  </si>
  <si>
    <t>Power Finance Corporation Ltd - 7.6% - 13/04/2029**</t>
  </si>
  <si>
    <t>INE296A07SV1</t>
  </si>
  <si>
    <t>Bajaj Finance Ltd - 7.82% - 31/01/2034**</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</si>
  <si>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</si>
  <si>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</si>
  <si>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</si>
  <si>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</si>
  <si>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</si>
  <si>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</si>
  <si>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</si>
  <si>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</si>
  <si>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</si>
  <si>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</si>
  <si>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INE134E08IO0</t>
  </si>
  <si>
    <t>Power Finance Corporation Ltd - 7.23% - 05/01/2027**</t>
  </si>
  <si>
    <t>INE752E08783</t>
  </si>
  <si>
    <t>Power Grid Corporation of India Ltd - 6.94% - 15/04/2035**</t>
  </si>
  <si>
    <t>INE0KUG08084</t>
  </si>
  <si>
    <t>National Bank for Financing Infrastructure and Development - 7.04% - 07/04/2035</t>
  </si>
  <si>
    <t>INE115A07MW4</t>
  </si>
  <si>
    <t>LIC Housing Finance Ltd - 7.95% - 29/01/2028**</t>
  </si>
  <si>
    <t>INE556F08KH1</t>
  </si>
  <si>
    <t>Small Industries Development Bank of India - 7.43% - 31/08/2026**</t>
  </si>
  <si>
    <t>INE041007100</t>
  </si>
  <si>
    <t>Embassy Office Parks REIT - 7.77% - 05/06/2025**</t>
  </si>
  <si>
    <t>INE296A07SU3</t>
  </si>
  <si>
    <t>Bajaj Finance Ltd - 7.87% - 08/02/2034**</t>
  </si>
  <si>
    <t>INE556F08KP4</t>
  </si>
  <si>
    <t>Small Industries Development Bank of India - 7.68% - 10/08/2027**</t>
  </si>
  <si>
    <t>(b) Privately Placed / Unlisted</t>
  </si>
  <si>
    <t>(c) Govt Security</t>
  </si>
  <si>
    <t>IN0020240126</t>
  </si>
  <si>
    <t>6.79% Central Government Securities 07/10/2034</t>
  </si>
  <si>
    <t>Sovereign</t>
  </si>
  <si>
    <t>IN0020230135</t>
  </si>
  <si>
    <t>7.32% Government Securities-13/11/2030</t>
  </si>
  <si>
    <t>IN3120240400</t>
  </si>
  <si>
    <t>6.96% Tamil Nadu State Government Securities - 04/12/2028</t>
  </si>
  <si>
    <t>IN0020230051</t>
  </si>
  <si>
    <t>7.30% Government Securities - 19/06/2053</t>
  </si>
  <si>
    <t>IN0020250018</t>
  </si>
  <si>
    <t>6.90% Central Government Securities 15/04/2065</t>
  </si>
  <si>
    <t>IN0020230077</t>
  </si>
  <si>
    <t>7.18%  Government Securities - 24/07/2037</t>
  </si>
  <si>
    <t>IN0020230101</t>
  </si>
  <si>
    <t>7.37% Government Securities-23/10/2028</t>
  </si>
  <si>
    <t>IN0020250026</t>
  </si>
  <si>
    <t>6.33% Central Government Securities 05/05/2035</t>
  </si>
  <si>
    <t>IN0020240019</t>
  </si>
  <si>
    <t>7.10% Central Government Securities 08/04/2034</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</si>
  <si>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</si>
  <si>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</si>
  <si>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</si>
  <si>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</si>
  <si>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</si>
  <si>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</si>
  <si>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</si>
  <si>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</si>
  <si>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</si>
  <si>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</si>
  <si>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</si>
  <si>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</si>
  <si>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</si>
  <si>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</si>
  <si>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</si>
  <si>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</si>
  <si>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</si>
  <si>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</si>
  <si>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</si>
  <si>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</si>
  <si>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</si>
  <si>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</si>
  <si>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</si>
  <si>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</si>
  <si>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</si>
  <si>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</si>
  <si>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</si>
  <si>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</si>
  <si>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</si>
  <si>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</si>
  <si>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</si>
  <si>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</si>
  <si>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</si>
  <si>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</si>
  <si>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INE031A08962</t>
  </si>
  <si>
    <t>Housing and Urban Development Corp. Ltd - 6.9% - 23/04/2032</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</si>
  <si>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</si>
  <si>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</si>
  <si>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</si>
  <si>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</si>
  <si>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</si>
  <si>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</si>
  <si>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</si>
  <si>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</si>
  <si>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</si>
  <si>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</si>
  <si>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INE261F08EM1</t>
  </si>
  <si>
    <t>National Bank for Agriculture &amp; Rural Development - 7.53% - 24/03/2028**</t>
  </si>
  <si>
    <t>INE0KUG08035</t>
  </si>
  <si>
    <t>National Bank for Financing Infrastructure and Development - 7.43% - 04/07/2034**</t>
  </si>
  <si>
    <t>INE261F08EF5</t>
  </si>
  <si>
    <t>National Bank for Agriculture &amp; Rural Development - 7.8% - 15/03/2027</t>
  </si>
  <si>
    <t>INE053F08338</t>
  </si>
  <si>
    <t>Indian Railway Finance Corporation Ltd - 7.68% - 24/11/2026**</t>
  </si>
  <si>
    <t>IN0020240027</t>
  </si>
  <si>
    <t>7.23% Central Government Securities 15/04/2039</t>
  </si>
  <si>
    <t>INE562A16ON3</t>
  </si>
  <si>
    <t>Indian Bank - 25/03/2026**</t>
  </si>
  <si>
    <t>CRISIL A1+</t>
  </si>
  <si>
    <t>INE562A16NR6</t>
  </si>
  <si>
    <t>Indian Bank - 09/06/2025</t>
  </si>
  <si>
    <t>INE040A16GE5</t>
  </si>
  <si>
    <t>HDFC Bank Ltd - 04/02/2026**</t>
  </si>
  <si>
    <t>INE514E16CK7</t>
  </si>
  <si>
    <t>Export Import Bank of India - 20/03/2026**</t>
  </si>
  <si>
    <t>Direct Plan - Bonus</t>
  </si>
  <si>
    <t>Regular Plan - Bonus</t>
  </si>
  <si>
    <t>Sundaram Money Market Fund</t>
  </si>
  <si>
    <t>IN3120150187</t>
  </si>
  <si>
    <t>8.38% Tamil Nadu State Development Loan - 27/01/2026</t>
  </si>
  <si>
    <t>INE160A16RK5</t>
  </si>
  <si>
    <t>Punjab National Bank - 18/03/2026**</t>
  </si>
  <si>
    <t>INE040A16GS5</t>
  </si>
  <si>
    <t>HDFC Bank Ltd - 24/03/2026**</t>
  </si>
  <si>
    <t>INE238AD6AM2</t>
  </si>
  <si>
    <t>Axis Bank Ltd - 04/02/2026</t>
  </si>
  <si>
    <t>INE562A16OG7</t>
  </si>
  <si>
    <t>Indian Bank - 06/03/2026**</t>
  </si>
  <si>
    <t>INE476A16B64</t>
  </si>
  <si>
    <t>Canara Bank - 18/03/2026**</t>
  </si>
  <si>
    <t>INE237A168Z9</t>
  </si>
  <si>
    <t>Kotak Mahindra Bank Ltd - 19/03/2026**</t>
  </si>
  <si>
    <t>INE556F16BG5</t>
  </si>
  <si>
    <t>Small Industries Development Bank of India - 26/03/2026**</t>
  </si>
  <si>
    <t>INE261F16967</t>
  </si>
  <si>
    <t>National Bank for Agriculture &amp; Rural Development - 27/02/2026**</t>
  </si>
  <si>
    <t>INE556F16BB6</t>
  </si>
  <si>
    <t>Small Industries Development Bank of India - 27/02/2026**</t>
  </si>
  <si>
    <t>INE008A16W82</t>
  </si>
  <si>
    <t>IDBI Bank Ltd - 02/09/2025**</t>
  </si>
  <si>
    <t>INE949L16CY1</t>
  </si>
  <si>
    <t>AU Small Finance Bank Ltd - 28/10/2025**</t>
  </si>
  <si>
    <t>INE084A16CS2</t>
  </si>
  <si>
    <t>Bank of India - 28/11/2025**</t>
  </si>
  <si>
    <t>INE095A16X85</t>
  </si>
  <si>
    <t>IndusInd Bank Ltd - 05/12/2025**</t>
  </si>
  <si>
    <t>INE562A16OA0</t>
  </si>
  <si>
    <t>Indian Bank - 04/02/2026**</t>
  </si>
  <si>
    <t>INE237A165Z5</t>
  </si>
  <si>
    <t>Kotak Mahindra Bank Ltd - 18/02/2026**</t>
  </si>
  <si>
    <t>INE261F16959</t>
  </si>
  <si>
    <t>National Bank for Agriculture &amp; Rural Development - 17/02/2026**</t>
  </si>
  <si>
    <t>INE237A166Z3</t>
  </si>
  <si>
    <t>Kotak Mahindra Bank Ltd - 27/02/2026**</t>
  </si>
  <si>
    <t>INE040A16GJ4</t>
  </si>
  <si>
    <t>HDFC Bank Ltd - 25/02/2026**</t>
  </si>
  <si>
    <t>INE008A16X99</t>
  </si>
  <si>
    <t>IDBI Bank Ltd - 23/02/2026**</t>
  </si>
  <si>
    <t>INE237A167Z1</t>
  </si>
  <si>
    <t>Kotak Mahindra Bank Ltd - 13/03/2026**</t>
  </si>
  <si>
    <t>INE476A16B31</t>
  </si>
  <si>
    <t>Canara Bank - 13/03/2026**</t>
  </si>
  <si>
    <t>INE092T16XX1</t>
  </si>
  <si>
    <t>IDFC First Bank Ltd - 23/01/2026**</t>
  </si>
  <si>
    <t>INE476A16A65</t>
  </si>
  <si>
    <t>Canara Bank - 24/02/2026**</t>
  </si>
  <si>
    <t>INE261F16AA7</t>
  </si>
  <si>
    <t>National Bank for Agriculture &amp; Rural Development - 25/03/2026**</t>
  </si>
  <si>
    <t>INE556F16BA8</t>
  </si>
  <si>
    <t>Small Industries Development Bank of India - 06/02/2026**</t>
  </si>
  <si>
    <t>INE763G14XJ8</t>
  </si>
  <si>
    <t>ICICI Securities Ltd - 03/03/2026**</t>
  </si>
  <si>
    <t>INE144H14HG8</t>
  </si>
  <si>
    <t>Deutsche Investments India Private Ltd - 22/12/2025**</t>
  </si>
  <si>
    <t>INE790I14FX5</t>
  </si>
  <si>
    <t>HSBC InvestDirect Financial Services India Limited - 25/06/2025**</t>
  </si>
  <si>
    <t>INE403D14544</t>
  </si>
  <si>
    <t>Bharti Telecom Ltd - 17/10/2025**</t>
  </si>
  <si>
    <t>INE115A14FJ1</t>
  </si>
  <si>
    <t>LIC Housing Finance Ltd - 18/02/2026**</t>
  </si>
  <si>
    <t>INE338I14JI6</t>
  </si>
  <si>
    <t>Motilal Oswal Financial Services Ltd - 25/02/2026**</t>
  </si>
  <si>
    <t>INE763G14YJ6</t>
  </si>
  <si>
    <t>INE824H14QT9</t>
  </si>
  <si>
    <t>Julius Baer Capital (India) Private Ltd - 17/06/2025**</t>
  </si>
  <si>
    <t>INE572E14JM1</t>
  </si>
  <si>
    <t>PNB Housing Finance Ltd - 25/09/2025**</t>
  </si>
  <si>
    <t>INE121A14XG8</t>
  </si>
  <si>
    <t>Cholamandalam Investment and Finance Co Ltd - 14/11/2025**</t>
  </si>
  <si>
    <t>INE338I14JF2</t>
  </si>
  <si>
    <t>Motilal Oswal Financial Services Ltd - 06/02/2026**</t>
  </si>
  <si>
    <t>INE144H14HM6</t>
  </si>
  <si>
    <t>Deutsche Investments India Private Ltd - 09/09/2025**</t>
  </si>
  <si>
    <t>IN002024Z479</t>
  </si>
  <si>
    <t>364 Days - T Bill - 05/03/2026</t>
  </si>
  <si>
    <t>IN002024Z453</t>
  </si>
  <si>
    <t>364 Days - T Bill - 20/02/2026</t>
  </si>
  <si>
    <t>IN002024Z461</t>
  </si>
  <si>
    <t>364 Days - T Bill - 27/02/2026</t>
  </si>
  <si>
    <t>Sundaram Low Duration Fund</t>
  </si>
  <si>
    <t>INE477A07373</t>
  </si>
  <si>
    <t>Can Fin Homes Ltd - 8.45% - 27/05/2026**</t>
  </si>
  <si>
    <t>IND AA+</t>
  </si>
  <si>
    <t>INE721A07SB0</t>
  </si>
  <si>
    <t>Shriram Finance Ltd - 9.2% - 22/05/2026**</t>
  </si>
  <si>
    <t>CRISIL AA+</t>
  </si>
  <si>
    <t>INE020B08ED9</t>
  </si>
  <si>
    <t>REC LTD - 7.56% - 30/06/2026</t>
  </si>
  <si>
    <t>INE403D08181</t>
  </si>
  <si>
    <t>Bharti Telecom Ltd - 8.9% - 04/12/2025**</t>
  </si>
  <si>
    <t>INE572E07183</t>
  </si>
  <si>
    <t>PNB Housing Finance Ltd - 8.15% - 29/07/2027**</t>
  </si>
  <si>
    <t>INE134E08IE1</t>
  </si>
  <si>
    <t>Power Finance Corporation Ltd - 8.03% - 02/05/2026**</t>
  </si>
  <si>
    <t>INE523H07CB9</t>
  </si>
  <si>
    <t>JM Financial Products Ltd - 8.92% - 16/11/2026**</t>
  </si>
  <si>
    <t>CRISIL AA</t>
  </si>
  <si>
    <t>INE414G07HI7</t>
  </si>
  <si>
    <t>Muthoot Finance Ltd - 8.3% - 06/01/2026**</t>
  </si>
  <si>
    <t>INE477A07415</t>
  </si>
  <si>
    <t>Can Fin Homes Ltd - 8.09% - 04/01/2027**</t>
  </si>
  <si>
    <t>INE233A08121</t>
  </si>
  <si>
    <t>Godrej Industries Ltd - 8.36% - 28/08/2026**</t>
  </si>
  <si>
    <t>INE020B08FF1</t>
  </si>
  <si>
    <t>REC LTD - 7.56% - 31/08/2027</t>
  </si>
  <si>
    <t>INE121A07QT9</t>
  </si>
  <si>
    <t>Cholamandalam Investment and Finance Co Ltd - 8.45% - 21/11/2025**</t>
  </si>
  <si>
    <t>ICRA AA+</t>
  </si>
  <si>
    <t>INE414G07JL7</t>
  </si>
  <si>
    <t>Muthoot Finance Ltd - 8.65% - 31/01/2028**</t>
  </si>
  <si>
    <t>IN0020240050</t>
  </si>
  <si>
    <t>7.04% Central Government Securities 03/06/2029</t>
  </si>
  <si>
    <t>IN0020220037</t>
  </si>
  <si>
    <t>7.38% Central Government Securities 20/06/2027</t>
  </si>
  <si>
    <t>INE040A16GK2</t>
  </si>
  <si>
    <t>HDFC Bank Ltd - 27/05/2025**</t>
  </si>
  <si>
    <t>INE238AD6918</t>
  </si>
  <si>
    <t>Axis Bank Ltd - 09/09/2025**</t>
  </si>
  <si>
    <t>INE040A16GF2</t>
  </si>
  <si>
    <t>HDFC Bank Ltd - 06/02/2026**</t>
  </si>
  <si>
    <t>INE261F16983</t>
  </si>
  <si>
    <t>National Bank for Agriculture &amp; Rural Development - 13/03/2026**</t>
  </si>
  <si>
    <t>INE514E14ST9</t>
  </si>
  <si>
    <t>Export Import Bank of India - 24/10/2025**</t>
  </si>
  <si>
    <t>Sundaram Liquid Fund</t>
  </si>
  <si>
    <t>INE556F16AS2</t>
  </si>
  <si>
    <t>Small Industries Development Bank of India - 10/06/2025**</t>
  </si>
  <si>
    <t>INE238AD6AR1</t>
  </si>
  <si>
    <t>Axis Bank Ltd - 13/08/2025**</t>
  </si>
  <si>
    <t>INE160A16RV2</t>
  </si>
  <si>
    <t>Punjab National Bank - 14/08/2025**</t>
  </si>
  <si>
    <t>INE562A16OK9</t>
  </si>
  <si>
    <t>Indian Bank - 16/06/2025**</t>
  </si>
  <si>
    <t>INE562A16OR4</t>
  </si>
  <si>
    <t>Indian Bank - 07/08/2025**</t>
  </si>
  <si>
    <t>INE028A16HA6</t>
  </si>
  <si>
    <t>Bank of Baroda - 09/06/2025**</t>
  </si>
  <si>
    <t>IND A1+</t>
  </si>
  <si>
    <t>INE028A16HX8</t>
  </si>
  <si>
    <t>Bank of Baroda - 10/06/2025**</t>
  </si>
  <si>
    <t>INE692A16JD9</t>
  </si>
  <si>
    <t>Union Bank of India - 12/06/2025**</t>
  </si>
  <si>
    <t>ICRA A1+</t>
  </si>
  <si>
    <t>INE084A16DD2</t>
  </si>
  <si>
    <t>Bank of India - 12/06/2025**</t>
  </si>
  <si>
    <t>INE160A16RL3</t>
  </si>
  <si>
    <t>Punjab National Bank - 18/06/2025</t>
  </si>
  <si>
    <t>INE238AD6876</t>
  </si>
  <si>
    <t>Axis Bank Ltd - 16/07/2025**</t>
  </si>
  <si>
    <t>INE171A16MA4</t>
  </si>
  <si>
    <t>The Federal Bank Ltd - 04/08/2025**</t>
  </si>
  <si>
    <t>INE160A16RU4</t>
  </si>
  <si>
    <t>Punjab National Bank - 12/08/2025**</t>
  </si>
  <si>
    <t>INE562A16OU8</t>
  </si>
  <si>
    <t>INE160A16RJ7</t>
  </si>
  <si>
    <t>Punjab National Bank - 16/06/2025**</t>
  </si>
  <si>
    <t>INE476A16B15</t>
  </si>
  <si>
    <t>Canara Bank - 09/06/2025**</t>
  </si>
  <si>
    <t>INE476A16B56</t>
  </si>
  <si>
    <t>Canara Bank - 17/06/2025**</t>
  </si>
  <si>
    <t>INE238AD6843</t>
  </si>
  <si>
    <t>Axis Bank Ltd - 05/06/2025**</t>
  </si>
  <si>
    <t>INE028A16GV4</t>
  </si>
  <si>
    <t>Bank of Baroda - 06/06/2025</t>
  </si>
  <si>
    <t>INE261F14NL2</t>
  </si>
  <si>
    <t>National Bank for Agriculture &amp; Rural Development - 20/06/2025**</t>
  </si>
  <si>
    <t>INE002A14LD2</t>
  </si>
  <si>
    <t>Reliance Industries Ltd - 23/06/2025**</t>
  </si>
  <si>
    <t>INE110L14TM4</t>
  </si>
  <si>
    <t>Reliance Jio Infocomm Ltd - 16/07/2025**</t>
  </si>
  <si>
    <t>INE002A14LG5</t>
  </si>
  <si>
    <t>Reliance Industries Ltd - 24/06/2025**</t>
  </si>
  <si>
    <t>INE556F14LC8</t>
  </si>
  <si>
    <t>Small Industries Development Bank of India - 09/07/2025**</t>
  </si>
  <si>
    <t>INE289B14JI6</t>
  </si>
  <si>
    <t>GIC Housing Finance Ltd - 16/05/2025**</t>
  </si>
  <si>
    <t>INE09OL14GQ4</t>
  </si>
  <si>
    <t>Birla Group Holdings Pvt Ltd - 23/05/2025**</t>
  </si>
  <si>
    <t>INE477A14DQ5</t>
  </si>
  <si>
    <t>Can Fin Homes Ltd - 29/05/2025**</t>
  </si>
  <si>
    <t>INE296A14ZX8</t>
  </si>
  <si>
    <t>Bajaj Finance Ltd - 12/06/2025**</t>
  </si>
  <si>
    <t>INE242A14XP3</t>
  </si>
  <si>
    <t>Indian Oil Corporation Ltd - 16/06/2025**</t>
  </si>
  <si>
    <t>INE261F14NK4</t>
  </si>
  <si>
    <t>National Bank for Agriculture &amp; Rural Development - 16/06/2025**</t>
  </si>
  <si>
    <t>INE763G14XW1</t>
  </si>
  <si>
    <t>ICICI Securities Ltd - 19/06/2025**</t>
  </si>
  <si>
    <t>INE110L14TK8</t>
  </si>
  <si>
    <t>Reliance Jio Infocomm Ltd - 23/06/2025**</t>
  </si>
  <si>
    <t>INE094A14JV5</t>
  </si>
  <si>
    <t>Hindustan Petroleum Corporation Ltd - 25/06/2025**</t>
  </si>
  <si>
    <t>INE572E14JT6</t>
  </si>
  <si>
    <t>PNB Housing Finance Ltd - 15/07/2025**</t>
  </si>
  <si>
    <t>INE081A14FQ0</t>
  </si>
  <si>
    <t>Tata Steel Ltd - 07/08/2025**</t>
  </si>
  <si>
    <t>INE763G14YG2</t>
  </si>
  <si>
    <t>ICICI Securities Ltd - 08/08/2025**</t>
  </si>
  <si>
    <t>INE763G14YI8</t>
  </si>
  <si>
    <t>ICICI Securities Ltd - 12/08/2025**</t>
  </si>
  <si>
    <t>INE296A14ZP4</t>
  </si>
  <si>
    <t>Bajaj Finance Ltd - 16/05/2025</t>
  </si>
  <si>
    <t>INE556F14KZ1</t>
  </si>
  <si>
    <t>Small Industries Development Bank of India - 10/06/2025</t>
  </si>
  <si>
    <t>INE414G14TR9</t>
  </si>
  <si>
    <t>Muthoot Finance Ltd - 10/06/2025**</t>
  </si>
  <si>
    <t>INE261F14NH0</t>
  </si>
  <si>
    <t>National Bank for Agriculture &amp; Rural Development - 12/06/2025</t>
  </si>
  <si>
    <t>INE929O14DG7</t>
  </si>
  <si>
    <t>Reliance Retail Ventures Ltd - 12/06/2025**</t>
  </si>
  <si>
    <t>INE071G14GR4</t>
  </si>
  <si>
    <t>ICICI Home Finance Company Ltd - 16/07/2025**</t>
  </si>
  <si>
    <t>INE700G14NW4</t>
  </si>
  <si>
    <t>HDFC Securities Ltd - 15/07/2025**</t>
  </si>
  <si>
    <t>INE047A14AI9</t>
  </si>
  <si>
    <t>Grasim Industries Ltd - 24/07/2025**</t>
  </si>
  <si>
    <t>INE071G14GU8</t>
  </si>
  <si>
    <t>ICICI Home Finance Company Ltd - 14/08/2025**</t>
  </si>
  <si>
    <t>INE498L14DM7</t>
  </si>
  <si>
    <t>L &amp; T Finance Ltd - 23/05/2025**</t>
  </si>
  <si>
    <t>INE498L14DL9</t>
  </si>
  <si>
    <t>L &amp; T Finance Ltd - 26/05/2025**</t>
  </si>
  <si>
    <t>INE790I14FS5</t>
  </si>
  <si>
    <t>HSBC InvestDirect Financial Services India Limited - 27/05/2025**</t>
  </si>
  <si>
    <t>INE02FN14416</t>
  </si>
  <si>
    <t>IGH Holdings Private Limited - 27/05/2025**</t>
  </si>
  <si>
    <t>INE233A140H0</t>
  </si>
  <si>
    <t>Godrej Industries Ltd - 02/06/2025**</t>
  </si>
  <si>
    <t>INE763G14XQ3</t>
  </si>
  <si>
    <t>ICICI Securities Ltd - 09/06/2025</t>
  </si>
  <si>
    <t>INE763G14XT7</t>
  </si>
  <si>
    <t>ICICI Securities Ltd - 12/06/2025**</t>
  </si>
  <si>
    <t>INE103A14447</t>
  </si>
  <si>
    <t>Mangalore Refinery and Petrochemicals Ltd - 24/07/2025**</t>
  </si>
  <si>
    <t>INE338I14KD5</t>
  </si>
  <si>
    <t>Motilal Oswal Financial Services Ltd - 08/08/2025**</t>
  </si>
  <si>
    <t>INE01C314BP1</t>
  </si>
  <si>
    <t>Bajaj Financial Securities Ltd - 13/08/2025**</t>
  </si>
  <si>
    <t>INE212K14AU3</t>
  </si>
  <si>
    <t>SBI Cap securities Ltd - 18/06/2025**</t>
  </si>
  <si>
    <t>IN002024X508</t>
  </si>
  <si>
    <t>91 Days - T Bill - 19/06/2025</t>
  </si>
  <si>
    <t>IN002025X059</t>
  </si>
  <si>
    <t>91 Days - T Bill - 01/08/2025</t>
  </si>
  <si>
    <t>IN002024Y373</t>
  </si>
  <si>
    <t>182 Days - T Bill - 27/06/2025</t>
  </si>
  <si>
    <t>IN002024Z198</t>
  </si>
  <si>
    <t>364 Days - T Bill - 07/08/2025</t>
  </si>
  <si>
    <t>IN002024X474</t>
  </si>
  <si>
    <t>91 Days - T Bill - 30/05/2025</t>
  </si>
  <si>
    <t>Reverse Repo</t>
  </si>
  <si>
    <t>Sundaram Short Duration Fund</t>
  </si>
  <si>
    <t>INE134E08MJ2</t>
  </si>
  <si>
    <t>Power Finance Corporation Ltd - 7.77% - 15/04/2028**</t>
  </si>
  <si>
    <t>INE121A07RZ4</t>
  </si>
  <si>
    <t>Cholamandalam Investment and Finance Co Ltd - 8.54% - 12/04/2029**</t>
  </si>
  <si>
    <t>INE020B08EI8</t>
  </si>
  <si>
    <t>REC LTD - 7.51% - 31/07/2026**</t>
  </si>
  <si>
    <t>INE134E08LP1</t>
  </si>
  <si>
    <t>Power Finance Corporation Ltd - 7.13% - 15/07/2026**</t>
  </si>
  <si>
    <t>INE146O07557</t>
  </si>
  <si>
    <t>Hinduja Leyland Finance Ltd - 8.4% - 06/05/2027**</t>
  </si>
  <si>
    <t>INE115A07PI6</t>
  </si>
  <si>
    <t>LIC Housing Finance Ltd - 6.17% - 03/09/2026**</t>
  </si>
  <si>
    <t>IN3120230484</t>
  </si>
  <si>
    <t>7.44% Tamil Nadu State Government Securities -20/03/2034</t>
  </si>
  <si>
    <t>Sundaram Ultra Short Duration Fund</t>
  </si>
  <si>
    <t>INE756I07EI4</t>
  </si>
  <si>
    <t>HDB Financial Services Ltd - 7.5% - 23/09/2025**</t>
  </si>
  <si>
    <t>INE261F08DK7</t>
  </si>
  <si>
    <t>National Bank for Agriculture &amp; Rural Development - 5.7% - 31/07/2025</t>
  </si>
  <si>
    <t>INE756I07EN4</t>
  </si>
  <si>
    <t>HDB Financial Services Ltd - 7.84% - 14/07/2026**</t>
  </si>
  <si>
    <t>INE040A16FM0</t>
  </si>
  <si>
    <t>HDFC Bank Ltd - 19/09/2025</t>
  </si>
  <si>
    <t>INE028A16HY6</t>
  </si>
  <si>
    <t>Bank of Baroda - 12/12/2025**</t>
  </si>
  <si>
    <t>INE040A16FN8</t>
  </si>
  <si>
    <t>HDFC Bank Ltd - 15/09/2025</t>
  </si>
  <si>
    <t>INE238AD6983</t>
  </si>
  <si>
    <t>Axis Bank Ltd - 13/11/2025**</t>
  </si>
  <si>
    <t>INE692A16IC3</t>
  </si>
  <si>
    <t>Union Bank of India - 04/12/2025**</t>
  </si>
  <si>
    <t>INE556F16AX2</t>
  </si>
  <si>
    <t>Small Industries Development Bank of India - 05/12/2025**</t>
  </si>
  <si>
    <t>INE476A16A24</t>
  </si>
  <si>
    <t>Canara Bank - 03/02/2026**</t>
  </si>
  <si>
    <t>INE095A16Y50</t>
  </si>
  <si>
    <t>IndusInd Bank Ltd - 04/02/2026**</t>
  </si>
  <si>
    <t>INE238AD6884</t>
  </si>
  <si>
    <t>Axis Bank Ltd - 22/08/2025**</t>
  </si>
  <si>
    <t>INE238AD6900</t>
  </si>
  <si>
    <t>Axis Bank Ltd - 04/09/2025**</t>
  </si>
  <si>
    <t>INE171A16MK3</t>
  </si>
  <si>
    <t>The Federal Bank Ltd - 25/11/2025**</t>
  </si>
  <si>
    <t>INE040A16FY5</t>
  </si>
  <si>
    <t>HDFC Bank Ltd - 04/12/2025**</t>
  </si>
  <si>
    <t>INE556F16AY0</t>
  </si>
  <si>
    <t>Small Industries Development Bank of India - 13/01/2026**</t>
  </si>
  <si>
    <t>INE261F16975</t>
  </si>
  <si>
    <t>National Bank for Agriculture &amp; Rural Development - 10/03/2026**</t>
  </si>
  <si>
    <t>INE556F16BD2</t>
  </si>
  <si>
    <t>Small Industries Development Bank of India - 11/03/2026**</t>
  </si>
  <si>
    <t>INE790I14FT3</t>
  </si>
  <si>
    <t>HSBC InvestDirect Financial Services India Limited - 03/06/2025**</t>
  </si>
  <si>
    <t>INE115A14FF9</t>
  </si>
  <si>
    <t>LIC Housing Finance Ltd - 11/09/2025**</t>
  </si>
  <si>
    <t>IN002024Y324</t>
  </si>
  <si>
    <t>182 Days - T Bill - 23/05/2025</t>
  </si>
  <si>
    <t>Sundaram Medium Duration Fund</t>
  </si>
  <si>
    <t>IN0020210186</t>
  </si>
  <si>
    <t>5.74% Central Government Securities 15/11/2026</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</si>
  <si>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</si>
  <si>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</si>
  <si>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</si>
  <si>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</si>
  <si>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</si>
  <si>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</si>
  <si>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</si>
  <si>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</si>
  <si>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</si>
  <si>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</si>
  <si>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</si>
  <si>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</si>
  <si>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INE860A01027</t>
  </si>
  <si>
    <t>HCL Technologies Ltd</t>
  </si>
  <si>
    <t>It - Software</t>
  </si>
  <si>
    <t>INE009A01021</t>
  </si>
  <si>
    <t>Infosys Ltd</t>
  </si>
  <si>
    <t>INE238A01034</t>
  </si>
  <si>
    <t>Axis Bank Ltd</t>
  </si>
  <si>
    <t>INE062A01020</t>
  </si>
  <si>
    <t>State Bank of India</t>
  </si>
  <si>
    <t>INE154A01025</t>
  </si>
  <si>
    <t>ITC Ltd</t>
  </si>
  <si>
    <t>Diversified Fmcg</t>
  </si>
  <si>
    <t>INE029A01011</t>
  </si>
  <si>
    <t>Bharat Petroleum Corporation Ltd</t>
  </si>
  <si>
    <t>INE481G01011</t>
  </si>
  <si>
    <t>Ultratech Cement Ltd</t>
  </si>
  <si>
    <t>Cement &amp; Cement Products</t>
  </si>
  <si>
    <t>INE018A01030</t>
  </si>
  <si>
    <t>Larsen &amp; Toubro Ltd</t>
  </si>
  <si>
    <t>Construction</t>
  </si>
  <si>
    <t>INE196A01026</t>
  </si>
  <si>
    <t>Marico Ltd</t>
  </si>
  <si>
    <t>Agricultural Food &amp; Other Products</t>
  </si>
  <si>
    <t>INE237A01028</t>
  </si>
  <si>
    <t>Kotak Mahindra Bank Ltd</t>
  </si>
  <si>
    <t>INE854D01024</t>
  </si>
  <si>
    <t>United Spirits Ltd</t>
  </si>
  <si>
    <t>Beverages</t>
  </si>
  <si>
    <t>INE797F01020</t>
  </si>
  <si>
    <t>Jubilant Foodworks Ltd</t>
  </si>
  <si>
    <t>Leisure Services</t>
  </si>
  <si>
    <t>INE917I01010</t>
  </si>
  <si>
    <t>Bajaj Auto Ltd</t>
  </si>
  <si>
    <t>Automobiles</t>
  </si>
  <si>
    <t>INE540L01014</t>
  </si>
  <si>
    <t>Alkem Laboratories Ltd</t>
  </si>
  <si>
    <t>Pharmaceuticals &amp; Biotechnology</t>
  </si>
  <si>
    <t>INE585B01010</t>
  </si>
  <si>
    <t>Maruti Suzuki India Ltd</t>
  </si>
  <si>
    <t>INE047A01021</t>
  </si>
  <si>
    <t>Grasim Industries Ltd</t>
  </si>
  <si>
    <t>INE726G01019</t>
  </si>
  <si>
    <t>ICICI Prudential Life Insurance Company Ltd</t>
  </si>
  <si>
    <t>Insurance</t>
  </si>
  <si>
    <t>INE603J01030</t>
  </si>
  <si>
    <t>PI Industries Ltd</t>
  </si>
  <si>
    <t>Fertilizers &amp; Agrochemicals</t>
  </si>
  <si>
    <t>IN9397D01014</t>
  </si>
  <si>
    <t>Sundaram Overnight Fund</t>
  </si>
  <si>
    <t>IN002024X482</t>
  </si>
  <si>
    <t>91 Days - T Bill - 05/06/2025</t>
  </si>
  <si>
    <t>IN002024X490</t>
  </si>
  <si>
    <t>91 Days - T Bill - 12/06/2025</t>
  </si>
  <si>
    <t>YTM (%)</t>
  </si>
  <si>
    <t>Fortnightly Portfolio Statement as on 15 May 2025</t>
  </si>
  <si>
    <t>Index</t>
  </si>
  <si>
    <t>YTM (%)*</t>
  </si>
  <si>
    <t>**Non Traded Securities - Wherever applicable</t>
  </si>
  <si>
    <t>^ Net current assets includes interest accrued on fixed income securities - Wherever applicable</t>
  </si>
  <si>
    <t># percentage to NAV of security is less than 0.01% - Wherever applicable</t>
  </si>
  <si>
    <t>At the beginning</t>
  </si>
  <si>
    <t>(b) Corporate Debt Market Development Fund</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</si>
  <si>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</si>
  <si>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</si>
  <si>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</si>
  <si>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</si>
  <si>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</si>
  <si>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</si>
  <si>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</si>
  <si>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</si>
  <si>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</si>
  <si>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</si>
  <si>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</si>
  <si>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 xml:space="preserve">                    NIFTY Corporate Bond Index A-II</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</si>
  <si>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</si>
  <si>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</si>
  <si>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</si>
  <si>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</si>
  <si>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</si>
  <si>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Money Market Index A-I</t>
  </si>
  <si>
    <t>INE0JEI23010</t>
  </si>
  <si>
    <t>Roadstar Infra Investment Trust (InvIT)</t>
  </si>
  <si>
    <t>Services</t>
  </si>
  <si>
    <t>#</t>
  </si>
  <si>
    <t>Refer below point i)</t>
  </si>
  <si>
    <t>Average Maturity  (years)</t>
  </si>
  <si>
    <t>ISIN</t>
  </si>
  <si>
    <t>NAME OF THE SECURITY</t>
  </si>
  <si>
    <t>VALUE OF THE SECURITY CONSIDERED UNDER NET RECEIVABLES</t>
  </si>
  <si>
    <t>% TO AUM</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</si>
  <si>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</si>
  <si>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</si>
  <si>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</si>
  <si>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</si>
  <si>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</si>
  <si>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</si>
  <si>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</si>
  <si>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 (Rs. in Lacs)</t>
  </si>
  <si>
    <t>Amount Recovered 30th Sep 2021</t>
  </si>
  <si>
    <t xml:space="preserve">Further amount received on 31-Aug-2024 </t>
  </si>
  <si>
    <t xml:space="preserve">Total settlement till date  </t>
  </si>
  <si>
    <t xml:space="preserve">PRINCIPAL </t>
  </si>
  <si>
    <t>Interest Accrued till 3rd June 2019</t>
  </si>
  <si>
    <t xml:space="preserve">Interest not accrued due to category by rating agency as default till maturity </t>
  </si>
  <si>
    <t xml:space="preserve">Total </t>
  </si>
  <si>
    <t xml:space="preserve"> ## (Rs. in Lacs)</t>
  </si>
  <si>
    <t xml:space="preserve">Total Cost  </t>
  </si>
  <si>
    <t xml:space="preserve">Discounting Charges / Interest accrued till maturity </t>
  </si>
  <si>
    <t>Total CP Outstanding</t>
  </si>
  <si>
    <t xml:space="preserve"> 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</si>
  <si>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</si>
  <si>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</si>
  <si>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</si>
  <si>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</si>
  <si>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</si>
  <si>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</si>
  <si>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</si>
  <si>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</si>
  <si>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</si>
  <si>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</si>
  <si>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https://www.sundarammutual.com/pdf2/2025/Rationale_for_Valuation/Update_on_ILFS_Financial_Services_Recovery_06_03_2025.pdf</t>
  </si>
  <si>
    <t xml:space="preserve">              NIFTY Low Duration Debt Index A-I</t>
  </si>
  <si>
    <t>++ Aggregate Investments by Other schemes of Sundaram Mutual Fund - Rs. 6,868.37 Lakhs</t>
  </si>
  <si>
    <t>Amount Recovered - 06th Mar 2025</t>
  </si>
  <si>
    <t xml:space="preserve">                      NIFTY Liquid Index A-I</t>
  </si>
  <si>
    <t>9.05% Dewan Housing Finance Corporation Ltd-NCD-09/09/2019</t>
  </si>
  <si>
    <t>Dewan Housing Finance Corporation Ltd-9.10%-09/09/2019</t>
  </si>
  <si>
    <t>INE202B07654</t>
  </si>
  <si>
    <t>11.55%_Prev 11.45%-Dewan Housing Finance Corp Ltd-12/09/2019  ##</t>
  </si>
  <si>
    <t>9.10%-Dewan Housing Finance Corporation Ltd-16/08/2019 ##</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</si>
  <si>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</si>
  <si>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</si>
  <si>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</si>
  <si>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</si>
  <si>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</si>
  <si>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</si>
  <si>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</si>
  <si>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</si>
  <si>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</si>
  <si>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</si>
  <si>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</si>
  <si>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Interest Rate Swaps</t>
  </si>
  <si>
    <t>Interest Rate Swaps Pay Fix Receive Floating (11/12/2025) (FV 2500 Lacs)~</t>
  </si>
  <si>
    <t>Interest Rate Swaps Pay Fix Receive Floating (06/03/2026) (FV 2500 Lacs)~</t>
  </si>
  <si>
    <t>Interest Rate Swaps Pay Fix Receive Floating (20/03/2026) (FV 2500 Lacs)~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</si>
  <si>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</si>
  <si>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</si>
  <si>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</si>
  <si>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</si>
  <si>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</si>
  <si>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</si>
  <si>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</si>
  <si>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</si>
  <si>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</si>
  <si>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</si>
  <si>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</si>
  <si>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</si>
  <si>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NABARD</t>
  </si>
  <si>
    <t>REC Ltd</t>
  </si>
  <si>
    <t xml:space="preserve">          NIFTY Ultra Short Duration Debt Index A-I</t>
  </si>
  <si>
    <t>Regular Plan - Quarterly IDCW</t>
  </si>
  <si>
    <t>d) IDCW declared during the period (Rupees per unit)</t>
  </si>
  <si>
    <t>INE528G08394</t>
  </si>
  <si>
    <t>9%-YES BANK LTD-NCD-Call opt-18/10/2022-Perpetual Bond $</t>
  </si>
  <si>
    <t>TOTAL AMOUNT INCLUDING INTEREST DUE TO THE SCHEME</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</si>
  <si>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</si>
  <si>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</si>
  <si>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</si>
  <si>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</si>
  <si>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</si>
  <si>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</si>
  <si>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</si>
  <si>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</si>
  <si>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</si>
  <si>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</si>
  <si>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</si>
  <si>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</si>
  <si>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</si>
  <si>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</si>
  <si>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</si>
  <si>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 xml:space="preserve">      CRISIL Hybrid 85 Plus 15 - Conservative Index</t>
  </si>
  <si>
    <t>Macaulay Duration (Days)</t>
  </si>
  <si>
    <t>Average Maturity (Days)</t>
  </si>
  <si>
    <t xml:space="preserve">                        NIFTY 1D Rate Index</t>
  </si>
  <si>
    <t>++ Aggregate Investments by Other schemes of Sundaram Mutual Fund - Rs.17,042.08 Lakhs</t>
  </si>
  <si>
    <t>Direct Plan - Monthly IDCW</t>
  </si>
  <si>
    <t>Direct Plan - Quarterly IDCW</t>
  </si>
  <si>
    <t>Direct Plan - Halfyearly IDCW</t>
  </si>
  <si>
    <t>Direct Plan - Annual IDCW</t>
  </si>
  <si>
    <t>Regular Plan - Monthly IDCW</t>
  </si>
  <si>
    <t>Regular Plan - Halfyearly IDCW</t>
  </si>
  <si>
    <t>Regular Plan - Annual IDCW</t>
  </si>
  <si>
    <t>15-May-2025</t>
  </si>
  <si>
    <t>i) Exposure to securities classified as below investment grade or default as on 15-May-2025:-</t>
  </si>
  <si>
    <t>h)  Hedging Positions through Swaps as on 15-May-2025:-</t>
  </si>
  <si>
    <t>% to AUM as on  15-May-2025</t>
  </si>
  <si>
    <t>h) Exposure to securities classified as below investment grade or default as on 15-May-2025:-</t>
  </si>
  <si>
    <t>S. No.</t>
  </si>
  <si>
    <t>ACRONYM</t>
  </si>
  <si>
    <t>SCHEME NAME</t>
  </si>
  <si>
    <t>SFRLTP</t>
  </si>
  <si>
    <t>SFRSTP</t>
  </si>
  <si>
    <t>SMMF</t>
  </si>
  <si>
    <t>SPLDF</t>
  </si>
  <si>
    <t>SPMON</t>
  </si>
  <si>
    <t>SPSDF</t>
  </si>
  <si>
    <t>SPUSDF</t>
  </si>
  <si>
    <t>SUNBDS</t>
  </si>
  <si>
    <t>SUNMIA</t>
  </si>
  <si>
    <t>SUNONF</t>
  </si>
  <si>
    <t>Indian Bank - 14/08/2025**</t>
  </si>
  <si>
    <t>ICICI Securities Ltd - 15/05/2026**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</si>
</sst>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_ * #,##0.00_ ;_ * \-#,##0.00_ ;_ * &quot;-&quot;??_ ;_ @_ "/>
    <numFmt numFmtId="165" formatCode="[$-1014009]###0.00%;\(###0.00%\)"/>
    <numFmt numFmtId="166" formatCode="[$-1014009]###0.00;\(###0.00\)"/>
    <numFmt numFmtId="167" formatCode="[$-1014009]General"/>
    <numFmt numFmtId="168" formatCode="[$-1014009]###0;\(###0\)"/>
    <numFmt numFmtId="169" formatCode="[$-1014009]###0.0000;\(###0.0000\)"/>
    <numFmt numFmtId="170" formatCode="[$-1014009]#,##0.00\ %;\(#,##0.00\)"/>
    <numFmt numFmtId="171" formatCode="[$-1014009]#.0000"/>
    <numFmt numFmtId="172" formatCode="[$-1014009]#,##0.00;\(#,##0.00\)"/>
    <numFmt numFmtId="173" formatCode="dd\-mmm\-yyyy"/>
    <numFmt numFmtId="174" formatCode="[$-1014009]#,##0;\(#,##0\)"/>
    <numFmt numFmtId="175" formatCode="dd/mmm/yyyy"/>
  </numFmts>
  <fonts count="39" x14ac:knownFonts="1">
    <font>
      <sz val="10"/>
      <name val="Arial"/>
      <charset val="1"/>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sz val="10"/>
      <name val="Arial"/>
      <charset val="1"/>
    </font>
    <font>
      <b/>
      <sz val="11"/>
      <color theme="0"/>
      <name val="Aptos Narrow"/>
      <family val="2"/>
      <scheme val="minor"/>
    </font>
    <font>
      <sz val="11"/>
      <color theme="0"/>
      <name val="Aptos Narrow"/>
      <family val="2"/>
      <scheme val="minor"/>
    </font>
    <font>
      <sz val="10"/>
      <name val="Arial"/>
      <family val="2"/>
    </font>
    <font>
      <b/>
      <sz val="11"/>
      <color indexed="8"/>
      <name val="Calibri"/>
      <family val="2"/>
    </font>
    <font>
      <sz val="10"/>
      <color indexed="8"/>
      <name val="Calibri"/>
      <family val="2"/>
    </font>
    <font>
      <b/>
      <sz val="10"/>
      <color indexed="8"/>
      <name val="Calibri"/>
      <family val="2"/>
    </font>
    <font>
      <u/>
      <sz val="10"/>
      <color theme="10"/>
      <name val="Arial"/>
      <family val="2"/>
    </font>
    <font>
      <u/>
      <sz val="11"/>
      <color rgb="FF002060"/>
      <name val="Aptos Narrow"/>
      <family val="2"/>
      <scheme val="minor"/>
    </font>
    <font>
      <b/>
      <i/>
      <sz val="10"/>
      <color indexed="8"/>
      <name val="Calibri"/>
      <family val="2"/>
    </font>
    <font>
      <sz val="10"/>
      <name val="Calibri"/>
      <family val="2"/>
    </font>
    <font>
      <b/>
      <sz val="10"/>
      <name val="Calibri"/>
      <family val="2"/>
    </font>
    <font>
      <b/>
      <sz val="10"/>
      <name val="Arial"/>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0"/>
      <color rgb="FFFF0000"/>
      <name val="Calibri"/>
      <family val="2"/>
    </font>
    <font>
      <sz val="11"/>
      <name val="Aptos Narrow"/>
      <family val="2"/>
      <scheme val="minor"/>
    </font>
    <font>
      <b/>
      <sz val="10"/>
      <color theme="1"/>
      <name val="Calibri"/>
      <family val="2"/>
    </font>
    <font>
      <sz val="10"/>
      <color theme="1"/>
      <name val="Calibri"/>
      <family val="2"/>
    </font>
    <font>
      <b/>
      <sz val="11"/>
      <name val="Aptos Narrow"/>
      <family val="2"/>
      <scheme val="minor"/>
    </font>
    <font>
      <b/>
      <sz val="11"/>
      <color theme="1"/>
      <name val="Calibri"/>
      <family val="2"/>
    </font>
    <font>
      <b/>
      <sz val="11"/>
      <name val="Calibri"/>
      <family val="2"/>
    </font>
    <font>
      <sz val="11"/>
      <color theme="1"/>
      <name val="Calibri"/>
      <family val="2"/>
    </font>
    <font>
      <u/>
      <sz val="11"/>
      <color theme="10"/>
      <name val="Calibri"/>
      <family val="2"/>
    </font>
    <font>
      <sz val="11"/>
      <name val="Calibri"/>
      <family val="2"/>
    </font>
  </fonts>
  <fills count="2">
    <fill>
      <patternFill patternType="none"/>
    </fill>
    <fill>
      <patternFill patternType="gray125"/>
    </fill>
  </fills>
  <borders count="1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2">
    <xf numFmtId="0" fontId="0" fillId="0" borderId="0">
      <alignment wrapText="1"/>
    </xf>
    <xf numFmtId="9" fontId="5" fillId="0" borderId="0" applyFont="0" applyFill="0" applyBorder="0" applyAlignment="0" applyProtection="0"/>
    <xf numFmtId="164" fontId="8" fillId="0" borderId="0" applyFont="0" applyFill="0" applyBorder="0" applyAlignment="0" applyProtection="0"/>
    <xf numFmtId="0" fontId="12" fillId="0" borderId="0" applyNumberFormat="0" applyFill="0" applyBorder="0" applyAlignment="0" applyProtection="0">
      <alignment wrapText="1"/>
    </xf>
    <xf numFmtId="0" fontId="8" fillId="0" borderId="0">
      <alignment wrapText="1"/>
    </xf>
    <xf numFmtId="0" fontId="1" fillId="0" borderId="0"/>
    <xf numFmtId="164" fontId="8" fillId="0" borderId="0" applyFont="0" applyFill="0" applyBorder="0" applyAlignment="0" applyProtection="0"/>
    <xf numFmtId="9" fontId="20" fillId="0" borderId="0" applyFont="0" applyFill="0" applyBorder="0" applyAlignment="0" applyProtection="0"/>
    <xf numFmtId="164" fontId="8" fillId="0" borderId="0" applyFont="0" applyFill="0" applyBorder="0" applyAlignment="0" applyProtection="0"/>
    <xf numFmtId="0" fontId="1" fillId="0" borderId="0"/>
    <xf numFmtId="0" fontId="1" fillId="0" borderId="0"/>
    <xf numFmtId="0" fontId="1" fillId="0" borderId="0"/>
  </cellStyleXfs>
  <cellXfs count="214">
    <xf numFmtId="0" fontId="0" fillId="0" borderId="0" xfId="0">
      <alignment wrapText="1"/>
    </xf>
    <xf numFmtId="0" fontId="13" fillId="0" borderId="0" xfId="3" applyFont="1" applyFill="1" applyBorder="1" applyAlignment="1">
      <alignment horizontal="center" vertical="center" wrapText="1"/>
    </xf>
    <xf numFmtId="4" fontId="19" fillId="0" borderId="9" xfId="7" applyNumberFormat="1" applyFont="1" applyFill="1" applyBorder="1"/>
    <xf numFmtId="4" fontId="19" fillId="0" borderId="0" xfId="7" applyNumberFormat="1" applyFont="1" applyFill="1" applyBorder="1"/>
    <xf numFmtId="164" fontId="19" fillId="0" borderId="9" xfId="8" applyFont="1" applyFill="1" applyBorder="1"/>
    <xf numFmtId="164" fontId="19" fillId="0" borderId="0" xfId="6" applyFont="1" applyFill="1" applyBorder="1"/>
    <xf numFmtId="0" fontId="34" fillId="0" borderId="9" xfId="5" applyFont="1" applyBorder="1" applyAlignment="1">
      <alignment horizontal="center"/>
    </xf>
    <xf numFmtId="0" fontId="35" fillId="0" borderId="9" xfId="5" applyFont="1" applyBorder="1" applyAlignment="1">
      <alignment horizontal="center" vertical="center"/>
    </xf>
    <xf numFmtId="0" fontId="36" fillId="0" borderId="0" xfId="11" applyFont="1"/>
    <xf numFmtId="0" fontId="36" fillId="0" borderId="9" xfId="5" applyFont="1" applyBorder="1" applyAlignment="1">
      <alignment horizontal="center"/>
    </xf>
    <xf numFmtId="0" fontId="37" fillId="0" borderId="9" xfId="3" applyFont="1" applyFill="1" applyBorder="1" applyAlignment="1">
      <alignment vertical="center"/>
    </xf>
    <xf numFmtId="0" fontId="38" fillId="0" borderId="9" xfId="5" applyFont="1" applyBorder="1" applyAlignment="1">
      <alignment vertical="top"/>
    </xf>
    <xf numFmtId="0" fontId="9" fillId="0" borderId="7" xfId="0" applyFont="1" applyBorder="1" applyAlignment="1">
      <alignment horizontal="center" vertical="center" wrapText="1" readingOrder="1"/>
    </xf>
    <xf numFmtId="164" fontId="9" fillId="0" borderId="7" xfId="2" applyFont="1" applyFill="1" applyBorder="1" applyAlignment="1">
      <alignment horizontal="center" vertical="center" wrapText="1" readingOrder="1"/>
    </xf>
    <xf numFmtId="0" fontId="0" fillId="0" borderId="0" xfId="0" applyAlignment="1">
      <alignment horizontal="center" vertical="center" wrapText="1"/>
    </xf>
    <xf numFmtId="0" fontId="10" fillId="0" borderId="4" xfId="0" applyFont="1" applyBorder="1" applyAlignment="1">
      <alignment horizontal="right" vertical="top" wrapText="1" readingOrder="1"/>
    </xf>
    <xf numFmtId="0" fontId="11" fillId="0" borderId="4" xfId="0" applyFont="1" applyBorder="1" applyAlignment="1">
      <alignment horizontal="left" vertical="center" wrapText="1" readingOrder="1"/>
    </xf>
    <xf numFmtId="166" fontId="10" fillId="0" borderId="8" xfId="0" applyNumberFormat="1" applyFont="1" applyBorder="1" applyAlignment="1">
      <alignment horizontal="right" vertical="center" wrapText="1" readingOrder="1"/>
    </xf>
    <xf numFmtId="0" fontId="2" fillId="0" borderId="4" xfId="0" applyFont="1" applyBorder="1" applyAlignment="1">
      <alignment horizontal="right" vertical="top" wrapText="1" readingOrder="1"/>
    </xf>
    <xf numFmtId="0" fontId="3" fillId="0" borderId="4" xfId="0" applyFont="1" applyBorder="1" applyAlignment="1">
      <alignment horizontal="left" vertical="center" wrapText="1" readingOrder="1"/>
    </xf>
    <xf numFmtId="0" fontId="3" fillId="0" borderId="4" xfId="0" applyFont="1" applyBorder="1" applyAlignment="1">
      <alignment horizontal="right" vertical="center" wrapText="1" readingOrder="1"/>
    </xf>
    <xf numFmtId="165" fontId="3"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167"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8" fontId="2" fillId="0" borderId="4" xfId="0" applyNumberFormat="1" applyFont="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165" fontId="2" fillId="0" borderId="4" xfId="0" applyNumberFormat="1" applyFont="1" applyBorder="1" applyAlignment="1">
      <alignment horizontal="right" vertical="center" wrapText="1" readingOrder="1"/>
    </xf>
    <xf numFmtId="0" fontId="2" fillId="0" borderId="4" xfId="0" applyFont="1" applyBorder="1" applyAlignment="1">
      <alignment horizontal="right" vertical="center" wrapText="1" readingOrder="1"/>
    </xf>
    <xf numFmtId="170" fontId="3"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4" fillId="0" borderId="5" xfId="0" applyFont="1" applyBorder="1" applyAlignment="1">
      <alignment horizontal="right" vertical="center" wrapText="1" readingOrder="1"/>
    </xf>
    <xf numFmtId="0" fontId="14" fillId="0" borderId="0" xfId="0" applyFont="1" applyAlignment="1">
      <alignment horizontal="left" vertical="center" wrapText="1" readingOrder="1"/>
    </xf>
    <xf numFmtId="0" fontId="10"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4" fillId="0" borderId="6" xfId="0" applyFont="1" applyBorder="1" applyAlignment="1">
      <alignment horizontal="right" vertical="center" wrapText="1" readingOrder="1"/>
    </xf>
    <xf numFmtId="0" fontId="14" fillId="0" borderId="0" xfId="0" applyFont="1" applyAlignment="1">
      <alignment horizontal="right" vertical="center" wrapText="1" readingOrder="1"/>
    </xf>
    <xf numFmtId="0" fontId="14" fillId="0" borderId="4" xfId="0" applyFont="1" applyBorder="1" applyAlignment="1">
      <alignment horizontal="right" vertical="center" wrapText="1" readingOrder="1"/>
    </xf>
    <xf numFmtId="0" fontId="10" fillId="0" borderId="0" xfId="0" applyFont="1" applyAlignment="1">
      <alignment horizontal="right" vertical="top" wrapText="1" readingOrder="1"/>
    </xf>
    <xf numFmtId="0" fontId="11" fillId="0" borderId="4" xfId="0" applyFont="1" applyBorder="1" applyAlignment="1">
      <alignment horizontal="right" vertical="top" wrapText="1" readingOrder="1"/>
    </xf>
    <xf numFmtId="0" fontId="11" fillId="0" borderId="4" xfId="0" applyFont="1" applyBorder="1" applyAlignment="1">
      <alignment horizontal="left" vertical="top" wrapText="1" readingOrder="1"/>
    </xf>
    <xf numFmtId="173" fontId="11" fillId="0" borderId="4" xfId="0" applyNumberFormat="1" applyFont="1" applyBorder="1" applyAlignment="1">
      <alignment horizontal="right" vertical="top" wrapText="1" readingOrder="1"/>
    </xf>
    <xf numFmtId="0" fontId="2" fillId="0" borderId="0" xfId="0" applyFont="1" applyAlignment="1">
      <alignment horizontal="right" vertical="top" wrapText="1" readingOrder="1"/>
    </xf>
    <xf numFmtId="171" fontId="2" fillId="0" borderId="4" xfId="0" applyNumberFormat="1" applyFont="1" applyBorder="1" applyAlignment="1">
      <alignment horizontal="right" vertical="center" wrapText="1" readingOrder="1"/>
    </xf>
    <xf numFmtId="0" fontId="2" fillId="0" borderId="0" xfId="0" applyFont="1" applyAlignment="1">
      <alignment horizontal="left" vertical="center" wrapText="1" readingOrder="1"/>
    </xf>
    <xf numFmtId="0" fontId="2" fillId="0" borderId="0" xfId="0" applyFont="1" applyAlignment="1">
      <alignment horizontal="right" vertical="center" wrapText="1" readingOrder="1"/>
    </xf>
    <xf numFmtId="0" fontId="0" fillId="0" borderId="0" xfId="0" applyAlignment="1">
      <alignment horizontal="center" vertical="top" readingOrder="1"/>
    </xf>
    <xf numFmtId="0" fontId="10" fillId="0" borderId="6" xfId="0" applyFont="1" applyBorder="1" applyAlignment="1">
      <alignment horizontal="right" vertical="top" wrapText="1" readingOrder="1"/>
    </xf>
    <xf numFmtId="0" fontId="8" fillId="0" borderId="0" xfId="4">
      <alignment wrapText="1"/>
    </xf>
    <xf numFmtId="0" fontId="15" fillId="0" borderId="0" xfId="0" applyFont="1" applyAlignment="1">
      <alignment vertical="center" wrapText="1"/>
    </xf>
    <xf numFmtId="0" fontId="0" fillId="0" borderId="0" xfId="0" applyAlignment="1">
      <alignment vertical="center" wrapText="1"/>
    </xf>
    <xf numFmtId="0" fontId="16" fillId="0" borderId="9" xfId="0" applyFont="1" applyBorder="1" applyAlignment="1">
      <alignment horizontal="center" vertical="center" wrapText="1"/>
    </xf>
    <xf numFmtId="0" fontId="15" fillId="0" borderId="9" xfId="0" applyFont="1" applyBorder="1" applyAlignment="1">
      <alignment vertical="center" wrapText="1"/>
    </xf>
    <xf numFmtId="0" fontId="15" fillId="0" borderId="9" xfId="0" applyFont="1" applyBorder="1" applyAlignment="1">
      <alignment horizontal="justify" vertical="center" wrapText="1"/>
    </xf>
    <xf numFmtId="172" fontId="11" fillId="0" borderId="4" xfId="0" applyNumberFormat="1" applyFont="1" applyBorder="1" applyAlignment="1">
      <alignment horizontal="left" vertical="center" wrapText="1" readingOrder="1"/>
    </xf>
    <xf numFmtId="174" fontId="11" fillId="0" borderId="4" xfId="0" applyNumberFormat="1" applyFont="1" applyBorder="1" applyAlignment="1">
      <alignment horizontal="left" vertical="center" wrapText="1" readingOrder="1"/>
    </xf>
    <xf numFmtId="174" fontId="11" fillId="0" borderId="4" xfId="0" quotePrefix="1" applyNumberFormat="1" applyFont="1" applyBorder="1" applyAlignment="1">
      <alignment horizontal="left" vertical="center" wrapText="1" readingOrder="1"/>
    </xf>
    <xf numFmtId="164" fontId="0" fillId="0" borderId="0" xfId="6" applyFont="1" applyFill="1" applyAlignment="1">
      <alignment wrapText="1"/>
    </xf>
    <xf numFmtId="0" fontId="17" fillId="0" borderId="0" xfId="0" applyFont="1">
      <alignment wrapText="1"/>
    </xf>
    <xf numFmtId="0" fontId="17" fillId="0" borderId="0" xfId="0" applyFont="1" applyAlignment="1"/>
    <xf numFmtId="0" fontId="0" fillId="0" borderId="0" xfId="0" applyAlignment="1"/>
    <xf numFmtId="167" fontId="10" fillId="0" borderId="4" xfId="0" applyNumberFormat="1" applyFont="1" applyBorder="1" applyAlignment="1">
      <alignment horizontal="right" vertical="center" wrapText="1" readingOrder="1"/>
    </xf>
    <xf numFmtId="0" fontId="10" fillId="0" borderId="4" xfId="0" applyFont="1" applyBorder="1" applyAlignment="1">
      <alignment horizontal="left" vertical="center" wrapText="1" readingOrder="1"/>
    </xf>
    <xf numFmtId="168" fontId="10" fillId="0" borderId="4" xfId="0" applyNumberFormat="1" applyFont="1" applyBorder="1" applyAlignment="1">
      <alignment horizontal="right" vertical="center" wrapText="1" readingOrder="1"/>
    </xf>
    <xf numFmtId="166" fontId="10" fillId="0" borderId="4" xfId="0" applyNumberFormat="1" applyFont="1" applyBorder="1" applyAlignment="1">
      <alignment horizontal="right" vertical="center" wrapText="1" readingOrder="1"/>
    </xf>
    <xf numFmtId="165" fontId="10" fillId="0" borderId="4" xfId="0" applyNumberFormat="1" applyFont="1" applyBorder="1" applyAlignment="1">
      <alignment horizontal="right" vertical="center" wrapText="1" readingOrder="1"/>
    </xf>
    <xf numFmtId="0" fontId="17" fillId="0" borderId="0" xfId="0" applyFont="1" applyAlignment="1">
      <alignment horizontal="center" vertical="center" wrapText="1"/>
    </xf>
    <xf numFmtId="0" fontId="14" fillId="0" borderId="4" xfId="0" applyFont="1" applyBorder="1" applyAlignment="1">
      <alignment horizontal="left" vertical="center" wrapText="1" readingOrder="1"/>
    </xf>
    <xf numFmtId="166" fontId="10" fillId="0" borderId="9" xfId="0" applyNumberFormat="1" applyFont="1" applyBorder="1" applyAlignment="1">
      <alignment horizontal="right" vertical="center" wrapText="1" readingOrder="1"/>
    </xf>
    <xf numFmtId="0" fontId="15" fillId="0" borderId="0" xfId="0" applyFont="1">
      <alignment wrapText="1"/>
    </xf>
    <xf numFmtId="169" fontId="10" fillId="0" borderId="4" xfId="0" applyNumberFormat="1" applyFont="1" applyBorder="1" applyAlignment="1">
      <alignment horizontal="right" vertical="center" wrapText="1" readingOrder="1"/>
    </xf>
    <xf numFmtId="166" fontId="11" fillId="0" borderId="4" xfId="0" applyNumberFormat="1" applyFont="1" applyBorder="1" applyAlignment="1">
      <alignment horizontal="right" vertical="center" wrapText="1" readingOrder="1"/>
    </xf>
    <xf numFmtId="165" fontId="11" fillId="0" borderId="4" xfId="0" applyNumberFormat="1" applyFont="1" applyBorder="1" applyAlignment="1">
      <alignment horizontal="right" vertical="center" wrapText="1" readingOrder="1"/>
    </xf>
    <xf numFmtId="14" fontId="15" fillId="0" borderId="9" xfId="0" quotePrefix="1" applyNumberFormat="1" applyFont="1" applyBorder="1" applyAlignment="1">
      <alignment horizontal="justify" vertical="center" wrapText="1"/>
    </xf>
    <xf numFmtId="0" fontId="18" fillId="0" borderId="9" xfId="5" applyFont="1" applyBorder="1" applyAlignment="1">
      <alignment horizontal="center" vertical="center"/>
    </xf>
    <xf numFmtId="0" fontId="18" fillId="0" borderId="9" xfId="5" applyFont="1" applyBorder="1" applyAlignment="1">
      <alignment horizontal="center" vertical="center" wrapText="1"/>
    </xf>
    <xf numFmtId="0" fontId="8" fillId="0" borderId="0" xfId="4" applyAlignment="1">
      <alignment vertical="center" wrapText="1"/>
    </xf>
    <xf numFmtId="0" fontId="19" fillId="0" borderId="9" xfId="5" applyFont="1" applyBorder="1" applyAlignment="1">
      <alignment vertical="center"/>
    </xf>
    <xf numFmtId="0" fontId="19" fillId="0" borderId="9" xfId="5" applyFont="1" applyBorder="1" applyAlignment="1">
      <alignment wrapText="1"/>
    </xf>
    <xf numFmtId="0" fontId="19" fillId="0" borderId="9" xfId="5" applyFont="1" applyBorder="1"/>
    <xf numFmtId="0" fontId="18" fillId="0" borderId="9" xfId="5" applyFont="1" applyBorder="1" applyAlignment="1">
      <alignment horizontal="center"/>
    </xf>
    <xf numFmtId="4" fontId="19" fillId="0" borderId="9" xfId="5" applyNumberFormat="1" applyFont="1" applyBorder="1"/>
    <xf numFmtId="2" fontId="19" fillId="0" borderId="9" xfId="5" applyNumberFormat="1" applyFont="1" applyBorder="1"/>
    <xf numFmtId="4" fontId="8" fillId="0" borderId="9" xfId="4" applyNumberFormat="1" applyBorder="1">
      <alignment wrapText="1"/>
    </xf>
    <xf numFmtId="0" fontId="21" fillId="0" borderId="0" xfId="0" applyFont="1" applyAlignment="1"/>
    <xf numFmtId="0" fontId="12" fillId="0" borderId="0" xfId="3" applyFill="1" applyAlignment="1"/>
    <xf numFmtId="0" fontId="10" fillId="0" borderId="0" xfId="0" applyFont="1" applyAlignment="1">
      <alignment horizontal="right" vertical="center" wrapText="1" readingOrder="1"/>
    </xf>
    <xf numFmtId="0" fontId="6" fillId="0" borderId="0" xfId="10" applyFont="1" applyAlignment="1">
      <alignment horizontal="center" vertical="center"/>
    </xf>
    <xf numFmtId="0" fontId="1" fillId="0" borderId="0" xfId="10" applyAlignment="1">
      <alignment wrapText="1"/>
    </xf>
    <xf numFmtId="4" fontId="7" fillId="0" borderId="0" xfId="10" applyNumberFormat="1" applyFont="1"/>
    <xf numFmtId="0" fontId="30" fillId="0" borderId="0" xfId="10" applyFont="1" applyAlignment="1">
      <alignment wrapText="1"/>
    </xf>
    <xf numFmtId="0" fontId="31" fillId="0" borderId="9" xfId="10" applyFont="1" applyBorder="1" applyAlignment="1">
      <alignment horizontal="center" vertical="center"/>
    </xf>
    <xf numFmtId="0" fontId="31" fillId="0" borderId="0" xfId="10" applyFont="1" applyAlignment="1">
      <alignment horizontal="center" vertical="center"/>
    </xf>
    <xf numFmtId="0" fontId="32" fillId="0" borderId="9" xfId="10" applyFont="1" applyBorder="1" applyAlignment="1">
      <alignment vertical="center"/>
    </xf>
    <xf numFmtId="0" fontId="32" fillId="0" borderId="9" xfId="10" applyFont="1" applyBorder="1" applyAlignment="1">
      <alignment vertical="center" wrapText="1"/>
    </xf>
    <xf numFmtId="0" fontId="32" fillId="0" borderId="0" xfId="10" applyFont="1" applyAlignment="1">
      <alignment horizontal="center" vertical="center"/>
    </xf>
    <xf numFmtId="0" fontId="31" fillId="0" borderId="9" xfId="10" applyFont="1" applyBorder="1" applyAlignment="1">
      <alignment horizontal="center" vertical="center" wrapText="1"/>
    </xf>
    <xf numFmtId="0" fontId="33" fillId="0" borderId="0" xfId="10" applyFont="1" applyAlignment="1">
      <alignment horizontal="center" vertical="center"/>
    </xf>
    <xf numFmtId="0" fontId="32" fillId="0" borderId="9" xfId="10" applyFont="1" applyBorder="1" applyAlignment="1">
      <alignment horizontal="left" vertical="center"/>
    </xf>
    <xf numFmtId="4" fontId="32" fillId="0" borderId="9" xfId="10" applyNumberFormat="1" applyFont="1" applyBorder="1" applyAlignment="1">
      <alignment horizontal="right" vertical="center"/>
    </xf>
    <xf numFmtId="10" fontId="32" fillId="0" borderId="9" xfId="7" applyNumberFormat="1" applyFont="1" applyFill="1" applyBorder="1" applyAlignment="1">
      <alignment vertical="center"/>
    </xf>
    <xf numFmtId="164" fontId="30" fillId="0" borderId="0" xfId="6" applyFont="1" applyFill="1" applyAlignment="1">
      <alignment vertical="center"/>
    </xf>
    <xf numFmtId="164" fontId="32" fillId="0" borderId="0" xfId="6" applyFont="1" applyFill="1" applyAlignment="1">
      <alignment horizontal="center" vertical="center"/>
    </xf>
    <xf numFmtId="165" fontId="15" fillId="0" borderId="4" xfId="0" applyNumberFormat="1" applyFont="1" applyBorder="1" applyAlignment="1">
      <alignment horizontal="right" vertical="center" wrapText="1" readingOrder="1"/>
    </xf>
    <xf numFmtId="10" fontId="0" fillId="0" borderId="0" xfId="1" applyNumberFormat="1" applyFont="1" applyFill="1" applyAlignment="1">
      <alignment wrapText="1"/>
    </xf>
    <xf numFmtId="0" fontId="14" fillId="0" borderId="9" xfId="0" applyFont="1" applyBorder="1" applyAlignment="1">
      <alignment horizontal="left" vertical="center" wrapText="1" readingOrder="1"/>
    </xf>
    <xf numFmtId="0" fontId="22" fillId="0" borderId="9" xfId="0" applyFont="1" applyBorder="1">
      <alignment wrapText="1"/>
    </xf>
    <xf numFmtId="0" fontId="14" fillId="0" borderId="9" xfId="0" applyFont="1" applyBorder="1" applyAlignment="1">
      <alignment horizontal="right" vertical="center" wrapText="1" readingOrder="1"/>
    </xf>
    <xf numFmtId="0" fontId="0" fillId="0" borderId="9" xfId="0" applyBorder="1">
      <alignment wrapText="1"/>
    </xf>
    <xf numFmtId="0" fontId="23" fillId="0" borderId="9" xfId="0" applyFont="1" applyBorder="1">
      <alignment wrapText="1"/>
    </xf>
    <xf numFmtId="168" fontId="10" fillId="0" borderId="9" xfId="0" applyNumberFormat="1" applyFont="1" applyBorder="1" applyAlignment="1">
      <alignment horizontal="right" vertical="center" wrapText="1" readingOrder="1"/>
    </xf>
    <xf numFmtId="165" fontId="10" fillId="0" borderId="9" xfId="0" applyNumberFormat="1" applyFont="1" applyBorder="1" applyAlignment="1">
      <alignment horizontal="right" vertical="center" wrapText="1" readingOrder="1"/>
    </xf>
    <xf numFmtId="0" fontId="21" fillId="0" borderId="0" xfId="9" applyFont="1"/>
    <xf numFmtId="0" fontId="0" fillId="0" borderId="0" xfId="0" applyAlignment="1">
      <alignment horizontal="center" vertical="center"/>
    </xf>
    <xf numFmtId="0" fontId="24" fillId="0" borderId="7" xfId="0" applyFont="1" applyBorder="1" applyAlignment="1">
      <alignment horizontal="center" vertical="center" wrapText="1"/>
    </xf>
    <xf numFmtId="0" fontId="25" fillId="0" borderId="7" xfId="0" applyFont="1" applyBorder="1" applyAlignment="1">
      <alignment horizontal="center" vertical="center" wrapText="1"/>
    </xf>
    <xf numFmtId="10" fontId="0" fillId="0" borderId="0" xfId="1" applyNumberFormat="1" applyFont="1" applyFill="1" applyAlignment="1">
      <alignment horizontal="center" vertical="center" wrapText="1"/>
    </xf>
    <xf numFmtId="0" fontId="0" fillId="0" borderId="0" xfId="0" applyAlignment="1">
      <alignment vertical="center"/>
    </xf>
    <xf numFmtId="0" fontId="26" fillId="0" borderId="7" xfId="0" applyFont="1" applyBorder="1" applyAlignment="1">
      <alignment vertical="center"/>
    </xf>
    <xf numFmtId="0" fontId="27" fillId="0" borderId="7" xfId="0" applyFont="1" applyBorder="1" applyAlignment="1">
      <alignment vertical="center" wrapText="1"/>
    </xf>
    <xf numFmtId="0" fontId="27" fillId="0" borderId="7" xfId="0" applyFont="1" applyBorder="1" applyAlignment="1">
      <alignment vertical="center"/>
    </xf>
    <xf numFmtId="164" fontId="26" fillId="0" borderId="7" xfId="6" applyFont="1" applyFill="1" applyBorder="1" applyAlignment="1">
      <alignment vertical="center"/>
    </xf>
    <xf numFmtId="175" fontId="26" fillId="0" borderId="7" xfId="0" applyNumberFormat="1" applyFont="1" applyBorder="1" applyAlignment="1">
      <alignment vertical="center"/>
    </xf>
    <xf numFmtId="165" fontId="29" fillId="0" borderId="4" xfId="0" applyNumberFormat="1" applyFont="1" applyBorder="1" applyAlignment="1">
      <alignment horizontal="right" vertical="center" wrapText="1" readingOrder="1"/>
    </xf>
    <xf numFmtId="10" fontId="0" fillId="0" borderId="0" xfId="1" applyNumberFormat="1" applyFont="1" applyFill="1" applyAlignment="1">
      <alignment vertical="center" wrapText="1"/>
    </xf>
    <xf numFmtId="10" fontId="28" fillId="0" borderId="0" xfId="1" applyNumberFormat="1" applyFont="1" applyFill="1" applyAlignment="1"/>
    <xf numFmtId="0" fontId="28" fillId="0" borderId="0" xfId="0" applyFont="1" applyAlignment="1"/>
    <xf numFmtId="0" fontId="16" fillId="0" borderId="0" xfId="0" applyFont="1" applyAlignment="1">
      <alignment vertical="center" readingOrder="1"/>
    </xf>
    <xf numFmtId="4" fontId="15" fillId="0" borderId="9" xfId="0" applyNumberFormat="1" applyFont="1" applyBorder="1" applyAlignment="1">
      <alignment vertical="center"/>
    </xf>
    <xf numFmtId="43" fontId="19" fillId="0" borderId="9" xfId="5" applyNumberFormat="1" applyFont="1" applyBorder="1"/>
    <xf numFmtId="0" fontId="19" fillId="0" borderId="0" xfId="5" applyFont="1"/>
    <xf numFmtId="0" fontId="19" fillId="0" borderId="0" xfId="5" applyFont="1" applyAlignment="1">
      <alignment wrapText="1"/>
    </xf>
    <xf numFmtId="4" fontId="15" fillId="0" borderId="0" xfId="0" applyNumberFormat="1" applyFont="1" applyAlignment="1">
      <alignment vertical="center"/>
    </xf>
    <xf numFmtId="43" fontId="19" fillId="0" borderId="0" xfId="5" applyNumberFormat="1" applyFont="1"/>
    <xf numFmtId="0" fontId="19" fillId="0" borderId="0" xfId="5" applyFont="1" applyAlignment="1">
      <alignment vertical="center" wrapText="1"/>
    </xf>
    <xf numFmtId="0" fontId="21" fillId="0" borderId="0" xfId="0" applyFont="1" applyAlignment="1">
      <alignment horizontal="left" vertical="top" readingOrder="1"/>
    </xf>
    <xf numFmtId="164" fontId="19" fillId="0" borderId="9" xfId="6" applyFont="1" applyFill="1" applyBorder="1"/>
    <xf numFmtId="4" fontId="19" fillId="0" borderId="0" xfId="5" applyNumberFormat="1" applyFont="1"/>
    <xf numFmtId="0" fontId="11" fillId="0" borderId="0" xfId="0" applyFont="1" applyAlignment="1">
      <alignment horizontal="left" vertical="center" wrapText="1" readingOrder="1"/>
    </xf>
    <xf numFmtId="0" fontId="14" fillId="0" borderId="0" xfId="4" applyFont="1" applyAlignment="1">
      <alignment horizontal="left" vertical="center" wrapText="1" readingOrder="1"/>
    </xf>
    <xf numFmtId="0" fontId="10" fillId="0" borderId="10" xfId="0" applyFont="1" applyBorder="1" applyAlignment="1">
      <alignment horizontal="left" vertical="center" wrapText="1" readingOrder="1"/>
    </xf>
    <xf numFmtId="0" fontId="10" fillId="0" borderId="12" xfId="0" applyFont="1" applyBorder="1" applyAlignment="1">
      <alignment horizontal="left" vertical="center" wrapText="1" readingOrder="1"/>
    </xf>
    <xf numFmtId="0" fontId="10" fillId="0" borderId="9" xfId="0" applyFont="1" applyBorder="1" applyAlignment="1">
      <alignment horizontal="left" vertical="center" wrapText="1" readingOrder="1"/>
    </xf>
    <xf numFmtId="0" fontId="10" fillId="0" borderId="11" xfId="0" applyFont="1" applyBorder="1" applyAlignment="1">
      <alignment horizontal="left" vertical="center" wrapText="1" readingOrder="1"/>
    </xf>
    <xf numFmtId="0" fontId="9" fillId="0" borderId="7" xfId="0" applyFont="1" applyBorder="1" applyAlignment="1">
      <alignment horizontal="center" vertical="center" wrapText="1" readingOrder="1"/>
    </xf>
    <xf numFmtId="0" fontId="10" fillId="0" borderId="0" xfId="0" applyFont="1" applyAlignment="1">
      <alignment horizontal="left" vertical="center" wrapText="1" readingOrder="1"/>
    </xf>
    <xf numFmtId="0" fontId="11" fillId="0" borderId="9" xfId="0" applyFont="1" applyBorder="1" applyAlignment="1">
      <alignment horizontal="center" vertical="center" wrapText="1" readingOrder="1"/>
    </xf>
    <xf numFmtId="0" fontId="11" fillId="0" borderId="1" xfId="0" applyFont="1" applyBorder="1" applyAlignment="1">
      <alignment horizontal="left" vertical="center" wrapText="1" readingOrder="1"/>
    </xf>
    <xf numFmtId="0" fontId="11" fillId="0" borderId="2" xfId="0" applyFont="1" applyBorder="1" applyAlignment="1">
      <alignment horizontal="left" vertical="center" wrapText="1" readingOrder="1"/>
    </xf>
    <xf numFmtId="0" fontId="11" fillId="0" borderId="3" xfId="0" applyFont="1" applyBorder="1" applyAlignment="1">
      <alignment horizontal="left" vertical="center" wrapText="1" readingOrder="1"/>
    </xf>
    <xf numFmtId="0" fontId="10" fillId="0" borderId="1" xfId="0" applyFont="1" applyBorder="1" applyAlignment="1">
      <alignment horizontal="left" vertical="center" wrapText="1" readingOrder="1"/>
    </xf>
    <xf numFmtId="0" fontId="10" fillId="0" borderId="3"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2" fillId="0" borderId="3" xfId="0" applyFont="1" applyBorder="1" applyAlignment="1">
      <alignment horizontal="left" vertical="center" wrapText="1" readingOrder="1"/>
    </xf>
    <xf numFmtId="0" fontId="16" fillId="0" borderId="10" xfId="0" applyFont="1" applyBorder="1" applyAlignment="1">
      <alignment horizontal="center" vertical="center"/>
    </xf>
    <xf numFmtId="0" fontId="16" fillId="0" borderId="11" xfId="0" applyFont="1" applyBorder="1" applyAlignment="1">
      <alignment horizontal="center" vertical="center"/>
    </xf>
    <xf numFmtId="0" fontId="16" fillId="0" borderId="12" xfId="0" applyFont="1" applyBorder="1" applyAlignment="1">
      <alignment horizontal="center" vertical="center"/>
    </xf>
    <xf numFmtId="0" fontId="10" fillId="0" borderId="0" xfId="4" quotePrefix="1" applyFont="1" applyAlignment="1">
      <alignment horizontal="left" vertical="center" wrapText="1" readingOrder="1"/>
    </xf>
    <xf numFmtId="0" fontId="10" fillId="0" borderId="0" xfId="4" applyFont="1" applyAlignment="1">
      <alignment horizontal="left" vertical="center" wrapText="1" readingOrder="1"/>
    </xf>
    <xf numFmtId="0" fontId="10" fillId="0" borderId="13" xfId="0" applyFont="1" applyBorder="1" applyAlignment="1">
      <alignment horizontal="left" vertical="center" wrapText="1" readingOrder="1"/>
    </xf>
    <xf numFmtId="0" fontId="11" fillId="0" borderId="10"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9" fillId="0" borderId="0" xfId="5" applyFont="1" applyAlignment="1">
      <alignment horizontal="justify" vertical="center" wrapText="1"/>
    </xf>
    <xf numFmtId="0" fontId="18" fillId="0" borderId="14" xfId="5" applyFont="1" applyBorder="1" applyAlignment="1">
      <alignment horizontal="center" vertical="center" wrapText="1"/>
    </xf>
    <xf numFmtId="0" fontId="18" fillId="0" borderId="8" xfId="5" applyFont="1" applyBorder="1" applyAlignment="1">
      <alignment horizontal="center" vertical="center" wrapText="1"/>
    </xf>
    <xf numFmtId="0" fontId="18" fillId="0" borderId="14" xfId="5" applyFont="1" applyBorder="1" applyAlignment="1">
      <alignment horizontal="center" vertical="center"/>
    </xf>
    <xf numFmtId="0" fontId="18" fillId="0" borderId="15" xfId="5" applyFont="1" applyBorder="1" applyAlignment="1">
      <alignment horizontal="center" vertical="center"/>
    </xf>
    <xf numFmtId="0" fontId="18" fillId="0" borderId="8" xfId="5" applyFont="1" applyBorder="1" applyAlignment="1">
      <alignment horizontal="center" vertical="center"/>
    </xf>
    <xf numFmtId="0" fontId="18" fillId="0" borderId="10" xfId="5" applyFont="1" applyBorder="1" applyAlignment="1">
      <alignment horizontal="center" vertical="center"/>
    </xf>
    <xf numFmtId="0" fontId="18" fillId="0" borderId="11" xfId="5" applyFont="1" applyBorder="1" applyAlignment="1">
      <alignment horizontal="center" vertical="center"/>
    </xf>
    <xf numFmtId="0" fontId="18" fillId="0" borderId="12" xfId="5" applyFont="1" applyBorder="1" applyAlignment="1">
      <alignment horizontal="center" vertical="center"/>
    </xf>
    <xf numFmtId="0" fontId="18" fillId="0" borderId="10" xfId="5" applyFont="1" applyBorder="1" applyAlignment="1">
      <alignment horizontal="center" vertical="center" wrapText="1"/>
    </xf>
    <xf numFmtId="0" fontId="18" fillId="0" borderId="11" xfId="5" applyFont="1" applyBorder="1" applyAlignment="1">
      <alignment horizontal="center" vertical="center" wrapText="1"/>
    </xf>
    <xf numFmtId="0" fontId="18" fillId="0" borderId="12" xfId="5" applyFont="1" applyBorder="1" applyAlignment="1">
      <alignment horizontal="center" vertical="center" wrapText="1"/>
    </xf>
    <xf numFmtId="0" fontId="18" fillId="0" borderId="16" xfId="5" applyFont="1" applyBorder="1" applyAlignment="1">
      <alignment horizontal="center" vertical="center" wrapText="1"/>
    </xf>
    <xf numFmtId="0" fontId="18" fillId="0" borderId="17" xfId="5" applyFont="1" applyBorder="1" applyAlignment="1">
      <alignment horizontal="center" vertical="center" wrapText="1"/>
    </xf>
    <xf numFmtId="0" fontId="18" fillId="0" borderId="9" xfId="5" applyFont="1" applyBorder="1" applyAlignment="1">
      <alignment horizontal="center" vertical="center"/>
    </xf>
    <xf numFmtId="0" fontId="18" fillId="0" borderId="9" xfId="5" applyFont="1" applyBorder="1" applyAlignment="1">
      <alignment horizontal="center" vertical="center" wrapText="1"/>
    </xf>
    <xf numFmtId="164" fontId="19" fillId="0" borderId="9" xfId="6" applyFont="1" applyFill="1" applyBorder="1" applyAlignment="1">
      <alignment horizontal="center"/>
    </xf>
    <xf numFmtId="0" fontId="19" fillId="0" borderId="9" xfId="5" applyFont="1" applyBorder="1" applyAlignment="1">
      <alignment horizontal="center"/>
    </xf>
    <xf numFmtId="0" fontId="18" fillId="0" borderId="9" xfId="5" applyFont="1" applyBorder="1" applyAlignment="1">
      <alignment horizontal="center"/>
    </xf>
    <xf numFmtId="0" fontId="18" fillId="0" borderId="9" xfId="5" applyFont="1" applyBorder="1" applyAlignment="1">
      <alignment horizontal="center" wrapText="1"/>
    </xf>
    <xf numFmtId="0" fontId="10" fillId="0" borderId="0" xfId="0" quotePrefix="1" applyFont="1" applyAlignment="1">
      <alignment horizontal="left" vertical="center" wrapText="1" readingOrder="1"/>
    </xf>
    <xf numFmtId="0" fontId="19" fillId="0" borderId="0" xfId="5" applyFont="1" applyAlignment="1">
      <alignment horizontal="left" vertical="center" wrapText="1"/>
    </xf>
    <xf numFmtId="0" fontId="18" fillId="0" borderId="0" xfId="5" applyFont="1" applyAlignment="1">
      <alignment horizontal="center"/>
    </xf>
    <xf numFmtId="164" fontId="19" fillId="0" borderId="10" xfId="6" applyFont="1" applyFill="1" applyBorder="1" applyAlignment="1">
      <alignment horizontal="center"/>
    </xf>
    <xf numFmtId="164" fontId="19" fillId="0" borderId="11" xfId="6" applyFont="1" applyFill="1" applyBorder="1" applyAlignment="1">
      <alignment horizontal="center"/>
    </xf>
    <xf numFmtId="164" fontId="19" fillId="0" borderId="12" xfId="6" applyFont="1" applyFill="1" applyBorder="1" applyAlignment="1">
      <alignment horizontal="center"/>
    </xf>
    <xf numFmtId="0" fontId="19" fillId="0" borderId="0" xfId="5" applyFont="1" applyAlignment="1">
      <alignment horizontal="center"/>
    </xf>
    <xf numFmtId="0" fontId="18" fillId="0" borderId="10" xfId="5" applyFont="1" applyBorder="1" applyAlignment="1">
      <alignment horizontal="center" wrapText="1"/>
    </xf>
    <xf numFmtId="0" fontId="18" fillId="0" borderId="11" xfId="5" applyFont="1" applyBorder="1" applyAlignment="1">
      <alignment horizontal="center" wrapText="1"/>
    </xf>
    <xf numFmtId="0" fontId="18" fillId="0" borderId="12" xfId="5" applyFont="1" applyBorder="1" applyAlignment="1">
      <alignment horizontal="center" wrapText="1"/>
    </xf>
    <xf numFmtId="0" fontId="18" fillId="0" borderId="10" xfId="5" applyFont="1" applyBorder="1" applyAlignment="1">
      <alignment horizontal="center"/>
    </xf>
    <xf numFmtId="0" fontId="18" fillId="0" borderId="12" xfId="5" applyFont="1" applyBorder="1" applyAlignment="1">
      <alignment horizontal="center"/>
    </xf>
    <xf numFmtId="0" fontId="21" fillId="0" borderId="0" xfId="0" applyFont="1" applyAlignment="1">
      <alignment horizontal="left" vertical="top" readingOrder="1"/>
    </xf>
    <xf numFmtId="0" fontId="10" fillId="0" borderId="0" xfId="0" applyFont="1" applyAlignment="1">
      <alignment horizontal="justify" vertical="top" wrapText="1" readingOrder="1"/>
    </xf>
    <xf numFmtId="0" fontId="32" fillId="0" borderId="10" xfId="10" applyFont="1" applyBorder="1" applyAlignment="1">
      <alignment horizontal="left" vertical="center" wrapText="1"/>
    </xf>
    <xf numFmtId="0" fontId="32" fillId="0" borderId="11" xfId="10" applyFont="1" applyBorder="1" applyAlignment="1">
      <alignment horizontal="left" vertical="center" wrapText="1"/>
    </xf>
    <xf numFmtId="0" fontId="32" fillId="0" borderId="12" xfId="10" applyFont="1" applyBorder="1" applyAlignment="1">
      <alignment horizontal="left" vertical="center" wrapText="1"/>
    </xf>
    <xf numFmtId="164" fontId="32" fillId="0" borderId="10" xfId="6" applyFont="1" applyFill="1" applyBorder="1" applyAlignment="1">
      <alignment horizontal="center" vertical="center"/>
    </xf>
    <xf numFmtId="164" fontId="32" fillId="0" borderId="12" xfId="6" applyFont="1" applyFill="1" applyBorder="1" applyAlignment="1">
      <alignment horizontal="center" vertical="center"/>
    </xf>
    <xf numFmtId="0" fontId="31" fillId="0" borderId="10" xfId="10" applyFont="1" applyBorder="1" applyAlignment="1">
      <alignment horizontal="center" vertical="center"/>
    </xf>
    <xf numFmtId="0" fontId="31" fillId="0" borderId="11" xfId="10" applyFont="1" applyBorder="1" applyAlignment="1">
      <alignment horizontal="center" vertical="center"/>
    </xf>
    <xf numFmtId="0" fontId="31" fillId="0" borderId="12" xfId="10" applyFont="1" applyBorder="1" applyAlignment="1">
      <alignment horizontal="center" vertical="center"/>
    </xf>
    <xf numFmtId="0" fontId="31" fillId="0" borderId="9" xfId="10" applyFont="1" applyBorder="1" applyAlignment="1">
      <alignment horizontal="center" vertical="center"/>
    </xf>
    <xf numFmtId="0" fontId="16" fillId="0" borderId="10" xfId="0" applyFont="1" applyBorder="1" applyAlignment="1">
      <alignment horizontal="left" vertical="center" readingOrder="1"/>
    </xf>
    <xf numFmtId="0" fontId="16" fillId="0" borderId="11" xfId="0" applyFont="1" applyBorder="1" applyAlignment="1">
      <alignment horizontal="left" vertical="center" readingOrder="1"/>
    </xf>
    <xf numFmtId="0" fontId="16" fillId="0" borderId="12" xfId="0" applyFont="1" applyBorder="1" applyAlignment="1">
      <alignment horizontal="left" vertical="center" readingOrder="1"/>
    </xf>
    <xf numFmtId="0" fontId="31" fillId="0" borderId="10" xfId="10" applyFont="1" applyBorder="1" applyAlignment="1">
      <alignment horizontal="center" vertical="center" wrapText="1"/>
    </xf>
    <xf numFmtId="0" fontId="31" fillId="0" borderId="12" xfId="10" applyFont="1" applyBorder="1" applyAlignment="1">
      <alignment horizontal="center" vertical="center" wrapText="1"/>
    </xf>
    <xf numFmtId="0" fontId="21" fillId="0" borderId="9" xfId="0" applyFont="1" applyBorder="1" applyAlignment="1">
      <alignment horizontal="left" vertical="top" readingOrder="1"/>
    </xf>
  </cellXfs>
  <cellStyles count="12">
    <cellStyle name="Comma 2" xfId="6" xr:uid="{62C25CAA-DF68-4BCB-B3D0-8291198E7BEB}"/>
    <cellStyle name="Comma 2 2" xfId="8" xr:uid="{79A4B01F-44B4-4F3E-8594-A5510A459704}"/>
    <cellStyle name="Comma 3" xfId="2" xr:uid="{FB0849BA-290E-4A81-B679-4967E1D4817E}"/>
    <cellStyle name="Hyperlink 2" xfId="3" xr:uid="{D7BB7C49-3670-4F9B-9D91-AFEAE3BA31BF}"/>
    <cellStyle name="Normal" xfId="0" builtinId="0"/>
    <cellStyle name="Normal 2 2 2" xfId="5" xr:uid="{AB93D3F5-8CCB-438B-8FF7-2988EE3467BF}"/>
    <cellStyle name="Normal 2 2 3" xfId="10" xr:uid="{0151AF5C-D57A-4297-86A7-7046DBE46F5B}"/>
    <cellStyle name="Normal 2 3" xfId="11" xr:uid="{77FCD7BF-9BA3-4DD9-B94A-EDB0C1554759}"/>
    <cellStyle name="Normal 3" xfId="4" xr:uid="{8292383F-FDE3-4096-B6E5-5E332142F8CF}"/>
    <cellStyle name="Normal 4" xfId="9" xr:uid="{DF642627-C8AF-48BF-9D01-ACAE692B289B}"/>
    <cellStyle name="Percent" xfId="1" builtinId="5"/>
    <cellStyle name="Percent 2" xfId="7" xr:uid="{EC54AE69-D8B0-4079-825B-9C5EA66DAB4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149</xdr:row>
      <xdr:rowOff>0</xdr:rowOff>
    </xdr:from>
    <xdr:to>
      <xdr:col>2</xdr:col>
      <xdr:colOff>2114550</xdr:colOff>
      <xdr:row>150</xdr:row>
      <xdr:rowOff>27375</xdr:rowOff>
    </xdr:to>
    <xdr:pic>
      <xdr:nvPicPr>
        <xdr:cNvPr id="4" name="Picture 3">
          <a:extLst>
            <a:ext uri="{FF2B5EF4-FFF2-40B4-BE49-F238E27FC236}">
              <a16:creationId xmlns:a16="http://schemas.microsoft.com/office/drawing/2014/main" id="{91514163-7749-4DAD-B1D0-8DA1DA707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775150"/>
          <a:ext cx="34480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57152</xdr:colOff>
      <xdr:row>154</xdr:row>
      <xdr:rowOff>180976</xdr:rowOff>
    </xdr:from>
    <xdr:to>
      <xdr:col>2</xdr:col>
      <xdr:colOff>1971676</xdr:colOff>
      <xdr:row>155</xdr:row>
      <xdr:rowOff>65476</xdr:rowOff>
    </xdr:to>
    <xdr:pic>
      <xdr:nvPicPr>
        <xdr:cNvPr id="5" name="Picture 4">
          <a:extLst>
            <a:ext uri="{FF2B5EF4-FFF2-40B4-BE49-F238E27FC236}">
              <a16:creationId xmlns:a16="http://schemas.microsoft.com/office/drawing/2014/main" id="{D92BF876-422E-4B60-82B1-5244E97C56C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7" y="32556451"/>
          <a:ext cx="324802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xdr:colOff>
      <xdr:row>149</xdr:row>
      <xdr:rowOff>0</xdr:rowOff>
    </xdr:from>
    <xdr:to>
      <xdr:col>2</xdr:col>
      <xdr:colOff>1676401</xdr:colOff>
      <xdr:row>161</xdr:row>
      <xdr:rowOff>36900</xdr:rowOff>
    </xdr:to>
    <xdr:pic>
      <xdr:nvPicPr>
        <xdr:cNvPr id="4" name="Picture 3">
          <a:extLst>
            <a:ext uri="{FF2B5EF4-FFF2-40B4-BE49-F238E27FC236}">
              <a16:creationId xmlns:a16="http://schemas.microsoft.com/office/drawing/2014/main" id="{B0F89A3C-8FB1-4CBD-A545-5A70282A45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6" y="30518100"/>
          <a:ext cx="321945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144</xdr:row>
      <xdr:rowOff>0</xdr:rowOff>
    </xdr:from>
    <xdr:to>
      <xdr:col>2</xdr:col>
      <xdr:colOff>1657350</xdr:colOff>
      <xdr:row>144</xdr:row>
      <xdr:rowOff>1980000</xdr:rowOff>
    </xdr:to>
    <xdr:pic>
      <xdr:nvPicPr>
        <xdr:cNvPr id="5" name="Picture 4">
          <a:extLst>
            <a:ext uri="{FF2B5EF4-FFF2-40B4-BE49-F238E27FC236}">
              <a16:creationId xmlns:a16="http://schemas.microsoft.com/office/drawing/2014/main" id="{C6EBE9CC-FB71-43F8-9BA4-7E74D8334EE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736800"/>
          <a:ext cx="32004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156</xdr:row>
      <xdr:rowOff>0</xdr:rowOff>
    </xdr:from>
    <xdr:to>
      <xdr:col>2</xdr:col>
      <xdr:colOff>1919789</xdr:colOff>
      <xdr:row>157</xdr:row>
      <xdr:rowOff>27375</xdr:rowOff>
    </xdr:to>
    <xdr:pic>
      <xdr:nvPicPr>
        <xdr:cNvPr id="4" name="Picture 3">
          <a:extLst>
            <a:ext uri="{FF2B5EF4-FFF2-40B4-BE49-F238E27FC236}">
              <a16:creationId xmlns:a16="http://schemas.microsoft.com/office/drawing/2014/main" id="{84F32EE3-D5ED-4213-8939-F81A3AB188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965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1919789</xdr:colOff>
      <xdr:row>162</xdr:row>
      <xdr:rowOff>1980000</xdr:rowOff>
    </xdr:to>
    <xdr:pic>
      <xdr:nvPicPr>
        <xdr:cNvPr id="5" name="Picture 4">
          <a:extLst>
            <a:ext uri="{FF2B5EF4-FFF2-40B4-BE49-F238E27FC236}">
              <a16:creationId xmlns:a16="http://schemas.microsoft.com/office/drawing/2014/main" id="{E97403D8-D7E8-4415-81CF-F13D179FED3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7277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361950</xdr:colOff>
      <xdr:row>181</xdr:row>
      <xdr:rowOff>200025</xdr:rowOff>
    </xdr:from>
    <xdr:to>
      <xdr:col>2</xdr:col>
      <xdr:colOff>1976939</xdr:colOff>
      <xdr:row>181</xdr:row>
      <xdr:rowOff>2180025</xdr:rowOff>
    </xdr:to>
    <xdr:pic>
      <xdr:nvPicPr>
        <xdr:cNvPr id="6" name="Picture 5">
          <a:extLst>
            <a:ext uri="{FF2B5EF4-FFF2-40B4-BE49-F238E27FC236}">
              <a16:creationId xmlns:a16="http://schemas.microsoft.com/office/drawing/2014/main" id="{0D63571D-ED3A-47BD-AF72-D2245DBBA8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38481000"/>
          <a:ext cx="35009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47625</xdr:colOff>
      <xdr:row>176</xdr:row>
      <xdr:rowOff>0</xdr:rowOff>
    </xdr:from>
    <xdr:to>
      <xdr:col>2</xdr:col>
      <xdr:colOff>2047875</xdr:colOff>
      <xdr:row>177</xdr:row>
      <xdr:rowOff>151200</xdr:rowOff>
    </xdr:to>
    <xdr:pic>
      <xdr:nvPicPr>
        <xdr:cNvPr id="7" name="Picture 6">
          <a:extLst>
            <a:ext uri="{FF2B5EF4-FFF2-40B4-BE49-F238E27FC236}">
              <a16:creationId xmlns:a16="http://schemas.microsoft.com/office/drawing/2014/main" id="{9EA6F782-BF90-4808-8746-E70EAB48148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8150" y="35680650"/>
          <a:ext cx="3495675" cy="2103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1862639</xdr:colOff>
      <xdr:row>194</xdr:row>
      <xdr:rowOff>27375</xdr:rowOff>
    </xdr:to>
    <xdr:pic>
      <xdr:nvPicPr>
        <xdr:cNvPr id="4" name="Picture 3">
          <a:extLst>
            <a:ext uri="{FF2B5EF4-FFF2-40B4-BE49-F238E27FC236}">
              <a16:creationId xmlns:a16="http://schemas.microsoft.com/office/drawing/2014/main" id="{89EF9C9B-E0DF-45BF-B8FA-8A354A7699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9283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198</xdr:row>
      <xdr:rowOff>0</xdr:rowOff>
    </xdr:from>
    <xdr:to>
      <xdr:col>2</xdr:col>
      <xdr:colOff>1862639</xdr:colOff>
      <xdr:row>198</xdr:row>
      <xdr:rowOff>1980000</xdr:rowOff>
    </xdr:to>
    <xdr:pic>
      <xdr:nvPicPr>
        <xdr:cNvPr id="5" name="Picture 4">
          <a:extLst>
            <a:ext uri="{FF2B5EF4-FFF2-40B4-BE49-F238E27FC236}">
              <a16:creationId xmlns:a16="http://schemas.microsoft.com/office/drawing/2014/main" id="{9B49DC20-4C13-497C-A6A5-3A2D45045C3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5286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2047875</xdr:colOff>
      <xdr:row>171</xdr:row>
      <xdr:rowOff>27375</xdr:rowOff>
    </xdr:to>
    <xdr:pic>
      <xdr:nvPicPr>
        <xdr:cNvPr id="4" name="Picture 3">
          <a:extLst>
            <a:ext uri="{FF2B5EF4-FFF2-40B4-BE49-F238E27FC236}">
              <a16:creationId xmlns:a16="http://schemas.microsoft.com/office/drawing/2014/main" id="{F067843E-A850-4C21-8AD3-49A090E3D5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766375"/>
          <a:ext cx="338137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xdr:colOff>
      <xdr:row>175</xdr:row>
      <xdr:rowOff>0</xdr:rowOff>
    </xdr:from>
    <xdr:to>
      <xdr:col>2</xdr:col>
      <xdr:colOff>2053140</xdr:colOff>
      <xdr:row>175</xdr:row>
      <xdr:rowOff>1980000</xdr:rowOff>
    </xdr:to>
    <xdr:pic>
      <xdr:nvPicPr>
        <xdr:cNvPr id="5" name="Picture 4">
          <a:extLst>
            <a:ext uri="{FF2B5EF4-FFF2-40B4-BE49-F238E27FC236}">
              <a16:creationId xmlns:a16="http://schemas.microsoft.com/office/drawing/2014/main" id="{E90849B2-3730-47C7-BC5D-20E495DF54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6" y="383667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1919789</xdr:colOff>
      <xdr:row>205</xdr:row>
      <xdr:rowOff>1980000</xdr:rowOff>
    </xdr:to>
    <xdr:pic>
      <xdr:nvPicPr>
        <xdr:cNvPr id="4" name="Picture 3">
          <a:extLst>
            <a:ext uri="{FF2B5EF4-FFF2-40B4-BE49-F238E27FC236}">
              <a16:creationId xmlns:a16="http://schemas.microsoft.com/office/drawing/2014/main" id="{8D8A0BF3-B24E-49DC-9895-D25ED319AA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37292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2</xdr:col>
      <xdr:colOff>1637473</xdr:colOff>
      <xdr:row>200</xdr:row>
      <xdr:rowOff>27375</xdr:rowOff>
    </xdr:to>
    <xdr:pic>
      <xdr:nvPicPr>
        <xdr:cNvPr id="5" name="Picture 4">
          <a:extLst>
            <a:ext uri="{FF2B5EF4-FFF2-40B4-BE49-F238E27FC236}">
              <a16:creationId xmlns:a16="http://schemas.microsoft.com/office/drawing/2014/main" id="{0C9ECA31-D599-419B-99F6-6263487D68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8051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2047874</xdr:colOff>
      <xdr:row>133</xdr:row>
      <xdr:rowOff>27375</xdr:rowOff>
    </xdr:to>
    <xdr:pic>
      <xdr:nvPicPr>
        <xdr:cNvPr id="4" name="Picture 3">
          <a:extLst>
            <a:ext uri="{FF2B5EF4-FFF2-40B4-BE49-F238E27FC236}">
              <a16:creationId xmlns:a16="http://schemas.microsoft.com/office/drawing/2014/main" id="{77A73490-AFDA-43A2-A5F0-87FD4F94E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060400"/>
          <a:ext cx="344804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2009774</xdr:colOff>
      <xdr:row>137</xdr:row>
      <xdr:rowOff>2018101</xdr:rowOff>
    </xdr:to>
    <xdr:pic>
      <xdr:nvPicPr>
        <xdr:cNvPr id="5" name="Picture 4">
          <a:extLst>
            <a:ext uri="{FF2B5EF4-FFF2-40B4-BE49-F238E27FC236}">
              <a16:creationId xmlns:a16="http://schemas.microsoft.com/office/drawing/2014/main" id="{69272A8A-8760-41E1-ACD0-DE98023719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1" y="28698826"/>
          <a:ext cx="34004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2114550</xdr:colOff>
      <xdr:row>158</xdr:row>
      <xdr:rowOff>28576</xdr:rowOff>
    </xdr:to>
    <xdr:pic>
      <xdr:nvPicPr>
        <xdr:cNvPr id="4" name="Picture 3">
          <a:extLst>
            <a:ext uri="{FF2B5EF4-FFF2-40B4-BE49-F238E27FC236}">
              <a16:creationId xmlns:a16="http://schemas.microsoft.com/office/drawing/2014/main" id="{C37CF761-A451-4211-AF08-4E0BD6F8AF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775275"/>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2133600</xdr:colOff>
      <xdr:row>162</xdr:row>
      <xdr:rowOff>1980000</xdr:rowOff>
    </xdr:to>
    <xdr:pic>
      <xdr:nvPicPr>
        <xdr:cNvPr id="5" name="Picture 4">
          <a:extLst>
            <a:ext uri="{FF2B5EF4-FFF2-40B4-BE49-F238E27FC236}">
              <a16:creationId xmlns:a16="http://schemas.microsoft.com/office/drawing/2014/main" id="{E26AEF82-4774-4DE6-A910-B93FD63D2C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375600"/>
          <a:ext cx="3467100"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113</xdr:row>
      <xdr:rowOff>161924</xdr:rowOff>
    </xdr:from>
    <xdr:to>
      <xdr:col>2</xdr:col>
      <xdr:colOff>2036473</xdr:colOff>
      <xdr:row>114</xdr:row>
      <xdr:rowOff>1979999</xdr:rowOff>
    </xdr:to>
    <xdr:pic>
      <xdr:nvPicPr>
        <xdr:cNvPr id="4" name="Picture 3">
          <a:extLst>
            <a:ext uri="{FF2B5EF4-FFF2-40B4-BE49-F238E27FC236}">
              <a16:creationId xmlns:a16="http://schemas.microsoft.com/office/drawing/2014/main" id="{64DC52BB-F66E-4DEA-909A-72BC20639C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726524"/>
          <a:ext cx="34652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109</xdr:row>
      <xdr:rowOff>0</xdr:rowOff>
    </xdr:from>
    <xdr:to>
      <xdr:col>2</xdr:col>
      <xdr:colOff>1958850</xdr:colOff>
      <xdr:row>110</xdr:row>
      <xdr:rowOff>25899</xdr:rowOff>
    </xdr:to>
    <xdr:pic>
      <xdr:nvPicPr>
        <xdr:cNvPr id="5" name="Picture 4">
          <a:extLst>
            <a:ext uri="{FF2B5EF4-FFF2-40B4-BE49-F238E27FC236}">
              <a16:creationId xmlns:a16="http://schemas.microsoft.com/office/drawing/2014/main" id="{FEDF55FF-B33F-4CD5-B52C-F695156BAA9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126200"/>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ABA65-1BC5-44EA-B1EB-A694258F6516}">
  <dimension ref="A1:C11"/>
  <sheetViews>
    <sheetView tabSelected="1" workbookViewId="0">
      <selection activeCell="C2" sqref="C2"/>
    </sheetView>
  </sheetViews>
  <sheetFormatPr defaultColWidth="8.85546875" defaultRowHeight="15" x14ac:dyDescent="0.25"/>
  <cols>
    <col min="1" max="1" width="6.140625" style="8" bestFit="1" customWidth="1"/>
    <col min="2" max="2" width="10.85546875" style="8" bestFit="1" customWidth="1"/>
    <col min="3" max="3" width="36.140625" style="8" customWidth="1"/>
    <col min="4" max="16384" width="8.85546875" style="8"/>
  </cols>
  <sheetData>
    <row r="1" spans="1:3" x14ac:dyDescent="0.25">
      <c r="A1" s="6" t="s">
        <v>685</v>
      </c>
      <c r="B1" s="7" t="s">
        <v>686</v>
      </c>
      <c r="C1" s="7" t="s">
        <v>687</v>
      </c>
    </row>
    <row r="2" spans="1:3" x14ac:dyDescent="0.25">
      <c r="A2" s="9">
        <v>1</v>
      </c>
      <c r="B2" s="10" t="s">
        <v>688</v>
      </c>
      <c r="C2" s="11" t="s">
        <v>1</v>
      </c>
    </row>
    <row r="3" spans="1:3" x14ac:dyDescent="0.25">
      <c r="A3" s="9">
        <v>2</v>
      </c>
      <c r="B3" s="10" t="s">
        <v>689</v>
      </c>
      <c r="C3" s="11" t="s">
        <v>123</v>
      </c>
    </row>
    <row r="4" spans="1:3" x14ac:dyDescent="0.25">
      <c r="A4" s="9">
        <v>3</v>
      </c>
      <c r="B4" s="10" t="s">
        <v>690</v>
      </c>
      <c r="C4" s="11" t="s">
        <v>161</v>
      </c>
    </row>
    <row r="5" spans="1:3" x14ac:dyDescent="0.25">
      <c r="A5" s="9">
        <v>4</v>
      </c>
      <c r="B5" s="10" t="s">
        <v>691</v>
      </c>
      <c r="C5" s="11" t="s">
        <v>243</v>
      </c>
    </row>
    <row r="6" spans="1:3" x14ac:dyDescent="0.25">
      <c r="A6" s="9">
        <v>5</v>
      </c>
      <c r="B6" s="10" t="s">
        <v>692</v>
      </c>
      <c r="C6" s="11" t="s">
        <v>288</v>
      </c>
    </row>
    <row r="7" spans="1:3" x14ac:dyDescent="0.25">
      <c r="A7" s="9">
        <v>6</v>
      </c>
      <c r="B7" s="10" t="s">
        <v>693</v>
      </c>
      <c r="C7" s="11" t="s">
        <v>415</v>
      </c>
    </row>
    <row r="8" spans="1:3" x14ac:dyDescent="0.25">
      <c r="A8" s="9">
        <v>7</v>
      </c>
      <c r="B8" s="10" t="s">
        <v>694</v>
      </c>
      <c r="C8" s="11" t="s">
        <v>430</v>
      </c>
    </row>
    <row r="9" spans="1:3" x14ac:dyDescent="0.25">
      <c r="A9" s="9">
        <v>8</v>
      </c>
      <c r="B9" s="10" t="s">
        <v>695</v>
      </c>
      <c r="C9" s="11" t="s">
        <v>473</v>
      </c>
    </row>
    <row r="10" spans="1:3" x14ac:dyDescent="0.25">
      <c r="A10" s="9">
        <v>9</v>
      </c>
      <c r="B10" s="10" t="s">
        <v>696</v>
      </c>
      <c r="C10" s="11" t="s">
        <v>476</v>
      </c>
    </row>
    <row r="11" spans="1:3" x14ac:dyDescent="0.25">
      <c r="A11" s="9">
        <v>10</v>
      </c>
      <c r="B11" s="10" t="s">
        <v>697</v>
      </c>
      <c r="C11" s="11" t="s">
        <v>536</v>
      </c>
    </row>
  </sheetData>
  <hyperlinks>
    <hyperlink ref="B3" location="SFRSTP!A1" display="SFRSTP" xr:uid="{B80CCEC4-DCFE-4325-AAA5-428648506578}"/>
    <hyperlink ref="B4" location="SMMF!A1" display="SMMF" xr:uid="{2E863983-2DAC-4E33-99D2-8DD31EE85E43}"/>
    <hyperlink ref="B5" location="SPLDF!A1" display="SPLDF" xr:uid="{24CE006A-68F9-4FCA-917A-7702E6FE7163}"/>
    <hyperlink ref="B6" location="SPMON!A1" display="SPMON" xr:uid="{2802CED0-3F47-435C-B092-D016BFAFCA3C}"/>
    <hyperlink ref="B7" location="SPSDF!A1" display="SPSDF" xr:uid="{7A218B7A-6155-447C-B9C0-A73BE3695F51}"/>
    <hyperlink ref="B8" location="SPUSDF!A1" display="SPUSDF" xr:uid="{4F315008-F964-4DDE-A992-9ACA800E2EED}"/>
    <hyperlink ref="B9" location="SUNBDS!A1" display="SUNBDS" xr:uid="{6B44DEFE-B49E-4435-B7F6-26D5A3D395E8}"/>
    <hyperlink ref="B10" location="SUNMIA!A1" display="SUNMIA" xr:uid="{5009EED7-E519-42BD-9075-DA8BE7C32CDC}"/>
    <hyperlink ref="B11" location="SUNONF!A1" display="SUNONF" xr:uid="{657FA1B4-863D-44F5-8E63-33A7927972A9}"/>
    <hyperlink ref="B2" location="SFRLTP!A1" display="SFRLTP" xr:uid="{C5E614D9-FE23-4680-8CED-D44BD24DA51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A5930-D9C3-4DF9-B233-CC4CD8CC74EB}">
  <sheetPr>
    <outlinePr summaryBelow="0" summaryRight="0"/>
  </sheetPr>
  <dimension ref="A1:Q162"/>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42578125" bestFit="1" customWidth="1"/>
    <col min="5" max="5" width="9.42578125" bestFit="1" customWidth="1"/>
    <col min="6" max="6" width="10.140625" bestFit="1" customWidth="1"/>
    <col min="7" max="7" width="14" bestFit="1" customWidth="1"/>
    <col min="8" max="8" width="10.28515625" customWidth="1"/>
    <col min="9" max="9" width="5.7109375" bestFit="1" customWidth="1"/>
  </cols>
  <sheetData>
    <row r="1" spans="1:9" ht="15" x14ac:dyDescent="0.2">
      <c r="A1" s="147" t="s">
        <v>0</v>
      </c>
      <c r="B1" s="147"/>
      <c r="C1" s="147"/>
      <c r="D1" s="147"/>
      <c r="E1" s="147"/>
      <c r="F1" s="147"/>
      <c r="G1" s="147"/>
      <c r="H1" s="147"/>
      <c r="I1" s="1" t="s">
        <v>543</v>
      </c>
    </row>
    <row r="2" spans="1:9" ht="15" x14ac:dyDescent="0.2">
      <c r="A2" s="147" t="s">
        <v>1</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21</v>
      </c>
      <c r="C28" s="26" t="s">
        <v>22</v>
      </c>
      <c r="D28" s="26" t="s">
        <v>23</v>
      </c>
      <c r="E28" s="27">
        <v>5000</v>
      </c>
      <c r="F28" s="28">
        <v>5150.5249999999996</v>
      </c>
      <c r="G28" s="29">
        <v>7.3049359999999994E-2</v>
      </c>
      <c r="H28" s="17">
        <v>6.8197000000000001</v>
      </c>
    </row>
    <row r="29" spans="1:8" ht="25.5" x14ac:dyDescent="0.2">
      <c r="A29" s="25">
        <v>2</v>
      </c>
      <c r="B29" s="26" t="s">
        <v>24</v>
      </c>
      <c r="C29" s="26" t="s">
        <v>25</v>
      </c>
      <c r="D29" s="26" t="s">
        <v>23</v>
      </c>
      <c r="E29" s="27">
        <v>4000</v>
      </c>
      <c r="F29" s="28">
        <v>4089.4</v>
      </c>
      <c r="G29" s="29">
        <v>5.7999540000000002E-2</v>
      </c>
      <c r="H29" s="17">
        <v>6.7477</v>
      </c>
    </row>
    <row r="30" spans="1:8" x14ac:dyDescent="0.2">
      <c r="A30" s="25">
        <v>3</v>
      </c>
      <c r="B30" s="26" t="s">
        <v>26</v>
      </c>
      <c r="C30" s="26" t="s">
        <v>27</v>
      </c>
      <c r="D30" s="26" t="s">
        <v>23</v>
      </c>
      <c r="E30" s="27">
        <v>4000</v>
      </c>
      <c r="F30" s="28">
        <v>4021.308</v>
      </c>
      <c r="G30" s="29">
        <v>5.7033790000000001E-2</v>
      </c>
      <c r="H30" s="17">
        <v>6.7582000000000004</v>
      </c>
    </row>
    <row r="31" spans="1:8" x14ac:dyDescent="0.2">
      <c r="A31" s="25">
        <v>4</v>
      </c>
      <c r="B31" s="26" t="s">
        <v>28</v>
      </c>
      <c r="C31" s="26" t="s">
        <v>29</v>
      </c>
      <c r="D31" s="26" t="s">
        <v>23</v>
      </c>
      <c r="E31" s="27">
        <v>300</v>
      </c>
      <c r="F31" s="28">
        <v>3052.3229999999999</v>
      </c>
      <c r="G31" s="29">
        <v>4.3290780000000001E-2</v>
      </c>
      <c r="H31" s="17">
        <v>7.0350000000000001</v>
      </c>
    </row>
    <row r="32" spans="1:8" ht="25.5" x14ac:dyDescent="0.2">
      <c r="A32" s="25">
        <v>5</v>
      </c>
      <c r="B32" s="26" t="s">
        <v>30</v>
      </c>
      <c r="C32" s="26" t="s">
        <v>31</v>
      </c>
      <c r="D32" s="26" t="s">
        <v>32</v>
      </c>
      <c r="E32" s="27">
        <v>2500</v>
      </c>
      <c r="F32" s="28">
        <v>2575.1174999999998</v>
      </c>
      <c r="G32" s="29">
        <v>3.6522619999999999E-2</v>
      </c>
      <c r="H32" s="17">
        <v>6.8345000000000002</v>
      </c>
    </row>
    <row r="33" spans="1:8" ht="25.5" x14ac:dyDescent="0.2">
      <c r="A33" s="25">
        <v>6</v>
      </c>
      <c r="B33" s="26" t="s">
        <v>33</v>
      </c>
      <c r="C33" s="26" t="s">
        <v>34</v>
      </c>
      <c r="D33" s="26" t="s">
        <v>23</v>
      </c>
      <c r="E33" s="27">
        <v>2500</v>
      </c>
      <c r="F33" s="28">
        <v>2566.4250000000002</v>
      </c>
      <c r="G33" s="29">
        <v>3.6399340000000002E-2</v>
      </c>
      <c r="H33" s="17">
        <v>6.8345000000000002</v>
      </c>
    </row>
    <row r="34" spans="1:8" ht="25.5" x14ac:dyDescent="0.2">
      <c r="A34" s="25">
        <v>7</v>
      </c>
      <c r="B34" s="26" t="s">
        <v>35</v>
      </c>
      <c r="C34" s="26" t="s">
        <v>36</v>
      </c>
      <c r="D34" s="26" t="s">
        <v>23</v>
      </c>
      <c r="E34" s="27">
        <v>2500</v>
      </c>
      <c r="F34" s="28">
        <v>2564.0225</v>
      </c>
      <c r="G34" s="29">
        <v>3.6365269999999998E-2</v>
      </c>
      <c r="H34" s="17">
        <v>7.2175000000000002</v>
      </c>
    </row>
    <row r="35" spans="1:8" x14ac:dyDescent="0.2">
      <c r="A35" s="25">
        <v>8</v>
      </c>
      <c r="B35" s="26" t="s">
        <v>37</v>
      </c>
      <c r="C35" s="26" t="s">
        <v>38</v>
      </c>
      <c r="D35" s="26" t="s">
        <v>23</v>
      </c>
      <c r="E35" s="27">
        <v>2500</v>
      </c>
      <c r="F35" s="28">
        <v>2547.4699999999998</v>
      </c>
      <c r="G35" s="29">
        <v>3.6130500000000003E-2</v>
      </c>
      <c r="H35" s="17">
        <v>6.7557</v>
      </c>
    </row>
    <row r="36" spans="1:8" ht="25.5" x14ac:dyDescent="0.2">
      <c r="A36" s="25">
        <v>9</v>
      </c>
      <c r="B36" s="26" t="s">
        <v>39</v>
      </c>
      <c r="C36" s="26" t="s">
        <v>40</v>
      </c>
      <c r="D36" s="26" t="s">
        <v>23</v>
      </c>
      <c r="E36" s="27">
        <v>2500</v>
      </c>
      <c r="F36" s="28">
        <v>2520.87</v>
      </c>
      <c r="G36" s="29">
        <v>3.5753239999999999E-2</v>
      </c>
      <c r="H36" s="17">
        <v>6.62</v>
      </c>
    </row>
    <row r="37" spans="1:8" x14ac:dyDescent="0.2">
      <c r="A37" s="25">
        <v>10</v>
      </c>
      <c r="B37" s="26" t="s">
        <v>41</v>
      </c>
      <c r="C37" s="26" t="s">
        <v>42</v>
      </c>
      <c r="D37" s="26" t="s">
        <v>23</v>
      </c>
      <c r="E37" s="27">
        <v>2500</v>
      </c>
      <c r="F37" s="28">
        <v>2516.0625</v>
      </c>
      <c r="G37" s="29">
        <v>3.5685050000000003E-2</v>
      </c>
      <c r="H37" s="17">
        <v>6.73</v>
      </c>
    </row>
    <row r="38" spans="1:8" ht="25.5" x14ac:dyDescent="0.2">
      <c r="A38" s="25">
        <v>11</v>
      </c>
      <c r="B38" s="26" t="s">
        <v>43</v>
      </c>
      <c r="C38" s="26" t="s">
        <v>44</v>
      </c>
      <c r="D38" s="26" t="s">
        <v>23</v>
      </c>
      <c r="E38" s="27">
        <v>2000</v>
      </c>
      <c r="F38" s="28">
        <v>2054.6759999999999</v>
      </c>
      <c r="G38" s="29">
        <v>2.9141259999999999E-2</v>
      </c>
      <c r="H38" s="17">
        <v>6.7744999999999997</v>
      </c>
    </row>
    <row r="39" spans="1:8" x14ac:dyDescent="0.2">
      <c r="A39" s="25">
        <v>12</v>
      </c>
      <c r="B39" s="26" t="s">
        <v>45</v>
      </c>
      <c r="C39" s="26" t="s">
        <v>46</v>
      </c>
      <c r="D39" s="26" t="s">
        <v>23</v>
      </c>
      <c r="E39" s="27">
        <v>2000</v>
      </c>
      <c r="F39" s="28">
        <v>2040.598</v>
      </c>
      <c r="G39" s="29">
        <v>2.894159E-2</v>
      </c>
      <c r="H39" s="17">
        <v>7.4863</v>
      </c>
    </row>
    <row r="40" spans="1:8" ht="25.5" x14ac:dyDescent="0.2">
      <c r="A40" s="25">
        <v>13</v>
      </c>
      <c r="B40" s="26" t="s">
        <v>47</v>
      </c>
      <c r="C40" s="26" t="s">
        <v>48</v>
      </c>
      <c r="D40" s="26" t="s">
        <v>32</v>
      </c>
      <c r="E40" s="27">
        <v>200</v>
      </c>
      <c r="F40" s="28">
        <v>2034.5039999999999</v>
      </c>
      <c r="G40" s="29">
        <v>2.8855160000000001E-2</v>
      </c>
      <c r="H40" s="17">
        <v>6.65</v>
      </c>
    </row>
    <row r="41" spans="1:8" x14ac:dyDescent="0.2">
      <c r="A41" s="25">
        <v>14</v>
      </c>
      <c r="B41" s="26" t="s">
        <v>49</v>
      </c>
      <c r="C41" s="26" t="s">
        <v>50</v>
      </c>
      <c r="D41" s="26" t="s">
        <v>23</v>
      </c>
      <c r="E41" s="27">
        <v>2000</v>
      </c>
      <c r="F41" s="28">
        <v>2013.702</v>
      </c>
      <c r="G41" s="29">
        <v>2.856013E-2</v>
      </c>
      <c r="H41" s="17">
        <v>6.7582000000000004</v>
      </c>
    </row>
    <row r="42" spans="1:8" ht="25.5" x14ac:dyDescent="0.2">
      <c r="A42" s="25">
        <v>15</v>
      </c>
      <c r="B42" s="26" t="s">
        <v>51</v>
      </c>
      <c r="C42" s="26" t="s">
        <v>52</v>
      </c>
      <c r="D42" s="26" t="s">
        <v>23</v>
      </c>
      <c r="E42" s="27">
        <v>1500</v>
      </c>
      <c r="F42" s="28">
        <v>1554.8264999999999</v>
      </c>
      <c r="G42" s="29">
        <v>2.2051939999999999E-2</v>
      </c>
      <c r="H42" s="17">
        <v>7.18</v>
      </c>
    </row>
    <row r="43" spans="1:8" x14ac:dyDescent="0.2">
      <c r="A43" s="25">
        <v>16</v>
      </c>
      <c r="B43" s="26" t="s">
        <v>53</v>
      </c>
      <c r="C43" s="26" t="s">
        <v>54</v>
      </c>
      <c r="D43" s="26" t="s">
        <v>23</v>
      </c>
      <c r="E43" s="27">
        <v>1500</v>
      </c>
      <c r="F43" s="28">
        <v>1519.5525</v>
      </c>
      <c r="G43" s="29">
        <v>2.155166E-2</v>
      </c>
      <c r="H43" s="17">
        <v>6.7</v>
      </c>
    </row>
    <row r="44" spans="1:8" ht="25.5" x14ac:dyDescent="0.2">
      <c r="A44" s="25">
        <v>17</v>
      </c>
      <c r="B44" s="26" t="s">
        <v>55</v>
      </c>
      <c r="C44" s="26" t="s">
        <v>56</v>
      </c>
      <c r="D44" s="26" t="s">
        <v>23</v>
      </c>
      <c r="E44" s="27">
        <v>1500</v>
      </c>
      <c r="F44" s="28">
        <v>1513.2104999999999</v>
      </c>
      <c r="G44" s="29">
        <v>2.1461709999999998E-2</v>
      </c>
      <c r="H44" s="17">
        <v>6.76</v>
      </c>
    </row>
    <row r="45" spans="1:8" ht="25.5" x14ac:dyDescent="0.2">
      <c r="A45" s="25">
        <v>18</v>
      </c>
      <c r="B45" s="26" t="s">
        <v>57</v>
      </c>
      <c r="C45" s="26" t="s">
        <v>58</v>
      </c>
      <c r="D45" s="26" t="s">
        <v>32</v>
      </c>
      <c r="E45" s="27">
        <v>150</v>
      </c>
      <c r="F45" s="28">
        <v>1511.0474999999999</v>
      </c>
      <c r="G45" s="29">
        <v>2.143103E-2</v>
      </c>
      <c r="H45" s="17">
        <v>6.7138999999999998</v>
      </c>
    </row>
    <row r="46" spans="1:8" ht="25.5" x14ac:dyDescent="0.2">
      <c r="A46" s="25">
        <v>19</v>
      </c>
      <c r="B46" s="26" t="s">
        <v>59</v>
      </c>
      <c r="C46" s="26" t="s">
        <v>60</v>
      </c>
      <c r="D46" s="26" t="s">
        <v>23</v>
      </c>
      <c r="E46" s="27">
        <v>1500</v>
      </c>
      <c r="F46" s="28">
        <v>1507.941</v>
      </c>
      <c r="G46" s="29">
        <v>2.1386970000000002E-2</v>
      </c>
      <c r="H46" s="17">
        <v>6.8650000000000002</v>
      </c>
    </row>
    <row r="47" spans="1:8" ht="25.5" x14ac:dyDescent="0.2">
      <c r="A47" s="25">
        <v>20</v>
      </c>
      <c r="B47" s="26" t="s">
        <v>61</v>
      </c>
      <c r="C47" s="26" t="s">
        <v>62</v>
      </c>
      <c r="D47" s="26" t="s">
        <v>23</v>
      </c>
      <c r="E47" s="27">
        <v>1500</v>
      </c>
      <c r="F47" s="28">
        <v>1503.501</v>
      </c>
      <c r="G47" s="29">
        <v>2.1323999999999999E-2</v>
      </c>
      <c r="H47" s="17">
        <v>7.0034000000000001</v>
      </c>
    </row>
    <row r="48" spans="1:8" x14ac:dyDescent="0.2">
      <c r="A48" s="25">
        <v>21</v>
      </c>
      <c r="B48" s="26" t="s">
        <v>63</v>
      </c>
      <c r="C48" s="26" t="s">
        <v>64</v>
      </c>
      <c r="D48" s="26" t="s">
        <v>23</v>
      </c>
      <c r="E48" s="27">
        <v>100</v>
      </c>
      <c r="F48" s="28">
        <v>1021.3049999999999</v>
      </c>
      <c r="G48" s="29">
        <v>1.4485059999999999E-2</v>
      </c>
      <c r="H48" s="17">
        <v>7.0350000000000001</v>
      </c>
    </row>
    <row r="49" spans="1:8" ht="25.5" x14ac:dyDescent="0.2">
      <c r="A49" s="25">
        <v>22</v>
      </c>
      <c r="B49" s="26" t="s">
        <v>65</v>
      </c>
      <c r="C49" s="26" t="s">
        <v>66</v>
      </c>
      <c r="D49" s="26" t="s">
        <v>23</v>
      </c>
      <c r="E49" s="27">
        <v>1000</v>
      </c>
      <c r="F49" s="28">
        <v>1007.754</v>
      </c>
      <c r="G49" s="29">
        <v>1.4292869999999999E-2</v>
      </c>
      <c r="H49" s="17">
        <v>6.7419000000000002</v>
      </c>
    </row>
    <row r="50" spans="1:8" ht="25.5" x14ac:dyDescent="0.2">
      <c r="A50" s="25">
        <v>23</v>
      </c>
      <c r="B50" s="26" t="s">
        <v>67</v>
      </c>
      <c r="C50" s="26" t="s">
        <v>68</v>
      </c>
      <c r="D50" s="26" t="s">
        <v>23</v>
      </c>
      <c r="E50" s="27">
        <v>1000</v>
      </c>
      <c r="F50" s="28">
        <v>1000.328</v>
      </c>
      <c r="G50" s="29">
        <v>1.418755E-2</v>
      </c>
      <c r="H50" s="17">
        <v>7.1</v>
      </c>
    </row>
    <row r="51" spans="1:8" x14ac:dyDescent="0.2">
      <c r="A51" s="25">
        <v>24</v>
      </c>
      <c r="B51" s="26" t="s">
        <v>69</v>
      </c>
      <c r="C51" s="26" t="s">
        <v>70</v>
      </c>
      <c r="D51" s="26" t="s">
        <v>23</v>
      </c>
      <c r="E51" s="27">
        <v>500</v>
      </c>
      <c r="F51" s="28">
        <v>512.18899999999996</v>
      </c>
      <c r="G51" s="29">
        <v>7.2643200000000003E-3</v>
      </c>
      <c r="H51" s="17">
        <v>7.4713000000000003</v>
      </c>
    </row>
    <row r="52" spans="1:8" ht="25.5" x14ac:dyDescent="0.2">
      <c r="A52" s="25">
        <v>25</v>
      </c>
      <c r="B52" s="26" t="s">
        <v>71</v>
      </c>
      <c r="C52" s="26" t="s">
        <v>72</v>
      </c>
      <c r="D52" s="26" t="s">
        <v>23</v>
      </c>
      <c r="E52" s="27">
        <v>500</v>
      </c>
      <c r="F52" s="28">
        <v>509.36200000000002</v>
      </c>
      <c r="G52" s="29">
        <v>7.2242299999999999E-3</v>
      </c>
      <c r="H52" s="17">
        <v>6.76</v>
      </c>
    </row>
    <row r="53" spans="1:8" x14ac:dyDescent="0.2">
      <c r="A53" s="18"/>
      <c r="B53" s="18"/>
      <c r="C53" s="19" t="s">
        <v>11</v>
      </c>
      <c r="D53" s="18"/>
      <c r="E53" s="18" t="s">
        <v>12</v>
      </c>
      <c r="F53" s="24">
        <v>52908.020499999999</v>
      </c>
      <c r="G53" s="21">
        <v>0.75038897000000004</v>
      </c>
      <c r="H53" s="17" t="s">
        <v>12</v>
      </c>
    </row>
    <row r="54" spans="1:8" x14ac:dyDescent="0.2">
      <c r="A54" s="18"/>
      <c r="B54" s="18"/>
      <c r="C54" s="22"/>
      <c r="D54" s="18"/>
      <c r="E54" s="18"/>
      <c r="F54" s="23"/>
      <c r="G54" s="23"/>
      <c r="H54" s="17" t="s">
        <v>12</v>
      </c>
    </row>
    <row r="55" spans="1:8" x14ac:dyDescent="0.2">
      <c r="A55" s="18"/>
      <c r="B55" s="18"/>
      <c r="C55" s="19" t="s">
        <v>73</v>
      </c>
      <c r="D55" s="18"/>
      <c r="E55" s="18"/>
      <c r="F55" s="18"/>
      <c r="G55" s="18"/>
      <c r="H55" s="17" t="s">
        <v>12</v>
      </c>
    </row>
    <row r="56" spans="1:8" x14ac:dyDescent="0.2">
      <c r="A56" s="18"/>
      <c r="B56" s="18"/>
      <c r="C56" s="19" t="s">
        <v>11</v>
      </c>
      <c r="D56" s="18"/>
      <c r="E56" s="18" t="s">
        <v>12</v>
      </c>
      <c r="F56" s="20" t="s">
        <v>13</v>
      </c>
      <c r="G56" s="21">
        <v>0</v>
      </c>
      <c r="H56" s="17" t="s">
        <v>12</v>
      </c>
    </row>
    <row r="57" spans="1:8" x14ac:dyDescent="0.2">
      <c r="A57" s="18"/>
      <c r="B57" s="18"/>
      <c r="C57" s="22"/>
      <c r="D57" s="18"/>
      <c r="E57" s="18"/>
      <c r="F57" s="23"/>
      <c r="G57" s="23"/>
      <c r="H57" s="17" t="s">
        <v>12</v>
      </c>
    </row>
    <row r="58" spans="1:8" x14ac:dyDescent="0.2">
      <c r="A58" s="18"/>
      <c r="B58" s="18"/>
      <c r="C58" s="19" t="s">
        <v>74</v>
      </c>
      <c r="D58" s="18"/>
      <c r="E58" s="18"/>
      <c r="F58" s="18"/>
      <c r="G58" s="18"/>
      <c r="H58" s="17" t="s">
        <v>12</v>
      </c>
    </row>
    <row r="59" spans="1:8" ht="25.5" x14ac:dyDescent="0.2">
      <c r="A59" s="25">
        <v>1</v>
      </c>
      <c r="B59" s="26" t="s">
        <v>75</v>
      </c>
      <c r="C59" s="26" t="s">
        <v>76</v>
      </c>
      <c r="D59" s="26" t="s">
        <v>77</v>
      </c>
      <c r="E59" s="27">
        <v>4000000</v>
      </c>
      <c r="F59" s="28">
        <v>4144.0320000000002</v>
      </c>
      <c r="G59" s="29">
        <v>5.8774380000000001E-2</v>
      </c>
      <c r="H59" s="17">
        <v>6.3739999999999997</v>
      </c>
    </row>
    <row r="60" spans="1:8" x14ac:dyDescent="0.2">
      <c r="A60" s="25">
        <v>2</v>
      </c>
      <c r="B60" s="26" t="s">
        <v>78</v>
      </c>
      <c r="C60" s="26" t="s">
        <v>79</v>
      </c>
      <c r="D60" s="26" t="s">
        <v>77</v>
      </c>
      <c r="E60" s="27">
        <v>2000000</v>
      </c>
      <c r="F60" s="28">
        <v>2118.69</v>
      </c>
      <c r="G60" s="29">
        <v>3.0049159999999998E-2</v>
      </c>
      <c r="H60" s="17">
        <v>6.1252000000000004</v>
      </c>
    </row>
    <row r="61" spans="1:8" ht="25.5" x14ac:dyDescent="0.2">
      <c r="A61" s="25">
        <v>3</v>
      </c>
      <c r="B61" s="26" t="s">
        <v>80</v>
      </c>
      <c r="C61" s="26" t="s">
        <v>81</v>
      </c>
      <c r="D61" s="26" t="s">
        <v>77</v>
      </c>
      <c r="E61" s="27">
        <v>1500000</v>
      </c>
      <c r="F61" s="28">
        <v>1533.771</v>
      </c>
      <c r="G61" s="29">
        <v>2.175332E-2</v>
      </c>
      <c r="H61" s="17">
        <v>6.3390000000000004</v>
      </c>
    </row>
    <row r="62" spans="1:8" x14ac:dyDescent="0.2">
      <c r="A62" s="25">
        <v>4</v>
      </c>
      <c r="B62" s="26" t="s">
        <v>82</v>
      </c>
      <c r="C62" s="26" t="s">
        <v>83</v>
      </c>
      <c r="D62" s="26" t="s">
        <v>77</v>
      </c>
      <c r="E62" s="27">
        <v>1000000</v>
      </c>
      <c r="F62" s="28">
        <v>1064.0840000000001</v>
      </c>
      <c r="G62" s="29">
        <v>1.5091790000000001E-2</v>
      </c>
      <c r="H62" s="17">
        <v>6.9006999999999996</v>
      </c>
    </row>
    <row r="63" spans="1:8" ht="25.5" x14ac:dyDescent="0.2">
      <c r="A63" s="25">
        <v>5</v>
      </c>
      <c r="B63" s="26" t="s">
        <v>84</v>
      </c>
      <c r="C63" s="26" t="s">
        <v>85</v>
      </c>
      <c r="D63" s="26" t="s">
        <v>77</v>
      </c>
      <c r="E63" s="27">
        <v>1000000</v>
      </c>
      <c r="F63" s="28">
        <v>1010.332</v>
      </c>
      <c r="G63" s="29">
        <v>1.4329430000000001E-2</v>
      </c>
      <c r="H63" s="17">
        <v>6.94</v>
      </c>
    </row>
    <row r="64" spans="1:8" x14ac:dyDescent="0.2">
      <c r="A64" s="25">
        <v>6</v>
      </c>
      <c r="B64" s="26" t="s">
        <v>86</v>
      </c>
      <c r="C64" s="26" t="s">
        <v>87</v>
      </c>
      <c r="D64" s="26" t="s">
        <v>77</v>
      </c>
      <c r="E64" s="27">
        <v>500000</v>
      </c>
      <c r="F64" s="28">
        <v>532.27850000000001</v>
      </c>
      <c r="G64" s="29">
        <v>7.5492500000000004E-3</v>
      </c>
      <c r="H64" s="17">
        <v>6.5099</v>
      </c>
    </row>
    <row r="65" spans="1:8" x14ac:dyDescent="0.2">
      <c r="A65" s="25">
        <v>7</v>
      </c>
      <c r="B65" s="26" t="s">
        <v>88</v>
      </c>
      <c r="C65" s="26" t="s">
        <v>89</v>
      </c>
      <c r="D65" s="26" t="s">
        <v>77</v>
      </c>
      <c r="E65" s="27">
        <v>500000</v>
      </c>
      <c r="F65" s="28">
        <v>521.94050000000004</v>
      </c>
      <c r="G65" s="29">
        <v>7.4026300000000003E-3</v>
      </c>
      <c r="H65" s="17">
        <v>6.0255999999999998</v>
      </c>
    </row>
    <row r="66" spans="1:8" ht="25.5" x14ac:dyDescent="0.2">
      <c r="A66" s="25">
        <v>8</v>
      </c>
      <c r="B66" s="26" t="s">
        <v>90</v>
      </c>
      <c r="C66" s="26" t="s">
        <v>91</v>
      </c>
      <c r="D66" s="26" t="s">
        <v>77</v>
      </c>
      <c r="E66" s="27">
        <v>500000</v>
      </c>
      <c r="F66" s="28">
        <v>503.65050000000002</v>
      </c>
      <c r="G66" s="29">
        <v>7.1432199999999996E-3</v>
      </c>
      <c r="H66" s="17">
        <v>6.3270999999999997</v>
      </c>
    </row>
    <row r="67" spans="1:8" ht="25.5" x14ac:dyDescent="0.2">
      <c r="A67" s="25">
        <v>9</v>
      </c>
      <c r="B67" s="26" t="s">
        <v>92</v>
      </c>
      <c r="C67" s="26" t="s">
        <v>93</v>
      </c>
      <c r="D67" s="26" t="s">
        <v>77</v>
      </c>
      <c r="E67" s="27">
        <v>200000</v>
      </c>
      <c r="F67" s="28">
        <v>210.71719999999999</v>
      </c>
      <c r="G67" s="29">
        <v>2.9885799999999998E-3</v>
      </c>
      <c r="H67" s="17">
        <v>6.4016999999999999</v>
      </c>
    </row>
    <row r="68" spans="1:8" x14ac:dyDescent="0.2">
      <c r="A68" s="18"/>
      <c r="B68" s="18"/>
      <c r="C68" s="19" t="s">
        <v>11</v>
      </c>
      <c r="D68" s="18"/>
      <c r="E68" s="18" t="s">
        <v>12</v>
      </c>
      <c r="F68" s="24">
        <v>11639.495699999999</v>
      </c>
      <c r="G68" s="21">
        <v>0.16508175999999999</v>
      </c>
      <c r="H68" s="17" t="s">
        <v>12</v>
      </c>
    </row>
    <row r="69" spans="1:8" x14ac:dyDescent="0.2">
      <c r="A69" s="18"/>
      <c r="B69" s="18"/>
      <c r="C69" s="22"/>
      <c r="D69" s="18"/>
      <c r="E69" s="18"/>
      <c r="F69" s="23"/>
      <c r="G69" s="23"/>
      <c r="H69" s="17" t="s">
        <v>12</v>
      </c>
    </row>
    <row r="70" spans="1:8" x14ac:dyDescent="0.2">
      <c r="A70" s="18"/>
      <c r="B70" s="18"/>
      <c r="C70" s="19" t="s">
        <v>94</v>
      </c>
      <c r="D70" s="18"/>
      <c r="E70" s="18"/>
      <c r="F70" s="23"/>
      <c r="G70" s="23"/>
      <c r="H70" s="17" t="s">
        <v>12</v>
      </c>
    </row>
    <row r="71" spans="1:8" x14ac:dyDescent="0.2">
      <c r="A71" s="18"/>
      <c r="B71" s="18"/>
      <c r="C71" s="19" t="s">
        <v>11</v>
      </c>
      <c r="D71" s="18"/>
      <c r="E71" s="18" t="s">
        <v>12</v>
      </c>
      <c r="F71" s="20" t="s">
        <v>13</v>
      </c>
      <c r="G71" s="21">
        <v>0</v>
      </c>
      <c r="H71" s="17" t="s">
        <v>12</v>
      </c>
    </row>
    <row r="72" spans="1:8" x14ac:dyDescent="0.2">
      <c r="A72" s="18"/>
      <c r="B72" s="18"/>
      <c r="C72" s="22"/>
      <c r="D72" s="18"/>
      <c r="E72" s="18"/>
      <c r="F72" s="23"/>
      <c r="G72" s="23"/>
      <c r="H72" s="17" t="s">
        <v>12</v>
      </c>
    </row>
    <row r="73" spans="1:8" x14ac:dyDescent="0.2">
      <c r="A73" s="18"/>
      <c r="B73" s="18"/>
      <c r="C73" s="19" t="s">
        <v>95</v>
      </c>
      <c r="D73" s="18"/>
      <c r="E73" s="18"/>
      <c r="F73" s="24">
        <v>64547.516199999998</v>
      </c>
      <c r="G73" s="21">
        <v>0.91547073000000001</v>
      </c>
      <c r="H73" s="17" t="s">
        <v>12</v>
      </c>
    </row>
    <row r="74" spans="1:8" x14ac:dyDescent="0.2">
      <c r="A74" s="18"/>
      <c r="B74" s="18"/>
      <c r="C74" s="22"/>
      <c r="D74" s="18"/>
      <c r="E74" s="18"/>
      <c r="F74" s="23"/>
      <c r="G74" s="23"/>
      <c r="H74" s="17" t="s">
        <v>12</v>
      </c>
    </row>
    <row r="75" spans="1:8" x14ac:dyDescent="0.2">
      <c r="A75" s="18"/>
      <c r="B75" s="18"/>
      <c r="C75" s="19" t="s">
        <v>96</v>
      </c>
      <c r="D75" s="18"/>
      <c r="E75" s="18"/>
      <c r="F75" s="23"/>
      <c r="G75" s="23"/>
      <c r="H75" s="17" t="s">
        <v>12</v>
      </c>
    </row>
    <row r="76" spans="1:8" x14ac:dyDescent="0.2">
      <c r="A76" s="18"/>
      <c r="B76" s="18"/>
      <c r="C76" s="19" t="s">
        <v>97</v>
      </c>
      <c r="D76" s="18"/>
      <c r="E76" s="18"/>
      <c r="F76" s="23"/>
      <c r="G76" s="23"/>
      <c r="H76" s="17" t="s">
        <v>12</v>
      </c>
    </row>
    <row r="77" spans="1:8" x14ac:dyDescent="0.2">
      <c r="A77" s="18"/>
      <c r="B77" s="18"/>
      <c r="C77" s="19" t="s">
        <v>11</v>
      </c>
      <c r="D77" s="18"/>
      <c r="E77" s="18" t="s">
        <v>12</v>
      </c>
      <c r="F77" s="20" t="s">
        <v>13</v>
      </c>
      <c r="G77" s="21">
        <v>0</v>
      </c>
      <c r="H77" s="17" t="s">
        <v>12</v>
      </c>
    </row>
    <row r="78" spans="1:8" x14ac:dyDescent="0.2">
      <c r="A78" s="18"/>
      <c r="B78" s="18"/>
      <c r="C78" s="22"/>
      <c r="D78" s="18"/>
      <c r="E78" s="18"/>
      <c r="F78" s="23"/>
      <c r="G78" s="23"/>
      <c r="H78" s="17" t="s">
        <v>12</v>
      </c>
    </row>
    <row r="79" spans="1:8" x14ac:dyDescent="0.2">
      <c r="A79" s="18"/>
      <c r="B79" s="18"/>
      <c r="C79" s="19" t="s">
        <v>98</v>
      </c>
      <c r="D79" s="18"/>
      <c r="E79" s="18"/>
      <c r="F79" s="23"/>
      <c r="G79" s="23"/>
      <c r="H79" s="17" t="s">
        <v>12</v>
      </c>
    </row>
    <row r="80" spans="1:8" x14ac:dyDescent="0.2">
      <c r="A80" s="18"/>
      <c r="B80" s="18"/>
      <c r="C80" s="19" t="s">
        <v>11</v>
      </c>
      <c r="D80" s="18"/>
      <c r="E80" s="18" t="s">
        <v>12</v>
      </c>
      <c r="F80" s="20" t="s">
        <v>13</v>
      </c>
      <c r="G80" s="21">
        <v>0</v>
      </c>
      <c r="H80" s="17" t="s">
        <v>12</v>
      </c>
    </row>
    <row r="81" spans="1:17" x14ac:dyDescent="0.2">
      <c r="A81" s="18"/>
      <c r="B81" s="18"/>
      <c r="C81" s="22"/>
      <c r="D81" s="18"/>
      <c r="E81" s="18"/>
      <c r="F81" s="23"/>
      <c r="G81" s="23"/>
      <c r="H81" s="17" t="s">
        <v>12</v>
      </c>
    </row>
    <row r="82" spans="1:17" x14ac:dyDescent="0.2">
      <c r="A82" s="18"/>
      <c r="B82" s="18"/>
      <c r="C82" s="19" t="s">
        <v>99</v>
      </c>
      <c r="D82" s="18"/>
      <c r="E82" s="18"/>
      <c r="F82" s="23"/>
      <c r="G82" s="23"/>
      <c r="H82" s="17" t="s">
        <v>12</v>
      </c>
    </row>
    <row r="83" spans="1:17" x14ac:dyDescent="0.2">
      <c r="A83" s="18"/>
      <c r="B83" s="18"/>
      <c r="C83" s="19" t="s">
        <v>11</v>
      </c>
      <c r="D83" s="18"/>
      <c r="E83" s="18" t="s">
        <v>12</v>
      </c>
      <c r="F83" s="20" t="s">
        <v>13</v>
      </c>
      <c r="G83" s="21">
        <v>0</v>
      </c>
      <c r="H83" s="17" t="s">
        <v>12</v>
      </c>
    </row>
    <row r="84" spans="1:17" x14ac:dyDescent="0.2">
      <c r="A84" s="18"/>
      <c r="B84" s="18"/>
      <c r="C84" s="22"/>
      <c r="D84" s="18"/>
      <c r="E84" s="18"/>
      <c r="F84" s="23"/>
      <c r="G84" s="23"/>
      <c r="H84" s="17" t="s">
        <v>12</v>
      </c>
    </row>
    <row r="85" spans="1:17" x14ac:dyDescent="0.2">
      <c r="A85" s="18"/>
      <c r="B85" s="18"/>
      <c r="C85" s="19" t="s">
        <v>100</v>
      </c>
      <c r="D85" s="18"/>
      <c r="E85" s="18"/>
      <c r="F85" s="23"/>
      <c r="G85" s="23"/>
      <c r="H85" s="17" t="s">
        <v>12</v>
      </c>
    </row>
    <row r="86" spans="1:17" x14ac:dyDescent="0.2">
      <c r="A86" s="25">
        <v>1</v>
      </c>
      <c r="B86" s="26"/>
      <c r="C86" s="26" t="s">
        <v>101</v>
      </c>
      <c r="D86" s="26"/>
      <c r="E86" s="30"/>
      <c r="F86" s="28">
        <v>3730.5421289860001</v>
      </c>
      <c r="G86" s="29">
        <v>5.2909890000000001E-2</v>
      </c>
      <c r="H86" s="17">
        <v>5.69</v>
      </c>
    </row>
    <row r="87" spans="1:17" x14ac:dyDescent="0.2">
      <c r="A87" s="18"/>
      <c r="B87" s="18"/>
      <c r="C87" s="19" t="s">
        <v>11</v>
      </c>
      <c r="D87" s="18"/>
      <c r="E87" s="18" t="s">
        <v>12</v>
      </c>
      <c r="F87" s="24">
        <v>3730.5421289860001</v>
      </c>
      <c r="G87" s="21">
        <v>5.2909890000000001E-2</v>
      </c>
      <c r="H87" s="17" t="s">
        <v>12</v>
      </c>
    </row>
    <row r="88" spans="1:17" x14ac:dyDescent="0.2">
      <c r="A88" s="18"/>
      <c r="B88" s="18"/>
      <c r="C88" s="22"/>
      <c r="D88" s="18"/>
      <c r="E88" s="18"/>
      <c r="F88" s="23"/>
      <c r="G88" s="23"/>
      <c r="H88" s="17" t="s">
        <v>12</v>
      </c>
    </row>
    <row r="89" spans="1:17" x14ac:dyDescent="0.2">
      <c r="A89" s="18"/>
      <c r="B89" s="18"/>
      <c r="C89" s="19" t="s">
        <v>102</v>
      </c>
      <c r="D89" s="18"/>
      <c r="E89" s="18"/>
      <c r="F89" s="24">
        <v>3730.5421289860001</v>
      </c>
      <c r="G89" s="21">
        <v>5.2909890000000001E-2</v>
      </c>
      <c r="H89" s="17" t="s">
        <v>12</v>
      </c>
    </row>
    <row r="90" spans="1:17" x14ac:dyDescent="0.2">
      <c r="A90" s="18"/>
      <c r="B90" s="18"/>
      <c r="C90" s="23"/>
      <c r="D90" s="18"/>
      <c r="E90" s="18"/>
      <c r="F90" s="18"/>
      <c r="G90" s="18"/>
      <c r="H90" s="17" t="s">
        <v>12</v>
      </c>
    </row>
    <row r="91" spans="1:17" x14ac:dyDescent="0.2">
      <c r="A91" s="18"/>
      <c r="B91" s="18"/>
      <c r="C91" s="19" t="s">
        <v>103</v>
      </c>
      <c r="D91" s="18"/>
      <c r="E91" s="18"/>
      <c r="F91" s="18"/>
      <c r="G91" s="18"/>
      <c r="H91" s="17" t="s">
        <v>12</v>
      </c>
    </row>
    <row r="92" spans="1:17" x14ac:dyDescent="0.2">
      <c r="A92" s="18"/>
      <c r="B92" s="18"/>
      <c r="C92" s="19" t="s">
        <v>104</v>
      </c>
      <c r="D92" s="18"/>
      <c r="E92" s="18"/>
      <c r="F92" s="18"/>
      <c r="G92" s="18"/>
      <c r="H92" s="17" t="s">
        <v>12</v>
      </c>
    </row>
    <row r="93" spans="1:17" x14ac:dyDescent="0.2">
      <c r="A93" s="18"/>
      <c r="B93" s="18"/>
      <c r="C93" s="19" t="s">
        <v>11</v>
      </c>
      <c r="D93" s="18"/>
      <c r="E93" s="18" t="s">
        <v>12</v>
      </c>
      <c r="F93" s="20" t="s">
        <v>13</v>
      </c>
      <c r="G93" s="21">
        <v>0</v>
      </c>
      <c r="H93" s="17" t="s">
        <v>12</v>
      </c>
    </row>
    <row r="94" spans="1:17" x14ac:dyDescent="0.2">
      <c r="A94" s="15"/>
      <c r="B94" s="15"/>
      <c r="C94" s="70"/>
      <c r="D94" s="15"/>
      <c r="E94" s="15"/>
      <c r="F94" s="40"/>
      <c r="G94" s="40"/>
      <c r="H94" s="71" t="s">
        <v>12</v>
      </c>
    </row>
    <row r="95" spans="1:17" x14ac:dyDescent="0.2">
      <c r="A95" s="15"/>
      <c r="B95" s="15"/>
      <c r="C95" s="16" t="s">
        <v>549</v>
      </c>
      <c r="D95" s="15"/>
      <c r="E95" s="15"/>
      <c r="F95" s="40"/>
      <c r="G95" s="40"/>
      <c r="H95" s="67"/>
      <c r="K95" s="51"/>
      <c r="L95" s="51"/>
      <c r="M95" s="51"/>
      <c r="N95" s="51"/>
      <c r="O95" s="72"/>
      <c r="P95" s="72"/>
      <c r="Q95" s="72"/>
    </row>
    <row r="96" spans="1:17" ht="25.5" x14ac:dyDescent="0.2">
      <c r="A96" s="64">
        <v>1</v>
      </c>
      <c r="B96" s="65" t="s">
        <v>105</v>
      </c>
      <c r="C96" s="65" t="s">
        <v>106</v>
      </c>
      <c r="D96" s="65"/>
      <c r="E96" s="73">
        <v>2586.3710000000001</v>
      </c>
      <c r="F96" s="67">
        <v>288.42245451500003</v>
      </c>
      <c r="G96" s="68">
        <v>4.0906700000000002E-3</v>
      </c>
      <c r="H96" s="71"/>
    </row>
    <row r="97" spans="1:8" x14ac:dyDescent="0.2">
      <c r="A97" s="15"/>
      <c r="B97" s="15"/>
      <c r="C97" s="16" t="s">
        <v>11</v>
      </c>
      <c r="D97" s="15"/>
      <c r="E97" s="15" t="s">
        <v>12</v>
      </c>
      <c r="F97" s="74">
        <f>SUM(F96)</f>
        <v>288.42245451500003</v>
      </c>
      <c r="G97" s="75">
        <f>SUM(G96)</f>
        <v>4.0906700000000002E-3</v>
      </c>
      <c r="H97" s="71" t="s">
        <v>12</v>
      </c>
    </row>
    <row r="98" spans="1:8" x14ac:dyDescent="0.2">
      <c r="A98" s="18"/>
      <c r="B98" s="18"/>
      <c r="C98" s="22"/>
      <c r="D98" s="18"/>
      <c r="E98" s="18"/>
      <c r="F98" s="23"/>
      <c r="G98" s="23"/>
      <c r="H98" s="17" t="s">
        <v>12</v>
      </c>
    </row>
    <row r="99" spans="1:8" x14ac:dyDescent="0.2">
      <c r="A99" s="18"/>
      <c r="B99" s="18"/>
      <c r="C99" s="19" t="s">
        <v>107</v>
      </c>
      <c r="D99" s="18"/>
      <c r="E99" s="18"/>
      <c r="F99" s="18"/>
      <c r="G99" s="18"/>
      <c r="H99" s="17" t="s">
        <v>12</v>
      </c>
    </row>
    <row r="100" spans="1:8" x14ac:dyDescent="0.2">
      <c r="A100" s="18"/>
      <c r="B100" s="18"/>
      <c r="C100" s="19" t="s">
        <v>108</v>
      </c>
      <c r="D100" s="18"/>
      <c r="E100" s="18"/>
      <c r="F100" s="18"/>
      <c r="G100" s="18"/>
      <c r="H100" s="17" t="s">
        <v>12</v>
      </c>
    </row>
    <row r="101" spans="1:8" x14ac:dyDescent="0.2">
      <c r="A101" s="18"/>
      <c r="B101" s="18"/>
      <c r="C101" s="19" t="s">
        <v>11</v>
      </c>
      <c r="D101" s="18"/>
      <c r="E101" s="18" t="s">
        <v>12</v>
      </c>
      <c r="F101" s="20" t="s">
        <v>13</v>
      </c>
      <c r="G101" s="21">
        <v>0</v>
      </c>
      <c r="H101" s="17" t="s">
        <v>12</v>
      </c>
    </row>
    <row r="102" spans="1:8" x14ac:dyDescent="0.2">
      <c r="A102" s="18"/>
      <c r="B102" s="18"/>
      <c r="C102" s="22"/>
      <c r="D102" s="18"/>
      <c r="E102" s="18"/>
      <c r="F102" s="23"/>
      <c r="G102" s="23"/>
      <c r="H102" s="17" t="s">
        <v>12</v>
      </c>
    </row>
    <row r="103" spans="1:8" x14ac:dyDescent="0.2">
      <c r="A103" s="18"/>
      <c r="B103" s="18"/>
      <c r="C103" s="19" t="s">
        <v>109</v>
      </c>
      <c r="D103" s="18"/>
      <c r="E103" s="18"/>
      <c r="F103" s="23"/>
      <c r="G103" s="23"/>
      <c r="H103" s="17" t="s">
        <v>12</v>
      </c>
    </row>
    <row r="104" spans="1:8" x14ac:dyDescent="0.2">
      <c r="A104" s="18"/>
      <c r="B104" s="18"/>
      <c r="C104" s="19" t="s">
        <v>11</v>
      </c>
      <c r="D104" s="18"/>
      <c r="E104" s="18" t="s">
        <v>12</v>
      </c>
      <c r="F104" s="20" t="s">
        <v>13</v>
      </c>
      <c r="G104" s="21">
        <v>0</v>
      </c>
      <c r="H104" s="17" t="s">
        <v>12</v>
      </c>
    </row>
    <row r="105" spans="1:8" x14ac:dyDescent="0.2">
      <c r="A105" s="18"/>
      <c r="B105" s="18"/>
      <c r="C105" s="22"/>
      <c r="D105" s="18"/>
      <c r="E105" s="18"/>
      <c r="F105" s="23"/>
      <c r="G105" s="23"/>
      <c r="H105" s="17" t="s">
        <v>12</v>
      </c>
    </row>
    <row r="106" spans="1:8" x14ac:dyDescent="0.2">
      <c r="A106" s="30"/>
      <c r="B106" s="26"/>
      <c r="C106" s="26" t="s">
        <v>110</v>
      </c>
      <c r="D106" s="26"/>
      <c r="E106" s="30"/>
      <c r="F106" s="28">
        <v>1940.9799368199999</v>
      </c>
      <c r="G106" s="29">
        <v>2.752872E-2</v>
      </c>
      <c r="H106" s="17" t="s">
        <v>12</v>
      </c>
    </row>
    <row r="107" spans="1:8" x14ac:dyDescent="0.2">
      <c r="A107" s="22"/>
      <c r="B107" s="22"/>
      <c r="C107" s="19" t="s">
        <v>111</v>
      </c>
      <c r="D107" s="23"/>
      <c r="E107" s="23"/>
      <c r="F107" s="24">
        <v>70507.460720321003</v>
      </c>
      <c r="G107" s="31">
        <v>1.0000000099999999</v>
      </c>
      <c r="H107" s="17" t="s">
        <v>12</v>
      </c>
    </row>
    <row r="108" spans="1:8" x14ac:dyDescent="0.2">
      <c r="A108" s="32"/>
      <c r="B108" s="32"/>
      <c r="C108" s="32"/>
      <c r="D108" s="33"/>
      <c r="E108" s="33"/>
      <c r="F108" s="33"/>
      <c r="G108" s="33"/>
    </row>
    <row r="109" spans="1:8" x14ac:dyDescent="0.2">
      <c r="A109" s="34"/>
      <c r="B109" s="148" t="s">
        <v>545</v>
      </c>
      <c r="C109" s="148"/>
      <c r="D109" s="148"/>
      <c r="E109" s="148"/>
      <c r="F109" s="148"/>
      <c r="G109" s="148"/>
      <c r="H109" s="148"/>
    </row>
    <row r="110" spans="1:8" x14ac:dyDescent="0.2">
      <c r="A110" s="34"/>
      <c r="B110" s="148" t="s">
        <v>546</v>
      </c>
      <c r="C110" s="148"/>
      <c r="D110" s="148"/>
      <c r="E110" s="148"/>
      <c r="F110" s="148"/>
      <c r="G110" s="148"/>
      <c r="H110" s="148"/>
    </row>
    <row r="111" spans="1:8" x14ac:dyDescent="0.2">
      <c r="A111" s="34"/>
      <c r="B111" s="148" t="s">
        <v>547</v>
      </c>
      <c r="C111" s="148"/>
      <c r="D111" s="148"/>
      <c r="E111" s="148"/>
      <c r="F111" s="148"/>
      <c r="G111" s="148"/>
      <c r="H111" s="148"/>
    </row>
    <row r="112" spans="1:8" x14ac:dyDescent="0.2">
      <c r="A112" s="36"/>
      <c r="B112" s="36"/>
      <c r="C112" s="36"/>
      <c r="D112" s="37"/>
      <c r="E112" s="37"/>
      <c r="F112" s="37"/>
      <c r="G112" s="37"/>
    </row>
    <row r="113" spans="1:7" x14ac:dyDescent="0.2">
      <c r="A113" s="34"/>
      <c r="B113" s="150" t="s">
        <v>112</v>
      </c>
      <c r="C113" s="151"/>
      <c r="D113" s="152"/>
      <c r="E113" s="38"/>
      <c r="F113" s="39"/>
      <c r="G113" s="39"/>
    </row>
    <row r="114" spans="1:7" x14ac:dyDescent="0.2">
      <c r="A114" s="34"/>
      <c r="B114" s="153" t="s">
        <v>113</v>
      </c>
      <c r="C114" s="154"/>
      <c r="D114" s="16" t="s">
        <v>114</v>
      </c>
      <c r="E114" s="38"/>
      <c r="F114" s="39"/>
      <c r="G114" s="39"/>
    </row>
    <row r="115" spans="1:7" x14ac:dyDescent="0.2">
      <c r="A115" s="34"/>
      <c r="B115" s="153" t="s">
        <v>115</v>
      </c>
      <c r="C115" s="154"/>
      <c r="D115" s="16" t="s">
        <v>114</v>
      </c>
      <c r="E115" s="38"/>
      <c r="F115" s="39"/>
      <c r="G115" s="39"/>
    </row>
    <row r="116" spans="1:7" x14ac:dyDescent="0.2">
      <c r="A116" s="34"/>
      <c r="B116" s="153" t="s">
        <v>116</v>
      </c>
      <c r="C116" s="154"/>
      <c r="D116" s="40" t="s">
        <v>12</v>
      </c>
      <c r="E116" s="38"/>
      <c r="F116" s="39"/>
      <c r="G116" s="39"/>
    </row>
    <row r="117" spans="1:7" x14ac:dyDescent="0.2">
      <c r="A117" s="41"/>
      <c r="B117" s="42" t="s">
        <v>12</v>
      </c>
      <c r="C117" s="42" t="s">
        <v>548</v>
      </c>
      <c r="D117" s="42" t="s">
        <v>117</v>
      </c>
      <c r="E117" s="41"/>
      <c r="F117" s="41"/>
      <c r="G117" s="41"/>
    </row>
    <row r="118" spans="1:7" x14ac:dyDescent="0.2">
      <c r="A118" s="41"/>
      <c r="B118" s="43" t="s">
        <v>118</v>
      </c>
      <c r="C118" s="44">
        <v>45777</v>
      </c>
      <c r="D118" s="44">
        <v>45792</v>
      </c>
      <c r="E118" s="41"/>
      <c r="F118" s="41"/>
      <c r="G118" s="41"/>
    </row>
    <row r="119" spans="1:7" x14ac:dyDescent="0.2">
      <c r="A119" s="45"/>
      <c r="B119" s="26" t="s">
        <v>119</v>
      </c>
      <c r="C119" s="46">
        <v>41.209600000000002</v>
      </c>
      <c r="D119" s="46">
        <v>41.399900000000002</v>
      </c>
      <c r="E119" s="45"/>
      <c r="F119" s="47"/>
      <c r="G119" s="48"/>
    </row>
    <row r="120" spans="1:7" ht="25.5" x14ac:dyDescent="0.2">
      <c r="A120" s="45"/>
      <c r="B120" s="26" t="s">
        <v>673</v>
      </c>
      <c r="C120" s="46">
        <v>17.9831</v>
      </c>
      <c r="D120" s="46">
        <v>18.066099999999999</v>
      </c>
      <c r="E120" s="45"/>
      <c r="F120" s="47"/>
      <c r="G120" s="48"/>
    </row>
    <row r="121" spans="1:7" ht="25.5" x14ac:dyDescent="0.2">
      <c r="A121" s="45"/>
      <c r="B121" s="26" t="s">
        <v>674</v>
      </c>
      <c r="C121" s="46">
        <v>20.0717</v>
      </c>
      <c r="D121" s="46">
        <v>20.1645</v>
      </c>
      <c r="E121" s="45"/>
      <c r="F121" s="47"/>
      <c r="G121" s="48"/>
    </row>
    <row r="122" spans="1:7" ht="25.5" x14ac:dyDescent="0.2">
      <c r="A122" s="45"/>
      <c r="B122" s="26" t="s">
        <v>675</v>
      </c>
      <c r="C122" s="46">
        <v>17.584399999999999</v>
      </c>
      <c r="D122" s="46">
        <v>17.665600000000001</v>
      </c>
      <c r="E122" s="45"/>
      <c r="F122" s="47"/>
      <c r="G122" s="48"/>
    </row>
    <row r="123" spans="1:7" ht="25.5" x14ac:dyDescent="0.2">
      <c r="A123" s="45"/>
      <c r="B123" s="26" t="s">
        <v>676</v>
      </c>
      <c r="C123" s="46">
        <v>18.3353</v>
      </c>
      <c r="D123" s="46">
        <v>18.420000000000002</v>
      </c>
      <c r="E123" s="45"/>
      <c r="F123" s="47"/>
      <c r="G123" s="48"/>
    </row>
    <row r="124" spans="1:7" x14ac:dyDescent="0.2">
      <c r="A124" s="45"/>
      <c r="B124" s="26" t="s">
        <v>120</v>
      </c>
      <c r="C124" s="46">
        <v>39.864600000000003</v>
      </c>
      <c r="D124" s="46">
        <v>40.045099999999998</v>
      </c>
      <c r="E124" s="45"/>
      <c r="F124" s="47"/>
      <c r="G124" s="48"/>
    </row>
    <row r="125" spans="1:7" ht="25.5" x14ac:dyDescent="0.2">
      <c r="A125" s="45"/>
      <c r="B125" s="26" t="s">
        <v>677</v>
      </c>
      <c r="C125" s="46">
        <v>16.975200000000001</v>
      </c>
      <c r="D125" s="46">
        <v>17.052099999999999</v>
      </c>
      <c r="E125" s="45"/>
      <c r="F125" s="47"/>
      <c r="G125" s="48"/>
    </row>
    <row r="126" spans="1:7" ht="25.5" x14ac:dyDescent="0.2">
      <c r="A126" s="45"/>
      <c r="B126" s="26" t="s">
        <v>648</v>
      </c>
      <c r="C126" s="46">
        <v>19.452500000000001</v>
      </c>
      <c r="D126" s="46">
        <v>19.540600000000001</v>
      </c>
      <c r="E126" s="45"/>
      <c r="F126" s="47"/>
      <c r="G126" s="48"/>
    </row>
    <row r="127" spans="1:7" ht="25.5" x14ac:dyDescent="0.2">
      <c r="A127" s="45"/>
      <c r="B127" s="26" t="s">
        <v>678</v>
      </c>
      <c r="C127" s="46">
        <v>17.4514</v>
      </c>
      <c r="D127" s="46">
        <v>17.5304</v>
      </c>
      <c r="E127" s="45"/>
      <c r="F127" s="47"/>
      <c r="G127" s="48"/>
    </row>
    <row r="128" spans="1:7" ht="25.5" x14ac:dyDescent="0.2">
      <c r="A128" s="45"/>
      <c r="B128" s="26" t="s">
        <v>679</v>
      </c>
      <c r="C128" s="46">
        <v>17.774000000000001</v>
      </c>
      <c r="D128" s="46">
        <v>17.854399999999998</v>
      </c>
      <c r="E128" s="45"/>
      <c r="F128" s="47"/>
      <c r="G128" s="48"/>
    </row>
    <row r="129" spans="1:14" x14ac:dyDescent="0.2">
      <c r="A129" s="45"/>
      <c r="B129" s="45"/>
      <c r="C129" s="45"/>
      <c r="D129" s="45"/>
      <c r="E129" s="45"/>
      <c r="F129" s="45"/>
      <c r="G129" s="45"/>
    </row>
    <row r="130" spans="1:14" x14ac:dyDescent="0.2">
      <c r="A130" s="45"/>
      <c r="B130" s="155" t="s">
        <v>649</v>
      </c>
      <c r="C130" s="156"/>
      <c r="D130" s="19" t="s">
        <v>114</v>
      </c>
      <c r="E130" s="45"/>
      <c r="F130" s="45"/>
      <c r="G130" s="45"/>
    </row>
    <row r="131" spans="1:14" x14ac:dyDescent="0.2">
      <c r="A131" s="45"/>
      <c r="B131" s="49"/>
      <c r="C131" s="49"/>
      <c r="D131" s="49"/>
      <c r="E131" s="45"/>
      <c r="F131" s="45"/>
      <c r="G131" s="45"/>
    </row>
    <row r="132" spans="1:14" x14ac:dyDescent="0.2">
      <c r="A132" s="41"/>
      <c r="B132" s="153" t="s">
        <v>121</v>
      </c>
      <c r="C132" s="154"/>
      <c r="D132" s="16" t="s">
        <v>114</v>
      </c>
      <c r="E132" s="50"/>
      <c r="F132" s="41"/>
      <c r="G132" s="41"/>
    </row>
    <row r="133" spans="1:14" x14ac:dyDescent="0.2">
      <c r="A133" s="41"/>
      <c r="B133" s="153" t="s">
        <v>122</v>
      </c>
      <c r="C133" s="154"/>
      <c r="D133" s="16" t="s">
        <v>114</v>
      </c>
      <c r="E133" s="50"/>
      <c r="F133" s="41"/>
      <c r="G133" s="41"/>
    </row>
    <row r="134" spans="1:14" x14ac:dyDescent="0.2">
      <c r="A134" s="41"/>
      <c r="B134" s="153" t="s">
        <v>550</v>
      </c>
      <c r="C134" s="154"/>
      <c r="D134" s="16" t="s">
        <v>114</v>
      </c>
      <c r="E134" s="50"/>
      <c r="F134" s="41"/>
      <c r="G134" s="41"/>
    </row>
    <row r="135" spans="1:14" x14ac:dyDescent="0.2">
      <c r="A135" s="49"/>
      <c r="B135" s="49"/>
      <c r="C135" s="49"/>
      <c r="D135" s="49"/>
      <c r="E135" s="49"/>
      <c r="F135" s="49"/>
      <c r="G135" s="49"/>
    </row>
    <row r="136" spans="1:14" s="52" customFormat="1" x14ac:dyDescent="0.2">
      <c r="B136" s="157" t="s">
        <v>551</v>
      </c>
      <c r="C136" s="158"/>
      <c r="D136" s="159"/>
      <c r="H136"/>
      <c r="I136"/>
      <c r="J136" s="51"/>
      <c r="K136" s="51"/>
      <c r="L136" s="51"/>
      <c r="M136" s="51"/>
      <c r="N136" s="51"/>
    </row>
    <row r="137" spans="1:14" s="52" customFormat="1" ht="38.25" x14ac:dyDescent="0.2">
      <c r="B137" s="149" t="s">
        <v>552</v>
      </c>
      <c r="C137" s="149"/>
      <c r="D137" s="54" t="s">
        <v>1</v>
      </c>
      <c r="H137"/>
      <c r="I137"/>
      <c r="J137" s="51"/>
      <c r="K137" s="51"/>
      <c r="L137" s="51"/>
      <c r="M137" s="51"/>
      <c r="N137" s="51"/>
    </row>
    <row r="138" spans="1:14" s="52" customFormat="1" x14ac:dyDescent="0.2">
      <c r="B138" s="145" t="s">
        <v>553</v>
      </c>
      <c r="C138" s="145"/>
      <c r="D138" s="55"/>
      <c r="H138"/>
      <c r="I138"/>
      <c r="J138" s="51"/>
      <c r="K138" s="51"/>
      <c r="L138" s="51"/>
      <c r="M138" s="51"/>
      <c r="N138" s="51"/>
    </row>
    <row r="139" spans="1:14" s="52" customFormat="1" x14ac:dyDescent="0.2">
      <c r="B139" s="143"/>
      <c r="C139" s="144"/>
      <c r="D139" s="56"/>
      <c r="H139"/>
      <c r="I139"/>
      <c r="J139" s="51"/>
      <c r="K139" s="51"/>
      <c r="L139" s="51"/>
      <c r="M139" s="51"/>
      <c r="N139" s="51"/>
    </row>
    <row r="140" spans="1:14" s="52" customFormat="1" x14ac:dyDescent="0.2">
      <c r="B140" s="145" t="s">
        <v>554</v>
      </c>
      <c r="C140" s="145"/>
      <c r="D140" s="57">
        <v>6.7286241263695556</v>
      </c>
      <c r="H140"/>
      <c r="I140"/>
      <c r="J140" s="51"/>
      <c r="K140" s="51"/>
      <c r="L140" s="51"/>
      <c r="M140" s="51"/>
      <c r="N140" s="51"/>
    </row>
    <row r="141" spans="1:14" s="52" customFormat="1" x14ac:dyDescent="0.2">
      <c r="B141" s="143"/>
      <c r="C141" s="144"/>
      <c r="D141" s="56"/>
      <c r="H141"/>
      <c r="I141"/>
      <c r="J141" s="51"/>
      <c r="K141" s="51"/>
      <c r="L141" s="51"/>
      <c r="M141" s="51"/>
      <c r="N141" s="51"/>
    </row>
    <row r="142" spans="1:14" s="52" customFormat="1" x14ac:dyDescent="0.2">
      <c r="B142" s="145" t="s">
        <v>555</v>
      </c>
      <c r="C142" s="145"/>
      <c r="D142" s="57">
        <v>3.6044529250583803</v>
      </c>
      <c r="H142"/>
      <c r="I142"/>
      <c r="J142" s="51"/>
      <c r="K142" s="51"/>
      <c r="L142" s="51"/>
      <c r="M142" s="51"/>
      <c r="N142" s="51"/>
    </row>
    <row r="143" spans="1:14" s="52" customFormat="1" x14ac:dyDescent="0.2">
      <c r="B143" s="145" t="s">
        <v>556</v>
      </c>
      <c r="C143" s="145"/>
      <c r="D143" s="57">
        <v>4.939369845856711</v>
      </c>
      <c r="H143"/>
      <c r="I143"/>
      <c r="J143" s="51"/>
      <c r="K143" s="51"/>
      <c r="L143" s="51"/>
      <c r="M143" s="51"/>
      <c r="N143" s="51"/>
    </row>
    <row r="144" spans="1:14" s="52" customFormat="1" x14ac:dyDescent="0.2">
      <c r="B144" s="143"/>
      <c r="C144" s="144"/>
      <c r="D144" s="56"/>
      <c r="I144"/>
      <c r="J144" s="51"/>
      <c r="K144" s="51"/>
      <c r="L144" s="51"/>
      <c r="M144" s="51"/>
      <c r="N144" s="51"/>
    </row>
    <row r="145" spans="2:14" s="52" customFormat="1" x14ac:dyDescent="0.2">
      <c r="B145" s="145" t="s">
        <v>557</v>
      </c>
      <c r="C145" s="145"/>
      <c r="D145" s="59" t="s">
        <v>680</v>
      </c>
      <c r="I145"/>
      <c r="J145" s="51"/>
      <c r="K145" s="51"/>
      <c r="L145" s="51"/>
      <c r="M145" s="51"/>
      <c r="N145" s="53"/>
    </row>
    <row r="146" spans="2:14" s="52" customFormat="1" x14ac:dyDescent="0.2">
      <c r="B146" s="143" t="s">
        <v>558</v>
      </c>
      <c r="C146" s="146"/>
      <c r="D146" s="144"/>
      <c r="I146"/>
      <c r="J146" s="51"/>
      <c r="K146" s="51"/>
      <c r="L146" s="51"/>
      <c r="M146" s="51"/>
      <c r="N146" s="51"/>
    </row>
    <row r="148" spans="2:14" ht="25.5" x14ac:dyDescent="0.2">
      <c r="B148" s="61" t="s">
        <v>559</v>
      </c>
    </row>
    <row r="150" spans="2:14" ht="153.75" customHeight="1" x14ac:dyDescent="0.2"/>
    <row r="153" spans="2:14" x14ac:dyDescent="0.2">
      <c r="B153" s="62" t="s">
        <v>560</v>
      </c>
      <c r="C153" s="63"/>
      <c r="D153" s="62"/>
    </row>
    <row r="154" spans="2:14" x14ac:dyDescent="0.2">
      <c r="B154" s="62" t="s">
        <v>561</v>
      </c>
      <c r="D154" s="62"/>
    </row>
    <row r="155" spans="2:14" ht="165" customHeight="1" x14ac:dyDescent="0.2"/>
    <row r="161" customFormat="1" x14ac:dyDescent="0.2"/>
    <row r="162" customFormat="1" x14ac:dyDescent="0.2"/>
  </sheetData>
  <mergeCells count="25">
    <mergeCell ref="B111:H111"/>
    <mergeCell ref="B137:C137"/>
    <mergeCell ref="B138:C138"/>
    <mergeCell ref="B113:D113"/>
    <mergeCell ref="B114:C114"/>
    <mergeCell ref="B115:C115"/>
    <mergeCell ref="B116:C116"/>
    <mergeCell ref="B130:C130"/>
    <mergeCell ref="B134:C134"/>
    <mergeCell ref="B132:C132"/>
    <mergeCell ref="B133:C133"/>
    <mergeCell ref="B136:D136"/>
    <mergeCell ref="A1:H1"/>
    <mergeCell ref="A3:H3"/>
    <mergeCell ref="A2:H2"/>
    <mergeCell ref="B109:H109"/>
    <mergeCell ref="B110:H110"/>
    <mergeCell ref="B144:C144"/>
    <mergeCell ref="B145:C145"/>
    <mergeCell ref="B146:D146"/>
    <mergeCell ref="B139:C139"/>
    <mergeCell ref="B140:C140"/>
    <mergeCell ref="B141:C141"/>
    <mergeCell ref="B142:C142"/>
    <mergeCell ref="B143:C143"/>
  </mergeCells>
  <hyperlinks>
    <hyperlink ref="I1" location="Index!B2" display="Index" xr:uid="{4DB0D806-F90D-42CA-8949-4D6272F52DD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1F14E-09C6-4194-878E-2D600341212B}">
  <sheetPr>
    <outlinePr summaryBelow="0" summaryRight="0"/>
  </sheetPr>
  <dimension ref="A1:R167"/>
  <sheetViews>
    <sheetView showGridLines="0" workbookViewId="0">
      <selection sqref="A1:H1"/>
    </sheetView>
  </sheetViews>
  <sheetFormatPr defaultRowHeight="12.75" x14ac:dyDescent="0.2"/>
  <cols>
    <col min="1" max="1" width="5.85546875" bestFit="1" customWidth="1"/>
    <col min="2" max="2" width="23.140625" customWidth="1"/>
    <col min="3" max="3" width="39.140625" bestFit="1" customWidth="1"/>
    <col min="4" max="4" width="11.42578125" bestFit="1" customWidth="1"/>
    <col min="5" max="5" width="9.42578125" bestFit="1" customWidth="1"/>
    <col min="6" max="6" width="10.140625" bestFit="1" customWidth="1"/>
    <col min="7" max="7" width="14" bestFit="1" customWidth="1"/>
    <col min="8" max="8" width="10.28515625" customWidth="1"/>
    <col min="9" max="9" width="5.7109375" bestFit="1" customWidth="1"/>
  </cols>
  <sheetData>
    <row r="1" spans="1:9" ht="15" x14ac:dyDescent="0.2">
      <c r="A1" s="147" t="s">
        <v>0</v>
      </c>
      <c r="B1" s="147"/>
      <c r="C1" s="147"/>
      <c r="D1" s="147"/>
      <c r="E1" s="147"/>
      <c r="F1" s="147"/>
      <c r="G1" s="147"/>
      <c r="H1" s="147"/>
      <c r="I1" s="1" t="s">
        <v>543</v>
      </c>
    </row>
    <row r="2" spans="1:9" ht="15" x14ac:dyDescent="0.2">
      <c r="A2" s="147" t="s">
        <v>123</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ht="25.5" x14ac:dyDescent="0.2">
      <c r="A28" s="25">
        <v>1</v>
      </c>
      <c r="B28" s="26" t="s">
        <v>47</v>
      </c>
      <c r="C28" s="26" t="s">
        <v>48</v>
      </c>
      <c r="D28" s="26" t="s">
        <v>32</v>
      </c>
      <c r="E28" s="27">
        <v>300</v>
      </c>
      <c r="F28" s="28">
        <v>3051.7559999999999</v>
      </c>
      <c r="G28" s="29">
        <v>6.5214930000000004E-2</v>
      </c>
      <c r="H28" s="17">
        <v>6.65</v>
      </c>
    </row>
    <row r="29" spans="1:8" x14ac:dyDescent="0.2">
      <c r="A29" s="25">
        <v>2</v>
      </c>
      <c r="B29" s="26" t="s">
        <v>124</v>
      </c>
      <c r="C29" s="26" t="s">
        <v>125</v>
      </c>
      <c r="D29" s="26" t="s">
        <v>32</v>
      </c>
      <c r="E29" s="27">
        <v>250</v>
      </c>
      <c r="F29" s="28">
        <v>2549.6750000000002</v>
      </c>
      <c r="G29" s="29">
        <v>5.4485640000000002E-2</v>
      </c>
      <c r="H29" s="17">
        <v>6.7557</v>
      </c>
    </row>
    <row r="30" spans="1:8" x14ac:dyDescent="0.2">
      <c r="A30" s="25">
        <v>3</v>
      </c>
      <c r="B30" s="26" t="s">
        <v>126</v>
      </c>
      <c r="C30" s="26" t="s">
        <v>127</v>
      </c>
      <c r="D30" s="26" t="s">
        <v>23</v>
      </c>
      <c r="E30" s="27">
        <v>2500</v>
      </c>
      <c r="F30" s="28">
        <v>2544.1</v>
      </c>
      <c r="G30" s="29">
        <v>5.4366499999999998E-2</v>
      </c>
      <c r="H30" s="17">
        <v>7.0274999999999999</v>
      </c>
    </row>
    <row r="31" spans="1:8" ht="25.5" x14ac:dyDescent="0.2">
      <c r="A31" s="25">
        <v>4</v>
      </c>
      <c r="B31" s="26" t="s">
        <v>128</v>
      </c>
      <c r="C31" s="26" t="s">
        <v>129</v>
      </c>
      <c r="D31" s="26" t="s">
        <v>32</v>
      </c>
      <c r="E31" s="27">
        <v>2500</v>
      </c>
      <c r="F31" s="28">
        <v>2499.2075</v>
      </c>
      <c r="G31" s="29">
        <v>5.3407169999999997E-2</v>
      </c>
      <c r="H31" s="17">
        <v>6.9034000000000004</v>
      </c>
    </row>
    <row r="32" spans="1:8" x14ac:dyDescent="0.2">
      <c r="A32" s="25">
        <v>5</v>
      </c>
      <c r="B32" s="26" t="s">
        <v>130</v>
      </c>
      <c r="C32" s="26" t="s">
        <v>131</v>
      </c>
      <c r="D32" s="26" t="s">
        <v>23</v>
      </c>
      <c r="E32" s="27">
        <v>2000</v>
      </c>
      <c r="F32" s="28">
        <v>2039.058</v>
      </c>
      <c r="G32" s="29">
        <v>4.3573939999999999E-2</v>
      </c>
      <c r="H32" s="17">
        <v>6.5982000000000003</v>
      </c>
    </row>
    <row r="33" spans="1:8" ht="25.5" x14ac:dyDescent="0.2">
      <c r="A33" s="25">
        <v>6</v>
      </c>
      <c r="B33" s="26" t="s">
        <v>132</v>
      </c>
      <c r="C33" s="26" t="s">
        <v>133</v>
      </c>
      <c r="D33" s="26" t="s">
        <v>32</v>
      </c>
      <c r="E33" s="27">
        <v>200</v>
      </c>
      <c r="F33" s="28">
        <v>2008.8440000000001</v>
      </c>
      <c r="G33" s="29">
        <v>4.2928269999999998E-2</v>
      </c>
      <c r="H33" s="17">
        <v>6.7725</v>
      </c>
    </row>
    <row r="34" spans="1:8" ht="25.5" x14ac:dyDescent="0.2">
      <c r="A34" s="25">
        <v>7</v>
      </c>
      <c r="B34" s="26" t="s">
        <v>134</v>
      </c>
      <c r="C34" s="26" t="s">
        <v>135</v>
      </c>
      <c r="D34" s="26" t="s">
        <v>32</v>
      </c>
      <c r="E34" s="27">
        <v>200</v>
      </c>
      <c r="F34" s="28">
        <v>1982.86</v>
      </c>
      <c r="G34" s="29">
        <v>4.2373010000000003E-2</v>
      </c>
      <c r="H34" s="17">
        <v>6.7760999999999996</v>
      </c>
    </row>
    <row r="35" spans="1:8" ht="25.5" x14ac:dyDescent="0.2">
      <c r="A35" s="25">
        <v>8</v>
      </c>
      <c r="B35" s="26" t="s">
        <v>33</v>
      </c>
      <c r="C35" s="26" t="s">
        <v>34</v>
      </c>
      <c r="D35" s="26" t="s">
        <v>23</v>
      </c>
      <c r="E35" s="27">
        <v>1500</v>
      </c>
      <c r="F35" s="28">
        <v>1539.855</v>
      </c>
      <c r="G35" s="29">
        <v>3.2906150000000002E-2</v>
      </c>
      <c r="H35" s="17">
        <v>6.8345000000000002</v>
      </c>
    </row>
    <row r="36" spans="1:8" ht="25.5" x14ac:dyDescent="0.2">
      <c r="A36" s="25">
        <v>9</v>
      </c>
      <c r="B36" s="26" t="s">
        <v>136</v>
      </c>
      <c r="C36" s="26" t="s">
        <v>137</v>
      </c>
      <c r="D36" s="26" t="s">
        <v>23</v>
      </c>
      <c r="E36" s="27">
        <v>1500</v>
      </c>
      <c r="F36" s="28">
        <v>1529.6489999999999</v>
      </c>
      <c r="G36" s="29">
        <v>3.2688050000000003E-2</v>
      </c>
      <c r="H36" s="17">
        <v>6.6433999999999997</v>
      </c>
    </row>
    <row r="37" spans="1:8" ht="25.5" x14ac:dyDescent="0.2">
      <c r="A37" s="25">
        <v>10</v>
      </c>
      <c r="B37" s="26" t="s">
        <v>39</v>
      </c>
      <c r="C37" s="26" t="s">
        <v>40</v>
      </c>
      <c r="D37" s="26" t="s">
        <v>23</v>
      </c>
      <c r="E37" s="27">
        <v>1500</v>
      </c>
      <c r="F37" s="28">
        <v>1512.5219999999999</v>
      </c>
      <c r="G37" s="29">
        <v>3.2322049999999998E-2</v>
      </c>
      <c r="H37" s="17">
        <v>6.62</v>
      </c>
    </row>
    <row r="38" spans="1:8" ht="25.5" x14ac:dyDescent="0.2">
      <c r="A38" s="25">
        <v>11</v>
      </c>
      <c r="B38" s="26" t="s">
        <v>138</v>
      </c>
      <c r="C38" s="26" t="s">
        <v>139</v>
      </c>
      <c r="D38" s="26" t="s">
        <v>23</v>
      </c>
      <c r="E38" s="27">
        <v>1000</v>
      </c>
      <c r="F38" s="28">
        <v>1031.182</v>
      </c>
      <c r="G38" s="29">
        <v>2.2035989999999998E-2</v>
      </c>
      <c r="H38" s="17">
        <v>6.8650000000000002</v>
      </c>
    </row>
    <row r="39" spans="1:8" ht="25.5" x14ac:dyDescent="0.2">
      <c r="A39" s="25">
        <v>12</v>
      </c>
      <c r="B39" s="26" t="s">
        <v>24</v>
      </c>
      <c r="C39" s="26" t="s">
        <v>25</v>
      </c>
      <c r="D39" s="26" t="s">
        <v>23</v>
      </c>
      <c r="E39" s="27">
        <v>1000</v>
      </c>
      <c r="F39" s="28">
        <v>1022.35</v>
      </c>
      <c r="G39" s="29">
        <v>2.1847249999999999E-2</v>
      </c>
      <c r="H39" s="17">
        <v>6.7477</v>
      </c>
    </row>
    <row r="40" spans="1:8" ht="25.5" x14ac:dyDescent="0.2">
      <c r="A40" s="25">
        <v>13</v>
      </c>
      <c r="B40" s="26" t="s">
        <v>140</v>
      </c>
      <c r="C40" s="26" t="s">
        <v>141</v>
      </c>
      <c r="D40" s="26" t="s">
        <v>32</v>
      </c>
      <c r="E40" s="27">
        <v>1000</v>
      </c>
      <c r="F40" s="28">
        <v>1017.439</v>
      </c>
      <c r="G40" s="29">
        <v>2.1742310000000001E-2</v>
      </c>
      <c r="H40" s="17">
        <v>6.8250000000000002</v>
      </c>
    </row>
    <row r="41" spans="1:8" ht="25.5" x14ac:dyDescent="0.2">
      <c r="A41" s="25">
        <v>14</v>
      </c>
      <c r="B41" s="26" t="s">
        <v>59</v>
      </c>
      <c r="C41" s="26" t="s">
        <v>60</v>
      </c>
      <c r="D41" s="26" t="s">
        <v>23</v>
      </c>
      <c r="E41" s="27">
        <v>1000</v>
      </c>
      <c r="F41" s="28">
        <v>1005.294</v>
      </c>
      <c r="G41" s="29">
        <v>2.1482770000000002E-2</v>
      </c>
      <c r="H41" s="17">
        <v>6.8650000000000002</v>
      </c>
    </row>
    <row r="42" spans="1:8" ht="25.5" x14ac:dyDescent="0.2">
      <c r="A42" s="25">
        <v>15</v>
      </c>
      <c r="B42" s="26" t="s">
        <v>142</v>
      </c>
      <c r="C42" s="26" t="s">
        <v>143</v>
      </c>
      <c r="D42" s="26" t="s">
        <v>23</v>
      </c>
      <c r="E42" s="27">
        <v>500</v>
      </c>
      <c r="F42" s="28">
        <v>513.95450000000005</v>
      </c>
      <c r="G42" s="29">
        <v>1.098302E-2</v>
      </c>
      <c r="H42" s="17">
        <v>7.0016999999999996</v>
      </c>
    </row>
    <row r="43" spans="1:8" ht="25.5" x14ac:dyDescent="0.2">
      <c r="A43" s="25">
        <v>16</v>
      </c>
      <c r="B43" s="26" t="s">
        <v>43</v>
      </c>
      <c r="C43" s="26" t="s">
        <v>44</v>
      </c>
      <c r="D43" s="26" t="s">
        <v>23</v>
      </c>
      <c r="E43" s="27">
        <v>500</v>
      </c>
      <c r="F43" s="28">
        <v>513.66899999999998</v>
      </c>
      <c r="G43" s="29">
        <v>1.0976919999999999E-2</v>
      </c>
      <c r="H43" s="17">
        <v>6.7744999999999997</v>
      </c>
    </row>
    <row r="44" spans="1:8" ht="25.5" x14ac:dyDescent="0.2">
      <c r="A44" s="25">
        <v>17</v>
      </c>
      <c r="B44" s="26" t="s">
        <v>144</v>
      </c>
      <c r="C44" s="26" t="s">
        <v>145</v>
      </c>
      <c r="D44" s="26" t="s">
        <v>32</v>
      </c>
      <c r="E44" s="27">
        <v>500</v>
      </c>
      <c r="F44" s="28">
        <v>508.52</v>
      </c>
      <c r="G44" s="29">
        <v>1.0866890000000001E-2</v>
      </c>
      <c r="H44" s="17">
        <v>6.7576999999999998</v>
      </c>
    </row>
    <row r="45" spans="1:8" ht="25.5" x14ac:dyDescent="0.2">
      <c r="A45" s="25">
        <v>18</v>
      </c>
      <c r="B45" s="26" t="s">
        <v>146</v>
      </c>
      <c r="C45" s="26" t="s">
        <v>147</v>
      </c>
      <c r="D45" s="26" t="s">
        <v>23</v>
      </c>
      <c r="E45" s="27">
        <v>500</v>
      </c>
      <c r="F45" s="28">
        <v>507.26900000000001</v>
      </c>
      <c r="G45" s="29">
        <v>1.084016E-2</v>
      </c>
      <c r="H45" s="17">
        <v>6.62</v>
      </c>
    </row>
    <row r="46" spans="1:8" x14ac:dyDescent="0.2">
      <c r="A46" s="25">
        <v>19</v>
      </c>
      <c r="B46" s="26" t="s">
        <v>53</v>
      </c>
      <c r="C46" s="26" t="s">
        <v>54</v>
      </c>
      <c r="D46" s="26" t="s">
        <v>23</v>
      </c>
      <c r="E46" s="27">
        <v>500</v>
      </c>
      <c r="F46" s="28">
        <v>506.51749999999998</v>
      </c>
      <c r="G46" s="29">
        <v>1.08241E-2</v>
      </c>
      <c r="H46" s="17">
        <v>6.7</v>
      </c>
    </row>
    <row r="47" spans="1:8" ht="25.5" x14ac:dyDescent="0.2">
      <c r="A47" s="25">
        <v>20</v>
      </c>
      <c r="B47" s="26" t="s">
        <v>57</v>
      </c>
      <c r="C47" s="26" t="s">
        <v>58</v>
      </c>
      <c r="D47" s="26" t="s">
        <v>32</v>
      </c>
      <c r="E47" s="27">
        <v>50</v>
      </c>
      <c r="F47" s="28">
        <v>503.6825</v>
      </c>
      <c r="G47" s="29">
        <v>1.076351E-2</v>
      </c>
      <c r="H47" s="17">
        <v>6.7138999999999998</v>
      </c>
    </row>
    <row r="48" spans="1:8" x14ac:dyDescent="0.2">
      <c r="A48" s="25">
        <v>21</v>
      </c>
      <c r="B48" s="26" t="s">
        <v>49</v>
      </c>
      <c r="C48" s="26" t="s">
        <v>50</v>
      </c>
      <c r="D48" s="26" t="s">
        <v>23</v>
      </c>
      <c r="E48" s="27">
        <v>500</v>
      </c>
      <c r="F48" s="28">
        <v>503.4255</v>
      </c>
      <c r="G48" s="29">
        <v>1.075802E-2</v>
      </c>
      <c r="H48" s="17">
        <v>6.7582000000000004</v>
      </c>
    </row>
    <row r="49" spans="1:8" x14ac:dyDescent="0.2">
      <c r="A49" s="18"/>
      <c r="B49" s="18"/>
      <c r="C49" s="19" t="s">
        <v>11</v>
      </c>
      <c r="D49" s="18"/>
      <c r="E49" s="18" t="s">
        <v>12</v>
      </c>
      <c r="F49" s="24">
        <v>28890.8295</v>
      </c>
      <c r="G49" s="21">
        <v>0.61738665000000004</v>
      </c>
      <c r="H49" s="17" t="s">
        <v>12</v>
      </c>
    </row>
    <row r="50" spans="1:8" x14ac:dyDescent="0.2">
      <c r="A50" s="18"/>
      <c r="B50" s="18"/>
      <c r="C50" s="22"/>
      <c r="D50" s="18"/>
      <c r="E50" s="18"/>
      <c r="F50" s="23"/>
      <c r="G50" s="23"/>
      <c r="H50" s="17" t="s">
        <v>12</v>
      </c>
    </row>
    <row r="51" spans="1:8" x14ac:dyDescent="0.2">
      <c r="A51" s="18"/>
      <c r="B51" s="18"/>
      <c r="C51" s="19" t="s">
        <v>73</v>
      </c>
      <c r="D51" s="18"/>
      <c r="E51" s="18"/>
      <c r="F51" s="18"/>
      <c r="G51" s="18"/>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74</v>
      </c>
      <c r="D54" s="18"/>
      <c r="E54" s="18"/>
      <c r="F54" s="18"/>
      <c r="G54" s="18"/>
      <c r="H54" s="17" t="s">
        <v>12</v>
      </c>
    </row>
    <row r="55" spans="1:8" ht="25.5" x14ac:dyDescent="0.2">
      <c r="A55" s="25">
        <v>1</v>
      </c>
      <c r="B55" s="26" t="s">
        <v>75</v>
      </c>
      <c r="C55" s="26" t="s">
        <v>76</v>
      </c>
      <c r="D55" s="26" t="s">
        <v>77</v>
      </c>
      <c r="E55" s="27">
        <v>4000000</v>
      </c>
      <c r="F55" s="28">
        <v>4144.0320000000002</v>
      </c>
      <c r="G55" s="29">
        <v>8.8556469999999998E-2</v>
      </c>
      <c r="H55" s="17">
        <v>6.3739999999999997</v>
      </c>
    </row>
    <row r="56" spans="1:8" x14ac:dyDescent="0.2">
      <c r="A56" s="25">
        <v>2</v>
      </c>
      <c r="B56" s="26" t="s">
        <v>78</v>
      </c>
      <c r="C56" s="26" t="s">
        <v>79</v>
      </c>
      <c r="D56" s="26" t="s">
        <v>77</v>
      </c>
      <c r="E56" s="27">
        <v>1000000</v>
      </c>
      <c r="F56" s="28">
        <v>1059.345</v>
      </c>
      <c r="G56" s="29">
        <v>2.2637819999999999E-2</v>
      </c>
      <c r="H56" s="17">
        <v>6.1252000000000004</v>
      </c>
    </row>
    <row r="57" spans="1:8" ht="25.5" x14ac:dyDescent="0.2">
      <c r="A57" s="25">
        <v>3</v>
      </c>
      <c r="B57" s="26" t="s">
        <v>80</v>
      </c>
      <c r="C57" s="26" t="s">
        <v>81</v>
      </c>
      <c r="D57" s="26" t="s">
        <v>77</v>
      </c>
      <c r="E57" s="27">
        <v>1000000</v>
      </c>
      <c r="F57" s="28">
        <v>1022.514</v>
      </c>
      <c r="G57" s="29">
        <v>2.185076E-2</v>
      </c>
      <c r="H57" s="17">
        <v>6.3390000000000004</v>
      </c>
    </row>
    <row r="58" spans="1:8" ht="25.5" x14ac:dyDescent="0.2">
      <c r="A58" s="25">
        <v>4</v>
      </c>
      <c r="B58" s="26" t="s">
        <v>148</v>
      </c>
      <c r="C58" s="26" t="s">
        <v>149</v>
      </c>
      <c r="D58" s="26" t="s">
        <v>77</v>
      </c>
      <c r="E58" s="27">
        <v>500000</v>
      </c>
      <c r="F58" s="28">
        <v>537.01</v>
      </c>
      <c r="G58" s="29">
        <v>1.147571E-2</v>
      </c>
      <c r="H58" s="17">
        <v>6.5197000000000003</v>
      </c>
    </row>
    <row r="59" spans="1:8" x14ac:dyDescent="0.2">
      <c r="A59" s="25">
        <v>5</v>
      </c>
      <c r="B59" s="26" t="s">
        <v>82</v>
      </c>
      <c r="C59" s="26" t="s">
        <v>83</v>
      </c>
      <c r="D59" s="26" t="s">
        <v>77</v>
      </c>
      <c r="E59" s="27">
        <v>500000</v>
      </c>
      <c r="F59" s="28">
        <v>532.04200000000003</v>
      </c>
      <c r="G59" s="29">
        <v>1.1369550000000001E-2</v>
      </c>
      <c r="H59" s="17">
        <v>6.9006999999999996</v>
      </c>
    </row>
    <row r="60" spans="1:8" ht="25.5" x14ac:dyDescent="0.2">
      <c r="A60" s="25">
        <v>6</v>
      </c>
      <c r="B60" s="26" t="s">
        <v>84</v>
      </c>
      <c r="C60" s="26" t="s">
        <v>85</v>
      </c>
      <c r="D60" s="26" t="s">
        <v>77</v>
      </c>
      <c r="E60" s="27">
        <v>500000</v>
      </c>
      <c r="F60" s="28">
        <v>505.166</v>
      </c>
      <c r="G60" s="29">
        <v>1.0795219999999999E-2</v>
      </c>
      <c r="H60" s="17">
        <v>6.94</v>
      </c>
    </row>
    <row r="61" spans="1:8" ht="25.5" x14ac:dyDescent="0.2">
      <c r="A61" s="25">
        <v>7</v>
      </c>
      <c r="B61" s="26" t="s">
        <v>92</v>
      </c>
      <c r="C61" s="26" t="s">
        <v>93</v>
      </c>
      <c r="D61" s="26" t="s">
        <v>77</v>
      </c>
      <c r="E61" s="27">
        <v>200000</v>
      </c>
      <c r="F61" s="28">
        <v>210.71719999999999</v>
      </c>
      <c r="G61" s="29">
        <v>4.5029500000000004E-3</v>
      </c>
      <c r="H61" s="17">
        <v>6.4016999999999999</v>
      </c>
    </row>
    <row r="62" spans="1:8" x14ac:dyDescent="0.2">
      <c r="A62" s="18"/>
      <c r="B62" s="18"/>
      <c r="C62" s="19" t="s">
        <v>11</v>
      </c>
      <c r="D62" s="18"/>
      <c r="E62" s="18" t="s">
        <v>12</v>
      </c>
      <c r="F62" s="24">
        <v>8010.8262000000004</v>
      </c>
      <c r="G62" s="21">
        <v>0.17118848</v>
      </c>
      <c r="H62" s="17" t="s">
        <v>12</v>
      </c>
    </row>
    <row r="63" spans="1:8" x14ac:dyDescent="0.2">
      <c r="A63" s="18"/>
      <c r="B63" s="18"/>
      <c r="C63" s="22"/>
      <c r="D63" s="18"/>
      <c r="E63" s="18"/>
      <c r="F63" s="23"/>
      <c r="G63" s="23"/>
      <c r="H63" s="17" t="s">
        <v>12</v>
      </c>
    </row>
    <row r="64" spans="1:8" x14ac:dyDescent="0.2">
      <c r="A64" s="18"/>
      <c r="B64" s="18"/>
      <c r="C64" s="19" t="s">
        <v>94</v>
      </c>
      <c r="D64" s="18"/>
      <c r="E64" s="18"/>
      <c r="F64" s="23"/>
      <c r="G64" s="23"/>
      <c r="H64" s="17" t="s">
        <v>12</v>
      </c>
    </row>
    <row r="65" spans="1:8" x14ac:dyDescent="0.2">
      <c r="A65" s="18"/>
      <c r="B65" s="18"/>
      <c r="C65" s="19" t="s">
        <v>11</v>
      </c>
      <c r="D65" s="18"/>
      <c r="E65" s="18" t="s">
        <v>12</v>
      </c>
      <c r="F65" s="20" t="s">
        <v>13</v>
      </c>
      <c r="G65" s="21">
        <v>0</v>
      </c>
      <c r="H65" s="17" t="s">
        <v>12</v>
      </c>
    </row>
    <row r="66" spans="1:8" x14ac:dyDescent="0.2">
      <c r="A66" s="18"/>
      <c r="B66" s="18"/>
      <c r="C66" s="22"/>
      <c r="D66" s="18"/>
      <c r="E66" s="18"/>
      <c r="F66" s="23"/>
      <c r="G66" s="23"/>
      <c r="H66" s="17" t="s">
        <v>12</v>
      </c>
    </row>
    <row r="67" spans="1:8" x14ac:dyDescent="0.2">
      <c r="A67" s="18"/>
      <c r="B67" s="18"/>
      <c r="C67" s="19" t="s">
        <v>95</v>
      </c>
      <c r="D67" s="18"/>
      <c r="E67" s="18"/>
      <c r="F67" s="24">
        <v>36901.655700000003</v>
      </c>
      <c r="G67" s="21">
        <v>0.78857513000000001</v>
      </c>
      <c r="H67" s="17" t="s">
        <v>12</v>
      </c>
    </row>
    <row r="68" spans="1:8" x14ac:dyDescent="0.2">
      <c r="A68" s="18"/>
      <c r="B68" s="18"/>
      <c r="C68" s="22"/>
      <c r="D68" s="18"/>
      <c r="E68" s="18"/>
      <c r="F68" s="23"/>
      <c r="G68" s="23"/>
      <c r="H68" s="17" t="s">
        <v>12</v>
      </c>
    </row>
    <row r="69" spans="1:8" x14ac:dyDescent="0.2">
      <c r="A69" s="18"/>
      <c r="B69" s="18"/>
      <c r="C69" s="19" t="s">
        <v>96</v>
      </c>
      <c r="D69" s="18"/>
      <c r="E69" s="18"/>
      <c r="F69" s="23"/>
      <c r="G69" s="23"/>
      <c r="H69" s="17" t="s">
        <v>12</v>
      </c>
    </row>
    <row r="70" spans="1:8" x14ac:dyDescent="0.2">
      <c r="A70" s="18"/>
      <c r="B70" s="18"/>
      <c r="C70" s="19" t="s">
        <v>97</v>
      </c>
      <c r="D70" s="18"/>
      <c r="E70" s="18"/>
      <c r="F70" s="23"/>
      <c r="G70" s="23"/>
      <c r="H70" s="17" t="s">
        <v>12</v>
      </c>
    </row>
    <row r="71" spans="1:8" x14ac:dyDescent="0.2">
      <c r="A71" s="25">
        <v>1</v>
      </c>
      <c r="B71" s="26" t="s">
        <v>150</v>
      </c>
      <c r="C71" s="26" t="s">
        <v>151</v>
      </c>
      <c r="D71" s="26" t="s">
        <v>152</v>
      </c>
      <c r="E71" s="27">
        <v>400</v>
      </c>
      <c r="F71" s="28">
        <v>1892.7159999999999</v>
      </c>
      <c r="G71" s="29">
        <v>4.0446660000000002E-2</v>
      </c>
      <c r="H71" s="17">
        <v>6.61</v>
      </c>
    </row>
    <row r="72" spans="1:8" x14ac:dyDescent="0.2">
      <c r="A72" s="25">
        <v>2</v>
      </c>
      <c r="B72" s="26" t="s">
        <v>153</v>
      </c>
      <c r="C72" s="26" t="s">
        <v>154</v>
      </c>
      <c r="D72" s="26" t="s">
        <v>152</v>
      </c>
      <c r="E72" s="27">
        <v>200</v>
      </c>
      <c r="F72" s="28">
        <v>995.71199999999999</v>
      </c>
      <c r="G72" s="29">
        <v>2.127801E-2</v>
      </c>
      <c r="H72" s="17">
        <v>6.5495999999999999</v>
      </c>
    </row>
    <row r="73" spans="1:8" x14ac:dyDescent="0.2">
      <c r="A73" s="25">
        <v>3</v>
      </c>
      <c r="B73" s="26" t="s">
        <v>155</v>
      </c>
      <c r="C73" s="26" t="s">
        <v>156</v>
      </c>
      <c r="D73" s="26" t="s">
        <v>152</v>
      </c>
      <c r="E73" s="27">
        <v>100</v>
      </c>
      <c r="F73" s="28">
        <v>477.03800000000001</v>
      </c>
      <c r="G73" s="29">
        <v>1.0194129999999999E-2</v>
      </c>
      <c r="H73" s="17">
        <v>6.6550000000000002</v>
      </c>
    </row>
    <row r="74" spans="1:8" x14ac:dyDescent="0.2">
      <c r="A74" s="25">
        <v>4</v>
      </c>
      <c r="B74" s="26" t="s">
        <v>157</v>
      </c>
      <c r="C74" s="26" t="s">
        <v>158</v>
      </c>
      <c r="D74" s="26" t="s">
        <v>152</v>
      </c>
      <c r="E74" s="27">
        <v>100</v>
      </c>
      <c r="F74" s="28">
        <v>473.64150000000001</v>
      </c>
      <c r="G74" s="29">
        <v>1.012155E-2</v>
      </c>
      <c r="H74" s="17">
        <v>6.5949999999999998</v>
      </c>
    </row>
    <row r="75" spans="1:8" x14ac:dyDescent="0.2">
      <c r="A75" s="18"/>
      <c r="B75" s="18"/>
      <c r="C75" s="19" t="s">
        <v>11</v>
      </c>
      <c r="D75" s="18"/>
      <c r="E75" s="18" t="s">
        <v>12</v>
      </c>
      <c r="F75" s="24">
        <v>3839.1075000000001</v>
      </c>
      <c r="G75" s="21">
        <v>8.2040349999999998E-2</v>
      </c>
      <c r="H75" s="17" t="s">
        <v>12</v>
      </c>
    </row>
    <row r="76" spans="1:8" x14ac:dyDescent="0.2">
      <c r="A76" s="18"/>
      <c r="B76" s="18"/>
      <c r="C76" s="22"/>
      <c r="D76" s="18"/>
      <c r="E76" s="18"/>
      <c r="F76" s="23"/>
      <c r="G76" s="23"/>
      <c r="H76" s="17" t="s">
        <v>12</v>
      </c>
    </row>
    <row r="77" spans="1:8" x14ac:dyDescent="0.2">
      <c r="A77" s="18"/>
      <c r="B77" s="18"/>
      <c r="C77" s="19" t="s">
        <v>98</v>
      </c>
      <c r="D77" s="18"/>
      <c r="E77" s="18"/>
      <c r="F77" s="23"/>
      <c r="G77" s="23"/>
      <c r="H77" s="17" t="s">
        <v>12</v>
      </c>
    </row>
    <row r="78" spans="1:8" x14ac:dyDescent="0.2">
      <c r="A78" s="18"/>
      <c r="B78" s="18"/>
      <c r="C78" s="19" t="s">
        <v>11</v>
      </c>
      <c r="D78" s="18"/>
      <c r="E78" s="18" t="s">
        <v>12</v>
      </c>
      <c r="F78" s="20" t="s">
        <v>13</v>
      </c>
      <c r="G78" s="21">
        <v>0</v>
      </c>
      <c r="H78" s="17" t="s">
        <v>12</v>
      </c>
    </row>
    <row r="79" spans="1:8" x14ac:dyDescent="0.2">
      <c r="A79" s="18"/>
      <c r="B79" s="18"/>
      <c r="C79" s="22"/>
      <c r="D79" s="18"/>
      <c r="E79" s="18"/>
      <c r="F79" s="23"/>
      <c r="G79" s="23"/>
      <c r="H79" s="17" t="s">
        <v>12</v>
      </c>
    </row>
    <row r="80" spans="1:8" x14ac:dyDescent="0.2">
      <c r="A80" s="18"/>
      <c r="B80" s="18"/>
      <c r="C80" s="19" t="s">
        <v>99</v>
      </c>
      <c r="D80" s="18"/>
      <c r="E80" s="18"/>
      <c r="F80" s="23"/>
      <c r="G80" s="23"/>
      <c r="H80" s="17" t="s">
        <v>12</v>
      </c>
    </row>
    <row r="81" spans="1:17" x14ac:dyDescent="0.2">
      <c r="A81" s="18"/>
      <c r="B81" s="18"/>
      <c r="C81" s="19" t="s">
        <v>11</v>
      </c>
      <c r="D81" s="18"/>
      <c r="E81" s="18" t="s">
        <v>12</v>
      </c>
      <c r="F81" s="20" t="s">
        <v>13</v>
      </c>
      <c r="G81" s="21">
        <v>0</v>
      </c>
      <c r="H81" s="17" t="s">
        <v>12</v>
      </c>
    </row>
    <row r="82" spans="1:17" x14ac:dyDescent="0.2">
      <c r="A82" s="18"/>
      <c r="B82" s="18"/>
      <c r="C82" s="22"/>
      <c r="D82" s="18"/>
      <c r="E82" s="18"/>
      <c r="F82" s="23"/>
      <c r="G82" s="23"/>
      <c r="H82" s="17" t="s">
        <v>12</v>
      </c>
    </row>
    <row r="83" spans="1:17" x14ac:dyDescent="0.2">
      <c r="A83" s="18"/>
      <c r="B83" s="18"/>
      <c r="C83" s="19" t="s">
        <v>100</v>
      </c>
      <c r="D83" s="18"/>
      <c r="E83" s="18"/>
      <c r="F83" s="23"/>
      <c r="G83" s="23"/>
      <c r="H83" s="17" t="s">
        <v>12</v>
      </c>
    </row>
    <row r="84" spans="1:17" x14ac:dyDescent="0.2">
      <c r="A84" s="25">
        <v>1</v>
      </c>
      <c r="B84" s="26"/>
      <c r="C84" s="26" t="s">
        <v>101</v>
      </c>
      <c r="D84" s="26"/>
      <c r="E84" s="30"/>
      <c r="F84" s="28">
        <v>4980.6677850079996</v>
      </c>
      <c r="G84" s="29">
        <v>0.10643508</v>
      </c>
      <c r="H84" s="17">
        <v>5.69</v>
      </c>
    </row>
    <row r="85" spans="1:17" x14ac:dyDescent="0.2">
      <c r="A85" s="18"/>
      <c r="B85" s="18"/>
      <c r="C85" s="19" t="s">
        <v>11</v>
      </c>
      <c r="D85" s="18"/>
      <c r="E85" s="18" t="s">
        <v>12</v>
      </c>
      <c r="F85" s="24">
        <v>4980.6677850079996</v>
      </c>
      <c r="G85" s="21">
        <v>0.10643508</v>
      </c>
      <c r="H85" s="17" t="s">
        <v>12</v>
      </c>
    </row>
    <row r="86" spans="1:17" x14ac:dyDescent="0.2">
      <c r="A86" s="18"/>
      <c r="B86" s="18"/>
      <c r="C86" s="22"/>
      <c r="D86" s="18"/>
      <c r="E86" s="18"/>
      <c r="F86" s="23"/>
      <c r="G86" s="23"/>
      <c r="H86" s="17" t="s">
        <v>12</v>
      </c>
    </row>
    <row r="87" spans="1:17" x14ac:dyDescent="0.2">
      <c r="A87" s="18"/>
      <c r="B87" s="18"/>
      <c r="C87" s="19" t="s">
        <v>102</v>
      </c>
      <c r="D87" s="18"/>
      <c r="E87" s="18"/>
      <c r="F87" s="24">
        <v>8819.7752850079996</v>
      </c>
      <c r="G87" s="21">
        <v>0.18847543</v>
      </c>
      <c r="H87" s="17" t="s">
        <v>12</v>
      </c>
    </row>
    <row r="88" spans="1:17" x14ac:dyDescent="0.2">
      <c r="A88" s="18"/>
      <c r="B88" s="18"/>
      <c r="C88" s="23"/>
      <c r="D88" s="18"/>
      <c r="E88" s="18"/>
      <c r="F88" s="18"/>
      <c r="G88" s="18"/>
      <c r="H88" s="17" t="s">
        <v>12</v>
      </c>
    </row>
    <row r="89" spans="1:17" x14ac:dyDescent="0.2">
      <c r="A89" s="18"/>
      <c r="B89" s="18"/>
      <c r="C89" s="19" t="s">
        <v>103</v>
      </c>
      <c r="D89" s="18"/>
      <c r="E89" s="18"/>
      <c r="F89" s="18"/>
      <c r="G89" s="18"/>
      <c r="H89" s="17" t="s">
        <v>12</v>
      </c>
    </row>
    <row r="90" spans="1:17" x14ac:dyDescent="0.2">
      <c r="A90" s="18"/>
      <c r="B90" s="18"/>
      <c r="C90" s="19" t="s">
        <v>104</v>
      </c>
      <c r="D90" s="18"/>
      <c r="E90" s="18"/>
      <c r="F90" s="18"/>
      <c r="G90" s="18"/>
      <c r="H90" s="17" t="s">
        <v>12</v>
      </c>
    </row>
    <row r="91" spans="1:17" x14ac:dyDescent="0.2">
      <c r="A91" s="18"/>
      <c r="B91" s="18"/>
      <c r="C91" s="19" t="s">
        <v>11</v>
      </c>
      <c r="D91" s="18"/>
      <c r="E91" s="18" t="s">
        <v>12</v>
      </c>
      <c r="F91" s="20" t="s">
        <v>13</v>
      </c>
      <c r="G91" s="21">
        <v>0</v>
      </c>
      <c r="H91" s="17" t="s">
        <v>12</v>
      </c>
    </row>
    <row r="92" spans="1:17" x14ac:dyDescent="0.2">
      <c r="A92" s="15"/>
      <c r="B92" s="15"/>
      <c r="C92" s="70"/>
      <c r="D92" s="15"/>
      <c r="E92" s="15"/>
      <c r="F92" s="40"/>
      <c r="G92" s="40"/>
      <c r="H92" s="71" t="s">
        <v>12</v>
      </c>
    </row>
    <row r="93" spans="1:17" x14ac:dyDescent="0.2">
      <c r="A93" s="15"/>
      <c r="B93" s="15"/>
      <c r="C93" s="16" t="s">
        <v>549</v>
      </c>
      <c r="D93" s="15"/>
      <c r="E93" s="15"/>
      <c r="F93" s="40"/>
      <c r="G93" s="40"/>
      <c r="H93" s="67"/>
      <c r="K93" s="51"/>
      <c r="L93" s="51"/>
      <c r="M93" s="51"/>
      <c r="N93" s="51"/>
      <c r="O93" s="72"/>
      <c r="P93" s="72"/>
      <c r="Q93" s="72"/>
    </row>
    <row r="94" spans="1:17" ht="25.5" x14ac:dyDescent="0.2">
      <c r="A94" s="64">
        <v>1</v>
      </c>
      <c r="B94" s="65" t="s">
        <v>105</v>
      </c>
      <c r="C94" s="65" t="s">
        <v>106</v>
      </c>
      <c r="D94" s="65"/>
      <c r="E94" s="73">
        <v>1138.2429999999999</v>
      </c>
      <c r="F94" s="67">
        <v>126.932617128</v>
      </c>
      <c r="G94" s="68">
        <v>2.7125000000000001E-3</v>
      </c>
      <c r="H94" s="71"/>
    </row>
    <row r="95" spans="1:17" x14ac:dyDescent="0.2">
      <c r="A95" s="15"/>
      <c r="B95" s="15"/>
      <c r="C95" s="16" t="s">
        <v>11</v>
      </c>
      <c r="D95" s="15"/>
      <c r="E95" s="15" t="s">
        <v>12</v>
      </c>
      <c r="F95" s="74">
        <f>SUM(F94)</f>
        <v>126.932617128</v>
      </c>
      <c r="G95" s="75">
        <f>SUM(G94)</f>
        <v>2.7125000000000001E-3</v>
      </c>
      <c r="H95" s="71" t="s">
        <v>12</v>
      </c>
    </row>
    <row r="96" spans="1:17" x14ac:dyDescent="0.2">
      <c r="A96" s="18"/>
      <c r="B96" s="18"/>
      <c r="C96" s="22"/>
      <c r="D96" s="18"/>
      <c r="E96" s="18"/>
      <c r="F96" s="23"/>
      <c r="G96" s="23"/>
      <c r="H96" s="17" t="s">
        <v>12</v>
      </c>
    </row>
    <row r="97" spans="1:8" x14ac:dyDescent="0.2">
      <c r="A97" s="18"/>
      <c r="B97" s="18"/>
      <c r="C97" s="19" t="s">
        <v>107</v>
      </c>
      <c r="D97" s="18"/>
      <c r="E97" s="18"/>
      <c r="F97" s="18"/>
      <c r="G97" s="18"/>
      <c r="H97" s="17" t="s">
        <v>12</v>
      </c>
    </row>
    <row r="98" spans="1:8" x14ac:dyDescent="0.2">
      <c r="A98" s="18"/>
      <c r="B98" s="18"/>
      <c r="C98" s="19" t="s">
        <v>108</v>
      </c>
      <c r="D98" s="18"/>
      <c r="E98" s="18"/>
      <c r="F98" s="18"/>
      <c r="G98" s="18"/>
      <c r="H98" s="17" t="s">
        <v>12</v>
      </c>
    </row>
    <row r="99" spans="1:8" x14ac:dyDescent="0.2">
      <c r="A99" s="18"/>
      <c r="B99" s="18"/>
      <c r="C99" s="19" t="s">
        <v>11</v>
      </c>
      <c r="D99" s="18"/>
      <c r="E99" s="18" t="s">
        <v>12</v>
      </c>
      <c r="F99" s="20" t="s">
        <v>13</v>
      </c>
      <c r="G99" s="21">
        <v>0</v>
      </c>
      <c r="H99" s="17" t="s">
        <v>12</v>
      </c>
    </row>
    <row r="100" spans="1:8" x14ac:dyDescent="0.2">
      <c r="A100" s="18"/>
      <c r="B100" s="18"/>
      <c r="C100" s="22"/>
      <c r="D100" s="18"/>
      <c r="E100" s="18"/>
      <c r="F100" s="23"/>
      <c r="G100" s="23"/>
      <c r="H100" s="17" t="s">
        <v>12</v>
      </c>
    </row>
    <row r="101" spans="1:8" x14ac:dyDescent="0.2">
      <c r="A101" s="18"/>
      <c r="B101" s="18"/>
      <c r="C101" s="19" t="s">
        <v>109</v>
      </c>
      <c r="D101" s="18"/>
      <c r="E101" s="18"/>
      <c r="F101" s="23"/>
      <c r="G101" s="23"/>
      <c r="H101" s="17" t="s">
        <v>12</v>
      </c>
    </row>
    <row r="102" spans="1:8" x14ac:dyDescent="0.2">
      <c r="A102" s="18"/>
      <c r="B102" s="18"/>
      <c r="C102" s="19" t="s">
        <v>11</v>
      </c>
      <c r="D102" s="18"/>
      <c r="E102" s="18" t="s">
        <v>12</v>
      </c>
      <c r="F102" s="20" t="s">
        <v>13</v>
      </c>
      <c r="G102" s="21">
        <v>0</v>
      </c>
      <c r="H102" s="17" t="s">
        <v>12</v>
      </c>
    </row>
    <row r="103" spans="1:8" x14ac:dyDescent="0.2">
      <c r="A103" s="18"/>
      <c r="B103" s="18"/>
      <c r="C103" s="22"/>
      <c r="D103" s="18"/>
      <c r="E103" s="18"/>
      <c r="F103" s="23"/>
      <c r="G103" s="23"/>
      <c r="H103" s="17" t="s">
        <v>12</v>
      </c>
    </row>
    <row r="104" spans="1:8" x14ac:dyDescent="0.2">
      <c r="A104" s="30"/>
      <c r="B104" s="26"/>
      <c r="C104" s="26" t="s">
        <v>110</v>
      </c>
      <c r="D104" s="26"/>
      <c r="E104" s="30"/>
      <c r="F104" s="28">
        <f>946.99553392-0.000286476001739502</f>
        <v>946.99524744399821</v>
      </c>
      <c r="G104" s="29">
        <f>F104/F105</f>
        <v>2.0236948080429085E-2</v>
      </c>
      <c r="H104" s="17" t="s">
        <v>12</v>
      </c>
    </row>
    <row r="105" spans="1:8" x14ac:dyDescent="0.2">
      <c r="A105" s="22"/>
      <c r="B105" s="22"/>
      <c r="C105" s="19" t="s">
        <v>111</v>
      </c>
      <c r="D105" s="23"/>
      <c r="E105" s="23"/>
      <c r="F105" s="24">
        <f>46795.359136056-0.000286476001739502</f>
        <v>46795.35884958</v>
      </c>
      <c r="G105" s="31">
        <v>1.0000000099999999</v>
      </c>
      <c r="H105" s="17" t="s">
        <v>12</v>
      </c>
    </row>
    <row r="106" spans="1:8" x14ac:dyDescent="0.2">
      <c r="A106" s="32"/>
      <c r="B106" s="32"/>
      <c r="C106" s="32"/>
      <c r="D106" s="33"/>
      <c r="E106" s="33"/>
      <c r="F106" s="33"/>
      <c r="G106" s="33"/>
    </row>
    <row r="107" spans="1:8" x14ac:dyDescent="0.2">
      <c r="A107" s="34"/>
      <c r="B107" s="148" t="s">
        <v>545</v>
      </c>
      <c r="C107" s="148"/>
      <c r="D107" s="148"/>
      <c r="E107" s="148"/>
      <c r="F107" s="148"/>
      <c r="G107" s="148"/>
      <c r="H107" s="148"/>
    </row>
    <row r="108" spans="1:8" x14ac:dyDescent="0.2">
      <c r="A108" s="34"/>
      <c r="B108" s="148" t="s">
        <v>546</v>
      </c>
      <c r="C108" s="148"/>
      <c r="D108" s="148"/>
      <c r="E108" s="148"/>
      <c r="F108" s="148"/>
      <c r="G108" s="148"/>
      <c r="H108" s="148"/>
    </row>
    <row r="109" spans="1:8" x14ac:dyDescent="0.2">
      <c r="A109" s="34"/>
      <c r="B109" s="148" t="s">
        <v>547</v>
      </c>
      <c r="C109" s="148"/>
      <c r="D109" s="148"/>
      <c r="E109" s="148"/>
      <c r="F109" s="148"/>
      <c r="G109" s="148"/>
      <c r="H109" s="148"/>
    </row>
    <row r="110" spans="1:8" x14ac:dyDescent="0.2">
      <c r="A110" s="36"/>
      <c r="B110" s="36"/>
      <c r="C110" s="36"/>
      <c r="D110" s="37"/>
      <c r="E110" s="37"/>
      <c r="F110" s="37"/>
      <c r="G110" s="37"/>
    </row>
    <row r="111" spans="1:8" x14ac:dyDescent="0.2">
      <c r="A111" s="34"/>
      <c r="B111" s="150" t="s">
        <v>112</v>
      </c>
      <c r="C111" s="151"/>
      <c r="D111" s="152"/>
      <c r="E111" s="38"/>
      <c r="F111" s="39"/>
      <c r="G111" s="39"/>
    </row>
    <row r="112" spans="1:8" x14ac:dyDescent="0.2">
      <c r="A112" s="34"/>
      <c r="B112" s="153" t="s">
        <v>113</v>
      </c>
      <c r="C112" s="154"/>
      <c r="D112" s="16" t="s">
        <v>114</v>
      </c>
      <c r="E112" s="38"/>
      <c r="F112" s="39"/>
      <c r="G112" s="39"/>
    </row>
    <row r="113" spans="1:15" x14ac:dyDescent="0.2">
      <c r="A113" s="34"/>
      <c r="B113" s="153" t="s">
        <v>115</v>
      </c>
      <c r="C113" s="154"/>
      <c r="D113" s="16" t="s">
        <v>114</v>
      </c>
      <c r="E113" s="38"/>
      <c r="F113" s="39"/>
      <c r="G113" s="39"/>
    </row>
    <row r="114" spans="1:15" x14ac:dyDescent="0.2">
      <c r="A114" s="34"/>
      <c r="B114" s="153" t="s">
        <v>116</v>
      </c>
      <c r="C114" s="154"/>
      <c r="D114" s="40" t="s">
        <v>12</v>
      </c>
      <c r="E114" s="38"/>
      <c r="F114" s="39"/>
      <c r="G114" s="39"/>
    </row>
    <row r="115" spans="1:15" x14ac:dyDescent="0.2">
      <c r="A115" s="41"/>
      <c r="B115" s="42" t="s">
        <v>12</v>
      </c>
      <c r="C115" s="42" t="s">
        <v>548</v>
      </c>
      <c r="D115" s="42" t="s">
        <v>117</v>
      </c>
      <c r="E115" s="41"/>
      <c r="F115" s="41"/>
      <c r="G115" s="41"/>
    </row>
    <row r="116" spans="1:15" x14ac:dyDescent="0.2">
      <c r="A116" s="41"/>
      <c r="B116" s="43" t="s">
        <v>118</v>
      </c>
      <c r="C116" s="44">
        <v>45777</v>
      </c>
      <c r="D116" s="44">
        <v>45792</v>
      </c>
      <c r="E116" s="41"/>
      <c r="F116" s="41"/>
      <c r="G116" s="41"/>
    </row>
    <row r="117" spans="1:15" x14ac:dyDescent="0.2">
      <c r="A117" s="45"/>
      <c r="B117" s="26" t="s">
        <v>119</v>
      </c>
      <c r="C117" s="46">
        <v>43.326799999999999</v>
      </c>
      <c r="D117" s="46">
        <v>43.515700000000002</v>
      </c>
      <c r="E117" s="45"/>
      <c r="F117" s="47"/>
      <c r="G117" s="48"/>
    </row>
    <row r="118" spans="1:15" x14ac:dyDescent="0.2">
      <c r="A118" s="45"/>
      <c r="B118" s="26" t="s">
        <v>159</v>
      </c>
      <c r="C118" s="46">
        <v>21.6751</v>
      </c>
      <c r="D118" s="46">
        <v>21.769600000000001</v>
      </c>
      <c r="E118" s="45"/>
      <c r="F118" s="47"/>
      <c r="G118" s="48"/>
    </row>
    <row r="119" spans="1:15" x14ac:dyDescent="0.2">
      <c r="A119" s="45"/>
      <c r="B119" s="26" t="s">
        <v>673</v>
      </c>
      <c r="C119" s="46">
        <v>11.7049</v>
      </c>
      <c r="D119" s="46">
        <v>11.756</v>
      </c>
      <c r="E119" s="45"/>
      <c r="F119" s="47"/>
      <c r="G119" s="48"/>
    </row>
    <row r="120" spans="1:15" x14ac:dyDescent="0.2">
      <c r="A120" s="45"/>
      <c r="B120" s="26" t="s">
        <v>120</v>
      </c>
      <c r="C120" s="46">
        <v>42.7301</v>
      </c>
      <c r="D120" s="46">
        <v>42.913899999999998</v>
      </c>
      <c r="E120" s="45"/>
      <c r="F120" s="47"/>
      <c r="G120" s="48"/>
    </row>
    <row r="121" spans="1:15" x14ac:dyDescent="0.2">
      <c r="A121" s="45"/>
      <c r="B121" s="26" t="s">
        <v>160</v>
      </c>
      <c r="C121" s="46">
        <v>21.547599999999999</v>
      </c>
      <c r="D121" s="46">
        <v>21.6403</v>
      </c>
      <c r="E121" s="45"/>
      <c r="F121" s="47"/>
      <c r="G121" s="48"/>
    </row>
    <row r="122" spans="1:15" ht="25.5" x14ac:dyDescent="0.2">
      <c r="A122" s="45"/>
      <c r="B122" s="26" t="s">
        <v>677</v>
      </c>
      <c r="C122" s="46">
        <v>11.7538</v>
      </c>
      <c r="D122" s="46">
        <v>11.8043</v>
      </c>
      <c r="E122" s="45"/>
      <c r="F122" s="47"/>
      <c r="G122" s="48"/>
    </row>
    <row r="123" spans="1:15" x14ac:dyDescent="0.2">
      <c r="A123" s="45"/>
      <c r="B123" s="45"/>
      <c r="C123" s="45"/>
      <c r="D123" s="45"/>
      <c r="E123" s="45"/>
      <c r="F123" s="45"/>
      <c r="G123" s="45"/>
    </row>
    <row r="124" spans="1:15" x14ac:dyDescent="0.2">
      <c r="A124" s="45"/>
      <c r="B124" s="155" t="s">
        <v>649</v>
      </c>
      <c r="C124" s="156"/>
      <c r="D124" s="19" t="s">
        <v>114</v>
      </c>
      <c r="E124" s="45"/>
      <c r="F124" s="45"/>
      <c r="G124" s="45"/>
    </row>
    <row r="125" spans="1:15" x14ac:dyDescent="0.2">
      <c r="A125" s="45"/>
      <c r="B125" s="49"/>
      <c r="C125" s="49"/>
      <c r="D125" s="49"/>
      <c r="E125" s="45"/>
      <c r="F125" s="45"/>
      <c r="G125" s="45"/>
    </row>
    <row r="126" spans="1:15" s="52" customFormat="1" x14ac:dyDescent="0.2">
      <c r="A126" s="89"/>
      <c r="B126" s="153" t="s">
        <v>562</v>
      </c>
      <c r="C126" s="154"/>
      <c r="D126" s="16" t="s">
        <v>114</v>
      </c>
      <c r="E126" s="89"/>
      <c r="F126" s="35"/>
      <c r="G126" s="89"/>
      <c r="I126"/>
      <c r="J126"/>
      <c r="K126" s="51"/>
      <c r="L126" s="51"/>
      <c r="M126" s="51"/>
      <c r="N126" s="51"/>
      <c r="O126" s="53"/>
    </row>
    <row r="127" spans="1:15" x14ac:dyDescent="0.2">
      <c r="A127" s="41"/>
      <c r="B127" s="153" t="s">
        <v>563</v>
      </c>
      <c r="C127" s="154"/>
      <c r="D127" s="16" t="s">
        <v>114</v>
      </c>
      <c r="E127" s="50"/>
      <c r="F127" s="41"/>
      <c r="G127" s="41"/>
    </row>
    <row r="128" spans="1:15" x14ac:dyDescent="0.2">
      <c r="A128" s="41"/>
      <c r="B128" s="153" t="s">
        <v>564</v>
      </c>
      <c r="C128" s="154"/>
      <c r="D128" s="16" t="s">
        <v>114</v>
      </c>
      <c r="E128" s="50"/>
      <c r="F128" s="41"/>
      <c r="G128" s="41"/>
    </row>
    <row r="129" spans="1:18" x14ac:dyDescent="0.2">
      <c r="A129" s="41"/>
      <c r="B129" s="153" t="s">
        <v>565</v>
      </c>
      <c r="C129" s="154"/>
      <c r="D129" s="16" t="s">
        <v>114</v>
      </c>
      <c r="E129" s="50"/>
      <c r="F129" s="41"/>
      <c r="G129" s="41"/>
    </row>
    <row r="130" spans="1:18" x14ac:dyDescent="0.2">
      <c r="A130" s="49"/>
      <c r="B130" s="49"/>
      <c r="C130" s="49"/>
      <c r="D130" s="49"/>
      <c r="E130" s="49"/>
      <c r="F130" s="49"/>
      <c r="G130" s="49"/>
    </row>
    <row r="131" spans="1:18" s="52" customFormat="1" x14ac:dyDescent="0.2">
      <c r="B131" s="157" t="s">
        <v>551</v>
      </c>
      <c r="C131" s="158"/>
      <c r="D131" s="159"/>
      <c r="I131"/>
      <c r="J131" s="14"/>
      <c r="K131" s="51"/>
      <c r="L131" s="51"/>
      <c r="M131" s="51"/>
      <c r="N131" s="51"/>
      <c r="O131" s="53"/>
    </row>
    <row r="132" spans="1:18" s="52" customFormat="1" ht="38.25" x14ac:dyDescent="0.2">
      <c r="B132" s="149" t="s">
        <v>552</v>
      </c>
      <c r="C132" s="149"/>
      <c r="D132" s="54" t="s">
        <v>123</v>
      </c>
      <c r="I132"/>
      <c r="J132" s="14"/>
      <c r="K132" s="51"/>
      <c r="L132" s="51"/>
      <c r="M132" s="51"/>
      <c r="N132" s="51"/>
      <c r="O132" s="53"/>
    </row>
    <row r="133" spans="1:18" s="52" customFormat="1" x14ac:dyDescent="0.2">
      <c r="B133" s="145" t="s">
        <v>553</v>
      </c>
      <c r="C133" s="145"/>
      <c r="D133" s="55"/>
      <c r="I133"/>
      <c r="J133" s="14"/>
      <c r="K133" s="51"/>
      <c r="L133" s="51"/>
      <c r="M133" s="51"/>
      <c r="N133" s="51"/>
      <c r="O133" s="53"/>
    </row>
    <row r="134" spans="1:18" s="52" customFormat="1" x14ac:dyDescent="0.2">
      <c r="B134" s="145"/>
      <c r="C134" s="145"/>
      <c r="D134" s="56"/>
      <c r="I134"/>
      <c r="J134"/>
      <c r="K134" s="51"/>
      <c r="L134" s="51"/>
      <c r="M134" s="51"/>
      <c r="N134" s="51"/>
      <c r="O134" s="53"/>
    </row>
    <row r="135" spans="1:18" s="52" customFormat="1" x14ac:dyDescent="0.2">
      <c r="B135" s="145" t="s">
        <v>554</v>
      </c>
      <c r="C135" s="145"/>
      <c r="D135" s="57">
        <v>6.5845905472078243</v>
      </c>
      <c r="I135"/>
      <c r="J135"/>
      <c r="K135" s="51"/>
      <c r="L135" s="51"/>
      <c r="M135" s="51"/>
      <c r="N135" s="51"/>
      <c r="O135" s="53"/>
    </row>
    <row r="136" spans="1:18" s="52" customFormat="1" x14ac:dyDescent="0.2">
      <c r="B136" s="145"/>
      <c r="C136" s="145"/>
      <c r="D136" s="56"/>
      <c r="I136"/>
      <c r="J136" s="14"/>
      <c r="K136" s="51"/>
      <c r="L136" s="51"/>
      <c r="M136" s="51"/>
      <c r="N136" s="51"/>
      <c r="O136" s="53"/>
    </row>
    <row r="137" spans="1:18" s="52" customFormat="1" x14ac:dyDescent="0.2">
      <c r="B137" s="145" t="s">
        <v>555</v>
      </c>
      <c r="C137" s="145"/>
      <c r="D137" s="57">
        <v>3.1458341897623421</v>
      </c>
      <c r="I137"/>
      <c r="J137" s="14"/>
      <c r="K137" s="51"/>
      <c r="L137" s="51"/>
      <c r="M137" s="51"/>
      <c r="N137" s="51"/>
      <c r="O137" s="53"/>
    </row>
    <row r="138" spans="1:18" s="52" customFormat="1" x14ac:dyDescent="0.2">
      <c r="B138" s="145" t="s">
        <v>556</v>
      </c>
      <c r="C138" s="145"/>
      <c r="D138" s="57">
        <v>4.2214773866506539</v>
      </c>
      <c r="I138"/>
      <c r="J138" s="14"/>
      <c r="K138" s="51"/>
      <c r="L138" s="51"/>
      <c r="M138" s="51"/>
      <c r="N138" s="51"/>
      <c r="O138" s="53"/>
    </row>
    <row r="139" spans="1:18" s="52" customFormat="1" x14ac:dyDescent="0.2">
      <c r="B139" s="145"/>
      <c r="C139" s="145"/>
      <c r="D139" s="56"/>
      <c r="I139"/>
      <c r="J139" s="14"/>
      <c r="K139" s="51"/>
      <c r="L139" s="51"/>
      <c r="M139" s="51"/>
      <c r="N139" s="51"/>
      <c r="O139" s="53"/>
      <c r="R139"/>
    </row>
    <row r="140" spans="1:18" s="52" customFormat="1" x14ac:dyDescent="0.2">
      <c r="B140" s="145" t="s">
        <v>557</v>
      </c>
      <c r="C140" s="145"/>
      <c r="D140" s="59" t="s">
        <v>680</v>
      </c>
      <c r="I140"/>
      <c r="J140" s="14"/>
      <c r="K140" s="51"/>
      <c r="L140" s="51"/>
      <c r="M140" s="51"/>
      <c r="N140" s="51"/>
      <c r="O140" s="53"/>
    </row>
    <row r="141" spans="1:18" s="52" customFormat="1" x14ac:dyDescent="0.2">
      <c r="B141" s="143" t="s">
        <v>558</v>
      </c>
      <c r="C141" s="146"/>
      <c r="D141" s="144"/>
      <c r="I141"/>
      <c r="J141" s="14"/>
      <c r="K141" s="51"/>
      <c r="L141" s="51"/>
      <c r="M141" s="51"/>
      <c r="N141" s="51"/>
      <c r="O141" s="53"/>
      <c r="R141"/>
    </row>
    <row r="142" spans="1:18" x14ac:dyDescent="0.2">
      <c r="J142" s="14"/>
    </row>
    <row r="143" spans="1:18" x14ac:dyDescent="0.2">
      <c r="B143" s="61" t="s">
        <v>559</v>
      </c>
    </row>
    <row r="144" spans="1:18" ht="5.25" customHeight="1" x14ac:dyDescent="0.2"/>
    <row r="145" spans="2:10" ht="168" customHeight="1" x14ac:dyDescent="0.2"/>
    <row r="148" spans="2:10" x14ac:dyDescent="0.2">
      <c r="B148" s="62" t="s">
        <v>560</v>
      </c>
      <c r="C148" s="63"/>
      <c r="D148" s="62"/>
    </row>
    <row r="149" spans="2:10" x14ac:dyDescent="0.2">
      <c r="B149" s="62" t="s">
        <v>566</v>
      </c>
      <c r="D149" s="62"/>
    </row>
    <row r="151" spans="2:10" x14ac:dyDescent="0.2">
      <c r="J151" s="14"/>
    </row>
    <row r="152" spans="2:10" x14ac:dyDescent="0.2">
      <c r="J152" s="14"/>
    </row>
    <row r="153" spans="2:10" x14ac:dyDescent="0.2">
      <c r="J153" s="14"/>
    </row>
    <row r="161" customFormat="1" x14ac:dyDescent="0.2"/>
    <row r="162" customFormat="1" x14ac:dyDescent="0.2"/>
    <row r="163" customFormat="1" x14ac:dyDescent="0.2"/>
    <row r="164" customFormat="1" x14ac:dyDescent="0.2"/>
    <row r="165" customFormat="1" x14ac:dyDescent="0.2"/>
    <row r="166" customFormat="1" x14ac:dyDescent="0.2"/>
    <row r="167" customFormat="1" x14ac:dyDescent="0.2"/>
  </sheetData>
  <mergeCells count="26">
    <mergeCell ref="B109:H109"/>
    <mergeCell ref="B111:D111"/>
    <mergeCell ref="B112:C112"/>
    <mergeCell ref="B113:C113"/>
    <mergeCell ref="B124:C124"/>
    <mergeCell ref="B114:C114"/>
    <mergeCell ref="A1:H1"/>
    <mergeCell ref="A3:H3"/>
    <mergeCell ref="A2:H2"/>
    <mergeCell ref="B107:H107"/>
    <mergeCell ref="B108:H108"/>
    <mergeCell ref="B126:C126"/>
    <mergeCell ref="B127:C127"/>
    <mergeCell ref="B131:D131"/>
    <mergeCell ref="B134:C134"/>
    <mergeCell ref="B128:C128"/>
    <mergeCell ref="B129:C129"/>
    <mergeCell ref="B132:C132"/>
    <mergeCell ref="B133:C133"/>
    <mergeCell ref="B140:C140"/>
    <mergeCell ref="B141:D141"/>
    <mergeCell ref="B135:C135"/>
    <mergeCell ref="B136:C136"/>
    <mergeCell ref="B137:C137"/>
    <mergeCell ref="B138:C138"/>
    <mergeCell ref="B139:C139"/>
  </mergeCells>
  <hyperlinks>
    <hyperlink ref="I1" location="Index!B2" display="Index" xr:uid="{D2F658E4-A7B6-429E-9B50-BBA2048CBDA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261E1-9677-438F-A368-82554E0212B6}">
  <sheetPr>
    <outlinePr summaryBelow="0" summaryRight="0"/>
  </sheetPr>
  <dimension ref="A1:Q167"/>
  <sheetViews>
    <sheetView showGridLines="0" workbookViewId="0">
      <selection activeCell="C81" sqref="C81"/>
    </sheetView>
  </sheetViews>
  <sheetFormatPr defaultRowHeight="12.75" x14ac:dyDescent="0.2"/>
  <cols>
    <col min="1" max="1" width="5.85546875" bestFit="1" customWidth="1"/>
    <col min="2" max="2" width="22" customWidth="1"/>
    <col min="3" max="3" width="39.140625" bestFit="1" customWidth="1"/>
    <col min="4" max="4" width="11.42578125" bestFit="1" customWidth="1"/>
    <col min="5" max="5" width="9.42578125" bestFit="1" customWidth="1"/>
    <col min="6" max="6" width="10.140625" bestFit="1" customWidth="1"/>
    <col min="7" max="7" width="14" bestFit="1" customWidth="1"/>
    <col min="8" max="8" width="10.28515625" customWidth="1"/>
    <col min="9" max="9" width="5.7109375" bestFit="1" customWidth="1"/>
  </cols>
  <sheetData>
    <row r="1" spans="1:9" ht="15" x14ac:dyDescent="0.2">
      <c r="A1" s="147" t="s">
        <v>0</v>
      </c>
      <c r="B1" s="147"/>
      <c r="C1" s="147"/>
      <c r="D1" s="147"/>
      <c r="E1" s="147"/>
      <c r="F1" s="147"/>
      <c r="G1" s="147"/>
      <c r="H1" s="147"/>
      <c r="I1" s="1" t="s">
        <v>543</v>
      </c>
    </row>
    <row r="2" spans="1:9" ht="15" x14ac:dyDescent="0.2">
      <c r="A2" s="147" t="s">
        <v>161</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73</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74</v>
      </c>
      <c r="D33" s="18"/>
      <c r="E33" s="18"/>
      <c r="F33" s="18"/>
      <c r="G33" s="18"/>
      <c r="H33" s="17" t="s">
        <v>12</v>
      </c>
    </row>
    <row r="34" spans="1:8" ht="25.5" x14ac:dyDescent="0.2">
      <c r="A34" s="25">
        <v>1</v>
      </c>
      <c r="B34" s="26" t="s">
        <v>162</v>
      </c>
      <c r="C34" s="26" t="s">
        <v>163</v>
      </c>
      <c r="D34" s="26" t="s">
        <v>77</v>
      </c>
      <c r="E34" s="27">
        <v>4000000</v>
      </c>
      <c r="F34" s="28">
        <v>4062.384</v>
      </c>
      <c r="G34" s="29">
        <v>2.8320990000000001E-2</v>
      </c>
      <c r="H34" s="17">
        <v>6.1311999999999998</v>
      </c>
    </row>
    <row r="35" spans="1:8" x14ac:dyDescent="0.2">
      <c r="A35" s="18"/>
      <c r="B35" s="18"/>
      <c r="C35" s="19" t="s">
        <v>11</v>
      </c>
      <c r="D35" s="18"/>
      <c r="E35" s="18" t="s">
        <v>12</v>
      </c>
      <c r="F35" s="24">
        <v>4062.384</v>
      </c>
      <c r="G35" s="21">
        <v>2.8320990000000001E-2</v>
      </c>
      <c r="H35" s="17" t="s">
        <v>12</v>
      </c>
    </row>
    <row r="36" spans="1:8" x14ac:dyDescent="0.2">
      <c r="A36" s="18"/>
      <c r="B36" s="18"/>
      <c r="C36" s="22"/>
      <c r="D36" s="18"/>
      <c r="E36" s="18"/>
      <c r="F36" s="23"/>
      <c r="G36" s="23"/>
      <c r="H36" s="17" t="s">
        <v>12</v>
      </c>
    </row>
    <row r="37" spans="1:8" x14ac:dyDescent="0.2">
      <c r="A37" s="18"/>
      <c r="B37" s="18"/>
      <c r="C37" s="19" t="s">
        <v>94</v>
      </c>
      <c r="D37" s="18"/>
      <c r="E37" s="18"/>
      <c r="F37" s="23"/>
      <c r="G37" s="23"/>
      <c r="H37" s="17" t="s">
        <v>12</v>
      </c>
    </row>
    <row r="38" spans="1:8" x14ac:dyDescent="0.2">
      <c r="A38" s="18"/>
      <c r="B38" s="18"/>
      <c r="C38" s="19" t="s">
        <v>11</v>
      </c>
      <c r="D38" s="18"/>
      <c r="E38" s="18" t="s">
        <v>12</v>
      </c>
      <c r="F38" s="20" t="s">
        <v>13</v>
      </c>
      <c r="G38" s="21">
        <v>0</v>
      </c>
      <c r="H38" s="17" t="s">
        <v>12</v>
      </c>
    </row>
    <row r="39" spans="1:8" x14ac:dyDescent="0.2">
      <c r="A39" s="18"/>
      <c r="B39" s="18"/>
      <c r="C39" s="22"/>
      <c r="D39" s="18"/>
      <c r="E39" s="18"/>
      <c r="F39" s="23"/>
      <c r="G39" s="23"/>
      <c r="H39" s="17" t="s">
        <v>12</v>
      </c>
    </row>
    <row r="40" spans="1:8" x14ac:dyDescent="0.2">
      <c r="A40" s="18"/>
      <c r="B40" s="18"/>
      <c r="C40" s="19" t="s">
        <v>95</v>
      </c>
      <c r="D40" s="18"/>
      <c r="E40" s="18"/>
      <c r="F40" s="24">
        <v>4062.384</v>
      </c>
      <c r="G40" s="21">
        <v>2.8320990000000001E-2</v>
      </c>
      <c r="H40" s="17" t="s">
        <v>12</v>
      </c>
    </row>
    <row r="41" spans="1:8" x14ac:dyDescent="0.2">
      <c r="A41" s="18"/>
      <c r="B41" s="18"/>
      <c r="C41" s="22"/>
      <c r="D41" s="18"/>
      <c r="E41" s="18"/>
      <c r="F41" s="23"/>
      <c r="G41" s="23"/>
      <c r="H41" s="17" t="s">
        <v>12</v>
      </c>
    </row>
    <row r="42" spans="1:8" x14ac:dyDescent="0.2">
      <c r="A42" s="18"/>
      <c r="B42" s="18"/>
      <c r="C42" s="19" t="s">
        <v>96</v>
      </c>
      <c r="D42" s="18"/>
      <c r="E42" s="18"/>
      <c r="F42" s="23"/>
      <c r="G42" s="23"/>
      <c r="H42" s="17" t="s">
        <v>12</v>
      </c>
    </row>
    <row r="43" spans="1:8" x14ac:dyDescent="0.2">
      <c r="A43" s="18"/>
      <c r="B43" s="18"/>
      <c r="C43" s="19" t="s">
        <v>97</v>
      </c>
      <c r="D43" s="18"/>
      <c r="E43" s="18"/>
      <c r="F43" s="23"/>
      <c r="G43" s="23"/>
      <c r="H43" s="17" t="s">
        <v>12</v>
      </c>
    </row>
    <row r="44" spans="1:8" x14ac:dyDescent="0.2">
      <c r="A44" s="25">
        <v>1</v>
      </c>
      <c r="B44" s="26" t="s">
        <v>164</v>
      </c>
      <c r="C44" s="26" t="s">
        <v>165</v>
      </c>
      <c r="D44" s="26" t="s">
        <v>152</v>
      </c>
      <c r="E44" s="27">
        <v>2500</v>
      </c>
      <c r="F44" s="28">
        <v>11844.15</v>
      </c>
      <c r="G44" s="29">
        <v>8.2571729999999996E-2</v>
      </c>
      <c r="H44" s="17">
        <v>6.6050000000000004</v>
      </c>
    </row>
    <row r="45" spans="1:8" x14ac:dyDescent="0.2">
      <c r="A45" s="25">
        <v>2</v>
      </c>
      <c r="B45" s="26" t="s">
        <v>157</v>
      </c>
      <c r="C45" s="26" t="s">
        <v>158</v>
      </c>
      <c r="D45" s="26" t="s">
        <v>152</v>
      </c>
      <c r="E45" s="27">
        <v>1700</v>
      </c>
      <c r="F45" s="28">
        <v>8051.9054999999998</v>
      </c>
      <c r="G45" s="29">
        <v>5.613402E-2</v>
      </c>
      <c r="H45" s="17">
        <v>6.5949999999999998</v>
      </c>
    </row>
    <row r="46" spans="1:8" x14ac:dyDescent="0.2">
      <c r="A46" s="25">
        <v>3</v>
      </c>
      <c r="B46" s="26" t="s">
        <v>166</v>
      </c>
      <c r="C46" s="26" t="s">
        <v>167</v>
      </c>
      <c r="D46" s="26" t="s">
        <v>152</v>
      </c>
      <c r="E46" s="27">
        <v>1500</v>
      </c>
      <c r="F46" s="28">
        <v>7096.32</v>
      </c>
      <c r="G46" s="29">
        <v>4.9472139999999998E-2</v>
      </c>
      <c r="H46" s="17">
        <v>6.6550000000000002</v>
      </c>
    </row>
    <row r="47" spans="1:8" x14ac:dyDescent="0.2">
      <c r="A47" s="25">
        <v>4</v>
      </c>
      <c r="B47" s="26" t="s">
        <v>168</v>
      </c>
      <c r="C47" s="26" t="s">
        <v>169</v>
      </c>
      <c r="D47" s="26" t="s">
        <v>152</v>
      </c>
      <c r="E47" s="27">
        <v>1100</v>
      </c>
      <c r="F47" s="28">
        <v>5247.9624999999996</v>
      </c>
      <c r="G47" s="29">
        <v>3.6586279999999999E-2</v>
      </c>
      <c r="H47" s="17">
        <v>6.64</v>
      </c>
    </row>
    <row r="48" spans="1:8" x14ac:dyDescent="0.2">
      <c r="A48" s="25">
        <v>5</v>
      </c>
      <c r="B48" s="26" t="s">
        <v>170</v>
      </c>
      <c r="C48" s="26" t="s">
        <v>171</v>
      </c>
      <c r="D48" s="26" t="s">
        <v>152</v>
      </c>
      <c r="E48" s="27">
        <v>1000</v>
      </c>
      <c r="F48" s="28">
        <v>4747.2449999999999</v>
      </c>
      <c r="G48" s="29">
        <v>3.3095510000000002E-2</v>
      </c>
      <c r="H48" s="17">
        <v>6.61</v>
      </c>
    </row>
    <row r="49" spans="1:8" x14ac:dyDescent="0.2">
      <c r="A49" s="25">
        <v>6</v>
      </c>
      <c r="B49" s="26" t="s">
        <v>172</v>
      </c>
      <c r="C49" s="26" t="s">
        <v>173</v>
      </c>
      <c r="D49" s="26" t="s">
        <v>152</v>
      </c>
      <c r="E49" s="27">
        <v>1000</v>
      </c>
      <c r="F49" s="28">
        <v>4737.4750000000004</v>
      </c>
      <c r="G49" s="29">
        <v>3.3027399999999998E-2</v>
      </c>
      <c r="H49" s="17">
        <v>6.61</v>
      </c>
    </row>
    <row r="50" spans="1:8" x14ac:dyDescent="0.2">
      <c r="A50" s="25">
        <v>7</v>
      </c>
      <c r="B50" s="26" t="s">
        <v>174</v>
      </c>
      <c r="C50" s="26" t="s">
        <v>175</v>
      </c>
      <c r="D50" s="26" t="s">
        <v>152</v>
      </c>
      <c r="E50" s="27">
        <v>1000</v>
      </c>
      <c r="F50" s="28">
        <v>4737.415</v>
      </c>
      <c r="G50" s="29">
        <v>3.3026979999999997E-2</v>
      </c>
      <c r="H50" s="17">
        <v>6.59</v>
      </c>
    </row>
    <row r="51" spans="1:8" ht="25.5" x14ac:dyDescent="0.2">
      <c r="A51" s="25">
        <v>8</v>
      </c>
      <c r="B51" s="26" t="s">
        <v>176</v>
      </c>
      <c r="C51" s="26" t="s">
        <v>177</v>
      </c>
      <c r="D51" s="26" t="s">
        <v>152</v>
      </c>
      <c r="E51" s="27">
        <v>900</v>
      </c>
      <c r="F51" s="28">
        <v>4256.4915000000001</v>
      </c>
      <c r="G51" s="29">
        <v>2.9674220000000001E-2</v>
      </c>
      <c r="H51" s="17">
        <v>6.6501000000000001</v>
      </c>
    </row>
    <row r="52" spans="1:8" ht="25.5" x14ac:dyDescent="0.2">
      <c r="A52" s="25">
        <v>9</v>
      </c>
      <c r="B52" s="26" t="s">
        <v>178</v>
      </c>
      <c r="C52" s="26" t="s">
        <v>179</v>
      </c>
      <c r="D52" s="26" t="s">
        <v>152</v>
      </c>
      <c r="E52" s="27">
        <v>800</v>
      </c>
      <c r="F52" s="28">
        <v>3801.2359999999999</v>
      </c>
      <c r="G52" s="29">
        <v>2.6500389999999999E-2</v>
      </c>
      <c r="H52" s="17">
        <v>6.65</v>
      </c>
    </row>
    <row r="53" spans="1:8" ht="25.5" x14ac:dyDescent="0.2">
      <c r="A53" s="25">
        <v>10</v>
      </c>
      <c r="B53" s="26" t="s">
        <v>180</v>
      </c>
      <c r="C53" s="26" t="s">
        <v>181</v>
      </c>
      <c r="D53" s="26" t="s">
        <v>152</v>
      </c>
      <c r="E53" s="27">
        <v>800</v>
      </c>
      <c r="F53" s="28">
        <v>3801.2359999999999</v>
      </c>
      <c r="G53" s="29">
        <v>2.6500389999999999E-2</v>
      </c>
      <c r="H53" s="17">
        <v>6.6501000000000001</v>
      </c>
    </row>
    <row r="54" spans="1:8" x14ac:dyDescent="0.2">
      <c r="A54" s="25">
        <v>11</v>
      </c>
      <c r="B54" s="26" t="s">
        <v>182</v>
      </c>
      <c r="C54" s="26" t="s">
        <v>183</v>
      </c>
      <c r="D54" s="26" t="s">
        <v>152</v>
      </c>
      <c r="E54" s="27">
        <v>600</v>
      </c>
      <c r="F54" s="28">
        <v>2941.2840000000001</v>
      </c>
      <c r="G54" s="29">
        <v>2.0505220000000001E-2</v>
      </c>
      <c r="H54" s="17">
        <v>6.6849999999999996</v>
      </c>
    </row>
    <row r="55" spans="1:8" x14ac:dyDescent="0.2">
      <c r="A55" s="25">
        <v>12</v>
      </c>
      <c r="B55" s="26" t="s">
        <v>184</v>
      </c>
      <c r="C55" s="26" t="s">
        <v>185</v>
      </c>
      <c r="D55" s="26" t="s">
        <v>152</v>
      </c>
      <c r="E55" s="27">
        <v>500</v>
      </c>
      <c r="F55" s="28">
        <v>2423.105</v>
      </c>
      <c r="G55" s="29">
        <v>1.6892730000000002E-2</v>
      </c>
      <c r="H55" s="17">
        <v>7.02</v>
      </c>
    </row>
    <row r="56" spans="1:8" x14ac:dyDescent="0.2">
      <c r="A56" s="25">
        <v>13</v>
      </c>
      <c r="B56" s="26" t="s">
        <v>186</v>
      </c>
      <c r="C56" s="26" t="s">
        <v>187</v>
      </c>
      <c r="D56" s="26" t="s">
        <v>152</v>
      </c>
      <c r="E56" s="27">
        <v>500</v>
      </c>
      <c r="F56" s="28">
        <v>2413.7950000000001</v>
      </c>
      <c r="G56" s="29">
        <v>1.682782E-2</v>
      </c>
      <c r="H56" s="17">
        <v>6.6509</v>
      </c>
    </row>
    <row r="57" spans="1:8" x14ac:dyDescent="0.2">
      <c r="A57" s="25">
        <v>14</v>
      </c>
      <c r="B57" s="26" t="s">
        <v>188</v>
      </c>
      <c r="C57" s="26" t="s">
        <v>189</v>
      </c>
      <c r="D57" s="26" t="s">
        <v>152</v>
      </c>
      <c r="E57" s="27">
        <v>500</v>
      </c>
      <c r="F57" s="28">
        <v>2407.5225</v>
      </c>
      <c r="G57" s="29">
        <v>1.6784090000000002E-2</v>
      </c>
      <c r="H57" s="17">
        <v>6.9066999999999998</v>
      </c>
    </row>
    <row r="58" spans="1:8" x14ac:dyDescent="0.2">
      <c r="A58" s="25">
        <v>15</v>
      </c>
      <c r="B58" s="26" t="s">
        <v>190</v>
      </c>
      <c r="C58" s="26" t="s">
        <v>191</v>
      </c>
      <c r="D58" s="26" t="s">
        <v>152</v>
      </c>
      <c r="E58" s="27">
        <v>500</v>
      </c>
      <c r="F58" s="28">
        <v>2385.9299999999998</v>
      </c>
      <c r="G58" s="29">
        <v>1.6633559999999999E-2</v>
      </c>
      <c r="H58" s="17">
        <v>6.61</v>
      </c>
    </row>
    <row r="59" spans="1:8" x14ac:dyDescent="0.2">
      <c r="A59" s="25">
        <v>16</v>
      </c>
      <c r="B59" s="26" t="s">
        <v>192</v>
      </c>
      <c r="C59" s="26" t="s">
        <v>193</v>
      </c>
      <c r="D59" s="26" t="s">
        <v>152</v>
      </c>
      <c r="E59" s="27">
        <v>500</v>
      </c>
      <c r="F59" s="28">
        <v>2380.5174999999999</v>
      </c>
      <c r="G59" s="29">
        <v>1.6595829999999999E-2</v>
      </c>
      <c r="H59" s="17">
        <v>6.59</v>
      </c>
    </row>
    <row r="60" spans="1:8" ht="25.5" x14ac:dyDescent="0.2">
      <c r="A60" s="25">
        <v>17</v>
      </c>
      <c r="B60" s="26" t="s">
        <v>194</v>
      </c>
      <c r="C60" s="26" t="s">
        <v>195</v>
      </c>
      <c r="D60" s="26" t="s">
        <v>152</v>
      </c>
      <c r="E60" s="27">
        <v>500</v>
      </c>
      <c r="F60" s="28">
        <v>2379.8525</v>
      </c>
      <c r="G60" s="29">
        <v>1.6591189999999999E-2</v>
      </c>
      <c r="H60" s="17">
        <v>6.6524999999999999</v>
      </c>
    </row>
    <row r="61" spans="1:8" x14ac:dyDescent="0.2">
      <c r="A61" s="25">
        <v>18</v>
      </c>
      <c r="B61" s="26" t="s">
        <v>196</v>
      </c>
      <c r="C61" s="26" t="s">
        <v>197</v>
      </c>
      <c r="D61" s="26" t="s">
        <v>152</v>
      </c>
      <c r="E61" s="27">
        <v>500</v>
      </c>
      <c r="F61" s="28">
        <v>2376.8375000000001</v>
      </c>
      <c r="G61" s="29">
        <v>1.6570169999999999E-2</v>
      </c>
      <c r="H61" s="17">
        <v>6.59</v>
      </c>
    </row>
    <row r="62" spans="1:8" x14ac:dyDescent="0.2">
      <c r="A62" s="25">
        <v>19</v>
      </c>
      <c r="B62" s="26" t="s">
        <v>198</v>
      </c>
      <c r="C62" s="26" t="s">
        <v>199</v>
      </c>
      <c r="D62" s="26" t="s">
        <v>152</v>
      </c>
      <c r="E62" s="27">
        <v>500</v>
      </c>
      <c r="F62" s="28">
        <v>2376.5075000000002</v>
      </c>
      <c r="G62" s="29">
        <v>1.6567869999999998E-2</v>
      </c>
      <c r="H62" s="17">
        <v>6.6550000000000002</v>
      </c>
    </row>
    <row r="63" spans="1:8" x14ac:dyDescent="0.2">
      <c r="A63" s="25">
        <v>20</v>
      </c>
      <c r="B63" s="26" t="s">
        <v>200</v>
      </c>
      <c r="C63" s="26" t="s">
        <v>201</v>
      </c>
      <c r="D63" s="26" t="s">
        <v>152</v>
      </c>
      <c r="E63" s="27">
        <v>500</v>
      </c>
      <c r="F63" s="28">
        <v>2375.6675</v>
      </c>
      <c r="G63" s="29">
        <v>1.6562009999999999E-2</v>
      </c>
      <c r="H63" s="17">
        <v>6.75</v>
      </c>
    </row>
    <row r="64" spans="1:8" x14ac:dyDescent="0.2">
      <c r="A64" s="25">
        <v>21</v>
      </c>
      <c r="B64" s="26" t="s">
        <v>202</v>
      </c>
      <c r="C64" s="26" t="s">
        <v>203</v>
      </c>
      <c r="D64" s="26" t="s">
        <v>152</v>
      </c>
      <c r="E64" s="27">
        <v>500</v>
      </c>
      <c r="F64" s="28">
        <v>2371.14</v>
      </c>
      <c r="G64" s="29">
        <v>1.6530449999999999E-2</v>
      </c>
      <c r="H64" s="17">
        <v>6.59</v>
      </c>
    </row>
    <row r="65" spans="1:8" x14ac:dyDescent="0.2">
      <c r="A65" s="25">
        <v>22</v>
      </c>
      <c r="B65" s="26" t="s">
        <v>204</v>
      </c>
      <c r="C65" s="26" t="s">
        <v>205</v>
      </c>
      <c r="D65" s="26" t="s">
        <v>152</v>
      </c>
      <c r="E65" s="27">
        <v>500</v>
      </c>
      <c r="F65" s="28">
        <v>2370.77</v>
      </c>
      <c r="G65" s="29">
        <v>1.652787E-2</v>
      </c>
      <c r="H65" s="17">
        <v>6.61</v>
      </c>
    </row>
    <row r="66" spans="1:8" x14ac:dyDescent="0.2">
      <c r="A66" s="25">
        <v>23</v>
      </c>
      <c r="B66" s="26" t="s">
        <v>155</v>
      </c>
      <c r="C66" s="26" t="s">
        <v>156</v>
      </c>
      <c r="D66" s="26" t="s">
        <v>152</v>
      </c>
      <c r="E66" s="27">
        <v>400</v>
      </c>
      <c r="F66" s="28">
        <v>1908.152</v>
      </c>
      <c r="G66" s="29">
        <v>1.3302720000000001E-2</v>
      </c>
      <c r="H66" s="17">
        <v>6.6550000000000002</v>
      </c>
    </row>
    <row r="67" spans="1:8" x14ac:dyDescent="0.2">
      <c r="A67" s="25">
        <v>24</v>
      </c>
      <c r="B67" s="26" t="s">
        <v>206</v>
      </c>
      <c r="C67" s="26" t="s">
        <v>207</v>
      </c>
      <c r="D67" s="26" t="s">
        <v>152</v>
      </c>
      <c r="E67" s="27">
        <v>300</v>
      </c>
      <c r="F67" s="28">
        <v>1433.5515</v>
      </c>
      <c r="G67" s="29">
        <v>9.9940299999999992E-3</v>
      </c>
      <c r="H67" s="17">
        <v>6.7138</v>
      </c>
    </row>
    <row r="68" spans="1:8" x14ac:dyDescent="0.2">
      <c r="A68" s="25">
        <v>25</v>
      </c>
      <c r="B68" s="26" t="s">
        <v>208</v>
      </c>
      <c r="C68" s="26" t="s">
        <v>209</v>
      </c>
      <c r="D68" s="26" t="s">
        <v>152</v>
      </c>
      <c r="E68" s="27">
        <v>300</v>
      </c>
      <c r="F68" s="28">
        <v>1426.6275000000001</v>
      </c>
      <c r="G68" s="29">
        <v>9.9457599999999997E-3</v>
      </c>
      <c r="H68" s="17">
        <v>6.61</v>
      </c>
    </row>
    <row r="69" spans="1:8" ht="25.5" x14ac:dyDescent="0.2">
      <c r="A69" s="25">
        <v>26</v>
      </c>
      <c r="B69" s="26" t="s">
        <v>210</v>
      </c>
      <c r="C69" s="26" t="s">
        <v>211</v>
      </c>
      <c r="D69" s="26" t="s">
        <v>152</v>
      </c>
      <c r="E69" s="27">
        <v>300</v>
      </c>
      <c r="F69" s="28">
        <v>1419.0764999999999</v>
      </c>
      <c r="G69" s="29">
        <v>9.89312E-3</v>
      </c>
      <c r="H69" s="17">
        <v>6.65</v>
      </c>
    </row>
    <row r="70" spans="1:8" ht="25.5" x14ac:dyDescent="0.2">
      <c r="A70" s="25">
        <v>27</v>
      </c>
      <c r="B70" s="26" t="s">
        <v>212</v>
      </c>
      <c r="C70" s="26" t="s">
        <v>213</v>
      </c>
      <c r="D70" s="26" t="s">
        <v>152</v>
      </c>
      <c r="E70" s="27">
        <v>200</v>
      </c>
      <c r="F70" s="28">
        <v>953.77700000000004</v>
      </c>
      <c r="G70" s="29">
        <v>6.6492799999999996E-3</v>
      </c>
      <c r="H70" s="17">
        <v>6.6501000000000001</v>
      </c>
    </row>
    <row r="71" spans="1:8" x14ac:dyDescent="0.2">
      <c r="A71" s="25">
        <v>28</v>
      </c>
      <c r="B71" s="26" t="s">
        <v>150</v>
      </c>
      <c r="C71" s="26" t="s">
        <v>151</v>
      </c>
      <c r="D71" s="26" t="s">
        <v>152</v>
      </c>
      <c r="E71" s="27">
        <v>100</v>
      </c>
      <c r="F71" s="28">
        <v>473.17899999999997</v>
      </c>
      <c r="G71" s="29">
        <v>3.2987799999999999E-3</v>
      </c>
      <c r="H71" s="17">
        <v>6.61</v>
      </c>
    </row>
    <row r="72" spans="1:8" x14ac:dyDescent="0.2">
      <c r="A72" s="18"/>
      <c r="B72" s="18"/>
      <c r="C72" s="19" t="s">
        <v>11</v>
      </c>
      <c r="D72" s="18"/>
      <c r="E72" s="18" t="s">
        <v>12</v>
      </c>
      <c r="F72" s="24">
        <v>95138.729000000007</v>
      </c>
      <c r="G72" s="21">
        <v>0.66326156000000003</v>
      </c>
      <c r="H72" s="17" t="s">
        <v>12</v>
      </c>
    </row>
    <row r="73" spans="1:8" x14ac:dyDescent="0.2">
      <c r="A73" s="18"/>
      <c r="B73" s="18"/>
      <c r="C73" s="22"/>
      <c r="D73" s="18"/>
      <c r="E73" s="18"/>
      <c r="F73" s="23"/>
      <c r="G73" s="23"/>
      <c r="H73" s="17" t="s">
        <v>12</v>
      </c>
    </row>
    <row r="74" spans="1:8" x14ac:dyDescent="0.2">
      <c r="A74" s="18"/>
      <c r="B74" s="18"/>
      <c r="C74" s="19" t="s">
        <v>98</v>
      </c>
      <c r="D74" s="18"/>
      <c r="E74" s="18"/>
      <c r="F74" s="23"/>
      <c r="G74" s="23"/>
      <c r="H74" s="17" t="s">
        <v>12</v>
      </c>
    </row>
    <row r="75" spans="1:8" x14ac:dyDescent="0.2">
      <c r="A75" s="25">
        <v>1</v>
      </c>
      <c r="B75" s="26" t="s">
        <v>214</v>
      </c>
      <c r="C75" s="26" t="s">
        <v>215</v>
      </c>
      <c r="D75" s="26" t="s">
        <v>152</v>
      </c>
      <c r="E75" s="27">
        <v>800</v>
      </c>
      <c r="F75" s="28">
        <v>3786.8519999999999</v>
      </c>
      <c r="G75" s="29">
        <v>2.6400119999999999E-2</v>
      </c>
      <c r="H75" s="17">
        <v>7.06</v>
      </c>
    </row>
    <row r="76" spans="1:8" ht="25.5" x14ac:dyDescent="0.2">
      <c r="A76" s="25">
        <v>2</v>
      </c>
      <c r="B76" s="26" t="s">
        <v>216</v>
      </c>
      <c r="C76" s="26" t="s">
        <v>217</v>
      </c>
      <c r="D76" s="26" t="s">
        <v>152</v>
      </c>
      <c r="E76" s="27">
        <v>700</v>
      </c>
      <c r="F76" s="28">
        <v>3351.9115000000002</v>
      </c>
      <c r="G76" s="29">
        <v>2.336792E-2</v>
      </c>
      <c r="H76" s="17">
        <v>7.33</v>
      </c>
    </row>
    <row r="77" spans="1:8" ht="25.5" x14ac:dyDescent="0.2">
      <c r="A77" s="25">
        <v>3</v>
      </c>
      <c r="B77" s="26" t="s">
        <v>218</v>
      </c>
      <c r="C77" s="26" t="s">
        <v>219</v>
      </c>
      <c r="D77" s="26" t="s">
        <v>152</v>
      </c>
      <c r="E77" s="27">
        <v>500</v>
      </c>
      <c r="F77" s="28">
        <v>2481.3049999999998</v>
      </c>
      <c r="G77" s="29">
        <v>1.729847E-2</v>
      </c>
      <c r="H77" s="17">
        <v>6.875</v>
      </c>
    </row>
    <row r="78" spans="1:8" x14ac:dyDescent="0.2">
      <c r="A78" s="25">
        <v>4</v>
      </c>
      <c r="B78" s="26" t="s">
        <v>220</v>
      </c>
      <c r="C78" s="26" t="s">
        <v>221</v>
      </c>
      <c r="D78" s="26" t="s">
        <v>152</v>
      </c>
      <c r="E78" s="27">
        <v>500</v>
      </c>
      <c r="F78" s="28">
        <v>2424.8049999999998</v>
      </c>
      <c r="G78" s="29">
        <v>1.6904579999999999E-2</v>
      </c>
      <c r="H78" s="17">
        <v>7.35</v>
      </c>
    </row>
    <row r="79" spans="1:8" x14ac:dyDescent="0.2">
      <c r="A79" s="25">
        <v>5</v>
      </c>
      <c r="B79" s="26" t="s">
        <v>222</v>
      </c>
      <c r="C79" s="26" t="s">
        <v>223</v>
      </c>
      <c r="D79" s="26" t="s">
        <v>152</v>
      </c>
      <c r="E79" s="27">
        <v>500</v>
      </c>
      <c r="F79" s="28">
        <v>2378.5349999999999</v>
      </c>
      <c r="G79" s="29">
        <v>1.6582E-2</v>
      </c>
      <c r="H79" s="17">
        <v>6.7050000000000001</v>
      </c>
    </row>
    <row r="80" spans="1:8" ht="25.5" x14ac:dyDescent="0.2">
      <c r="A80" s="25">
        <v>6</v>
      </c>
      <c r="B80" s="26" t="s">
        <v>224</v>
      </c>
      <c r="C80" s="26" t="s">
        <v>225</v>
      </c>
      <c r="D80" s="26" t="s">
        <v>152</v>
      </c>
      <c r="E80" s="27">
        <v>500</v>
      </c>
      <c r="F80" s="28">
        <v>2360.0425</v>
      </c>
      <c r="G80" s="29">
        <v>1.6453079999999998E-2</v>
      </c>
      <c r="H80" s="17">
        <v>7.5951000000000004</v>
      </c>
    </row>
    <row r="81" spans="1:8" x14ac:dyDescent="0.2">
      <c r="A81" s="25">
        <v>7</v>
      </c>
      <c r="B81" s="26" t="s">
        <v>226</v>
      </c>
      <c r="C81" s="26" t="s">
        <v>699</v>
      </c>
      <c r="D81" s="26" t="s">
        <v>152</v>
      </c>
      <c r="E81" s="27">
        <v>500</v>
      </c>
      <c r="F81" s="28">
        <v>2334.2575000000002</v>
      </c>
      <c r="G81" s="29">
        <v>1.6273320000000001E-2</v>
      </c>
      <c r="H81" s="17">
        <v>7.12</v>
      </c>
    </row>
    <row r="82" spans="1:8" ht="25.5" x14ac:dyDescent="0.2">
      <c r="A82" s="25">
        <v>8</v>
      </c>
      <c r="B82" s="26" t="s">
        <v>227</v>
      </c>
      <c r="C82" s="26" t="s">
        <v>228</v>
      </c>
      <c r="D82" s="26" t="s">
        <v>152</v>
      </c>
      <c r="E82" s="27">
        <v>300</v>
      </c>
      <c r="F82" s="28">
        <v>1490.9955</v>
      </c>
      <c r="G82" s="29">
        <v>1.0394509999999999E-2</v>
      </c>
      <c r="H82" s="17">
        <v>6.8888999999999996</v>
      </c>
    </row>
    <row r="83" spans="1:8" x14ac:dyDescent="0.2">
      <c r="A83" s="25">
        <v>9</v>
      </c>
      <c r="B83" s="26" t="s">
        <v>229</v>
      </c>
      <c r="C83" s="26" t="s">
        <v>230</v>
      </c>
      <c r="D83" s="26" t="s">
        <v>152</v>
      </c>
      <c r="E83" s="27">
        <v>300</v>
      </c>
      <c r="F83" s="28">
        <v>1464.153</v>
      </c>
      <c r="G83" s="29">
        <v>1.020737E-2</v>
      </c>
      <c r="H83" s="17">
        <v>6.77</v>
      </c>
    </row>
    <row r="84" spans="1:8" ht="25.5" x14ac:dyDescent="0.2">
      <c r="A84" s="25">
        <v>10</v>
      </c>
      <c r="B84" s="26" t="s">
        <v>231</v>
      </c>
      <c r="C84" s="26" t="s">
        <v>232</v>
      </c>
      <c r="D84" s="26" t="s">
        <v>152</v>
      </c>
      <c r="E84" s="27">
        <v>300</v>
      </c>
      <c r="F84" s="28">
        <v>1447.3185000000001</v>
      </c>
      <c r="G84" s="29">
        <v>1.009001E-2</v>
      </c>
      <c r="H84" s="17">
        <v>7.3</v>
      </c>
    </row>
    <row r="85" spans="1:8" ht="25.5" x14ac:dyDescent="0.2">
      <c r="A85" s="25">
        <v>11</v>
      </c>
      <c r="B85" s="26" t="s">
        <v>233</v>
      </c>
      <c r="C85" s="26" t="s">
        <v>234</v>
      </c>
      <c r="D85" s="26" t="s">
        <v>152</v>
      </c>
      <c r="E85" s="27">
        <v>300</v>
      </c>
      <c r="F85" s="28">
        <v>1421.3295000000001</v>
      </c>
      <c r="G85" s="29">
        <v>9.9088300000000004E-3</v>
      </c>
      <c r="H85" s="17">
        <v>7.5951000000000004</v>
      </c>
    </row>
    <row r="86" spans="1:8" ht="25.5" x14ac:dyDescent="0.2">
      <c r="A86" s="25">
        <v>12</v>
      </c>
      <c r="B86" s="26" t="s">
        <v>235</v>
      </c>
      <c r="C86" s="26" t="s">
        <v>236</v>
      </c>
      <c r="D86" s="26" t="s">
        <v>152</v>
      </c>
      <c r="E86" s="27">
        <v>200</v>
      </c>
      <c r="F86" s="28">
        <v>977.61500000000001</v>
      </c>
      <c r="G86" s="29">
        <v>6.8154599999999997E-3</v>
      </c>
      <c r="H86" s="17">
        <v>7.2050000000000001</v>
      </c>
    </row>
    <row r="87" spans="1:8" x14ac:dyDescent="0.2">
      <c r="A87" s="18"/>
      <c r="B87" s="18"/>
      <c r="C87" s="19" t="s">
        <v>11</v>
      </c>
      <c r="D87" s="18"/>
      <c r="E87" s="18" t="s">
        <v>12</v>
      </c>
      <c r="F87" s="24">
        <v>25919.119999999999</v>
      </c>
      <c r="G87" s="21">
        <v>0.18069567</v>
      </c>
      <c r="H87" s="17" t="s">
        <v>12</v>
      </c>
    </row>
    <row r="88" spans="1:8" x14ac:dyDescent="0.2">
      <c r="A88" s="18"/>
      <c r="B88" s="18"/>
      <c r="C88" s="22"/>
      <c r="D88" s="18"/>
      <c r="E88" s="18"/>
      <c r="F88" s="23"/>
      <c r="G88" s="23"/>
      <c r="H88" s="17" t="s">
        <v>12</v>
      </c>
    </row>
    <row r="89" spans="1:8" x14ac:dyDescent="0.2">
      <c r="A89" s="18"/>
      <c r="B89" s="18"/>
      <c r="C89" s="19" t="s">
        <v>99</v>
      </c>
      <c r="D89" s="18"/>
      <c r="E89" s="18"/>
      <c r="F89" s="23"/>
      <c r="G89" s="23"/>
      <c r="H89" s="17" t="s">
        <v>12</v>
      </c>
    </row>
    <row r="90" spans="1:8" x14ac:dyDescent="0.2">
      <c r="A90" s="25">
        <v>1</v>
      </c>
      <c r="B90" s="26" t="s">
        <v>237</v>
      </c>
      <c r="C90" s="26" t="s">
        <v>238</v>
      </c>
      <c r="D90" s="26" t="s">
        <v>77</v>
      </c>
      <c r="E90" s="27">
        <v>5000000</v>
      </c>
      <c r="F90" s="28">
        <v>4778.3900000000003</v>
      </c>
      <c r="G90" s="29">
        <v>3.3312639999999998E-2</v>
      </c>
      <c r="H90" s="17">
        <v>5.7774000000000001</v>
      </c>
    </row>
    <row r="91" spans="1:8" x14ac:dyDescent="0.2">
      <c r="A91" s="25">
        <v>2</v>
      </c>
      <c r="B91" s="26" t="s">
        <v>239</v>
      </c>
      <c r="C91" s="26" t="s">
        <v>240</v>
      </c>
      <c r="D91" s="26" t="s">
        <v>77</v>
      </c>
      <c r="E91" s="27">
        <v>2500000</v>
      </c>
      <c r="F91" s="28">
        <v>2393.65</v>
      </c>
      <c r="G91" s="29">
        <v>1.6687380000000002E-2</v>
      </c>
      <c r="H91" s="17">
        <v>5.7919</v>
      </c>
    </row>
    <row r="92" spans="1:8" x14ac:dyDescent="0.2">
      <c r="A92" s="25">
        <v>3</v>
      </c>
      <c r="B92" s="26" t="s">
        <v>241</v>
      </c>
      <c r="C92" s="26" t="s">
        <v>242</v>
      </c>
      <c r="D92" s="26" t="s">
        <v>77</v>
      </c>
      <c r="E92" s="27">
        <v>2500000</v>
      </c>
      <c r="F92" s="28">
        <v>2391.1075000000001</v>
      </c>
      <c r="G92" s="29">
        <v>1.6669650000000001E-2</v>
      </c>
      <c r="H92" s="17">
        <v>5.7919</v>
      </c>
    </row>
    <row r="93" spans="1:8" x14ac:dyDescent="0.2">
      <c r="A93" s="18"/>
      <c r="B93" s="18"/>
      <c r="C93" s="19" t="s">
        <v>11</v>
      </c>
      <c r="D93" s="18"/>
      <c r="E93" s="18" t="s">
        <v>12</v>
      </c>
      <c r="F93" s="24">
        <v>9563.1474999999991</v>
      </c>
      <c r="G93" s="21">
        <v>6.666967E-2</v>
      </c>
      <c r="H93" s="17" t="s">
        <v>12</v>
      </c>
    </row>
    <row r="94" spans="1:8" x14ac:dyDescent="0.2">
      <c r="A94" s="18"/>
      <c r="B94" s="18"/>
      <c r="C94" s="22"/>
      <c r="D94" s="18"/>
      <c r="E94" s="18"/>
      <c r="F94" s="23"/>
      <c r="G94" s="23"/>
      <c r="H94" s="17" t="s">
        <v>12</v>
      </c>
    </row>
    <row r="95" spans="1:8" x14ac:dyDescent="0.2">
      <c r="A95" s="18"/>
      <c r="B95" s="18"/>
      <c r="C95" s="19" t="s">
        <v>100</v>
      </c>
      <c r="D95" s="18"/>
      <c r="E95" s="18"/>
      <c r="F95" s="23"/>
      <c r="G95" s="23"/>
      <c r="H95" s="17" t="s">
        <v>12</v>
      </c>
    </row>
    <row r="96" spans="1:8" x14ac:dyDescent="0.2">
      <c r="A96" s="25">
        <v>1</v>
      </c>
      <c r="B96" s="26"/>
      <c r="C96" s="26" t="s">
        <v>101</v>
      </c>
      <c r="D96" s="26"/>
      <c r="E96" s="30"/>
      <c r="F96" s="28">
        <v>11779.54426796</v>
      </c>
      <c r="G96" s="29">
        <v>8.2121330000000006E-2</v>
      </c>
      <c r="H96" s="17">
        <v>5.69</v>
      </c>
    </row>
    <row r="97" spans="1:17" x14ac:dyDescent="0.2">
      <c r="A97" s="18"/>
      <c r="B97" s="18"/>
      <c r="C97" s="19" t="s">
        <v>11</v>
      </c>
      <c r="D97" s="18"/>
      <c r="E97" s="18" t="s">
        <v>12</v>
      </c>
      <c r="F97" s="24">
        <v>11779.54426796</v>
      </c>
      <c r="G97" s="21">
        <v>8.2121330000000006E-2</v>
      </c>
      <c r="H97" s="17" t="s">
        <v>12</v>
      </c>
    </row>
    <row r="98" spans="1:17" x14ac:dyDescent="0.2">
      <c r="A98" s="18"/>
      <c r="B98" s="18"/>
      <c r="C98" s="22"/>
      <c r="D98" s="18"/>
      <c r="E98" s="18"/>
      <c r="F98" s="23"/>
      <c r="G98" s="23"/>
      <c r="H98" s="17" t="s">
        <v>12</v>
      </c>
    </row>
    <row r="99" spans="1:17" x14ac:dyDescent="0.2">
      <c r="A99" s="18"/>
      <c r="B99" s="18"/>
      <c r="C99" s="19" t="s">
        <v>102</v>
      </c>
      <c r="D99" s="18"/>
      <c r="E99" s="18"/>
      <c r="F99" s="24">
        <v>142400.54076795999</v>
      </c>
      <c r="G99" s="21">
        <v>0.99274823000000001</v>
      </c>
      <c r="H99" s="17" t="s">
        <v>12</v>
      </c>
    </row>
    <row r="100" spans="1:17" x14ac:dyDescent="0.2">
      <c r="A100" s="18"/>
      <c r="B100" s="18"/>
      <c r="C100" s="23"/>
      <c r="D100" s="18"/>
      <c r="E100" s="18"/>
      <c r="F100" s="18"/>
      <c r="G100" s="18"/>
      <c r="H100" s="17" t="s">
        <v>12</v>
      </c>
    </row>
    <row r="101" spans="1:17" x14ac:dyDescent="0.2">
      <c r="A101" s="18"/>
      <c r="B101" s="18"/>
      <c r="C101" s="19" t="s">
        <v>103</v>
      </c>
      <c r="D101" s="18"/>
      <c r="E101" s="18"/>
      <c r="F101" s="18"/>
      <c r="G101" s="18"/>
      <c r="H101" s="17" t="s">
        <v>12</v>
      </c>
    </row>
    <row r="102" spans="1:17" x14ac:dyDescent="0.2">
      <c r="A102" s="18"/>
      <c r="B102" s="18"/>
      <c r="C102" s="19" t="s">
        <v>104</v>
      </c>
      <c r="D102" s="18"/>
      <c r="E102" s="18"/>
      <c r="F102" s="18"/>
      <c r="G102" s="18"/>
      <c r="H102" s="17" t="s">
        <v>12</v>
      </c>
    </row>
    <row r="103" spans="1:17" x14ac:dyDescent="0.2">
      <c r="A103" s="18"/>
      <c r="B103" s="18"/>
      <c r="C103" s="19" t="s">
        <v>11</v>
      </c>
      <c r="D103" s="18"/>
      <c r="E103" s="18" t="s">
        <v>12</v>
      </c>
      <c r="F103" s="20" t="s">
        <v>13</v>
      </c>
      <c r="G103" s="21">
        <v>0</v>
      </c>
      <c r="H103" s="17" t="s">
        <v>12</v>
      </c>
    </row>
    <row r="104" spans="1:17" x14ac:dyDescent="0.2">
      <c r="A104" s="15"/>
      <c r="B104" s="15"/>
      <c r="C104" s="70"/>
      <c r="D104" s="15"/>
      <c r="E104" s="15"/>
      <c r="F104" s="40"/>
      <c r="G104" s="40"/>
      <c r="H104" s="71" t="s">
        <v>12</v>
      </c>
    </row>
    <row r="105" spans="1:17" x14ac:dyDescent="0.2">
      <c r="A105" s="15"/>
      <c r="B105" s="15"/>
      <c r="C105" s="16" t="s">
        <v>549</v>
      </c>
      <c r="D105" s="15"/>
      <c r="E105" s="15"/>
      <c r="F105" s="40"/>
      <c r="G105" s="40"/>
      <c r="H105" s="67"/>
      <c r="K105" s="51"/>
      <c r="L105" s="51"/>
      <c r="M105" s="51"/>
      <c r="N105" s="51"/>
      <c r="O105" s="72"/>
      <c r="P105" s="72"/>
      <c r="Q105" s="72"/>
    </row>
    <row r="106" spans="1:17" ht="25.5" x14ac:dyDescent="0.2">
      <c r="A106" s="64">
        <v>1</v>
      </c>
      <c r="B106" s="65" t="s">
        <v>105</v>
      </c>
      <c r="C106" s="65" t="s">
        <v>106</v>
      </c>
      <c r="D106" s="65"/>
      <c r="E106" s="73">
        <v>1363.741</v>
      </c>
      <c r="F106" s="67">
        <v>152.079313657</v>
      </c>
      <c r="G106" s="68">
        <v>1.06022E-3</v>
      </c>
      <c r="H106" s="71"/>
    </row>
    <row r="107" spans="1:17" x14ac:dyDescent="0.2">
      <c r="A107" s="15"/>
      <c r="B107" s="15"/>
      <c r="C107" s="16" t="s">
        <v>11</v>
      </c>
      <c r="D107" s="15"/>
      <c r="E107" s="15" t="s">
        <v>12</v>
      </c>
      <c r="F107" s="74">
        <f>SUM(F106)</f>
        <v>152.079313657</v>
      </c>
      <c r="G107" s="75">
        <f>SUM(G106)</f>
        <v>1.06022E-3</v>
      </c>
      <c r="H107" s="71" t="s">
        <v>12</v>
      </c>
    </row>
    <row r="108" spans="1:17" x14ac:dyDescent="0.2">
      <c r="A108" s="18"/>
      <c r="B108" s="18"/>
      <c r="C108" s="22"/>
      <c r="D108" s="18"/>
      <c r="E108" s="18"/>
      <c r="F108" s="23"/>
      <c r="G108" s="23"/>
      <c r="H108" s="17" t="s">
        <v>12</v>
      </c>
    </row>
    <row r="109" spans="1:17" x14ac:dyDescent="0.2">
      <c r="A109" s="18"/>
      <c r="B109" s="18"/>
      <c r="C109" s="19" t="s">
        <v>107</v>
      </c>
      <c r="D109" s="18"/>
      <c r="E109" s="18"/>
      <c r="F109" s="18"/>
      <c r="G109" s="18"/>
      <c r="H109" s="17" t="s">
        <v>12</v>
      </c>
    </row>
    <row r="110" spans="1:17" x14ac:dyDescent="0.2">
      <c r="A110" s="18"/>
      <c r="B110" s="18"/>
      <c r="C110" s="19" t="s">
        <v>108</v>
      </c>
      <c r="D110" s="18"/>
      <c r="E110" s="18"/>
      <c r="F110" s="18"/>
      <c r="G110" s="18"/>
      <c r="H110" s="17" t="s">
        <v>12</v>
      </c>
    </row>
    <row r="111" spans="1:17" x14ac:dyDescent="0.2">
      <c r="A111" s="18"/>
      <c r="B111" s="18"/>
      <c r="C111" s="19" t="s">
        <v>11</v>
      </c>
      <c r="D111" s="18"/>
      <c r="E111" s="18" t="s">
        <v>12</v>
      </c>
      <c r="F111" s="20" t="s">
        <v>13</v>
      </c>
      <c r="G111" s="21">
        <v>0</v>
      </c>
      <c r="H111" s="17" t="s">
        <v>12</v>
      </c>
    </row>
    <row r="112" spans="1:17" x14ac:dyDescent="0.2">
      <c r="A112" s="18"/>
      <c r="B112" s="18"/>
      <c r="C112" s="22"/>
      <c r="D112" s="18"/>
      <c r="E112" s="18"/>
      <c r="F112" s="23"/>
      <c r="G112" s="23"/>
      <c r="H112" s="17" t="s">
        <v>12</v>
      </c>
    </row>
    <row r="113" spans="1:8" x14ac:dyDescent="0.2">
      <c r="A113" s="18"/>
      <c r="B113" s="18"/>
      <c r="C113" s="19" t="s">
        <v>109</v>
      </c>
      <c r="D113" s="18"/>
      <c r="E113" s="18"/>
      <c r="F113" s="23"/>
      <c r="G113" s="23"/>
      <c r="H113" s="17" t="s">
        <v>12</v>
      </c>
    </row>
    <row r="114" spans="1:8" x14ac:dyDescent="0.2">
      <c r="A114" s="18"/>
      <c r="B114" s="18"/>
      <c r="C114" s="19" t="s">
        <v>11</v>
      </c>
      <c r="D114" s="18"/>
      <c r="E114" s="18" t="s">
        <v>12</v>
      </c>
      <c r="F114" s="20" t="s">
        <v>13</v>
      </c>
      <c r="G114" s="21">
        <v>0</v>
      </c>
      <c r="H114" s="17" t="s">
        <v>12</v>
      </c>
    </row>
    <row r="115" spans="1:8" x14ac:dyDescent="0.2">
      <c r="A115" s="18"/>
      <c r="B115" s="26"/>
      <c r="C115" s="26"/>
      <c r="D115" s="19"/>
      <c r="E115" s="18"/>
      <c r="F115" s="26"/>
      <c r="G115" s="30"/>
      <c r="H115" s="17" t="s">
        <v>12</v>
      </c>
    </row>
    <row r="116" spans="1:8" x14ac:dyDescent="0.2">
      <c r="A116" s="30"/>
      <c r="B116" s="26"/>
      <c r="C116" s="26" t="s">
        <v>110</v>
      </c>
      <c r="D116" s="26"/>
      <c r="E116" s="30"/>
      <c r="F116" s="28">
        <f>-3174.26258436-0.0000599269866943359</f>
        <v>-3174.2626442869864</v>
      </c>
      <c r="G116" s="29">
        <v>-2.212944E-2</v>
      </c>
      <c r="H116" s="17" t="s">
        <v>12</v>
      </c>
    </row>
    <row r="117" spans="1:8" x14ac:dyDescent="0.2">
      <c r="A117" s="22"/>
      <c r="B117" s="22"/>
      <c r="C117" s="19" t="s">
        <v>111</v>
      </c>
      <c r="D117" s="23"/>
      <c r="E117" s="23"/>
      <c r="F117" s="24">
        <f>143440.741497257-0.0000599269866943359</f>
        <v>143440.74143733</v>
      </c>
      <c r="G117" s="31">
        <v>1</v>
      </c>
      <c r="H117" s="17" t="s">
        <v>12</v>
      </c>
    </row>
    <row r="118" spans="1:8" x14ac:dyDescent="0.2">
      <c r="A118" s="32"/>
      <c r="B118" s="32"/>
      <c r="C118" s="32"/>
      <c r="D118" s="33"/>
      <c r="E118" s="33"/>
      <c r="F118" s="33"/>
      <c r="G118" s="33"/>
    </row>
    <row r="119" spans="1:8" x14ac:dyDescent="0.2">
      <c r="A119" s="34"/>
      <c r="B119" s="148" t="s">
        <v>545</v>
      </c>
      <c r="C119" s="148"/>
      <c r="D119" s="148"/>
      <c r="E119" s="148"/>
      <c r="F119" s="148"/>
      <c r="G119" s="148"/>
      <c r="H119" s="148"/>
    </row>
    <row r="120" spans="1:8" x14ac:dyDescent="0.2">
      <c r="A120" s="34"/>
      <c r="B120" s="148" t="s">
        <v>546</v>
      </c>
      <c r="C120" s="148"/>
      <c r="D120" s="148"/>
      <c r="E120" s="148"/>
      <c r="F120" s="148"/>
      <c r="G120" s="148"/>
      <c r="H120" s="148"/>
    </row>
    <row r="121" spans="1:8" x14ac:dyDescent="0.2">
      <c r="A121" s="34"/>
      <c r="B121" s="148" t="s">
        <v>547</v>
      </c>
      <c r="C121" s="148"/>
      <c r="D121" s="148"/>
      <c r="E121" s="148"/>
      <c r="F121" s="148"/>
      <c r="G121" s="148"/>
      <c r="H121" s="148"/>
    </row>
    <row r="122" spans="1:8" x14ac:dyDescent="0.2">
      <c r="A122" s="142"/>
      <c r="B122" s="160" t="s">
        <v>672</v>
      </c>
      <c r="C122" s="161"/>
      <c r="D122" s="161"/>
      <c r="E122" s="161"/>
      <c r="F122" s="161"/>
      <c r="G122" s="161"/>
      <c r="H122" s="161"/>
    </row>
    <row r="123" spans="1:8" x14ac:dyDescent="0.2">
      <c r="A123" s="36"/>
      <c r="B123" s="36"/>
      <c r="C123" s="36"/>
      <c r="D123" s="37"/>
      <c r="E123" s="37"/>
      <c r="F123" s="37"/>
      <c r="G123" s="37"/>
    </row>
    <row r="124" spans="1:8" x14ac:dyDescent="0.2">
      <c r="A124" s="34"/>
      <c r="B124" s="150" t="s">
        <v>112</v>
      </c>
      <c r="C124" s="151"/>
      <c r="D124" s="152"/>
      <c r="E124" s="38"/>
      <c r="F124" s="39"/>
      <c r="G124" s="39"/>
    </row>
    <row r="125" spans="1:8" x14ac:dyDescent="0.2">
      <c r="A125" s="34"/>
      <c r="B125" s="153" t="s">
        <v>113</v>
      </c>
      <c r="C125" s="154"/>
      <c r="D125" s="16" t="s">
        <v>114</v>
      </c>
      <c r="E125" s="38"/>
      <c r="F125" s="39"/>
      <c r="G125" s="39"/>
    </row>
    <row r="126" spans="1:8" x14ac:dyDescent="0.2">
      <c r="A126" s="34"/>
      <c r="B126" s="153" t="s">
        <v>115</v>
      </c>
      <c r="C126" s="154"/>
      <c r="D126" s="16" t="s">
        <v>114</v>
      </c>
      <c r="E126" s="38"/>
      <c r="F126" s="39"/>
      <c r="G126" s="39"/>
    </row>
    <row r="127" spans="1:8" x14ac:dyDescent="0.2">
      <c r="A127" s="34"/>
      <c r="B127" s="153" t="s">
        <v>116</v>
      </c>
      <c r="C127" s="154"/>
      <c r="D127" s="40" t="s">
        <v>12</v>
      </c>
      <c r="E127" s="38"/>
      <c r="F127" s="39"/>
      <c r="G127" s="39"/>
    </row>
    <row r="128" spans="1:8" x14ac:dyDescent="0.2">
      <c r="A128" s="41"/>
      <c r="B128" s="42" t="s">
        <v>12</v>
      </c>
      <c r="C128" s="42" t="s">
        <v>548</v>
      </c>
      <c r="D128" s="42" t="s">
        <v>117</v>
      </c>
      <c r="E128" s="41"/>
      <c r="F128" s="41"/>
      <c r="G128" s="41"/>
    </row>
    <row r="129" spans="1:14" x14ac:dyDescent="0.2">
      <c r="A129" s="41"/>
      <c r="B129" s="43" t="s">
        <v>118</v>
      </c>
      <c r="C129" s="44">
        <v>45777</v>
      </c>
      <c r="D129" s="44">
        <v>45792</v>
      </c>
      <c r="E129" s="41"/>
      <c r="F129" s="41"/>
      <c r="G129" s="41"/>
    </row>
    <row r="130" spans="1:14" x14ac:dyDescent="0.2">
      <c r="A130" s="45"/>
      <c r="B130" s="26" t="s">
        <v>119</v>
      </c>
      <c r="C130" s="46">
        <v>14.9307</v>
      </c>
      <c r="D130" s="46">
        <v>14.974299999999999</v>
      </c>
      <c r="E130" s="45"/>
      <c r="F130" s="47"/>
      <c r="G130" s="48"/>
    </row>
    <row r="131" spans="1:14" ht="25.5" x14ac:dyDescent="0.2">
      <c r="A131" s="45"/>
      <c r="B131" s="26" t="s">
        <v>673</v>
      </c>
      <c r="C131" s="46">
        <v>11.2606</v>
      </c>
      <c r="D131" s="46">
        <v>11.2935</v>
      </c>
      <c r="E131" s="45"/>
      <c r="F131" s="47"/>
      <c r="G131" s="48"/>
    </row>
    <row r="132" spans="1:14" ht="25.5" x14ac:dyDescent="0.2">
      <c r="A132" s="45"/>
      <c r="B132" s="26" t="s">
        <v>674</v>
      </c>
      <c r="C132" s="46">
        <v>12.771699999999999</v>
      </c>
      <c r="D132" s="46">
        <v>12.808999999999999</v>
      </c>
      <c r="E132" s="45"/>
      <c r="F132" s="47"/>
      <c r="G132" s="48"/>
    </row>
    <row r="133" spans="1:14" x14ac:dyDescent="0.2">
      <c r="A133" s="45"/>
      <c r="B133" s="26" t="s">
        <v>120</v>
      </c>
      <c r="C133" s="46">
        <v>14.834300000000001</v>
      </c>
      <c r="D133" s="46">
        <v>14.876799999999999</v>
      </c>
      <c r="E133" s="45"/>
      <c r="F133" s="47"/>
      <c r="G133" s="48"/>
    </row>
    <row r="134" spans="1:14" ht="25.5" x14ac:dyDescent="0.2">
      <c r="A134" s="45"/>
      <c r="B134" s="26" t="s">
        <v>677</v>
      </c>
      <c r="C134" s="46">
        <v>11.235300000000001</v>
      </c>
      <c r="D134" s="46">
        <v>11.2675</v>
      </c>
      <c r="E134" s="45"/>
      <c r="F134" s="47"/>
      <c r="G134" s="48"/>
    </row>
    <row r="135" spans="1:14" ht="25.5" x14ac:dyDescent="0.2">
      <c r="A135" s="45"/>
      <c r="B135" s="26" t="s">
        <v>648</v>
      </c>
      <c r="C135" s="46">
        <v>12.6874</v>
      </c>
      <c r="D135" s="46">
        <v>12.723800000000001</v>
      </c>
      <c r="E135" s="45"/>
      <c r="F135" s="47"/>
      <c r="G135" s="48"/>
    </row>
    <row r="136" spans="1:14" x14ac:dyDescent="0.2">
      <c r="A136" s="45"/>
      <c r="B136" s="45"/>
      <c r="C136" s="45"/>
      <c r="D136" s="45"/>
      <c r="E136" s="45"/>
      <c r="F136" s="45"/>
      <c r="G136" s="45"/>
    </row>
    <row r="137" spans="1:14" x14ac:dyDescent="0.2">
      <c r="A137" s="45"/>
      <c r="B137" s="155" t="s">
        <v>649</v>
      </c>
      <c r="C137" s="156"/>
      <c r="D137" s="16" t="s">
        <v>114</v>
      </c>
      <c r="E137" s="45"/>
      <c r="F137" s="45"/>
      <c r="G137" s="45"/>
    </row>
    <row r="138" spans="1:14" x14ac:dyDescent="0.2">
      <c r="A138" s="45"/>
      <c r="B138" s="49"/>
      <c r="C138" s="49"/>
      <c r="D138" s="49"/>
      <c r="E138" s="45"/>
      <c r="F138" s="45"/>
      <c r="G138" s="45"/>
    </row>
    <row r="139" spans="1:14" x14ac:dyDescent="0.2">
      <c r="A139" s="41"/>
      <c r="B139" s="153" t="s">
        <v>121</v>
      </c>
      <c r="C139" s="154"/>
      <c r="D139" s="16" t="s">
        <v>114</v>
      </c>
      <c r="E139" s="50"/>
      <c r="F139" s="41"/>
      <c r="G139" s="41"/>
      <c r="I139" s="107"/>
    </row>
    <row r="140" spans="1:14" x14ac:dyDescent="0.2">
      <c r="A140" s="41"/>
      <c r="B140" s="153" t="s">
        <v>122</v>
      </c>
      <c r="C140" s="154"/>
      <c r="D140" s="16" t="s">
        <v>114</v>
      </c>
      <c r="E140" s="50"/>
      <c r="F140" s="41"/>
      <c r="G140" s="41"/>
      <c r="I140" s="107"/>
    </row>
    <row r="141" spans="1:14" x14ac:dyDescent="0.2">
      <c r="A141" s="41"/>
      <c r="B141" s="153" t="s">
        <v>550</v>
      </c>
      <c r="C141" s="154"/>
      <c r="D141" s="16" t="s">
        <v>114</v>
      </c>
      <c r="E141" s="50"/>
      <c r="F141" s="41"/>
      <c r="G141" s="41"/>
      <c r="I141" s="107"/>
    </row>
    <row r="142" spans="1:14" x14ac:dyDescent="0.2">
      <c r="A142" s="49"/>
      <c r="B142" s="49"/>
      <c r="C142" s="49"/>
      <c r="D142" s="49"/>
      <c r="E142" s="49"/>
      <c r="F142" s="49"/>
      <c r="G142" s="49"/>
      <c r="I142" s="107"/>
    </row>
    <row r="143" spans="1:14" s="52" customFormat="1" x14ac:dyDescent="0.2">
      <c r="B143" s="157" t="s">
        <v>551</v>
      </c>
      <c r="C143" s="158"/>
      <c r="D143" s="159"/>
      <c r="I143" s="107"/>
      <c r="J143" s="51"/>
      <c r="K143" s="51"/>
      <c r="L143" s="51"/>
      <c r="M143" s="51"/>
      <c r="N143" s="53"/>
    </row>
    <row r="144" spans="1:14" s="52" customFormat="1" ht="38.25" x14ac:dyDescent="0.2">
      <c r="B144" s="163" t="s">
        <v>552</v>
      </c>
      <c r="C144" s="164"/>
      <c r="D144" s="54" t="s">
        <v>161</v>
      </c>
      <c r="I144" s="107"/>
      <c r="J144" s="51"/>
      <c r="K144" s="51"/>
      <c r="L144" s="51"/>
      <c r="M144" s="51"/>
      <c r="N144" s="53"/>
    </row>
    <row r="145" spans="2:16" s="52" customFormat="1" x14ac:dyDescent="0.2">
      <c r="B145" s="143" t="s">
        <v>553</v>
      </c>
      <c r="C145" s="144"/>
      <c r="D145" s="55"/>
      <c r="I145" s="107"/>
      <c r="J145" s="51"/>
      <c r="K145" s="51"/>
      <c r="L145" s="51"/>
      <c r="M145" s="51"/>
      <c r="N145" s="53"/>
    </row>
    <row r="146" spans="2:16" s="52" customFormat="1" x14ac:dyDescent="0.2">
      <c r="B146" s="143"/>
      <c r="C146" s="144"/>
      <c r="D146" s="56"/>
      <c r="I146" s="107"/>
      <c r="J146" s="51"/>
      <c r="K146" s="51"/>
      <c r="L146" s="51"/>
      <c r="M146" s="51"/>
      <c r="N146" s="53"/>
    </row>
    <row r="147" spans="2:16" s="52" customFormat="1" x14ac:dyDescent="0.2">
      <c r="B147" s="143" t="s">
        <v>554</v>
      </c>
      <c r="C147" s="162"/>
      <c r="D147" s="57">
        <v>6.585860680617869</v>
      </c>
      <c r="I147" s="107"/>
      <c r="J147" s="51"/>
      <c r="K147" s="51"/>
      <c r="L147" s="51"/>
      <c r="M147" s="51"/>
      <c r="N147" s="53"/>
    </row>
    <row r="148" spans="2:16" s="52" customFormat="1" x14ac:dyDescent="0.2">
      <c r="B148" s="143"/>
      <c r="C148" s="144"/>
      <c r="D148" s="56"/>
      <c r="I148" s="107"/>
      <c r="J148" s="51"/>
      <c r="K148" s="51"/>
      <c r="L148" s="51"/>
      <c r="M148" s="51"/>
      <c r="N148" s="53"/>
    </row>
    <row r="149" spans="2:16" s="52" customFormat="1" x14ac:dyDescent="0.2">
      <c r="B149" s="143" t="s">
        <v>555</v>
      </c>
      <c r="C149" s="162"/>
      <c r="D149" s="57">
        <v>0.6748012980246938</v>
      </c>
      <c r="I149" s="107"/>
      <c r="J149" s="51"/>
      <c r="K149" s="51"/>
      <c r="L149" s="51"/>
      <c r="M149" s="51"/>
      <c r="N149" s="53"/>
    </row>
    <row r="150" spans="2:16" s="52" customFormat="1" x14ac:dyDescent="0.2">
      <c r="B150" s="143" t="s">
        <v>556</v>
      </c>
      <c r="C150" s="162"/>
      <c r="D150" s="57">
        <v>0.67546966303066058</v>
      </c>
      <c r="I150" s="107"/>
      <c r="J150" s="51"/>
      <c r="K150" s="51"/>
      <c r="L150" s="51"/>
      <c r="M150" s="51"/>
      <c r="N150" s="53"/>
    </row>
    <row r="151" spans="2:16" s="52" customFormat="1" x14ac:dyDescent="0.2">
      <c r="B151" s="143"/>
      <c r="C151" s="144"/>
      <c r="D151" s="56"/>
      <c r="I151" s="107"/>
      <c r="J151" s="51"/>
      <c r="K151" s="51"/>
      <c r="L151" s="51"/>
      <c r="M151" s="51"/>
      <c r="N151" s="53"/>
    </row>
    <row r="152" spans="2:16" s="52" customFormat="1" x14ac:dyDescent="0.2">
      <c r="B152" s="145" t="s">
        <v>557</v>
      </c>
      <c r="C152" s="145"/>
      <c r="D152" s="59" t="s">
        <v>680</v>
      </c>
      <c r="I152" s="107"/>
      <c r="J152" s="51"/>
      <c r="K152" s="51"/>
      <c r="L152" s="51"/>
      <c r="M152" s="51"/>
      <c r="N152" s="53"/>
    </row>
    <row r="153" spans="2:16" s="52" customFormat="1" x14ac:dyDescent="0.2">
      <c r="B153" s="143" t="s">
        <v>558</v>
      </c>
      <c r="C153" s="146"/>
      <c r="D153" s="144"/>
      <c r="I153" s="107"/>
      <c r="J153" s="51"/>
      <c r="K153" s="51"/>
      <c r="L153" s="51"/>
      <c r="M153" s="51"/>
      <c r="N153" s="53"/>
      <c r="O153"/>
      <c r="P153"/>
    </row>
    <row r="154" spans="2:16" x14ac:dyDescent="0.2">
      <c r="I154" s="107"/>
    </row>
    <row r="155" spans="2:16" x14ac:dyDescent="0.2">
      <c r="B155" s="61" t="s">
        <v>559</v>
      </c>
      <c r="I155" s="107"/>
    </row>
    <row r="156" spans="2:16" x14ac:dyDescent="0.2">
      <c r="I156" s="107"/>
    </row>
    <row r="157" spans="2:16" ht="153.75" customHeight="1" x14ac:dyDescent="0.2">
      <c r="I157" s="107"/>
    </row>
    <row r="158" spans="2:16" x14ac:dyDescent="0.2">
      <c r="I158" s="107"/>
    </row>
    <row r="159" spans="2:16" x14ac:dyDescent="0.2">
      <c r="I159" s="107"/>
    </row>
    <row r="160" spans="2:16" x14ac:dyDescent="0.2">
      <c r="B160" s="62" t="s">
        <v>560</v>
      </c>
      <c r="C160" s="63"/>
      <c r="D160" s="62"/>
      <c r="I160" s="107"/>
    </row>
    <row r="161" spans="2:9" x14ac:dyDescent="0.2">
      <c r="B161" s="62" t="s">
        <v>567</v>
      </c>
      <c r="C161" s="63"/>
      <c r="D161" s="62"/>
      <c r="I161" s="107"/>
    </row>
    <row r="162" spans="2:9" x14ac:dyDescent="0.2">
      <c r="D162" s="62"/>
      <c r="I162" s="107"/>
    </row>
    <row r="163" spans="2:9" ht="165" customHeight="1" x14ac:dyDescent="0.2">
      <c r="I163" s="107"/>
    </row>
    <row r="164" spans="2:9" x14ac:dyDescent="0.2">
      <c r="I164" s="107"/>
    </row>
    <row r="165" spans="2:9" x14ac:dyDescent="0.2">
      <c r="I165" s="107"/>
    </row>
    <row r="166" spans="2:9" x14ac:dyDescent="0.2">
      <c r="I166" s="107"/>
    </row>
    <row r="167" spans="2:9" x14ac:dyDescent="0.2">
      <c r="I167" s="107"/>
    </row>
  </sheetData>
  <mergeCells count="26">
    <mergeCell ref="B121:H121"/>
    <mergeCell ref="B124:D124"/>
    <mergeCell ref="B125:C125"/>
    <mergeCell ref="B126:C126"/>
    <mergeCell ref="B127:C127"/>
    <mergeCell ref="A1:H1"/>
    <mergeCell ref="A3:H3"/>
    <mergeCell ref="A2:H2"/>
    <mergeCell ref="B119:H119"/>
    <mergeCell ref="B120:H120"/>
    <mergeCell ref="B151:C151"/>
    <mergeCell ref="B152:C152"/>
    <mergeCell ref="B153:D153"/>
    <mergeCell ref="B122:H122"/>
    <mergeCell ref="B146:C146"/>
    <mergeCell ref="B147:C147"/>
    <mergeCell ref="B148:C148"/>
    <mergeCell ref="B149:C149"/>
    <mergeCell ref="B150:C150"/>
    <mergeCell ref="B144:C144"/>
    <mergeCell ref="B145:C145"/>
    <mergeCell ref="B137:C137"/>
    <mergeCell ref="B141:C141"/>
    <mergeCell ref="B139:C139"/>
    <mergeCell ref="B140:C140"/>
    <mergeCell ref="B143:D143"/>
  </mergeCells>
  <hyperlinks>
    <hyperlink ref="I1" location="Index!B2" display="Index" xr:uid="{01DAFDC9-DB71-4040-8DCD-7F2062AE9C6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B5E7-EB17-400F-9F72-FDA72D8EBCFA}">
  <sheetPr>
    <outlinePr summaryBelow="0" summaryRight="0"/>
  </sheetPr>
  <dimension ref="A1:T182"/>
  <sheetViews>
    <sheetView showGridLines="0" workbookViewId="0">
      <selection sqref="A1:H1"/>
    </sheetView>
  </sheetViews>
  <sheetFormatPr defaultRowHeight="12.75" x14ac:dyDescent="0.2"/>
  <cols>
    <col min="1" max="1" width="5.85546875" bestFit="1" customWidth="1"/>
    <col min="2" max="2" width="22.42578125" customWidth="1"/>
    <col min="3" max="3" width="39.140625" bestFit="1" customWidth="1"/>
    <col min="4" max="4" width="11.42578125" bestFit="1" customWidth="1"/>
    <col min="5" max="5" width="9.42578125" bestFit="1" customWidth="1"/>
    <col min="6" max="6" width="10.140625" bestFit="1" customWidth="1"/>
    <col min="7" max="7" width="14" bestFit="1" customWidth="1"/>
    <col min="8" max="8" width="10.28515625" customWidth="1"/>
    <col min="9" max="9" width="10.140625" customWidth="1"/>
    <col min="10" max="10" width="10.7109375" customWidth="1"/>
  </cols>
  <sheetData>
    <row r="1" spans="1:9" ht="15" x14ac:dyDescent="0.2">
      <c r="A1" s="147" t="s">
        <v>0</v>
      </c>
      <c r="B1" s="147"/>
      <c r="C1" s="147"/>
      <c r="D1" s="147"/>
      <c r="E1" s="147"/>
      <c r="F1" s="147"/>
      <c r="G1" s="147"/>
      <c r="H1" s="147"/>
      <c r="I1" s="1" t="s">
        <v>543</v>
      </c>
    </row>
    <row r="2" spans="1:9" ht="15" x14ac:dyDescent="0.2">
      <c r="A2" s="147" t="s">
        <v>243</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25">
        <v>1</v>
      </c>
      <c r="B7" s="65" t="s">
        <v>568</v>
      </c>
      <c r="C7" s="65" t="s">
        <v>569</v>
      </c>
      <c r="D7" s="65" t="s">
        <v>570</v>
      </c>
      <c r="E7" s="66">
        <v>8000</v>
      </c>
      <c r="F7" s="67">
        <v>0.01</v>
      </c>
      <c r="G7" s="106" t="s">
        <v>571</v>
      </c>
      <c r="H7" s="71" t="s">
        <v>12</v>
      </c>
      <c r="I7" s="107"/>
    </row>
    <row r="8" spans="1:9" x14ac:dyDescent="0.2">
      <c r="A8" s="18"/>
      <c r="B8" s="18"/>
      <c r="C8" s="19" t="s">
        <v>11</v>
      </c>
      <c r="D8" s="18"/>
      <c r="E8" s="18" t="s">
        <v>12</v>
      </c>
      <c r="F8" s="24">
        <f>SUM(F7)</f>
        <v>0.01</v>
      </c>
      <c r="G8" s="21">
        <v>0</v>
      </c>
      <c r="H8" s="17" t="s">
        <v>12</v>
      </c>
    </row>
    <row r="9" spans="1:9" x14ac:dyDescent="0.2">
      <c r="A9" s="18"/>
      <c r="B9" s="18"/>
      <c r="C9" s="22"/>
      <c r="D9" s="18"/>
      <c r="E9" s="18"/>
      <c r="F9" s="23"/>
      <c r="G9" s="23"/>
      <c r="H9" s="17" t="s">
        <v>12</v>
      </c>
    </row>
    <row r="10" spans="1:9" x14ac:dyDescent="0.2">
      <c r="A10" s="18"/>
      <c r="B10" s="18"/>
      <c r="C10" s="19" t="s">
        <v>14</v>
      </c>
      <c r="D10" s="18"/>
      <c r="E10" s="18"/>
      <c r="F10" s="18"/>
      <c r="G10" s="18"/>
      <c r="H10" s="17" t="s">
        <v>12</v>
      </c>
    </row>
    <row r="11" spans="1:9" x14ac:dyDescent="0.2">
      <c r="A11" s="18"/>
      <c r="B11" s="18"/>
      <c r="C11" s="19" t="s">
        <v>11</v>
      </c>
      <c r="D11" s="18"/>
      <c r="E11" s="18" t="s">
        <v>12</v>
      </c>
      <c r="F11" s="20" t="s">
        <v>13</v>
      </c>
      <c r="G11" s="21">
        <v>0</v>
      </c>
      <c r="H11" s="17" t="s">
        <v>12</v>
      </c>
    </row>
    <row r="12" spans="1:9" x14ac:dyDescent="0.2">
      <c r="A12" s="18"/>
      <c r="B12" s="18"/>
      <c r="C12" s="22"/>
      <c r="D12" s="18"/>
      <c r="E12" s="18"/>
      <c r="F12" s="23"/>
      <c r="G12" s="23"/>
      <c r="H12" s="17" t="s">
        <v>12</v>
      </c>
    </row>
    <row r="13" spans="1:9" x14ac:dyDescent="0.2">
      <c r="A13" s="18"/>
      <c r="B13" s="18"/>
      <c r="C13" s="19" t="s">
        <v>15</v>
      </c>
      <c r="D13" s="18"/>
      <c r="E13" s="18"/>
      <c r="F13" s="18"/>
      <c r="G13" s="18"/>
      <c r="H13" s="17" t="s">
        <v>12</v>
      </c>
    </row>
    <row r="14" spans="1:9" x14ac:dyDescent="0.2">
      <c r="A14" s="18"/>
      <c r="B14" s="18"/>
      <c r="C14" s="19" t="s">
        <v>11</v>
      </c>
      <c r="D14" s="18"/>
      <c r="E14" s="18" t="s">
        <v>12</v>
      </c>
      <c r="F14" s="20" t="s">
        <v>13</v>
      </c>
      <c r="G14" s="21">
        <v>0</v>
      </c>
      <c r="H14" s="17" t="s">
        <v>12</v>
      </c>
    </row>
    <row r="15" spans="1:9" x14ac:dyDescent="0.2">
      <c r="A15" s="18"/>
      <c r="B15" s="18"/>
      <c r="C15" s="22"/>
      <c r="D15" s="18"/>
      <c r="E15" s="18"/>
      <c r="F15" s="23"/>
      <c r="G15" s="23"/>
      <c r="H15" s="17" t="s">
        <v>12</v>
      </c>
    </row>
    <row r="16" spans="1:9"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0.01</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25">
        <v>1</v>
      </c>
      <c r="B29" s="26" t="s">
        <v>244</v>
      </c>
      <c r="C29" s="26" t="s">
        <v>245</v>
      </c>
      <c r="D29" s="26" t="s">
        <v>246</v>
      </c>
      <c r="E29" s="27">
        <v>1500</v>
      </c>
      <c r="F29" s="28">
        <v>1519.548</v>
      </c>
      <c r="G29" s="29">
        <v>4.2140980000000001E-2</v>
      </c>
      <c r="H29" s="17">
        <v>7.0949999999999998</v>
      </c>
    </row>
    <row r="30" spans="1:8" x14ac:dyDescent="0.2">
      <c r="A30" s="25">
        <v>2</v>
      </c>
      <c r="B30" s="26" t="s">
        <v>247</v>
      </c>
      <c r="C30" s="26" t="s">
        <v>248</v>
      </c>
      <c r="D30" s="26" t="s">
        <v>249</v>
      </c>
      <c r="E30" s="27">
        <v>1500</v>
      </c>
      <c r="F30" s="28">
        <v>1514.5274999999999</v>
      </c>
      <c r="G30" s="29">
        <v>4.2001749999999997E-2</v>
      </c>
      <c r="H30" s="17">
        <v>8.1624999999999996</v>
      </c>
    </row>
    <row r="31" spans="1:8" x14ac:dyDescent="0.2">
      <c r="A31" s="25">
        <v>3</v>
      </c>
      <c r="B31" s="26" t="s">
        <v>250</v>
      </c>
      <c r="C31" s="26" t="s">
        <v>251</v>
      </c>
      <c r="D31" s="26" t="s">
        <v>23</v>
      </c>
      <c r="E31" s="27">
        <v>1500</v>
      </c>
      <c r="F31" s="28">
        <v>1512.6495</v>
      </c>
      <c r="G31" s="29">
        <v>4.1949670000000001E-2</v>
      </c>
      <c r="H31" s="17">
        <v>6.73</v>
      </c>
    </row>
    <row r="32" spans="1:8" x14ac:dyDescent="0.2">
      <c r="A32" s="25">
        <v>4</v>
      </c>
      <c r="B32" s="26" t="s">
        <v>252</v>
      </c>
      <c r="C32" s="26" t="s">
        <v>253</v>
      </c>
      <c r="D32" s="26" t="s">
        <v>249</v>
      </c>
      <c r="E32" s="27">
        <v>1200</v>
      </c>
      <c r="F32" s="28">
        <v>1205.7275999999999</v>
      </c>
      <c r="G32" s="29">
        <v>3.3437939999999999E-2</v>
      </c>
      <c r="H32" s="17">
        <v>7.6950000000000003</v>
      </c>
    </row>
    <row r="33" spans="1:8" ht="25.5" x14ac:dyDescent="0.2">
      <c r="A33" s="25">
        <v>5</v>
      </c>
      <c r="B33" s="26" t="s">
        <v>71</v>
      </c>
      <c r="C33" s="26" t="s">
        <v>72</v>
      </c>
      <c r="D33" s="26" t="s">
        <v>23</v>
      </c>
      <c r="E33" s="27">
        <v>1000</v>
      </c>
      <c r="F33" s="28">
        <v>1018.724</v>
      </c>
      <c r="G33" s="29">
        <v>2.825184E-2</v>
      </c>
      <c r="H33" s="17">
        <v>6.76</v>
      </c>
    </row>
    <row r="34" spans="1:8" ht="25.5" x14ac:dyDescent="0.2">
      <c r="A34" s="25">
        <v>6</v>
      </c>
      <c r="B34" s="26" t="s">
        <v>254</v>
      </c>
      <c r="C34" s="26" t="s">
        <v>255</v>
      </c>
      <c r="D34" s="26" t="s">
        <v>246</v>
      </c>
      <c r="E34" s="27">
        <v>1000</v>
      </c>
      <c r="F34" s="28">
        <v>1013.427</v>
      </c>
      <c r="G34" s="29">
        <v>2.8104939999999998E-2</v>
      </c>
      <c r="H34" s="17">
        <v>7.4550000000000001</v>
      </c>
    </row>
    <row r="35" spans="1:8" ht="25.5" x14ac:dyDescent="0.2">
      <c r="A35" s="25">
        <v>7</v>
      </c>
      <c r="B35" s="26" t="s">
        <v>256</v>
      </c>
      <c r="C35" s="26" t="s">
        <v>257</v>
      </c>
      <c r="D35" s="26" t="s">
        <v>23</v>
      </c>
      <c r="E35" s="27">
        <v>100</v>
      </c>
      <c r="F35" s="28">
        <v>1011.554</v>
      </c>
      <c r="G35" s="29">
        <v>2.8053000000000002E-2</v>
      </c>
      <c r="H35" s="17">
        <v>6.73</v>
      </c>
    </row>
    <row r="36" spans="1:8" ht="25.5" x14ac:dyDescent="0.2">
      <c r="A36" s="25">
        <v>8</v>
      </c>
      <c r="B36" s="26" t="s">
        <v>39</v>
      </c>
      <c r="C36" s="26" t="s">
        <v>40</v>
      </c>
      <c r="D36" s="26" t="s">
        <v>23</v>
      </c>
      <c r="E36" s="27">
        <v>1000</v>
      </c>
      <c r="F36" s="28">
        <v>1008.348</v>
      </c>
      <c r="G36" s="29">
        <v>2.796409E-2</v>
      </c>
      <c r="H36" s="17">
        <v>6.62</v>
      </c>
    </row>
    <row r="37" spans="1:8" ht="25.5" x14ac:dyDescent="0.2">
      <c r="A37" s="25">
        <v>9</v>
      </c>
      <c r="B37" s="26" t="s">
        <v>65</v>
      </c>
      <c r="C37" s="26" t="s">
        <v>66</v>
      </c>
      <c r="D37" s="26" t="s">
        <v>23</v>
      </c>
      <c r="E37" s="27">
        <v>1000</v>
      </c>
      <c r="F37" s="28">
        <v>1007.754</v>
      </c>
      <c r="G37" s="29">
        <v>2.7947619999999999E-2</v>
      </c>
      <c r="H37" s="17">
        <v>6.7419000000000002</v>
      </c>
    </row>
    <row r="38" spans="1:8" ht="25.5" x14ac:dyDescent="0.2">
      <c r="A38" s="25">
        <v>10</v>
      </c>
      <c r="B38" s="26" t="s">
        <v>258</v>
      </c>
      <c r="C38" s="26" t="s">
        <v>259</v>
      </c>
      <c r="D38" s="26" t="s">
        <v>260</v>
      </c>
      <c r="E38" s="27">
        <v>1000</v>
      </c>
      <c r="F38" s="28">
        <v>1006.59</v>
      </c>
      <c r="G38" s="29">
        <v>2.791534E-2</v>
      </c>
      <c r="H38" s="17">
        <v>8.625</v>
      </c>
    </row>
    <row r="39" spans="1:8" x14ac:dyDescent="0.2">
      <c r="A39" s="25">
        <v>11</v>
      </c>
      <c r="B39" s="26" t="s">
        <v>261</v>
      </c>
      <c r="C39" s="26" t="s">
        <v>262</v>
      </c>
      <c r="D39" s="26" t="s">
        <v>249</v>
      </c>
      <c r="E39" s="27">
        <v>100</v>
      </c>
      <c r="F39" s="28">
        <v>1002.221</v>
      </c>
      <c r="G39" s="29">
        <v>2.779417E-2</v>
      </c>
      <c r="H39" s="17">
        <v>7.71</v>
      </c>
    </row>
    <row r="40" spans="1:8" x14ac:dyDescent="0.2">
      <c r="A40" s="25">
        <v>12</v>
      </c>
      <c r="B40" s="26" t="s">
        <v>263</v>
      </c>
      <c r="C40" s="26" t="s">
        <v>264</v>
      </c>
      <c r="D40" s="26" t="s">
        <v>32</v>
      </c>
      <c r="E40" s="27">
        <v>900</v>
      </c>
      <c r="F40" s="28">
        <v>911.83860000000004</v>
      </c>
      <c r="G40" s="29">
        <v>2.528764E-2</v>
      </c>
      <c r="H40" s="17">
        <v>7.2050000000000001</v>
      </c>
    </row>
    <row r="41" spans="1:8" x14ac:dyDescent="0.2">
      <c r="A41" s="25">
        <v>13</v>
      </c>
      <c r="B41" s="26" t="s">
        <v>265</v>
      </c>
      <c r="C41" s="26" t="s">
        <v>266</v>
      </c>
      <c r="D41" s="26" t="s">
        <v>249</v>
      </c>
      <c r="E41" s="27">
        <v>900</v>
      </c>
      <c r="F41" s="28">
        <v>910.39319999999998</v>
      </c>
      <c r="G41" s="29">
        <v>2.5247550000000001E-2</v>
      </c>
      <c r="H41" s="17">
        <v>7.335</v>
      </c>
    </row>
    <row r="42" spans="1:8" ht="25.5" x14ac:dyDescent="0.2">
      <c r="A42" s="25">
        <v>14</v>
      </c>
      <c r="B42" s="26" t="s">
        <v>144</v>
      </c>
      <c r="C42" s="26" t="s">
        <v>145</v>
      </c>
      <c r="D42" s="26" t="s">
        <v>32</v>
      </c>
      <c r="E42" s="27">
        <v>500</v>
      </c>
      <c r="F42" s="28">
        <v>508.52</v>
      </c>
      <c r="G42" s="29">
        <v>1.410257E-2</v>
      </c>
      <c r="H42" s="17">
        <v>6.7576999999999998</v>
      </c>
    </row>
    <row r="43" spans="1:8" x14ac:dyDescent="0.2">
      <c r="A43" s="25">
        <v>15</v>
      </c>
      <c r="B43" s="26" t="s">
        <v>267</v>
      </c>
      <c r="C43" s="26" t="s">
        <v>268</v>
      </c>
      <c r="D43" s="26" t="s">
        <v>32</v>
      </c>
      <c r="E43" s="27">
        <v>500</v>
      </c>
      <c r="F43" s="28">
        <v>508.19450000000001</v>
      </c>
      <c r="G43" s="29">
        <v>1.409354E-2</v>
      </c>
      <c r="H43" s="17">
        <v>6.74</v>
      </c>
    </row>
    <row r="44" spans="1:8" x14ac:dyDescent="0.2">
      <c r="A44" s="25">
        <v>16</v>
      </c>
      <c r="B44" s="26" t="s">
        <v>53</v>
      </c>
      <c r="C44" s="26" t="s">
        <v>54</v>
      </c>
      <c r="D44" s="26" t="s">
        <v>23</v>
      </c>
      <c r="E44" s="27">
        <v>500</v>
      </c>
      <c r="F44" s="28">
        <v>506.51749999999998</v>
      </c>
      <c r="G44" s="29">
        <v>1.404704E-2</v>
      </c>
      <c r="H44" s="17">
        <v>6.7</v>
      </c>
    </row>
    <row r="45" spans="1:8" ht="25.5" x14ac:dyDescent="0.2">
      <c r="A45" s="25">
        <v>17</v>
      </c>
      <c r="B45" s="26" t="s">
        <v>269</v>
      </c>
      <c r="C45" s="26" t="s">
        <v>270</v>
      </c>
      <c r="D45" s="26" t="s">
        <v>271</v>
      </c>
      <c r="E45" s="27">
        <v>50</v>
      </c>
      <c r="F45" s="28">
        <v>501.94150000000002</v>
      </c>
      <c r="G45" s="29">
        <v>1.3920129999999999E-2</v>
      </c>
      <c r="H45" s="17">
        <v>7.3712999999999997</v>
      </c>
    </row>
    <row r="46" spans="1:8" ht="25.5" x14ac:dyDescent="0.2">
      <c r="A46" s="25">
        <v>18</v>
      </c>
      <c r="B46" s="26" t="s">
        <v>67</v>
      </c>
      <c r="C46" s="26" t="s">
        <v>68</v>
      </c>
      <c r="D46" s="26" t="s">
        <v>23</v>
      </c>
      <c r="E46" s="27">
        <v>500</v>
      </c>
      <c r="F46" s="28">
        <v>500.16399999999999</v>
      </c>
      <c r="G46" s="29">
        <v>1.3870840000000001E-2</v>
      </c>
      <c r="H46" s="17">
        <v>7.1</v>
      </c>
    </row>
    <row r="47" spans="1:8" x14ac:dyDescent="0.2">
      <c r="A47" s="25">
        <v>19</v>
      </c>
      <c r="B47" s="26" t="s">
        <v>272</v>
      </c>
      <c r="C47" s="26" t="s">
        <v>273</v>
      </c>
      <c r="D47" s="26" t="s">
        <v>249</v>
      </c>
      <c r="E47" s="27">
        <v>350</v>
      </c>
      <c r="F47" s="28">
        <v>353.91090000000003</v>
      </c>
      <c r="G47" s="29">
        <v>9.8148599999999999E-3</v>
      </c>
      <c r="H47" s="17">
        <v>8.1449999999999996</v>
      </c>
    </row>
    <row r="48" spans="1:8" x14ac:dyDescent="0.2">
      <c r="A48" s="18"/>
      <c r="B48" s="18"/>
      <c r="C48" s="19" t="s">
        <v>11</v>
      </c>
      <c r="D48" s="18"/>
      <c r="E48" s="18" t="s">
        <v>12</v>
      </c>
      <c r="F48" s="24">
        <v>17522.550800000001</v>
      </c>
      <c r="G48" s="21">
        <v>0.48594551000000002</v>
      </c>
      <c r="H48" s="17" t="s">
        <v>12</v>
      </c>
    </row>
    <row r="49" spans="1:8" x14ac:dyDescent="0.2">
      <c r="A49" s="18"/>
      <c r="B49" s="18"/>
      <c r="C49" s="22"/>
      <c r="D49" s="18"/>
      <c r="E49" s="18"/>
      <c r="F49" s="23"/>
      <c r="G49" s="23"/>
      <c r="H49" s="17" t="s">
        <v>12</v>
      </c>
    </row>
    <row r="50" spans="1:8" x14ac:dyDescent="0.2">
      <c r="A50" s="18"/>
      <c r="B50" s="18"/>
      <c r="C50" s="19" t="s">
        <v>73</v>
      </c>
      <c r="D50" s="18"/>
      <c r="E50" s="18"/>
      <c r="F50" s="18"/>
      <c r="G50" s="18"/>
      <c r="H50" s="17" t="s">
        <v>12</v>
      </c>
    </row>
    <row r="51" spans="1:8" x14ac:dyDescent="0.2">
      <c r="A51" s="18"/>
      <c r="B51" s="18"/>
      <c r="C51" s="19" t="s">
        <v>11</v>
      </c>
      <c r="D51" s="18"/>
      <c r="E51" s="18" t="s">
        <v>12</v>
      </c>
      <c r="F51" s="20" t="s">
        <v>13</v>
      </c>
      <c r="G51" s="21">
        <v>0</v>
      </c>
      <c r="H51" s="17" t="s">
        <v>12</v>
      </c>
    </row>
    <row r="52" spans="1:8" x14ac:dyDescent="0.2">
      <c r="A52" s="18"/>
      <c r="B52" s="18"/>
      <c r="C52" s="22"/>
      <c r="D52" s="18"/>
      <c r="E52" s="18"/>
      <c r="F52" s="23"/>
      <c r="G52" s="23"/>
      <c r="H52" s="17" t="s">
        <v>12</v>
      </c>
    </row>
    <row r="53" spans="1:8" x14ac:dyDescent="0.2">
      <c r="A53" s="18"/>
      <c r="B53" s="18"/>
      <c r="C53" s="19" t="s">
        <v>74</v>
      </c>
      <c r="D53" s="18"/>
      <c r="E53" s="18"/>
      <c r="F53" s="18"/>
      <c r="G53" s="18"/>
      <c r="H53" s="17" t="s">
        <v>12</v>
      </c>
    </row>
    <row r="54" spans="1:8" x14ac:dyDescent="0.2">
      <c r="A54" s="25">
        <v>1</v>
      </c>
      <c r="B54" s="26" t="s">
        <v>78</v>
      </c>
      <c r="C54" s="26" t="s">
        <v>79</v>
      </c>
      <c r="D54" s="26" t="s">
        <v>77</v>
      </c>
      <c r="E54" s="27">
        <v>500000</v>
      </c>
      <c r="F54" s="28">
        <v>529.67250000000001</v>
      </c>
      <c r="G54" s="29">
        <v>1.468918E-2</v>
      </c>
      <c r="H54" s="17">
        <v>6.1252000000000004</v>
      </c>
    </row>
    <row r="55" spans="1:8" ht="25.5" x14ac:dyDescent="0.2">
      <c r="A55" s="25">
        <v>2</v>
      </c>
      <c r="B55" s="26" t="s">
        <v>274</v>
      </c>
      <c r="C55" s="26" t="s">
        <v>275</v>
      </c>
      <c r="D55" s="26" t="s">
        <v>77</v>
      </c>
      <c r="E55" s="27">
        <v>400000</v>
      </c>
      <c r="F55" s="28">
        <v>415.33080000000001</v>
      </c>
      <c r="G55" s="29">
        <v>1.1518189999999999E-2</v>
      </c>
      <c r="H55" s="17">
        <v>6.0477999999999996</v>
      </c>
    </row>
    <row r="56" spans="1:8" ht="25.5" x14ac:dyDescent="0.2">
      <c r="A56" s="25">
        <v>3</v>
      </c>
      <c r="B56" s="26" t="s">
        <v>276</v>
      </c>
      <c r="C56" s="26" t="s">
        <v>277</v>
      </c>
      <c r="D56" s="26" t="s">
        <v>77</v>
      </c>
      <c r="E56" s="27">
        <v>300000</v>
      </c>
      <c r="F56" s="28">
        <v>308.69040000000001</v>
      </c>
      <c r="G56" s="29">
        <v>8.5607800000000005E-3</v>
      </c>
      <c r="H56" s="17">
        <v>5.9721000000000002</v>
      </c>
    </row>
    <row r="57" spans="1:8" x14ac:dyDescent="0.2">
      <c r="A57" s="18"/>
      <c r="B57" s="18"/>
      <c r="C57" s="19" t="s">
        <v>11</v>
      </c>
      <c r="D57" s="18"/>
      <c r="E57" s="18" t="s">
        <v>12</v>
      </c>
      <c r="F57" s="24">
        <v>1253.6937</v>
      </c>
      <c r="G57" s="21">
        <v>3.4768149999999998E-2</v>
      </c>
      <c r="H57" s="17" t="s">
        <v>12</v>
      </c>
    </row>
    <row r="58" spans="1:8" x14ac:dyDescent="0.2">
      <c r="A58" s="18"/>
      <c r="B58" s="18"/>
      <c r="C58" s="22"/>
      <c r="D58" s="18"/>
      <c r="E58" s="18"/>
      <c r="F58" s="23"/>
      <c r="G58" s="23"/>
      <c r="H58" s="17" t="s">
        <v>12</v>
      </c>
    </row>
    <row r="59" spans="1:8" x14ac:dyDescent="0.2">
      <c r="A59" s="18"/>
      <c r="B59" s="18"/>
      <c r="C59" s="19" t="s">
        <v>94</v>
      </c>
      <c r="D59" s="18"/>
      <c r="E59" s="18"/>
      <c r="F59" s="23"/>
      <c r="G59" s="23"/>
      <c r="H59" s="17" t="s">
        <v>12</v>
      </c>
    </row>
    <row r="60" spans="1:8" x14ac:dyDescent="0.2">
      <c r="A60" s="18"/>
      <c r="B60" s="18"/>
      <c r="C60" s="19" t="s">
        <v>11</v>
      </c>
      <c r="D60" s="18"/>
      <c r="E60" s="18" t="s">
        <v>12</v>
      </c>
      <c r="F60" s="20" t="s">
        <v>13</v>
      </c>
      <c r="G60" s="21">
        <v>0</v>
      </c>
      <c r="H60" s="17" t="s">
        <v>12</v>
      </c>
    </row>
    <row r="61" spans="1:8" x14ac:dyDescent="0.2">
      <c r="A61" s="18"/>
      <c r="B61" s="18"/>
      <c r="C61" s="22"/>
      <c r="D61" s="18"/>
      <c r="E61" s="18"/>
      <c r="F61" s="23"/>
      <c r="G61" s="23"/>
      <c r="H61" s="17" t="s">
        <v>12</v>
      </c>
    </row>
    <row r="62" spans="1:8" x14ac:dyDescent="0.2">
      <c r="A62" s="18"/>
      <c r="B62" s="18"/>
      <c r="C62" s="19" t="s">
        <v>95</v>
      </c>
      <c r="D62" s="18"/>
      <c r="E62" s="18"/>
      <c r="F62" s="24">
        <v>18776.244500000001</v>
      </c>
      <c r="G62" s="21">
        <v>0.52071365999999997</v>
      </c>
      <c r="H62" s="17" t="s">
        <v>12</v>
      </c>
    </row>
    <row r="63" spans="1:8" x14ac:dyDescent="0.2">
      <c r="A63" s="18"/>
      <c r="B63" s="18"/>
      <c r="C63" s="22"/>
      <c r="D63" s="18"/>
      <c r="E63" s="18"/>
      <c r="F63" s="23"/>
      <c r="G63" s="23"/>
      <c r="H63" s="17" t="s">
        <v>12</v>
      </c>
    </row>
    <row r="64" spans="1:8" x14ac:dyDescent="0.2">
      <c r="A64" s="18"/>
      <c r="B64" s="18"/>
      <c r="C64" s="19" t="s">
        <v>96</v>
      </c>
      <c r="D64" s="18"/>
      <c r="E64" s="18"/>
      <c r="F64" s="23"/>
      <c r="G64" s="23"/>
      <c r="H64" s="17" t="s">
        <v>12</v>
      </c>
    </row>
    <row r="65" spans="1:8" x14ac:dyDescent="0.2">
      <c r="A65" s="18"/>
      <c r="B65" s="18"/>
      <c r="C65" s="19" t="s">
        <v>97</v>
      </c>
      <c r="D65" s="18"/>
      <c r="E65" s="18"/>
      <c r="F65" s="23"/>
      <c r="G65" s="23"/>
      <c r="H65" s="17" t="s">
        <v>12</v>
      </c>
    </row>
    <row r="66" spans="1:8" x14ac:dyDescent="0.2">
      <c r="A66" s="25">
        <v>1</v>
      </c>
      <c r="B66" s="26" t="s">
        <v>164</v>
      </c>
      <c r="C66" s="26" t="s">
        <v>165</v>
      </c>
      <c r="D66" s="26" t="s">
        <v>152</v>
      </c>
      <c r="E66" s="27">
        <v>500</v>
      </c>
      <c r="F66" s="28">
        <v>2368.83</v>
      </c>
      <c r="G66" s="29">
        <v>6.5693760000000004E-2</v>
      </c>
      <c r="H66" s="17">
        <v>6.6050000000000004</v>
      </c>
    </row>
    <row r="67" spans="1:8" x14ac:dyDescent="0.2">
      <c r="A67" s="25">
        <v>2</v>
      </c>
      <c r="B67" s="26" t="s">
        <v>278</v>
      </c>
      <c r="C67" s="26" t="s">
        <v>279</v>
      </c>
      <c r="D67" s="26" t="s">
        <v>152</v>
      </c>
      <c r="E67" s="27">
        <v>400</v>
      </c>
      <c r="F67" s="28">
        <v>1996.06</v>
      </c>
      <c r="G67" s="29">
        <v>5.5355889999999998E-2</v>
      </c>
      <c r="H67" s="17">
        <v>6.55</v>
      </c>
    </row>
    <row r="68" spans="1:8" x14ac:dyDescent="0.2">
      <c r="A68" s="25">
        <v>3</v>
      </c>
      <c r="B68" s="26" t="s">
        <v>280</v>
      </c>
      <c r="C68" s="26" t="s">
        <v>281</v>
      </c>
      <c r="D68" s="26" t="s">
        <v>152</v>
      </c>
      <c r="E68" s="27">
        <v>200</v>
      </c>
      <c r="F68" s="28">
        <v>979.56299999999999</v>
      </c>
      <c r="G68" s="29">
        <v>2.7165809999999999E-2</v>
      </c>
      <c r="H68" s="17">
        <v>6.5650000000000004</v>
      </c>
    </row>
    <row r="69" spans="1:8" x14ac:dyDescent="0.2">
      <c r="A69" s="25">
        <v>4</v>
      </c>
      <c r="B69" s="26" t="s">
        <v>282</v>
      </c>
      <c r="C69" s="26" t="s">
        <v>283</v>
      </c>
      <c r="D69" s="26" t="s">
        <v>152</v>
      </c>
      <c r="E69" s="27">
        <v>200</v>
      </c>
      <c r="F69" s="28">
        <v>953.74400000000003</v>
      </c>
      <c r="G69" s="29">
        <v>2.6449779999999999E-2</v>
      </c>
      <c r="H69" s="17">
        <v>6.6550000000000002</v>
      </c>
    </row>
    <row r="70" spans="1:8" ht="25.5" x14ac:dyDescent="0.2">
      <c r="A70" s="25">
        <v>5</v>
      </c>
      <c r="B70" s="26" t="s">
        <v>180</v>
      </c>
      <c r="C70" s="26" t="s">
        <v>181</v>
      </c>
      <c r="D70" s="26" t="s">
        <v>152</v>
      </c>
      <c r="E70" s="27">
        <v>200</v>
      </c>
      <c r="F70" s="28">
        <v>950.30899999999997</v>
      </c>
      <c r="G70" s="29">
        <v>2.6354519999999999E-2</v>
      </c>
      <c r="H70" s="17">
        <v>6.6501000000000001</v>
      </c>
    </row>
    <row r="71" spans="1:8" ht="25.5" x14ac:dyDescent="0.2">
      <c r="A71" s="25">
        <v>6</v>
      </c>
      <c r="B71" s="26" t="s">
        <v>178</v>
      </c>
      <c r="C71" s="26" t="s">
        <v>179</v>
      </c>
      <c r="D71" s="26" t="s">
        <v>152</v>
      </c>
      <c r="E71" s="27">
        <v>200</v>
      </c>
      <c r="F71" s="28">
        <v>950.30899999999997</v>
      </c>
      <c r="G71" s="29">
        <v>2.6354519999999999E-2</v>
      </c>
      <c r="H71" s="17">
        <v>6.65</v>
      </c>
    </row>
    <row r="72" spans="1:8" ht="25.5" x14ac:dyDescent="0.2">
      <c r="A72" s="25">
        <v>7</v>
      </c>
      <c r="B72" s="26" t="s">
        <v>284</v>
      </c>
      <c r="C72" s="26" t="s">
        <v>285</v>
      </c>
      <c r="D72" s="26" t="s">
        <v>152</v>
      </c>
      <c r="E72" s="27">
        <v>200</v>
      </c>
      <c r="F72" s="28">
        <v>948.01099999999997</v>
      </c>
      <c r="G72" s="29">
        <v>2.6290790000000001E-2</v>
      </c>
      <c r="H72" s="17">
        <v>6.65</v>
      </c>
    </row>
    <row r="73" spans="1:8" x14ac:dyDescent="0.2">
      <c r="A73" s="25">
        <v>8</v>
      </c>
      <c r="B73" s="26" t="s">
        <v>157</v>
      </c>
      <c r="C73" s="26" t="s">
        <v>158</v>
      </c>
      <c r="D73" s="26" t="s">
        <v>152</v>
      </c>
      <c r="E73" s="27">
        <v>200</v>
      </c>
      <c r="F73" s="28">
        <v>947.28300000000002</v>
      </c>
      <c r="G73" s="29">
        <v>2.6270600000000002E-2</v>
      </c>
      <c r="H73" s="17">
        <v>6.5949999999999998</v>
      </c>
    </row>
    <row r="74" spans="1:8" ht="25.5" x14ac:dyDescent="0.2">
      <c r="A74" s="25">
        <v>9</v>
      </c>
      <c r="B74" s="26" t="s">
        <v>210</v>
      </c>
      <c r="C74" s="26" t="s">
        <v>211</v>
      </c>
      <c r="D74" s="26" t="s">
        <v>152</v>
      </c>
      <c r="E74" s="27">
        <v>100</v>
      </c>
      <c r="F74" s="28">
        <v>473.02550000000002</v>
      </c>
      <c r="G74" s="29">
        <v>1.311822E-2</v>
      </c>
      <c r="H74" s="17">
        <v>6.65</v>
      </c>
    </row>
    <row r="75" spans="1:8" x14ac:dyDescent="0.2">
      <c r="A75" s="18"/>
      <c r="B75" s="18"/>
      <c r="C75" s="19" t="s">
        <v>11</v>
      </c>
      <c r="D75" s="18"/>
      <c r="E75" s="18" t="s">
        <v>12</v>
      </c>
      <c r="F75" s="24">
        <v>10567.1345</v>
      </c>
      <c r="G75" s="21">
        <v>0.29305388999999998</v>
      </c>
      <c r="H75" s="17" t="s">
        <v>12</v>
      </c>
    </row>
    <row r="76" spans="1:8" x14ac:dyDescent="0.2">
      <c r="A76" s="18"/>
      <c r="B76" s="18"/>
      <c r="C76" s="22"/>
      <c r="D76" s="18"/>
      <c r="E76" s="18"/>
      <c r="F76" s="23"/>
      <c r="G76" s="23"/>
      <c r="H76" s="17" t="s">
        <v>12</v>
      </c>
    </row>
    <row r="77" spans="1:8" x14ac:dyDescent="0.2">
      <c r="A77" s="18"/>
      <c r="B77" s="18"/>
      <c r="C77" s="19" t="s">
        <v>98</v>
      </c>
      <c r="D77" s="18"/>
      <c r="E77" s="18"/>
      <c r="F77" s="23"/>
      <c r="G77" s="23"/>
      <c r="H77" s="17" t="s">
        <v>12</v>
      </c>
    </row>
    <row r="78" spans="1:8" x14ac:dyDescent="0.2">
      <c r="A78" s="25">
        <v>1</v>
      </c>
      <c r="B78" s="26" t="s">
        <v>286</v>
      </c>
      <c r="C78" s="26" t="s">
        <v>287</v>
      </c>
      <c r="D78" s="26" t="s">
        <v>152</v>
      </c>
      <c r="E78" s="27">
        <v>200</v>
      </c>
      <c r="F78" s="28">
        <v>971.62800000000004</v>
      </c>
      <c r="G78" s="29">
        <v>2.6945750000000001E-2</v>
      </c>
      <c r="H78" s="17">
        <v>6.62</v>
      </c>
    </row>
    <row r="79" spans="1:8" x14ac:dyDescent="0.2">
      <c r="A79" s="18"/>
      <c r="B79" s="18"/>
      <c r="C79" s="19" t="s">
        <v>11</v>
      </c>
      <c r="D79" s="18"/>
      <c r="E79" s="18" t="s">
        <v>12</v>
      </c>
      <c r="F79" s="24">
        <v>971.62800000000004</v>
      </c>
      <c r="G79" s="21">
        <v>2.6945750000000001E-2</v>
      </c>
      <c r="H79" s="17" t="s">
        <v>12</v>
      </c>
    </row>
    <row r="80" spans="1:8" x14ac:dyDescent="0.2">
      <c r="A80" s="18"/>
      <c r="B80" s="18"/>
      <c r="C80" s="22"/>
      <c r="D80" s="18"/>
      <c r="E80" s="18"/>
      <c r="F80" s="23"/>
      <c r="G80" s="23"/>
      <c r="H80" s="17" t="s">
        <v>12</v>
      </c>
    </row>
    <row r="81" spans="1:17" x14ac:dyDescent="0.2">
      <c r="A81" s="18"/>
      <c r="B81" s="18"/>
      <c r="C81" s="19" t="s">
        <v>99</v>
      </c>
      <c r="D81" s="18"/>
      <c r="E81" s="18"/>
      <c r="F81" s="23"/>
      <c r="G81" s="23"/>
      <c r="H81" s="17" t="s">
        <v>12</v>
      </c>
    </row>
    <row r="82" spans="1:17" x14ac:dyDescent="0.2">
      <c r="A82" s="18"/>
      <c r="B82" s="18"/>
      <c r="C82" s="19" t="s">
        <v>11</v>
      </c>
      <c r="D82" s="18"/>
      <c r="E82" s="18" t="s">
        <v>12</v>
      </c>
      <c r="F82" s="20" t="s">
        <v>13</v>
      </c>
      <c r="G82" s="21">
        <v>0</v>
      </c>
      <c r="H82" s="17" t="s">
        <v>12</v>
      </c>
    </row>
    <row r="83" spans="1:17" x14ac:dyDescent="0.2">
      <c r="A83" s="18"/>
      <c r="B83" s="18"/>
      <c r="C83" s="22"/>
      <c r="D83" s="18"/>
      <c r="E83" s="18"/>
      <c r="F83" s="23"/>
      <c r="G83" s="23"/>
      <c r="H83" s="17" t="s">
        <v>12</v>
      </c>
    </row>
    <row r="84" spans="1:17" x14ac:dyDescent="0.2">
      <c r="A84" s="18"/>
      <c r="B84" s="18"/>
      <c r="C84" s="19" t="s">
        <v>100</v>
      </c>
      <c r="D84" s="18"/>
      <c r="E84" s="18"/>
      <c r="F84" s="23"/>
      <c r="G84" s="23"/>
      <c r="H84" s="17" t="s">
        <v>12</v>
      </c>
    </row>
    <row r="85" spans="1:17" x14ac:dyDescent="0.2">
      <c r="A85" s="25">
        <v>1</v>
      </c>
      <c r="B85" s="26"/>
      <c r="C85" s="26" t="s">
        <v>101</v>
      </c>
      <c r="D85" s="26"/>
      <c r="E85" s="30"/>
      <c r="F85" s="28">
        <v>5495.4147620269996</v>
      </c>
      <c r="G85" s="29">
        <v>0.15240202</v>
      </c>
      <c r="H85" s="17">
        <v>5.69</v>
      </c>
    </row>
    <row r="86" spans="1:17" x14ac:dyDescent="0.2">
      <c r="A86" s="18"/>
      <c r="B86" s="18"/>
      <c r="C86" s="19" t="s">
        <v>11</v>
      </c>
      <c r="D86" s="18"/>
      <c r="E86" s="18" t="s">
        <v>12</v>
      </c>
      <c r="F86" s="24">
        <v>5495.4147620269996</v>
      </c>
      <c r="G86" s="21">
        <v>0.15240202</v>
      </c>
      <c r="H86" s="17" t="s">
        <v>12</v>
      </c>
    </row>
    <row r="87" spans="1:17" x14ac:dyDescent="0.2">
      <c r="A87" s="18"/>
      <c r="B87" s="18"/>
      <c r="C87" s="22"/>
      <c r="D87" s="18"/>
      <c r="E87" s="18"/>
      <c r="F87" s="23"/>
      <c r="G87" s="23"/>
      <c r="H87" s="17" t="s">
        <v>12</v>
      </c>
    </row>
    <row r="88" spans="1:17" x14ac:dyDescent="0.2">
      <c r="A88" s="18"/>
      <c r="B88" s="18"/>
      <c r="C88" s="19" t="s">
        <v>102</v>
      </c>
      <c r="D88" s="18"/>
      <c r="E88" s="18"/>
      <c r="F88" s="24">
        <v>17034.177262026999</v>
      </c>
      <c r="G88" s="21">
        <v>0.47240166</v>
      </c>
      <c r="H88" s="17" t="s">
        <v>12</v>
      </c>
    </row>
    <row r="89" spans="1:17" x14ac:dyDescent="0.2">
      <c r="A89" s="18"/>
      <c r="B89" s="18"/>
      <c r="C89" s="23"/>
      <c r="D89" s="18"/>
      <c r="E89" s="18"/>
      <c r="F89" s="18"/>
      <c r="G89" s="18"/>
      <c r="H89" s="17" t="s">
        <v>12</v>
      </c>
    </row>
    <row r="90" spans="1:17" x14ac:dyDescent="0.2">
      <c r="A90" s="18"/>
      <c r="B90" s="18"/>
      <c r="C90" s="19" t="s">
        <v>103</v>
      </c>
      <c r="D90" s="18"/>
      <c r="E90" s="18"/>
      <c r="F90" s="18"/>
      <c r="G90" s="18"/>
      <c r="H90" s="17" t="s">
        <v>12</v>
      </c>
    </row>
    <row r="91" spans="1:17" x14ac:dyDescent="0.2">
      <c r="A91" s="18"/>
      <c r="B91" s="18"/>
      <c r="C91" s="19" t="s">
        <v>104</v>
      </c>
      <c r="D91" s="18"/>
      <c r="E91" s="18"/>
      <c r="F91" s="18"/>
      <c r="G91" s="18"/>
      <c r="H91" s="17" t="s">
        <v>12</v>
      </c>
    </row>
    <row r="92" spans="1:17" x14ac:dyDescent="0.2">
      <c r="A92" s="18"/>
      <c r="B92" s="18"/>
      <c r="C92" s="19" t="s">
        <v>11</v>
      </c>
      <c r="D92" s="18"/>
      <c r="E92" s="18" t="s">
        <v>12</v>
      </c>
      <c r="F92" s="20" t="s">
        <v>13</v>
      </c>
      <c r="G92" s="21">
        <v>0</v>
      </c>
      <c r="H92" s="17" t="s">
        <v>12</v>
      </c>
    </row>
    <row r="93" spans="1:17" x14ac:dyDescent="0.2">
      <c r="A93" s="15"/>
      <c r="B93" s="15"/>
      <c r="C93" s="70"/>
      <c r="D93" s="15"/>
      <c r="E93" s="15"/>
      <c r="F93" s="40"/>
      <c r="G93" s="40"/>
      <c r="H93" s="71" t="s">
        <v>12</v>
      </c>
    </row>
    <row r="94" spans="1:17" x14ac:dyDescent="0.2">
      <c r="A94" s="15"/>
      <c r="B94" s="15"/>
      <c r="C94" s="16" t="s">
        <v>549</v>
      </c>
      <c r="D94" s="15"/>
      <c r="E94" s="15"/>
      <c r="F94" s="40"/>
      <c r="G94" s="40"/>
      <c r="H94" s="67"/>
      <c r="K94" s="51"/>
      <c r="L94" s="51"/>
      <c r="M94" s="51"/>
      <c r="N94" s="51"/>
      <c r="O94" s="72"/>
      <c r="P94" s="72"/>
      <c r="Q94" s="72"/>
    </row>
    <row r="95" spans="1:17" ht="25.5" x14ac:dyDescent="0.2">
      <c r="A95" s="64">
        <v>1</v>
      </c>
      <c r="B95" s="65" t="s">
        <v>105</v>
      </c>
      <c r="C95" s="65" t="s">
        <v>106</v>
      </c>
      <c r="D95" s="65"/>
      <c r="E95" s="73">
        <v>1043.4449999999999</v>
      </c>
      <c r="F95" s="67">
        <v>116.36109748</v>
      </c>
      <c r="G95" s="68">
        <v>3.2269899999999999E-3</v>
      </c>
      <c r="H95" s="17"/>
    </row>
    <row r="96" spans="1:17" x14ac:dyDescent="0.2">
      <c r="A96" s="15"/>
      <c r="B96" s="15"/>
      <c r="C96" s="16" t="s">
        <v>11</v>
      </c>
      <c r="D96" s="15"/>
      <c r="E96" s="15" t="s">
        <v>12</v>
      </c>
      <c r="F96" s="74">
        <f>SUM(F95)</f>
        <v>116.36109748</v>
      </c>
      <c r="G96" s="75">
        <f>SUM(G95)</f>
        <v>3.2269899999999999E-3</v>
      </c>
      <c r="H96" s="71" t="s">
        <v>12</v>
      </c>
    </row>
    <row r="97" spans="1:8" x14ac:dyDescent="0.2">
      <c r="A97" s="18"/>
      <c r="B97" s="18"/>
      <c r="C97" s="22"/>
      <c r="D97" s="18"/>
      <c r="E97" s="18"/>
      <c r="F97" s="23"/>
      <c r="G97" s="23"/>
      <c r="H97" s="17" t="s">
        <v>12</v>
      </c>
    </row>
    <row r="98" spans="1:8" x14ac:dyDescent="0.2">
      <c r="A98" s="18"/>
      <c r="B98" s="18"/>
      <c r="C98" s="19" t="s">
        <v>107</v>
      </c>
      <c r="D98" s="18"/>
      <c r="E98" s="18"/>
      <c r="F98" s="18"/>
      <c r="G98" s="18"/>
      <c r="H98" s="17" t="s">
        <v>12</v>
      </c>
    </row>
    <row r="99" spans="1:8" x14ac:dyDescent="0.2">
      <c r="A99" s="18"/>
      <c r="B99" s="18"/>
      <c r="C99" s="19" t="s">
        <v>108</v>
      </c>
      <c r="D99" s="18"/>
      <c r="E99" s="18"/>
      <c r="F99" s="18"/>
      <c r="G99" s="18"/>
      <c r="H99" s="17" t="s">
        <v>12</v>
      </c>
    </row>
    <row r="100" spans="1:8" x14ac:dyDescent="0.2">
      <c r="A100" s="18"/>
      <c r="B100" s="18"/>
      <c r="C100" s="19" t="s">
        <v>11</v>
      </c>
      <c r="D100" s="18"/>
      <c r="E100" s="18" t="s">
        <v>12</v>
      </c>
      <c r="F100" s="20" t="s">
        <v>13</v>
      </c>
      <c r="G100" s="21">
        <v>0</v>
      </c>
      <c r="H100" s="17" t="s">
        <v>12</v>
      </c>
    </row>
    <row r="101" spans="1:8" x14ac:dyDescent="0.2">
      <c r="A101" s="18"/>
      <c r="B101" s="18"/>
      <c r="C101" s="22"/>
      <c r="D101" s="18"/>
      <c r="E101" s="18"/>
      <c r="F101" s="23"/>
      <c r="G101" s="23"/>
      <c r="H101" s="17" t="s">
        <v>12</v>
      </c>
    </row>
    <row r="102" spans="1:8" x14ac:dyDescent="0.2">
      <c r="A102" s="18"/>
      <c r="B102" s="18"/>
      <c r="C102" s="19" t="s">
        <v>109</v>
      </c>
      <c r="D102" s="18"/>
      <c r="E102" s="18"/>
      <c r="F102" s="23"/>
      <c r="G102" s="23"/>
      <c r="H102" s="17" t="s">
        <v>12</v>
      </c>
    </row>
    <row r="103" spans="1:8" x14ac:dyDescent="0.2">
      <c r="A103" s="18"/>
      <c r="B103" s="18"/>
      <c r="C103" s="19" t="s">
        <v>11</v>
      </c>
      <c r="D103" s="18"/>
      <c r="E103" s="18" t="s">
        <v>12</v>
      </c>
      <c r="F103" s="20" t="s">
        <v>13</v>
      </c>
      <c r="G103" s="21">
        <v>0</v>
      </c>
      <c r="H103" s="17" t="s">
        <v>12</v>
      </c>
    </row>
    <row r="104" spans="1:8" x14ac:dyDescent="0.2">
      <c r="A104" s="18"/>
      <c r="B104" s="18"/>
      <c r="C104" s="22"/>
      <c r="D104" s="18"/>
      <c r="E104" s="18"/>
      <c r="F104" s="23"/>
      <c r="G104" s="23"/>
      <c r="H104" s="17" t="s">
        <v>12</v>
      </c>
    </row>
    <row r="105" spans="1:8" x14ac:dyDescent="0.2">
      <c r="A105" s="30"/>
      <c r="B105" s="26"/>
      <c r="C105" s="26" t="s">
        <v>110</v>
      </c>
      <c r="D105" s="26"/>
      <c r="E105" s="30"/>
      <c r="F105" s="28">
        <f>131.89113735-F25-0.00429163699626923</f>
        <v>131.87684571300375</v>
      </c>
      <c r="G105" s="29">
        <f>F105/F106</f>
        <v>3.6572853849323426E-3</v>
      </c>
      <c r="H105" s="17" t="s">
        <v>12</v>
      </c>
    </row>
    <row r="106" spans="1:8" x14ac:dyDescent="0.2">
      <c r="A106" s="22"/>
      <c r="B106" s="22"/>
      <c r="C106" s="19" t="s">
        <v>111</v>
      </c>
      <c r="D106" s="23"/>
      <c r="E106" s="23"/>
      <c r="F106" s="24">
        <f>36058.673996857-0.00429163699626923</f>
        <v>36058.669705220003</v>
      </c>
      <c r="G106" s="31">
        <v>0.99999998999999995</v>
      </c>
      <c r="H106" s="17" t="s">
        <v>12</v>
      </c>
    </row>
    <row r="107" spans="1:8" x14ac:dyDescent="0.2">
      <c r="A107" s="32"/>
      <c r="B107" s="32"/>
      <c r="C107" s="32"/>
      <c r="D107" s="33"/>
      <c r="E107" s="33"/>
      <c r="F107" s="33"/>
      <c r="G107" s="33"/>
    </row>
    <row r="108" spans="1:8" x14ac:dyDescent="0.2">
      <c r="A108" s="34"/>
      <c r="B108" s="148" t="s">
        <v>545</v>
      </c>
      <c r="C108" s="148"/>
      <c r="D108" s="148"/>
      <c r="E108" s="148"/>
      <c r="F108" s="148"/>
      <c r="G108" s="148"/>
      <c r="H108" s="148"/>
    </row>
    <row r="109" spans="1:8" x14ac:dyDescent="0.2">
      <c r="A109" s="34"/>
      <c r="B109" s="148" t="s">
        <v>546</v>
      </c>
      <c r="C109" s="148"/>
      <c r="D109" s="148"/>
      <c r="E109" s="148"/>
      <c r="F109" s="148"/>
      <c r="G109" s="148"/>
      <c r="H109" s="148"/>
    </row>
    <row r="110" spans="1:8" x14ac:dyDescent="0.2">
      <c r="A110" s="34"/>
      <c r="B110" s="148" t="s">
        <v>547</v>
      </c>
      <c r="C110" s="148"/>
      <c r="D110" s="148"/>
      <c r="E110" s="148"/>
      <c r="F110" s="148"/>
      <c r="G110" s="148"/>
      <c r="H110" s="148"/>
    </row>
    <row r="111" spans="1:8" x14ac:dyDescent="0.2">
      <c r="A111" s="36"/>
      <c r="B111" s="36"/>
      <c r="C111" s="36"/>
      <c r="D111" s="37"/>
      <c r="E111" s="37"/>
      <c r="F111" s="37"/>
      <c r="G111" s="37"/>
    </row>
    <row r="112" spans="1:8" x14ac:dyDescent="0.2">
      <c r="A112" s="34"/>
      <c r="B112" s="150" t="s">
        <v>112</v>
      </c>
      <c r="C112" s="151"/>
      <c r="D112" s="152"/>
      <c r="E112" s="38"/>
      <c r="F112" s="39"/>
      <c r="G112" s="39"/>
    </row>
    <row r="113" spans="1:15" ht="25.5" x14ac:dyDescent="0.2">
      <c r="A113" s="34"/>
      <c r="B113" s="153" t="s">
        <v>113</v>
      </c>
      <c r="C113" s="154"/>
      <c r="D113" s="16" t="s">
        <v>572</v>
      </c>
      <c r="E113" s="38"/>
      <c r="F113" s="39"/>
      <c r="G113" s="39"/>
    </row>
    <row r="114" spans="1:15" x14ac:dyDescent="0.2">
      <c r="A114" s="34"/>
      <c r="B114" s="153" t="s">
        <v>115</v>
      </c>
      <c r="C114" s="154"/>
      <c r="D114" s="16" t="s">
        <v>114</v>
      </c>
      <c r="E114" s="38"/>
      <c r="F114" s="39"/>
      <c r="G114" s="39"/>
    </row>
    <row r="115" spans="1:15" x14ac:dyDescent="0.2">
      <c r="A115" s="34"/>
      <c r="B115" s="153" t="s">
        <v>116</v>
      </c>
      <c r="C115" s="154"/>
      <c r="D115" s="40" t="s">
        <v>12</v>
      </c>
      <c r="E115" s="38"/>
      <c r="F115" s="39"/>
      <c r="G115" s="39"/>
    </row>
    <row r="116" spans="1:15" x14ac:dyDescent="0.2">
      <c r="A116" s="41"/>
      <c r="B116" s="42" t="s">
        <v>12</v>
      </c>
      <c r="C116" s="42" t="s">
        <v>548</v>
      </c>
      <c r="D116" s="42" t="s">
        <v>117</v>
      </c>
      <c r="E116" s="41"/>
      <c r="F116" s="41"/>
      <c r="G116" s="41"/>
    </row>
    <row r="117" spans="1:15" x14ac:dyDescent="0.2">
      <c r="A117" s="41"/>
      <c r="B117" s="43" t="s">
        <v>118</v>
      </c>
      <c r="C117" s="44">
        <v>45777</v>
      </c>
      <c r="D117" s="44">
        <v>45792</v>
      </c>
      <c r="E117" s="41"/>
      <c r="F117" s="41"/>
      <c r="G117" s="41"/>
    </row>
    <row r="118" spans="1:15" x14ac:dyDescent="0.2">
      <c r="A118" s="45"/>
      <c r="B118" s="26" t="s">
        <v>119</v>
      </c>
      <c r="C118" s="46">
        <v>3668.4490000000001</v>
      </c>
      <c r="D118" s="46">
        <v>3681.3211000000001</v>
      </c>
      <c r="E118" s="45"/>
      <c r="F118" s="47"/>
      <c r="G118" s="48"/>
    </row>
    <row r="119" spans="1:15" ht="25.5" x14ac:dyDescent="0.2">
      <c r="A119" s="45"/>
      <c r="B119" s="26" t="s">
        <v>673</v>
      </c>
      <c r="C119" s="46">
        <v>1104.5</v>
      </c>
      <c r="D119" s="46">
        <v>1108.3757000000001</v>
      </c>
      <c r="E119" s="45"/>
      <c r="F119" s="47"/>
      <c r="G119" s="48"/>
    </row>
    <row r="120" spans="1:15" ht="25.5" x14ac:dyDescent="0.2">
      <c r="A120" s="45"/>
      <c r="B120" s="26" t="s">
        <v>674</v>
      </c>
      <c r="C120" s="46">
        <v>1261.17</v>
      </c>
      <c r="D120" s="46">
        <v>1265.5952</v>
      </c>
      <c r="E120" s="45"/>
      <c r="F120" s="47"/>
      <c r="G120" s="48"/>
    </row>
    <row r="121" spans="1:15" x14ac:dyDescent="0.2">
      <c r="A121" s="45"/>
      <c r="B121" s="26" t="s">
        <v>120</v>
      </c>
      <c r="C121" s="46">
        <v>3425.7067999999999</v>
      </c>
      <c r="D121" s="46">
        <v>3436.6676000000002</v>
      </c>
      <c r="E121" s="45"/>
      <c r="F121" s="47"/>
      <c r="G121" s="48"/>
    </row>
    <row r="122" spans="1:15" x14ac:dyDescent="0.2">
      <c r="A122" s="45"/>
      <c r="B122" s="26" t="s">
        <v>160</v>
      </c>
      <c r="C122" s="46">
        <v>1326.6775</v>
      </c>
      <c r="D122" s="46">
        <v>1330.9223</v>
      </c>
      <c r="E122" s="45"/>
      <c r="F122" s="47"/>
      <c r="G122" s="48"/>
    </row>
    <row r="123" spans="1:15" ht="25.5" x14ac:dyDescent="0.2">
      <c r="A123" s="45"/>
      <c r="B123" s="26" t="s">
        <v>677</v>
      </c>
      <c r="C123" s="46">
        <v>1092.9772</v>
      </c>
      <c r="D123" s="46">
        <v>1096.4744000000001</v>
      </c>
      <c r="E123" s="45"/>
      <c r="F123" s="47"/>
      <c r="G123" s="48"/>
    </row>
    <row r="124" spans="1:15" ht="25.5" x14ac:dyDescent="0.2">
      <c r="A124" s="45"/>
      <c r="B124" s="26" t="s">
        <v>648</v>
      </c>
      <c r="C124" s="46">
        <v>1217.4768999999999</v>
      </c>
      <c r="D124" s="46">
        <v>1221.3724</v>
      </c>
      <c r="E124" s="45"/>
      <c r="F124" s="47"/>
      <c r="G124" s="48"/>
    </row>
    <row r="125" spans="1:15" x14ac:dyDescent="0.2">
      <c r="A125" s="45"/>
      <c r="B125" s="45"/>
      <c r="C125" s="45"/>
      <c r="D125" s="45"/>
      <c r="E125" s="45"/>
      <c r="F125" s="45"/>
      <c r="G125" s="45"/>
    </row>
    <row r="126" spans="1:15" x14ac:dyDescent="0.2">
      <c r="A126" s="45"/>
      <c r="B126" s="155" t="s">
        <v>649</v>
      </c>
      <c r="C126" s="156"/>
      <c r="D126" s="16" t="s">
        <v>114</v>
      </c>
      <c r="E126" s="45"/>
      <c r="F126" s="45"/>
      <c r="G126" s="45"/>
    </row>
    <row r="127" spans="1:15" x14ac:dyDescent="0.2">
      <c r="A127" s="45"/>
      <c r="B127" s="49"/>
      <c r="C127" s="49"/>
      <c r="D127" s="49"/>
      <c r="E127" s="45"/>
      <c r="F127" s="45"/>
      <c r="G127" s="45"/>
    </row>
    <row r="128" spans="1:15" s="52" customFormat="1" x14ac:dyDescent="0.2">
      <c r="A128" s="89"/>
      <c r="B128" s="153" t="s">
        <v>562</v>
      </c>
      <c r="C128" s="154"/>
      <c r="D128" s="16" t="s">
        <v>114</v>
      </c>
      <c r="G128" s="89"/>
      <c r="I128"/>
      <c r="J128" s="14"/>
      <c r="K128" s="51"/>
      <c r="L128" s="51"/>
      <c r="M128" s="51"/>
      <c r="N128" s="51"/>
      <c r="O128" s="53"/>
    </row>
    <row r="129" spans="1:20" x14ac:dyDescent="0.2">
      <c r="A129" s="41"/>
      <c r="B129" s="153" t="s">
        <v>563</v>
      </c>
      <c r="C129" s="154"/>
      <c r="D129" s="16" t="s">
        <v>114</v>
      </c>
      <c r="E129" s="50"/>
      <c r="F129" s="41"/>
      <c r="G129" s="41"/>
      <c r="J129" s="14"/>
    </row>
    <row r="130" spans="1:20" x14ac:dyDescent="0.2">
      <c r="A130" s="41"/>
      <c r="B130" s="153" t="s">
        <v>564</v>
      </c>
      <c r="C130" s="154"/>
      <c r="D130" s="16" t="s">
        <v>114</v>
      </c>
      <c r="E130" s="50"/>
      <c r="F130" s="41"/>
      <c r="G130" s="41"/>
      <c r="J130" s="14"/>
    </row>
    <row r="131" spans="1:20" x14ac:dyDescent="0.2">
      <c r="A131" s="41"/>
      <c r="B131" s="153" t="s">
        <v>565</v>
      </c>
      <c r="C131" s="154"/>
      <c r="D131" s="16" t="s">
        <v>114</v>
      </c>
      <c r="E131" s="50"/>
      <c r="F131" s="41"/>
      <c r="G131" s="41"/>
      <c r="J131" s="14"/>
    </row>
    <row r="132" spans="1:20" x14ac:dyDescent="0.2">
      <c r="A132" s="41"/>
      <c r="B132" s="35"/>
      <c r="C132" s="35"/>
      <c r="D132" s="141"/>
      <c r="E132" s="41"/>
      <c r="F132" s="41"/>
      <c r="G132" s="41"/>
      <c r="J132" s="14"/>
    </row>
    <row r="133" spans="1:20" s="52" customFormat="1" x14ac:dyDescent="0.2">
      <c r="B133" s="157" t="s">
        <v>551</v>
      </c>
      <c r="C133" s="158"/>
      <c r="D133" s="159"/>
      <c r="I133"/>
      <c r="J133" s="14"/>
      <c r="K133" s="51"/>
      <c r="L133" s="51"/>
      <c r="M133" s="51"/>
      <c r="N133" s="51"/>
      <c r="O133" s="53"/>
    </row>
    <row r="134" spans="1:20" s="52" customFormat="1" ht="51" x14ac:dyDescent="0.2">
      <c r="B134" s="149" t="s">
        <v>552</v>
      </c>
      <c r="C134" s="149"/>
      <c r="D134" s="54" t="s">
        <v>243</v>
      </c>
      <c r="I134"/>
      <c r="J134" s="14"/>
      <c r="K134" s="51"/>
      <c r="L134" s="51"/>
      <c r="M134" s="51"/>
      <c r="N134" s="51"/>
      <c r="O134" s="53"/>
    </row>
    <row r="135" spans="1:20" s="52" customFormat="1" x14ac:dyDescent="0.2">
      <c r="B135" s="145" t="s">
        <v>553</v>
      </c>
      <c r="C135" s="145"/>
      <c r="D135" s="55"/>
      <c r="I135"/>
      <c r="J135" s="14"/>
      <c r="K135" s="51"/>
      <c r="L135" s="51"/>
      <c r="M135" s="51"/>
      <c r="N135" s="51"/>
      <c r="O135" s="53"/>
    </row>
    <row r="136" spans="1:20" s="52" customFormat="1" x14ac:dyDescent="0.2">
      <c r="B136" s="145"/>
      <c r="C136" s="145"/>
      <c r="D136" s="56"/>
      <c r="I136"/>
      <c r="J136" s="14"/>
      <c r="K136" s="51"/>
      <c r="L136" s="51"/>
      <c r="M136" s="51"/>
      <c r="N136" s="51"/>
      <c r="O136" s="53"/>
    </row>
    <row r="137" spans="1:20" s="52" customFormat="1" x14ac:dyDescent="0.2">
      <c r="B137" s="145" t="s">
        <v>554</v>
      </c>
      <c r="C137" s="145"/>
      <c r="D137" s="57">
        <v>6.8011219213812613</v>
      </c>
      <c r="I137"/>
      <c r="J137" s="14"/>
      <c r="K137" s="51"/>
      <c r="L137" s="51"/>
      <c r="M137" s="51"/>
      <c r="N137" s="51"/>
      <c r="O137" s="53"/>
    </row>
    <row r="138" spans="1:20" s="52" customFormat="1" x14ac:dyDescent="0.2">
      <c r="B138" s="145"/>
      <c r="C138" s="145"/>
      <c r="D138" s="56"/>
      <c r="I138"/>
      <c r="J138" s="14"/>
      <c r="K138" s="51"/>
      <c r="L138" s="51"/>
      <c r="M138" s="51"/>
      <c r="N138" s="51"/>
      <c r="O138" s="53"/>
      <c r="P138"/>
      <c r="Q138"/>
    </row>
    <row r="139" spans="1:20" s="52" customFormat="1" x14ac:dyDescent="0.2">
      <c r="B139" s="145" t="s">
        <v>555</v>
      </c>
      <c r="C139" s="145"/>
      <c r="D139" s="57">
        <v>0.93066980696789547</v>
      </c>
      <c r="I139"/>
      <c r="J139" s="14"/>
      <c r="K139" s="51"/>
      <c r="L139" s="51"/>
      <c r="M139" s="51"/>
      <c r="N139" s="51"/>
      <c r="O139" s="53"/>
      <c r="P139"/>
      <c r="Q139"/>
    </row>
    <row r="140" spans="1:20" s="52" customFormat="1" x14ac:dyDescent="0.2">
      <c r="B140" s="145" t="s">
        <v>573</v>
      </c>
      <c r="C140" s="145"/>
      <c r="D140" s="57">
        <v>0.99401114534842305</v>
      </c>
      <c r="I140"/>
      <c r="J140" s="14"/>
      <c r="K140" s="51"/>
      <c r="L140" s="51"/>
      <c r="M140" s="51"/>
      <c r="N140" s="51"/>
      <c r="O140"/>
      <c r="P140"/>
      <c r="Q140"/>
    </row>
    <row r="141" spans="1:20" s="52" customFormat="1" x14ac:dyDescent="0.2">
      <c r="B141" s="145"/>
      <c r="C141" s="145"/>
      <c r="D141" s="56"/>
      <c r="I141"/>
      <c r="J141" s="14"/>
      <c r="K141" s="51"/>
      <c r="L141" s="51"/>
      <c r="M141" s="51"/>
      <c r="N141" s="51"/>
      <c r="O141"/>
      <c r="P141"/>
      <c r="Q141"/>
    </row>
    <row r="142" spans="1:20" s="52" customFormat="1" x14ac:dyDescent="0.2">
      <c r="B142" s="145" t="s">
        <v>557</v>
      </c>
      <c r="C142" s="145"/>
      <c r="D142" s="59" t="s">
        <v>680</v>
      </c>
      <c r="I142"/>
      <c r="J142" s="14"/>
      <c r="K142" s="51"/>
      <c r="L142" s="51"/>
      <c r="M142" s="51"/>
      <c r="N142" s="51"/>
      <c r="O142" s="53"/>
    </row>
    <row r="143" spans="1:20" s="52" customFormat="1" x14ac:dyDescent="0.2">
      <c r="B143" s="143" t="s">
        <v>558</v>
      </c>
      <c r="C143" s="146"/>
      <c r="D143" s="144"/>
      <c r="I143"/>
      <c r="J143" s="14"/>
      <c r="K143" s="51"/>
      <c r="L143" s="51"/>
      <c r="M143" s="51"/>
      <c r="N143" s="51"/>
      <c r="O143"/>
      <c r="P143"/>
      <c r="Q143"/>
      <c r="R143"/>
      <c r="S143"/>
      <c r="T143"/>
    </row>
    <row r="144" spans="1:20" x14ac:dyDescent="0.2">
      <c r="A144" s="49"/>
      <c r="B144" s="49"/>
      <c r="C144" s="49"/>
      <c r="D144" s="49"/>
      <c r="E144" s="49"/>
      <c r="F144" s="49"/>
      <c r="G144" s="49"/>
      <c r="J144" s="14"/>
    </row>
    <row r="145" spans="2:16" s="52" customFormat="1" x14ac:dyDescent="0.2">
      <c r="B145" s="130" t="s">
        <v>681</v>
      </c>
      <c r="C145" s="130"/>
      <c r="D145" s="130"/>
      <c r="E145" s="130"/>
      <c r="F145" s="130"/>
      <c r="G145" s="130"/>
      <c r="H145" s="130"/>
      <c r="I145"/>
      <c r="J145" s="14"/>
      <c r="K145" s="51"/>
      <c r="L145" s="51"/>
      <c r="M145" s="51"/>
      <c r="N145" s="51"/>
      <c r="O145" s="53"/>
    </row>
    <row r="146" spans="2:16" s="52" customFormat="1" ht="6.75" customHeight="1" x14ac:dyDescent="0.2">
      <c r="B146" s="130"/>
      <c r="C146" s="130"/>
      <c r="D146" s="130"/>
      <c r="E146" s="130"/>
      <c r="F146" s="130"/>
      <c r="G146" s="130"/>
      <c r="H146" s="130"/>
      <c r="I146"/>
      <c r="J146" s="14"/>
      <c r="K146" s="51"/>
      <c r="L146" s="51"/>
      <c r="M146" s="51"/>
      <c r="N146" s="51"/>
      <c r="O146" s="53"/>
    </row>
    <row r="147" spans="2:16" ht="13.5" x14ac:dyDescent="0.25">
      <c r="B147" s="83" t="s">
        <v>574</v>
      </c>
      <c r="C147" s="83" t="s">
        <v>575</v>
      </c>
      <c r="D147" s="184" t="s">
        <v>576</v>
      </c>
      <c r="E147" s="184"/>
      <c r="F147" s="184"/>
      <c r="G147" s="183" t="s">
        <v>577</v>
      </c>
      <c r="H147" s="183"/>
      <c r="J147" s="14"/>
      <c r="K147" s="51"/>
      <c r="L147" s="51"/>
      <c r="M147" s="51"/>
      <c r="N147" s="51"/>
      <c r="P147" s="51"/>
    </row>
    <row r="148" spans="2:16" ht="27" x14ac:dyDescent="0.25">
      <c r="B148" s="82" t="s">
        <v>578</v>
      </c>
      <c r="C148" s="81" t="s">
        <v>579</v>
      </c>
      <c r="D148" s="181">
        <v>0</v>
      </c>
      <c r="E148" s="181"/>
      <c r="F148" s="181"/>
      <c r="G148" s="181">
        <v>0</v>
      </c>
      <c r="H148" s="181"/>
      <c r="J148" s="14"/>
      <c r="K148" s="51"/>
      <c r="L148" s="51"/>
      <c r="M148" s="51"/>
      <c r="N148" s="51"/>
      <c r="P148" s="51"/>
    </row>
    <row r="149" spans="2:16" ht="27" x14ac:dyDescent="0.25">
      <c r="B149" s="82" t="s">
        <v>580</v>
      </c>
      <c r="C149" s="81" t="s">
        <v>581</v>
      </c>
      <c r="D149" s="181">
        <v>0</v>
      </c>
      <c r="E149" s="181"/>
      <c r="F149" s="181"/>
      <c r="G149" s="181">
        <v>0</v>
      </c>
      <c r="H149" s="181"/>
      <c r="J149" s="14"/>
      <c r="K149" s="51"/>
      <c r="L149" s="51"/>
      <c r="M149" s="51"/>
      <c r="N149" s="51"/>
      <c r="P149" s="51"/>
    </row>
    <row r="150" spans="2:16" ht="27" x14ac:dyDescent="0.25">
      <c r="B150" s="82" t="s">
        <v>582</v>
      </c>
      <c r="C150" s="81" t="s">
        <v>583</v>
      </c>
      <c r="D150" s="181">
        <v>0</v>
      </c>
      <c r="E150" s="181"/>
      <c r="F150" s="181"/>
      <c r="G150" s="181">
        <v>0</v>
      </c>
      <c r="H150" s="181"/>
      <c r="J150" s="14"/>
      <c r="K150" s="51"/>
      <c r="L150" s="51"/>
      <c r="M150" s="51"/>
      <c r="N150" s="51"/>
      <c r="P150" s="51"/>
    </row>
    <row r="151" spans="2:16" ht="13.5" x14ac:dyDescent="0.25">
      <c r="B151" s="82"/>
      <c r="C151" s="82"/>
      <c r="D151" s="182"/>
      <c r="E151" s="182"/>
      <c r="F151" s="182"/>
      <c r="G151" s="182"/>
      <c r="H151" s="182"/>
      <c r="J151" s="14"/>
      <c r="K151" s="51"/>
      <c r="L151" s="51"/>
      <c r="M151" s="51"/>
      <c r="N151" s="51"/>
      <c r="P151" s="51"/>
    </row>
    <row r="152" spans="2:16" ht="13.5" x14ac:dyDescent="0.25">
      <c r="B152" s="183" t="s">
        <v>584</v>
      </c>
      <c r="C152" s="183"/>
      <c r="D152" s="183"/>
      <c r="E152" s="183"/>
      <c r="F152" s="183"/>
      <c r="G152" s="183"/>
      <c r="H152" s="183"/>
      <c r="J152" s="14"/>
      <c r="K152" s="51"/>
      <c r="L152" s="51"/>
      <c r="M152" s="51"/>
      <c r="N152" s="51"/>
      <c r="P152" s="51"/>
    </row>
    <row r="153" spans="2:16" ht="13.5" customHeight="1" x14ac:dyDescent="0.2">
      <c r="B153" s="179" t="s">
        <v>574</v>
      </c>
      <c r="C153" s="179" t="s">
        <v>575</v>
      </c>
      <c r="D153" s="179" t="s">
        <v>585</v>
      </c>
      <c r="E153" s="179"/>
      <c r="F153" s="179"/>
      <c r="G153" s="179"/>
      <c r="H153" s="180" t="s">
        <v>586</v>
      </c>
      <c r="I153" s="180" t="s">
        <v>587</v>
      </c>
      <c r="J153" s="166" t="s">
        <v>588</v>
      </c>
      <c r="K153" s="51"/>
      <c r="L153" s="51"/>
      <c r="M153" s="51"/>
      <c r="N153" s="51"/>
      <c r="O153" s="51"/>
      <c r="P153" s="51"/>
    </row>
    <row r="154" spans="2:16" ht="94.5" customHeight="1" x14ac:dyDescent="0.2">
      <c r="B154" s="179"/>
      <c r="C154" s="179"/>
      <c r="D154" s="78" t="s">
        <v>589</v>
      </c>
      <c r="E154" s="78" t="s">
        <v>590</v>
      </c>
      <c r="F154" s="78" t="s">
        <v>591</v>
      </c>
      <c r="G154" s="78" t="s">
        <v>592</v>
      </c>
      <c r="H154" s="180"/>
      <c r="I154" s="180"/>
      <c r="J154" s="167"/>
      <c r="K154" s="51"/>
      <c r="L154" s="51"/>
      <c r="M154" s="51"/>
      <c r="N154" s="51"/>
      <c r="O154" s="51"/>
      <c r="P154" s="51"/>
    </row>
    <row r="155" spans="2:16" ht="27" x14ac:dyDescent="0.25">
      <c r="B155" s="82" t="s">
        <v>578</v>
      </c>
      <c r="C155" s="81" t="s">
        <v>579</v>
      </c>
      <c r="D155" s="84">
        <v>1500</v>
      </c>
      <c r="E155" s="84">
        <v>99.850684900000005</v>
      </c>
      <c r="F155" s="139">
        <v>36.275342200000004</v>
      </c>
      <c r="G155" s="132">
        <v>1636.1260271000001</v>
      </c>
      <c r="H155" s="2">
        <v>726.67232000000001</v>
      </c>
      <c r="I155" s="2">
        <f>1250521/10^5</f>
        <v>12.50521</v>
      </c>
      <c r="J155" s="2">
        <f>H155+I155</f>
        <v>739.17753000000005</v>
      </c>
      <c r="K155" s="51"/>
      <c r="L155" s="51"/>
      <c r="M155" s="51"/>
      <c r="N155" s="51"/>
      <c r="O155" s="51"/>
      <c r="P155" s="51"/>
    </row>
    <row r="156" spans="2:16" ht="27" x14ac:dyDescent="0.25">
      <c r="B156" s="82" t="s">
        <v>580</v>
      </c>
      <c r="C156" s="81" t="s">
        <v>581</v>
      </c>
      <c r="D156" s="84">
        <v>2517.2199999999998</v>
      </c>
      <c r="E156" s="84">
        <v>183.25361600000002</v>
      </c>
      <c r="F156" s="139">
        <v>45.813405699999997</v>
      </c>
      <c r="G156" s="132">
        <v>2746.2870217</v>
      </c>
      <c r="H156" s="2">
        <v>1225.53333</v>
      </c>
      <c r="I156" s="2">
        <f>2109013/10^5</f>
        <v>21.090129999999998</v>
      </c>
      <c r="J156" s="2">
        <f>H156+I156</f>
        <v>1246.62346</v>
      </c>
      <c r="K156" s="51"/>
      <c r="L156" s="51"/>
      <c r="M156" s="51"/>
      <c r="N156" s="51"/>
      <c r="O156" s="51"/>
      <c r="P156" s="51"/>
    </row>
    <row r="157" spans="2:16" ht="27" x14ac:dyDescent="0.25">
      <c r="B157" s="82" t="s">
        <v>582</v>
      </c>
      <c r="C157" s="81" t="s">
        <v>583</v>
      </c>
      <c r="D157" s="84">
        <v>4882.25</v>
      </c>
      <c r="E157" s="84">
        <v>323.21163799999999</v>
      </c>
      <c r="F157" s="139">
        <v>117.42144879999999</v>
      </c>
      <c r="G157" s="132">
        <v>5322.8830868000005</v>
      </c>
      <c r="H157" s="2">
        <v>2364.0489899999998</v>
      </c>
      <c r="I157" s="2">
        <f>4068280/10^5</f>
        <v>40.6828</v>
      </c>
      <c r="J157" s="2">
        <f>H157+I157</f>
        <v>2404.7317899999998</v>
      </c>
      <c r="K157" s="51"/>
      <c r="L157" s="51"/>
      <c r="M157" s="51"/>
      <c r="N157" s="51"/>
      <c r="O157" s="51"/>
      <c r="P157" s="51"/>
    </row>
    <row r="158" spans="2:16" ht="13.5" x14ac:dyDescent="0.25">
      <c r="B158" s="133"/>
      <c r="C158" s="134"/>
      <c r="D158" s="140"/>
      <c r="E158" s="140"/>
      <c r="F158" s="5"/>
      <c r="G158" s="136"/>
      <c r="H158" s="3"/>
      <c r="I158" s="3"/>
      <c r="J158" s="3"/>
      <c r="K158" s="51"/>
      <c r="L158" s="51"/>
      <c r="M158" s="51"/>
      <c r="N158" s="51"/>
      <c r="O158" s="51"/>
      <c r="P158" s="51"/>
    </row>
    <row r="159" spans="2:16" ht="13.5" customHeight="1" x14ac:dyDescent="0.2">
      <c r="B159" s="168" t="s">
        <v>574</v>
      </c>
      <c r="C159" s="168" t="s">
        <v>575</v>
      </c>
      <c r="D159" s="171" t="s">
        <v>585</v>
      </c>
      <c r="E159" s="172"/>
      <c r="F159" s="173"/>
      <c r="G159" s="174" t="s">
        <v>593</v>
      </c>
      <c r="H159" s="175"/>
      <c r="I159" s="176"/>
      <c r="J159" s="51"/>
      <c r="K159" s="51"/>
      <c r="L159" s="51"/>
      <c r="M159" s="51"/>
      <c r="N159" s="51"/>
      <c r="O159" s="51"/>
    </row>
    <row r="160" spans="2:16" ht="46.5" customHeight="1" x14ac:dyDescent="0.2">
      <c r="B160" s="169"/>
      <c r="C160" s="169"/>
      <c r="D160" s="166" t="s">
        <v>594</v>
      </c>
      <c r="E160" s="166" t="s">
        <v>595</v>
      </c>
      <c r="F160" s="166" t="s">
        <v>596</v>
      </c>
      <c r="G160" s="177" t="s">
        <v>597</v>
      </c>
      <c r="H160" s="178"/>
      <c r="I160" s="166" t="s">
        <v>598</v>
      </c>
      <c r="J160" s="51"/>
      <c r="K160" s="51"/>
      <c r="L160" s="51"/>
      <c r="M160" s="51"/>
      <c r="N160" s="51"/>
      <c r="O160" s="51"/>
    </row>
    <row r="161" spans="2:16" ht="21" customHeight="1" x14ac:dyDescent="0.2">
      <c r="B161" s="170"/>
      <c r="C161" s="170"/>
      <c r="D161" s="167"/>
      <c r="E161" s="167"/>
      <c r="F161" s="167"/>
      <c r="G161" s="78" t="s">
        <v>599</v>
      </c>
      <c r="H161" s="78" t="s">
        <v>600</v>
      </c>
      <c r="I161" s="167"/>
      <c r="J161" s="51"/>
      <c r="K161" s="51"/>
      <c r="L161" s="51"/>
      <c r="M161" s="51"/>
      <c r="N161" s="51"/>
      <c r="O161" s="51"/>
    </row>
    <row r="162" spans="2:16" ht="13.5" x14ac:dyDescent="0.25">
      <c r="B162" s="82" t="s">
        <v>601</v>
      </c>
      <c r="C162" s="81" t="s">
        <v>602</v>
      </c>
      <c r="D162" s="131">
        <v>293.30880000000002</v>
      </c>
      <c r="E162" s="4">
        <v>6.6912000000000003</v>
      </c>
      <c r="F162" s="132">
        <f>D162+E162</f>
        <v>300</v>
      </c>
      <c r="G162" s="2">
        <v>12.699082800000001</v>
      </c>
      <c r="H162" s="2">
        <v>8</v>
      </c>
      <c r="I162" s="2">
        <f>G162+H162</f>
        <v>20.699082799999999</v>
      </c>
      <c r="J162" s="51"/>
      <c r="K162" s="51"/>
      <c r="L162" s="51"/>
      <c r="M162" s="51"/>
      <c r="N162" s="51"/>
      <c r="O162" s="51"/>
    </row>
    <row r="163" spans="2:16" ht="6.75" customHeight="1" x14ac:dyDescent="0.25">
      <c r="B163" s="133"/>
      <c r="C163" s="134"/>
      <c r="D163" s="135"/>
      <c r="E163" s="5"/>
      <c r="F163" s="136"/>
      <c r="G163" s="3"/>
      <c r="H163" s="3"/>
      <c r="I163" s="3"/>
      <c r="J163" s="51"/>
      <c r="K163" s="51"/>
      <c r="L163" s="51"/>
      <c r="M163" s="51"/>
      <c r="N163" s="51"/>
      <c r="O163" s="51"/>
    </row>
    <row r="164" spans="2:16" ht="45" customHeight="1" x14ac:dyDescent="0.2">
      <c r="B164" s="165" t="s">
        <v>603</v>
      </c>
      <c r="C164" s="165"/>
      <c r="D164" s="165"/>
      <c r="E164" s="165"/>
      <c r="F164" s="165"/>
      <c r="G164" s="165"/>
      <c r="H164" s="165"/>
      <c r="I164" s="165"/>
      <c r="J164" s="137"/>
      <c r="K164" s="51"/>
      <c r="L164" s="51"/>
      <c r="M164" s="51"/>
      <c r="N164" s="51"/>
      <c r="O164" s="51"/>
    </row>
    <row r="165" spans="2:16" ht="13.5" x14ac:dyDescent="0.25">
      <c r="B165" s="87" t="s">
        <v>604</v>
      </c>
      <c r="I165" s="51"/>
      <c r="J165" s="14"/>
      <c r="K165" s="51"/>
      <c r="L165" s="51"/>
      <c r="M165" s="51"/>
      <c r="N165" s="51"/>
      <c r="O165" s="51"/>
      <c r="P165" s="51"/>
    </row>
    <row r="166" spans="2:16" x14ac:dyDescent="0.2">
      <c r="B166" s="51"/>
      <c r="C166" s="51"/>
      <c r="D166" s="51"/>
      <c r="E166" s="51"/>
      <c r="F166" s="51"/>
      <c r="G166" s="51"/>
      <c r="H166" s="51"/>
      <c r="I166" s="51"/>
      <c r="J166" s="14"/>
      <c r="K166" s="51"/>
      <c r="L166" s="51"/>
      <c r="M166" s="51"/>
      <c r="N166" s="51"/>
      <c r="O166" s="51"/>
      <c r="P166" s="51"/>
    </row>
    <row r="167" spans="2:16" x14ac:dyDescent="0.2">
      <c r="B167" s="88" t="s">
        <v>605</v>
      </c>
      <c r="C167" s="51"/>
      <c r="D167" s="51"/>
      <c r="E167" s="51"/>
      <c r="F167" s="51"/>
      <c r="G167" s="51"/>
      <c r="H167" s="51"/>
      <c r="I167" s="51"/>
      <c r="J167" s="14"/>
      <c r="K167" s="51"/>
      <c r="L167" s="51"/>
      <c r="M167" s="51"/>
      <c r="N167" s="51"/>
      <c r="O167" s="51"/>
      <c r="P167" s="51"/>
    </row>
    <row r="168" spans="2:16" x14ac:dyDescent="0.2">
      <c r="B168" s="51"/>
      <c r="C168" s="51"/>
      <c r="D168" s="51"/>
      <c r="E168" s="51"/>
      <c r="F168" s="51"/>
      <c r="G168" s="51"/>
      <c r="H168" s="51"/>
      <c r="I168" s="51"/>
      <c r="J168" s="14"/>
      <c r="K168" s="51"/>
      <c r="L168" s="51"/>
      <c r="M168" s="51"/>
      <c r="N168" s="51"/>
      <c r="O168" s="51"/>
      <c r="P168" s="51"/>
    </row>
    <row r="169" spans="2:16" x14ac:dyDescent="0.2">
      <c r="B169" s="88" t="s">
        <v>606</v>
      </c>
      <c r="C169" s="51"/>
      <c r="D169" s="51"/>
      <c r="E169" s="51"/>
      <c r="F169" s="51"/>
      <c r="G169" s="51"/>
      <c r="H169" s="51"/>
      <c r="I169" s="51"/>
      <c r="J169" s="14"/>
      <c r="K169" s="51"/>
      <c r="L169" s="51"/>
      <c r="M169" s="51"/>
      <c r="N169" s="51"/>
      <c r="O169" s="51"/>
      <c r="P169" s="51"/>
    </row>
    <row r="170" spans="2:16" x14ac:dyDescent="0.2">
      <c r="J170" s="14"/>
    </row>
    <row r="171" spans="2:16" x14ac:dyDescent="0.2">
      <c r="B171" s="88" t="s">
        <v>607</v>
      </c>
      <c r="J171" s="14"/>
      <c r="K171" s="51"/>
      <c r="L171" s="51"/>
      <c r="M171" s="51"/>
      <c r="N171" s="51"/>
      <c r="O171" s="51"/>
    </row>
    <row r="172" spans="2:16" x14ac:dyDescent="0.2">
      <c r="B172" s="88"/>
      <c r="J172" s="14"/>
      <c r="K172" s="51"/>
      <c r="L172" s="51"/>
      <c r="M172" s="51"/>
      <c r="N172" s="51"/>
      <c r="O172" s="51"/>
    </row>
    <row r="173" spans="2:16" x14ac:dyDescent="0.2">
      <c r="B173" s="88" t="s">
        <v>608</v>
      </c>
      <c r="J173" s="14"/>
      <c r="K173" s="51"/>
      <c r="L173" s="51"/>
      <c r="M173" s="51"/>
      <c r="N173" s="51"/>
      <c r="O173" s="51"/>
    </row>
    <row r="174" spans="2:16" x14ac:dyDescent="0.2">
      <c r="J174" s="14"/>
    </row>
    <row r="175" spans="2:16" x14ac:dyDescent="0.2">
      <c r="B175" s="61" t="s">
        <v>559</v>
      </c>
    </row>
    <row r="177" spans="2:4" ht="153.75" customHeight="1" x14ac:dyDescent="0.2"/>
    <row r="180" spans="2:4" x14ac:dyDescent="0.2">
      <c r="B180" s="62" t="s">
        <v>560</v>
      </c>
      <c r="C180" s="63"/>
      <c r="D180" s="62"/>
    </row>
    <row r="181" spans="2:4" x14ac:dyDescent="0.2">
      <c r="B181" s="62" t="s">
        <v>609</v>
      </c>
      <c r="D181" s="62"/>
    </row>
    <row r="182" spans="2:4" ht="180" customHeight="1" x14ac:dyDescent="0.2"/>
  </sheetData>
  <mergeCells count="53">
    <mergeCell ref="B131:C131"/>
    <mergeCell ref="B134:C134"/>
    <mergeCell ref="B126:C126"/>
    <mergeCell ref="B130:C130"/>
    <mergeCell ref="B128:C128"/>
    <mergeCell ref="B129:C129"/>
    <mergeCell ref="B133:D133"/>
    <mergeCell ref="B110:H110"/>
    <mergeCell ref="B112:D112"/>
    <mergeCell ref="B113:C113"/>
    <mergeCell ref="B114:C114"/>
    <mergeCell ref="B115:C115"/>
    <mergeCell ref="A1:H1"/>
    <mergeCell ref="A3:H3"/>
    <mergeCell ref="A2:H2"/>
    <mergeCell ref="B108:H108"/>
    <mergeCell ref="B109:H109"/>
    <mergeCell ref="B135:C135"/>
    <mergeCell ref="B136:C136"/>
    <mergeCell ref="B137:C137"/>
    <mergeCell ref="B138:C138"/>
    <mergeCell ref="B139:C139"/>
    <mergeCell ref="B140:C140"/>
    <mergeCell ref="B141:C141"/>
    <mergeCell ref="B142:C142"/>
    <mergeCell ref="B143:D143"/>
    <mergeCell ref="D147:F147"/>
    <mergeCell ref="G147:H147"/>
    <mergeCell ref="D148:F148"/>
    <mergeCell ref="G148:H148"/>
    <mergeCell ref="D149:F149"/>
    <mergeCell ref="G149:H149"/>
    <mergeCell ref="D150:F150"/>
    <mergeCell ref="G150:H150"/>
    <mergeCell ref="D151:F151"/>
    <mergeCell ref="G151:H151"/>
    <mergeCell ref="B152:H152"/>
    <mergeCell ref="B164:I164"/>
    <mergeCell ref="J153:J154"/>
    <mergeCell ref="B159:B161"/>
    <mergeCell ref="C159:C161"/>
    <mergeCell ref="D159:F159"/>
    <mergeCell ref="G159:I159"/>
    <mergeCell ref="D160:D161"/>
    <mergeCell ref="E160:E161"/>
    <mergeCell ref="F160:F161"/>
    <mergeCell ref="G160:H160"/>
    <mergeCell ref="I160:I161"/>
    <mergeCell ref="B153:B154"/>
    <mergeCell ref="C153:C154"/>
    <mergeCell ref="D153:G153"/>
    <mergeCell ref="H153:H154"/>
    <mergeCell ref="I153:I154"/>
  </mergeCells>
  <hyperlinks>
    <hyperlink ref="I1" location="Index!B2" display="Index" xr:uid="{C5B57B2A-C66B-4AFA-AA59-6084DAA2CCCF}"/>
    <hyperlink ref="B167" r:id="rId1" xr:uid="{1824F9F4-C8EC-44B5-89DE-4D3E6CCE45E5}"/>
    <hyperlink ref="B169" r:id="rId2" xr:uid="{5E824B21-7F16-4F6D-A624-B66213DC2077}"/>
    <hyperlink ref="B171" r:id="rId3" xr:uid="{BBE6124D-666C-41AA-ADC8-C27A87E181B1}"/>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48CD2-1D93-4BBB-A4CE-EE9C20910A95}">
  <sheetPr>
    <outlinePr summaryBelow="0" summaryRight="0"/>
  </sheetPr>
  <dimension ref="A1:R201"/>
  <sheetViews>
    <sheetView showGridLines="0" workbookViewId="0">
      <selection activeCell="C57" sqref="C57"/>
    </sheetView>
  </sheetViews>
  <sheetFormatPr defaultRowHeight="12.75" x14ac:dyDescent="0.2"/>
  <cols>
    <col min="1" max="1" width="5.85546875" bestFit="1" customWidth="1"/>
    <col min="2" max="2" width="22.85546875" customWidth="1"/>
    <col min="3" max="3" width="39.140625" bestFit="1" customWidth="1"/>
    <col min="4" max="4" width="11.42578125" bestFit="1" customWidth="1"/>
    <col min="5" max="5" width="10.42578125" bestFit="1" customWidth="1"/>
    <col min="6" max="6" width="10.140625" bestFit="1" customWidth="1"/>
    <col min="7" max="7" width="14" bestFit="1" customWidth="1"/>
    <col min="8" max="8" width="10.28515625" customWidth="1"/>
    <col min="9" max="9" width="7" customWidth="1"/>
    <col min="10" max="10" width="11.42578125" bestFit="1" customWidth="1"/>
  </cols>
  <sheetData>
    <row r="1" spans="1:10" ht="15" x14ac:dyDescent="0.2">
      <c r="A1" s="147" t="s">
        <v>0</v>
      </c>
      <c r="B1" s="147"/>
      <c r="C1" s="147"/>
      <c r="D1" s="147"/>
      <c r="E1" s="147"/>
      <c r="F1" s="147"/>
      <c r="G1" s="147"/>
      <c r="H1" s="147"/>
      <c r="I1" s="1" t="s">
        <v>543</v>
      </c>
    </row>
    <row r="2" spans="1:10" ht="15" x14ac:dyDescent="0.2">
      <c r="A2" s="147" t="s">
        <v>288</v>
      </c>
      <c r="B2" s="147"/>
      <c r="C2" s="147"/>
      <c r="D2" s="147"/>
      <c r="E2" s="147"/>
      <c r="F2" s="147"/>
      <c r="G2" s="147"/>
      <c r="H2" s="147"/>
    </row>
    <row r="3" spans="1:10" ht="15" x14ac:dyDescent="0.2">
      <c r="A3" s="147" t="s">
        <v>542</v>
      </c>
      <c r="B3" s="147"/>
      <c r="C3" s="147"/>
      <c r="D3" s="147"/>
      <c r="E3" s="147"/>
      <c r="F3" s="147"/>
      <c r="G3" s="147"/>
      <c r="H3" s="147"/>
    </row>
    <row r="4" spans="1:10" s="14" customFormat="1" ht="30" x14ac:dyDescent="0.2">
      <c r="A4" s="12" t="s">
        <v>2</v>
      </c>
      <c r="B4" s="12" t="s">
        <v>3</v>
      </c>
      <c r="C4" s="12" t="s">
        <v>4</v>
      </c>
      <c r="D4" s="12" t="s">
        <v>5</v>
      </c>
      <c r="E4" s="12" t="s">
        <v>6</v>
      </c>
      <c r="F4" s="12" t="s">
        <v>7</v>
      </c>
      <c r="G4" s="12" t="s">
        <v>8</v>
      </c>
      <c r="H4" s="13" t="s">
        <v>541</v>
      </c>
    </row>
    <row r="5" spans="1:10" x14ac:dyDescent="0.2">
      <c r="A5" s="15"/>
      <c r="B5" s="15"/>
      <c r="C5" s="16" t="s">
        <v>9</v>
      </c>
      <c r="D5" s="15"/>
      <c r="E5" s="15"/>
      <c r="F5" s="15"/>
      <c r="G5" s="15"/>
      <c r="H5" s="17" t="s">
        <v>12</v>
      </c>
    </row>
    <row r="6" spans="1:10" x14ac:dyDescent="0.2">
      <c r="A6" s="18"/>
      <c r="B6" s="18"/>
      <c r="C6" s="19" t="s">
        <v>10</v>
      </c>
      <c r="D6" s="18"/>
      <c r="E6" s="18"/>
      <c r="F6" s="18"/>
      <c r="G6" s="18"/>
      <c r="H6" s="17" t="s">
        <v>12</v>
      </c>
    </row>
    <row r="7" spans="1:10" x14ac:dyDescent="0.2">
      <c r="A7" s="25">
        <v>1</v>
      </c>
      <c r="B7" s="65" t="s">
        <v>568</v>
      </c>
      <c r="C7" s="65" t="s">
        <v>569</v>
      </c>
      <c r="D7" s="65" t="s">
        <v>570</v>
      </c>
      <c r="E7" s="66">
        <v>150667</v>
      </c>
      <c r="F7" s="67">
        <v>0.15</v>
      </c>
      <c r="G7" s="106" t="s">
        <v>571</v>
      </c>
      <c r="H7" s="71" t="s">
        <v>12</v>
      </c>
      <c r="J7" s="107"/>
    </row>
    <row r="8" spans="1:10" x14ac:dyDescent="0.2">
      <c r="A8" s="18"/>
      <c r="B8" s="18"/>
      <c r="C8" s="19" t="s">
        <v>11</v>
      </c>
      <c r="D8" s="18"/>
      <c r="E8" s="18" t="s">
        <v>12</v>
      </c>
      <c r="F8" s="24">
        <f>SUM(F7)</f>
        <v>0.15</v>
      </c>
      <c r="G8" s="21">
        <v>0</v>
      </c>
      <c r="H8" s="17" t="s">
        <v>12</v>
      </c>
    </row>
    <row r="9" spans="1:10" x14ac:dyDescent="0.2">
      <c r="A9" s="18"/>
      <c r="B9" s="18"/>
      <c r="C9" s="22"/>
      <c r="D9" s="18"/>
      <c r="E9" s="18"/>
      <c r="F9" s="23"/>
      <c r="G9" s="23"/>
      <c r="H9" s="17" t="s">
        <v>12</v>
      </c>
    </row>
    <row r="10" spans="1:10" x14ac:dyDescent="0.2">
      <c r="A10" s="18"/>
      <c r="B10" s="18"/>
      <c r="C10" s="19" t="s">
        <v>14</v>
      </c>
      <c r="D10" s="18"/>
      <c r="E10" s="18"/>
      <c r="F10" s="18"/>
      <c r="G10" s="18"/>
      <c r="H10" s="17" t="s">
        <v>12</v>
      </c>
    </row>
    <row r="11" spans="1:10" x14ac:dyDescent="0.2">
      <c r="A11" s="18"/>
      <c r="B11" s="18"/>
      <c r="C11" s="19" t="s">
        <v>11</v>
      </c>
      <c r="D11" s="18"/>
      <c r="E11" s="18" t="s">
        <v>12</v>
      </c>
      <c r="F11" s="20" t="s">
        <v>13</v>
      </c>
      <c r="G11" s="21">
        <v>0</v>
      </c>
      <c r="H11" s="17" t="s">
        <v>12</v>
      </c>
    </row>
    <row r="12" spans="1:10" x14ac:dyDescent="0.2">
      <c r="A12" s="18"/>
      <c r="B12" s="18"/>
      <c r="C12" s="22"/>
      <c r="D12" s="18"/>
      <c r="E12" s="18"/>
      <c r="F12" s="23"/>
      <c r="G12" s="23"/>
      <c r="H12" s="17" t="s">
        <v>12</v>
      </c>
    </row>
    <row r="13" spans="1:10" x14ac:dyDescent="0.2">
      <c r="A13" s="18"/>
      <c r="B13" s="18"/>
      <c r="C13" s="19" t="s">
        <v>15</v>
      </c>
      <c r="D13" s="18"/>
      <c r="E13" s="18"/>
      <c r="F13" s="18"/>
      <c r="G13" s="18"/>
      <c r="H13" s="17" t="s">
        <v>12</v>
      </c>
    </row>
    <row r="14" spans="1:10" x14ac:dyDescent="0.2">
      <c r="A14" s="18"/>
      <c r="B14" s="18"/>
      <c r="C14" s="19" t="s">
        <v>11</v>
      </c>
      <c r="D14" s="18"/>
      <c r="E14" s="18" t="s">
        <v>12</v>
      </c>
      <c r="F14" s="20" t="s">
        <v>13</v>
      </c>
      <c r="G14" s="21">
        <v>0</v>
      </c>
      <c r="H14" s="17" t="s">
        <v>12</v>
      </c>
    </row>
    <row r="15" spans="1:10" x14ac:dyDescent="0.2">
      <c r="A15" s="18"/>
      <c r="B15" s="18"/>
      <c r="C15" s="22"/>
      <c r="D15" s="18"/>
      <c r="E15" s="18"/>
      <c r="F15" s="23"/>
      <c r="G15" s="23"/>
      <c r="H15" s="17" t="s">
        <v>12</v>
      </c>
    </row>
    <row r="16" spans="1:10"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0.15</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18"/>
      <c r="B29" s="18"/>
      <c r="C29" s="19" t="s">
        <v>11</v>
      </c>
      <c r="D29" s="18"/>
      <c r="E29" s="18" t="s">
        <v>12</v>
      </c>
      <c r="F29" s="20" t="s">
        <v>13</v>
      </c>
      <c r="G29" s="21">
        <v>0</v>
      </c>
      <c r="H29" s="17" t="s">
        <v>12</v>
      </c>
    </row>
    <row r="30" spans="1:8" x14ac:dyDescent="0.2">
      <c r="A30" s="18"/>
      <c r="B30" s="18"/>
      <c r="C30" s="22"/>
      <c r="D30" s="18"/>
      <c r="E30" s="18"/>
      <c r="F30" s="23"/>
      <c r="G30" s="23"/>
      <c r="H30" s="17" t="s">
        <v>12</v>
      </c>
    </row>
    <row r="31" spans="1:8" x14ac:dyDescent="0.2">
      <c r="A31" s="18"/>
      <c r="B31" s="18"/>
      <c r="C31" s="19" t="s">
        <v>73</v>
      </c>
      <c r="D31" s="18"/>
      <c r="E31" s="18"/>
      <c r="F31" s="18"/>
      <c r="G31" s="18"/>
      <c r="H31" s="17" t="s">
        <v>12</v>
      </c>
    </row>
    <row r="32" spans="1:8" x14ac:dyDescent="0.2">
      <c r="A32" s="18"/>
      <c r="B32" s="18"/>
      <c r="C32" s="19" t="s">
        <v>11</v>
      </c>
      <c r="D32" s="18"/>
      <c r="E32" s="18" t="s">
        <v>12</v>
      </c>
      <c r="F32" s="20" t="s">
        <v>13</v>
      </c>
      <c r="G32" s="21">
        <v>0</v>
      </c>
      <c r="H32" s="17" t="s">
        <v>12</v>
      </c>
    </row>
    <row r="33" spans="1:8" x14ac:dyDescent="0.2">
      <c r="A33" s="18"/>
      <c r="B33" s="18"/>
      <c r="C33" s="22"/>
      <c r="D33" s="18"/>
      <c r="E33" s="18"/>
      <c r="F33" s="23"/>
      <c r="G33" s="23"/>
      <c r="H33" s="17" t="s">
        <v>12</v>
      </c>
    </row>
    <row r="34" spans="1:8" x14ac:dyDescent="0.2">
      <c r="A34" s="18"/>
      <c r="B34" s="18"/>
      <c r="C34" s="19" t="s">
        <v>74</v>
      </c>
      <c r="D34" s="18"/>
      <c r="E34" s="18"/>
      <c r="F34" s="18"/>
      <c r="G34" s="18"/>
      <c r="H34" s="17" t="s">
        <v>12</v>
      </c>
    </row>
    <row r="35" spans="1:8" x14ac:dyDescent="0.2">
      <c r="A35" s="18"/>
      <c r="B35" s="18"/>
      <c r="C35" s="19" t="s">
        <v>11</v>
      </c>
      <c r="D35" s="18"/>
      <c r="E35" s="18" t="s">
        <v>12</v>
      </c>
      <c r="F35" s="20" t="s">
        <v>13</v>
      </c>
      <c r="G35" s="21">
        <v>0</v>
      </c>
      <c r="H35" s="17" t="s">
        <v>12</v>
      </c>
    </row>
    <row r="36" spans="1:8" x14ac:dyDescent="0.2">
      <c r="A36" s="18"/>
      <c r="B36" s="18"/>
      <c r="C36" s="22"/>
      <c r="D36" s="18"/>
      <c r="E36" s="18"/>
      <c r="F36" s="23"/>
      <c r="G36" s="23"/>
      <c r="H36" s="17" t="s">
        <v>12</v>
      </c>
    </row>
    <row r="37" spans="1:8" x14ac:dyDescent="0.2">
      <c r="A37" s="18"/>
      <c r="B37" s="18"/>
      <c r="C37" s="19" t="s">
        <v>94</v>
      </c>
      <c r="D37" s="18"/>
      <c r="E37" s="18"/>
      <c r="F37" s="23"/>
      <c r="G37" s="23"/>
      <c r="H37" s="17" t="s">
        <v>12</v>
      </c>
    </row>
    <row r="38" spans="1:8" x14ac:dyDescent="0.2">
      <c r="A38" s="18"/>
      <c r="B38" s="18"/>
      <c r="C38" s="19" t="s">
        <v>11</v>
      </c>
      <c r="D38" s="18"/>
      <c r="E38" s="18" t="s">
        <v>12</v>
      </c>
      <c r="F38" s="20" t="s">
        <v>13</v>
      </c>
      <c r="G38" s="21">
        <v>0</v>
      </c>
      <c r="H38" s="17" t="s">
        <v>12</v>
      </c>
    </row>
    <row r="39" spans="1:8" x14ac:dyDescent="0.2">
      <c r="A39" s="18"/>
      <c r="B39" s="18"/>
      <c r="C39" s="22"/>
      <c r="D39" s="18"/>
      <c r="E39" s="18"/>
      <c r="F39" s="23"/>
      <c r="G39" s="23"/>
      <c r="H39" s="17" t="s">
        <v>12</v>
      </c>
    </row>
    <row r="40" spans="1:8" x14ac:dyDescent="0.2">
      <c r="A40" s="18"/>
      <c r="B40" s="18"/>
      <c r="C40" s="19" t="s">
        <v>95</v>
      </c>
      <c r="D40" s="18"/>
      <c r="E40" s="18"/>
      <c r="F40" s="24">
        <v>0</v>
      </c>
      <c r="G40" s="21">
        <v>0</v>
      </c>
      <c r="H40" s="17" t="s">
        <v>12</v>
      </c>
    </row>
    <row r="41" spans="1:8" x14ac:dyDescent="0.2">
      <c r="A41" s="18"/>
      <c r="B41" s="18"/>
      <c r="C41" s="22"/>
      <c r="D41" s="18"/>
      <c r="E41" s="18"/>
      <c r="F41" s="23"/>
      <c r="G41" s="23"/>
      <c r="H41" s="17" t="s">
        <v>12</v>
      </c>
    </row>
    <row r="42" spans="1:8" x14ac:dyDescent="0.2">
      <c r="A42" s="18"/>
      <c r="B42" s="18"/>
      <c r="C42" s="19" t="s">
        <v>96</v>
      </c>
      <c r="D42" s="18"/>
      <c r="E42" s="18"/>
      <c r="F42" s="23"/>
      <c r="G42" s="23"/>
      <c r="H42" s="17" t="s">
        <v>12</v>
      </c>
    </row>
    <row r="43" spans="1:8" x14ac:dyDescent="0.2">
      <c r="A43" s="18"/>
      <c r="B43" s="18"/>
      <c r="C43" s="19" t="s">
        <v>97</v>
      </c>
      <c r="D43" s="18"/>
      <c r="E43" s="18"/>
      <c r="F43" s="23"/>
      <c r="G43" s="23"/>
      <c r="H43" s="17" t="s">
        <v>12</v>
      </c>
    </row>
    <row r="44" spans="1:8" ht="25.5" x14ac:dyDescent="0.2">
      <c r="A44" s="25">
        <v>1</v>
      </c>
      <c r="B44" s="26" t="s">
        <v>289</v>
      </c>
      <c r="C44" s="26" t="s">
        <v>290</v>
      </c>
      <c r="D44" s="26" t="s">
        <v>152</v>
      </c>
      <c r="E44" s="27">
        <v>3000</v>
      </c>
      <c r="F44" s="28">
        <v>14933.084999999999</v>
      </c>
      <c r="G44" s="29">
        <v>2.282994E-2</v>
      </c>
      <c r="H44" s="17">
        <v>6.5423</v>
      </c>
    </row>
    <row r="45" spans="1:8" x14ac:dyDescent="0.2">
      <c r="A45" s="25">
        <v>2</v>
      </c>
      <c r="B45" s="26" t="s">
        <v>291</v>
      </c>
      <c r="C45" s="26" t="s">
        <v>292</v>
      </c>
      <c r="D45" s="26" t="s">
        <v>152</v>
      </c>
      <c r="E45" s="27">
        <v>3000</v>
      </c>
      <c r="F45" s="28">
        <v>14766.51</v>
      </c>
      <c r="G45" s="29">
        <v>2.257528E-2</v>
      </c>
      <c r="H45" s="17">
        <v>6.4850000000000003</v>
      </c>
    </row>
    <row r="46" spans="1:8" x14ac:dyDescent="0.2">
      <c r="A46" s="25">
        <v>3</v>
      </c>
      <c r="B46" s="26" t="s">
        <v>293</v>
      </c>
      <c r="C46" s="26" t="s">
        <v>294</v>
      </c>
      <c r="D46" s="26" t="s">
        <v>152</v>
      </c>
      <c r="E46" s="27">
        <v>3000</v>
      </c>
      <c r="F46" s="28">
        <v>14764.275</v>
      </c>
      <c r="G46" s="29">
        <v>2.2571859999999999E-2</v>
      </c>
      <c r="H46" s="17">
        <v>6.4749999999999996</v>
      </c>
    </row>
    <row r="47" spans="1:8" x14ac:dyDescent="0.2">
      <c r="A47" s="25">
        <v>4</v>
      </c>
      <c r="B47" s="26" t="s">
        <v>295</v>
      </c>
      <c r="C47" s="26" t="s">
        <v>296</v>
      </c>
      <c r="D47" s="26" t="s">
        <v>152</v>
      </c>
      <c r="E47" s="27">
        <v>2500</v>
      </c>
      <c r="F47" s="28">
        <v>12430.85</v>
      </c>
      <c r="G47" s="29">
        <v>1.9004480000000001E-2</v>
      </c>
      <c r="H47" s="17">
        <v>6.5503</v>
      </c>
    </row>
    <row r="48" spans="1:8" x14ac:dyDescent="0.2">
      <c r="A48" s="25">
        <v>5</v>
      </c>
      <c r="B48" s="26" t="s">
        <v>297</v>
      </c>
      <c r="C48" s="26" t="s">
        <v>298</v>
      </c>
      <c r="D48" s="26" t="s">
        <v>152</v>
      </c>
      <c r="E48" s="27">
        <v>2500</v>
      </c>
      <c r="F48" s="28">
        <v>12318.762500000001</v>
      </c>
      <c r="G48" s="29">
        <v>1.8833119999999998E-2</v>
      </c>
      <c r="H48" s="17">
        <v>6.47</v>
      </c>
    </row>
    <row r="49" spans="1:8" x14ac:dyDescent="0.2">
      <c r="A49" s="25">
        <v>6</v>
      </c>
      <c r="B49" s="26" t="s">
        <v>299</v>
      </c>
      <c r="C49" s="26" t="s">
        <v>300</v>
      </c>
      <c r="D49" s="26" t="s">
        <v>301</v>
      </c>
      <c r="E49" s="27">
        <v>2000</v>
      </c>
      <c r="F49" s="28">
        <v>9957.18</v>
      </c>
      <c r="G49" s="29">
        <v>1.52227E-2</v>
      </c>
      <c r="H49" s="17">
        <v>6.5411999999999999</v>
      </c>
    </row>
    <row r="50" spans="1:8" x14ac:dyDescent="0.2">
      <c r="A50" s="25">
        <v>7</v>
      </c>
      <c r="B50" s="26" t="s">
        <v>302</v>
      </c>
      <c r="C50" s="26" t="s">
        <v>303</v>
      </c>
      <c r="D50" s="26" t="s">
        <v>301</v>
      </c>
      <c r="E50" s="27">
        <v>2000</v>
      </c>
      <c r="F50" s="28">
        <v>9955.4</v>
      </c>
      <c r="G50" s="29">
        <v>1.5219979999999999E-2</v>
      </c>
      <c r="H50" s="17">
        <v>6.5411999999999999</v>
      </c>
    </row>
    <row r="51" spans="1:8" x14ac:dyDescent="0.2">
      <c r="A51" s="25">
        <v>8</v>
      </c>
      <c r="B51" s="26" t="s">
        <v>304</v>
      </c>
      <c r="C51" s="26" t="s">
        <v>305</v>
      </c>
      <c r="D51" s="26" t="s">
        <v>306</v>
      </c>
      <c r="E51" s="27">
        <v>2000</v>
      </c>
      <c r="F51" s="28">
        <v>9951.7800000000007</v>
      </c>
      <c r="G51" s="29">
        <v>1.5214439999999999E-2</v>
      </c>
      <c r="H51" s="17">
        <v>6.55</v>
      </c>
    </row>
    <row r="52" spans="1:8" x14ac:dyDescent="0.2">
      <c r="A52" s="25">
        <v>9</v>
      </c>
      <c r="B52" s="26" t="s">
        <v>307</v>
      </c>
      <c r="C52" s="26" t="s">
        <v>308</v>
      </c>
      <c r="D52" s="26" t="s">
        <v>152</v>
      </c>
      <c r="E52" s="27">
        <v>2000</v>
      </c>
      <c r="F52" s="28">
        <v>9951.42</v>
      </c>
      <c r="G52" s="29">
        <v>1.5213890000000001E-2</v>
      </c>
      <c r="H52" s="17">
        <v>6.5998000000000001</v>
      </c>
    </row>
    <row r="53" spans="1:8" x14ac:dyDescent="0.2">
      <c r="A53" s="25">
        <v>10</v>
      </c>
      <c r="B53" s="26" t="s">
        <v>309</v>
      </c>
      <c r="C53" s="26" t="s">
        <v>310</v>
      </c>
      <c r="D53" s="26" t="s">
        <v>152</v>
      </c>
      <c r="E53" s="27">
        <v>2000</v>
      </c>
      <c r="F53" s="28">
        <v>9941.1299999999992</v>
      </c>
      <c r="G53" s="29">
        <v>1.519816E-2</v>
      </c>
      <c r="H53" s="17">
        <v>6.5495999999999999</v>
      </c>
    </row>
    <row r="54" spans="1:8" x14ac:dyDescent="0.2">
      <c r="A54" s="25">
        <v>11</v>
      </c>
      <c r="B54" s="26" t="s">
        <v>311</v>
      </c>
      <c r="C54" s="26" t="s">
        <v>312</v>
      </c>
      <c r="D54" s="26" t="s">
        <v>152</v>
      </c>
      <c r="E54" s="27">
        <v>2000</v>
      </c>
      <c r="F54" s="28">
        <v>9891.7199999999993</v>
      </c>
      <c r="G54" s="29">
        <v>1.512262E-2</v>
      </c>
      <c r="H54" s="17">
        <v>6.55</v>
      </c>
    </row>
    <row r="55" spans="1:8" x14ac:dyDescent="0.2">
      <c r="A55" s="25">
        <v>12</v>
      </c>
      <c r="B55" s="26" t="s">
        <v>313</v>
      </c>
      <c r="C55" s="26" t="s">
        <v>314</v>
      </c>
      <c r="D55" s="26" t="s">
        <v>152</v>
      </c>
      <c r="E55" s="27">
        <v>2000</v>
      </c>
      <c r="F55" s="28">
        <v>9858.69</v>
      </c>
      <c r="G55" s="29">
        <v>1.507213E-2</v>
      </c>
      <c r="H55" s="17">
        <v>6.54</v>
      </c>
    </row>
    <row r="56" spans="1:8" x14ac:dyDescent="0.2">
      <c r="A56" s="25">
        <v>13</v>
      </c>
      <c r="B56" s="26" t="s">
        <v>315</v>
      </c>
      <c r="C56" s="26" t="s">
        <v>316</v>
      </c>
      <c r="D56" s="26" t="s">
        <v>152</v>
      </c>
      <c r="E56" s="27">
        <v>2000</v>
      </c>
      <c r="F56" s="28">
        <v>9846.2900000000009</v>
      </c>
      <c r="G56" s="29">
        <v>1.5053169999999999E-2</v>
      </c>
      <c r="H56" s="17">
        <v>6.4749999999999996</v>
      </c>
    </row>
    <row r="57" spans="1:8" x14ac:dyDescent="0.2">
      <c r="A57" s="25">
        <v>14</v>
      </c>
      <c r="B57" s="26" t="s">
        <v>317</v>
      </c>
      <c r="C57" s="26" t="s">
        <v>698</v>
      </c>
      <c r="D57" s="26" t="s">
        <v>152</v>
      </c>
      <c r="E57" s="27">
        <v>2000</v>
      </c>
      <c r="F57" s="28">
        <v>9842.49</v>
      </c>
      <c r="G57" s="29">
        <v>1.5047359999999999E-2</v>
      </c>
      <c r="H57" s="17">
        <v>6.49</v>
      </c>
    </row>
    <row r="58" spans="1:8" x14ac:dyDescent="0.2">
      <c r="A58" s="25">
        <v>15</v>
      </c>
      <c r="B58" s="26" t="s">
        <v>318</v>
      </c>
      <c r="C58" s="26" t="s">
        <v>319</v>
      </c>
      <c r="D58" s="26" t="s">
        <v>152</v>
      </c>
      <c r="E58" s="27">
        <v>1500</v>
      </c>
      <c r="F58" s="28">
        <v>7458.51</v>
      </c>
      <c r="G58" s="29">
        <v>1.140269E-2</v>
      </c>
      <c r="H58" s="17">
        <v>6.5498000000000003</v>
      </c>
    </row>
    <row r="59" spans="1:8" x14ac:dyDescent="0.2">
      <c r="A59" s="25">
        <v>16</v>
      </c>
      <c r="B59" s="26" t="s">
        <v>320</v>
      </c>
      <c r="C59" s="26" t="s">
        <v>321</v>
      </c>
      <c r="D59" s="26" t="s">
        <v>152</v>
      </c>
      <c r="E59" s="27">
        <v>1000</v>
      </c>
      <c r="F59" s="28">
        <v>4978.59</v>
      </c>
      <c r="G59" s="29">
        <v>7.6113500000000002E-3</v>
      </c>
      <c r="H59" s="17">
        <v>6.54</v>
      </c>
    </row>
    <row r="60" spans="1:8" x14ac:dyDescent="0.2">
      <c r="A60" s="25">
        <v>17</v>
      </c>
      <c r="B60" s="26" t="s">
        <v>322</v>
      </c>
      <c r="C60" s="26" t="s">
        <v>323</v>
      </c>
      <c r="D60" s="26" t="s">
        <v>152</v>
      </c>
      <c r="E60" s="27">
        <v>1000</v>
      </c>
      <c r="F60" s="28">
        <v>4971.4949999999999</v>
      </c>
      <c r="G60" s="29">
        <v>7.6004999999999996E-3</v>
      </c>
      <c r="H60" s="17">
        <v>6.54</v>
      </c>
    </row>
    <row r="61" spans="1:8" x14ac:dyDescent="0.2">
      <c r="A61" s="25">
        <v>18</v>
      </c>
      <c r="B61" s="26" t="s">
        <v>278</v>
      </c>
      <c r="C61" s="26" t="s">
        <v>279</v>
      </c>
      <c r="D61" s="26" t="s">
        <v>152</v>
      </c>
      <c r="E61" s="27">
        <v>500</v>
      </c>
      <c r="F61" s="28">
        <v>2495.0749999999998</v>
      </c>
      <c r="G61" s="29">
        <v>3.8145100000000001E-3</v>
      </c>
      <c r="H61" s="17">
        <v>6.55</v>
      </c>
    </row>
    <row r="62" spans="1:8" x14ac:dyDescent="0.2">
      <c r="A62" s="25">
        <v>19</v>
      </c>
      <c r="B62" s="26" t="s">
        <v>324</v>
      </c>
      <c r="C62" s="26" t="s">
        <v>325</v>
      </c>
      <c r="D62" s="26" t="s">
        <v>152</v>
      </c>
      <c r="E62" s="27">
        <v>500</v>
      </c>
      <c r="F62" s="28">
        <v>2491.06</v>
      </c>
      <c r="G62" s="29">
        <v>3.8083700000000002E-3</v>
      </c>
      <c r="H62" s="17">
        <v>6.5496999999999996</v>
      </c>
    </row>
    <row r="63" spans="1:8" x14ac:dyDescent="0.2">
      <c r="A63" s="25">
        <v>20</v>
      </c>
      <c r="B63" s="26" t="s">
        <v>326</v>
      </c>
      <c r="C63" s="26" t="s">
        <v>327</v>
      </c>
      <c r="D63" s="26" t="s">
        <v>301</v>
      </c>
      <c r="E63" s="27">
        <v>500</v>
      </c>
      <c r="F63" s="28">
        <v>2490.625</v>
      </c>
      <c r="G63" s="29">
        <v>3.8077100000000002E-3</v>
      </c>
      <c r="H63" s="17">
        <v>6.5416999999999996</v>
      </c>
    </row>
    <row r="64" spans="1:8" x14ac:dyDescent="0.2">
      <c r="A64" s="25">
        <v>21</v>
      </c>
      <c r="B64" s="26" t="s">
        <v>153</v>
      </c>
      <c r="C64" s="26" t="s">
        <v>154</v>
      </c>
      <c r="D64" s="26" t="s">
        <v>152</v>
      </c>
      <c r="E64" s="27">
        <v>300</v>
      </c>
      <c r="F64" s="28">
        <v>1493.568</v>
      </c>
      <c r="G64" s="29">
        <v>2.2833900000000002E-3</v>
      </c>
      <c r="H64" s="17">
        <v>6.5495999999999999</v>
      </c>
    </row>
    <row r="65" spans="1:8" x14ac:dyDescent="0.2">
      <c r="A65" s="18"/>
      <c r="B65" s="18"/>
      <c r="C65" s="19" t="s">
        <v>11</v>
      </c>
      <c r="D65" s="18"/>
      <c r="E65" s="18" t="s">
        <v>12</v>
      </c>
      <c r="F65" s="24">
        <v>184788.5055</v>
      </c>
      <c r="G65" s="21">
        <v>0.28250765</v>
      </c>
      <c r="H65" s="17" t="s">
        <v>12</v>
      </c>
    </row>
    <row r="66" spans="1:8" x14ac:dyDescent="0.2">
      <c r="A66" s="18"/>
      <c r="B66" s="18"/>
      <c r="C66" s="22"/>
      <c r="D66" s="18"/>
      <c r="E66" s="18"/>
      <c r="F66" s="23"/>
      <c r="G66" s="23"/>
      <c r="H66" s="17" t="s">
        <v>12</v>
      </c>
    </row>
    <row r="67" spans="1:8" x14ac:dyDescent="0.2">
      <c r="A67" s="18"/>
      <c r="B67" s="18"/>
      <c r="C67" s="19" t="s">
        <v>98</v>
      </c>
      <c r="D67" s="18"/>
      <c r="E67" s="18"/>
      <c r="F67" s="23"/>
      <c r="G67" s="23"/>
      <c r="H67" s="17" t="s">
        <v>12</v>
      </c>
    </row>
    <row r="68" spans="1:8" ht="25.5" x14ac:dyDescent="0.2">
      <c r="A68" s="25">
        <v>1</v>
      </c>
      <c r="B68" s="26" t="s">
        <v>328</v>
      </c>
      <c r="C68" s="26" t="s">
        <v>329</v>
      </c>
      <c r="D68" s="26" t="s">
        <v>152</v>
      </c>
      <c r="E68" s="27">
        <v>3000</v>
      </c>
      <c r="F68" s="28">
        <v>14906.084999999999</v>
      </c>
      <c r="G68" s="29">
        <v>2.2788659999999999E-2</v>
      </c>
      <c r="H68" s="17">
        <v>6.5701999999999998</v>
      </c>
    </row>
    <row r="69" spans="1:8" x14ac:dyDescent="0.2">
      <c r="A69" s="25">
        <v>2</v>
      </c>
      <c r="B69" s="26" t="s">
        <v>330</v>
      </c>
      <c r="C69" s="26" t="s">
        <v>331</v>
      </c>
      <c r="D69" s="26" t="s">
        <v>152</v>
      </c>
      <c r="E69" s="27">
        <v>3000</v>
      </c>
      <c r="F69" s="28">
        <v>14897.64</v>
      </c>
      <c r="G69" s="29">
        <v>2.2775750000000001E-2</v>
      </c>
      <c r="H69" s="17">
        <v>6.6</v>
      </c>
    </row>
    <row r="70" spans="1:8" x14ac:dyDescent="0.2">
      <c r="A70" s="25">
        <v>3</v>
      </c>
      <c r="B70" s="26" t="s">
        <v>332</v>
      </c>
      <c r="C70" s="26" t="s">
        <v>333</v>
      </c>
      <c r="D70" s="26" t="s">
        <v>152</v>
      </c>
      <c r="E70" s="27">
        <v>3000</v>
      </c>
      <c r="F70" s="28">
        <v>14834.88</v>
      </c>
      <c r="G70" s="29">
        <v>2.26798E-2</v>
      </c>
      <c r="H70" s="17">
        <v>6.66</v>
      </c>
    </row>
    <row r="71" spans="1:8" x14ac:dyDescent="0.2">
      <c r="A71" s="25">
        <v>4</v>
      </c>
      <c r="B71" s="26" t="s">
        <v>334</v>
      </c>
      <c r="C71" s="26" t="s">
        <v>335</v>
      </c>
      <c r="D71" s="26" t="s">
        <v>152</v>
      </c>
      <c r="E71" s="27">
        <v>2500</v>
      </c>
      <c r="F71" s="28">
        <v>12412.475</v>
      </c>
      <c r="G71" s="29">
        <v>1.8976389999999999E-2</v>
      </c>
      <c r="H71" s="17">
        <v>6.6</v>
      </c>
    </row>
    <row r="72" spans="1:8" ht="25.5" x14ac:dyDescent="0.2">
      <c r="A72" s="25">
        <v>5</v>
      </c>
      <c r="B72" s="26" t="s">
        <v>336</v>
      </c>
      <c r="C72" s="26" t="s">
        <v>337</v>
      </c>
      <c r="D72" s="26" t="s">
        <v>152</v>
      </c>
      <c r="E72" s="27">
        <v>2500</v>
      </c>
      <c r="F72" s="28">
        <v>12378.4125</v>
      </c>
      <c r="G72" s="29">
        <v>1.8924320000000001E-2</v>
      </c>
      <c r="H72" s="17">
        <v>6.64</v>
      </c>
    </row>
    <row r="73" spans="1:8" x14ac:dyDescent="0.2">
      <c r="A73" s="25">
        <v>6</v>
      </c>
      <c r="B73" s="26" t="s">
        <v>338</v>
      </c>
      <c r="C73" s="26" t="s">
        <v>339</v>
      </c>
      <c r="D73" s="26" t="s">
        <v>152</v>
      </c>
      <c r="E73" s="27">
        <v>2000</v>
      </c>
      <c r="F73" s="28">
        <v>10000</v>
      </c>
      <c r="G73" s="29">
        <v>1.528816E-2</v>
      </c>
      <c r="H73" s="17">
        <v>6.2</v>
      </c>
    </row>
    <row r="74" spans="1:8" x14ac:dyDescent="0.2">
      <c r="A74" s="25">
        <v>7</v>
      </c>
      <c r="B74" s="26" t="s">
        <v>340</v>
      </c>
      <c r="C74" s="26" t="s">
        <v>341</v>
      </c>
      <c r="D74" s="26" t="s">
        <v>152</v>
      </c>
      <c r="E74" s="27">
        <v>2000</v>
      </c>
      <c r="F74" s="28">
        <v>9986.76</v>
      </c>
      <c r="G74" s="29">
        <v>1.5267920000000001E-2</v>
      </c>
      <c r="H74" s="17">
        <v>6.9124999999999996</v>
      </c>
    </row>
    <row r="75" spans="1:8" x14ac:dyDescent="0.2">
      <c r="A75" s="25">
        <v>8</v>
      </c>
      <c r="B75" s="26" t="s">
        <v>342</v>
      </c>
      <c r="C75" s="26" t="s">
        <v>343</v>
      </c>
      <c r="D75" s="26" t="s">
        <v>306</v>
      </c>
      <c r="E75" s="27">
        <v>2000</v>
      </c>
      <c r="F75" s="28">
        <v>9976.2999999999993</v>
      </c>
      <c r="G75" s="29">
        <v>1.525193E-2</v>
      </c>
      <c r="H75" s="17">
        <v>6.6696</v>
      </c>
    </row>
    <row r="76" spans="1:8" x14ac:dyDescent="0.2">
      <c r="A76" s="25">
        <v>9</v>
      </c>
      <c r="B76" s="26" t="s">
        <v>344</v>
      </c>
      <c r="C76" s="26" t="s">
        <v>345</v>
      </c>
      <c r="D76" s="26" t="s">
        <v>152</v>
      </c>
      <c r="E76" s="27">
        <v>2000</v>
      </c>
      <c r="F76" s="28">
        <v>9950.69</v>
      </c>
      <c r="G76" s="29">
        <v>1.521278E-2</v>
      </c>
      <c r="H76" s="17">
        <v>6.6992000000000003</v>
      </c>
    </row>
    <row r="77" spans="1:8" x14ac:dyDescent="0.2">
      <c r="A77" s="25">
        <v>10</v>
      </c>
      <c r="B77" s="26" t="s">
        <v>346</v>
      </c>
      <c r="C77" s="26" t="s">
        <v>347</v>
      </c>
      <c r="D77" s="26" t="s">
        <v>152</v>
      </c>
      <c r="E77" s="27">
        <v>2000</v>
      </c>
      <c r="F77" s="28">
        <v>9944.57</v>
      </c>
      <c r="G77" s="29">
        <v>1.520342E-2</v>
      </c>
      <c r="H77" s="17">
        <v>6.5632000000000001</v>
      </c>
    </row>
    <row r="78" spans="1:8" ht="25.5" x14ac:dyDescent="0.2">
      <c r="A78" s="25">
        <v>11</v>
      </c>
      <c r="B78" s="26" t="s">
        <v>348</v>
      </c>
      <c r="C78" s="26" t="s">
        <v>349</v>
      </c>
      <c r="D78" s="26" t="s">
        <v>152</v>
      </c>
      <c r="E78" s="27">
        <v>2000</v>
      </c>
      <c r="F78" s="28">
        <v>9944.51</v>
      </c>
      <c r="G78" s="29">
        <v>1.5203329999999999E-2</v>
      </c>
      <c r="H78" s="17">
        <v>6.5701999999999998</v>
      </c>
    </row>
    <row r="79" spans="1:8" x14ac:dyDescent="0.2">
      <c r="A79" s="25">
        <v>12</v>
      </c>
      <c r="B79" s="26" t="s">
        <v>350</v>
      </c>
      <c r="C79" s="26" t="s">
        <v>351</v>
      </c>
      <c r="D79" s="26" t="s">
        <v>152</v>
      </c>
      <c r="E79" s="27">
        <v>2000</v>
      </c>
      <c r="F79" s="28">
        <v>9936.76</v>
      </c>
      <c r="G79" s="29">
        <v>1.519148E-2</v>
      </c>
      <c r="H79" s="17">
        <v>6.8323</v>
      </c>
    </row>
    <row r="80" spans="1:8" x14ac:dyDescent="0.2">
      <c r="A80" s="25">
        <v>13</v>
      </c>
      <c r="B80" s="26" t="s">
        <v>352</v>
      </c>
      <c r="C80" s="26" t="s">
        <v>353</v>
      </c>
      <c r="D80" s="26" t="s">
        <v>152</v>
      </c>
      <c r="E80" s="27">
        <v>2000</v>
      </c>
      <c r="F80" s="28">
        <v>9931.43</v>
      </c>
      <c r="G80" s="29">
        <v>1.518333E-2</v>
      </c>
      <c r="H80" s="17">
        <v>6.6325000000000003</v>
      </c>
    </row>
    <row r="81" spans="1:8" ht="25.5" x14ac:dyDescent="0.2">
      <c r="A81" s="25">
        <v>14</v>
      </c>
      <c r="B81" s="26" t="s">
        <v>354</v>
      </c>
      <c r="C81" s="26" t="s">
        <v>355</v>
      </c>
      <c r="D81" s="26" t="s">
        <v>152</v>
      </c>
      <c r="E81" s="27">
        <v>2000</v>
      </c>
      <c r="F81" s="28">
        <v>9928.57</v>
      </c>
      <c r="G81" s="29">
        <v>1.517896E-2</v>
      </c>
      <c r="H81" s="17">
        <v>6.5648999999999997</v>
      </c>
    </row>
    <row r="82" spans="1:8" x14ac:dyDescent="0.2">
      <c r="A82" s="25">
        <v>15</v>
      </c>
      <c r="B82" s="26" t="s">
        <v>356</v>
      </c>
      <c r="C82" s="26" t="s">
        <v>357</v>
      </c>
      <c r="D82" s="26" t="s">
        <v>152</v>
      </c>
      <c r="E82" s="27">
        <v>2000</v>
      </c>
      <c r="F82" s="28">
        <v>9891.7900000000009</v>
      </c>
      <c r="G82" s="29">
        <v>1.5122729999999999E-2</v>
      </c>
      <c r="H82" s="17">
        <v>6.6550000000000002</v>
      </c>
    </row>
    <row r="83" spans="1:8" x14ac:dyDescent="0.2">
      <c r="A83" s="25">
        <v>16</v>
      </c>
      <c r="B83" s="26" t="s">
        <v>358</v>
      </c>
      <c r="C83" s="26" t="s">
        <v>359</v>
      </c>
      <c r="D83" s="26" t="s">
        <v>306</v>
      </c>
      <c r="E83" s="27">
        <v>2000</v>
      </c>
      <c r="F83" s="28">
        <v>9853.02</v>
      </c>
      <c r="G83" s="29">
        <v>1.5063460000000001E-2</v>
      </c>
      <c r="H83" s="17">
        <v>6.56</v>
      </c>
    </row>
    <row r="84" spans="1:8" x14ac:dyDescent="0.2">
      <c r="A84" s="25">
        <v>17</v>
      </c>
      <c r="B84" s="26" t="s">
        <v>360</v>
      </c>
      <c r="C84" s="26" t="s">
        <v>361</v>
      </c>
      <c r="D84" s="26" t="s">
        <v>152</v>
      </c>
      <c r="E84" s="27">
        <v>2000</v>
      </c>
      <c r="F84" s="28">
        <v>9845.25</v>
      </c>
      <c r="G84" s="29">
        <v>1.505158E-2</v>
      </c>
      <c r="H84" s="17">
        <v>6.83</v>
      </c>
    </row>
    <row r="85" spans="1:8" x14ac:dyDescent="0.2">
      <c r="A85" s="25">
        <v>18</v>
      </c>
      <c r="B85" s="26" t="s">
        <v>362</v>
      </c>
      <c r="C85" s="26" t="s">
        <v>363</v>
      </c>
      <c r="D85" s="26" t="s">
        <v>152</v>
      </c>
      <c r="E85" s="27">
        <v>2000</v>
      </c>
      <c r="F85" s="28">
        <v>9838</v>
      </c>
      <c r="G85" s="29">
        <v>1.504049E-2</v>
      </c>
      <c r="H85" s="17">
        <v>6.83</v>
      </c>
    </row>
    <row r="86" spans="1:8" x14ac:dyDescent="0.2">
      <c r="A86" s="25">
        <v>19</v>
      </c>
      <c r="B86" s="26" t="s">
        <v>364</v>
      </c>
      <c r="C86" s="26" t="s">
        <v>365</v>
      </c>
      <c r="D86" s="26" t="s">
        <v>152</v>
      </c>
      <c r="E86" s="27">
        <v>1500</v>
      </c>
      <c r="F86" s="28">
        <v>7500</v>
      </c>
      <c r="G86" s="29">
        <v>1.146612E-2</v>
      </c>
      <c r="H86" s="17">
        <v>5.8509000000000002</v>
      </c>
    </row>
    <row r="87" spans="1:8" ht="25.5" x14ac:dyDescent="0.2">
      <c r="A87" s="25">
        <v>20</v>
      </c>
      <c r="B87" s="26" t="s">
        <v>366</v>
      </c>
      <c r="C87" s="26" t="s">
        <v>367</v>
      </c>
      <c r="D87" s="26" t="s">
        <v>152</v>
      </c>
      <c r="E87" s="27">
        <v>1500</v>
      </c>
      <c r="F87" s="28">
        <v>7466.5050000000001</v>
      </c>
      <c r="G87" s="29">
        <v>1.141491E-2</v>
      </c>
      <c r="H87" s="17">
        <v>6.5499000000000001</v>
      </c>
    </row>
    <row r="88" spans="1:8" x14ac:dyDescent="0.2">
      <c r="A88" s="25">
        <v>21</v>
      </c>
      <c r="B88" s="26" t="s">
        <v>368</v>
      </c>
      <c r="C88" s="26" t="s">
        <v>369</v>
      </c>
      <c r="D88" s="26" t="s">
        <v>152</v>
      </c>
      <c r="E88" s="27">
        <v>1500</v>
      </c>
      <c r="F88" s="28">
        <v>7465.4624999999996</v>
      </c>
      <c r="G88" s="29">
        <v>1.1413319999999999E-2</v>
      </c>
      <c r="H88" s="17">
        <v>6.7549999999999999</v>
      </c>
    </row>
    <row r="89" spans="1:8" ht="25.5" x14ac:dyDescent="0.2">
      <c r="A89" s="25">
        <v>22</v>
      </c>
      <c r="B89" s="26" t="s">
        <v>370</v>
      </c>
      <c r="C89" s="26" t="s">
        <v>371</v>
      </c>
      <c r="D89" s="26" t="s">
        <v>152</v>
      </c>
      <c r="E89" s="27">
        <v>1500</v>
      </c>
      <c r="F89" s="28">
        <v>7463.7224999999999</v>
      </c>
      <c r="G89" s="29">
        <v>1.141066E-2</v>
      </c>
      <c r="H89" s="17">
        <v>6.5704000000000002</v>
      </c>
    </row>
    <row r="90" spans="1:8" x14ac:dyDescent="0.2">
      <c r="A90" s="25">
        <v>23</v>
      </c>
      <c r="B90" s="26" t="s">
        <v>372</v>
      </c>
      <c r="C90" s="26" t="s">
        <v>373</v>
      </c>
      <c r="D90" s="26" t="s">
        <v>152</v>
      </c>
      <c r="E90" s="27">
        <v>1500</v>
      </c>
      <c r="F90" s="28">
        <v>7463.3774999999996</v>
      </c>
      <c r="G90" s="29">
        <v>1.1410129999999999E-2</v>
      </c>
      <c r="H90" s="17">
        <v>6.6342999999999996</v>
      </c>
    </row>
    <row r="91" spans="1:8" ht="25.5" x14ac:dyDescent="0.2">
      <c r="A91" s="25">
        <v>24</v>
      </c>
      <c r="B91" s="26" t="s">
        <v>374</v>
      </c>
      <c r="C91" s="26" t="s">
        <v>375</v>
      </c>
      <c r="D91" s="26" t="s">
        <v>306</v>
      </c>
      <c r="E91" s="27">
        <v>1500</v>
      </c>
      <c r="F91" s="28">
        <v>7417.5074999999997</v>
      </c>
      <c r="G91" s="29">
        <v>1.1340009999999999E-2</v>
      </c>
      <c r="H91" s="17">
        <v>6.6550000000000002</v>
      </c>
    </row>
    <row r="92" spans="1:8" x14ac:dyDescent="0.2">
      <c r="A92" s="25">
        <v>25</v>
      </c>
      <c r="B92" s="26" t="s">
        <v>376</v>
      </c>
      <c r="C92" s="26" t="s">
        <v>377</v>
      </c>
      <c r="D92" s="26" t="s">
        <v>152</v>
      </c>
      <c r="E92" s="27">
        <v>1500</v>
      </c>
      <c r="F92" s="28">
        <v>7416.4274999999998</v>
      </c>
      <c r="G92" s="29">
        <v>1.1338350000000001E-2</v>
      </c>
      <c r="H92" s="17">
        <v>6.8550000000000004</v>
      </c>
    </row>
    <row r="93" spans="1:8" x14ac:dyDescent="0.2">
      <c r="A93" s="25">
        <v>26</v>
      </c>
      <c r="B93" s="26" t="s">
        <v>378</v>
      </c>
      <c r="C93" s="26" t="s">
        <v>379</v>
      </c>
      <c r="D93" s="26" t="s">
        <v>152</v>
      </c>
      <c r="E93" s="27">
        <v>1500</v>
      </c>
      <c r="F93" s="28">
        <v>7407.165</v>
      </c>
      <c r="G93" s="29">
        <v>1.132419E-2</v>
      </c>
      <c r="H93" s="17">
        <v>6.63</v>
      </c>
    </row>
    <row r="94" spans="1:8" ht="25.5" x14ac:dyDescent="0.2">
      <c r="A94" s="25">
        <v>27</v>
      </c>
      <c r="B94" s="26" t="s">
        <v>380</v>
      </c>
      <c r="C94" s="26" t="s">
        <v>381</v>
      </c>
      <c r="D94" s="26" t="s">
        <v>306</v>
      </c>
      <c r="E94" s="27">
        <v>1500</v>
      </c>
      <c r="F94" s="28">
        <v>7379.5424999999996</v>
      </c>
      <c r="G94" s="29">
        <v>1.1281960000000001E-2</v>
      </c>
      <c r="H94" s="17">
        <v>6.6200999999999999</v>
      </c>
    </row>
    <row r="95" spans="1:8" x14ac:dyDescent="0.2">
      <c r="A95" s="25">
        <v>28</v>
      </c>
      <c r="B95" s="26" t="s">
        <v>382</v>
      </c>
      <c r="C95" s="26" t="s">
        <v>383</v>
      </c>
      <c r="D95" s="26" t="s">
        <v>152</v>
      </c>
      <c r="E95" s="27">
        <v>1000</v>
      </c>
      <c r="F95" s="28">
        <v>4993.5749999999998</v>
      </c>
      <c r="G95" s="29">
        <v>7.6342600000000004E-3</v>
      </c>
      <c r="H95" s="17">
        <v>6.7103000000000002</v>
      </c>
    </row>
    <row r="96" spans="1:8" x14ac:dyDescent="0.2">
      <c r="A96" s="25">
        <v>29</v>
      </c>
      <c r="B96" s="26" t="s">
        <v>384</v>
      </c>
      <c r="C96" s="26" t="s">
        <v>385</v>
      </c>
      <c r="D96" s="26" t="s">
        <v>152</v>
      </c>
      <c r="E96" s="27">
        <v>1000</v>
      </c>
      <c r="F96" s="28">
        <v>4990.8249999999998</v>
      </c>
      <c r="G96" s="29">
        <v>7.6300500000000002E-3</v>
      </c>
      <c r="H96" s="17">
        <v>6.7103000000000002</v>
      </c>
    </row>
    <row r="97" spans="1:8" ht="25.5" x14ac:dyDescent="0.2">
      <c r="A97" s="25">
        <v>30</v>
      </c>
      <c r="B97" s="26" t="s">
        <v>386</v>
      </c>
      <c r="C97" s="26" t="s">
        <v>387</v>
      </c>
      <c r="D97" s="26" t="s">
        <v>152</v>
      </c>
      <c r="E97" s="27">
        <v>1000</v>
      </c>
      <c r="F97" s="28">
        <v>4989.665</v>
      </c>
      <c r="G97" s="29">
        <v>7.6282800000000003E-3</v>
      </c>
      <c r="H97" s="17">
        <v>6.875</v>
      </c>
    </row>
    <row r="98" spans="1:8" x14ac:dyDescent="0.2">
      <c r="A98" s="25">
        <v>31</v>
      </c>
      <c r="B98" s="26" t="s">
        <v>388</v>
      </c>
      <c r="C98" s="26" t="s">
        <v>389</v>
      </c>
      <c r="D98" s="26" t="s">
        <v>152</v>
      </c>
      <c r="E98" s="27">
        <v>1000</v>
      </c>
      <c r="F98" s="28">
        <v>4989.5600000000004</v>
      </c>
      <c r="G98" s="29">
        <v>7.6281200000000004E-3</v>
      </c>
      <c r="H98" s="17">
        <v>6.9450000000000003</v>
      </c>
    </row>
    <row r="99" spans="1:8" x14ac:dyDescent="0.2">
      <c r="A99" s="25">
        <v>32</v>
      </c>
      <c r="B99" s="26" t="s">
        <v>390</v>
      </c>
      <c r="C99" s="26" t="s">
        <v>391</v>
      </c>
      <c r="D99" s="26" t="s">
        <v>152</v>
      </c>
      <c r="E99" s="27">
        <v>1000</v>
      </c>
      <c r="F99" s="28">
        <v>4984.5649999999996</v>
      </c>
      <c r="G99" s="29">
        <v>7.6204799999999998E-3</v>
      </c>
      <c r="H99" s="17">
        <v>6.6489000000000003</v>
      </c>
    </row>
    <row r="100" spans="1:8" x14ac:dyDescent="0.2">
      <c r="A100" s="25">
        <v>33</v>
      </c>
      <c r="B100" s="26" t="s">
        <v>392</v>
      </c>
      <c r="C100" s="26" t="s">
        <v>393</v>
      </c>
      <c r="D100" s="26" t="s">
        <v>152</v>
      </c>
      <c r="E100" s="27">
        <v>1000</v>
      </c>
      <c r="F100" s="28">
        <v>4977.58</v>
      </c>
      <c r="G100" s="29">
        <v>7.6098099999999998E-3</v>
      </c>
      <c r="H100" s="17">
        <v>6.8501000000000003</v>
      </c>
    </row>
    <row r="101" spans="1:8" x14ac:dyDescent="0.2">
      <c r="A101" s="25">
        <v>34</v>
      </c>
      <c r="B101" s="26" t="s">
        <v>394</v>
      </c>
      <c r="C101" s="26" t="s">
        <v>395</v>
      </c>
      <c r="D101" s="26" t="s">
        <v>152</v>
      </c>
      <c r="E101" s="27">
        <v>1000</v>
      </c>
      <c r="F101" s="28">
        <v>4974.8549999999996</v>
      </c>
      <c r="G101" s="29">
        <v>7.6056400000000003E-3</v>
      </c>
      <c r="H101" s="17">
        <v>6.8323</v>
      </c>
    </row>
    <row r="102" spans="1:8" ht="25.5" x14ac:dyDescent="0.2">
      <c r="A102" s="25">
        <v>35</v>
      </c>
      <c r="B102" s="26" t="s">
        <v>396</v>
      </c>
      <c r="C102" s="26" t="s">
        <v>397</v>
      </c>
      <c r="D102" s="26" t="s">
        <v>152</v>
      </c>
      <c r="E102" s="27">
        <v>1000</v>
      </c>
      <c r="F102" s="28">
        <v>4938.1099999999997</v>
      </c>
      <c r="G102" s="29">
        <v>7.54946E-3</v>
      </c>
      <c r="H102" s="17">
        <v>6.63</v>
      </c>
    </row>
    <row r="103" spans="1:8" ht="25.5" x14ac:dyDescent="0.2">
      <c r="A103" s="25">
        <v>36</v>
      </c>
      <c r="B103" s="26" t="s">
        <v>398</v>
      </c>
      <c r="C103" s="26" t="s">
        <v>399</v>
      </c>
      <c r="D103" s="26" t="s">
        <v>152</v>
      </c>
      <c r="E103" s="27">
        <v>1000</v>
      </c>
      <c r="F103" s="28">
        <v>4920.2849999999999</v>
      </c>
      <c r="G103" s="29">
        <v>7.5222099999999997E-3</v>
      </c>
      <c r="H103" s="17">
        <v>7.04</v>
      </c>
    </row>
    <row r="104" spans="1:8" x14ac:dyDescent="0.2">
      <c r="A104" s="25">
        <v>37</v>
      </c>
      <c r="B104" s="26" t="s">
        <v>400</v>
      </c>
      <c r="C104" s="26" t="s">
        <v>401</v>
      </c>
      <c r="D104" s="26" t="s">
        <v>152</v>
      </c>
      <c r="E104" s="27">
        <v>1000</v>
      </c>
      <c r="F104" s="28">
        <v>4917.68</v>
      </c>
      <c r="G104" s="29">
        <v>7.5182299999999999E-3</v>
      </c>
      <c r="H104" s="17">
        <v>6.8650000000000002</v>
      </c>
    </row>
    <row r="105" spans="1:8" x14ac:dyDescent="0.2">
      <c r="A105" s="25">
        <v>38</v>
      </c>
      <c r="B105" s="26" t="s">
        <v>402</v>
      </c>
      <c r="C105" s="26" t="s">
        <v>403</v>
      </c>
      <c r="D105" s="26" t="s">
        <v>152</v>
      </c>
      <c r="E105" s="27">
        <v>500</v>
      </c>
      <c r="F105" s="28">
        <v>2484.6125000000002</v>
      </c>
      <c r="G105" s="29">
        <v>3.7985200000000001E-3</v>
      </c>
      <c r="H105" s="17">
        <v>6.85</v>
      </c>
    </row>
    <row r="106" spans="1:8" ht="25.5" x14ac:dyDescent="0.2">
      <c r="A106" s="25">
        <v>39</v>
      </c>
      <c r="B106" s="26" t="s">
        <v>218</v>
      </c>
      <c r="C106" s="26" t="s">
        <v>219</v>
      </c>
      <c r="D106" s="26" t="s">
        <v>152</v>
      </c>
      <c r="E106" s="27">
        <v>500</v>
      </c>
      <c r="F106" s="28">
        <v>2481.3049999999998</v>
      </c>
      <c r="G106" s="29">
        <v>3.7934599999999998E-3</v>
      </c>
      <c r="H106" s="17">
        <v>6.875</v>
      </c>
    </row>
    <row r="107" spans="1:8" x14ac:dyDescent="0.2">
      <c r="A107" s="18"/>
      <c r="B107" s="18"/>
      <c r="C107" s="19" t="s">
        <v>11</v>
      </c>
      <c r="D107" s="18"/>
      <c r="E107" s="18" t="s">
        <v>12</v>
      </c>
      <c r="F107" s="24">
        <v>320079.46999999997</v>
      </c>
      <c r="G107" s="21">
        <v>0.48934265999999998</v>
      </c>
      <c r="H107" s="17" t="s">
        <v>12</v>
      </c>
    </row>
    <row r="108" spans="1:8" x14ac:dyDescent="0.2">
      <c r="A108" s="18"/>
      <c r="B108" s="18"/>
      <c r="C108" s="22"/>
      <c r="D108" s="18"/>
      <c r="E108" s="18"/>
      <c r="F108" s="23"/>
      <c r="G108" s="23"/>
      <c r="H108" s="17" t="s">
        <v>12</v>
      </c>
    </row>
    <row r="109" spans="1:8" x14ac:dyDescent="0.2">
      <c r="A109" s="18"/>
      <c r="B109" s="18"/>
      <c r="C109" s="19" t="s">
        <v>99</v>
      </c>
      <c r="D109" s="18"/>
      <c r="E109" s="18"/>
      <c r="F109" s="23"/>
      <c r="G109" s="23"/>
      <c r="H109" s="17" t="s">
        <v>12</v>
      </c>
    </row>
    <row r="110" spans="1:8" x14ac:dyDescent="0.2">
      <c r="A110" s="25">
        <v>1</v>
      </c>
      <c r="B110" s="26" t="s">
        <v>404</v>
      </c>
      <c r="C110" s="26" t="s">
        <v>405</v>
      </c>
      <c r="D110" s="26" t="s">
        <v>77</v>
      </c>
      <c r="E110" s="27">
        <v>22500000</v>
      </c>
      <c r="F110" s="28">
        <v>22379.512500000001</v>
      </c>
      <c r="G110" s="29">
        <v>3.421416E-2</v>
      </c>
      <c r="H110" s="17">
        <v>5.7798999999999996</v>
      </c>
    </row>
    <row r="111" spans="1:8" x14ac:dyDescent="0.2">
      <c r="A111" s="25">
        <v>2</v>
      </c>
      <c r="B111" s="26" t="s">
        <v>406</v>
      </c>
      <c r="C111" s="26" t="s">
        <v>407</v>
      </c>
      <c r="D111" s="26" t="s">
        <v>77</v>
      </c>
      <c r="E111" s="27">
        <v>20000000</v>
      </c>
      <c r="F111" s="28">
        <v>19758.099999999999</v>
      </c>
      <c r="G111" s="29">
        <v>3.0206500000000001E-2</v>
      </c>
      <c r="H111" s="17">
        <v>5.8018000000000001</v>
      </c>
    </row>
    <row r="112" spans="1:8" x14ac:dyDescent="0.2">
      <c r="A112" s="25">
        <v>3</v>
      </c>
      <c r="B112" s="26" t="s">
        <v>408</v>
      </c>
      <c r="C112" s="26" t="s">
        <v>409</v>
      </c>
      <c r="D112" s="26" t="s">
        <v>77</v>
      </c>
      <c r="E112" s="27">
        <v>10000000</v>
      </c>
      <c r="F112" s="28">
        <v>9934.27</v>
      </c>
      <c r="G112" s="29">
        <v>1.518767E-2</v>
      </c>
      <c r="H112" s="17">
        <v>5.75</v>
      </c>
    </row>
    <row r="113" spans="1:17" x14ac:dyDescent="0.2">
      <c r="A113" s="25">
        <v>4</v>
      </c>
      <c r="B113" s="26" t="s">
        <v>410</v>
      </c>
      <c r="C113" s="26" t="s">
        <v>411</v>
      </c>
      <c r="D113" s="26" t="s">
        <v>77</v>
      </c>
      <c r="E113" s="27">
        <v>10000000</v>
      </c>
      <c r="F113" s="28">
        <v>9870.3700000000008</v>
      </c>
      <c r="G113" s="29">
        <v>1.5089979999999999E-2</v>
      </c>
      <c r="H113" s="17">
        <v>5.7750000000000004</v>
      </c>
    </row>
    <row r="114" spans="1:17" x14ac:dyDescent="0.2">
      <c r="A114" s="25">
        <v>5</v>
      </c>
      <c r="B114" s="26" t="s">
        <v>412</v>
      </c>
      <c r="C114" s="26" t="s">
        <v>413</v>
      </c>
      <c r="D114" s="26" t="s">
        <v>77</v>
      </c>
      <c r="E114" s="27">
        <v>803600</v>
      </c>
      <c r="F114" s="28">
        <v>801.81600800000001</v>
      </c>
      <c r="G114" s="29">
        <v>1.22583E-3</v>
      </c>
      <c r="H114" s="17">
        <v>5.8</v>
      </c>
    </row>
    <row r="115" spans="1:17" x14ac:dyDescent="0.2">
      <c r="A115" s="18"/>
      <c r="B115" s="18"/>
      <c r="C115" s="19" t="s">
        <v>11</v>
      </c>
      <c r="D115" s="18"/>
      <c r="E115" s="18" t="s">
        <v>12</v>
      </c>
      <c r="F115" s="24">
        <v>62744.068507999997</v>
      </c>
      <c r="G115" s="21">
        <v>9.5924140000000005E-2</v>
      </c>
      <c r="H115" s="17" t="s">
        <v>12</v>
      </c>
    </row>
    <row r="116" spans="1:17" x14ac:dyDescent="0.2">
      <c r="A116" s="18"/>
      <c r="B116" s="18"/>
      <c r="C116" s="22"/>
      <c r="D116" s="18"/>
      <c r="E116" s="18"/>
      <c r="F116" s="23"/>
      <c r="G116" s="23"/>
      <c r="H116" s="17" t="s">
        <v>12</v>
      </c>
    </row>
    <row r="117" spans="1:17" x14ac:dyDescent="0.2">
      <c r="A117" s="18"/>
      <c r="B117" s="18"/>
      <c r="C117" s="19" t="s">
        <v>100</v>
      </c>
      <c r="D117" s="18"/>
      <c r="E117" s="18"/>
      <c r="F117" s="23"/>
      <c r="G117" s="23"/>
      <c r="H117" s="17" t="s">
        <v>12</v>
      </c>
    </row>
    <row r="118" spans="1:17" x14ac:dyDescent="0.2">
      <c r="A118" s="25">
        <v>1</v>
      </c>
      <c r="B118" s="26"/>
      <c r="C118" s="26" t="s">
        <v>101</v>
      </c>
      <c r="D118" s="26"/>
      <c r="E118" s="30"/>
      <c r="F118" s="28">
        <v>62188.249634824999</v>
      </c>
      <c r="G118" s="29">
        <v>9.5074400000000003E-2</v>
      </c>
      <c r="H118" s="17">
        <v>5.69</v>
      </c>
    </row>
    <row r="119" spans="1:17" x14ac:dyDescent="0.2">
      <c r="A119" s="25">
        <v>2</v>
      </c>
      <c r="B119" s="26"/>
      <c r="C119" s="26" t="s">
        <v>414</v>
      </c>
      <c r="D119" s="26"/>
      <c r="E119" s="30"/>
      <c r="F119" s="28">
        <v>47107.428095800002</v>
      </c>
      <c r="G119" s="29">
        <v>7.2018600000000002E-2</v>
      </c>
      <c r="H119" s="17">
        <v>5.78</v>
      </c>
    </row>
    <row r="120" spans="1:17" x14ac:dyDescent="0.2">
      <c r="A120" s="18"/>
      <c r="B120" s="18"/>
      <c r="C120" s="19" t="s">
        <v>11</v>
      </c>
      <c r="D120" s="18"/>
      <c r="E120" s="18" t="s">
        <v>12</v>
      </c>
      <c r="F120" s="24">
        <v>109295.677730625</v>
      </c>
      <c r="G120" s="21">
        <v>0.16709299999999999</v>
      </c>
      <c r="H120" s="17" t="s">
        <v>12</v>
      </c>
    </row>
    <row r="121" spans="1:17" x14ac:dyDescent="0.2">
      <c r="A121" s="18"/>
      <c r="B121" s="18"/>
      <c r="C121" s="22"/>
      <c r="D121" s="18"/>
      <c r="E121" s="18"/>
      <c r="F121" s="23"/>
      <c r="G121" s="23"/>
      <c r="H121" s="17" t="s">
        <v>12</v>
      </c>
    </row>
    <row r="122" spans="1:17" x14ac:dyDescent="0.2">
      <c r="A122" s="18"/>
      <c r="B122" s="18"/>
      <c r="C122" s="19" t="s">
        <v>102</v>
      </c>
      <c r="D122" s="18"/>
      <c r="E122" s="18"/>
      <c r="F122" s="24">
        <v>676907.72173862497</v>
      </c>
      <c r="G122" s="21">
        <v>1.0348674499999999</v>
      </c>
      <c r="H122" s="17" t="s">
        <v>12</v>
      </c>
    </row>
    <row r="123" spans="1:17" x14ac:dyDescent="0.2">
      <c r="A123" s="18"/>
      <c r="B123" s="18"/>
      <c r="C123" s="23"/>
      <c r="D123" s="18"/>
      <c r="E123" s="18"/>
      <c r="F123" s="18"/>
      <c r="G123" s="18"/>
      <c r="H123" s="17" t="s">
        <v>12</v>
      </c>
    </row>
    <row r="124" spans="1:17" x14ac:dyDescent="0.2">
      <c r="A124" s="18"/>
      <c r="B124" s="18"/>
      <c r="C124" s="19" t="s">
        <v>103</v>
      </c>
      <c r="D124" s="18"/>
      <c r="E124" s="18"/>
      <c r="F124" s="18"/>
      <c r="G124" s="18"/>
      <c r="H124" s="17" t="s">
        <v>12</v>
      </c>
    </row>
    <row r="125" spans="1:17" x14ac:dyDescent="0.2">
      <c r="A125" s="18"/>
      <c r="B125" s="18"/>
      <c r="C125" s="19" t="s">
        <v>104</v>
      </c>
      <c r="D125" s="18"/>
      <c r="E125" s="18"/>
      <c r="F125" s="18"/>
      <c r="G125" s="18"/>
      <c r="H125" s="17" t="s">
        <v>12</v>
      </c>
    </row>
    <row r="126" spans="1:17" x14ac:dyDescent="0.2">
      <c r="A126" s="18"/>
      <c r="B126" s="18"/>
      <c r="C126" s="19" t="s">
        <v>11</v>
      </c>
      <c r="D126" s="18"/>
      <c r="E126" s="18" t="s">
        <v>12</v>
      </c>
      <c r="F126" s="20" t="s">
        <v>13</v>
      </c>
      <c r="G126" s="21">
        <v>0</v>
      </c>
      <c r="H126" s="17" t="s">
        <v>12</v>
      </c>
    </row>
    <row r="127" spans="1:17" x14ac:dyDescent="0.2">
      <c r="A127" s="15"/>
      <c r="B127" s="15"/>
      <c r="C127" s="70"/>
      <c r="D127" s="15"/>
      <c r="E127" s="15"/>
      <c r="F127" s="40"/>
      <c r="G127" s="40"/>
      <c r="H127" s="71" t="s">
        <v>12</v>
      </c>
    </row>
    <row r="128" spans="1:17" x14ac:dyDescent="0.2">
      <c r="A128" s="15"/>
      <c r="B128" s="15"/>
      <c r="C128" s="16" t="s">
        <v>549</v>
      </c>
      <c r="D128" s="15"/>
      <c r="E128" s="15"/>
      <c r="F128" s="40"/>
      <c r="G128" s="40"/>
      <c r="H128" s="67"/>
      <c r="K128" s="51"/>
      <c r="L128" s="51"/>
      <c r="M128" s="51"/>
      <c r="N128" s="51"/>
      <c r="O128" s="72"/>
      <c r="P128" s="72"/>
      <c r="Q128" s="72"/>
    </row>
    <row r="129" spans="1:8" ht="25.5" x14ac:dyDescent="0.2">
      <c r="A129" s="64">
        <v>1</v>
      </c>
      <c r="B129" s="65" t="s">
        <v>105</v>
      </c>
      <c r="C129" s="65" t="s">
        <v>106</v>
      </c>
      <c r="D129" s="65"/>
      <c r="E129" s="73">
        <v>13489.8614</v>
      </c>
      <c r="F129" s="67">
        <v>1504.3390666150001</v>
      </c>
      <c r="G129" s="68">
        <v>2.2998599999999999E-3</v>
      </c>
      <c r="H129" s="71"/>
    </row>
    <row r="130" spans="1:8" x14ac:dyDescent="0.2">
      <c r="A130" s="15"/>
      <c r="B130" s="15"/>
      <c r="C130" s="16" t="s">
        <v>11</v>
      </c>
      <c r="D130" s="15"/>
      <c r="E130" s="15" t="s">
        <v>12</v>
      </c>
      <c r="F130" s="74">
        <f>SUM(F129)</f>
        <v>1504.3390666150001</v>
      </c>
      <c r="G130" s="75">
        <f>SUM(G129)</f>
        <v>2.2998599999999999E-3</v>
      </c>
      <c r="H130" s="71" t="s">
        <v>12</v>
      </c>
    </row>
    <row r="131" spans="1:8" x14ac:dyDescent="0.2">
      <c r="A131" s="18"/>
      <c r="B131" s="18"/>
      <c r="C131" s="22"/>
      <c r="D131" s="18"/>
      <c r="E131" s="18"/>
      <c r="F131" s="23"/>
      <c r="G131" s="23"/>
      <c r="H131" s="17" t="s">
        <v>12</v>
      </c>
    </row>
    <row r="132" spans="1:8" x14ac:dyDescent="0.2">
      <c r="A132" s="18"/>
      <c r="B132" s="18"/>
      <c r="C132" s="19" t="s">
        <v>107</v>
      </c>
      <c r="D132" s="18"/>
      <c r="E132" s="18"/>
      <c r="F132" s="18"/>
      <c r="G132" s="18"/>
      <c r="H132" s="17" t="s">
        <v>12</v>
      </c>
    </row>
    <row r="133" spans="1:8" x14ac:dyDescent="0.2">
      <c r="A133" s="18"/>
      <c r="B133" s="18"/>
      <c r="C133" s="19" t="s">
        <v>108</v>
      </c>
      <c r="D133" s="18"/>
      <c r="E133" s="18"/>
      <c r="F133" s="18"/>
      <c r="G133" s="18"/>
      <c r="H133" s="17" t="s">
        <v>12</v>
      </c>
    </row>
    <row r="134" spans="1:8" x14ac:dyDescent="0.2">
      <c r="A134" s="18"/>
      <c r="B134" s="18"/>
      <c r="C134" s="19" t="s">
        <v>11</v>
      </c>
      <c r="D134" s="18"/>
      <c r="E134" s="18" t="s">
        <v>12</v>
      </c>
      <c r="F134" s="20" t="s">
        <v>13</v>
      </c>
      <c r="G134" s="21">
        <v>0</v>
      </c>
      <c r="H134" s="17" t="s">
        <v>12</v>
      </c>
    </row>
    <row r="135" spans="1:8" x14ac:dyDescent="0.2">
      <c r="A135" s="18"/>
      <c r="B135" s="18"/>
      <c r="C135" s="22"/>
      <c r="D135" s="18"/>
      <c r="E135" s="18"/>
      <c r="F135" s="23"/>
      <c r="G135" s="23"/>
      <c r="H135" s="17" t="s">
        <v>12</v>
      </c>
    </row>
    <row r="136" spans="1:8" x14ac:dyDescent="0.2">
      <c r="A136" s="18"/>
      <c r="B136" s="18"/>
      <c r="C136" s="19" t="s">
        <v>109</v>
      </c>
      <c r="D136" s="18"/>
      <c r="E136" s="18"/>
      <c r="F136" s="23"/>
      <c r="G136" s="23"/>
      <c r="H136" s="17" t="s">
        <v>12</v>
      </c>
    </row>
    <row r="137" spans="1:8" x14ac:dyDescent="0.2">
      <c r="A137" s="18"/>
      <c r="B137" s="18"/>
      <c r="C137" s="19" t="s">
        <v>11</v>
      </c>
      <c r="D137" s="18"/>
      <c r="E137" s="18" t="s">
        <v>12</v>
      </c>
      <c r="F137" s="20" t="s">
        <v>13</v>
      </c>
      <c r="G137" s="21">
        <v>0</v>
      </c>
      <c r="H137" s="17" t="s">
        <v>12</v>
      </c>
    </row>
    <row r="138" spans="1:8" x14ac:dyDescent="0.2">
      <c r="A138" s="18"/>
      <c r="B138" s="18"/>
      <c r="C138" s="22"/>
      <c r="D138" s="18"/>
      <c r="E138" s="18"/>
      <c r="F138" s="23"/>
      <c r="G138" s="23"/>
      <c r="H138" s="17" t="s">
        <v>12</v>
      </c>
    </row>
    <row r="139" spans="1:8" x14ac:dyDescent="0.2">
      <c r="A139" s="30"/>
      <c r="B139" s="26"/>
      <c r="C139" s="26" t="s">
        <v>110</v>
      </c>
      <c r="D139" s="26"/>
      <c r="E139" s="30"/>
      <c r="F139" s="28">
        <f>-24311.17941378-F25-0.0032144499206543</f>
        <v>-24311.33262822992</v>
      </c>
      <c r="G139" s="29">
        <f>F139/F140</f>
        <v>-3.7167558459768484E-2</v>
      </c>
      <c r="H139" s="17" t="s">
        <v>12</v>
      </c>
    </row>
    <row r="140" spans="1:8" x14ac:dyDescent="0.2">
      <c r="A140" s="22"/>
      <c r="B140" s="22"/>
      <c r="C140" s="19" t="s">
        <v>111</v>
      </c>
      <c r="D140" s="23"/>
      <c r="E140" s="23"/>
      <c r="F140" s="24">
        <f>654100.88139146-0.0032144499206543</f>
        <v>654100.87817700999</v>
      </c>
      <c r="G140" s="31">
        <v>0.99999998999999995</v>
      </c>
      <c r="H140" s="17" t="s">
        <v>12</v>
      </c>
    </row>
    <row r="141" spans="1:8" x14ac:dyDescent="0.2">
      <c r="A141" s="32"/>
      <c r="B141" s="32"/>
      <c r="C141" s="32"/>
      <c r="D141" s="33"/>
      <c r="E141" s="33"/>
      <c r="F141" s="33"/>
      <c r="G141" s="33"/>
    </row>
    <row r="142" spans="1:8" x14ac:dyDescent="0.2">
      <c r="A142" s="34"/>
      <c r="B142" s="148" t="s">
        <v>545</v>
      </c>
      <c r="C142" s="148"/>
      <c r="D142" s="148"/>
      <c r="E142" s="148"/>
      <c r="F142" s="148"/>
      <c r="G142" s="148"/>
      <c r="H142" s="148"/>
    </row>
    <row r="143" spans="1:8" x14ac:dyDescent="0.2">
      <c r="A143" s="34"/>
      <c r="B143" s="148" t="s">
        <v>546</v>
      </c>
      <c r="C143" s="148"/>
      <c r="D143" s="148"/>
      <c r="E143" s="148"/>
      <c r="F143" s="148"/>
      <c r="G143" s="148"/>
      <c r="H143" s="148"/>
    </row>
    <row r="144" spans="1:8" x14ac:dyDescent="0.2">
      <c r="A144" s="34"/>
      <c r="B144" s="148" t="s">
        <v>547</v>
      </c>
      <c r="C144" s="148"/>
      <c r="D144" s="148"/>
      <c r="E144" s="148"/>
      <c r="F144" s="148"/>
      <c r="G144" s="148"/>
      <c r="H144" s="148"/>
    </row>
    <row r="145" spans="1:9" x14ac:dyDescent="0.2">
      <c r="A145" s="34"/>
      <c r="B145" s="185" t="s">
        <v>610</v>
      </c>
      <c r="C145" s="148"/>
      <c r="D145" s="148"/>
      <c r="E145" s="148"/>
      <c r="F145" s="148"/>
      <c r="G145" s="148"/>
      <c r="H145" s="148"/>
      <c r="I145" s="107"/>
    </row>
    <row r="146" spans="1:9" x14ac:dyDescent="0.2">
      <c r="A146" s="36"/>
      <c r="B146" s="36"/>
      <c r="C146" s="36"/>
      <c r="D146" s="37"/>
      <c r="E146" s="37"/>
      <c r="F146" s="37"/>
      <c r="G146" s="37"/>
    </row>
    <row r="147" spans="1:9" x14ac:dyDescent="0.2">
      <c r="A147" s="34"/>
      <c r="B147" s="150" t="s">
        <v>112</v>
      </c>
      <c r="C147" s="151"/>
      <c r="D147" s="152"/>
      <c r="E147" s="38"/>
      <c r="F147" s="39"/>
      <c r="G147" s="39"/>
    </row>
    <row r="148" spans="1:9" ht="25.5" x14ac:dyDescent="0.2">
      <c r="A148" s="34"/>
      <c r="B148" s="153" t="s">
        <v>113</v>
      </c>
      <c r="C148" s="154"/>
      <c r="D148" s="16" t="s">
        <v>572</v>
      </c>
      <c r="E148" s="38"/>
      <c r="F148" s="39"/>
      <c r="G148" s="39"/>
    </row>
    <row r="149" spans="1:9" x14ac:dyDescent="0.2">
      <c r="A149" s="34"/>
      <c r="B149" s="153" t="s">
        <v>115</v>
      </c>
      <c r="C149" s="154"/>
      <c r="D149" s="16" t="s">
        <v>114</v>
      </c>
      <c r="E149" s="38"/>
      <c r="F149" s="39"/>
      <c r="G149" s="39"/>
    </row>
    <row r="150" spans="1:9" x14ac:dyDescent="0.2">
      <c r="A150" s="34"/>
      <c r="B150" s="153" t="s">
        <v>116</v>
      </c>
      <c r="C150" s="154"/>
      <c r="D150" s="40" t="s">
        <v>12</v>
      </c>
      <c r="E150" s="38"/>
      <c r="F150" s="39"/>
      <c r="G150" s="39"/>
    </row>
    <row r="151" spans="1:9" x14ac:dyDescent="0.2">
      <c r="A151" s="41"/>
      <c r="B151" s="42" t="s">
        <v>12</v>
      </c>
      <c r="C151" s="42" t="s">
        <v>548</v>
      </c>
      <c r="D151" s="42" t="s">
        <v>117</v>
      </c>
      <c r="E151" s="41"/>
      <c r="F151" s="41"/>
      <c r="G151" s="41"/>
    </row>
    <row r="152" spans="1:9" x14ac:dyDescent="0.2">
      <c r="A152" s="41"/>
      <c r="B152" s="43" t="s">
        <v>118</v>
      </c>
      <c r="C152" s="44">
        <v>45777</v>
      </c>
      <c r="D152" s="44">
        <v>45792</v>
      </c>
      <c r="E152" s="41"/>
      <c r="F152" s="41"/>
      <c r="G152" s="41"/>
    </row>
    <row r="153" spans="1:9" x14ac:dyDescent="0.2">
      <c r="A153" s="45"/>
      <c r="B153" s="26" t="s">
        <v>119</v>
      </c>
      <c r="C153" s="46">
        <v>2305.3179</v>
      </c>
      <c r="D153" s="46">
        <v>2311.2981</v>
      </c>
      <c r="E153" s="45"/>
      <c r="F153" s="47"/>
      <c r="G153" s="48"/>
    </row>
    <row r="154" spans="1:9" x14ac:dyDescent="0.2">
      <c r="A154" s="45"/>
      <c r="B154" s="26" t="s">
        <v>159</v>
      </c>
      <c r="C154" s="46">
        <v>1267.7039</v>
      </c>
      <c r="D154" s="46">
        <v>1270.9906000000001</v>
      </c>
      <c r="E154" s="45"/>
      <c r="F154" s="47"/>
      <c r="G154" s="48"/>
    </row>
    <row r="155" spans="1:9" ht="25.5" x14ac:dyDescent="0.2">
      <c r="A155" s="45"/>
      <c r="B155" s="26" t="s">
        <v>673</v>
      </c>
      <c r="C155" s="46">
        <v>1029.3539000000001</v>
      </c>
      <c r="D155" s="46">
        <v>1032.0241000000001</v>
      </c>
      <c r="E155" s="45"/>
      <c r="F155" s="47"/>
      <c r="G155" s="48"/>
    </row>
    <row r="156" spans="1:9" ht="25.5" x14ac:dyDescent="0.2">
      <c r="A156" s="45"/>
      <c r="B156" s="26" t="s">
        <v>674</v>
      </c>
      <c r="C156" s="46">
        <v>1158.2362000000001</v>
      </c>
      <c r="D156" s="46">
        <v>1161.2415000000001</v>
      </c>
      <c r="E156" s="45"/>
      <c r="F156" s="47"/>
      <c r="G156" s="48"/>
    </row>
    <row r="157" spans="1:9" x14ac:dyDescent="0.2">
      <c r="A157" s="45"/>
      <c r="B157" s="26" t="s">
        <v>120</v>
      </c>
      <c r="C157" s="46">
        <v>2279.4083000000001</v>
      </c>
      <c r="D157" s="46">
        <v>2285.1428000000001</v>
      </c>
      <c r="E157" s="45"/>
      <c r="F157" s="47"/>
      <c r="G157" s="48"/>
    </row>
    <row r="158" spans="1:9" x14ac:dyDescent="0.2">
      <c r="A158" s="45"/>
      <c r="B158" s="26" t="s">
        <v>160</v>
      </c>
      <c r="C158" s="46">
        <v>1261.7215000000001</v>
      </c>
      <c r="D158" s="46">
        <v>1264.8957</v>
      </c>
      <c r="E158" s="45"/>
      <c r="F158" s="47"/>
      <c r="G158" s="48"/>
    </row>
    <row r="159" spans="1:9" ht="25.5" x14ac:dyDescent="0.2">
      <c r="A159" s="45"/>
      <c r="B159" s="26" t="s">
        <v>677</v>
      </c>
      <c r="C159" s="46">
        <v>1028.797</v>
      </c>
      <c r="D159" s="46">
        <v>1031.3853999999999</v>
      </c>
      <c r="E159" s="45"/>
      <c r="F159" s="47"/>
      <c r="G159" s="48"/>
    </row>
    <row r="160" spans="1:9" ht="25.5" x14ac:dyDescent="0.2">
      <c r="A160" s="45"/>
      <c r="B160" s="26" t="s">
        <v>648</v>
      </c>
      <c r="C160" s="46">
        <v>1152.9586999999999</v>
      </c>
      <c r="D160" s="46">
        <v>1155.8592000000001</v>
      </c>
      <c r="E160" s="45"/>
      <c r="F160" s="47"/>
      <c r="G160" s="48"/>
    </row>
    <row r="161" spans="1:17" x14ac:dyDescent="0.2">
      <c r="A161" s="45"/>
      <c r="B161" s="45"/>
      <c r="C161" s="45"/>
      <c r="D161" s="45"/>
      <c r="E161" s="45"/>
      <c r="F161" s="45"/>
      <c r="G161" s="45"/>
    </row>
    <row r="162" spans="1:17" x14ac:dyDescent="0.2">
      <c r="A162" s="45"/>
      <c r="B162" s="155" t="s">
        <v>649</v>
      </c>
      <c r="C162" s="156"/>
      <c r="D162" s="16" t="s">
        <v>114</v>
      </c>
      <c r="E162" s="45"/>
      <c r="F162" s="45"/>
      <c r="G162" s="45"/>
    </row>
    <row r="163" spans="1:17" x14ac:dyDescent="0.2">
      <c r="A163" s="45"/>
      <c r="B163" s="49"/>
      <c r="C163" s="49"/>
      <c r="D163" s="49"/>
      <c r="E163" s="45"/>
      <c r="F163" s="45"/>
      <c r="G163" s="45"/>
    </row>
    <row r="164" spans="1:17" s="52" customFormat="1" x14ac:dyDescent="0.2">
      <c r="A164" s="89"/>
      <c r="B164" s="153" t="s">
        <v>562</v>
      </c>
      <c r="C164" s="154"/>
      <c r="D164" s="16" t="s">
        <v>114</v>
      </c>
      <c r="E164" s="89"/>
      <c r="F164" s="89"/>
      <c r="G164" s="89"/>
      <c r="I164" s="107"/>
      <c r="J164" s="14"/>
      <c r="K164" s="51"/>
      <c r="L164" s="51"/>
      <c r="M164" s="51"/>
      <c r="N164" s="51"/>
      <c r="O164" s="53"/>
      <c r="P164"/>
      <c r="Q164"/>
    </row>
    <row r="165" spans="1:17" x14ac:dyDescent="0.2">
      <c r="A165" s="41"/>
      <c r="B165" s="153" t="s">
        <v>563</v>
      </c>
      <c r="C165" s="154"/>
      <c r="D165" s="16" t="s">
        <v>114</v>
      </c>
      <c r="E165" s="50"/>
      <c r="F165" s="41"/>
      <c r="G165" s="41"/>
      <c r="I165" s="107"/>
      <c r="J165" s="14"/>
    </row>
    <row r="166" spans="1:17" x14ac:dyDescent="0.2">
      <c r="A166" s="41"/>
      <c r="B166" s="153" t="s">
        <v>564</v>
      </c>
      <c r="C166" s="154"/>
      <c r="D166" s="16" t="s">
        <v>114</v>
      </c>
      <c r="E166" s="50"/>
      <c r="F166" s="41"/>
      <c r="G166" s="41"/>
      <c r="I166" s="107"/>
      <c r="J166" s="14"/>
    </row>
    <row r="167" spans="1:17" x14ac:dyDescent="0.2">
      <c r="A167" s="41"/>
      <c r="B167" s="153" t="s">
        <v>565</v>
      </c>
      <c r="C167" s="154"/>
      <c r="D167" s="16" t="s">
        <v>114</v>
      </c>
      <c r="E167" s="50"/>
      <c r="F167" s="41"/>
      <c r="G167" s="41"/>
      <c r="I167" s="107"/>
      <c r="J167" s="14"/>
    </row>
    <row r="168" spans="1:17" x14ac:dyDescent="0.2">
      <c r="A168" s="49"/>
      <c r="B168" s="49"/>
      <c r="C168" s="49"/>
      <c r="D168" s="49"/>
      <c r="E168" s="49"/>
      <c r="F168" s="49"/>
      <c r="G168" s="49"/>
      <c r="I168" s="107"/>
      <c r="J168" s="14"/>
    </row>
    <row r="169" spans="1:17" s="52" customFormat="1" x14ac:dyDescent="0.2">
      <c r="B169" s="130" t="s">
        <v>681</v>
      </c>
      <c r="C169" s="130"/>
      <c r="D169" s="130"/>
      <c r="E169" s="130"/>
      <c r="F169" s="130"/>
      <c r="G169" s="130"/>
      <c r="I169" s="107"/>
      <c r="J169" s="14"/>
      <c r="K169" s="51"/>
      <c r="L169" s="51"/>
      <c r="M169" s="51"/>
      <c r="N169" s="51"/>
      <c r="O169"/>
    </row>
    <row r="170" spans="1:17" ht="13.5" customHeight="1" x14ac:dyDescent="0.2">
      <c r="B170" s="168" t="s">
        <v>574</v>
      </c>
      <c r="C170" s="168" t="s">
        <v>575</v>
      </c>
      <c r="D170" s="171" t="s">
        <v>585</v>
      </c>
      <c r="E170" s="172"/>
      <c r="F170" s="173"/>
      <c r="G170" s="174" t="s">
        <v>593</v>
      </c>
      <c r="H170" s="175"/>
      <c r="I170" s="176"/>
      <c r="J170" s="51"/>
      <c r="K170" s="51"/>
      <c r="L170" s="51"/>
      <c r="M170" s="51"/>
      <c r="N170" s="51"/>
      <c r="O170" s="51"/>
    </row>
    <row r="171" spans="1:17" ht="46.5" customHeight="1" x14ac:dyDescent="0.2">
      <c r="B171" s="169"/>
      <c r="C171" s="169"/>
      <c r="D171" s="166" t="s">
        <v>594</v>
      </c>
      <c r="E171" s="166" t="s">
        <v>595</v>
      </c>
      <c r="F171" s="166" t="s">
        <v>596</v>
      </c>
      <c r="G171" s="177" t="s">
        <v>611</v>
      </c>
      <c r="H171" s="178"/>
      <c r="I171" s="166" t="s">
        <v>598</v>
      </c>
      <c r="J171" s="51"/>
      <c r="K171" s="51"/>
      <c r="L171" s="51"/>
      <c r="M171" s="51"/>
      <c r="N171" s="51"/>
      <c r="O171" s="51"/>
    </row>
    <row r="172" spans="1:17" ht="21" customHeight="1" x14ac:dyDescent="0.2">
      <c r="B172" s="170"/>
      <c r="C172" s="170"/>
      <c r="D172" s="167"/>
      <c r="E172" s="167"/>
      <c r="F172" s="167"/>
      <c r="G172" s="78" t="s">
        <v>599</v>
      </c>
      <c r="H172" s="78" t="s">
        <v>600</v>
      </c>
      <c r="I172" s="167"/>
      <c r="J172" s="51"/>
      <c r="K172" s="51"/>
      <c r="L172" s="51"/>
      <c r="M172" s="51"/>
      <c r="N172" s="51"/>
      <c r="O172" s="51"/>
    </row>
    <row r="173" spans="1:17" ht="13.5" x14ac:dyDescent="0.25">
      <c r="B173" s="82" t="s">
        <v>601</v>
      </c>
      <c r="C173" s="81" t="s">
        <v>602</v>
      </c>
      <c r="D173" s="131">
        <v>5523.9823999999999</v>
      </c>
      <c r="E173" s="4">
        <v>126.0176</v>
      </c>
      <c r="F173" s="132">
        <f>D173+E173</f>
        <v>5650</v>
      </c>
      <c r="G173" s="2">
        <v>239.15547683099999</v>
      </c>
      <c r="H173" s="2">
        <v>150.66</v>
      </c>
      <c r="I173" s="2">
        <f>G173+H173</f>
        <v>389.81547683099996</v>
      </c>
      <c r="J173" s="51"/>
      <c r="K173" s="51"/>
      <c r="L173" s="51"/>
      <c r="M173" s="51"/>
      <c r="N173" s="51"/>
      <c r="O173" s="51"/>
    </row>
    <row r="174" spans="1:17" ht="6.75" customHeight="1" x14ac:dyDescent="0.25">
      <c r="B174" s="133"/>
      <c r="C174" s="134"/>
      <c r="D174" s="135"/>
      <c r="E174" s="5"/>
      <c r="F174" s="136"/>
      <c r="G174" s="3"/>
      <c r="H174" s="3"/>
      <c r="I174" s="3"/>
      <c r="J174" s="51"/>
      <c r="K174" s="51"/>
      <c r="L174" s="51"/>
      <c r="M174" s="51"/>
      <c r="N174" s="51"/>
      <c r="O174" s="51"/>
    </row>
    <row r="175" spans="1:17" ht="51" customHeight="1" x14ac:dyDescent="0.2">
      <c r="B175" s="165" t="s">
        <v>603</v>
      </c>
      <c r="C175" s="165"/>
      <c r="D175" s="165"/>
      <c r="E175" s="165"/>
      <c r="F175" s="165"/>
      <c r="G175" s="165"/>
      <c r="H175" s="165"/>
      <c r="I175" s="165"/>
      <c r="J175" s="137"/>
      <c r="K175" s="51"/>
      <c r="L175" s="51"/>
      <c r="M175" s="51"/>
      <c r="N175" s="51"/>
      <c r="O175" s="51"/>
    </row>
    <row r="176" spans="1:17" ht="13.5" x14ac:dyDescent="0.25">
      <c r="B176" s="87" t="s">
        <v>604</v>
      </c>
      <c r="I176" s="51"/>
      <c r="J176" s="14"/>
      <c r="K176" s="51"/>
      <c r="L176" s="51"/>
      <c r="M176" s="51"/>
      <c r="N176" s="51"/>
      <c r="O176" s="51"/>
      <c r="P176" s="51"/>
    </row>
    <row r="177" spans="2:18" x14ac:dyDescent="0.2">
      <c r="B177" s="88"/>
      <c r="J177" s="14"/>
      <c r="K177" s="51"/>
      <c r="L177" s="51"/>
      <c r="M177" s="51"/>
      <c r="N177" s="51"/>
      <c r="O177" s="51"/>
    </row>
    <row r="178" spans="2:18" x14ac:dyDescent="0.2">
      <c r="B178" s="88" t="s">
        <v>608</v>
      </c>
      <c r="J178" s="14"/>
      <c r="K178" s="51"/>
      <c r="L178" s="51"/>
      <c r="M178" s="51"/>
      <c r="N178" s="51"/>
      <c r="O178" s="51"/>
    </row>
    <row r="179" spans="2:18" s="52" customFormat="1" x14ac:dyDescent="0.2">
      <c r="I179" s="107"/>
      <c r="J179" s="14"/>
      <c r="K179" s="51"/>
      <c r="L179" s="51"/>
      <c r="M179" s="51"/>
      <c r="N179" s="51"/>
      <c r="O179"/>
      <c r="R179"/>
    </row>
    <row r="180" spans="2:18" s="52" customFormat="1" x14ac:dyDescent="0.2">
      <c r="B180" s="157" t="s">
        <v>551</v>
      </c>
      <c r="C180" s="158"/>
      <c r="D180" s="159"/>
      <c r="I180" s="107"/>
      <c r="J180" s="14"/>
      <c r="K180" s="51"/>
      <c r="L180" s="51"/>
      <c r="M180" s="51"/>
      <c r="N180" s="51"/>
      <c r="O180"/>
      <c r="R180"/>
    </row>
    <row r="181" spans="2:18" s="52" customFormat="1" ht="25.5" x14ac:dyDescent="0.2">
      <c r="B181" s="149" t="s">
        <v>552</v>
      </c>
      <c r="C181" s="149"/>
      <c r="D181" s="54" t="s">
        <v>288</v>
      </c>
      <c r="I181" s="107"/>
      <c r="J181" s="14"/>
      <c r="K181" s="51"/>
      <c r="L181" s="51"/>
      <c r="M181" s="51"/>
      <c r="N181" s="51"/>
      <c r="O181"/>
      <c r="R181"/>
    </row>
    <row r="182" spans="2:18" s="52" customFormat="1" x14ac:dyDescent="0.2">
      <c r="B182" s="145" t="s">
        <v>553</v>
      </c>
      <c r="C182" s="145"/>
      <c r="D182" s="55"/>
      <c r="I182" s="107"/>
      <c r="J182" s="14"/>
      <c r="K182" s="51"/>
      <c r="L182" s="51"/>
      <c r="M182" s="51"/>
      <c r="N182" s="51"/>
      <c r="O182"/>
      <c r="R182"/>
    </row>
    <row r="183" spans="2:18" s="52" customFormat="1" x14ac:dyDescent="0.2">
      <c r="B183" s="145"/>
      <c r="C183" s="145"/>
      <c r="D183" s="56"/>
      <c r="I183" s="107"/>
      <c r="J183" s="14"/>
      <c r="K183" s="51"/>
      <c r="L183" s="51"/>
      <c r="M183" s="51"/>
      <c r="N183" s="51"/>
      <c r="O183"/>
      <c r="R183"/>
    </row>
    <row r="184" spans="2:18" s="52" customFormat="1" x14ac:dyDescent="0.2">
      <c r="B184" s="145" t="s">
        <v>554</v>
      </c>
      <c r="C184" s="145"/>
      <c r="D184" s="57">
        <v>6.3825122143078712</v>
      </c>
      <c r="I184" s="107"/>
      <c r="J184" s="14"/>
      <c r="K184" s="51"/>
      <c r="L184" s="51"/>
      <c r="M184" s="51"/>
      <c r="N184" s="51"/>
      <c r="O184"/>
      <c r="R184"/>
    </row>
    <row r="185" spans="2:18" s="52" customFormat="1" x14ac:dyDescent="0.2">
      <c r="B185" s="145"/>
      <c r="C185" s="145"/>
      <c r="D185" s="56"/>
      <c r="I185" s="107"/>
      <c r="J185" s="14"/>
      <c r="K185" s="51"/>
      <c r="L185" s="51"/>
      <c r="M185" s="51"/>
      <c r="N185" s="51"/>
      <c r="O185"/>
      <c r="R185"/>
    </row>
    <row r="186" spans="2:18" s="52" customFormat="1" x14ac:dyDescent="0.2">
      <c r="B186" s="145" t="s">
        <v>555</v>
      </c>
      <c r="C186" s="145"/>
      <c r="D186" s="57">
        <v>0.10385331813696903</v>
      </c>
      <c r="I186" s="107"/>
      <c r="J186" s="14"/>
      <c r="K186" s="51"/>
      <c r="L186" s="51"/>
      <c r="M186" s="51"/>
      <c r="N186" s="51"/>
      <c r="O186"/>
      <c r="R186"/>
    </row>
    <row r="187" spans="2:18" s="52" customFormat="1" x14ac:dyDescent="0.2">
      <c r="B187" s="145" t="s">
        <v>556</v>
      </c>
      <c r="C187" s="145"/>
      <c r="D187" s="57">
        <v>0.10385331813696903</v>
      </c>
      <c r="I187" s="107"/>
      <c r="J187" s="14"/>
      <c r="K187" s="51"/>
      <c r="L187" s="51"/>
      <c r="M187" s="51"/>
      <c r="N187" s="51"/>
      <c r="O187"/>
      <c r="R187"/>
    </row>
    <row r="188" spans="2:18" s="52" customFormat="1" x14ac:dyDescent="0.2">
      <c r="B188" s="145"/>
      <c r="C188" s="145"/>
      <c r="D188" s="56"/>
      <c r="I188" s="107"/>
      <c r="J188" s="14"/>
      <c r="K188" s="51"/>
      <c r="L188" s="51"/>
      <c r="M188" s="51"/>
      <c r="N188" s="51"/>
      <c r="O188"/>
      <c r="P188"/>
      <c r="Q188"/>
      <c r="R188"/>
    </row>
    <row r="189" spans="2:18" s="52" customFormat="1" x14ac:dyDescent="0.2">
      <c r="B189" s="145" t="s">
        <v>557</v>
      </c>
      <c r="C189" s="145"/>
      <c r="D189" s="59" t="s">
        <v>680</v>
      </c>
      <c r="I189" s="107"/>
      <c r="J189" s="14"/>
      <c r="K189" s="51"/>
      <c r="L189" s="51"/>
      <c r="M189" s="51"/>
      <c r="N189" s="51"/>
      <c r="O189" s="53"/>
    </row>
    <row r="190" spans="2:18" s="52" customFormat="1" x14ac:dyDescent="0.2">
      <c r="B190" s="143" t="s">
        <v>558</v>
      </c>
      <c r="C190" s="146"/>
      <c r="D190" s="144"/>
      <c r="I190" s="107"/>
      <c r="J190" s="14"/>
      <c r="K190" s="51"/>
      <c r="L190" s="51"/>
      <c r="M190" s="51"/>
      <c r="N190" s="51"/>
      <c r="O190"/>
      <c r="P190"/>
      <c r="Q190"/>
      <c r="R190"/>
    </row>
    <row r="191" spans="2:18" x14ac:dyDescent="0.2">
      <c r="I191" s="107"/>
      <c r="J191" s="14"/>
    </row>
    <row r="192" spans="2:18" x14ac:dyDescent="0.2">
      <c r="B192" s="61" t="s">
        <v>559</v>
      </c>
      <c r="I192" s="107"/>
    </row>
    <row r="193" spans="2:10" x14ac:dyDescent="0.2">
      <c r="I193" s="107"/>
    </row>
    <row r="194" spans="2:10" ht="153.75" customHeight="1" x14ac:dyDescent="0.2">
      <c r="I194" s="107"/>
    </row>
    <row r="195" spans="2:10" x14ac:dyDescent="0.2">
      <c r="I195" s="107"/>
    </row>
    <row r="196" spans="2:10" x14ac:dyDescent="0.2">
      <c r="I196" s="107"/>
    </row>
    <row r="197" spans="2:10" x14ac:dyDescent="0.2">
      <c r="B197" s="62" t="s">
        <v>560</v>
      </c>
      <c r="C197" s="63"/>
      <c r="D197" s="62"/>
      <c r="I197" s="107"/>
    </row>
    <row r="198" spans="2:10" x14ac:dyDescent="0.2">
      <c r="B198" s="62" t="s">
        <v>612</v>
      </c>
      <c r="D198" s="62"/>
      <c r="I198" s="107"/>
    </row>
    <row r="199" spans="2:10" ht="165" customHeight="1" x14ac:dyDescent="0.2">
      <c r="I199" s="107"/>
    </row>
    <row r="200" spans="2:10" x14ac:dyDescent="0.2">
      <c r="I200" s="107"/>
    </row>
    <row r="201" spans="2:10" x14ac:dyDescent="0.2">
      <c r="I201" s="107"/>
      <c r="J201" s="14"/>
    </row>
  </sheetData>
  <mergeCells count="37">
    <mergeCell ref="B170:B172"/>
    <mergeCell ref="C170:C172"/>
    <mergeCell ref="B167:C167"/>
    <mergeCell ref="B162:C162"/>
    <mergeCell ref="B166:C166"/>
    <mergeCell ref="B164:C164"/>
    <mergeCell ref="B165:C165"/>
    <mergeCell ref="B144:H144"/>
    <mergeCell ref="B147:D147"/>
    <mergeCell ref="B148:C148"/>
    <mergeCell ref="B149:C149"/>
    <mergeCell ref="B150:C150"/>
    <mergeCell ref="B145:H145"/>
    <mergeCell ref="A1:H1"/>
    <mergeCell ref="A3:H3"/>
    <mergeCell ref="A2:H2"/>
    <mergeCell ref="B142:H142"/>
    <mergeCell ref="B143:H143"/>
    <mergeCell ref="D170:F170"/>
    <mergeCell ref="G170:I170"/>
    <mergeCell ref="D171:D172"/>
    <mergeCell ref="E171:E172"/>
    <mergeCell ref="F171:F172"/>
    <mergeCell ref="G171:H171"/>
    <mergeCell ref="I171:I172"/>
    <mergeCell ref="B175:I175"/>
    <mergeCell ref="B180:D180"/>
    <mergeCell ref="B181:C181"/>
    <mergeCell ref="B182:C182"/>
    <mergeCell ref="B183:C183"/>
    <mergeCell ref="B189:C189"/>
    <mergeCell ref="B190:D190"/>
    <mergeCell ref="B184:C184"/>
    <mergeCell ref="B185:C185"/>
    <mergeCell ref="B186:C186"/>
    <mergeCell ref="B187:C187"/>
    <mergeCell ref="B188:C188"/>
  </mergeCells>
  <hyperlinks>
    <hyperlink ref="I1" location="Index!B2" display="Index" xr:uid="{228B3527-DEE5-4002-A689-512540CB5E5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F018-8A8C-4D86-ACA3-50F2A7EBECE6}">
  <sheetPr>
    <outlinePr summaryBelow="0" summaryRight="0"/>
  </sheetPr>
  <dimension ref="A1:S178"/>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1.42578125" bestFit="1" customWidth="1"/>
    <col min="5" max="5" width="8.7109375" bestFit="1" customWidth="1"/>
    <col min="6" max="6" width="10.140625" bestFit="1" customWidth="1"/>
    <col min="7" max="7" width="14" bestFit="1" customWidth="1"/>
    <col min="8" max="8" width="10.28515625" customWidth="1"/>
    <col min="9" max="9" width="8.85546875" customWidth="1"/>
  </cols>
  <sheetData>
    <row r="1" spans="1:9" ht="15" x14ac:dyDescent="0.2">
      <c r="A1" s="147" t="s">
        <v>0</v>
      </c>
      <c r="B1" s="147"/>
      <c r="C1" s="147"/>
      <c r="D1" s="147"/>
      <c r="E1" s="147"/>
      <c r="F1" s="147"/>
      <c r="G1" s="147"/>
      <c r="H1" s="147"/>
      <c r="I1" s="1" t="s">
        <v>543</v>
      </c>
    </row>
    <row r="2" spans="1:9" ht="15" x14ac:dyDescent="0.2">
      <c r="A2" s="147" t="s">
        <v>415</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252</v>
      </c>
      <c r="C28" s="26" t="s">
        <v>253</v>
      </c>
      <c r="D28" s="26" t="s">
        <v>249</v>
      </c>
      <c r="E28" s="27">
        <v>1100</v>
      </c>
      <c r="F28" s="28">
        <v>1105.2502999999999</v>
      </c>
      <c r="G28" s="29">
        <v>5.1796269999999998E-2</v>
      </c>
      <c r="H28" s="17">
        <v>7.6950000000000003</v>
      </c>
    </row>
    <row r="29" spans="1:8" ht="25.5" x14ac:dyDescent="0.2">
      <c r="A29" s="25">
        <v>2</v>
      </c>
      <c r="B29" s="26" t="s">
        <v>33</v>
      </c>
      <c r="C29" s="26" t="s">
        <v>34</v>
      </c>
      <c r="D29" s="26" t="s">
        <v>23</v>
      </c>
      <c r="E29" s="27">
        <v>1000</v>
      </c>
      <c r="F29" s="28">
        <v>1026.57</v>
      </c>
      <c r="G29" s="29">
        <v>4.8109010000000001E-2</v>
      </c>
      <c r="H29" s="17">
        <v>6.8345000000000002</v>
      </c>
    </row>
    <row r="30" spans="1:8" ht="25.5" x14ac:dyDescent="0.2">
      <c r="A30" s="25">
        <v>3</v>
      </c>
      <c r="B30" s="26" t="s">
        <v>416</v>
      </c>
      <c r="C30" s="26" t="s">
        <v>417</v>
      </c>
      <c r="D30" s="26" t="s">
        <v>23</v>
      </c>
      <c r="E30" s="27">
        <v>1000</v>
      </c>
      <c r="F30" s="28">
        <v>1025.6600000000001</v>
      </c>
      <c r="G30" s="29">
        <v>4.8066360000000002E-2</v>
      </c>
      <c r="H30" s="17">
        <v>6.7632000000000003</v>
      </c>
    </row>
    <row r="31" spans="1:8" ht="25.5" x14ac:dyDescent="0.2">
      <c r="A31" s="25">
        <v>4</v>
      </c>
      <c r="B31" s="26" t="s">
        <v>136</v>
      </c>
      <c r="C31" s="26" t="s">
        <v>137</v>
      </c>
      <c r="D31" s="26" t="s">
        <v>23</v>
      </c>
      <c r="E31" s="27">
        <v>1000</v>
      </c>
      <c r="F31" s="28">
        <v>1019.766</v>
      </c>
      <c r="G31" s="29">
        <v>4.7790140000000002E-2</v>
      </c>
      <c r="H31" s="17">
        <v>6.6433999999999997</v>
      </c>
    </row>
    <row r="32" spans="1:8" ht="25.5" x14ac:dyDescent="0.2">
      <c r="A32" s="25">
        <v>5</v>
      </c>
      <c r="B32" s="26" t="s">
        <v>254</v>
      </c>
      <c r="C32" s="26" t="s">
        <v>255</v>
      </c>
      <c r="D32" s="26" t="s">
        <v>246</v>
      </c>
      <c r="E32" s="27">
        <v>1000</v>
      </c>
      <c r="F32" s="28">
        <v>1013.427</v>
      </c>
      <c r="G32" s="29">
        <v>4.7493069999999998E-2</v>
      </c>
      <c r="H32" s="17">
        <v>7.4550000000000001</v>
      </c>
    </row>
    <row r="33" spans="1:8" ht="25.5" x14ac:dyDescent="0.2">
      <c r="A33" s="25">
        <v>6</v>
      </c>
      <c r="B33" s="26" t="s">
        <v>418</v>
      </c>
      <c r="C33" s="26" t="s">
        <v>419</v>
      </c>
      <c r="D33" s="26" t="s">
        <v>271</v>
      </c>
      <c r="E33" s="27">
        <v>500</v>
      </c>
      <c r="F33" s="28">
        <v>513.64700000000005</v>
      </c>
      <c r="G33" s="29">
        <v>2.4071470000000001E-2</v>
      </c>
      <c r="H33" s="17">
        <v>7.6966999999999999</v>
      </c>
    </row>
    <row r="34" spans="1:8" x14ac:dyDescent="0.2">
      <c r="A34" s="25">
        <v>7</v>
      </c>
      <c r="B34" s="26" t="s">
        <v>63</v>
      </c>
      <c r="C34" s="26" t="s">
        <v>64</v>
      </c>
      <c r="D34" s="26" t="s">
        <v>23</v>
      </c>
      <c r="E34" s="27">
        <v>50</v>
      </c>
      <c r="F34" s="28">
        <v>510.65249999999997</v>
      </c>
      <c r="G34" s="29">
        <v>2.3931129999999998E-2</v>
      </c>
      <c r="H34" s="17">
        <v>7.0350000000000001</v>
      </c>
    </row>
    <row r="35" spans="1:8" x14ac:dyDescent="0.2">
      <c r="A35" s="25">
        <v>8</v>
      </c>
      <c r="B35" s="26" t="s">
        <v>130</v>
      </c>
      <c r="C35" s="26" t="s">
        <v>131</v>
      </c>
      <c r="D35" s="26" t="s">
        <v>23</v>
      </c>
      <c r="E35" s="27">
        <v>500</v>
      </c>
      <c r="F35" s="28">
        <v>509.7645</v>
      </c>
      <c r="G35" s="29">
        <v>2.3889520000000001E-2</v>
      </c>
      <c r="H35" s="17">
        <v>6.5982000000000003</v>
      </c>
    </row>
    <row r="36" spans="1:8" ht="25.5" x14ac:dyDescent="0.2">
      <c r="A36" s="25">
        <v>9</v>
      </c>
      <c r="B36" s="26" t="s">
        <v>144</v>
      </c>
      <c r="C36" s="26" t="s">
        <v>145</v>
      </c>
      <c r="D36" s="26" t="s">
        <v>32</v>
      </c>
      <c r="E36" s="27">
        <v>500</v>
      </c>
      <c r="F36" s="28">
        <v>508.52</v>
      </c>
      <c r="G36" s="29">
        <v>2.38312E-2</v>
      </c>
      <c r="H36" s="17">
        <v>6.7576999999999998</v>
      </c>
    </row>
    <row r="37" spans="1:8" x14ac:dyDescent="0.2">
      <c r="A37" s="25">
        <v>10</v>
      </c>
      <c r="B37" s="26" t="s">
        <v>263</v>
      </c>
      <c r="C37" s="26" t="s">
        <v>264</v>
      </c>
      <c r="D37" s="26" t="s">
        <v>32</v>
      </c>
      <c r="E37" s="27">
        <v>500</v>
      </c>
      <c r="F37" s="28">
        <v>506.577</v>
      </c>
      <c r="G37" s="29">
        <v>2.374014E-2</v>
      </c>
      <c r="H37" s="17">
        <v>7.2050000000000001</v>
      </c>
    </row>
    <row r="38" spans="1:8" ht="25.5" x14ac:dyDescent="0.2">
      <c r="A38" s="25">
        <v>11</v>
      </c>
      <c r="B38" s="26" t="s">
        <v>256</v>
      </c>
      <c r="C38" s="26" t="s">
        <v>257</v>
      </c>
      <c r="D38" s="26" t="s">
        <v>23</v>
      </c>
      <c r="E38" s="27">
        <v>50</v>
      </c>
      <c r="F38" s="28">
        <v>505.77699999999999</v>
      </c>
      <c r="G38" s="29">
        <v>2.3702649999999999E-2</v>
      </c>
      <c r="H38" s="17">
        <v>6.73</v>
      </c>
    </row>
    <row r="39" spans="1:8" x14ac:dyDescent="0.2">
      <c r="A39" s="25">
        <v>12</v>
      </c>
      <c r="B39" s="26" t="s">
        <v>272</v>
      </c>
      <c r="C39" s="26" t="s">
        <v>273</v>
      </c>
      <c r="D39" s="26" t="s">
        <v>249</v>
      </c>
      <c r="E39" s="27">
        <v>500</v>
      </c>
      <c r="F39" s="28">
        <v>505.58699999999999</v>
      </c>
      <c r="G39" s="29">
        <v>2.369375E-2</v>
      </c>
      <c r="H39" s="17">
        <v>8.1449999999999996</v>
      </c>
    </row>
    <row r="40" spans="1:8" x14ac:dyDescent="0.2">
      <c r="A40" s="25">
        <v>13</v>
      </c>
      <c r="B40" s="26" t="s">
        <v>247</v>
      </c>
      <c r="C40" s="26" t="s">
        <v>248</v>
      </c>
      <c r="D40" s="26" t="s">
        <v>249</v>
      </c>
      <c r="E40" s="27">
        <v>500</v>
      </c>
      <c r="F40" s="28">
        <v>504.84249999999997</v>
      </c>
      <c r="G40" s="29">
        <v>2.365886E-2</v>
      </c>
      <c r="H40" s="17">
        <v>8.1624999999999996</v>
      </c>
    </row>
    <row r="41" spans="1:8" x14ac:dyDescent="0.2">
      <c r="A41" s="25">
        <v>14</v>
      </c>
      <c r="B41" s="26" t="s">
        <v>420</v>
      </c>
      <c r="C41" s="26" t="s">
        <v>421</v>
      </c>
      <c r="D41" s="26" t="s">
        <v>23</v>
      </c>
      <c r="E41" s="27">
        <v>500</v>
      </c>
      <c r="F41" s="28">
        <v>504.3535</v>
      </c>
      <c r="G41" s="29">
        <v>2.3635940000000001E-2</v>
      </c>
      <c r="H41" s="17">
        <v>6.7</v>
      </c>
    </row>
    <row r="42" spans="1:8" x14ac:dyDescent="0.2">
      <c r="A42" s="25">
        <v>15</v>
      </c>
      <c r="B42" s="26" t="s">
        <v>250</v>
      </c>
      <c r="C42" s="26" t="s">
        <v>251</v>
      </c>
      <c r="D42" s="26" t="s">
        <v>23</v>
      </c>
      <c r="E42" s="27">
        <v>500</v>
      </c>
      <c r="F42" s="28">
        <v>504.2165</v>
      </c>
      <c r="G42" s="29">
        <v>2.3629520000000001E-2</v>
      </c>
      <c r="H42" s="17">
        <v>6.73</v>
      </c>
    </row>
    <row r="43" spans="1:8" ht="25.5" x14ac:dyDescent="0.2">
      <c r="A43" s="25">
        <v>16</v>
      </c>
      <c r="B43" s="26" t="s">
        <v>65</v>
      </c>
      <c r="C43" s="26" t="s">
        <v>66</v>
      </c>
      <c r="D43" s="26" t="s">
        <v>23</v>
      </c>
      <c r="E43" s="27">
        <v>500</v>
      </c>
      <c r="F43" s="28">
        <v>503.87700000000001</v>
      </c>
      <c r="G43" s="29">
        <v>2.361361E-2</v>
      </c>
      <c r="H43" s="17">
        <v>6.7419000000000002</v>
      </c>
    </row>
    <row r="44" spans="1:8" ht="25.5" x14ac:dyDescent="0.2">
      <c r="A44" s="25">
        <v>17</v>
      </c>
      <c r="B44" s="26" t="s">
        <v>422</v>
      </c>
      <c r="C44" s="26" t="s">
        <v>423</v>
      </c>
      <c r="D44" s="26" t="s">
        <v>23</v>
      </c>
      <c r="E44" s="27">
        <v>50</v>
      </c>
      <c r="F44" s="28">
        <v>501.79250000000002</v>
      </c>
      <c r="G44" s="29">
        <v>2.3515919999999999E-2</v>
      </c>
      <c r="H44" s="17">
        <v>6.7760999999999996</v>
      </c>
    </row>
    <row r="45" spans="1:8" ht="25.5" x14ac:dyDescent="0.2">
      <c r="A45" s="25">
        <v>18</v>
      </c>
      <c r="B45" s="26" t="s">
        <v>424</v>
      </c>
      <c r="C45" s="26" t="s">
        <v>425</v>
      </c>
      <c r="D45" s="26" t="s">
        <v>249</v>
      </c>
      <c r="E45" s="27">
        <v>500</v>
      </c>
      <c r="F45" s="28">
        <v>501.51650000000001</v>
      </c>
      <c r="G45" s="29">
        <v>2.3502990000000001E-2</v>
      </c>
      <c r="H45" s="17">
        <v>8.2223000000000006</v>
      </c>
    </row>
    <row r="46" spans="1:8" ht="25.5" x14ac:dyDescent="0.2">
      <c r="A46" s="25">
        <v>19</v>
      </c>
      <c r="B46" s="26" t="s">
        <v>67</v>
      </c>
      <c r="C46" s="26" t="s">
        <v>68</v>
      </c>
      <c r="D46" s="26" t="s">
        <v>23</v>
      </c>
      <c r="E46" s="27">
        <v>500</v>
      </c>
      <c r="F46" s="28">
        <v>500.16399999999999</v>
      </c>
      <c r="G46" s="29">
        <v>2.3439600000000001E-2</v>
      </c>
      <c r="H46" s="17">
        <v>7.1</v>
      </c>
    </row>
    <row r="47" spans="1:8" x14ac:dyDescent="0.2">
      <c r="A47" s="25">
        <v>20</v>
      </c>
      <c r="B47" s="26" t="s">
        <v>426</v>
      </c>
      <c r="C47" s="26" t="s">
        <v>427</v>
      </c>
      <c r="D47" s="26" t="s">
        <v>23</v>
      </c>
      <c r="E47" s="27">
        <v>50</v>
      </c>
      <c r="F47" s="28">
        <v>494.78250000000003</v>
      </c>
      <c r="G47" s="29">
        <v>2.3187409999999999E-2</v>
      </c>
      <c r="H47" s="17">
        <v>7</v>
      </c>
    </row>
    <row r="48" spans="1:8" x14ac:dyDescent="0.2">
      <c r="A48" s="25">
        <v>21</v>
      </c>
      <c r="B48" s="26" t="s">
        <v>244</v>
      </c>
      <c r="C48" s="26" t="s">
        <v>245</v>
      </c>
      <c r="D48" s="26" t="s">
        <v>246</v>
      </c>
      <c r="E48" s="27">
        <v>300</v>
      </c>
      <c r="F48" s="28">
        <v>303.90960000000001</v>
      </c>
      <c r="G48" s="29">
        <v>1.4242370000000001E-2</v>
      </c>
      <c r="H48" s="17">
        <v>7.0949999999999998</v>
      </c>
    </row>
    <row r="49" spans="1:8" x14ac:dyDescent="0.2">
      <c r="A49" s="18"/>
      <c r="B49" s="18"/>
      <c r="C49" s="19" t="s">
        <v>11</v>
      </c>
      <c r="D49" s="18"/>
      <c r="E49" s="18" t="s">
        <v>12</v>
      </c>
      <c r="F49" s="24">
        <v>13070.652899999999</v>
      </c>
      <c r="G49" s="21">
        <v>0.61254092999999998</v>
      </c>
      <c r="H49" s="17" t="s">
        <v>12</v>
      </c>
    </row>
    <row r="50" spans="1:8" x14ac:dyDescent="0.2">
      <c r="A50" s="18"/>
      <c r="B50" s="18"/>
      <c r="C50" s="22"/>
      <c r="D50" s="18"/>
      <c r="E50" s="18"/>
      <c r="F50" s="23"/>
      <c r="G50" s="23"/>
      <c r="H50" s="17" t="s">
        <v>12</v>
      </c>
    </row>
    <row r="51" spans="1:8" x14ac:dyDescent="0.2">
      <c r="A51" s="18"/>
      <c r="B51" s="18"/>
      <c r="C51" s="19" t="s">
        <v>73</v>
      </c>
      <c r="D51" s="18"/>
      <c r="E51" s="18"/>
      <c r="F51" s="18"/>
      <c r="G51" s="18"/>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74</v>
      </c>
      <c r="D54" s="18"/>
      <c r="E54" s="18"/>
      <c r="F54" s="18"/>
      <c r="G54" s="18"/>
      <c r="H54" s="17" t="s">
        <v>12</v>
      </c>
    </row>
    <row r="55" spans="1:8" ht="25.5" x14ac:dyDescent="0.2">
      <c r="A55" s="25">
        <v>1</v>
      </c>
      <c r="B55" s="26" t="s">
        <v>92</v>
      </c>
      <c r="C55" s="26" t="s">
        <v>93</v>
      </c>
      <c r="D55" s="26" t="s">
        <v>77</v>
      </c>
      <c r="E55" s="27">
        <v>2500000</v>
      </c>
      <c r="F55" s="28">
        <v>2633.9650000000001</v>
      </c>
      <c r="G55" s="29">
        <v>0.1234377</v>
      </c>
      <c r="H55" s="17">
        <v>6.4016999999999999</v>
      </c>
    </row>
    <row r="56" spans="1:8" x14ac:dyDescent="0.2">
      <c r="A56" s="25">
        <v>2</v>
      </c>
      <c r="B56" s="26" t="s">
        <v>88</v>
      </c>
      <c r="C56" s="26" t="s">
        <v>89</v>
      </c>
      <c r="D56" s="26" t="s">
        <v>77</v>
      </c>
      <c r="E56" s="27">
        <v>1500000</v>
      </c>
      <c r="F56" s="28">
        <v>1565.8215</v>
      </c>
      <c r="G56" s="29">
        <v>7.3380399999999998E-2</v>
      </c>
      <c r="H56" s="17">
        <v>6.0255999999999998</v>
      </c>
    </row>
    <row r="57" spans="1:8" ht="25.5" x14ac:dyDescent="0.2">
      <c r="A57" s="25">
        <v>3</v>
      </c>
      <c r="B57" s="26" t="s">
        <v>276</v>
      </c>
      <c r="C57" s="26" t="s">
        <v>277</v>
      </c>
      <c r="D57" s="26" t="s">
        <v>77</v>
      </c>
      <c r="E57" s="27">
        <v>700000</v>
      </c>
      <c r="F57" s="28">
        <v>720.27760000000001</v>
      </c>
      <c r="G57" s="29">
        <v>3.3754970000000002E-2</v>
      </c>
      <c r="H57" s="17">
        <v>5.9721000000000002</v>
      </c>
    </row>
    <row r="58" spans="1:8" x14ac:dyDescent="0.2">
      <c r="A58" s="25">
        <v>4</v>
      </c>
      <c r="B58" s="26" t="s">
        <v>86</v>
      </c>
      <c r="C58" s="26" t="s">
        <v>87</v>
      </c>
      <c r="D58" s="26" t="s">
        <v>77</v>
      </c>
      <c r="E58" s="27">
        <v>500000</v>
      </c>
      <c r="F58" s="28">
        <v>532.27850000000001</v>
      </c>
      <c r="G58" s="29">
        <v>2.4944609999999999E-2</v>
      </c>
      <c r="H58" s="17">
        <v>6.5099</v>
      </c>
    </row>
    <row r="59" spans="1:8" x14ac:dyDescent="0.2">
      <c r="A59" s="25">
        <v>5</v>
      </c>
      <c r="B59" s="26" t="s">
        <v>78</v>
      </c>
      <c r="C59" s="26" t="s">
        <v>79</v>
      </c>
      <c r="D59" s="26" t="s">
        <v>77</v>
      </c>
      <c r="E59" s="27">
        <v>500000</v>
      </c>
      <c r="F59" s="28">
        <v>529.67250000000001</v>
      </c>
      <c r="G59" s="29">
        <v>2.4822480000000001E-2</v>
      </c>
      <c r="H59" s="17">
        <v>6.1252000000000004</v>
      </c>
    </row>
    <row r="60" spans="1:8" ht="25.5" x14ac:dyDescent="0.2">
      <c r="A60" s="25">
        <v>6</v>
      </c>
      <c r="B60" s="26" t="s">
        <v>428</v>
      </c>
      <c r="C60" s="26" t="s">
        <v>429</v>
      </c>
      <c r="D60" s="26" t="s">
        <v>77</v>
      </c>
      <c r="E60" s="27">
        <v>500000</v>
      </c>
      <c r="F60" s="28">
        <v>525.09249999999997</v>
      </c>
      <c r="G60" s="29">
        <v>2.4607850000000001E-2</v>
      </c>
      <c r="H60" s="17">
        <v>6.7889999999999997</v>
      </c>
    </row>
    <row r="61" spans="1:8" x14ac:dyDescent="0.2">
      <c r="A61" s="18"/>
      <c r="B61" s="18"/>
      <c r="C61" s="19" t="s">
        <v>11</v>
      </c>
      <c r="D61" s="18"/>
      <c r="E61" s="18" t="s">
        <v>12</v>
      </c>
      <c r="F61" s="24">
        <v>6507.1076000000003</v>
      </c>
      <c r="G61" s="21">
        <v>0.30494800999999999</v>
      </c>
      <c r="H61" s="17" t="s">
        <v>12</v>
      </c>
    </row>
    <row r="62" spans="1:8" x14ac:dyDescent="0.2">
      <c r="A62" s="18"/>
      <c r="B62" s="18"/>
      <c r="C62" s="22"/>
      <c r="D62" s="18"/>
      <c r="E62" s="18"/>
      <c r="F62" s="23"/>
      <c r="G62" s="23"/>
      <c r="H62" s="17" t="s">
        <v>12</v>
      </c>
    </row>
    <row r="63" spans="1:8" x14ac:dyDescent="0.2">
      <c r="A63" s="18"/>
      <c r="B63" s="18"/>
      <c r="C63" s="19" t="s">
        <v>94</v>
      </c>
      <c r="D63" s="18"/>
      <c r="E63" s="18"/>
      <c r="F63" s="23"/>
      <c r="G63" s="23"/>
      <c r="H63" s="17" t="s">
        <v>12</v>
      </c>
    </row>
    <row r="64" spans="1:8" x14ac:dyDescent="0.2">
      <c r="A64" s="18"/>
      <c r="B64" s="18"/>
      <c r="C64" s="19" t="s">
        <v>11</v>
      </c>
      <c r="D64" s="18"/>
      <c r="E64" s="18" t="s">
        <v>12</v>
      </c>
      <c r="F64" s="20" t="s">
        <v>13</v>
      </c>
      <c r="G64" s="21">
        <v>0</v>
      </c>
      <c r="H64" s="17" t="s">
        <v>12</v>
      </c>
    </row>
    <row r="65" spans="1:8" x14ac:dyDescent="0.2">
      <c r="A65" s="18"/>
      <c r="B65" s="18"/>
      <c r="C65" s="22"/>
      <c r="D65" s="18"/>
      <c r="E65" s="18"/>
      <c r="F65" s="23"/>
      <c r="G65" s="23"/>
      <c r="H65" s="17" t="s">
        <v>12</v>
      </c>
    </row>
    <row r="66" spans="1:8" x14ac:dyDescent="0.2">
      <c r="A66" s="18"/>
      <c r="B66" s="18"/>
      <c r="C66" s="19" t="s">
        <v>95</v>
      </c>
      <c r="D66" s="18"/>
      <c r="E66" s="18"/>
      <c r="F66" s="24">
        <v>19577.7605</v>
      </c>
      <c r="G66" s="21">
        <v>0.91748894000000003</v>
      </c>
      <c r="H66" s="17" t="s">
        <v>12</v>
      </c>
    </row>
    <row r="67" spans="1:8" x14ac:dyDescent="0.2">
      <c r="A67" s="18"/>
      <c r="B67" s="18"/>
      <c r="C67" s="22"/>
      <c r="D67" s="18"/>
      <c r="E67" s="18"/>
      <c r="F67" s="23"/>
      <c r="G67" s="23"/>
      <c r="H67" s="17" t="s">
        <v>12</v>
      </c>
    </row>
    <row r="68" spans="1:8" x14ac:dyDescent="0.2">
      <c r="A68" s="18"/>
      <c r="B68" s="18"/>
      <c r="C68" s="19" t="s">
        <v>96</v>
      </c>
      <c r="D68" s="18"/>
      <c r="E68" s="18"/>
      <c r="F68" s="23"/>
      <c r="G68" s="23"/>
      <c r="H68" s="17" t="s">
        <v>12</v>
      </c>
    </row>
    <row r="69" spans="1:8" x14ac:dyDescent="0.2">
      <c r="A69" s="18"/>
      <c r="B69" s="18"/>
      <c r="C69" s="19" t="s">
        <v>97</v>
      </c>
      <c r="D69" s="18"/>
      <c r="E69" s="18"/>
      <c r="F69" s="23"/>
      <c r="G69" s="23"/>
      <c r="H69" s="17" t="s">
        <v>12</v>
      </c>
    </row>
    <row r="70" spans="1:8" x14ac:dyDescent="0.2">
      <c r="A70" s="18"/>
      <c r="B70" s="18"/>
      <c r="C70" s="19" t="s">
        <v>11</v>
      </c>
      <c r="D70" s="18"/>
      <c r="E70" s="18" t="s">
        <v>12</v>
      </c>
      <c r="F70" s="20" t="s">
        <v>13</v>
      </c>
      <c r="G70" s="21">
        <v>0</v>
      </c>
      <c r="H70" s="17" t="s">
        <v>12</v>
      </c>
    </row>
    <row r="71" spans="1:8" x14ac:dyDescent="0.2">
      <c r="A71" s="18"/>
      <c r="B71" s="18"/>
      <c r="C71" s="22"/>
      <c r="D71" s="18"/>
      <c r="E71" s="18"/>
      <c r="F71" s="23"/>
      <c r="G71" s="23"/>
      <c r="H71" s="17" t="s">
        <v>12</v>
      </c>
    </row>
    <row r="72" spans="1:8" x14ac:dyDescent="0.2">
      <c r="A72" s="18"/>
      <c r="B72" s="18"/>
      <c r="C72" s="19" t="s">
        <v>98</v>
      </c>
      <c r="D72" s="18"/>
      <c r="E72" s="18"/>
      <c r="F72" s="23"/>
      <c r="G72" s="23"/>
      <c r="H72" s="17" t="s">
        <v>12</v>
      </c>
    </row>
    <row r="73" spans="1:8" x14ac:dyDescent="0.2">
      <c r="A73" s="18"/>
      <c r="B73" s="18"/>
      <c r="C73" s="19" t="s">
        <v>11</v>
      </c>
      <c r="D73" s="18"/>
      <c r="E73" s="18" t="s">
        <v>12</v>
      </c>
      <c r="F73" s="20" t="s">
        <v>13</v>
      </c>
      <c r="G73" s="21">
        <v>0</v>
      </c>
      <c r="H73" s="17" t="s">
        <v>12</v>
      </c>
    </row>
    <row r="74" spans="1:8" x14ac:dyDescent="0.2">
      <c r="A74" s="18"/>
      <c r="B74" s="18"/>
      <c r="C74" s="22"/>
      <c r="D74" s="18"/>
      <c r="E74" s="18"/>
      <c r="F74" s="23"/>
      <c r="G74" s="23"/>
      <c r="H74" s="17" t="s">
        <v>12</v>
      </c>
    </row>
    <row r="75" spans="1:8" x14ac:dyDescent="0.2">
      <c r="A75" s="18"/>
      <c r="B75" s="18"/>
      <c r="C75" s="19" t="s">
        <v>99</v>
      </c>
      <c r="D75" s="18"/>
      <c r="E75" s="18"/>
      <c r="F75" s="23"/>
      <c r="G75" s="23"/>
      <c r="H75" s="17" t="s">
        <v>12</v>
      </c>
    </row>
    <row r="76" spans="1:8" x14ac:dyDescent="0.2">
      <c r="A76" s="18"/>
      <c r="B76" s="18"/>
      <c r="C76" s="19" t="s">
        <v>11</v>
      </c>
      <c r="D76" s="18"/>
      <c r="E76" s="18" t="s">
        <v>12</v>
      </c>
      <c r="F76" s="20" t="s">
        <v>13</v>
      </c>
      <c r="G76" s="21">
        <v>0</v>
      </c>
      <c r="H76" s="17" t="s">
        <v>12</v>
      </c>
    </row>
    <row r="77" spans="1:8" x14ac:dyDescent="0.2">
      <c r="A77" s="18"/>
      <c r="B77" s="18"/>
      <c r="C77" s="22"/>
      <c r="D77" s="18"/>
      <c r="E77" s="18"/>
      <c r="F77" s="23"/>
      <c r="G77" s="23"/>
      <c r="H77" s="17" t="s">
        <v>12</v>
      </c>
    </row>
    <row r="78" spans="1:8" x14ac:dyDescent="0.2">
      <c r="A78" s="18"/>
      <c r="B78" s="18"/>
      <c r="C78" s="19" t="s">
        <v>100</v>
      </c>
      <c r="D78" s="18"/>
      <c r="E78" s="18"/>
      <c r="F78" s="23"/>
      <c r="G78" s="23"/>
      <c r="H78" s="17" t="s">
        <v>12</v>
      </c>
    </row>
    <row r="79" spans="1:8" x14ac:dyDescent="0.2">
      <c r="A79" s="25">
        <v>1</v>
      </c>
      <c r="B79" s="26"/>
      <c r="C79" s="26" t="s">
        <v>101</v>
      </c>
      <c r="D79" s="26"/>
      <c r="E79" s="30"/>
      <c r="F79" s="28">
        <v>1251.569167997</v>
      </c>
      <c r="G79" s="29">
        <v>5.8653329999999997E-2</v>
      </c>
      <c r="H79" s="17">
        <v>5.69</v>
      </c>
    </row>
    <row r="80" spans="1:8" x14ac:dyDescent="0.2">
      <c r="A80" s="18"/>
      <c r="B80" s="18"/>
      <c r="C80" s="19" t="s">
        <v>11</v>
      </c>
      <c r="D80" s="18"/>
      <c r="E80" s="18" t="s">
        <v>12</v>
      </c>
      <c r="F80" s="24">
        <v>1251.569167997</v>
      </c>
      <c r="G80" s="21">
        <v>5.8653329999999997E-2</v>
      </c>
      <c r="H80" s="17" t="s">
        <v>12</v>
      </c>
    </row>
    <row r="81" spans="1:17" x14ac:dyDescent="0.2">
      <c r="A81" s="18"/>
      <c r="B81" s="18"/>
      <c r="C81" s="22"/>
      <c r="D81" s="18"/>
      <c r="E81" s="18"/>
      <c r="F81" s="23"/>
      <c r="G81" s="23"/>
      <c r="H81" s="17" t="s">
        <v>12</v>
      </c>
    </row>
    <row r="82" spans="1:17" x14ac:dyDescent="0.2">
      <c r="A82" s="18"/>
      <c r="B82" s="18"/>
      <c r="C82" s="19" t="s">
        <v>102</v>
      </c>
      <c r="D82" s="18"/>
      <c r="E82" s="18"/>
      <c r="F82" s="24">
        <v>1251.569167997</v>
      </c>
      <c r="G82" s="21">
        <v>5.8653329999999997E-2</v>
      </c>
      <c r="H82" s="17" t="s">
        <v>12</v>
      </c>
    </row>
    <row r="83" spans="1:17" x14ac:dyDescent="0.2">
      <c r="A83" s="18"/>
      <c r="B83" s="18"/>
      <c r="C83" s="23"/>
      <c r="D83" s="18"/>
      <c r="E83" s="18"/>
      <c r="F83" s="18"/>
      <c r="G83" s="18"/>
      <c r="H83" s="17" t="s">
        <v>12</v>
      </c>
    </row>
    <row r="84" spans="1:17" x14ac:dyDescent="0.2">
      <c r="A84" s="18"/>
      <c r="B84" s="18"/>
      <c r="C84" s="19" t="s">
        <v>103</v>
      </c>
      <c r="D84" s="18"/>
      <c r="E84" s="18"/>
      <c r="F84" s="18"/>
      <c r="G84" s="18"/>
      <c r="H84" s="17" t="s">
        <v>12</v>
      </c>
    </row>
    <row r="85" spans="1:17" x14ac:dyDescent="0.2">
      <c r="A85" s="18"/>
      <c r="B85" s="18"/>
      <c r="C85" s="19" t="s">
        <v>104</v>
      </c>
      <c r="D85" s="18"/>
      <c r="E85" s="18"/>
      <c r="F85" s="18"/>
      <c r="G85" s="18"/>
      <c r="H85" s="17" t="s">
        <v>12</v>
      </c>
    </row>
    <row r="86" spans="1:17" x14ac:dyDescent="0.2">
      <c r="A86" s="18"/>
      <c r="B86" s="18"/>
      <c r="C86" s="19" t="s">
        <v>11</v>
      </c>
      <c r="D86" s="18"/>
      <c r="E86" s="18" t="s">
        <v>12</v>
      </c>
      <c r="F86" s="20" t="s">
        <v>13</v>
      </c>
      <c r="G86" s="21">
        <v>0</v>
      </c>
      <c r="H86" s="17" t="s">
        <v>12</v>
      </c>
    </row>
    <row r="87" spans="1:17" x14ac:dyDescent="0.2">
      <c r="A87" s="15"/>
      <c r="B87" s="15"/>
      <c r="C87" s="70"/>
      <c r="D87" s="15"/>
      <c r="E87" s="15"/>
      <c r="F87" s="40"/>
      <c r="G87" s="40"/>
      <c r="H87" s="71" t="s">
        <v>12</v>
      </c>
    </row>
    <row r="88" spans="1:17" x14ac:dyDescent="0.2">
      <c r="A88" s="15"/>
      <c r="B88" s="15"/>
      <c r="C88" s="16" t="s">
        <v>549</v>
      </c>
      <c r="D88" s="15"/>
      <c r="E88" s="15"/>
      <c r="F88" s="40"/>
      <c r="G88" s="40"/>
      <c r="H88" s="67"/>
      <c r="K88" s="51"/>
      <c r="L88" s="51"/>
      <c r="M88" s="51"/>
      <c r="N88" s="51"/>
      <c r="O88" s="72"/>
      <c r="P88" s="72"/>
      <c r="Q88" s="72"/>
    </row>
    <row r="89" spans="1:17" ht="25.5" x14ac:dyDescent="0.2">
      <c r="A89" s="64">
        <v>1</v>
      </c>
      <c r="B89" s="65" t="s">
        <v>105</v>
      </c>
      <c r="C89" s="65" t="s">
        <v>106</v>
      </c>
      <c r="D89" s="65"/>
      <c r="E89" s="73">
        <v>543.85400000000004</v>
      </c>
      <c r="F89" s="67">
        <v>60.648571136000001</v>
      </c>
      <c r="G89" s="68">
        <v>2.8422299999999998E-3</v>
      </c>
      <c r="H89" s="71"/>
    </row>
    <row r="90" spans="1:17" x14ac:dyDescent="0.2">
      <c r="A90" s="15"/>
      <c r="B90" s="15"/>
      <c r="C90" s="16" t="s">
        <v>11</v>
      </c>
      <c r="D90" s="15"/>
      <c r="E90" s="15" t="s">
        <v>12</v>
      </c>
      <c r="F90" s="74">
        <f>SUM(F89)</f>
        <v>60.648571136000001</v>
      </c>
      <c r="G90" s="75">
        <f>SUM(G89)</f>
        <v>2.8422299999999998E-3</v>
      </c>
      <c r="H90" s="71" t="s">
        <v>12</v>
      </c>
    </row>
    <row r="91" spans="1:17" x14ac:dyDescent="0.2">
      <c r="A91" s="18"/>
      <c r="B91" s="18"/>
      <c r="C91" s="22"/>
      <c r="D91" s="18"/>
      <c r="E91" s="18"/>
      <c r="F91" s="23"/>
      <c r="G91" s="23"/>
      <c r="H91" s="17" t="s">
        <v>12</v>
      </c>
    </row>
    <row r="92" spans="1:17" x14ac:dyDescent="0.2">
      <c r="A92" s="18"/>
      <c r="B92" s="18"/>
      <c r="C92" s="19" t="s">
        <v>107</v>
      </c>
      <c r="D92" s="18"/>
      <c r="E92" s="18"/>
      <c r="F92" s="18"/>
      <c r="G92" s="18"/>
      <c r="H92" s="17" t="s">
        <v>12</v>
      </c>
    </row>
    <row r="93" spans="1:17" x14ac:dyDescent="0.2">
      <c r="A93" s="18"/>
      <c r="B93" s="18"/>
      <c r="C93" s="19" t="s">
        <v>108</v>
      </c>
      <c r="D93" s="18"/>
      <c r="E93" s="18"/>
      <c r="F93" s="18"/>
      <c r="G93" s="18"/>
      <c r="H93" s="17" t="s">
        <v>12</v>
      </c>
    </row>
    <row r="94" spans="1:17" x14ac:dyDescent="0.2">
      <c r="A94" s="18"/>
      <c r="B94" s="18"/>
      <c r="C94" s="19" t="s">
        <v>11</v>
      </c>
      <c r="D94" s="18"/>
      <c r="E94" s="18" t="s">
        <v>12</v>
      </c>
      <c r="F94" s="20" t="s">
        <v>13</v>
      </c>
      <c r="G94" s="21">
        <v>0</v>
      </c>
      <c r="H94" s="17" t="s">
        <v>12</v>
      </c>
    </row>
    <row r="95" spans="1:17" x14ac:dyDescent="0.2">
      <c r="A95" s="18"/>
      <c r="B95" s="18"/>
      <c r="C95" s="22"/>
      <c r="D95" s="18"/>
      <c r="E95" s="18"/>
      <c r="F95" s="23"/>
      <c r="G95" s="23"/>
      <c r="H95" s="17" t="s">
        <v>12</v>
      </c>
    </row>
    <row r="96" spans="1:17" x14ac:dyDescent="0.2">
      <c r="A96" s="18"/>
      <c r="B96" s="18"/>
      <c r="C96" s="19" t="s">
        <v>109</v>
      </c>
      <c r="D96" s="18"/>
      <c r="E96" s="18"/>
      <c r="F96" s="23"/>
      <c r="G96" s="23"/>
      <c r="H96" s="17" t="s">
        <v>12</v>
      </c>
    </row>
    <row r="97" spans="1:8" x14ac:dyDescent="0.2">
      <c r="A97" s="18"/>
      <c r="B97" s="18"/>
      <c r="C97" s="19" t="s">
        <v>11</v>
      </c>
      <c r="D97" s="18"/>
      <c r="E97" s="18" t="s">
        <v>12</v>
      </c>
      <c r="F97" s="20" t="s">
        <v>13</v>
      </c>
      <c r="G97" s="21">
        <v>0</v>
      </c>
      <c r="H97" s="17" t="s">
        <v>12</v>
      </c>
    </row>
    <row r="98" spans="1:8" x14ac:dyDescent="0.2">
      <c r="A98" s="18"/>
      <c r="B98" s="18"/>
      <c r="C98" s="22"/>
      <c r="D98" s="18"/>
      <c r="E98" s="18"/>
      <c r="F98" s="23"/>
      <c r="G98" s="23"/>
      <c r="H98" s="17" t="s">
        <v>12</v>
      </c>
    </row>
    <row r="99" spans="1:8" x14ac:dyDescent="0.2">
      <c r="A99" s="30"/>
      <c r="B99" s="26"/>
      <c r="C99" s="26" t="s">
        <v>110</v>
      </c>
      <c r="D99" s="26"/>
      <c r="E99" s="30"/>
      <c r="F99" s="28">
        <f>448.43842081-0.000711542997360229</f>
        <v>448.43770926700267</v>
      </c>
      <c r="G99" s="29">
        <v>2.1015539999999999E-2</v>
      </c>
      <c r="H99" s="17" t="s">
        <v>12</v>
      </c>
    </row>
    <row r="100" spans="1:8" x14ac:dyDescent="0.2">
      <c r="A100" s="22"/>
      <c r="B100" s="22"/>
      <c r="C100" s="19" t="s">
        <v>111</v>
      </c>
      <c r="D100" s="23"/>
      <c r="E100" s="23"/>
      <c r="F100" s="24">
        <f>21338.416659943-0.000711542997360229</f>
        <v>21338.415948400001</v>
      </c>
      <c r="G100" s="31">
        <v>1.00000004</v>
      </c>
      <c r="H100" s="17" t="s">
        <v>12</v>
      </c>
    </row>
    <row r="101" spans="1:8" x14ac:dyDescent="0.2">
      <c r="A101" s="32"/>
      <c r="B101" s="32"/>
      <c r="C101" s="32"/>
      <c r="D101" s="33"/>
      <c r="E101" s="33"/>
      <c r="F101" s="33"/>
      <c r="G101" s="33"/>
    </row>
    <row r="102" spans="1:8" x14ac:dyDescent="0.2">
      <c r="A102" s="34"/>
      <c r="B102" s="148" t="s">
        <v>545</v>
      </c>
      <c r="C102" s="148"/>
      <c r="D102" s="148"/>
      <c r="E102" s="148"/>
      <c r="F102" s="148"/>
      <c r="G102" s="148"/>
      <c r="H102" s="148"/>
    </row>
    <row r="103" spans="1:8" x14ac:dyDescent="0.2">
      <c r="A103" s="34"/>
      <c r="B103" s="148" t="s">
        <v>546</v>
      </c>
      <c r="C103" s="148"/>
      <c r="D103" s="148"/>
      <c r="E103" s="148"/>
      <c r="F103" s="148"/>
      <c r="G103" s="148"/>
      <c r="H103" s="148"/>
    </row>
    <row r="104" spans="1:8" x14ac:dyDescent="0.2">
      <c r="A104" s="34"/>
      <c r="B104" s="148" t="s">
        <v>547</v>
      </c>
      <c r="C104" s="148"/>
      <c r="D104" s="148"/>
      <c r="E104" s="148"/>
      <c r="F104" s="148"/>
      <c r="G104" s="148"/>
      <c r="H104" s="148"/>
    </row>
    <row r="105" spans="1:8" x14ac:dyDescent="0.2">
      <c r="A105" s="36"/>
      <c r="B105" s="36"/>
      <c r="C105" s="36"/>
      <c r="D105" s="37"/>
      <c r="E105" s="37"/>
      <c r="F105" s="37"/>
      <c r="G105" s="37"/>
    </row>
    <row r="106" spans="1:8" x14ac:dyDescent="0.2">
      <c r="A106" s="34"/>
      <c r="B106" s="150" t="s">
        <v>112</v>
      </c>
      <c r="C106" s="151"/>
      <c r="D106" s="152"/>
      <c r="E106" s="38"/>
      <c r="F106" s="39"/>
      <c r="G106" s="39"/>
    </row>
    <row r="107" spans="1:8" x14ac:dyDescent="0.2">
      <c r="A107" s="34"/>
      <c r="B107" s="153" t="s">
        <v>113</v>
      </c>
      <c r="C107" s="154"/>
      <c r="D107" s="16" t="s">
        <v>114</v>
      </c>
      <c r="E107" s="38"/>
      <c r="F107" s="39"/>
      <c r="G107" s="39"/>
    </row>
    <row r="108" spans="1:8" x14ac:dyDescent="0.2">
      <c r="A108" s="34"/>
      <c r="B108" s="153" t="s">
        <v>115</v>
      </c>
      <c r="C108" s="154"/>
      <c r="D108" s="16" t="s">
        <v>114</v>
      </c>
      <c r="E108" s="38"/>
      <c r="F108" s="39"/>
      <c r="G108" s="39"/>
    </row>
    <row r="109" spans="1:8" x14ac:dyDescent="0.2">
      <c r="A109" s="34"/>
      <c r="B109" s="153" t="s">
        <v>116</v>
      </c>
      <c r="C109" s="154"/>
      <c r="D109" s="40" t="s">
        <v>12</v>
      </c>
      <c r="E109" s="38"/>
      <c r="F109" s="39"/>
      <c r="G109" s="39"/>
    </row>
    <row r="110" spans="1:8" x14ac:dyDescent="0.2">
      <c r="A110" s="41"/>
      <c r="B110" s="42" t="s">
        <v>12</v>
      </c>
      <c r="C110" s="42" t="s">
        <v>548</v>
      </c>
      <c r="D110" s="42" t="s">
        <v>117</v>
      </c>
      <c r="E110" s="41"/>
      <c r="F110" s="41"/>
      <c r="G110" s="41"/>
    </row>
    <row r="111" spans="1:8" x14ac:dyDescent="0.2">
      <c r="A111" s="41"/>
      <c r="B111" s="43" t="s">
        <v>118</v>
      </c>
      <c r="C111" s="44">
        <v>45777</v>
      </c>
      <c r="D111" s="44">
        <v>45792</v>
      </c>
      <c r="E111" s="41"/>
      <c r="F111" s="41"/>
      <c r="G111" s="41"/>
    </row>
    <row r="112" spans="1:8" x14ac:dyDescent="0.2">
      <c r="A112" s="45"/>
      <c r="B112" s="26" t="s">
        <v>119</v>
      </c>
      <c r="C112" s="46">
        <v>47.485900000000001</v>
      </c>
      <c r="D112" s="46">
        <v>47.719900000000003</v>
      </c>
      <c r="E112" s="45"/>
      <c r="F112" s="47"/>
      <c r="G112" s="48"/>
    </row>
    <row r="113" spans="1:17" ht="25.5" x14ac:dyDescent="0.2">
      <c r="A113" s="45"/>
      <c r="B113" s="26" t="s">
        <v>673</v>
      </c>
      <c r="C113" s="46">
        <v>13.0838</v>
      </c>
      <c r="D113" s="46">
        <v>13.148300000000001</v>
      </c>
      <c r="E113" s="45"/>
      <c r="F113" s="47"/>
      <c r="G113" s="48"/>
    </row>
    <row r="114" spans="1:17" ht="25.5" x14ac:dyDescent="0.2">
      <c r="A114" s="45"/>
      <c r="B114" s="26" t="s">
        <v>674</v>
      </c>
      <c r="C114" s="46">
        <v>15.194800000000001</v>
      </c>
      <c r="D114" s="46">
        <v>15.269600000000001</v>
      </c>
      <c r="E114" s="45"/>
      <c r="F114" s="47"/>
      <c r="G114" s="48"/>
    </row>
    <row r="115" spans="1:17" ht="25.5" x14ac:dyDescent="0.2">
      <c r="A115" s="45"/>
      <c r="B115" s="26" t="s">
        <v>675</v>
      </c>
      <c r="C115" s="46">
        <v>14.6441</v>
      </c>
      <c r="D115" s="46">
        <v>14.7163</v>
      </c>
      <c r="E115" s="45"/>
      <c r="F115" s="47"/>
      <c r="G115" s="48"/>
    </row>
    <row r="116" spans="1:17" ht="25.5" x14ac:dyDescent="0.2">
      <c r="A116" s="45"/>
      <c r="B116" s="26" t="s">
        <v>676</v>
      </c>
      <c r="C116" s="46">
        <v>15.173400000000001</v>
      </c>
      <c r="D116" s="46">
        <v>15.248200000000001</v>
      </c>
      <c r="E116" s="45"/>
      <c r="F116" s="47"/>
      <c r="G116" s="48"/>
    </row>
    <row r="117" spans="1:17" x14ac:dyDescent="0.2">
      <c r="A117" s="45"/>
      <c r="B117" s="26" t="s">
        <v>120</v>
      </c>
      <c r="C117" s="46">
        <v>43.9221</v>
      </c>
      <c r="D117" s="46">
        <v>44.127899999999997</v>
      </c>
      <c r="E117" s="45"/>
      <c r="F117" s="47"/>
      <c r="G117" s="48"/>
    </row>
    <row r="118" spans="1:17" x14ac:dyDescent="0.2">
      <c r="A118" s="45"/>
      <c r="B118" s="26" t="s">
        <v>160</v>
      </c>
      <c r="C118" s="46">
        <v>15.8658</v>
      </c>
      <c r="D118" s="46">
        <v>15.940099999999999</v>
      </c>
      <c r="E118" s="45"/>
      <c r="F118" s="47"/>
      <c r="G118" s="48"/>
    </row>
    <row r="119" spans="1:17" ht="25.5" x14ac:dyDescent="0.2">
      <c r="A119" s="45"/>
      <c r="B119" s="26" t="s">
        <v>677</v>
      </c>
      <c r="C119" s="46">
        <v>13.0298</v>
      </c>
      <c r="D119" s="46">
        <v>13.0909</v>
      </c>
      <c r="E119" s="45"/>
      <c r="F119" s="47"/>
      <c r="G119" s="48"/>
    </row>
    <row r="120" spans="1:17" ht="25.5" x14ac:dyDescent="0.2">
      <c r="A120" s="45"/>
      <c r="B120" s="26" t="s">
        <v>648</v>
      </c>
      <c r="C120" s="46">
        <v>14.851699999999999</v>
      </c>
      <c r="D120" s="46">
        <v>14.9213</v>
      </c>
      <c r="E120" s="45"/>
      <c r="F120" s="47"/>
      <c r="G120" s="48"/>
    </row>
    <row r="121" spans="1:17" ht="25.5" x14ac:dyDescent="0.2">
      <c r="A121" s="45"/>
      <c r="B121" s="26" t="s">
        <v>678</v>
      </c>
      <c r="C121" s="46">
        <v>14.313800000000001</v>
      </c>
      <c r="D121" s="46">
        <v>14.380800000000001</v>
      </c>
      <c r="E121" s="45"/>
      <c r="F121" s="47"/>
      <c r="G121" s="48"/>
    </row>
    <row r="122" spans="1:17" ht="25.5" x14ac:dyDescent="0.2">
      <c r="A122" s="45"/>
      <c r="B122" s="26" t="s">
        <v>679</v>
      </c>
      <c r="C122" s="46">
        <v>14.83</v>
      </c>
      <c r="D122" s="46">
        <v>14.8995</v>
      </c>
      <c r="E122" s="45"/>
      <c r="F122" s="47"/>
      <c r="G122" s="48"/>
    </row>
    <row r="123" spans="1:17" x14ac:dyDescent="0.2">
      <c r="A123" s="45"/>
      <c r="B123" s="45"/>
      <c r="C123" s="45"/>
      <c r="D123" s="45"/>
      <c r="E123" s="45"/>
      <c r="F123" s="45"/>
      <c r="G123" s="45"/>
    </row>
    <row r="124" spans="1:17" x14ac:dyDescent="0.2">
      <c r="A124" s="45"/>
      <c r="B124" s="155" t="s">
        <v>649</v>
      </c>
      <c r="C124" s="156"/>
      <c r="D124" s="16" t="s">
        <v>114</v>
      </c>
      <c r="E124" s="45"/>
      <c r="F124" s="45"/>
      <c r="G124" s="45"/>
    </row>
    <row r="125" spans="1:17" x14ac:dyDescent="0.2">
      <c r="A125" s="45"/>
      <c r="B125" s="49"/>
      <c r="C125" s="49"/>
      <c r="D125" s="49"/>
      <c r="E125" s="45"/>
      <c r="F125" s="45"/>
      <c r="G125" s="45"/>
    </row>
    <row r="126" spans="1:17" s="52" customFormat="1" x14ac:dyDescent="0.2">
      <c r="A126" s="89"/>
      <c r="B126" s="153" t="s">
        <v>562</v>
      </c>
      <c r="C126" s="154"/>
      <c r="D126" s="16" t="s">
        <v>114</v>
      </c>
      <c r="E126" s="89"/>
      <c r="F126" s="89"/>
      <c r="G126" s="89"/>
      <c r="I126"/>
      <c r="J126" s="14"/>
      <c r="K126"/>
      <c r="L126" s="51"/>
      <c r="M126" s="51"/>
      <c r="N126" s="51"/>
      <c r="O126" s="53"/>
      <c r="P126"/>
      <c r="Q126"/>
    </row>
    <row r="127" spans="1:17" x14ac:dyDescent="0.2">
      <c r="A127" s="41"/>
      <c r="B127" s="153" t="s">
        <v>563</v>
      </c>
      <c r="C127" s="154"/>
      <c r="D127" s="16" t="s">
        <v>114</v>
      </c>
      <c r="E127" s="50"/>
      <c r="F127" s="41"/>
      <c r="G127" s="41"/>
      <c r="J127" s="14"/>
    </row>
    <row r="128" spans="1:17" x14ac:dyDescent="0.2">
      <c r="A128" s="41"/>
      <c r="B128" s="153" t="s">
        <v>564</v>
      </c>
      <c r="C128" s="154"/>
      <c r="D128" s="16" t="s">
        <v>114</v>
      </c>
      <c r="E128" s="50"/>
      <c r="F128" s="41"/>
      <c r="G128" s="41"/>
      <c r="J128" s="14"/>
    </row>
    <row r="129" spans="1:19" x14ac:dyDescent="0.2">
      <c r="A129" s="41"/>
      <c r="B129" s="153" t="s">
        <v>565</v>
      </c>
      <c r="C129" s="154"/>
      <c r="D129" s="16" t="s">
        <v>114</v>
      </c>
      <c r="E129" s="50"/>
      <c r="F129" s="41"/>
      <c r="G129" s="41"/>
      <c r="J129" s="14"/>
    </row>
    <row r="130" spans="1:19" x14ac:dyDescent="0.2">
      <c r="A130" s="49"/>
      <c r="B130" s="49"/>
      <c r="C130" s="49"/>
      <c r="D130" s="49"/>
      <c r="E130" s="49"/>
      <c r="F130" s="49"/>
      <c r="G130" s="49"/>
      <c r="J130" s="14"/>
    </row>
    <row r="131" spans="1:19" s="52" customFormat="1" x14ac:dyDescent="0.2">
      <c r="B131" s="157" t="s">
        <v>551</v>
      </c>
      <c r="C131" s="158"/>
      <c r="D131" s="159"/>
      <c r="I131"/>
      <c r="J131" s="14"/>
      <c r="K131"/>
      <c r="L131" s="51"/>
      <c r="M131" s="51"/>
      <c r="N131" s="51"/>
      <c r="O131" s="53"/>
      <c r="R131"/>
      <c r="S131"/>
    </row>
    <row r="132" spans="1:19" s="52" customFormat="1" ht="51" x14ac:dyDescent="0.2">
      <c r="B132" s="149" t="s">
        <v>552</v>
      </c>
      <c r="C132" s="149"/>
      <c r="D132" s="54" t="s">
        <v>415</v>
      </c>
      <c r="I132"/>
      <c r="J132" s="14"/>
      <c r="K132"/>
      <c r="L132" s="51"/>
      <c r="M132" s="51"/>
      <c r="N132" s="51"/>
      <c r="O132" s="53"/>
      <c r="R132"/>
      <c r="S132"/>
    </row>
    <row r="133" spans="1:19" s="52" customFormat="1" x14ac:dyDescent="0.2">
      <c r="B133" s="145" t="s">
        <v>553</v>
      </c>
      <c r="C133" s="145"/>
      <c r="D133" s="55"/>
      <c r="I133"/>
      <c r="J133" s="14"/>
      <c r="K133"/>
      <c r="L133" s="51"/>
      <c r="M133" s="51"/>
      <c r="N133" s="51"/>
      <c r="O133" s="53"/>
      <c r="R133"/>
      <c r="S133"/>
    </row>
    <row r="134" spans="1:19" s="52" customFormat="1" x14ac:dyDescent="0.2">
      <c r="B134" s="145"/>
      <c r="C134" s="145"/>
      <c r="D134" s="56"/>
      <c r="I134"/>
      <c r="J134" s="14"/>
      <c r="K134"/>
      <c r="L134" s="51"/>
      <c r="M134" s="51"/>
      <c r="N134" s="51"/>
      <c r="O134" s="53"/>
      <c r="R134"/>
      <c r="S134"/>
    </row>
    <row r="135" spans="1:19" s="52" customFormat="1" x14ac:dyDescent="0.2">
      <c r="B135" s="145" t="s">
        <v>554</v>
      </c>
      <c r="C135" s="145"/>
      <c r="D135" s="57">
        <v>6.7906744314502925</v>
      </c>
      <c r="I135"/>
      <c r="J135" s="14"/>
      <c r="K135"/>
      <c r="L135" s="51"/>
      <c r="M135" s="51"/>
      <c r="N135" s="51"/>
      <c r="O135" s="53"/>
    </row>
    <row r="136" spans="1:19" s="52" customFormat="1" x14ac:dyDescent="0.2">
      <c r="B136" s="145"/>
      <c r="C136" s="145"/>
      <c r="D136" s="56"/>
      <c r="I136"/>
      <c r="J136" s="14"/>
      <c r="K136"/>
      <c r="L136" s="51"/>
      <c r="M136" s="51"/>
      <c r="N136" s="51"/>
      <c r="O136" s="53"/>
    </row>
    <row r="137" spans="1:19" s="52" customFormat="1" x14ac:dyDescent="0.2">
      <c r="B137" s="145" t="s">
        <v>555</v>
      </c>
      <c r="C137" s="145"/>
      <c r="D137" s="57">
        <v>2.7955641247903591</v>
      </c>
      <c r="I137"/>
      <c r="J137" s="14"/>
      <c r="K137"/>
      <c r="L137" s="51"/>
      <c r="M137" s="51"/>
      <c r="N137" s="51"/>
      <c r="O137" s="53"/>
    </row>
    <row r="138" spans="1:19" s="52" customFormat="1" x14ac:dyDescent="0.2">
      <c r="B138" s="145" t="s">
        <v>573</v>
      </c>
      <c r="C138" s="145"/>
      <c r="D138" s="57">
        <v>3.3699453400402644</v>
      </c>
      <c r="I138"/>
      <c r="J138" s="14"/>
      <c r="K138"/>
      <c r="L138" s="51"/>
      <c r="M138" s="51"/>
      <c r="N138" s="51"/>
      <c r="O138" s="53"/>
    </row>
    <row r="139" spans="1:19" s="52" customFormat="1" x14ac:dyDescent="0.2">
      <c r="B139" s="145"/>
      <c r="C139" s="145"/>
      <c r="D139" s="56"/>
      <c r="I139"/>
      <c r="J139" s="14"/>
      <c r="K139"/>
      <c r="L139" s="51"/>
      <c r="M139" s="51"/>
      <c r="N139" s="51"/>
      <c r="O139" s="53"/>
    </row>
    <row r="140" spans="1:19" s="52" customFormat="1" x14ac:dyDescent="0.2">
      <c r="B140" s="145" t="s">
        <v>557</v>
      </c>
      <c r="C140" s="145"/>
      <c r="D140" s="59" t="s">
        <v>680</v>
      </c>
      <c r="I140"/>
      <c r="J140" s="14"/>
      <c r="K140" s="51"/>
      <c r="L140" s="51"/>
      <c r="M140" s="51"/>
      <c r="N140" s="51"/>
      <c r="O140" s="53"/>
    </row>
    <row r="141" spans="1:19" s="52" customFormat="1" x14ac:dyDescent="0.2">
      <c r="B141" s="143" t="s">
        <v>558</v>
      </c>
      <c r="C141" s="146"/>
      <c r="D141" s="144"/>
      <c r="I141"/>
      <c r="J141" s="14"/>
      <c r="K141"/>
      <c r="L141" s="51"/>
      <c r="M141" s="51"/>
      <c r="N141" s="51"/>
      <c r="O141" s="53"/>
    </row>
    <row r="142" spans="1:19" x14ac:dyDescent="0.2">
      <c r="J142" s="14"/>
    </row>
    <row r="143" spans="1:19" ht="13.5" x14ac:dyDescent="0.2">
      <c r="B143" s="197" t="s">
        <v>681</v>
      </c>
      <c r="C143" s="197"/>
      <c r="D143" s="197"/>
      <c r="E143" s="197"/>
      <c r="F143" s="197"/>
      <c r="G143" s="197"/>
      <c r="H143" s="197"/>
    </row>
    <row r="144" spans="1:19" ht="13.5" x14ac:dyDescent="0.2">
      <c r="B144" s="138"/>
      <c r="C144" s="138"/>
      <c r="D144" s="138"/>
      <c r="E144" s="138"/>
      <c r="F144" s="138"/>
      <c r="G144" s="138"/>
      <c r="H144" s="138"/>
      <c r="J144" s="51"/>
      <c r="K144" s="51"/>
      <c r="L144" s="51"/>
      <c r="M144" s="51"/>
      <c r="N144" s="51"/>
      <c r="O144" s="51"/>
    </row>
    <row r="145" spans="2:15" ht="13.5" x14ac:dyDescent="0.25">
      <c r="B145" s="83" t="s">
        <v>574</v>
      </c>
      <c r="C145" s="83" t="s">
        <v>575</v>
      </c>
      <c r="D145" s="192" t="s">
        <v>576</v>
      </c>
      <c r="E145" s="193"/>
      <c r="F145" s="194"/>
      <c r="G145" s="195" t="s">
        <v>577</v>
      </c>
      <c r="H145" s="196"/>
      <c r="J145" s="51"/>
      <c r="K145" s="51"/>
      <c r="L145" s="51"/>
      <c r="M145" s="51"/>
      <c r="N145" s="51"/>
      <c r="O145" s="51"/>
    </row>
    <row r="146" spans="2:15" ht="27" x14ac:dyDescent="0.25">
      <c r="B146" s="82" t="s">
        <v>582</v>
      </c>
      <c r="C146" s="81" t="s">
        <v>613</v>
      </c>
      <c r="D146" s="188">
        <v>0</v>
      </c>
      <c r="E146" s="189"/>
      <c r="F146" s="190"/>
      <c r="G146" s="188">
        <v>0</v>
      </c>
      <c r="H146" s="190"/>
      <c r="J146" s="51"/>
      <c r="K146" s="51"/>
      <c r="L146" s="51"/>
      <c r="M146" s="51"/>
      <c r="N146" s="51"/>
      <c r="O146" s="51"/>
    </row>
    <row r="147" spans="2:15" ht="27" x14ac:dyDescent="0.25">
      <c r="B147" s="82" t="s">
        <v>578</v>
      </c>
      <c r="C147" s="81" t="s">
        <v>614</v>
      </c>
      <c r="D147" s="188">
        <v>0</v>
      </c>
      <c r="E147" s="189"/>
      <c r="F147" s="190"/>
      <c r="G147" s="188">
        <v>0</v>
      </c>
      <c r="H147" s="190"/>
      <c r="J147" s="51"/>
      <c r="K147" s="51"/>
      <c r="L147" s="51"/>
      <c r="M147" s="51"/>
      <c r="N147" s="51"/>
      <c r="O147" s="51"/>
    </row>
    <row r="148" spans="2:15" ht="27" x14ac:dyDescent="0.25">
      <c r="B148" s="82" t="s">
        <v>615</v>
      </c>
      <c r="C148" s="81" t="s">
        <v>616</v>
      </c>
      <c r="D148" s="188">
        <v>0</v>
      </c>
      <c r="E148" s="189"/>
      <c r="F148" s="190"/>
      <c r="G148" s="188">
        <v>0</v>
      </c>
      <c r="H148" s="190"/>
      <c r="J148" s="51"/>
      <c r="K148" s="51"/>
      <c r="L148" s="51"/>
      <c r="M148" s="51"/>
      <c r="N148" s="51"/>
      <c r="O148" s="51"/>
    </row>
    <row r="149" spans="2:15" ht="27" x14ac:dyDescent="0.25">
      <c r="B149" s="82" t="s">
        <v>580</v>
      </c>
      <c r="C149" s="81" t="s">
        <v>617</v>
      </c>
      <c r="D149" s="181">
        <v>0</v>
      </c>
      <c r="E149" s="181"/>
      <c r="F149" s="181"/>
      <c r="G149" s="181">
        <v>0</v>
      </c>
      <c r="H149" s="181"/>
      <c r="J149" s="51"/>
      <c r="K149" s="51"/>
      <c r="L149" s="51"/>
      <c r="M149" s="51"/>
      <c r="N149" s="51"/>
      <c r="O149" s="51"/>
    </row>
    <row r="150" spans="2:15" ht="13.5" x14ac:dyDescent="0.25">
      <c r="B150" s="133"/>
      <c r="C150" s="133"/>
      <c r="D150" s="191"/>
      <c r="E150" s="191"/>
      <c r="F150" s="191"/>
      <c r="G150" s="191"/>
      <c r="H150" s="191"/>
      <c r="J150" s="51"/>
      <c r="K150" s="51"/>
      <c r="L150" s="51"/>
      <c r="M150" s="51"/>
      <c r="N150" s="51"/>
      <c r="O150" s="51"/>
    </row>
    <row r="151" spans="2:15" ht="13.5" x14ac:dyDescent="0.25">
      <c r="B151" s="187" t="s">
        <v>584</v>
      </c>
      <c r="C151" s="187"/>
      <c r="D151" s="187"/>
      <c r="E151" s="187"/>
      <c r="F151" s="187"/>
      <c r="G151" s="187"/>
      <c r="H151" s="187"/>
      <c r="J151" s="51"/>
      <c r="K151" s="51"/>
      <c r="L151" s="51"/>
      <c r="M151" s="51"/>
      <c r="N151" s="51"/>
      <c r="O151" s="51"/>
    </row>
    <row r="152" spans="2:15" ht="13.5" x14ac:dyDescent="0.2">
      <c r="B152" s="179" t="s">
        <v>574</v>
      </c>
      <c r="C152" s="179" t="s">
        <v>575</v>
      </c>
      <c r="D152" s="179" t="s">
        <v>618</v>
      </c>
      <c r="E152" s="179"/>
      <c r="F152" s="179"/>
      <c r="G152" s="179"/>
      <c r="H152" s="180" t="s">
        <v>619</v>
      </c>
      <c r="I152" s="180" t="s">
        <v>620</v>
      </c>
      <c r="J152" s="180" t="s">
        <v>621</v>
      </c>
      <c r="K152" s="51"/>
      <c r="L152" s="51"/>
      <c r="M152" s="51"/>
      <c r="N152" s="51"/>
      <c r="O152" s="51"/>
    </row>
    <row r="153" spans="2:15" ht="121.5" x14ac:dyDescent="0.2">
      <c r="B153" s="179"/>
      <c r="C153" s="179"/>
      <c r="D153" s="78" t="s">
        <v>622</v>
      </c>
      <c r="E153" s="78" t="s">
        <v>623</v>
      </c>
      <c r="F153" s="78" t="s">
        <v>624</v>
      </c>
      <c r="G153" s="78" t="s">
        <v>625</v>
      </c>
      <c r="H153" s="180"/>
      <c r="I153" s="180"/>
      <c r="J153" s="180"/>
      <c r="K153" s="51"/>
      <c r="L153" s="51"/>
      <c r="M153" s="51"/>
      <c r="N153" s="51"/>
      <c r="O153" s="51"/>
    </row>
    <row r="154" spans="2:15" ht="27" x14ac:dyDescent="0.25">
      <c r="B154" s="82" t="s">
        <v>582</v>
      </c>
      <c r="C154" s="81" t="s">
        <v>613</v>
      </c>
      <c r="D154" s="84">
        <v>3000</v>
      </c>
      <c r="E154" s="84">
        <v>198.60410960000002</v>
      </c>
      <c r="F154" s="139">
        <v>72.152053199999997</v>
      </c>
      <c r="G154" s="132">
        <v>3270.7561627999999</v>
      </c>
      <c r="H154" s="2">
        <v>1452.6372699999999</v>
      </c>
      <c r="I154" s="2">
        <f>2499839/10^5</f>
        <v>24.998390000000001</v>
      </c>
      <c r="J154" s="2">
        <f>H154+I154</f>
        <v>1477.6356599999999</v>
      </c>
      <c r="K154" s="51"/>
      <c r="L154" s="51"/>
      <c r="M154" s="51"/>
      <c r="N154" s="51"/>
      <c r="O154" s="51"/>
    </row>
    <row r="155" spans="2:15" ht="27" x14ac:dyDescent="0.25">
      <c r="B155" s="82" t="s">
        <v>578</v>
      </c>
      <c r="C155" s="81" t="s">
        <v>614</v>
      </c>
      <c r="D155" s="84">
        <v>500</v>
      </c>
      <c r="E155" s="84">
        <v>33.283561599999999</v>
      </c>
      <c r="F155" s="139">
        <v>12.091777499999999</v>
      </c>
      <c r="G155" s="132">
        <f>D155+E155+F155</f>
        <v>545.37533910000002</v>
      </c>
      <c r="H155" s="2">
        <v>242.22076999999999</v>
      </c>
      <c r="I155" s="2">
        <f>416840/10^5</f>
        <v>4.1684000000000001</v>
      </c>
      <c r="J155" s="2">
        <f>H155+I155</f>
        <v>246.38916999999998</v>
      </c>
      <c r="K155" s="51"/>
      <c r="L155" s="51"/>
      <c r="M155" s="51"/>
      <c r="N155" s="51"/>
      <c r="O155" s="51"/>
    </row>
    <row r="156" spans="2:15" ht="27" x14ac:dyDescent="0.25">
      <c r="B156" s="82" t="s">
        <v>615</v>
      </c>
      <c r="C156" s="81" t="s">
        <v>626</v>
      </c>
      <c r="D156" s="84">
        <v>2000</v>
      </c>
      <c r="E156" s="84">
        <v>39.762295099999996</v>
      </c>
      <c r="F156" s="139">
        <v>64.029485721917808</v>
      </c>
      <c r="G156" s="132">
        <v>2103.7917808219199</v>
      </c>
      <c r="H156" s="2">
        <v>933.64715000000001</v>
      </c>
      <c r="I156" s="2">
        <f>1606686/10^5</f>
        <v>16.066859999999998</v>
      </c>
      <c r="J156" s="2">
        <f>H156+I156</f>
        <v>949.71401000000003</v>
      </c>
      <c r="K156" s="51"/>
      <c r="L156" s="51"/>
      <c r="M156" s="51"/>
      <c r="N156" s="51"/>
      <c r="O156" s="51"/>
    </row>
    <row r="157" spans="2:15" ht="27" x14ac:dyDescent="0.25">
      <c r="B157" s="82" t="s">
        <v>580</v>
      </c>
      <c r="C157" s="81" t="s">
        <v>617</v>
      </c>
      <c r="D157" s="84">
        <v>1882.78</v>
      </c>
      <c r="E157" s="84">
        <v>137.066384</v>
      </c>
      <c r="F157" s="139">
        <v>34.266601500000007</v>
      </c>
      <c r="G157" s="132">
        <v>2054.1129854999999</v>
      </c>
      <c r="H157" s="2">
        <v>916.65184999999997</v>
      </c>
      <c r="I157" s="2">
        <f>1577458/10^5</f>
        <v>15.77458</v>
      </c>
      <c r="J157" s="2">
        <f>H157+I157</f>
        <v>932.42642999999998</v>
      </c>
      <c r="K157" s="51"/>
      <c r="L157" s="51"/>
      <c r="M157" s="51"/>
      <c r="N157" s="51"/>
      <c r="O157" s="51"/>
    </row>
    <row r="158" spans="2:15" ht="13.5" x14ac:dyDescent="0.25">
      <c r="B158" s="133"/>
      <c r="C158" s="134"/>
      <c r="D158" s="140"/>
      <c r="E158" s="140"/>
      <c r="F158" s="5"/>
      <c r="G158" s="136"/>
      <c r="H158" s="3"/>
      <c r="J158" s="14"/>
      <c r="K158" s="51"/>
      <c r="L158" s="51"/>
      <c r="M158" s="51"/>
      <c r="N158" s="51"/>
      <c r="O158" s="51"/>
    </row>
    <row r="159" spans="2:15" ht="51" customHeight="1" x14ac:dyDescent="0.2">
      <c r="B159" s="186" t="s">
        <v>627</v>
      </c>
      <c r="C159" s="186"/>
      <c r="D159" s="186"/>
      <c r="E159" s="186"/>
      <c r="F159" s="186"/>
      <c r="G159" s="186"/>
      <c r="H159" s="186"/>
      <c r="I159" s="186"/>
      <c r="J159" s="14"/>
      <c r="K159" s="51"/>
      <c r="L159" s="51"/>
      <c r="M159" s="51"/>
      <c r="N159" s="51"/>
      <c r="O159" s="51"/>
    </row>
    <row r="160" spans="2:15" x14ac:dyDescent="0.2">
      <c r="B160" s="51"/>
      <c r="C160" s="51"/>
      <c r="D160" s="51"/>
      <c r="E160" s="51"/>
      <c r="F160" s="51"/>
      <c r="G160" s="51"/>
      <c r="H160" s="51"/>
      <c r="J160" s="14"/>
      <c r="K160" s="51"/>
      <c r="L160" s="51"/>
      <c r="M160" s="51"/>
      <c r="N160" s="51"/>
      <c r="O160" s="51"/>
    </row>
    <row r="161" spans="2:15" ht="13.5" x14ac:dyDescent="0.25">
      <c r="B161" s="87" t="s">
        <v>604</v>
      </c>
      <c r="C161" s="51"/>
      <c r="D161" s="51"/>
      <c r="E161" s="51"/>
      <c r="F161" s="51"/>
      <c r="G161" s="51"/>
      <c r="H161" s="51"/>
      <c r="J161" s="14"/>
      <c r="K161" s="51"/>
      <c r="L161" s="51"/>
      <c r="M161" s="51"/>
      <c r="N161" s="51"/>
      <c r="O161" s="51"/>
    </row>
    <row r="162" spans="2:15" x14ac:dyDescent="0.2">
      <c r="B162" s="51"/>
      <c r="C162" s="51"/>
      <c r="D162" s="51"/>
      <c r="E162" s="51"/>
      <c r="F162" s="51"/>
      <c r="G162" s="51"/>
      <c r="H162" s="51"/>
      <c r="I162" s="51"/>
      <c r="J162" s="14"/>
      <c r="K162" s="51"/>
      <c r="L162" s="51"/>
      <c r="M162" s="51"/>
      <c r="N162" s="51"/>
      <c r="O162" s="51"/>
    </row>
    <row r="163" spans="2:15" x14ac:dyDescent="0.2">
      <c r="B163" s="88" t="s">
        <v>605</v>
      </c>
      <c r="C163" s="51"/>
      <c r="D163" s="51"/>
      <c r="E163" s="51"/>
      <c r="F163" s="51"/>
      <c r="G163" s="51"/>
      <c r="H163" s="51"/>
      <c r="I163" s="51"/>
      <c r="J163" s="14"/>
      <c r="K163" s="51"/>
      <c r="L163" s="51"/>
      <c r="M163" s="51"/>
      <c r="N163" s="51"/>
      <c r="O163" s="51"/>
    </row>
    <row r="164" spans="2:15" x14ac:dyDescent="0.2">
      <c r="B164" s="51"/>
      <c r="C164" s="51"/>
      <c r="D164" s="51"/>
      <c r="E164" s="51"/>
      <c r="F164" s="51"/>
      <c r="G164" s="51"/>
      <c r="H164" s="51"/>
      <c r="I164" s="51"/>
      <c r="J164" s="14"/>
      <c r="K164" s="51"/>
      <c r="L164" s="51"/>
      <c r="M164" s="51"/>
      <c r="N164" s="51"/>
      <c r="O164" s="51"/>
    </row>
    <row r="165" spans="2:15" x14ac:dyDescent="0.2">
      <c r="B165" s="88" t="s">
        <v>606</v>
      </c>
      <c r="C165" s="51"/>
      <c r="D165" s="51"/>
      <c r="E165" s="51"/>
      <c r="F165" s="51"/>
      <c r="G165" s="51"/>
      <c r="H165" s="51"/>
      <c r="I165" s="51"/>
      <c r="J165" s="14"/>
      <c r="K165" s="51"/>
      <c r="L165" s="51"/>
      <c r="M165" s="51"/>
      <c r="N165" s="51"/>
      <c r="O165" s="51"/>
    </row>
    <row r="166" spans="2:15" x14ac:dyDescent="0.2">
      <c r="I166" s="51"/>
      <c r="J166" s="14"/>
      <c r="K166" s="51"/>
      <c r="L166" s="51"/>
      <c r="M166" s="51"/>
      <c r="N166" s="51"/>
      <c r="O166" s="51"/>
    </row>
    <row r="167" spans="2:15" x14ac:dyDescent="0.2">
      <c r="B167" s="88" t="s">
        <v>607</v>
      </c>
      <c r="J167" s="14"/>
      <c r="K167" s="51"/>
      <c r="L167" s="51"/>
      <c r="M167" s="51"/>
      <c r="N167" s="51"/>
      <c r="O167" s="51"/>
    </row>
    <row r="168" spans="2:15" x14ac:dyDescent="0.2">
      <c r="I168" s="51"/>
      <c r="J168" s="14"/>
      <c r="K168" s="51"/>
      <c r="L168" s="51"/>
      <c r="M168" s="51"/>
      <c r="N168" s="51"/>
      <c r="O168" s="51"/>
    </row>
    <row r="169" spans="2:15" ht="25.5" x14ac:dyDescent="0.2">
      <c r="B169" s="61" t="s">
        <v>559</v>
      </c>
    </row>
    <row r="171" spans="2:15" ht="153.75" customHeight="1" x14ac:dyDescent="0.2"/>
    <row r="174" spans="2:15" x14ac:dyDescent="0.2">
      <c r="B174" s="62" t="s">
        <v>560</v>
      </c>
      <c r="C174" s="63"/>
      <c r="D174" s="62"/>
    </row>
    <row r="175" spans="2:15" x14ac:dyDescent="0.2">
      <c r="B175" s="62" t="s">
        <v>628</v>
      </c>
      <c r="D175" s="62"/>
    </row>
    <row r="176" spans="2:15" ht="165" customHeight="1" x14ac:dyDescent="0.2"/>
    <row r="178" spans="10:10" x14ac:dyDescent="0.2">
      <c r="J178" s="14"/>
    </row>
  </sheetData>
  <mergeCells count="47">
    <mergeCell ref="B129:C129"/>
    <mergeCell ref="B132:C132"/>
    <mergeCell ref="B124:C124"/>
    <mergeCell ref="B128:C128"/>
    <mergeCell ref="B126:C126"/>
    <mergeCell ref="B127:C127"/>
    <mergeCell ref="B131:D131"/>
    <mergeCell ref="B104:H104"/>
    <mergeCell ref="B106:D106"/>
    <mergeCell ref="B107:C107"/>
    <mergeCell ref="B108:C108"/>
    <mergeCell ref="B109:C109"/>
    <mergeCell ref="A1:H1"/>
    <mergeCell ref="A3:H3"/>
    <mergeCell ref="A2:H2"/>
    <mergeCell ref="B102:H102"/>
    <mergeCell ref="B103:H103"/>
    <mergeCell ref="B133:C133"/>
    <mergeCell ref="B134:C134"/>
    <mergeCell ref="B135:C135"/>
    <mergeCell ref="B136:C136"/>
    <mergeCell ref="B137:C137"/>
    <mergeCell ref="B138:C138"/>
    <mergeCell ref="B139:C139"/>
    <mergeCell ref="B140:C140"/>
    <mergeCell ref="B141:D141"/>
    <mergeCell ref="B143:H143"/>
    <mergeCell ref="D145:F145"/>
    <mergeCell ref="G145:H145"/>
    <mergeCell ref="D146:F146"/>
    <mergeCell ref="G146:H146"/>
    <mergeCell ref="D147:F147"/>
    <mergeCell ref="G147:H147"/>
    <mergeCell ref="D148:F148"/>
    <mergeCell ref="G148:H148"/>
    <mergeCell ref="D149:F149"/>
    <mergeCell ref="G149:H149"/>
    <mergeCell ref="D150:F150"/>
    <mergeCell ref="G150:H150"/>
    <mergeCell ref="I152:I153"/>
    <mergeCell ref="J152:J153"/>
    <mergeCell ref="B159:I159"/>
    <mergeCell ref="B151:H151"/>
    <mergeCell ref="B152:B153"/>
    <mergeCell ref="C152:C153"/>
    <mergeCell ref="D152:G152"/>
    <mergeCell ref="H152:H153"/>
  </mergeCells>
  <hyperlinks>
    <hyperlink ref="I1" location="Index!B2" display="Index" xr:uid="{B22F1066-FFFA-4268-AEDD-18ACFC80FE85}"/>
    <hyperlink ref="B163" r:id="rId1" xr:uid="{CF6DC245-DD84-46AE-93BC-4B9780FFFC01}"/>
    <hyperlink ref="B165" r:id="rId2" xr:uid="{544C750F-7BCA-468D-B72B-2CF5CBB40CE0}"/>
    <hyperlink ref="B167" r:id="rId3" xr:uid="{B651DC52-CE17-4159-AAA2-589000D21217}"/>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A44E3-10B3-4AFE-8DD4-F5111A332FA0}">
  <sheetPr>
    <outlinePr summaryBelow="0" summaryRight="0"/>
  </sheetPr>
  <dimension ref="A1:Q213"/>
  <sheetViews>
    <sheetView showGridLines="0" workbookViewId="0">
      <selection sqref="A1:H1"/>
    </sheetView>
  </sheetViews>
  <sheetFormatPr defaultRowHeight="12.75" x14ac:dyDescent="0.2"/>
  <cols>
    <col min="1" max="1" width="5.85546875" bestFit="1" customWidth="1"/>
    <col min="2" max="2" width="22" customWidth="1"/>
    <col min="3" max="3" width="39.140625" bestFit="1" customWidth="1"/>
    <col min="4" max="4" width="11.42578125" bestFit="1" customWidth="1"/>
    <col min="5" max="5" width="9.42578125" bestFit="1" customWidth="1"/>
    <col min="6" max="6" width="10.140625" bestFit="1" customWidth="1"/>
    <col min="7" max="7" width="20" bestFit="1" customWidth="1"/>
    <col min="8" max="8" width="10.28515625" customWidth="1"/>
    <col min="9" max="9" width="10.7109375" customWidth="1"/>
    <col min="10" max="10" width="12" bestFit="1" customWidth="1"/>
  </cols>
  <sheetData>
    <row r="1" spans="1:9" ht="15" x14ac:dyDescent="0.2">
      <c r="A1" s="147" t="s">
        <v>0</v>
      </c>
      <c r="B1" s="147"/>
      <c r="C1" s="147"/>
      <c r="D1" s="147"/>
      <c r="E1" s="147"/>
      <c r="F1" s="147"/>
      <c r="G1" s="147"/>
      <c r="H1" s="147"/>
      <c r="I1" s="1" t="s">
        <v>543</v>
      </c>
    </row>
    <row r="2" spans="1:9" ht="15" x14ac:dyDescent="0.2">
      <c r="A2" s="147" t="s">
        <v>430</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25">
        <v>1</v>
      </c>
      <c r="B7" s="65" t="s">
        <v>568</v>
      </c>
      <c r="C7" s="65" t="s">
        <v>569</v>
      </c>
      <c r="D7" s="65" t="s">
        <v>570</v>
      </c>
      <c r="E7" s="66">
        <v>13333</v>
      </c>
      <c r="F7" s="67">
        <v>0.01</v>
      </c>
      <c r="G7" s="106" t="s">
        <v>571</v>
      </c>
      <c r="H7" s="71" t="s">
        <v>12</v>
      </c>
    </row>
    <row r="8" spans="1:9" x14ac:dyDescent="0.2">
      <c r="A8" s="18"/>
      <c r="B8" s="18"/>
      <c r="C8" s="19" t="s">
        <v>11</v>
      </c>
      <c r="D8" s="18"/>
      <c r="E8" s="18" t="s">
        <v>12</v>
      </c>
      <c r="F8" s="24">
        <f>SUM(F7)</f>
        <v>0.01</v>
      </c>
      <c r="G8" s="21">
        <v>0</v>
      </c>
      <c r="H8" s="17" t="s">
        <v>12</v>
      </c>
    </row>
    <row r="9" spans="1:9" x14ac:dyDescent="0.2">
      <c r="A9" s="18"/>
      <c r="B9" s="18"/>
      <c r="C9" s="22"/>
      <c r="D9" s="18"/>
      <c r="E9" s="18"/>
      <c r="F9" s="23"/>
      <c r="G9" s="23"/>
      <c r="H9" s="17" t="s">
        <v>12</v>
      </c>
    </row>
    <row r="10" spans="1:9" x14ac:dyDescent="0.2">
      <c r="A10" s="18"/>
      <c r="B10" s="18"/>
      <c r="C10" s="19" t="s">
        <v>14</v>
      </c>
      <c r="D10" s="18"/>
      <c r="E10" s="18"/>
      <c r="F10" s="18"/>
      <c r="G10" s="18"/>
      <c r="H10" s="17" t="s">
        <v>12</v>
      </c>
    </row>
    <row r="11" spans="1:9" x14ac:dyDescent="0.2">
      <c r="A11" s="18"/>
      <c r="B11" s="18"/>
      <c r="C11" s="19" t="s">
        <v>11</v>
      </c>
      <c r="D11" s="18"/>
      <c r="E11" s="18" t="s">
        <v>12</v>
      </c>
      <c r="F11" s="20" t="s">
        <v>13</v>
      </c>
      <c r="G11" s="21">
        <v>0</v>
      </c>
      <c r="H11" s="17" t="s">
        <v>12</v>
      </c>
    </row>
    <row r="12" spans="1:9" x14ac:dyDescent="0.2">
      <c r="A12" s="18"/>
      <c r="B12" s="18"/>
      <c r="C12" s="22"/>
      <c r="D12" s="18"/>
      <c r="E12" s="18"/>
      <c r="F12" s="23"/>
      <c r="G12" s="23"/>
      <c r="H12" s="17" t="s">
        <v>12</v>
      </c>
    </row>
    <row r="13" spans="1:9" x14ac:dyDescent="0.2">
      <c r="A13" s="18"/>
      <c r="B13" s="18"/>
      <c r="C13" s="19" t="s">
        <v>15</v>
      </c>
      <c r="D13" s="18"/>
      <c r="E13" s="18"/>
      <c r="F13" s="18"/>
      <c r="G13" s="18"/>
      <c r="H13" s="17" t="s">
        <v>12</v>
      </c>
    </row>
    <row r="14" spans="1:9" x14ac:dyDescent="0.2">
      <c r="A14" s="18"/>
      <c r="B14" s="18"/>
      <c r="C14" s="19" t="s">
        <v>11</v>
      </c>
      <c r="D14" s="18"/>
      <c r="E14" s="18" t="s">
        <v>12</v>
      </c>
      <c r="F14" s="20" t="s">
        <v>13</v>
      </c>
      <c r="G14" s="21">
        <v>0</v>
      </c>
      <c r="H14" s="17" t="s">
        <v>12</v>
      </c>
    </row>
    <row r="15" spans="1:9" x14ac:dyDescent="0.2">
      <c r="A15" s="18"/>
      <c r="B15" s="18"/>
      <c r="C15" s="22"/>
      <c r="D15" s="18"/>
      <c r="E15" s="18"/>
      <c r="F15" s="23"/>
      <c r="G15" s="23"/>
      <c r="H15" s="17" t="s">
        <v>12</v>
      </c>
    </row>
    <row r="16" spans="1:9" x14ac:dyDescent="0.2">
      <c r="A16" s="18"/>
      <c r="B16" s="18"/>
      <c r="C16" s="19" t="s">
        <v>16</v>
      </c>
      <c r="D16" s="18"/>
      <c r="E16" s="18"/>
      <c r="F16" s="18"/>
      <c r="G16" s="18"/>
      <c r="H16" s="17" t="s">
        <v>12</v>
      </c>
    </row>
    <row r="17" spans="1:8" x14ac:dyDescent="0.2">
      <c r="A17" s="18"/>
      <c r="B17" s="18"/>
      <c r="C17" s="19" t="s">
        <v>11</v>
      </c>
      <c r="D17" s="18"/>
      <c r="E17" s="18" t="s">
        <v>12</v>
      </c>
      <c r="F17" s="20" t="s">
        <v>13</v>
      </c>
      <c r="G17" s="21">
        <v>0</v>
      </c>
      <c r="H17" s="17" t="s">
        <v>12</v>
      </c>
    </row>
    <row r="18" spans="1:8" x14ac:dyDescent="0.2">
      <c r="A18" s="18"/>
      <c r="B18" s="18"/>
      <c r="C18" s="22"/>
      <c r="D18" s="18"/>
      <c r="E18" s="18"/>
      <c r="F18" s="23"/>
      <c r="G18" s="23"/>
      <c r="H18" s="17" t="s">
        <v>12</v>
      </c>
    </row>
    <row r="19" spans="1:8" x14ac:dyDescent="0.2">
      <c r="A19" s="18"/>
      <c r="B19" s="18"/>
      <c r="C19" s="19" t="s">
        <v>17</v>
      </c>
      <c r="D19" s="18"/>
      <c r="E19" s="18"/>
      <c r="F19" s="23"/>
      <c r="G19" s="23"/>
      <c r="H19" s="17" t="s">
        <v>12</v>
      </c>
    </row>
    <row r="20" spans="1:8" x14ac:dyDescent="0.2">
      <c r="A20" s="18"/>
      <c r="B20" s="18"/>
      <c r="C20" s="19" t="s">
        <v>11</v>
      </c>
      <c r="D20" s="18"/>
      <c r="E20" s="18" t="s">
        <v>12</v>
      </c>
      <c r="F20" s="20" t="s">
        <v>13</v>
      </c>
      <c r="G20" s="21">
        <v>0</v>
      </c>
      <c r="H20" s="17" t="s">
        <v>12</v>
      </c>
    </row>
    <row r="21" spans="1:8" x14ac:dyDescent="0.2">
      <c r="A21" s="18"/>
      <c r="B21" s="18"/>
      <c r="C21" s="22"/>
      <c r="D21" s="18"/>
      <c r="E21" s="18"/>
      <c r="F21" s="23"/>
      <c r="G21" s="23"/>
      <c r="H21" s="17" t="s">
        <v>12</v>
      </c>
    </row>
    <row r="22" spans="1:8" x14ac:dyDescent="0.2">
      <c r="A22" s="18"/>
      <c r="B22" s="18"/>
      <c r="C22" s="19" t="s">
        <v>18</v>
      </c>
      <c r="D22" s="18"/>
      <c r="E22" s="18"/>
      <c r="F22" s="23"/>
      <c r="G22" s="23"/>
      <c r="H22" s="17" t="s">
        <v>12</v>
      </c>
    </row>
    <row r="23" spans="1:8" x14ac:dyDescent="0.2">
      <c r="A23" s="18"/>
      <c r="B23" s="18"/>
      <c r="C23" s="19" t="s">
        <v>11</v>
      </c>
      <c r="D23" s="18"/>
      <c r="E23" s="18" t="s">
        <v>12</v>
      </c>
      <c r="F23" s="20" t="s">
        <v>13</v>
      </c>
      <c r="G23" s="21">
        <v>0</v>
      </c>
      <c r="H23" s="17" t="s">
        <v>12</v>
      </c>
    </row>
    <row r="24" spans="1:8" x14ac:dyDescent="0.2">
      <c r="A24" s="18"/>
      <c r="B24" s="18"/>
      <c r="C24" s="22"/>
      <c r="D24" s="18"/>
      <c r="E24" s="18"/>
      <c r="F24" s="23"/>
      <c r="G24" s="23"/>
      <c r="H24" s="17" t="s">
        <v>12</v>
      </c>
    </row>
    <row r="25" spans="1:8" x14ac:dyDescent="0.2">
      <c r="A25" s="18"/>
      <c r="B25" s="18"/>
      <c r="C25" s="19" t="s">
        <v>19</v>
      </c>
      <c r="D25" s="18"/>
      <c r="E25" s="18"/>
      <c r="F25" s="24">
        <f>F8</f>
        <v>0.01</v>
      </c>
      <c r="G25" s="21">
        <v>0</v>
      </c>
      <c r="H25" s="17" t="s">
        <v>12</v>
      </c>
    </row>
    <row r="26" spans="1:8" x14ac:dyDescent="0.2">
      <c r="A26" s="18"/>
      <c r="B26" s="18"/>
      <c r="C26" s="22"/>
      <c r="D26" s="18"/>
      <c r="E26" s="18"/>
      <c r="F26" s="23"/>
      <c r="G26" s="23"/>
      <c r="H26" s="17" t="s">
        <v>12</v>
      </c>
    </row>
    <row r="27" spans="1:8" x14ac:dyDescent="0.2">
      <c r="A27" s="18"/>
      <c r="B27" s="18"/>
      <c r="C27" s="19" t="s">
        <v>20</v>
      </c>
      <c r="D27" s="18"/>
      <c r="E27" s="18"/>
      <c r="F27" s="23"/>
      <c r="G27" s="23"/>
      <c r="H27" s="17" t="s">
        <v>12</v>
      </c>
    </row>
    <row r="28" spans="1:8" x14ac:dyDescent="0.2">
      <c r="A28" s="18"/>
      <c r="B28" s="18"/>
      <c r="C28" s="19" t="s">
        <v>10</v>
      </c>
      <c r="D28" s="18"/>
      <c r="E28" s="18"/>
      <c r="F28" s="23"/>
      <c r="G28" s="23"/>
      <c r="H28" s="17" t="s">
        <v>12</v>
      </c>
    </row>
    <row r="29" spans="1:8" x14ac:dyDescent="0.2">
      <c r="A29" s="25">
        <v>1</v>
      </c>
      <c r="B29" s="26" t="s">
        <v>250</v>
      </c>
      <c r="C29" s="26" t="s">
        <v>251</v>
      </c>
      <c r="D29" s="26" t="s">
        <v>23</v>
      </c>
      <c r="E29" s="27">
        <v>8000</v>
      </c>
      <c r="F29" s="28">
        <v>8067.4639999999999</v>
      </c>
      <c r="G29" s="29">
        <v>3.1447429999999998E-2</v>
      </c>
      <c r="H29" s="17">
        <v>6.73</v>
      </c>
    </row>
    <row r="30" spans="1:8" x14ac:dyDescent="0.2">
      <c r="A30" s="25">
        <v>2</v>
      </c>
      <c r="B30" s="26" t="s">
        <v>252</v>
      </c>
      <c r="C30" s="26" t="s">
        <v>253</v>
      </c>
      <c r="D30" s="26" t="s">
        <v>249</v>
      </c>
      <c r="E30" s="27">
        <v>7000</v>
      </c>
      <c r="F30" s="28">
        <v>7033.4110000000001</v>
      </c>
      <c r="G30" s="29">
        <v>2.7416630000000001E-2</v>
      </c>
      <c r="H30" s="17">
        <v>7.6950000000000003</v>
      </c>
    </row>
    <row r="31" spans="1:8" x14ac:dyDescent="0.2">
      <c r="A31" s="25">
        <v>3</v>
      </c>
      <c r="B31" s="26" t="s">
        <v>247</v>
      </c>
      <c r="C31" s="26" t="s">
        <v>248</v>
      </c>
      <c r="D31" s="26" t="s">
        <v>249</v>
      </c>
      <c r="E31" s="27">
        <v>3000</v>
      </c>
      <c r="F31" s="28">
        <v>3029.0549999999998</v>
      </c>
      <c r="G31" s="29">
        <v>1.1807430000000001E-2</v>
      </c>
      <c r="H31" s="17">
        <v>8.1624999999999996</v>
      </c>
    </row>
    <row r="32" spans="1:8" ht="25.5" x14ac:dyDescent="0.2">
      <c r="A32" s="25">
        <v>4</v>
      </c>
      <c r="B32" s="26" t="s">
        <v>55</v>
      </c>
      <c r="C32" s="26" t="s">
        <v>56</v>
      </c>
      <c r="D32" s="26" t="s">
        <v>23</v>
      </c>
      <c r="E32" s="27">
        <v>2500</v>
      </c>
      <c r="F32" s="28">
        <v>2522.0174999999999</v>
      </c>
      <c r="G32" s="29">
        <v>9.8309699999999996E-3</v>
      </c>
      <c r="H32" s="17">
        <v>6.76</v>
      </c>
    </row>
    <row r="33" spans="1:8" ht="25.5" x14ac:dyDescent="0.2">
      <c r="A33" s="25">
        <v>5</v>
      </c>
      <c r="B33" s="26" t="s">
        <v>431</v>
      </c>
      <c r="C33" s="26" t="s">
        <v>432</v>
      </c>
      <c r="D33" s="26" t="s">
        <v>23</v>
      </c>
      <c r="E33" s="27">
        <v>250</v>
      </c>
      <c r="F33" s="28">
        <v>2500.77</v>
      </c>
      <c r="G33" s="29">
        <v>9.7481400000000006E-3</v>
      </c>
      <c r="H33" s="17">
        <v>7.07</v>
      </c>
    </row>
    <row r="34" spans="1:8" ht="25.5" x14ac:dyDescent="0.2">
      <c r="A34" s="25">
        <v>6</v>
      </c>
      <c r="B34" s="26" t="s">
        <v>433</v>
      </c>
      <c r="C34" s="26" t="s">
        <v>434</v>
      </c>
      <c r="D34" s="26" t="s">
        <v>23</v>
      </c>
      <c r="E34" s="27">
        <v>250</v>
      </c>
      <c r="F34" s="28">
        <v>2493.0450000000001</v>
      </c>
      <c r="G34" s="29">
        <v>9.7180300000000008E-3</v>
      </c>
      <c r="H34" s="17">
        <v>6.75</v>
      </c>
    </row>
    <row r="35" spans="1:8" ht="25.5" x14ac:dyDescent="0.2">
      <c r="A35" s="25">
        <v>7</v>
      </c>
      <c r="B35" s="26" t="s">
        <v>269</v>
      </c>
      <c r="C35" s="26" t="s">
        <v>270</v>
      </c>
      <c r="D35" s="26" t="s">
        <v>271</v>
      </c>
      <c r="E35" s="27">
        <v>200</v>
      </c>
      <c r="F35" s="28">
        <v>2007.7660000000001</v>
      </c>
      <c r="G35" s="29">
        <v>7.8263800000000008E-3</v>
      </c>
      <c r="H35" s="17">
        <v>7.3712999999999997</v>
      </c>
    </row>
    <row r="36" spans="1:8" x14ac:dyDescent="0.2">
      <c r="A36" s="25">
        <v>8</v>
      </c>
      <c r="B36" s="26" t="s">
        <v>244</v>
      </c>
      <c r="C36" s="26" t="s">
        <v>245</v>
      </c>
      <c r="D36" s="26" t="s">
        <v>246</v>
      </c>
      <c r="E36" s="27">
        <v>1600</v>
      </c>
      <c r="F36" s="28">
        <v>1620.8512000000001</v>
      </c>
      <c r="G36" s="29">
        <v>6.3181699999999997E-3</v>
      </c>
      <c r="H36" s="17">
        <v>7.0949999999999998</v>
      </c>
    </row>
    <row r="37" spans="1:8" x14ac:dyDescent="0.2">
      <c r="A37" s="25">
        <v>9</v>
      </c>
      <c r="B37" s="26" t="s">
        <v>272</v>
      </c>
      <c r="C37" s="26" t="s">
        <v>273</v>
      </c>
      <c r="D37" s="26" t="s">
        <v>249</v>
      </c>
      <c r="E37" s="27">
        <v>1500</v>
      </c>
      <c r="F37" s="28">
        <v>1516.761</v>
      </c>
      <c r="G37" s="29">
        <v>5.9124199999999998E-3</v>
      </c>
      <c r="H37" s="17">
        <v>8.1449999999999996</v>
      </c>
    </row>
    <row r="38" spans="1:8" ht="25.5" x14ac:dyDescent="0.2">
      <c r="A38" s="25">
        <v>10</v>
      </c>
      <c r="B38" s="26" t="s">
        <v>435</v>
      </c>
      <c r="C38" s="26" t="s">
        <v>436</v>
      </c>
      <c r="D38" s="26" t="s">
        <v>23</v>
      </c>
      <c r="E38" s="27">
        <v>150</v>
      </c>
      <c r="F38" s="28">
        <v>1507.5015000000001</v>
      </c>
      <c r="G38" s="29">
        <v>5.8763299999999999E-3</v>
      </c>
      <c r="H38" s="17">
        <v>7.34</v>
      </c>
    </row>
    <row r="39" spans="1:8" ht="25.5" x14ac:dyDescent="0.2">
      <c r="A39" s="25">
        <v>11</v>
      </c>
      <c r="B39" s="26" t="s">
        <v>67</v>
      </c>
      <c r="C39" s="26" t="s">
        <v>68</v>
      </c>
      <c r="D39" s="26" t="s">
        <v>23</v>
      </c>
      <c r="E39" s="27">
        <v>1500</v>
      </c>
      <c r="F39" s="28">
        <v>1500.492</v>
      </c>
      <c r="G39" s="29">
        <v>5.849E-3</v>
      </c>
      <c r="H39" s="17">
        <v>7.1</v>
      </c>
    </row>
    <row r="40" spans="1:8" ht="25.5" x14ac:dyDescent="0.2">
      <c r="A40" s="25">
        <v>12</v>
      </c>
      <c r="B40" s="26" t="s">
        <v>65</v>
      </c>
      <c r="C40" s="26" t="s">
        <v>66</v>
      </c>
      <c r="D40" s="26" t="s">
        <v>23</v>
      </c>
      <c r="E40" s="27">
        <v>1000</v>
      </c>
      <c r="F40" s="28">
        <v>1007.754</v>
      </c>
      <c r="G40" s="29">
        <v>3.9282800000000001E-3</v>
      </c>
      <c r="H40" s="17">
        <v>6.7419000000000002</v>
      </c>
    </row>
    <row r="41" spans="1:8" x14ac:dyDescent="0.2">
      <c r="A41" s="18"/>
      <c r="B41" s="18"/>
      <c r="C41" s="19" t="s">
        <v>11</v>
      </c>
      <c r="D41" s="18"/>
      <c r="E41" s="18" t="s">
        <v>12</v>
      </c>
      <c r="F41" s="24">
        <v>34806.888200000001</v>
      </c>
      <c r="G41" s="21">
        <v>0.13567920999999999</v>
      </c>
      <c r="H41" s="17" t="s">
        <v>12</v>
      </c>
    </row>
    <row r="42" spans="1:8" x14ac:dyDescent="0.2">
      <c r="A42" s="18"/>
      <c r="B42" s="18"/>
      <c r="C42" s="22"/>
      <c r="D42" s="18"/>
      <c r="E42" s="18"/>
      <c r="F42" s="23"/>
      <c r="G42" s="23"/>
      <c r="H42" s="17" t="s">
        <v>12</v>
      </c>
    </row>
    <row r="43" spans="1:8" x14ac:dyDescent="0.2">
      <c r="A43" s="18"/>
      <c r="B43" s="18"/>
      <c r="C43" s="19" t="s">
        <v>73</v>
      </c>
      <c r="D43" s="18"/>
      <c r="E43" s="18"/>
      <c r="F43" s="18"/>
      <c r="G43" s="18"/>
      <c r="H43" s="17" t="s">
        <v>12</v>
      </c>
    </row>
    <row r="44" spans="1:8" x14ac:dyDescent="0.2">
      <c r="A44" s="18"/>
      <c r="B44" s="18"/>
      <c r="C44" s="19" t="s">
        <v>11</v>
      </c>
      <c r="D44" s="18"/>
      <c r="E44" s="18" t="s">
        <v>12</v>
      </c>
      <c r="F44" s="20" t="s">
        <v>13</v>
      </c>
      <c r="G44" s="21">
        <v>0</v>
      </c>
      <c r="H44" s="17" t="s">
        <v>12</v>
      </c>
    </row>
    <row r="45" spans="1:8" x14ac:dyDescent="0.2">
      <c r="A45" s="18"/>
      <c r="B45" s="18"/>
      <c r="C45" s="22"/>
      <c r="D45" s="18"/>
      <c r="E45" s="18"/>
      <c r="F45" s="23"/>
      <c r="G45" s="23"/>
      <c r="H45" s="17" t="s">
        <v>12</v>
      </c>
    </row>
    <row r="46" spans="1:8" x14ac:dyDescent="0.2">
      <c r="A46" s="18"/>
      <c r="B46" s="18"/>
      <c r="C46" s="19" t="s">
        <v>74</v>
      </c>
      <c r="D46" s="18"/>
      <c r="E46" s="18"/>
      <c r="F46" s="18"/>
      <c r="G46" s="18"/>
      <c r="H46" s="17" t="s">
        <v>12</v>
      </c>
    </row>
    <row r="47" spans="1:8" x14ac:dyDescent="0.2">
      <c r="A47" s="18"/>
      <c r="B47" s="18"/>
      <c r="C47" s="19" t="s">
        <v>11</v>
      </c>
      <c r="D47" s="18"/>
      <c r="E47" s="18" t="s">
        <v>12</v>
      </c>
      <c r="F47" s="20" t="s">
        <v>13</v>
      </c>
      <c r="G47" s="21">
        <v>0</v>
      </c>
      <c r="H47" s="17" t="s">
        <v>12</v>
      </c>
    </row>
    <row r="48" spans="1:8" x14ac:dyDescent="0.2">
      <c r="A48" s="18"/>
      <c r="B48" s="18"/>
      <c r="C48" s="22"/>
      <c r="D48" s="18"/>
      <c r="E48" s="18"/>
      <c r="F48" s="23"/>
      <c r="G48" s="23"/>
      <c r="H48" s="17" t="s">
        <v>12</v>
      </c>
    </row>
    <row r="49" spans="1:8" x14ac:dyDescent="0.2">
      <c r="A49" s="18"/>
      <c r="B49" s="18"/>
      <c r="C49" s="19" t="s">
        <v>94</v>
      </c>
      <c r="D49" s="18"/>
      <c r="E49" s="18"/>
      <c r="F49" s="23"/>
      <c r="G49" s="23"/>
      <c r="H49" s="17" t="s">
        <v>12</v>
      </c>
    </row>
    <row r="50" spans="1:8" x14ac:dyDescent="0.2">
      <c r="A50" s="18"/>
      <c r="B50" s="18"/>
      <c r="C50" s="19" t="s">
        <v>11</v>
      </c>
      <c r="D50" s="18"/>
      <c r="E50" s="18" t="s">
        <v>12</v>
      </c>
      <c r="F50" s="20" t="s">
        <v>13</v>
      </c>
      <c r="G50" s="21">
        <v>0</v>
      </c>
      <c r="H50" s="17" t="s">
        <v>12</v>
      </c>
    </row>
    <row r="51" spans="1:8" x14ac:dyDescent="0.2">
      <c r="A51" s="18"/>
      <c r="B51" s="18"/>
      <c r="C51" s="22"/>
      <c r="D51" s="18"/>
      <c r="E51" s="18"/>
      <c r="F51" s="23"/>
      <c r="G51" s="23"/>
      <c r="H51" s="17" t="s">
        <v>12</v>
      </c>
    </row>
    <row r="52" spans="1:8" x14ac:dyDescent="0.2">
      <c r="A52" s="18"/>
      <c r="B52" s="18"/>
      <c r="C52" s="19" t="s">
        <v>95</v>
      </c>
      <c r="D52" s="18"/>
      <c r="E52" s="18"/>
      <c r="F52" s="24">
        <v>34806.888200000001</v>
      </c>
      <c r="G52" s="21">
        <f>F52/F143</f>
        <v>0.1356791949160818</v>
      </c>
      <c r="H52" s="17" t="s">
        <v>12</v>
      </c>
    </row>
    <row r="53" spans="1:8" x14ac:dyDescent="0.2">
      <c r="A53" s="18"/>
      <c r="B53" s="18"/>
      <c r="C53" s="22"/>
      <c r="D53" s="18"/>
      <c r="E53" s="18"/>
      <c r="F53" s="23"/>
      <c r="G53" s="23"/>
      <c r="H53" s="17" t="s">
        <v>12</v>
      </c>
    </row>
    <row r="54" spans="1:8" x14ac:dyDescent="0.2">
      <c r="A54" s="18"/>
      <c r="B54" s="18"/>
      <c r="C54" s="19" t="s">
        <v>96</v>
      </c>
      <c r="D54" s="18"/>
      <c r="E54" s="18"/>
      <c r="F54" s="23"/>
      <c r="G54" s="23"/>
      <c r="H54" s="17" t="s">
        <v>12</v>
      </c>
    </row>
    <row r="55" spans="1:8" x14ac:dyDescent="0.2">
      <c r="A55" s="18"/>
      <c r="B55" s="18"/>
      <c r="C55" s="19" t="s">
        <v>97</v>
      </c>
      <c r="D55" s="18"/>
      <c r="E55" s="18"/>
      <c r="F55" s="23"/>
      <c r="G55" s="23"/>
      <c r="H55" s="17" t="s">
        <v>12</v>
      </c>
    </row>
    <row r="56" spans="1:8" x14ac:dyDescent="0.2">
      <c r="A56" s="25">
        <v>1</v>
      </c>
      <c r="B56" s="26" t="s">
        <v>437</v>
      </c>
      <c r="C56" s="26" t="s">
        <v>438</v>
      </c>
      <c r="D56" s="26" t="s">
        <v>152</v>
      </c>
      <c r="E56" s="27">
        <v>2500</v>
      </c>
      <c r="F56" s="28">
        <v>12222.7875</v>
      </c>
      <c r="G56" s="29">
        <v>4.7645109999999997E-2</v>
      </c>
      <c r="H56" s="17">
        <v>6.57</v>
      </c>
    </row>
    <row r="57" spans="1:8" x14ac:dyDescent="0.2">
      <c r="A57" s="25">
        <v>2</v>
      </c>
      <c r="B57" s="26" t="s">
        <v>439</v>
      </c>
      <c r="C57" s="26" t="s">
        <v>440</v>
      </c>
      <c r="D57" s="26" t="s">
        <v>301</v>
      </c>
      <c r="E57" s="27">
        <v>2000</v>
      </c>
      <c r="F57" s="28">
        <v>9634.08</v>
      </c>
      <c r="G57" s="29">
        <v>3.755418E-2</v>
      </c>
      <c r="H57" s="17">
        <v>6.6017000000000001</v>
      </c>
    </row>
    <row r="58" spans="1:8" x14ac:dyDescent="0.2">
      <c r="A58" s="25">
        <v>3</v>
      </c>
      <c r="B58" s="26" t="s">
        <v>182</v>
      </c>
      <c r="C58" s="26" t="s">
        <v>183</v>
      </c>
      <c r="D58" s="26" t="s">
        <v>152</v>
      </c>
      <c r="E58" s="27">
        <v>1400</v>
      </c>
      <c r="F58" s="28">
        <v>6862.9960000000001</v>
      </c>
      <c r="G58" s="29">
        <v>2.6752339999999999E-2</v>
      </c>
      <c r="H58" s="17">
        <v>6.6849999999999996</v>
      </c>
    </row>
    <row r="59" spans="1:8" x14ac:dyDescent="0.2">
      <c r="A59" s="25">
        <v>4</v>
      </c>
      <c r="B59" s="26" t="s">
        <v>280</v>
      </c>
      <c r="C59" s="26" t="s">
        <v>281</v>
      </c>
      <c r="D59" s="26" t="s">
        <v>152</v>
      </c>
      <c r="E59" s="27">
        <v>1300</v>
      </c>
      <c r="F59" s="28">
        <v>6367.1594999999998</v>
      </c>
      <c r="G59" s="29">
        <v>2.4819540000000001E-2</v>
      </c>
      <c r="H59" s="17">
        <v>6.5650000000000004</v>
      </c>
    </row>
    <row r="60" spans="1:8" x14ac:dyDescent="0.2">
      <c r="A60" s="25">
        <v>5</v>
      </c>
      <c r="B60" s="26" t="s">
        <v>313</v>
      </c>
      <c r="C60" s="26" t="s">
        <v>314</v>
      </c>
      <c r="D60" s="26" t="s">
        <v>152</v>
      </c>
      <c r="E60" s="27">
        <v>1000</v>
      </c>
      <c r="F60" s="28">
        <v>4929.3450000000003</v>
      </c>
      <c r="G60" s="29">
        <v>1.921486E-2</v>
      </c>
      <c r="H60" s="17">
        <v>6.54</v>
      </c>
    </row>
    <row r="61" spans="1:8" x14ac:dyDescent="0.2">
      <c r="A61" s="25">
        <v>6</v>
      </c>
      <c r="B61" s="26" t="s">
        <v>441</v>
      </c>
      <c r="C61" s="26" t="s">
        <v>442</v>
      </c>
      <c r="D61" s="26" t="s">
        <v>152</v>
      </c>
      <c r="E61" s="27">
        <v>1000</v>
      </c>
      <c r="F61" s="28">
        <v>4892.5600000000004</v>
      </c>
      <c r="G61" s="29">
        <v>1.907147E-2</v>
      </c>
      <c r="H61" s="17">
        <v>6.5698999999999996</v>
      </c>
    </row>
    <row r="62" spans="1:8" x14ac:dyDescent="0.2">
      <c r="A62" s="25">
        <v>7</v>
      </c>
      <c r="B62" s="26" t="s">
        <v>443</v>
      </c>
      <c r="C62" s="26" t="s">
        <v>444</v>
      </c>
      <c r="D62" s="26" t="s">
        <v>152</v>
      </c>
      <c r="E62" s="27">
        <v>1000</v>
      </c>
      <c r="F62" s="28">
        <v>4840.6149999999998</v>
      </c>
      <c r="G62" s="29">
        <v>1.8868989999999999E-2</v>
      </c>
      <c r="H62" s="17">
        <v>6.64</v>
      </c>
    </row>
    <row r="63" spans="1:8" x14ac:dyDescent="0.2">
      <c r="A63" s="25">
        <v>8</v>
      </c>
      <c r="B63" s="26" t="s">
        <v>445</v>
      </c>
      <c r="C63" s="26" t="s">
        <v>446</v>
      </c>
      <c r="D63" s="26" t="s">
        <v>306</v>
      </c>
      <c r="E63" s="27">
        <v>1000</v>
      </c>
      <c r="F63" s="28">
        <v>4823.8050000000003</v>
      </c>
      <c r="G63" s="29">
        <v>1.8803460000000001E-2</v>
      </c>
      <c r="H63" s="17">
        <v>6.6</v>
      </c>
    </row>
    <row r="64" spans="1:8" ht="25.5" x14ac:dyDescent="0.2">
      <c r="A64" s="25">
        <v>9</v>
      </c>
      <c r="B64" s="26" t="s">
        <v>447</v>
      </c>
      <c r="C64" s="26" t="s">
        <v>448</v>
      </c>
      <c r="D64" s="26" t="s">
        <v>152</v>
      </c>
      <c r="E64" s="27">
        <v>1000</v>
      </c>
      <c r="F64" s="28">
        <v>4821.63</v>
      </c>
      <c r="G64" s="29">
        <v>1.8794979999999999E-2</v>
      </c>
      <c r="H64" s="17">
        <v>6.6516999999999999</v>
      </c>
    </row>
    <row r="65" spans="1:8" x14ac:dyDescent="0.2">
      <c r="A65" s="25">
        <v>10</v>
      </c>
      <c r="B65" s="26" t="s">
        <v>188</v>
      </c>
      <c r="C65" s="26" t="s">
        <v>189</v>
      </c>
      <c r="D65" s="26" t="s">
        <v>152</v>
      </c>
      <c r="E65" s="27">
        <v>1000</v>
      </c>
      <c r="F65" s="28">
        <v>4815.0450000000001</v>
      </c>
      <c r="G65" s="29">
        <v>1.8769310000000001E-2</v>
      </c>
      <c r="H65" s="17">
        <v>6.9066999999999998</v>
      </c>
    </row>
    <row r="66" spans="1:8" x14ac:dyDescent="0.2">
      <c r="A66" s="25">
        <v>11</v>
      </c>
      <c r="B66" s="26" t="s">
        <v>449</v>
      </c>
      <c r="C66" s="26" t="s">
        <v>450</v>
      </c>
      <c r="D66" s="26" t="s">
        <v>152</v>
      </c>
      <c r="E66" s="27">
        <v>1000</v>
      </c>
      <c r="F66" s="28">
        <v>4772.6850000000004</v>
      </c>
      <c r="G66" s="29">
        <v>1.860419E-2</v>
      </c>
      <c r="H66" s="17">
        <v>6.61</v>
      </c>
    </row>
    <row r="67" spans="1:8" x14ac:dyDescent="0.2">
      <c r="A67" s="25">
        <v>12</v>
      </c>
      <c r="B67" s="26" t="s">
        <v>190</v>
      </c>
      <c r="C67" s="26" t="s">
        <v>191</v>
      </c>
      <c r="D67" s="26" t="s">
        <v>152</v>
      </c>
      <c r="E67" s="27">
        <v>1000</v>
      </c>
      <c r="F67" s="28">
        <v>4771.8599999999997</v>
      </c>
      <c r="G67" s="29">
        <v>1.860098E-2</v>
      </c>
      <c r="H67" s="17">
        <v>6.61</v>
      </c>
    </row>
    <row r="68" spans="1:8" x14ac:dyDescent="0.2">
      <c r="A68" s="25">
        <v>13</v>
      </c>
      <c r="B68" s="26" t="s">
        <v>192</v>
      </c>
      <c r="C68" s="26" t="s">
        <v>193</v>
      </c>
      <c r="D68" s="26" t="s">
        <v>152</v>
      </c>
      <c r="E68" s="27">
        <v>1000</v>
      </c>
      <c r="F68" s="28">
        <v>4761.0349999999999</v>
      </c>
      <c r="G68" s="29">
        <v>1.855878E-2</v>
      </c>
      <c r="H68" s="17">
        <v>6.59</v>
      </c>
    </row>
    <row r="69" spans="1:8" x14ac:dyDescent="0.2">
      <c r="A69" s="25">
        <v>14</v>
      </c>
      <c r="B69" s="26" t="s">
        <v>451</v>
      </c>
      <c r="C69" s="26" t="s">
        <v>452</v>
      </c>
      <c r="D69" s="26" t="s">
        <v>152</v>
      </c>
      <c r="E69" s="27">
        <v>1000</v>
      </c>
      <c r="F69" s="28">
        <v>4757.165</v>
      </c>
      <c r="G69" s="29">
        <v>1.85437E-2</v>
      </c>
      <c r="H69" s="17">
        <v>7.0575000000000001</v>
      </c>
    </row>
    <row r="70" spans="1:8" x14ac:dyDescent="0.2">
      <c r="A70" s="25">
        <v>15</v>
      </c>
      <c r="B70" s="26" t="s">
        <v>164</v>
      </c>
      <c r="C70" s="26" t="s">
        <v>165</v>
      </c>
      <c r="D70" s="26" t="s">
        <v>152</v>
      </c>
      <c r="E70" s="27">
        <v>1000</v>
      </c>
      <c r="F70" s="28">
        <v>4737.66</v>
      </c>
      <c r="G70" s="29">
        <v>1.846766E-2</v>
      </c>
      <c r="H70" s="17">
        <v>6.6050000000000004</v>
      </c>
    </row>
    <row r="71" spans="1:8" ht="25.5" x14ac:dyDescent="0.2">
      <c r="A71" s="25">
        <v>16</v>
      </c>
      <c r="B71" s="26" t="s">
        <v>212</v>
      </c>
      <c r="C71" s="26" t="s">
        <v>213</v>
      </c>
      <c r="D71" s="26" t="s">
        <v>152</v>
      </c>
      <c r="E71" s="27">
        <v>800</v>
      </c>
      <c r="F71" s="28">
        <v>3815.1080000000002</v>
      </c>
      <c r="G71" s="29">
        <v>1.4871499999999999E-2</v>
      </c>
      <c r="H71" s="17">
        <v>6.6501000000000001</v>
      </c>
    </row>
    <row r="72" spans="1:8" ht="25.5" x14ac:dyDescent="0.2">
      <c r="A72" s="25">
        <v>17</v>
      </c>
      <c r="B72" s="26" t="s">
        <v>284</v>
      </c>
      <c r="C72" s="26" t="s">
        <v>285</v>
      </c>
      <c r="D72" s="26" t="s">
        <v>152</v>
      </c>
      <c r="E72" s="27">
        <v>800</v>
      </c>
      <c r="F72" s="28">
        <v>3792.0439999999999</v>
      </c>
      <c r="G72" s="29">
        <v>1.4781600000000001E-2</v>
      </c>
      <c r="H72" s="17">
        <v>6.65</v>
      </c>
    </row>
    <row r="73" spans="1:8" x14ac:dyDescent="0.2">
      <c r="A73" s="25">
        <v>18</v>
      </c>
      <c r="B73" s="26" t="s">
        <v>206</v>
      </c>
      <c r="C73" s="26" t="s">
        <v>207</v>
      </c>
      <c r="D73" s="26" t="s">
        <v>152</v>
      </c>
      <c r="E73" s="27">
        <v>700</v>
      </c>
      <c r="F73" s="28">
        <v>3344.9535000000001</v>
      </c>
      <c r="G73" s="29">
        <v>1.303882E-2</v>
      </c>
      <c r="H73" s="17">
        <v>6.7138</v>
      </c>
    </row>
    <row r="74" spans="1:8" x14ac:dyDescent="0.2">
      <c r="A74" s="25">
        <v>19</v>
      </c>
      <c r="B74" s="26" t="s">
        <v>208</v>
      </c>
      <c r="C74" s="26" t="s">
        <v>209</v>
      </c>
      <c r="D74" s="26" t="s">
        <v>152</v>
      </c>
      <c r="E74" s="27">
        <v>700</v>
      </c>
      <c r="F74" s="28">
        <v>3328.7975000000001</v>
      </c>
      <c r="G74" s="29">
        <v>1.2975840000000001E-2</v>
      </c>
      <c r="H74" s="17">
        <v>6.61</v>
      </c>
    </row>
    <row r="75" spans="1:8" ht="25.5" x14ac:dyDescent="0.2">
      <c r="A75" s="25">
        <v>20</v>
      </c>
      <c r="B75" s="26" t="s">
        <v>210</v>
      </c>
      <c r="C75" s="26" t="s">
        <v>211</v>
      </c>
      <c r="D75" s="26" t="s">
        <v>152</v>
      </c>
      <c r="E75" s="27">
        <v>600</v>
      </c>
      <c r="F75" s="28">
        <v>2838.1529999999998</v>
      </c>
      <c r="G75" s="29">
        <v>1.106328E-2</v>
      </c>
      <c r="H75" s="17">
        <v>6.65</v>
      </c>
    </row>
    <row r="76" spans="1:8" x14ac:dyDescent="0.2">
      <c r="A76" s="25">
        <v>21</v>
      </c>
      <c r="B76" s="26" t="s">
        <v>453</v>
      </c>
      <c r="C76" s="26" t="s">
        <v>454</v>
      </c>
      <c r="D76" s="26" t="s">
        <v>152</v>
      </c>
      <c r="E76" s="27">
        <v>500</v>
      </c>
      <c r="F76" s="28">
        <v>2456.8274999999999</v>
      </c>
      <c r="G76" s="29">
        <v>9.5768499999999996E-3</v>
      </c>
      <c r="H76" s="17">
        <v>6.5449999999999999</v>
      </c>
    </row>
    <row r="77" spans="1:8" x14ac:dyDescent="0.2">
      <c r="A77" s="25">
        <v>22</v>
      </c>
      <c r="B77" s="26" t="s">
        <v>455</v>
      </c>
      <c r="C77" s="26" t="s">
        <v>456</v>
      </c>
      <c r="D77" s="26" t="s">
        <v>152</v>
      </c>
      <c r="E77" s="27">
        <v>500</v>
      </c>
      <c r="F77" s="28">
        <v>2451.0650000000001</v>
      </c>
      <c r="G77" s="29">
        <v>9.5543899999999994E-3</v>
      </c>
      <c r="H77" s="17">
        <v>6.5650000000000004</v>
      </c>
    </row>
    <row r="78" spans="1:8" x14ac:dyDescent="0.2">
      <c r="A78" s="25">
        <v>23</v>
      </c>
      <c r="B78" s="26" t="s">
        <v>457</v>
      </c>
      <c r="C78" s="26" t="s">
        <v>458</v>
      </c>
      <c r="D78" s="26" t="s">
        <v>152</v>
      </c>
      <c r="E78" s="27">
        <v>500</v>
      </c>
      <c r="F78" s="28">
        <v>2413.9699999999998</v>
      </c>
      <c r="G78" s="29">
        <v>9.4097899999999995E-3</v>
      </c>
      <c r="H78" s="17">
        <v>6.74</v>
      </c>
    </row>
    <row r="79" spans="1:8" x14ac:dyDescent="0.2">
      <c r="A79" s="25">
        <v>24</v>
      </c>
      <c r="B79" s="26" t="s">
        <v>186</v>
      </c>
      <c r="C79" s="26" t="s">
        <v>187</v>
      </c>
      <c r="D79" s="26" t="s">
        <v>152</v>
      </c>
      <c r="E79" s="27">
        <v>500</v>
      </c>
      <c r="F79" s="28">
        <v>2413.7950000000001</v>
      </c>
      <c r="G79" s="29">
        <v>9.40911E-3</v>
      </c>
      <c r="H79" s="17">
        <v>6.6509</v>
      </c>
    </row>
    <row r="80" spans="1:8" x14ac:dyDescent="0.2">
      <c r="A80" s="25">
        <v>25</v>
      </c>
      <c r="B80" s="26" t="s">
        <v>459</v>
      </c>
      <c r="C80" s="26" t="s">
        <v>460</v>
      </c>
      <c r="D80" s="26" t="s">
        <v>152</v>
      </c>
      <c r="E80" s="27">
        <v>500</v>
      </c>
      <c r="F80" s="28">
        <v>2411.1750000000002</v>
      </c>
      <c r="G80" s="29">
        <v>9.3989E-3</v>
      </c>
      <c r="H80" s="17">
        <v>6.6566999999999998</v>
      </c>
    </row>
    <row r="81" spans="1:8" ht="25.5" x14ac:dyDescent="0.2">
      <c r="A81" s="25">
        <v>26</v>
      </c>
      <c r="B81" s="26" t="s">
        <v>461</v>
      </c>
      <c r="C81" s="26" t="s">
        <v>462</v>
      </c>
      <c r="D81" s="26" t="s">
        <v>152</v>
      </c>
      <c r="E81" s="27">
        <v>500</v>
      </c>
      <c r="F81" s="28">
        <v>2394.4274999999998</v>
      </c>
      <c r="G81" s="29">
        <v>9.3336100000000009E-3</v>
      </c>
      <c r="H81" s="17">
        <v>6.6501000000000001</v>
      </c>
    </row>
    <row r="82" spans="1:8" x14ac:dyDescent="0.2">
      <c r="A82" s="25">
        <v>27</v>
      </c>
      <c r="B82" s="26" t="s">
        <v>200</v>
      </c>
      <c r="C82" s="26" t="s">
        <v>201</v>
      </c>
      <c r="D82" s="26" t="s">
        <v>152</v>
      </c>
      <c r="E82" s="27">
        <v>500</v>
      </c>
      <c r="F82" s="28">
        <v>2375.6675</v>
      </c>
      <c r="G82" s="29">
        <v>9.2604899999999997E-3</v>
      </c>
      <c r="H82" s="17">
        <v>6.75</v>
      </c>
    </row>
    <row r="83" spans="1:8" ht="25.5" x14ac:dyDescent="0.2">
      <c r="A83" s="25">
        <v>28</v>
      </c>
      <c r="B83" s="26" t="s">
        <v>463</v>
      </c>
      <c r="C83" s="26" t="s">
        <v>464</v>
      </c>
      <c r="D83" s="26" t="s">
        <v>152</v>
      </c>
      <c r="E83" s="27">
        <v>500</v>
      </c>
      <c r="F83" s="28">
        <v>2371.2575000000002</v>
      </c>
      <c r="G83" s="29">
        <v>9.2432899999999995E-3</v>
      </c>
      <c r="H83" s="17">
        <v>6.65</v>
      </c>
    </row>
    <row r="84" spans="1:8" x14ac:dyDescent="0.2">
      <c r="A84" s="25">
        <v>29</v>
      </c>
      <c r="B84" s="26" t="s">
        <v>202</v>
      </c>
      <c r="C84" s="26" t="s">
        <v>203</v>
      </c>
      <c r="D84" s="26" t="s">
        <v>152</v>
      </c>
      <c r="E84" s="27">
        <v>500</v>
      </c>
      <c r="F84" s="28">
        <v>2371.14</v>
      </c>
      <c r="G84" s="29">
        <v>9.2428400000000004E-3</v>
      </c>
      <c r="H84" s="17">
        <v>6.59</v>
      </c>
    </row>
    <row r="85" spans="1:8" ht="25.5" x14ac:dyDescent="0.2">
      <c r="A85" s="25">
        <v>30</v>
      </c>
      <c r="B85" s="26" t="s">
        <v>465</v>
      </c>
      <c r="C85" s="26" t="s">
        <v>466</v>
      </c>
      <c r="D85" s="26" t="s">
        <v>152</v>
      </c>
      <c r="E85" s="27">
        <v>500</v>
      </c>
      <c r="F85" s="28">
        <v>2370.8474999999999</v>
      </c>
      <c r="G85" s="29">
        <v>9.2417000000000003E-3</v>
      </c>
      <c r="H85" s="17">
        <v>6.6501000000000001</v>
      </c>
    </row>
    <row r="86" spans="1:8" x14ac:dyDescent="0.2">
      <c r="A86" s="25">
        <v>31</v>
      </c>
      <c r="B86" s="26" t="s">
        <v>204</v>
      </c>
      <c r="C86" s="26" t="s">
        <v>205</v>
      </c>
      <c r="D86" s="26" t="s">
        <v>152</v>
      </c>
      <c r="E86" s="27">
        <v>500</v>
      </c>
      <c r="F86" s="28">
        <v>2370.77</v>
      </c>
      <c r="G86" s="29">
        <v>9.2413900000000004E-3</v>
      </c>
      <c r="H86" s="17">
        <v>6.61</v>
      </c>
    </row>
    <row r="87" spans="1:8" x14ac:dyDescent="0.2">
      <c r="A87" s="25">
        <v>32</v>
      </c>
      <c r="B87" s="26" t="s">
        <v>166</v>
      </c>
      <c r="C87" s="26" t="s">
        <v>167</v>
      </c>
      <c r="D87" s="26" t="s">
        <v>152</v>
      </c>
      <c r="E87" s="27">
        <v>500</v>
      </c>
      <c r="F87" s="28">
        <v>2365.44</v>
      </c>
      <c r="G87" s="29">
        <v>9.2206200000000006E-3</v>
      </c>
      <c r="H87" s="17">
        <v>6.6550000000000002</v>
      </c>
    </row>
    <row r="88" spans="1:8" x14ac:dyDescent="0.2">
      <c r="A88" s="25">
        <v>33</v>
      </c>
      <c r="B88" s="26" t="s">
        <v>282</v>
      </c>
      <c r="C88" s="26" t="s">
        <v>283</v>
      </c>
      <c r="D88" s="26" t="s">
        <v>152</v>
      </c>
      <c r="E88" s="27">
        <v>300</v>
      </c>
      <c r="F88" s="28">
        <v>1430.616</v>
      </c>
      <c r="G88" s="29">
        <v>5.57662E-3</v>
      </c>
      <c r="H88" s="17">
        <v>6.6550000000000002</v>
      </c>
    </row>
    <row r="89" spans="1:8" ht="25.5" x14ac:dyDescent="0.2">
      <c r="A89" s="25">
        <v>34</v>
      </c>
      <c r="B89" s="26" t="s">
        <v>176</v>
      </c>
      <c r="C89" s="26" t="s">
        <v>177</v>
      </c>
      <c r="D89" s="26" t="s">
        <v>152</v>
      </c>
      <c r="E89" s="27">
        <v>100</v>
      </c>
      <c r="F89" s="28">
        <v>472.94349999999997</v>
      </c>
      <c r="G89" s="29">
        <v>1.8435599999999999E-3</v>
      </c>
      <c r="H89" s="17">
        <v>6.6501000000000001</v>
      </c>
    </row>
    <row r="90" spans="1:8" x14ac:dyDescent="0.2">
      <c r="A90" s="18"/>
      <c r="B90" s="18"/>
      <c r="C90" s="19" t="s">
        <v>11</v>
      </c>
      <c r="D90" s="18"/>
      <c r="E90" s="18" t="s">
        <v>12</v>
      </c>
      <c r="F90" s="24">
        <v>135799.42600000001</v>
      </c>
      <c r="G90" s="21">
        <f>F90/F143</f>
        <v>0.52935374986339712</v>
      </c>
      <c r="H90" s="17" t="s">
        <v>12</v>
      </c>
    </row>
    <row r="91" spans="1:8" x14ac:dyDescent="0.2">
      <c r="A91" s="18"/>
      <c r="B91" s="18"/>
      <c r="C91" s="22"/>
      <c r="D91" s="18"/>
      <c r="E91" s="18"/>
      <c r="F91" s="23"/>
      <c r="G91" s="23"/>
      <c r="H91" s="17" t="s">
        <v>12</v>
      </c>
    </row>
    <row r="92" spans="1:8" x14ac:dyDescent="0.2">
      <c r="A92" s="18"/>
      <c r="B92" s="18"/>
      <c r="C92" s="19" t="s">
        <v>98</v>
      </c>
      <c r="D92" s="18"/>
      <c r="E92" s="18"/>
      <c r="F92" s="23"/>
      <c r="G92" s="23"/>
      <c r="H92" s="17" t="s">
        <v>12</v>
      </c>
    </row>
    <row r="93" spans="1:8" x14ac:dyDescent="0.2">
      <c r="A93" s="25">
        <v>1</v>
      </c>
      <c r="B93" s="26" t="s">
        <v>402</v>
      </c>
      <c r="C93" s="26" t="s">
        <v>403</v>
      </c>
      <c r="D93" s="26" t="s">
        <v>152</v>
      </c>
      <c r="E93" s="27">
        <v>1500</v>
      </c>
      <c r="F93" s="28">
        <v>7453.8374999999996</v>
      </c>
      <c r="G93" s="29">
        <v>2.9055480000000002E-2</v>
      </c>
      <c r="H93" s="17">
        <v>6.85</v>
      </c>
    </row>
    <row r="94" spans="1:8" ht="25.5" x14ac:dyDescent="0.2">
      <c r="A94" s="25">
        <v>2</v>
      </c>
      <c r="B94" s="26" t="s">
        <v>467</v>
      </c>
      <c r="C94" s="26" t="s">
        <v>468</v>
      </c>
      <c r="D94" s="26" t="s">
        <v>152</v>
      </c>
      <c r="E94" s="27">
        <v>1000</v>
      </c>
      <c r="F94" s="28">
        <v>4983.1049999999996</v>
      </c>
      <c r="G94" s="29">
        <v>1.9424420000000001E-2</v>
      </c>
      <c r="H94" s="17">
        <v>6.875</v>
      </c>
    </row>
    <row r="95" spans="1:8" x14ac:dyDescent="0.2">
      <c r="A95" s="25">
        <v>3</v>
      </c>
      <c r="B95" s="26" t="s">
        <v>352</v>
      </c>
      <c r="C95" s="26" t="s">
        <v>353</v>
      </c>
      <c r="D95" s="26" t="s">
        <v>152</v>
      </c>
      <c r="E95" s="27">
        <v>1000</v>
      </c>
      <c r="F95" s="28">
        <v>4965.7150000000001</v>
      </c>
      <c r="G95" s="29">
        <v>1.9356640000000001E-2</v>
      </c>
      <c r="H95" s="17">
        <v>6.6325000000000003</v>
      </c>
    </row>
    <row r="96" spans="1:8" x14ac:dyDescent="0.2">
      <c r="A96" s="25">
        <v>4</v>
      </c>
      <c r="B96" s="26" t="s">
        <v>469</v>
      </c>
      <c r="C96" s="26" t="s">
        <v>470</v>
      </c>
      <c r="D96" s="26" t="s">
        <v>152</v>
      </c>
      <c r="E96" s="27">
        <v>1000</v>
      </c>
      <c r="F96" s="28">
        <v>4894.7700000000004</v>
      </c>
      <c r="G96" s="29">
        <v>1.9080090000000001E-2</v>
      </c>
      <c r="H96" s="17">
        <v>6.65</v>
      </c>
    </row>
    <row r="97" spans="1:8" ht="25.5" x14ac:dyDescent="0.2">
      <c r="A97" s="25">
        <v>5</v>
      </c>
      <c r="B97" s="26" t="s">
        <v>235</v>
      </c>
      <c r="C97" s="26" t="s">
        <v>236</v>
      </c>
      <c r="D97" s="26" t="s">
        <v>152</v>
      </c>
      <c r="E97" s="27">
        <v>800</v>
      </c>
      <c r="F97" s="28">
        <v>3910.46</v>
      </c>
      <c r="G97" s="29">
        <v>1.524319E-2</v>
      </c>
      <c r="H97" s="17">
        <v>7.2050000000000001</v>
      </c>
    </row>
    <row r="98" spans="1:8" x14ac:dyDescent="0.2">
      <c r="A98" s="25">
        <v>6</v>
      </c>
      <c r="B98" s="26" t="s">
        <v>229</v>
      </c>
      <c r="C98" s="26" t="s">
        <v>230</v>
      </c>
      <c r="D98" s="26" t="s">
        <v>152</v>
      </c>
      <c r="E98" s="27">
        <v>700</v>
      </c>
      <c r="F98" s="28">
        <v>3416.357</v>
      </c>
      <c r="G98" s="29">
        <v>1.331715E-2</v>
      </c>
      <c r="H98" s="17">
        <v>6.77</v>
      </c>
    </row>
    <row r="99" spans="1:8" ht="25.5" x14ac:dyDescent="0.2">
      <c r="A99" s="25">
        <v>7</v>
      </c>
      <c r="B99" s="26" t="s">
        <v>231</v>
      </c>
      <c r="C99" s="26" t="s">
        <v>232</v>
      </c>
      <c r="D99" s="26" t="s">
        <v>152</v>
      </c>
      <c r="E99" s="27">
        <v>700</v>
      </c>
      <c r="F99" s="28">
        <v>3377.0765000000001</v>
      </c>
      <c r="G99" s="29">
        <v>1.316403E-2</v>
      </c>
      <c r="H99" s="17">
        <v>7.3</v>
      </c>
    </row>
    <row r="100" spans="1:8" ht="25.5" x14ac:dyDescent="0.2">
      <c r="A100" s="25">
        <v>8</v>
      </c>
      <c r="B100" s="26" t="s">
        <v>233</v>
      </c>
      <c r="C100" s="26" t="s">
        <v>234</v>
      </c>
      <c r="D100" s="26" t="s">
        <v>152</v>
      </c>
      <c r="E100" s="27">
        <v>700</v>
      </c>
      <c r="F100" s="28">
        <v>3316.4355</v>
      </c>
      <c r="G100" s="29">
        <v>1.2927650000000001E-2</v>
      </c>
      <c r="H100" s="17">
        <v>7.5951000000000004</v>
      </c>
    </row>
    <row r="101" spans="1:8" x14ac:dyDescent="0.2">
      <c r="A101" s="25">
        <v>9</v>
      </c>
      <c r="B101" s="26" t="s">
        <v>388</v>
      </c>
      <c r="C101" s="26" t="s">
        <v>389</v>
      </c>
      <c r="D101" s="26" t="s">
        <v>152</v>
      </c>
      <c r="E101" s="27">
        <v>500</v>
      </c>
      <c r="F101" s="28">
        <v>2494.7800000000002</v>
      </c>
      <c r="G101" s="29">
        <v>9.7247900000000005E-3</v>
      </c>
      <c r="H101" s="17">
        <v>6.9450000000000003</v>
      </c>
    </row>
    <row r="102" spans="1:8" ht="25.5" x14ac:dyDescent="0.2">
      <c r="A102" s="25">
        <v>10</v>
      </c>
      <c r="B102" s="26" t="s">
        <v>227</v>
      </c>
      <c r="C102" s="26" t="s">
        <v>228</v>
      </c>
      <c r="D102" s="26" t="s">
        <v>152</v>
      </c>
      <c r="E102" s="27">
        <v>500</v>
      </c>
      <c r="F102" s="28">
        <v>2484.9924999999998</v>
      </c>
      <c r="G102" s="29">
        <v>9.6866399999999998E-3</v>
      </c>
      <c r="H102" s="17">
        <v>6.8888999999999996</v>
      </c>
    </row>
    <row r="103" spans="1:8" x14ac:dyDescent="0.2">
      <c r="A103" s="25">
        <v>11</v>
      </c>
      <c r="B103" s="26" t="s">
        <v>222</v>
      </c>
      <c r="C103" s="26" t="s">
        <v>223</v>
      </c>
      <c r="D103" s="26" t="s">
        <v>152</v>
      </c>
      <c r="E103" s="27">
        <v>500</v>
      </c>
      <c r="F103" s="28">
        <v>2378.5349999999999</v>
      </c>
      <c r="G103" s="29">
        <v>9.2716599999999993E-3</v>
      </c>
      <c r="H103" s="17">
        <v>6.7050000000000001</v>
      </c>
    </row>
    <row r="104" spans="1:8" ht="25.5" x14ac:dyDescent="0.2">
      <c r="A104" s="25">
        <v>12</v>
      </c>
      <c r="B104" s="26" t="s">
        <v>224</v>
      </c>
      <c r="C104" s="26" t="s">
        <v>225</v>
      </c>
      <c r="D104" s="26" t="s">
        <v>152</v>
      </c>
      <c r="E104" s="27">
        <v>500</v>
      </c>
      <c r="F104" s="28">
        <v>2360.0425</v>
      </c>
      <c r="G104" s="29">
        <v>9.1995800000000006E-3</v>
      </c>
      <c r="H104" s="17">
        <v>7.5951000000000004</v>
      </c>
    </row>
    <row r="105" spans="1:8" x14ac:dyDescent="0.2">
      <c r="A105" s="25">
        <v>13</v>
      </c>
      <c r="B105" s="26" t="s">
        <v>286</v>
      </c>
      <c r="C105" s="26" t="s">
        <v>287</v>
      </c>
      <c r="D105" s="26" t="s">
        <v>152</v>
      </c>
      <c r="E105" s="27">
        <v>300</v>
      </c>
      <c r="F105" s="28">
        <v>1457.442</v>
      </c>
      <c r="G105" s="29">
        <v>5.68119E-3</v>
      </c>
      <c r="H105" s="17">
        <v>6.62</v>
      </c>
    </row>
    <row r="106" spans="1:8" ht="25.5" x14ac:dyDescent="0.2">
      <c r="A106" s="25">
        <v>14</v>
      </c>
      <c r="B106" s="26" t="s">
        <v>216</v>
      </c>
      <c r="C106" s="26" t="s">
        <v>217</v>
      </c>
      <c r="D106" s="26" t="s">
        <v>152</v>
      </c>
      <c r="E106" s="27">
        <v>300</v>
      </c>
      <c r="F106" s="28">
        <v>1436.5335</v>
      </c>
      <c r="G106" s="29">
        <v>5.59969E-3</v>
      </c>
      <c r="H106" s="17">
        <v>7.33</v>
      </c>
    </row>
    <row r="107" spans="1:8" x14ac:dyDescent="0.2">
      <c r="A107" s="25">
        <v>15</v>
      </c>
      <c r="B107" s="26" t="s">
        <v>214</v>
      </c>
      <c r="C107" s="26" t="s">
        <v>215</v>
      </c>
      <c r="D107" s="26" t="s">
        <v>152</v>
      </c>
      <c r="E107" s="27">
        <v>200</v>
      </c>
      <c r="F107" s="28">
        <v>946.71299999999997</v>
      </c>
      <c r="G107" s="29">
        <v>3.6903399999999999E-3</v>
      </c>
      <c r="H107" s="17">
        <v>7.06</v>
      </c>
    </row>
    <row r="108" spans="1:8" x14ac:dyDescent="0.2">
      <c r="A108" s="18"/>
      <c r="B108" s="18"/>
      <c r="C108" s="19" t="s">
        <v>11</v>
      </c>
      <c r="D108" s="18"/>
      <c r="E108" s="18" t="s">
        <v>12</v>
      </c>
      <c r="F108" s="24">
        <v>49876.794999999998</v>
      </c>
      <c r="G108" s="21">
        <v>0.19442254</v>
      </c>
      <c r="H108" s="17" t="s">
        <v>12</v>
      </c>
    </row>
    <row r="109" spans="1:8" x14ac:dyDescent="0.2">
      <c r="A109" s="18"/>
      <c r="B109" s="18"/>
      <c r="C109" s="22"/>
      <c r="D109" s="18"/>
      <c r="E109" s="18"/>
      <c r="F109" s="23"/>
      <c r="G109" s="23"/>
      <c r="H109" s="17" t="s">
        <v>12</v>
      </c>
    </row>
    <row r="110" spans="1:8" x14ac:dyDescent="0.2">
      <c r="A110" s="18"/>
      <c r="B110" s="18"/>
      <c r="C110" s="19" t="s">
        <v>99</v>
      </c>
      <c r="D110" s="18"/>
      <c r="E110" s="18"/>
      <c r="F110" s="23"/>
      <c r="G110" s="23"/>
      <c r="H110" s="17" t="s">
        <v>12</v>
      </c>
    </row>
    <row r="111" spans="1:8" x14ac:dyDescent="0.2">
      <c r="A111" s="25">
        <v>1</v>
      </c>
      <c r="B111" s="26" t="s">
        <v>406</v>
      </c>
      <c r="C111" s="26" t="s">
        <v>407</v>
      </c>
      <c r="D111" s="26" t="s">
        <v>77</v>
      </c>
      <c r="E111" s="27">
        <v>10000000</v>
      </c>
      <c r="F111" s="28">
        <v>9879.0499999999993</v>
      </c>
      <c r="G111" s="29">
        <v>3.8509090000000003E-2</v>
      </c>
      <c r="H111" s="17">
        <v>5.8018000000000001</v>
      </c>
    </row>
    <row r="112" spans="1:8" x14ac:dyDescent="0.2">
      <c r="A112" s="25">
        <v>2</v>
      </c>
      <c r="B112" s="26" t="s">
        <v>408</v>
      </c>
      <c r="C112" s="26" t="s">
        <v>409</v>
      </c>
      <c r="D112" s="26" t="s">
        <v>77</v>
      </c>
      <c r="E112" s="27">
        <v>5000000</v>
      </c>
      <c r="F112" s="28">
        <v>4967.1350000000002</v>
      </c>
      <c r="G112" s="29">
        <v>1.9362170000000001E-2</v>
      </c>
      <c r="H112" s="17">
        <v>5.75</v>
      </c>
    </row>
    <row r="113" spans="1:17" x14ac:dyDescent="0.2">
      <c r="A113" s="25">
        <v>3</v>
      </c>
      <c r="B113" s="26" t="s">
        <v>471</v>
      </c>
      <c r="C113" s="26" t="s">
        <v>472</v>
      </c>
      <c r="D113" s="26" t="s">
        <v>77</v>
      </c>
      <c r="E113" s="27">
        <v>1500000</v>
      </c>
      <c r="F113" s="28">
        <v>1498.3335</v>
      </c>
      <c r="G113" s="29">
        <v>5.8405899999999997E-3</v>
      </c>
      <c r="H113" s="17">
        <v>5.8</v>
      </c>
    </row>
    <row r="114" spans="1:17" x14ac:dyDescent="0.2">
      <c r="A114" s="18"/>
      <c r="B114" s="18"/>
      <c r="C114" s="19" t="s">
        <v>11</v>
      </c>
      <c r="D114" s="18"/>
      <c r="E114" s="18" t="s">
        <v>12</v>
      </c>
      <c r="F114" s="24">
        <v>16344.5185</v>
      </c>
      <c r="G114" s="21">
        <v>6.371185E-2</v>
      </c>
      <c r="H114" s="17" t="s">
        <v>12</v>
      </c>
    </row>
    <row r="115" spans="1:17" x14ac:dyDescent="0.2">
      <c r="A115" s="18"/>
      <c r="B115" s="18"/>
      <c r="C115" s="22"/>
      <c r="D115" s="18"/>
      <c r="E115" s="18"/>
      <c r="F115" s="23"/>
      <c r="G115" s="23"/>
      <c r="H115" s="17" t="s">
        <v>12</v>
      </c>
    </row>
    <row r="116" spans="1:17" x14ac:dyDescent="0.2">
      <c r="A116" s="18"/>
      <c r="B116" s="18"/>
      <c r="C116" s="19" t="s">
        <v>100</v>
      </c>
      <c r="D116" s="18"/>
      <c r="E116" s="18"/>
      <c r="F116" s="23"/>
      <c r="G116" s="23"/>
      <c r="H116" s="17" t="s">
        <v>12</v>
      </c>
    </row>
    <row r="117" spans="1:17" x14ac:dyDescent="0.2">
      <c r="A117" s="25">
        <v>1</v>
      </c>
      <c r="B117" s="26"/>
      <c r="C117" s="26" t="s">
        <v>101</v>
      </c>
      <c r="D117" s="26"/>
      <c r="E117" s="30"/>
      <c r="F117" s="28">
        <v>17555.703300000001</v>
      </c>
      <c r="G117" s="29">
        <v>6.8433110000000005E-2</v>
      </c>
      <c r="H117" s="17">
        <v>5.69</v>
      </c>
    </row>
    <row r="118" spans="1:17" x14ac:dyDescent="0.2">
      <c r="A118" s="18"/>
      <c r="B118" s="18"/>
      <c r="C118" s="19" t="s">
        <v>11</v>
      </c>
      <c r="D118" s="18"/>
      <c r="E118" s="18" t="s">
        <v>12</v>
      </c>
      <c r="F118" s="24">
        <v>17555.703300000001</v>
      </c>
      <c r="G118" s="21">
        <v>6.8433110000000005E-2</v>
      </c>
      <c r="H118" s="17" t="s">
        <v>12</v>
      </c>
    </row>
    <row r="119" spans="1:17" x14ac:dyDescent="0.2">
      <c r="A119" s="18"/>
      <c r="B119" s="18"/>
      <c r="C119" s="22"/>
      <c r="D119" s="18"/>
      <c r="E119" s="18"/>
      <c r="F119" s="23"/>
      <c r="G119" s="23"/>
      <c r="H119" s="17" t="s">
        <v>12</v>
      </c>
    </row>
    <row r="120" spans="1:17" x14ac:dyDescent="0.2">
      <c r="A120" s="18"/>
      <c r="B120" s="18"/>
      <c r="C120" s="19" t="s">
        <v>102</v>
      </c>
      <c r="D120" s="18"/>
      <c r="E120" s="18"/>
      <c r="F120" s="24">
        <v>219576.44279999999</v>
      </c>
      <c r="G120" s="21">
        <f>F120/F143</f>
        <v>0.85592124209601383</v>
      </c>
      <c r="H120" s="17" t="s">
        <v>12</v>
      </c>
    </row>
    <row r="121" spans="1:17" x14ac:dyDescent="0.2">
      <c r="A121" s="18"/>
      <c r="B121" s="18"/>
      <c r="C121" s="23"/>
      <c r="D121" s="18"/>
      <c r="E121" s="18"/>
      <c r="F121" s="18"/>
      <c r="G121" s="18"/>
      <c r="H121" s="17" t="s">
        <v>12</v>
      </c>
    </row>
    <row r="122" spans="1:17" x14ac:dyDescent="0.2">
      <c r="A122" s="18"/>
      <c r="B122" s="18"/>
      <c r="C122" s="19" t="s">
        <v>103</v>
      </c>
      <c r="D122" s="18"/>
      <c r="E122" s="18"/>
      <c r="F122" s="18"/>
      <c r="G122" s="18"/>
      <c r="H122" s="17" t="s">
        <v>12</v>
      </c>
    </row>
    <row r="123" spans="1:17" x14ac:dyDescent="0.2">
      <c r="A123" s="18"/>
      <c r="B123" s="18"/>
      <c r="C123" s="19" t="s">
        <v>104</v>
      </c>
      <c r="D123" s="18"/>
      <c r="E123" s="18"/>
      <c r="F123" s="18"/>
      <c r="G123" s="18"/>
      <c r="H123" s="17" t="s">
        <v>12</v>
      </c>
    </row>
    <row r="124" spans="1:17" x14ac:dyDescent="0.2">
      <c r="A124" s="18"/>
      <c r="B124" s="18"/>
      <c r="C124" s="19" t="s">
        <v>11</v>
      </c>
      <c r="D124" s="18"/>
      <c r="E124" s="18" t="s">
        <v>12</v>
      </c>
      <c r="F124" s="20" t="s">
        <v>13</v>
      </c>
      <c r="G124" s="21">
        <v>0</v>
      </c>
      <c r="H124" s="17" t="s">
        <v>12</v>
      </c>
    </row>
    <row r="125" spans="1:17" x14ac:dyDescent="0.2">
      <c r="A125" s="15"/>
      <c r="B125" s="15"/>
      <c r="C125" s="70"/>
      <c r="D125" s="15"/>
      <c r="E125" s="15"/>
      <c r="F125" s="40"/>
      <c r="G125" s="40"/>
      <c r="H125" s="71" t="s">
        <v>12</v>
      </c>
    </row>
    <row r="126" spans="1:17" x14ac:dyDescent="0.2">
      <c r="A126" s="15"/>
      <c r="B126" s="15"/>
      <c r="C126" s="16" t="s">
        <v>549</v>
      </c>
      <c r="D126" s="15"/>
      <c r="E126" s="15"/>
      <c r="F126" s="40"/>
      <c r="G126" s="40"/>
      <c r="H126" s="67"/>
      <c r="K126" s="51"/>
      <c r="L126" s="51"/>
      <c r="M126" s="51"/>
      <c r="N126" s="51"/>
      <c r="O126" s="72"/>
      <c r="P126" s="72"/>
      <c r="Q126" s="72"/>
    </row>
    <row r="127" spans="1:17" ht="25.5" x14ac:dyDescent="0.2">
      <c r="A127" s="64">
        <v>1</v>
      </c>
      <c r="B127" s="65" t="s">
        <v>105</v>
      </c>
      <c r="C127" s="65" t="s">
        <v>106</v>
      </c>
      <c r="D127" s="65"/>
      <c r="E127" s="73">
        <v>5151.0829999999996</v>
      </c>
      <c r="F127" s="67">
        <v>574.42957807400001</v>
      </c>
      <c r="G127" s="68">
        <v>2.23916E-3</v>
      </c>
      <c r="H127" s="71"/>
    </row>
    <row r="128" spans="1:17" x14ac:dyDescent="0.2">
      <c r="A128" s="15"/>
      <c r="B128" s="15"/>
      <c r="C128" s="16" t="s">
        <v>11</v>
      </c>
      <c r="D128" s="15"/>
      <c r="E128" s="15" t="s">
        <v>12</v>
      </c>
      <c r="F128" s="74">
        <f>SUM(F127)</f>
        <v>574.42957807400001</v>
      </c>
      <c r="G128" s="75">
        <f>F128/F143</f>
        <v>2.239158589565179E-3</v>
      </c>
      <c r="H128" s="71" t="s">
        <v>12</v>
      </c>
    </row>
    <row r="129" spans="1:10" x14ac:dyDescent="0.2">
      <c r="A129" s="18"/>
      <c r="B129" s="18"/>
      <c r="C129" s="22"/>
      <c r="D129" s="18"/>
      <c r="E129" s="18"/>
      <c r="F129" s="23"/>
      <c r="G129" s="23"/>
      <c r="H129" s="17" t="s">
        <v>12</v>
      </c>
    </row>
    <row r="130" spans="1:10" x14ac:dyDescent="0.2">
      <c r="A130" s="18"/>
      <c r="B130" s="18"/>
      <c r="C130" s="19" t="s">
        <v>107</v>
      </c>
      <c r="D130" s="18"/>
      <c r="E130" s="18"/>
      <c r="F130" s="18"/>
      <c r="G130" s="18"/>
      <c r="H130" s="17" t="s">
        <v>12</v>
      </c>
    </row>
    <row r="131" spans="1:10" x14ac:dyDescent="0.2">
      <c r="A131" s="18"/>
      <c r="B131" s="18"/>
      <c r="C131" s="19" t="s">
        <v>108</v>
      </c>
      <c r="D131" s="18"/>
      <c r="E131" s="18"/>
      <c r="F131" s="18"/>
      <c r="G131" s="18"/>
      <c r="H131" s="17" t="s">
        <v>12</v>
      </c>
    </row>
    <row r="132" spans="1:10" x14ac:dyDescent="0.2">
      <c r="A132" s="18"/>
      <c r="B132" s="18"/>
      <c r="C132" s="19" t="s">
        <v>11</v>
      </c>
      <c r="D132" s="18"/>
      <c r="E132" s="18" t="s">
        <v>12</v>
      </c>
      <c r="F132" s="20" t="s">
        <v>13</v>
      </c>
      <c r="G132" s="21">
        <v>0</v>
      </c>
      <c r="H132" s="17" t="s">
        <v>12</v>
      </c>
    </row>
    <row r="133" spans="1:10" x14ac:dyDescent="0.2">
      <c r="A133" s="18"/>
      <c r="B133" s="18"/>
      <c r="C133" s="22"/>
      <c r="D133" s="18"/>
      <c r="E133" s="18"/>
      <c r="F133" s="23"/>
      <c r="G133" s="23"/>
      <c r="H133" s="17" t="s">
        <v>12</v>
      </c>
    </row>
    <row r="134" spans="1:10" x14ac:dyDescent="0.2">
      <c r="A134" s="18"/>
      <c r="B134" s="18"/>
      <c r="C134" s="19" t="s">
        <v>109</v>
      </c>
      <c r="D134" s="18"/>
      <c r="E134" s="18"/>
      <c r="F134" s="23"/>
      <c r="G134" s="23"/>
      <c r="H134" s="17" t="s">
        <v>12</v>
      </c>
    </row>
    <row r="135" spans="1:10" x14ac:dyDescent="0.2">
      <c r="A135" s="18"/>
      <c r="B135" s="18"/>
      <c r="C135" s="19" t="s">
        <v>11</v>
      </c>
      <c r="D135" s="18"/>
      <c r="E135" s="18" t="s">
        <v>12</v>
      </c>
      <c r="F135" s="20" t="s">
        <v>13</v>
      </c>
      <c r="G135" s="21">
        <v>0</v>
      </c>
      <c r="H135" s="17" t="s">
        <v>12</v>
      </c>
    </row>
    <row r="136" spans="1:10" x14ac:dyDescent="0.2">
      <c r="A136" s="15"/>
      <c r="B136" s="15"/>
      <c r="C136" s="70"/>
      <c r="D136" s="15"/>
      <c r="E136" s="15"/>
      <c r="F136" s="40"/>
      <c r="G136" s="40"/>
      <c r="H136" s="71" t="s">
        <v>12</v>
      </c>
      <c r="I136" s="107"/>
    </row>
    <row r="137" spans="1:10" x14ac:dyDescent="0.2">
      <c r="A137" s="108"/>
      <c r="B137" s="108"/>
      <c r="C137" s="109" t="s">
        <v>629</v>
      </c>
      <c r="D137" s="110"/>
      <c r="E137" s="111"/>
      <c r="F137" s="111"/>
      <c r="G137" s="110"/>
      <c r="H137" s="111"/>
      <c r="I137" s="107"/>
    </row>
    <row r="138" spans="1:10" ht="21.75" x14ac:dyDescent="0.2">
      <c r="A138" s="108"/>
      <c r="B138" s="108"/>
      <c r="C138" s="112" t="s">
        <v>630</v>
      </c>
      <c r="D138" s="110"/>
      <c r="E138" s="113">
        <v>2500000</v>
      </c>
      <c r="F138" s="71">
        <f>-736500/10^5</f>
        <v>-7.3650000000000002</v>
      </c>
      <c r="G138" s="114" t="s">
        <v>571</v>
      </c>
      <c r="H138" s="111"/>
      <c r="I138" s="107"/>
      <c r="J138" s="107"/>
    </row>
    <row r="139" spans="1:10" ht="21.75" x14ac:dyDescent="0.2">
      <c r="A139" s="108"/>
      <c r="B139" s="108"/>
      <c r="C139" s="112" t="s">
        <v>631</v>
      </c>
      <c r="D139" s="110"/>
      <c r="E139" s="113">
        <v>2500000</v>
      </c>
      <c r="F139" s="71">
        <f>-944750/10^5</f>
        <v>-9.4474999999999998</v>
      </c>
      <c r="G139" s="114" t="s">
        <v>571</v>
      </c>
      <c r="H139" s="111"/>
      <c r="I139" s="107"/>
      <c r="J139" s="107"/>
    </row>
    <row r="140" spans="1:10" ht="21.75" x14ac:dyDescent="0.2">
      <c r="A140" s="108"/>
      <c r="B140" s="108"/>
      <c r="C140" s="112" t="s">
        <v>632</v>
      </c>
      <c r="D140" s="110"/>
      <c r="E140" s="113">
        <v>2500000</v>
      </c>
      <c r="F140" s="71">
        <f>-795500/10^5</f>
        <v>-7.9550000000000001</v>
      </c>
      <c r="G140" s="114" t="s">
        <v>571</v>
      </c>
      <c r="H140" s="111"/>
      <c r="I140" s="107"/>
    </row>
    <row r="141" spans="1:10" x14ac:dyDescent="0.2">
      <c r="A141" s="18"/>
      <c r="B141" s="18"/>
      <c r="C141" s="22"/>
      <c r="D141" s="18"/>
      <c r="E141" s="18"/>
      <c r="F141" s="23"/>
      <c r="G141" s="23"/>
      <c r="H141" s="17" t="s">
        <v>12</v>
      </c>
    </row>
    <row r="142" spans="1:10" x14ac:dyDescent="0.2">
      <c r="A142" s="30"/>
      <c r="B142" s="26"/>
      <c r="C142" s="26" t="s">
        <v>110</v>
      </c>
      <c r="D142" s="26"/>
      <c r="E142" s="30"/>
      <c r="F142" s="28">
        <f>-5894.85383039+2500+2500+2500-F25+0.000011826057434082</f>
        <v>1605.1361814360571</v>
      </c>
      <c r="G142" s="29">
        <f>F142/F143</f>
        <v>6.2569105165775213E-3</v>
      </c>
      <c r="H142" s="17" t="s">
        <v>12</v>
      </c>
    </row>
    <row r="143" spans="1:10" x14ac:dyDescent="0.2">
      <c r="A143" s="22"/>
      <c r="B143" s="22"/>
      <c r="C143" s="19" t="s">
        <v>111</v>
      </c>
      <c r="D143" s="23"/>
      <c r="E143" s="23"/>
      <c r="F143" s="24">
        <f>F142+F140+F139+F138+F128+F120+F52+F25</f>
        <v>256538.13925951003</v>
      </c>
      <c r="G143" s="21">
        <v>1</v>
      </c>
      <c r="H143" s="17" t="s">
        <v>12</v>
      </c>
    </row>
    <row r="144" spans="1:10" x14ac:dyDescent="0.2">
      <c r="A144" s="32"/>
      <c r="B144" s="32"/>
      <c r="C144" s="32"/>
      <c r="D144" s="33"/>
      <c r="E144" s="33"/>
      <c r="F144" s="33"/>
      <c r="G144" s="33"/>
    </row>
    <row r="145" spans="1:9" x14ac:dyDescent="0.2">
      <c r="A145" s="34"/>
      <c r="B145" s="148" t="s">
        <v>545</v>
      </c>
      <c r="C145" s="148"/>
      <c r="D145" s="148"/>
      <c r="E145" s="148"/>
      <c r="F145" s="148"/>
      <c r="G145" s="148"/>
      <c r="H145" s="148"/>
    </row>
    <row r="146" spans="1:9" x14ac:dyDescent="0.2">
      <c r="A146" s="34"/>
      <c r="B146" s="148" t="s">
        <v>546</v>
      </c>
      <c r="C146" s="148"/>
      <c r="D146" s="148"/>
      <c r="E146" s="148"/>
      <c r="F146" s="148"/>
      <c r="G146" s="148"/>
      <c r="H146" s="148"/>
    </row>
    <row r="147" spans="1:9" x14ac:dyDescent="0.2">
      <c r="A147" s="34"/>
      <c r="B147" s="148" t="s">
        <v>547</v>
      </c>
      <c r="C147" s="148"/>
      <c r="D147" s="148"/>
      <c r="E147" s="148"/>
      <c r="F147" s="148"/>
      <c r="G147" s="148"/>
      <c r="H147" s="148"/>
    </row>
    <row r="148" spans="1:9" ht="68.25" customHeight="1" x14ac:dyDescent="0.2">
      <c r="A148" s="34"/>
      <c r="B148" s="198" t="s">
        <v>633</v>
      </c>
      <c r="C148" s="198"/>
      <c r="D148" s="198"/>
      <c r="E148" s="198"/>
      <c r="F148" s="198"/>
      <c r="G148" s="198"/>
      <c r="H148" s="198"/>
      <c r="I148" s="107"/>
    </row>
    <row r="149" spans="1:9" x14ac:dyDescent="0.2">
      <c r="A149" s="36"/>
      <c r="B149" s="36"/>
      <c r="C149" s="36"/>
      <c r="D149" s="37"/>
      <c r="E149" s="37"/>
      <c r="F149" s="37"/>
      <c r="G149" s="37"/>
    </row>
    <row r="150" spans="1:9" x14ac:dyDescent="0.2">
      <c r="A150" s="34"/>
      <c r="B150" s="150" t="s">
        <v>112</v>
      </c>
      <c r="C150" s="151"/>
      <c r="D150" s="152"/>
      <c r="E150" s="38"/>
      <c r="F150" s="39"/>
      <c r="G150" s="39"/>
    </row>
    <row r="151" spans="1:9" ht="25.5" x14ac:dyDescent="0.2">
      <c r="A151" s="34"/>
      <c r="B151" s="153" t="s">
        <v>113</v>
      </c>
      <c r="C151" s="154"/>
      <c r="D151" s="16" t="s">
        <v>572</v>
      </c>
      <c r="E151" s="38"/>
      <c r="F151" s="39"/>
      <c r="G151" s="39"/>
    </row>
    <row r="152" spans="1:9" x14ac:dyDescent="0.2">
      <c r="A152" s="34"/>
      <c r="B152" s="153" t="s">
        <v>115</v>
      </c>
      <c r="C152" s="154"/>
      <c r="D152" s="16" t="s">
        <v>114</v>
      </c>
      <c r="E152" s="38"/>
      <c r="F152" s="39"/>
      <c r="G152" s="39"/>
    </row>
    <row r="153" spans="1:9" x14ac:dyDescent="0.2">
      <c r="A153" s="34"/>
      <c r="B153" s="153" t="s">
        <v>116</v>
      </c>
      <c r="C153" s="154"/>
      <c r="D153" s="40" t="s">
        <v>12</v>
      </c>
      <c r="E153" s="38"/>
      <c r="F153" s="39"/>
      <c r="G153" s="39"/>
    </row>
    <row r="154" spans="1:9" x14ac:dyDescent="0.2">
      <c r="A154" s="41"/>
      <c r="B154" s="42" t="s">
        <v>12</v>
      </c>
      <c r="C154" s="42" t="s">
        <v>548</v>
      </c>
      <c r="D154" s="42" t="s">
        <v>117</v>
      </c>
      <c r="E154" s="41"/>
      <c r="F154" s="41"/>
      <c r="G154" s="41"/>
    </row>
    <row r="155" spans="1:9" x14ac:dyDescent="0.2">
      <c r="A155" s="41"/>
      <c r="B155" s="43" t="s">
        <v>118</v>
      </c>
      <c r="C155" s="44">
        <v>45777</v>
      </c>
      <c r="D155" s="44">
        <v>45792</v>
      </c>
      <c r="E155" s="41"/>
      <c r="F155" s="41"/>
      <c r="G155" s="41"/>
    </row>
    <row r="156" spans="1:9" x14ac:dyDescent="0.2">
      <c r="A156" s="45"/>
      <c r="B156" s="26" t="s">
        <v>119</v>
      </c>
      <c r="C156" s="46">
        <v>2895.1457</v>
      </c>
      <c r="D156" s="46">
        <v>2903.6097</v>
      </c>
      <c r="E156" s="45"/>
      <c r="F156" s="47"/>
      <c r="G156" s="48"/>
    </row>
    <row r="157" spans="1:9" ht="25.5" x14ac:dyDescent="0.2">
      <c r="A157" s="45"/>
      <c r="B157" s="26" t="s">
        <v>673</v>
      </c>
      <c r="C157" s="46">
        <v>1068.5972999999999</v>
      </c>
      <c r="D157" s="46">
        <v>1071.7221999999999</v>
      </c>
      <c r="E157" s="45"/>
      <c r="F157" s="47"/>
      <c r="G157" s="48"/>
    </row>
    <row r="158" spans="1:9" ht="25.5" x14ac:dyDescent="0.2">
      <c r="A158" s="45"/>
      <c r="B158" s="26" t="s">
        <v>674</v>
      </c>
      <c r="C158" s="46">
        <v>1212.5314000000001</v>
      </c>
      <c r="D158" s="46">
        <v>1216.0778</v>
      </c>
      <c r="E158" s="45"/>
      <c r="F158" s="47"/>
      <c r="G158" s="48"/>
    </row>
    <row r="159" spans="1:9" x14ac:dyDescent="0.2">
      <c r="A159" s="45"/>
      <c r="B159" s="26" t="s">
        <v>120</v>
      </c>
      <c r="C159" s="46">
        <v>2659.9643999999998</v>
      </c>
      <c r="D159" s="46">
        <v>2666.3712</v>
      </c>
      <c r="E159" s="45"/>
      <c r="F159" s="47"/>
      <c r="G159" s="48"/>
    </row>
    <row r="160" spans="1:9" ht="25.5" x14ac:dyDescent="0.2">
      <c r="A160" s="45"/>
      <c r="B160" s="26" t="s">
        <v>677</v>
      </c>
      <c r="C160" s="46">
        <v>1065.5259000000001</v>
      </c>
      <c r="D160" s="46">
        <v>1068.0921000000001</v>
      </c>
      <c r="E160" s="45"/>
      <c r="F160" s="47"/>
      <c r="G160" s="48"/>
    </row>
    <row r="161" spans="1:15" ht="25.5" x14ac:dyDescent="0.2">
      <c r="A161" s="45"/>
      <c r="B161" s="26" t="s">
        <v>648</v>
      </c>
      <c r="C161" s="46">
        <v>1161.6413</v>
      </c>
      <c r="D161" s="46">
        <v>1164.4396999999999</v>
      </c>
      <c r="E161" s="45"/>
      <c r="F161" s="47"/>
      <c r="G161" s="48"/>
    </row>
    <row r="162" spans="1:15" x14ac:dyDescent="0.2">
      <c r="A162" s="45"/>
      <c r="B162" s="45"/>
      <c r="C162" s="45"/>
      <c r="D162" s="45"/>
      <c r="E162" s="45"/>
      <c r="F162" s="45"/>
      <c r="G162" s="45"/>
    </row>
    <row r="163" spans="1:15" x14ac:dyDescent="0.2">
      <c r="A163" s="45"/>
      <c r="B163" s="155" t="s">
        <v>649</v>
      </c>
      <c r="C163" s="156"/>
      <c r="D163" s="16" t="s">
        <v>114</v>
      </c>
      <c r="E163" s="45"/>
      <c r="F163" s="45"/>
      <c r="G163" s="45"/>
    </row>
    <row r="164" spans="1:15" x14ac:dyDescent="0.2">
      <c r="A164" s="45"/>
      <c r="B164" s="49"/>
      <c r="C164" s="49"/>
      <c r="D164" s="49"/>
      <c r="E164" s="45"/>
      <c r="F164" s="45"/>
      <c r="G164" s="45"/>
    </row>
    <row r="165" spans="1:15" ht="25.5" x14ac:dyDescent="0.2">
      <c r="A165" s="41"/>
      <c r="B165" s="153" t="s">
        <v>121</v>
      </c>
      <c r="C165" s="154"/>
      <c r="D165" s="16" t="s">
        <v>634</v>
      </c>
      <c r="E165" s="50"/>
      <c r="F165" s="41"/>
      <c r="G165" s="41"/>
      <c r="I165" s="107"/>
    </row>
    <row r="166" spans="1:15" x14ac:dyDescent="0.2">
      <c r="A166" s="41"/>
      <c r="B166" s="153" t="s">
        <v>122</v>
      </c>
      <c r="C166" s="154"/>
      <c r="D166" s="16" t="s">
        <v>114</v>
      </c>
      <c r="E166" s="50"/>
      <c r="F166" s="41"/>
      <c r="G166" s="41"/>
      <c r="I166" s="107"/>
    </row>
    <row r="167" spans="1:15" x14ac:dyDescent="0.2">
      <c r="A167" s="41"/>
      <c r="B167" s="153" t="s">
        <v>550</v>
      </c>
      <c r="C167" s="154"/>
      <c r="D167" s="16" t="s">
        <v>114</v>
      </c>
      <c r="E167" s="50"/>
      <c r="F167" s="41"/>
      <c r="G167" s="41"/>
      <c r="I167" s="107"/>
      <c r="J167" s="14"/>
    </row>
    <row r="168" spans="1:15" ht="12.75" customHeight="1" x14ac:dyDescent="0.2">
      <c r="A168" s="49"/>
      <c r="B168" s="49"/>
      <c r="C168" s="49"/>
      <c r="D168" s="49"/>
      <c r="E168" s="49"/>
      <c r="F168" s="49"/>
      <c r="G168" s="49"/>
      <c r="I168" s="107"/>
      <c r="J168" s="14"/>
    </row>
    <row r="169" spans="1:15" ht="13.5" x14ac:dyDescent="0.25">
      <c r="A169" s="49"/>
      <c r="B169" s="115" t="s">
        <v>682</v>
      </c>
      <c r="C169" s="49"/>
      <c r="D169" s="49"/>
      <c r="E169" s="49"/>
      <c r="F169" s="49"/>
      <c r="G169" s="49"/>
      <c r="H169" s="49"/>
      <c r="I169" s="107"/>
      <c r="J169" s="14"/>
    </row>
    <row r="170" spans="1:15" s="14" customFormat="1" ht="51" x14ac:dyDescent="0.2">
      <c r="A170" s="116"/>
      <c r="B170" s="117" t="s">
        <v>635</v>
      </c>
      <c r="C170" s="117" t="s">
        <v>636</v>
      </c>
      <c r="D170" s="118" t="s">
        <v>637</v>
      </c>
      <c r="E170" s="118" t="s">
        <v>638</v>
      </c>
      <c r="F170" s="117" t="s">
        <v>639</v>
      </c>
      <c r="G170" s="117" t="s">
        <v>640</v>
      </c>
      <c r="H170" s="117" t="s">
        <v>8</v>
      </c>
      <c r="I170" s="119"/>
    </row>
    <row r="171" spans="1:15" s="53" customFormat="1" ht="25.5" x14ac:dyDescent="0.2">
      <c r="A171" s="120"/>
      <c r="B171" s="121" t="s">
        <v>641</v>
      </c>
      <c r="C171" s="121" t="s">
        <v>642</v>
      </c>
      <c r="D171" s="122" t="s">
        <v>643</v>
      </c>
      <c r="E171" s="123" t="s">
        <v>644</v>
      </c>
      <c r="F171" s="124">
        <v>2500</v>
      </c>
      <c r="G171" s="125">
        <v>46002</v>
      </c>
      <c r="H171" s="126">
        <v>9.7451396791581341E-3</v>
      </c>
      <c r="I171" s="127"/>
      <c r="J171" s="14"/>
    </row>
    <row r="172" spans="1:15" s="53" customFormat="1" ht="25.5" x14ac:dyDescent="0.2">
      <c r="A172" s="120"/>
      <c r="B172" s="121" t="s">
        <v>641</v>
      </c>
      <c r="C172" s="121" t="s">
        <v>645</v>
      </c>
      <c r="D172" s="122" t="s">
        <v>643</v>
      </c>
      <c r="E172" s="123" t="s">
        <v>644</v>
      </c>
      <c r="F172" s="124">
        <v>2500</v>
      </c>
      <c r="G172" s="125">
        <v>46087</v>
      </c>
      <c r="H172" s="126">
        <v>9.7451396791581341E-3</v>
      </c>
      <c r="I172" s="127"/>
      <c r="J172" s="14"/>
    </row>
    <row r="173" spans="1:15" s="53" customFormat="1" ht="25.5" x14ac:dyDescent="0.2">
      <c r="A173" s="120"/>
      <c r="B173" s="121" t="s">
        <v>641</v>
      </c>
      <c r="C173" s="121" t="s">
        <v>646</v>
      </c>
      <c r="D173" s="122" t="s">
        <v>643</v>
      </c>
      <c r="E173" s="123" t="s">
        <v>644</v>
      </c>
      <c r="F173" s="124">
        <v>2500</v>
      </c>
      <c r="G173" s="125">
        <v>46101</v>
      </c>
      <c r="H173" s="126">
        <v>9.7451396791581341E-3</v>
      </c>
      <c r="I173" s="127"/>
      <c r="J173" s="14"/>
    </row>
    <row r="174" spans="1:15" s="63" customFormat="1" x14ac:dyDescent="0.2">
      <c r="A174" s="49"/>
      <c r="B174" s="49"/>
      <c r="C174" s="49"/>
      <c r="D174" s="49"/>
      <c r="E174" s="49"/>
      <c r="F174" s="49"/>
      <c r="G174" s="49"/>
      <c r="H174"/>
      <c r="I174" s="128"/>
      <c r="J174" s="129"/>
      <c r="K174" s="129"/>
      <c r="L174" s="129"/>
      <c r="M174" s="129"/>
      <c r="N174" s="129"/>
      <c r="O174" s="129"/>
    </row>
    <row r="175" spans="1:15" x14ac:dyDescent="0.2">
      <c r="A175" s="52"/>
      <c r="B175" s="130" t="s">
        <v>681</v>
      </c>
      <c r="C175" s="130"/>
      <c r="D175" s="130"/>
      <c r="E175" s="130"/>
      <c r="F175" s="130"/>
      <c r="G175" s="130"/>
      <c r="H175" s="52"/>
      <c r="I175" s="107"/>
      <c r="J175" s="14"/>
    </row>
    <row r="176" spans="1:15" ht="13.5" customHeight="1" x14ac:dyDescent="0.2">
      <c r="B176" s="168" t="s">
        <v>574</v>
      </c>
      <c r="C176" s="168" t="s">
        <v>575</v>
      </c>
      <c r="D176" s="171" t="s">
        <v>585</v>
      </c>
      <c r="E176" s="172"/>
      <c r="F176" s="173"/>
      <c r="G176" s="174" t="s">
        <v>593</v>
      </c>
      <c r="H176" s="175"/>
      <c r="I176" s="176"/>
      <c r="J176" s="51"/>
      <c r="K176" s="51"/>
      <c r="L176" s="51"/>
      <c r="M176" s="51"/>
      <c r="N176" s="51"/>
      <c r="O176" s="51"/>
    </row>
    <row r="177" spans="2:16" ht="46.5" customHeight="1" x14ac:dyDescent="0.2">
      <c r="B177" s="169"/>
      <c r="C177" s="169"/>
      <c r="D177" s="166" t="s">
        <v>594</v>
      </c>
      <c r="E177" s="166" t="s">
        <v>595</v>
      </c>
      <c r="F177" s="166" t="s">
        <v>596</v>
      </c>
      <c r="G177" s="177" t="s">
        <v>611</v>
      </c>
      <c r="H177" s="178"/>
      <c r="I177" s="166" t="s">
        <v>598</v>
      </c>
      <c r="J177" s="51"/>
      <c r="K177" s="51"/>
      <c r="L177" s="51"/>
      <c r="M177" s="51"/>
      <c r="N177" s="51"/>
      <c r="O177" s="51"/>
    </row>
    <row r="178" spans="2:16" ht="21" customHeight="1" x14ac:dyDescent="0.2">
      <c r="B178" s="170"/>
      <c r="C178" s="170"/>
      <c r="D178" s="167"/>
      <c r="E178" s="167"/>
      <c r="F178" s="167"/>
      <c r="G178" s="78" t="s">
        <v>599</v>
      </c>
      <c r="H178" s="78" t="s">
        <v>600</v>
      </c>
      <c r="I178" s="167"/>
      <c r="J178" s="51"/>
      <c r="K178" s="51"/>
      <c r="L178" s="51"/>
      <c r="M178" s="51"/>
      <c r="N178" s="51"/>
      <c r="O178" s="51"/>
    </row>
    <row r="179" spans="2:16" ht="13.5" x14ac:dyDescent="0.25">
      <c r="B179" s="82" t="s">
        <v>601</v>
      </c>
      <c r="C179" s="81" t="s">
        <v>602</v>
      </c>
      <c r="D179" s="131">
        <v>488.84800000000001</v>
      </c>
      <c r="E179" s="4">
        <v>11.151999999999999</v>
      </c>
      <c r="F179" s="132">
        <f>D179+E179</f>
        <v>500</v>
      </c>
      <c r="G179" s="2">
        <v>21.175720568999996</v>
      </c>
      <c r="H179" s="2">
        <v>13.34</v>
      </c>
      <c r="I179" s="2">
        <f>G179+H179</f>
        <v>34.515720568999996</v>
      </c>
      <c r="J179" s="51"/>
      <c r="K179" s="51"/>
      <c r="L179" s="51"/>
      <c r="M179" s="51"/>
      <c r="N179" s="51"/>
      <c r="O179" s="51"/>
    </row>
    <row r="180" spans="2:16" ht="6.75" customHeight="1" x14ac:dyDescent="0.25">
      <c r="B180" s="133"/>
      <c r="C180" s="134"/>
      <c r="D180" s="135"/>
      <c r="E180" s="5"/>
      <c r="F180" s="136"/>
      <c r="G180" s="3"/>
      <c r="H180" s="3"/>
      <c r="I180" s="3"/>
      <c r="J180" s="51"/>
      <c r="K180" s="51"/>
      <c r="L180" s="51"/>
      <c r="M180" s="51"/>
      <c r="N180" s="51"/>
      <c r="O180" s="51"/>
    </row>
    <row r="181" spans="2:16" ht="51" customHeight="1" x14ac:dyDescent="0.2">
      <c r="B181" s="165" t="s">
        <v>603</v>
      </c>
      <c r="C181" s="165"/>
      <c r="D181" s="165"/>
      <c r="E181" s="165"/>
      <c r="F181" s="165"/>
      <c r="G181" s="165"/>
      <c r="H181" s="165"/>
      <c r="I181" s="165"/>
      <c r="J181" s="137"/>
      <c r="K181" s="51"/>
      <c r="L181" s="51"/>
      <c r="M181" s="51"/>
      <c r="N181" s="51"/>
      <c r="O181" s="51"/>
    </row>
    <row r="182" spans="2:16" ht="13.5" x14ac:dyDescent="0.25">
      <c r="B182" s="87" t="s">
        <v>604</v>
      </c>
      <c r="I182" s="51"/>
      <c r="J182" s="14"/>
      <c r="K182" s="51"/>
      <c r="L182" s="51"/>
      <c r="M182" s="51"/>
      <c r="N182" s="51"/>
      <c r="O182" s="51"/>
      <c r="P182" s="51"/>
    </row>
    <row r="183" spans="2:16" ht="7.5" customHeight="1" x14ac:dyDescent="0.2">
      <c r="B183" s="88"/>
      <c r="J183" s="14"/>
      <c r="K183" s="51"/>
      <c r="L183" s="51"/>
      <c r="M183" s="51"/>
      <c r="N183" s="51"/>
      <c r="O183" s="51"/>
    </row>
    <row r="184" spans="2:16" x14ac:dyDescent="0.2">
      <c r="B184" s="88" t="s">
        <v>608</v>
      </c>
      <c r="J184" s="14"/>
      <c r="K184" s="51"/>
      <c r="L184" s="51"/>
      <c r="M184" s="51"/>
      <c r="N184" s="51"/>
      <c r="O184" s="51"/>
    </row>
    <row r="185" spans="2:16" s="52" customFormat="1" x14ac:dyDescent="0.2">
      <c r="I185" s="107"/>
      <c r="J185" s="14"/>
      <c r="K185" s="51"/>
      <c r="L185" s="51"/>
      <c r="M185" s="51"/>
      <c r="N185" s="51"/>
      <c r="O185" s="53"/>
    </row>
    <row r="186" spans="2:16" s="52" customFormat="1" x14ac:dyDescent="0.2">
      <c r="B186" s="157" t="s">
        <v>551</v>
      </c>
      <c r="C186" s="158"/>
      <c r="D186" s="159"/>
      <c r="I186" s="107"/>
      <c r="J186" s="14"/>
      <c r="K186" s="51"/>
      <c r="L186" s="51"/>
      <c r="M186" s="51"/>
      <c r="N186" s="51"/>
      <c r="O186" s="53"/>
    </row>
    <row r="187" spans="2:16" s="52" customFormat="1" ht="51" x14ac:dyDescent="0.2">
      <c r="B187" s="149" t="s">
        <v>552</v>
      </c>
      <c r="C187" s="149"/>
      <c r="D187" s="54" t="s">
        <v>430</v>
      </c>
      <c r="I187" s="107"/>
      <c r="J187" s="14"/>
      <c r="K187" s="51"/>
      <c r="L187" s="51"/>
      <c r="M187" s="51"/>
      <c r="N187" s="51"/>
      <c r="O187" s="53"/>
    </row>
    <row r="188" spans="2:16" s="52" customFormat="1" x14ac:dyDescent="0.2">
      <c r="B188" s="145" t="s">
        <v>553</v>
      </c>
      <c r="C188" s="145"/>
      <c r="D188" s="55"/>
      <c r="I188" s="107"/>
      <c r="J188" s="14"/>
      <c r="K188" s="51"/>
      <c r="L188" s="51"/>
      <c r="M188" s="51"/>
      <c r="N188" s="51"/>
      <c r="O188" s="53"/>
    </row>
    <row r="189" spans="2:16" s="52" customFormat="1" x14ac:dyDescent="0.2">
      <c r="B189" s="145"/>
      <c r="C189" s="145"/>
      <c r="D189" s="56"/>
      <c r="I189" s="107"/>
      <c r="J189" s="14"/>
      <c r="K189" s="51"/>
      <c r="L189" s="51"/>
      <c r="M189" s="51"/>
      <c r="N189" s="51"/>
      <c r="O189" s="53"/>
    </row>
    <row r="190" spans="2:16" s="52" customFormat="1" x14ac:dyDescent="0.2">
      <c r="B190" s="145" t="s">
        <v>554</v>
      </c>
      <c r="C190" s="145"/>
      <c r="D190" s="57">
        <v>6.6726369824224649</v>
      </c>
      <c r="I190" s="107"/>
      <c r="J190" s="14"/>
      <c r="K190" s="51"/>
      <c r="L190" s="51"/>
      <c r="M190" s="51"/>
      <c r="N190" s="51"/>
      <c r="O190" s="53"/>
    </row>
    <row r="191" spans="2:16" s="52" customFormat="1" x14ac:dyDescent="0.2">
      <c r="B191" s="145"/>
      <c r="C191" s="145"/>
      <c r="D191" s="56"/>
      <c r="I191" s="107"/>
      <c r="J191" s="14"/>
      <c r="K191" s="51"/>
      <c r="L191" s="51"/>
      <c r="M191" s="51"/>
      <c r="N191" s="51"/>
      <c r="O191" s="53"/>
    </row>
    <row r="192" spans="2:16" s="52" customFormat="1" x14ac:dyDescent="0.2">
      <c r="B192" s="145" t="s">
        <v>555</v>
      </c>
      <c r="C192" s="145"/>
      <c r="D192" s="57">
        <v>0.49878075221483753</v>
      </c>
      <c r="I192" s="107"/>
      <c r="J192" s="14"/>
      <c r="K192" s="51"/>
      <c r="L192" s="51"/>
      <c r="M192" s="51"/>
      <c r="N192" s="51"/>
      <c r="O192" s="53"/>
    </row>
    <row r="193" spans="1:17" s="52" customFormat="1" x14ac:dyDescent="0.2">
      <c r="B193" s="145" t="s">
        <v>556</v>
      </c>
      <c r="C193" s="145"/>
      <c r="D193" s="57">
        <v>0.50577590504553471</v>
      </c>
      <c r="I193" s="107"/>
      <c r="J193" s="14"/>
      <c r="K193" s="51"/>
      <c r="L193" s="51"/>
      <c r="M193" s="51"/>
      <c r="N193" s="51"/>
      <c r="O193" s="53"/>
    </row>
    <row r="194" spans="1:17" s="52" customFormat="1" x14ac:dyDescent="0.2">
      <c r="B194" s="145"/>
      <c r="C194" s="145"/>
      <c r="D194" s="56"/>
      <c r="I194" s="107"/>
      <c r="J194" s="14"/>
      <c r="K194" s="51"/>
      <c r="L194" s="51"/>
      <c r="M194" s="51"/>
      <c r="N194" s="51"/>
      <c r="O194" s="53"/>
    </row>
    <row r="195" spans="1:17" s="52" customFormat="1" x14ac:dyDescent="0.2">
      <c r="B195" s="145" t="s">
        <v>557</v>
      </c>
      <c r="C195" s="145"/>
      <c r="D195" s="59" t="s">
        <v>680</v>
      </c>
      <c r="I195" s="107"/>
      <c r="J195" s="14"/>
      <c r="K195" s="51"/>
      <c r="L195" s="51"/>
      <c r="M195" s="51"/>
      <c r="N195" s="51"/>
      <c r="O195" s="53"/>
    </row>
    <row r="196" spans="1:17" s="52" customFormat="1" x14ac:dyDescent="0.2">
      <c r="B196" s="143" t="s">
        <v>558</v>
      </c>
      <c r="C196" s="146"/>
      <c r="D196" s="144"/>
      <c r="I196" s="107"/>
      <c r="J196" s="14"/>
      <c r="K196" s="51"/>
      <c r="L196" s="51"/>
      <c r="M196" s="51"/>
      <c r="N196" s="51"/>
      <c r="O196" s="53"/>
    </row>
    <row r="197" spans="1:17" s="52" customFormat="1" x14ac:dyDescent="0.2">
      <c r="B197" s="35"/>
      <c r="C197" s="35"/>
      <c r="D197" s="35"/>
      <c r="I197" s="107"/>
      <c r="J197" s="14"/>
      <c r="K197" s="51"/>
      <c r="L197" s="51"/>
      <c r="M197" s="51"/>
      <c r="N197" s="51"/>
      <c r="O197" s="53"/>
    </row>
    <row r="198" spans="1:17" s="52" customFormat="1" x14ac:dyDescent="0.2">
      <c r="A198"/>
      <c r="B198" s="61" t="s">
        <v>559</v>
      </c>
      <c r="C198"/>
      <c r="D198"/>
      <c r="E198"/>
      <c r="F198"/>
      <c r="G198"/>
      <c r="H198"/>
      <c r="I198" s="107"/>
      <c r="J198" s="14"/>
      <c r="K198" s="51"/>
      <c r="L198" s="51"/>
      <c r="M198" s="51"/>
      <c r="N198" s="51"/>
      <c r="O198" s="53"/>
      <c r="P198"/>
      <c r="Q198"/>
    </row>
    <row r="199" spans="1:17" x14ac:dyDescent="0.2">
      <c r="I199" s="107"/>
    </row>
    <row r="200" spans="1:17" ht="153.75" customHeight="1" x14ac:dyDescent="0.2">
      <c r="I200" s="107"/>
    </row>
    <row r="201" spans="1:17" ht="25.5" customHeight="1" x14ac:dyDescent="0.2">
      <c r="I201" s="107"/>
    </row>
    <row r="202" spans="1:17" x14ac:dyDescent="0.2">
      <c r="B202" s="62" t="s">
        <v>560</v>
      </c>
      <c r="C202" s="63"/>
      <c r="D202" s="62"/>
      <c r="I202" s="107"/>
    </row>
    <row r="203" spans="1:17" x14ac:dyDescent="0.2">
      <c r="B203" s="62" t="s">
        <v>647</v>
      </c>
      <c r="D203" s="62"/>
      <c r="I203" s="107"/>
    </row>
    <row r="204" spans="1:17" x14ac:dyDescent="0.2">
      <c r="I204" s="107"/>
    </row>
    <row r="205" spans="1:17" x14ac:dyDescent="0.2">
      <c r="I205" s="107"/>
    </row>
    <row r="206" spans="1:17" ht="165" customHeight="1" x14ac:dyDescent="0.2">
      <c r="I206" s="107"/>
    </row>
    <row r="207" spans="1:17" x14ac:dyDescent="0.2">
      <c r="I207" s="107"/>
    </row>
    <row r="208" spans="1:17" x14ac:dyDescent="0.2">
      <c r="I208" s="107"/>
      <c r="J208" s="14"/>
    </row>
    <row r="209" spans="9:9" x14ac:dyDescent="0.2">
      <c r="I209" s="107"/>
    </row>
    <row r="210" spans="9:9" x14ac:dyDescent="0.2">
      <c r="I210" s="107"/>
    </row>
    <row r="211" spans="9:9" x14ac:dyDescent="0.2">
      <c r="I211" s="107"/>
    </row>
    <row r="212" spans="9:9" x14ac:dyDescent="0.2">
      <c r="I212" s="107"/>
    </row>
    <row r="213" spans="9:9" x14ac:dyDescent="0.2">
      <c r="I213" s="107"/>
    </row>
  </sheetData>
  <mergeCells count="36">
    <mergeCell ref="B163:C163"/>
    <mergeCell ref="B167:C167"/>
    <mergeCell ref="B165:C165"/>
    <mergeCell ref="B166:C166"/>
    <mergeCell ref="B147:H147"/>
    <mergeCell ref="B150:D150"/>
    <mergeCell ref="B151:C151"/>
    <mergeCell ref="B152:C152"/>
    <mergeCell ref="B153:C153"/>
    <mergeCell ref="B148:H148"/>
    <mergeCell ref="A1:H1"/>
    <mergeCell ref="A3:H3"/>
    <mergeCell ref="A2:H2"/>
    <mergeCell ref="B145:H145"/>
    <mergeCell ref="B146:H146"/>
    <mergeCell ref="B176:B178"/>
    <mergeCell ref="C176:C178"/>
    <mergeCell ref="D176:F176"/>
    <mergeCell ref="G176:I176"/>
    <mergeCell ref="D177:D178"/>
    <mergeCell ref="E177:E178"/>
    <mergeCell ref="F177:F178"/>
    <mergeCell ref="G177:H177"/>
    <mergeCell ref="I177:I178"/>
    <mergeCell ref="B181:I181"/>
    <mergeCell ref="B186:D186"/>
    <mergeCell ref="B187:C187"/>
    <mergeCell ref="B188:C188"/>
    <mergeCell ref="B189:C189"/>
    <mergeCell ref="B195:C195"/>
    <mergeCell ref="B196:D196"/>
    <mergeCell ref="B190:C190"/>
    <mergeCell ref="B191:C191"/>
    <mergeCell ref="B192:C192"/>
    <mergeCell ref="B193:C193"/>
    <mergeCell ref="B194:C194"/>
  </mergeCells>
  <hyperlinks>
    <hyperlink ref="I1" location="Index!B2" display="Index" xr:uid="{F4CFF515-E2E7-47B4-88D0-A06B2BF44B2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B71FB-888A-47FB-8655-57145B502D80}">
  <sheetPr>
    <outlinePr summaryBelow="0" summaryRight="0"/>
  </sheetPr>
  <dimension ref="A1:Q150"/>
  <sheetViews>
    <sheetView showGridLines="0" workbookViewId="0">
      <selection sqref="A1:H1"/>
    </sheetView>
  </sheetViews>
  <sheetFormatPr defaultRowHeight="12.75" x14ac:dyDescent="0.2"/>
  <cols>
    <col min="1" max="1" width="5.85546875" bestFit="1" customWidth="1"/>
    <col min="2" max="2" width="21" customWidth="1"/>
    <col min="3" max="3" width="39.140625" bestFit="1" customWidth="1"/>
    <col min="4" max="4" width="11.42578125" bestFit="1" customWidth="1"/>
    <col min="5" max="5" width="8.7109375" bestFit="1" customWidth="1"/>
    <col min="6" max="6" width="10.140625" bestFit="1" customWidth="1"/>
    <col min="7" max="7" width="14" bestFit="1" customWidth="1"/>
    <col min="8" max="8" width="10.28515625" customWidth="1"/>
    <col min="9" max="9" width="5.7109375" bestFit="1" customWidth="1"/>
  </cols>
  <sheetData>
    <row r="1" spans="1:9" ht="15" x14ac:dyDescent="0.2">
      <c r="A1" s="147" t="s">
        <v>0</v>
      </c>
      <c r="B1" s="147"/>
      <c r="C1" s="147"/>
      <c r="D1" s="147"/>
      <c r="E1" s="147"/>
      <c r="F1" s="147"/>
      <c r="G1" s="147"/>
      <c r="H1" s="147"/>
      <c r="I1" s="1" t="s">
        <v>543</v>
      </c>
    </row>
    <row r="2" spans="1:9" ht="15" x14ac:dyDescent="0.2">
      <c r="A2" s="147" t="s">
        <v>473</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544</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25">
        <v>1</v>
      </c>
      <c r="B28" s="26" t="s">
        <v>252</v>
      </c>
      <c r="C28" s="26" t="s">
        <v>253</v>
      </c>
      <c r="D28" s="26" t="s">
        <v>249</v>
      </c>
      <c r="E28" s="27">
        <v>200</v>
      </c>
      <c r="F28" s="28">
        <v>200.9546</v>
      </c>
      <c r="G28" s="29">
        <v>4.7199209999999998E-2</v>
      </c>
      <c r="H28" s="17">
        <v>7.6950000000000003</v>
      </c>
    </row>
    <row r="29" spans="1:8" x14ac:dyDescent="0.2">
      <c r="A29" s="25">
        <v>2</v>
      </c>
      <c r="B29" s="26" t="s">
        <v>272</v>
      </c>
      <c r="C29" s="26" t="s">
        <v>273</v>
      </c>
      <c r="D29" s="26" t="s">
        <v>249</v>
      </c>
      <c r="E29" s="27">
        <v>150</v>
      </c>
      <c r="F29" s="28">
        <v>151.67609999999999</v>
      </c>
      <c r="G29" s="29">
        <v>3.5624929999999999E-2</v>
      </c>
      <c r="H29" s="17">
        <v>8.1449999999999996</v>
      </c>
    </row>
    <row r="30" spans="1:8" x14ac:dyDescent="0.2">
      <c r="A30" s="25">
        <v>3</v>
      </c>
      <c r="B30" s="26" t="s">
        <v>263</v>
      </c>
      <c r="C30" s="26" t="s">
        <v>264</v>
      </c>
      <c r="D30" s="26" t="s">
        <v>32</v>
      </c>
      <c r="E30" s="27">
        <v>100</v>
      </c>
      <c r="F30" s="28">
        <v>101.3154</v>
      </c>
      <c r="G30" s="29">
        <v>2.3796459999999998E-2</v>
      </c>
      <c r="H30" s="17">
        <v>7.2050000000000001</v>
      </c>
    </row>
    <row r="31" spans="1:8" x14ac:dyDescent="0.2">
      <c r="A31" s="25">
        <v>4</v>
      </c>
      <c r="B31" s="26" t="s">
        <v>244</v>
      </c>
      <c r="C31" s="26" t="s">
        <v>245</v>
      </c>
      <c r="D31" s="26" t="s">
        <v>246</v>
      </c>
      <c r="E31" s="27">
        <v>100</v>
      </c>
      <c r="F31" s="28">
        <v>101.3032</v>
      </c>
      <c r="G31" s="29">
        <v>2.379359E-2</v>
      </c>
      <c r="H31" s="17">
        <v>7.0949999999999998</v>
      </c>
    </row>
    <row r="32" spans="1:8" x14ac:dyDescent="0.2">
      <c r="A32" s="25">
        <v>5</v>
      </c>
      <c r="B32" s="26" t="s">
        <v>265</v>
      </c>
      <c r="C32" s="26" t="s">
        <v>266</v>
      </c>
      <c r="D32" s="26" t="s">
        <v>249</v>
      </c>
      <c r="E32" s="27">
        <v>100</v>
      </c>
      <c r="F32" s="28">
        <v>101.15479999999999</v>
      </c>
      <c r="G32" s="29">
        <v>2.375874E-2</v>
      </c>
      <c r="H32" s="17">
        <v>7.335</v>
      </c>
    </row>
    <row r="33" spans="1:8" x14ac:dyDescent="0.2">
      <c r="A33" s="18"/>
      <c r="B33" s="18"/>
      <c r="C33" s="19" t="s">
        <v>11</v>
      </c>
      <c r="D33" s="18"/>
      <c r="E33" s="18" t="s">
        <v>12</v>
      </c>
      <c r="F33" s="24">
        <v>656.40409999999997</v>
      </c>
      <c r="G33" s="21">
        <v>0.15417293000000001</v>
      </c>
      <c r="H33" s="17" t="s">
        <v>12</v>
      </c>
    </row>
    <row r="34" spans="1:8" x14ac:dyDescent="0.2">
      <c r="A34" s="18"/>
      <c r="B34" s="18"/>
      <c r="C34" s="22"/>
      <c r="D34" s="18"/>
      <c r="E34" s="18"/>
      <c r="F34" s="23"/>
      <c r="G34" s="23"/>
      <c r="H34" s="17" t="s">
        <v>12</v>
      </c>
    </row>
    <row r="35" spans="1:8" x14ac:dyDescent="0.2">
      <c r="A35" s="18"/>
      <c r="B35" s="18"/>
      <c r="C35" s="19" t="s">
        <v>73</v>
      </c>
      <c r="D35" s="18"/>
      <c r="E35" s="18"/>
      <c r="F35" s="18"/>
      <c r="G35" s="18"/>
      <c r="H35" s="17" t="s">
        <v>12</v>
      </c>
    </row>
    <row r="36" spans="1:8" x14ac:dyDescent="0.2">
      <c r="A36" s="18"/>
      <c r="B36" s="18"/>
      <c r="C36" s="19" t="s">
        <v>11</v>
      </c>
      <c r="D36" s="18"/>
      <c r="E36" s="18" t="s">
        <v>12</v>
      </c>
      <c r="F36" s="20" t="s">
        <v>13</v>
      </c>
      <c r="G36" s="21">
        <v>0</v>
      </c>
      <c r="H36" s="17" t="s">
        <v>12</v>
      </c>
    </row>
    <row r="37" spans="1:8" x14ac:dyDescent="0.2">
      <c r="A37" s="18"/>
      <c r="B37" s="18"/>
      <c r="C37" s="22"/>
      <c r="D37" s="18"/>
      <c r="E37" s="18"/>
      <c r="F37" s="23"/>
      <c r="G37" s="23"/>
      <c r="H37" s="17" t="s">
        <v>12</v>
      </c>
    </row>
    <row r="38" spans="1:8" x14ac:dyDescent="0.2">
      <c r="A38" s="18"/>
      <c r="B38" s="18"/>
      <c r="C38" s="19" t="s">
        <v>74</v>
      </c>
      <c r="D38" s="18"/>
      <c r="E38" s="18"/>
      <c r="F38" s="18"/>
      <c r="G38" s="18"/>
      <c r="H38" s="17" t="s">
        <v>12</v>
      </c>
    </row>
    <row r="39" spans="1:8" ht="25.5" x14ac:dyDescent="0.2">
      <c r="A39" s="25">
        <v>1</v>
      </c>
      <c r="B39" s="26" t="s">
        <v>92</v>
      </c>
      <c r="C39" s="26" t="s">
        <v>93</v>
      </c>
      <c r="D39" s="26" t="s">
        <v>77</v>
      </c>
      <c r="E39" s="27">
        <v>1500000</v>
      </c>
      <c r="F39" s="28">
        <v>1580.3789999999999</v>
      </c>
      <c r="G39" s="29">
        <v>0.37119152999999999</v>
      </c>
      <c r="H39" s="17">
        <v>6.4016999999999999</v>
      </c>
    </row>
    <row r="40" spans="1:8" x14ac:dyDescent="0.2">
      <c r="A40" s="25">
        <v>2</v>
      </c>
      <c r="B40" s="26" t="s">
        <v>88</v>
      </c>
      <c r="C40" s="26" t="s">
        <v>89</v>
      </c>
      <c r="D40" s="26" t="s">
        <v>77</v>
      </c>
      <c r="E40" s="27">
        <v>500000</v>
      </c>
      <c r="F40" s="28">
        <v>521.94050000000004</v>
      </c>
      <c r="G40" s="29">
        <v>0.12259078</v>
      </c>
      <c r="H40" s="17">
        <v>6.0255999999999998</v>
      </c>
    </row>
    <row r="41" spans="1:8" ht="25.5" x14ac:dyDescent="0.2">
      <c r="A41" s="25">
        <v>3</v>
      </c>
      <c r="B41" s="26" t="s">
        <v>474</v>
      </c>
      <c r="C41" s="26" t="s">
        <v>475</v>
      </c>
      <c r="D41" s="26" t="s">
        <v>77</v>
      </c>
      <c r="E41" s="27">
        <v>500000</v>
      </c>
      <c r="F41" s="28">
        <v>499.15</v>
      </c>
      <c r="G41" s="29">
        <v>0.11723786</v>
      </c>
      <c r="H41" s="17">
        <v>5.9459999999999997</v>
      </c>
    </row>
    <row r="42" spans="1:8" ht="25.5" x14ac:dyDescent="0.2">
      <c r="A42" s="25">
        <v>4</v>
      </c>
      <c r="B42" s="26" t="s">
        <v>428</v>
      </c>
      <c r="C42" s="26" t="s">
        <v>429</v>
      </c>
      <c r="D42" s="26" t="s">
        <v>77</v>
      </c>
      <c r="E42" s="27">
        <v>230000</v>
      </c>
      <c r="F42" s="28">
        <v>241.54255000000001</v>
      </c>
      <c r="G42" s="29">
        <v>5.6732310000000001E-2</v>
      </c>
      <c r="H42" s="17">
        <v>6.7889999999999997</v>
      </c>
    </row>
    <row r="43" spans="1:8" ht="25.5" x14ac:dyDescent="0.2">
      <c r="A43" s="25">
        <v>5</v>
      </c>
      <c r="B43" s="26" t="s">
        <v>274</v>
      </c>
      <c r="C43" s="26" t="s">
        <v>275</v>
      </c>
      <c r="D43" s="26" t="s">
        <v>77</v>
      </c>
      <c r="E43" s="27">
        <v>100000</v>
      </c>
      <c r="F43" s="28">
        <v>103.8327</v>
      </c>
      <c r="G43" s="29">
        <v>2.438771E-2</v>
      </c>
      <c r="H43" s="17">
        <v>6.0477999999999996</v>
      </c>
    </row>
    <row r="44" spans="1:8" x14ac:dyDescent="0.2">
      <c r="A44" s="18"/>
      <c r="B44" s="18"/>
      <c r="C44" s="19" t="s">
        <v>11</v>
      </c>
      <c r="D44" s="18"/>
      <c r="E44" s="18" t="s">
        <v>12</v>
      </c>
      <c r="F44" s="24">
        <v>2946.8447500000002</v>
      </c>
      <c r="G44" s="21">
        <v>0.69214019000000004</v>
      </c>
      <c r="H44" s="17" t="s">
        <v>12</v>
      </c>
    </row>
    <row r="45" spans="1:8" x14ac:dyDescent="0.2">
      <c r="A45" s="18"/>
      <c r="B45" s="18"/>
      <c r="C45" s="22"/>
      <c r="D45" s="18"/>
      <c r="E45" s="18"/>
      <c r="F45" s="23"/>
      <c r="G45" s="23"/>
      <c r="H45" s="17" t="s">
        <v>12</v>
      </c>
    </row>
    <row r="46" spans="1:8" x14ac:dyDescent="0.2">
      <c r="A46" s="18"/>
      <c r="B46" s="18"/>
      <c r="C46" s="19" t="s">
        <v>94</v>
      </c>
      <c r="D46" s="18"/>
      <c r="E46" s="18"/>
      <c r="F46" s="23"/>
      <c r="G46" s="23"/>
      <c r="H46" s="17" t="s">
        <v>12</v>
      </c>
    </row>
    <row r="47" spans="1:8" x14ac:dyDescent="0.2">
      <c r="A47" s="18"/>
      <c r="B47" s="18"/>
      <c r="C47" s="19" t="s">
        <v>11</v>
      </c>
      <c r="D47" s="18"/>
      <c r="E47" s="18" t="s">
        <v>12</v>
      </c>
      <c r="F47" s="20" t="s">
        <v>13</v>
      </c>
      <c r="G47" s="21">
        <v>0</v>
      </c>
      <c r="H47" s="17" t="s">
        <v>12</v>
      </c>
    </row>
    <row r="48" spans="1:8" x14ac:dyDescent="0.2">
      <c r="A48" s="18"/>
      <c r="B48" s="18"/>
      <c r="C48" s="22"/>
      <c r="D48" s="18"/>
      <c r="E48" s="18"/>
      <c r="F48" s="23"/>
      <c r="G48" s="23"/>
      <c r="H48" s="17" t="s">
        <v>12</v>
      </c>
    </row>
    <row r="49" spans="1:8" x14ac:dyDescent="0.2">
      <c r="A49" s="18"/>
      <c r="B49" s="18"/>
      <c r="C49" s="19" t="s">
        <v>95</v>
      </c>
      <c r="D49" s="18"/>
      <c r="E49" s="18"/>
      <c r="F49" s="24">
        <v>3603.2488499999999</v>
      </c>
      <c r="G49" s="21">
        <v>0.84631312000000003</v>
      </c>
      <c r="H49" s="17" t="s">
        <v>12</v>
      </c>
    </row>
    <row r="50" spans="1:8" x14ac:dyDescent="0.2">
      <c r="A50" s="18"/>
      <c r="B50" s="18"/>
      <c r="C50" s="22"/>
      <c r="D50" s="18"/>
      <c r="E50" s="18"/>
      <c r="F50" s="23"/>
      <c r="G50" s="23"/>
      <c r="H50" s="17" t="s">
        <v>12</v>
      </c>
    </row>
    <row r="51" spans="1:8" x14ac:dyDescent="0.2">
      <c r="A51" s="18"/>
      <c r="B51" s="18"/>
      <c r="C51" s="19" t="s">
        <v>96</v>
      </c>
      <c r="D51" s="18"/>
      <c r="E51" s="18"/>
      <c r="F51" s="23"/>
      <c r="G51" s="23"/>
      <c r="H51" s="17" t="s">
        <v>12</v>
      </c>
    </row>
    <row r="52" spans="1:8" x14ac:dyDescent="0.2">
      <c r="A52" s="18"/>
      <c r="B52" s="18"/>
      <c r="C52" s="19" t="s">
        <v>97</v>
      </c>
      <c r="D52" s="18"/>
      <c r="E52" s="18"/>
      <c r="F52" s="23"/>
      <c r="G52" s="23"/>
      <c r="H52" s="17" t="s">
        <v>12</v>
      </c>
    </row>
    <row r="53" spans="1:8" x14ac:dyDescent="0.2">
      <c r="A53" s="18"/>
      <c r="B53" s="18"/>
      <c r="C53" s="19" t="s">
        <v>11</v>
      </c>
      <c r="D53" s="18"/>
      <c r="E53" s="18" t="s">
        <v>12</v>
      </c>
      <c r="F53" s="20" t="s">
        <v>13</v>
      </c>
      <c r="G53" s="21">
        <v>0</v>
      </c>
      <c r="H53" s="17" t="s">
        <v>12</v>
      </c>
    </row>
    <row r="54" spans="1:8" x14ac:dyDescent="0.2">
      <c r="A54" s="18"/>
      <c r="B54" s="18"/>
      <c r="C54" s="22"/>
      <c r="D54" s="18"/>
      <c r="E54" s="18"/>
      <c r="F54" s="23"/>
      <c r="G54" s="23"/>
      <c r="H54" s="17" t="s">
        <v>12</v>
      </c>
    </row>
    <row r="55" spans="1:8" x14ac:dyDescent="0.2">
      <c r="A55" s="18"/>
      <c r="B55" s="18"/>
      <c r="C55" s="19" t="s">
        <v>98</v>
      </c>
      <c r="D55" s="18"/>
      <c r="E55" s="18"/>
      <c r="F55" s="23"/>
      <c r="G55" s="23"/>
      <c r="H55" s="17" t="s">
        <v>12</v>
      </c>
    </row>
    <row r="56" spans="1:8" x14ac:dyDescent="0.2">
      <c r="A56" s="18"/>
      <c r="B56" s="18"/>
      <c r="C56" s="19" t="s">
        <v>11</v>
      </c>
      <c r="D56" s="18"/>
      <c r="E56" s="18" t="s">
        <v>12</v>
      </c>
      <c r="F56" s="20" t="s">
        <v>13</v>
      </c>
      <c r="G56" s="21">
        <v>0</v>
      </c>
      <c r="H56" s="17" t="s">
        <v>12</v>
      </c>
    </row>
    <row r="57" spans="1:8" x14ac:dyDescent="0.2">
      <c r="A57" s="18"/>
      <c r="B57" s="18"/>
      <c r="C57" s="22"/>
      <c r="D57" s="18"/>
      <c r="E57" s="18"/>
      <c r="F57" s="23"/>
      <c r="G57" s="23"/>
      <c r="H57" s="17" t="s">
        <v>12</v>
      </c>
    </row>
    <row r="58" spans="1:8" x14ac:dyDescent="0.2">
      <c r="A58" s="18"/>
      <c r="B58" s="18"/>
      <c r="C58" s="19" t="s">
        <v>99</v>
      </c>
      <c r="D58" s="18"/>
      <c r="E58" s="18"/>
      <c r="F58" s="23"/>
      <c r="G58" s="23"/>
      <c r="H58" s="17" t="s">
        <v>12</v>
      </c>
    </row>
    <row r="59" spans="1:8" x14ac:dyDescent="0.2">
      <c r="A59" s="18"/>
      <c r="B59" s="18"/>
      <c r="C59" s="19" t="s">
        <v>11</v>
      </c>
      <c r="D59" s="18"/>
      <c r="E59" s="18" t="s">
        <v>12</v>
      </c>
      <c r="F59" s="20" t="s">
        <v>13</v>
      </c>
      <c r="G59" s="21">
        <v>0</v>
      </c>
      <c r="H59" s="17" t="s">
        <v>12</v>
      </c>
    </row>
    <row r="60" spans="1:8" x14ac:dyDescent="0.2">
      <c r="A60" s="18"/>
      <c r="B60" s="18"/>
      <c r="C60" s="22"/>
      <c r="D60" s="18"/>
      <c r="E60" s="18"/>
      <c r="F60" s="23"/>
      <c r="G60" s="23"/>
      <c r="H60" s="17" t="s">
        <v>12</v>
      </c>
    </row>
    <row r="61" spans="1:8" x14ac:dyDescent="0.2">
      <c r="A61" s="18"/>
      <c r="B61" s="18"/>
      <c r="C61" s="19" t="s">
        <v>100</v>
      </c>
      <c r="D61" s="18"/>
      <c r="E61" s="18"/>
      <c r="F61" s="23"/>
      <c r="G61" s="23"/>
      <c r="H61" s="17" t="s">
        <v>12</v>
      </c>
    </row>
    <row r="62" spans="1:8" x14ac:dyDescent="0.2">
      <c r="A62" s="25">
        <v>1</v>
      </c>
      <c r="B62" s="26"/>
      <c r="C62" s="26" t="s">
        <v>101</v>
      </c>
      <c r="D62" s="26"/>
      <c r="E62" s="30"/>
      <c r="F62" s="28">
        <v>597.21218600099996</v>
      </c>
      <c r="G62" s="29">
        <v>0.14027022</v>
      </c>
      <c r="H62" s="17">
        <v>5.69</v>
      </c>
    </row>
    <row r="63" spans="1:8" x14ac:dyDescent="0.2">
      <c r="A63" s="18"/>
      <c r="B63" s="18"/>
      <c r="C63" s="19" t="s">
        <v>11</v>
      </c>
      <c r="D63" s="18"/>
      <c r="E63" s="18" t="s">
        <v>12</v>
      </c>
      <c r="F63" s="24">
        <v>597.21218600099996</v>
      </c>
      <c r="G63" s="21">
        <v>0.14027022</v>
      </c>
      <c r="H63" s="17" t="s">
        <v>12</v>
      </c>
    </row>
    <row r="64" spans="1:8" x14ac:dyDescent="0.2">
      <c r="A64" s="18"/>
      <c r="B64" s="18"/>
      <c r="C64" s="22"/>
      <c r="D64" s="18"/>
      <c r="E64" s="18"/>
      <c r="F64" s="23"/>
      <c r="G64" s="23"/>
      <c r="H64" s="17" t="s">
        <v>12</v>
      </c>
    </row>
    <row r="65" spans="1:17" x14ac:dyDescent="0.2">
      <c r="A65" s="18"/>
      <c r="B65" s="18"/>
      <c r="C65" s="19" t="s">
        <v>102</v>
      </c>
      <c r="D65" s="18"/>
      <c r="E65" s="18"/>
      <c r="F65" s="24">
        <v>597.21218600099996</v>
      </c>
      <c r="G65" s="21">
        <v>0.14027022</v>
      </c>
      <c r="H65" s="17" t="s">
        <v>12</v>
      </c>
    </row>
    <row r="66" spans="1:17" x14ac:dyDescent="0.2">
      <c r="A66" s="18"/>
      <c r="B66" s="18"/>
      <c r="C66" s="23"/>
      <c r="D66" s="18"/>
      <c r="E66" s="18"/>
      <c r="F66" s="18"/>
      <c r="G66" s="18"/>
      <c r="H66" s="17" t="s">
        <v>12</v>
      </c>
    </row>
    <row r="67" spans="1:17" x14ac:dyDescent="0.2">
      <c r="A67" s="18"/>
      <c r="B67" s="18"/>
      <c r="C67" s="19" t="s">
        <v>103</v>
      </c>
      <c r="D67" s="18"/>
      <c r="E67" s="18"/>
      <c r="F67" s="18"/>
      <c r="G67" s="18"/>
      <c r="H67" s="17" t="s">
        <v>12</v>
      </c>
    </row>
    <row r="68" spans="1:17" x14ac:dyDescent="0.2">
      <c r="A68" s="18"/>
      <c r="B68" s="18"/>
      <c r="C68" s="19" t="s">
        <v>104</v>
      </c>
      <c r="D68" s="18"/>
      <c r="E68" s="18"/>
      <c r="F68" s="18"/>
      <c r="G68" s="18"/>
      <c r="H68" s="17" t="s">
        <v>12</v>
      </c>
    </row>
    <row r="69" spans="1:17" x14ac:dyDescent="0.2">
      <c r="A69" s="18"/>
      <c r="B69" s="18"/>
      <c r="C69" s="19" t="s">
        <v>11</v>
      </c>
      <c r="D69" s="18"/>
      <c r="E69" s="18" t="s">
        <v>12</v>
      </c>
      <c r="F69" s="20" t="s">
        <v>13</v>
      </c>
      <c r="G69" s="21">
        <v>0</v>
      </c>
      <c r="H69" s="17" t="s">
        <v>12</v>
      </c>
    </row>
    <row r="70" spans="1:17" x14ac:dyDescent="0.2">
      <c r="A70" s="15"/>
      <c r="B70" s="15"/>
      <c r="C70" s="70"/>
      <c r="D70" s="15"/>
      <c r="E70" s="15"/>
      <c r="F70" s="40"/>
      <c r="G70" s="40"/>
      <c r="H70" s="71" t="s">
        <v>12</v>
      </c>
    </row>
    <row r="71" spans="1:17" x14ac:dyDescent="0.2">
      <c r="A71" s="15"/>
      <c r="B71" s="15"/>
      <c r="C71" s="16" t="s">
        <v>549</v>
      </c>
      <c r="D71" s="15"/>
      <c r="E71" s="15"/>
      <c r="F71" s="40"/>
      <c r="G71" s="40"/>
      <c r="H71" s="67"/>
      <c r="K71" s="51"/>
      <c r="L71" s="51"/>
      <c r="M71" s="51"/>
      <c r="N71" s="51"/>
      <c r="O71" s="72"/>
      <c r="P71" s="72"/>
      <c r="Q71" s="72"/>
    </row>
    <row r="72" spans="1:17" ht="25.5" x14ac:dyDescent="0.2">
      <c r="A72" s="64">
        <v>1</v>
      </c>
      <c r="B72" s="65" t="s">
        <v>105</v>
      </c>
      <c r="C72" s="65" t="s">
        <v>106</v>
      </c>
      <c r="D72" s="65"/>
      <c r="E72" s="73">
        <v>112.994</v>
      </c>
      <c r="F72" s="67">
        <v>12.600669751</v>
      </c>
      <c r="G72" s="68">
        <v>2.9595799999999998E-3</v>
      </c>
      <c r="H72" s="71"/>
    </row>
    <row r="73" spans="1:17" x14ac:dyDescent="0.2">
      <c r="A73" s="15"/>
      <c r="B73" s="15"/>
      <c r="C73" s="16" t="s">
        <v>11</v>
      </c>
      <c r="D73" s="15"/>
      <c r="E73" s="15" t="s">
        <v>12</v>
      </c>
      <c r="F73" s="74">
        <f>SUM(F72)</f>
        <v>12.600669751</v>
      </c>
      <c r="G73" s="75">
        <f>SUM(G72)</f>
        <v>2.9595799999999998E-3</v>
      </c>
      <c r="H73" s="71" t="s">
        <v>12</v>
      </c>
    </row>
    <row r="74" spans="1:17" x14ac:dyDescent="0.2">
      <c r="A74" s="18"/>
      <c r="B74" s="18"/>
      <c r="C74" s="22"/>
      <c r="D74" s="18"/>
      <c r="E74" s="18"/>
      <c r="F74" s="23"/>
      <c r="G74" s="23"/>
      <c r="H74" s="17" t="s">
        <v>12</v>
      </c>
    </row>
    <row r="75" spans="1:17" x14ac:dyDescent="0.2">
      <c r="A75" s="18"/>
      <c r="B75" s="18"/>
      <c r="C75" s="19" t="s">
        <v>107</v>
      </c>
      <c r="D75" s="18"/>
      <c r="E75" s="18"/>
      <c r="F75" s="18"/>
      <c r="G75" s="18"/>
      <c r="H75" s="17" t="s">
        <v>12</v>
      </c>
    </row>
    <row r="76" spans="1:17" x14ac:dyDescent="0.2">
      <c r="A76" s="18"/>
      <c r="B76" s="18"/>
      <c r="C76" s="19" t="s">
        <v>108</v>
      </c>
      <c r="D76" s="18"/>
      <c r="E76" s="18"/>
      <c r="F76" s="18"/>
      <c r="G76" s="18"/>
      <c r="H76" s="17" t="s">
        <v>12</v>
      </c>
    </row>
    <row r="77" spans="1:17" x14ac:dyDescent="0.2">
      <c r="A77" s="18"/>
      <c r="B77" s="18"/>
      <c r="C77" s="19" t="s">
        <v>11</v>
      </c>
      <c r="D77" s="18"/>
      <c r="E77" s="18" t="s">
        <v>12</v>
      </c>
      <c r="F77" s="20" t="s">
        <v>13</v>
      </c>
      <c r="G77" s="21">
        <v>0</v>
      </c>
      <c r="H77" s="17" t="s">
        <v>12</v>
      </c>
    </row>
    <row r="78" spans="1:17" x14ac:dyDescent="0.2">
      <c r="A78" s="18"/>
      <c r="B78" s="18"/>
      <c r="C78" s="22"/>
      <c r="D78" s="18"/>
      <c r="E78" s="18"/>
      <c r="F78" s="23"/>
      <c r="G78" s="23"/>
      <c r="H78" s="17" t="s">
        <v>12</v>
      </c>
    </row>
    <row r="79" spans="1:17" x14ac:dyDescent="0.2">
      <c r="A79" s="18"/>
      <c r="B79" s="18"/>
      <c r="C79" s="19" t="s">
        <v>109</v>
      </c>
      <c r="D79" s="18"/>
      <c r="E79" s="18"/>
      <c r="F79" s="23"/>
      <c r="G79" s="23"/>
      <c r="H79" s="17" t="s">
        <v>12</v>
      </c>
    </row>
    <row r="80" spans="1:17" x14ac:dyDescent="0.2">
      <c r="A80" s="18"/>
      <c r="B80" s="18"/>
      <c r="C80" s="19" t="s">
        <v>11</v>
      </c>
      <c r="D80" s="18"/>
      <c r="E80" s="18" t="s">
        <v>12</v>
      </c>
      <c r="F80" s="20" t="s">
        <v>13</v>
      </c>
      <c r="G80" s="21">
        <v>0</v>
      </c>
      <c r="H80" s="17" t="s">
        <v>12</v>
      </c>
    </row>
    <row r="81" spans="1:8" x14ac:dyDescent="0.2">
      <c r="A81" s="18"/>
      <c r="B81" s="18"/>
      <c r="C81" s="22"/>
      <c r="D81" s="18"/>
      <c r="E81" s="18"/>
      <c r="F81" s="23"/>
      <c r="G81" s="23"/>
      <c r="H81" s="17" t="s">
        <v>12</v>
      </c>
    </row>
    <row r="82" spans="1:8" x14ac:dyDescent="0.2">
      <c r="A82" s="30"/>
      <c r="B82" s="26"/>
      <c r="C82" s="26" t="s">
        <v>110</v>
      </c>
      <c r="D82" s="26"/>
      <c r="E82" s="30"/>
      <c r="F82" s="28">
        <f>44.52195155+0.000598537999987602</f>
        <v>44.522550087999981</v>
      </c>
      <c r="G82" s="29">
        <v>1.045709E-2</v>
      </c>
      <c r="H82" s="17" t="s">
        <v>12</v>
      </c>
    </row>
    <row r="83" spans="1:8" x14ac:dyDescent="0.2">
      <c r="A83" s="22"/>
      <c r="B83" s="22"/>
      <c r="C83" s="19" t="s">
        <v>111</v>
      </c>
      <c r="D83" s="23"/>
      <c r="E83" s="23"/>
      <c r="F83" s="24">
        <f>4257.583657302+0.000598537999987602</f>
        <v>4257.58425584</v>
      </c>
      <c r="G83" s="31">
        <v>1.0000000099999999</v>
      </c>
      <c r="H83" s="17" t="s">
        <v>12</v>
      </c>
    </row>
    <row r="84" spans="1:8" x14ac:dyDescent="0.2">
      <c r="A84" s="32"/>
      <c r="B84" s="32"/>
      <c r="C84" s="32"/>
      <c r="D84" s="33"/>
      <c r="E84" s="33"/>
      <c r="F84" s="33"/>
      <c r="G84" s="33"/>
    </row>
    <row r="85" spans="1:8" x14ac:dyDescent="0.2">
      <c r="A85" s="34"/>
      <c r="B85" s="148" t="s">
        <v>545</v>
      </c>
      <c r="C85" s="148"/>
      <c r="D85" s="148"/>
      <c r="E85" s="148"/>
      <c r="F85" s="148"/>
      <c r="G85" s="148"/>
      <c r="H85" s="148"/>
    </row>
    <row r="86" spans="1:8" x14ac:dyDescent="0.2">
      <c r="A86" s="34"/>
      <c r="B86" s="148" t="s">
        <v>546</v>
      </c>
      <c r="C86" s="148"/>
      <c r="D86" s="148"/>
      <c r="E86" s="148"/>
      <c r="F86" s="148"/>
      <c r="G86" s="148"/>
      <c r="H86" s="148"/>
    </row>
    <row r="87" spans="1:8" x14ac:dyDescent="0.2">
      <c r="A87" s="34"/>
      <c r="B87" s="148" t="s">
        <v>547</v>
      </c>
      <c r="C87" s="148"/>
      <c r="D87" s="148"/>
      <c r="E87" s="148"/>
      <c r="F87" s="148"/>
      <c r="G87" s="148"/>
      <c r="H87" s="148"/>
    </row>
    <row r="88" spans="1:8" x14ac:dyDescent="0.2">
      <c r="A88" s="36"/>
      <c r="B88" s="36"/>
      <c r="C88" s="36"/>
      <c r="D88" s="37"/>
      <c r="E88" s="37"/>
      <c r="F88" s="37"/>
      <c r="G88" s="37"/>
    </row>
    <row r="89" spans="1:8" x14ac:dyDescent="0.2">
      <c r="A89" s="34"/>
      <c r="B89" s="150" t="s">
        <v>112</v>
      </c>
      <c r="C89" s="151"/>
      <c r="D89" s="152"/>
      <c r="E89" s="38"/>
      <c r="F89" s="39"/>
      <c r="G89" s="39"/>
    </row>
    <row r="90" spans="1:8" x14ac:dyDescent="0.2">
      <c r="A90" s="34"/>
      <c r="B90" s="153" t="s">
        <v>113</v>
      </c>
      <c r="C90" s="154"/>
      <c r="D90" s="16" t="s">
        <v>114</v>
      </c>
      <c r="E90" s="38"/>
      <c r="F90" s="39"/>
      <c r="G90" s="39"/>
    </row>
    <row r="91" spans="1:8" x14ac:dyDescent="0.2">
      <c r="A91" s="34"/>
      <c r="B91" s="153" t="s">
        <v>115</v>
      </c>
      <c r="C91" s="154"/>
      <c r="D91" s="16" t="s">
        <v>114</v>
      </c>
      <c r="E91" s="38"/>
      <c r="F91" s="39"/>
      <c r="G91" s="39"/>
    </row>
    <row r="92" spans="1:8" x14ac:dyDescent="0.2">
      <c r="A92" s="34"/>
      <c r="B92" s="153" t="s">
        <v>116</v>
      </c>
      <c r="C92" s="154"/>
      <c r="D92" s="40" t="s">
        <v>12</v>
      </c>
      <c r="E92" s="38"/>
      <c r="F92" s="39"/>
      <c r="G92" s="39"/>
    </row>
    <row r="93" spans="1:8" x14ac:dyDescent="0.2">
      <c r="A93" s="41"/>
      <c r="B93" s="42" t="s">
        <v>12</v>
      </c>
      <c r="C93" s="42" t="s">
        <v>548</v>
      </c>
      <c r="D93" s="42" t="s">
        <v>117</v>
      </c>
      <c r="E93" s="41"/>
      <c r="F93" s="41"/>
      <c r="G93" s="41"/>
    </row>
    <row r="94" spans="1:8" x14ac:dyDescent="0.2">
      <c r="A94" s="41"/>
      <c r="B94" s="43" t="s">
        <v>118</v>
      </c>
      <c r="C94" s="44">
        <v>45777</v>
      </c>
      <c r="D94" s="44">
        <v>45792</v>
      </c>
      <c r="E94" s="41"/>
      <c r="F94" s="41"/>
      <c r="G94" s="41"/>
    </row>
    <row r="95" spans="1:8" x14ac:dyDescent="0.2">
      <c r="A95" s="45"/>
      <c r="B95" s="26" t="s">
        <v>119</v>
      </c>
      <c r="C95" s="46">
        <v>76.662099999999995</v>
      </c>
      <c r="D95" s="46">
        <v>77.021100000000004</v>
      </c>
      <c r="E95" s="45"/>
      <c r="F95" s="47"/>
      <c r="G95" s="48"/>
    </row>
    <row r="96" spans="1:8" ht="25.5" x14ac:dyDescent="0.2">
      <c r="A96" s="45"/>
      <c r="B96" s="26" t="s">
        <v>674</v>
      </c>
      <c r="C96" s="46">
        <v>27.362500000000001</v>
      </c>
      <c r="D96" s="46">
        <v>27.490600000000001</v>
      </c>
      <c r="E96" s="45"/>
      <c r="F96" s="47"/>
      <c r="G96" s="48"/>
    </row>
    <row r="97" spans="1:14" ht="25.5" x14ac:dyDescent="0.2">
      <c r="A97" s="45"/>
      <c r="B97" s="26" t="s">
        <v>676</v>
      </c>
      <c r="C97" s="46">
        <v>15.4894</v>
      </c>
      <c r="D97" s="46">
        <v>15.5619</v>
      </c>
      <c r="E97" s="45"/>
      <c r="F97" s="47"/>
      <c r="G97" s="48"/>
    </row>
    <row r="98" spans="1:14" x14ac:dyDescent="0.2">
      <c r="A98" s="45"/>
      <c r="B98" s="26" t="s">
        <v>120</v>
      </c>
      <c r="C98" s="46">
        <v>68.741200000000006</v>
      </c>
      <c r="D98" s="46">
        <v>69.042100000000005</v>
      </c>
      <c r="E98" s="45"/>
      <c r="F98" s="47"/>
      <c r="G98" s="48"/>
    </row>
    <row r="99" spans="1:14" x14ac:dyDescent="0.2">
      <c r="A99" s="45"/>
      <c r="B99" s="26" t="s">
        <v>160</v>
      </c>
      <c r="C99" s="46">
        <v>23.478899999999999</v>
      </c>
      <c r="D99" s="46">
        <v>23.581600000000002</v>
      </c>
      <c r="E99" s="45"/>
      <c r="F99" s="47"/>
      <c r="G99" s="48"/>
    </row>
    <row r="100" spans="1:14" ht="25.5" x14ac:dyDescent="0.2">
      <c r="A100" s="45"/>
      <c r="B100" s="65" t="s">
        <v>648</v>
      </c>
      <c r="C100" s="46">
        <v>13.469099999999999</v>
      </c>
      <c r="D100" s="46">
        <v>13.528</v>
      </c>
      <c r="E100" s="45"/>
      <c r="F100" s="47"/>
      <c r="G100" s="48"/>
    </row>
    <row r="101" spans="1:14" ht="25.5" x14ac:dyDescent="0.2">
      <c r="A101" s="45"/>
      <c r="B101" s="26" t="s">
        <v>678</v>
      </c>
      <c r="C101" s="46">
        <v>13.509</v>
      </c>
      <c r="D101" s="46">
        <v>13.568199999999999</v>
      </c>
      <c r="E101" s="45"/>
      <c r="F101" s="47"/>
      <c r="G101" s="48"/>
    </row>
    <row r="102" spans="1:14" ht="25.5" x14ac:dyDescent="0.2">
      <c r="A102" s="45"/>
      <c r="B102" s="26" t="s">
        <v>679</v>
      </c>
      <c r="C102" s="46">
        <v>13.658099999999999</v>
      </c>
      <c r="D102" s="46">
        <v>13.7179</v>
      </c>
      <c r="E102" s="45"/>
      <c r="F102" s="47"/>
      <c r="G102" s="48"/>
    </row>
    <row r="103" spans="1:14" x14ac:dyDescent="0.2">
      <c r="A103" s="45"/>
      <c r="B103" s="45"/>
      <c r="C103" s="45"/>
      <c r="D103" s="45"/>
      <c r="E103" s="45"/>
      <c r="F103" s="45"/>
      <c r="G103" s="45"/>
    </row>
    <row r="104" spans="1:14" x14ac:dyDescent="0.2">
      <c r="A104" s="41"/>
      <c r="B104" s="153" t="s">
        <v>649</v>
      </c>
      <c r="C104" s="154"/>
      <c r="D104" s="16" t="s">
        <v>114</v>
      </c>
      <c r="E104" s="41"/>
      <c r="F104" s="41"/>
      <c r="G104" s="41"/>
    </row>
    <row r="105" spans="1:14" x14ac:dyDescent="0.2">
      <c r="A105" s="41"/>
      <c r="B105" s="49"/>
      <c r="C105" s="49"/>
      <c r="D105" s="49"/>
      <c r="E105" s="41"/>
      <c r="F105" s="41"/>
      <c r="G105" s="41"/>
    </row>
    <row r="106" spans="1:14" s="52" customFormat="1" ht="15" x14ac:dyDescent="0.25">
      <c r="A106" s="89"/>
      <c r="B106" s="153" t="s">
        <v>562</v>
      </c>
      <c r="C106" s="154"/>
      <c r="D106" s="16" t="s">
        <v>114</v>
      </c>
      <c r="E106" s="89"/>
      <c r="F106" s="35"/>
      <c r="G106" s="89"/>
      <c r="I106" s="90"/>
      <c r="J106" s="91"/>
      <c r="K106" s="91"/>
      <c r="L106" s="91"/>
      <c r="M106" s="91"/>
      <c r="N106"/>
    </row>
    <row r="107" spans="1:14" ht="26.25" customHeight="1" x14ac:dyDescent="0.25">
      <c r="A107" s="41"/>
      <c r="B107" s="153" t="s">
        <v>563</v>
      </c>
      <c r="C107" s="154"/>
      <c r="D107" s="16" t="s">
        <v>114</v>
      </c>
      <c r="E107" s="50"/>
      <c r="F107" s="41"/>
      <c r="G107" s="41"/>
      <c r="I107" s="92"/>
    </row>
    <row r="108" spans="1:14" ht="27.75" customHeight="1" x14ac:dyDescent="0.25">
      <c r="A108" s="41"/>
      <c r="B108" s="153" t="s">
        <v>564</v>
      </c>
      <c r="C108" s="154"/>
      <c r="D108" s="16" t="s">
        <v>114</v>
      </c>
      <c r="E108" s="50"/>
      <c r="F108" s="41"/>
      <c r="G108" s="41"/>
      <c r="I108" s="93"/>
    </row>
    <row r="109" spans="1:14" x14ac:dyDescent="0.2">
      <c r="A109" s="41"/>
      <c r="B109" s="153" t="s">
        <v>565</v>
      </c>
      <c r="C109" s="154"/>
      <c r="D109" s="16" t="s">
        <v>114</v>
      </c>
      <c r="E109" s="50"/>
      <c r="F109" s="41"/>
      <c r="G109" s="41"/>
    </row>
    <row r="110" spans="1:14" x14ac:dyDescent="0.2">
      <c r="A110" s="49"/>
      <c r="B110" s="49"/>
      <c r="C110" s="49"/>
      <c r="D110" s="49"/>
      <c r="E110" s="49"/>
      <c r="F110" s="49"/>
      <c r="G110" s="49"/>
    </row>
    <row r="111" spans="1:14" s="52" customFormat="1" ht="15" x14ac:dyDescent="0.25">
      <c r="B111" s="208" t="s">
        <v>681</v>
      </c>
      <c r="C111" s="209"/>
      <c r="D111" s="209"/>
      <c r="E111" s="209"/>
      <c r="F111" s="209"/>
      <c r="G111" s="210"/>
      <c r="I111"/>
      <c r="J111" s="91"/>
      <c r="K111" s="91"/>
      <c r="L111" s="91"/>
      <c r="M111" s="91"/>
      <c r="N111"/>
    </row>
    <row r="112" spans="1:14" s="52" customFormat="1" ht="45" customHeight="1" x14ac:dyDescent="0.25">
      <c r="B112" s="94" t="s">
        <v>574</v>
      </c>
      <c r="C112" s="94" t="s">
        <v>575</v>
      </c>
      <c r="D112" s="211" t="s">
        <v>576</v>
      </c>
      <c r="E112" s="212"/>
      <c r="F112" s="207" t="s">
        <v>577</v>
      </c>
      <c r="G112" s="207"/>
      <c r="H112" s="95"/>
      <c r="I112"/>
      <c r="J112" s="91"/>
      <c r="K112" s="91"/>
      <c r="L112" s="91"/>
      <c r="M112" s="91"/>
      <c r="N112"/>
    </row>
    <row r="113" spans="2:14" s="52" customFormat="1" ht="25.5" x14ac:dyDescent="0.25">
      <c r="B113" s="96" t="s">
        <v>650</v>
      </c>
      <c r="C113" s="97" t="s">
        <v>651</v>
      </c>
      <c r="D113" s="202">
        <v>0</v>
      </c>
      <c r="E113" s="203"/>
      <c r="F113" s="202">
        <v>0</v>
      </c>
      <c r="G113" s="203"/>
      <c r="H113" s="98"/>
      <c r="I113"/>
      <c r="J113" s="91"/>
      <c r="K113" s="91"/>
      <c r="L113" s="91"/>
      <c r="M113" s="91"/>
      <c r="N113"/>
    </row>
    <row r="114" spans="2:14" s="52" customFormat="1" ht="15" x14ac:dyDescent="0.25">
      <c r="B114" s="204" t="s">
        <v>652</v>
      </c>
      <c r="C114" s="205"/>
      <c r="D114" s="205"/>
      <c r="E114" s="205"/>
      <c r="F114" s="205"/>
      <c r="G114" s="206"/>
      <c r="H114" s="98"/>
      <c r="I114"/>
      <c r="J114" s="93"/>
      <c r="K114" s="93"/>
      <c r="L114" s="93"/>
      <c r="M114" s="91"/>
      <c r="N114"/>
    </row>
    <row r="115" spans="2:14" s="52" customFormat="1" ht="15" x14ac:dyDescent="0.25">
      <c r="B115" s="207" t="s">
        <v>574</v>
      </c>
      <c r="C115" s="207" t="s">
        <v>575</v>
      </c>
      <c r="D115" s="204" t="s">
        <v>618</v>
      </c>
      <c r="E115" s="205"/>
      <c r="F115" s="206"/>
      <c r="G115" s="96"/>
      <c r="H115" s="98"/>
      <c r="I115"/>
      <c r="J115" s="93"/>
      <c r="K115" s="93"/>
      <c r="L115" s="93"/>
      <c r="M115" s="91"/>
      <c r="N115"/>
    </row>
    <row r="116" spans="2:14" s="52" customFormat="1" ht="76.5" x14ac:dyDescent="0.25">
      <c r="B116" s="207"/>
      <c r="C116" s="207"/>
      <c r="D116" s="99" t="s">
        <v>622</v>
      </c>
      <c r="E116" s="99" t="s">
        <v>653</v>
      </c>
      <c r="F116" s="99" t="s">
        <v>654</v>
      </c>
      <c r="G116" s="99" t="s">
        <v>683</v>
      </c>
      <c r="H116" s="100"/>
      <c r="I116"/>
      <c r="J116" s="93"/>
      <c r="K116" s="93"/>
      <c r="L116" s="93"/>
      <c r="M116" s="91"/>
      <c r="N116"/>
    </row>
    <row r="117" spans="2:14" s="52" customFormat="1" ht="25.5" x14ac:dyDescent="0.2">
      <c r="B117" s="101" t="s">
        <v>650</v>
      </c>
      <c r="C117" s="97" t="s">
        <v>651</v>
      </c>
      <c r="D117" s="102">
        <v>200</v>
      </c>
      <c r="E117" s="102">
        <v>6.8852450999999997</v>
      </c>
      <c r="F117" s="102">
        <v>206.88524509999999</v>
      </c>
      <c r="G117" s="103">
        <f>F117/F83</f>
        <v>4.859216698206776E-2</v>
      </c>
      <c r="H117" s="104"/>
      <c r="I117"/>
      <c r="J117"/>
      <c r="K117"/>
      <c r="L117"/>
      <c r="M117"/>
      <c r="N117"/>
    </row>
    <row r="118" spans="2:14" s="52" customFormat="1" ht="33" customHeight="1" x14ac:dyDescent="0.2">
      <c r="B118" s="199" t="s">
        <v>655</v>
      </c>
      <c r="C118" s="200"/>
      <c r="D118" s="200"/>
      <c r="E118" s="200"/>
      <c r="F118" s="200"/>
      <c r="G118" s="201"/>
      <c r="H118" s="105"/>
      <c r="I118"/>
      <c r="J118"/>
      <c r="K118"/>
      <c r="L118"/>
      <c r="M118"/>
      <c r="N118"/>
    </row>
    <row r="119" spans="2:14" s="52" customFormat="1" x14ac:dyDescent="0.2">
      <c r="H119" s="105"/>
      <c r="I119"/>
      <c r="J119"/>
      <c r="K119"/>
      <c r="L119"/>
      <c r="M119"/>
      <c r="N119"/>
    </row>
    <row r="120" spans="2:14" s="52" customFormat="1" x14ac:dyDescent="0.2">
      <c r="B120" s="157" t="s">
        <v>551</v>
      </c>
      <c r="C120" s="158"/>
      <c r="D120" s="159"/>
      <c r="I120"/>
      <c r="J120"/>
      <c r="K120"/>
      <c r="L120"/>
      <c r="M120"/>
      <c r="N120"/>
    </row>
    <row r="121" spans="2:14" s="52" customFormat="1" ht="51" x14ac:dyDescent="0.2">
      <c r="B121" s="149" t="s">
        <v>552</v>
      </c>
      <c r="C121" s="149"/>
      <c r="D121" s="54" t="s">
        <v>473</v>
      </c>
      <c r="I121"/>
      <c r="J121"/>
      <c r="K121"/>
      <c r="L121"/>
      <c r="M121"/>
      <c r="N121"/>
    </row>
    <row r="122" spans="2:14" s="52" customFormat="1" x14ac:dyDescent="0.2">
      <c r="B122" s="145" t="s">
        <v>553</v>
      </c>
      <c r="C122" s="145"/>
      <c r="D122" s="55"/>
      <c r="I122"/>
      <c r="J122"/>
      <c r="K122"/>
      <c r="L122"/>
      <c r="M122"/>
      <c r="N122"/>
    </row>
    <row r="123" spans="2:14" s="52" customFormat="1" x14ac:dyDescent="0.2">
      <c r="B123" s="145"/>
      <c r="C123" s="145"/>
      <c r="D123" s="56"/>
      <c r="I123"/>
      <c r="J123"/>
      <c r="K123"/>
      <c r="L123"/>
      <c r="M123"/>
      <c r="N123"/>
    </row>
    <row r="124" spans="2:14" s="52" customFormat="1" x14ac:dyDescent="0.2">
      <c r="B124" s="145" t="s">
        <v>554</v>
      </c>
      <c r="C124" s="145"/>
      <c r="D124" s="57">
        <v>6.4045622436230891</v>
      </c>
      <c r="I124"/>
      <c r="J124"/>
      <c r="K124"/>
      <c r="L124"/>
      <c r="M124"/>
      <c r="N124"/>
    </row>
    <row r="125" spans="2:14" s="52" customFormat="1" x14ac:dyDescent="0.2">
      <c r="B125" s="145"/>
      <c r="C125" s="145"/>
      <c r="D125" s="56"/>
      <c r="I125"/>
      <c r="J125"/>
      <c r="K125"/>
      <c r="L125"/>
      <c r="M125"/>
      <c r="N125"/>
    </row>
    <row r="126" spans="2:14" s="52" customFormat="1" x14ac:dyDescent="0.2">
      <c r="B126" s="145" t="s">
        <v>555</v>
      </c>
      <c r="C126" s="145"/>
      <c r="D126" s="57">
        <v>3.7688149904945694</v>
      </c>
      <c r="I126"/>
      <c r="J126"/>
      <c r="K126"/>
      <c r="L126"/>
      <c r="M126"/>
      <c r="N126"/>
    </row>
    <row r="127" spans="2:14" s="52" customFormat="1" x14ac:dyDescent="0.2">
      <c r="B127" s="145" t="s">
        <v>556</v>
      </c>
      <c r="C127" s="145"/>
      <c r="D127" s="57">
        <v>4.7739569470061642</v>
      </c>
      <c r="I127"/>
      <c r="J127"/>
      <c r="K127"/>
      <c r="L127"/>
      <c r="M127"/>
      <c r="N127"/>
    </row>
    <row r="128" spans="2:14" s="52" customFormat="1" x14ac:dyDescent="0.2">
      <c r="B128" s="145"/>
      <c r="C128" s="145"/>
      <c r="D128" s="56"/>
      <c r="I128"/>
      <c r="J128"/>
      <c r="K128"/>
      <c r="L128"/>
      <c r="M128"/>
      <c r="N128"/>
    </row>
    <row r="129" spans="2:16" s="52" customFormat="1" x14ac:dyDescent="0.2">
      <c r="B129" s="145" t="s">
        <v>557</v>
      </c>
      <c r="C129" s="145"/>
      <c r="D129" s="59" t="s">
        <v>680</v>
      </c>
      <c r="I129"/>
      <c r="J129" s="51"/>
      <c r="K129" s="51"/>
      <c r="L129" s="51"/>
      <c r="M129" s="51"/>
      <c r="N129" s="53"/>
    </row>
    <row r="130" spans="2:16" s="52" customFormat="1" x14ac:dyDescent="0.2">
      <c r="B130" s="143" t="s">
        <v>558</v>
      </c>
      <c r="C130" s="146"/>
      <c r="D130" s="144"/>
      <c r="I130"/>
      <c r="J130"/>
      <c r="K130"/>
      <c r="L130"/>
      <c r="M130"/>
      <c r="N130"/>
      <c r="O130"/>
      <c r="P130"/>
    </row>
    <row r="132" spans="2:16" x14ac:dyDescent="0.2">
      <c r="B132" s="61" t="s">
        <v>559</v>
      </c>
    </row>
    <row r="133" spans="2:16" ht="153.75" customHeight="1" x14ac:dyDescent="0.2"/>
    <row r="136" spans="2:16" x14ac:dyDescent="0.2">
      <c r="B136" s="62" t="s">
        <v>560</v>
      </c>
      <c r="C136" s="63"/>
      <c r="D136" s="62"/>
    </row>
    <row r="137" spans="2:16" x14ac:dyDescent="0.2">
      <c r="B137" s="62" t="s">
        <v>656</v>
      </c>
      <c r="D137" s="62"/>
    </row>
    <row r="138" spans="2:16" ht="165" customHeight="1" x14ac:dyDescent="0.2"/>
    <row r="145" customFormat="1" x14ac:dyDescent="0.2"/>
    <row r="146" customFormat="1" x14ac:dyDescent="0.2"/>
    <row r="147" customFormat="1" x14ac:dyDescent="0.2"/>
    <row r="148" customFormat="1" x14ac:dyDescent="0.2"/>
    <row r="149" customFormat="1" x14ac:dyDescent="0.2"/>
    <row r="150" customFormat="1" x14ac:dyDescent="0.2"/>
  </sheetData>
  <mergeCells count="36">
    <mergeCell ref="B87:H87"/>
    <mergeCell ref="B89:D89"/>
    <mergeCell ref="B90:C90"/>
    <mergeCell ref="B91:C91"/>
    <mergeCell ref="B104:C104"/>
    <mergeCell ref="B92:C92"/>
    <mergeCell ref="A1:H1"/>
    <mergeCell ref="A3:H3"/>
    <mergeCell ref="A2:H2"/>
    <mergeCell ref="B85:H85"/>
    <mergeCell ref="B86:H86"/>
    <mergeCell ref="B106:C106"/>
    <mergeCell ref="B107:C107"/>
    <mergeCell ref="B111:G111"/>
    <mergeCell ref="D112:E112"/>
    <mergeCell ref="F112:G112"/>
    <mergeCell ref="B108:C108"/>
    <mergeCell ref="B109:C109"/>
    <mergeCell ref="D113:E113"/>
    <mergeCell ref="F113:G113"/>
    <mergeCell ref="B114:G114"/>
    <mergeCell ref="B115:B116"/>
    <mergeCell ref="C115:C116"/>
    <mergeCell ref="D115:F115"/>
    <mergeCell ref="B118:G118"/>
    <mergeCell ref="B120:D120"/>
    <mergeCell ref="B121:C121"/>
    <mergeCell ref="B122:C122"/>
    <mergeCell ref="B123:C123"/>
    <mergeCell ref="B129:C129"/>
    <mergeCell ref="B130:D130"/>
    <mergeCell ref="B124:C124"/>
    <mergeCell ref="B125:C125"/>
    <mergeCell ref="B126:C126"/>
    <mergeCell ref="B127:C127"/>
    <mergeCell ref="B128:C128"/>
  </mergeCells>
  <hyperlinks>
    <hyperlink ref="I1" location="Index!B2" display="Index" xr:uid="{8CF181CB-6119-4260-91E9-88A73548030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E507E-F4BC-48F8-89C8-221D4ED9DF36}">
  <sheetPr>
    <outlinePr summaryBelow="0" summaryRight="0"/>
  </sheetPr>
  <dimension ref="A1:R169"/>
  <sheetViews>
    <sheetView showGridLines="0" workbookViewId="0">
      <selection sqref="A1:H1"/>
    </sheetView>
  </sheetViews>
  <sheetFormatPr defaultRowHeight="12.75" x14ac:dyDescent="0.2"/>
  <cols>
    <col min="1" max="1" width="5.85546875" bestFit="1" customWidth="1"/>
    <col min="2" max="2" width="20" bestFit="1" customWidth="1"/>
    <col min="3" max="3" width="39.140625" bestFit="1" customWidth="1"/>
    <col min="4" max="4" width="17" bestFit="1" customWidth="1"/>
    <col min="5" max="5" width="8.7109375" bestFit="1" customWidth="1"/>
    <col min="6" max="6" width="10.140625" bestFit="1" customWidth="1"/>
    <col min="7" max="7" width="14" bestFit="1" customWidth="1"/>
    <col min="8" max="8" width="10.28515625" customWidth="1"/>
    <col min="9" max="9" width="8.85546875" customWidth="1"/>
  </cols>
  <sheetData>
    <row r="1" spans="1:10" ht="15" x14ac:dyDescent="0.2">
      <c r="A1" s="147" t="s">
        <v>0</v>
      </c>
      <c r="B1" s="147"/>
      <c r="C1" s="147"/>
      <c r="D1" s="147"/>
      <c r="E1" s="147"/>
      <c r="F1" s="147"/>
      <c r="G1" s="147"/>
      <c r="H1" s="147"/>
      <c r="I1" s="1" t="s">
        <v>543</v>
      </c>
    </row>
    <row r="2" spans="1:10" ht="15" x14ac:dyDescent="0.2">
      <c r="A2" s="147" t="s">
        <v>476</v>
      </c>
      <c r="B2" s="147"/>
      <c r="C2" s="147"/>
      <c r="D2" s="147"/>
      <c r="E2" s="147"/>
      <c r="F2" s="147"/>
      <c r="G2" s="147"/>
      <c r="H2" s="147"/>
    </row>
    <row r="3" spans="1:10" ht="15" x14ac:dyDescent="0.2">
      <c r="A3" s="147" t="s">
        <v>542</v>
      </c>
      <c r="B3" s="147"/>
      <c r="C3" s="147"/>
      <c r="D3" s="147"/>
      <c r="E3" s="147"/>
      <c r="F3" s="147"/>
      <c r="G3" s="147"/>
      <c r="H3" s="147"/>
    </row>
    <row r="4" spans="1:10" s="14" customFormat="1" ht="30" x14ac:dyDescent="0.2">
      <c r="A4" s="12" t="s">
        <v>2</v>
      </c>
      <c r="B4" s="12" t="s">
        <v>3</v>
      </c>
      <c r="C4" s="12" t="s">
        <v>4</v>
      </c>
      <c r="D4" s="12" t="s">
        <v>5</v>
      </c>
      <c r="E4" s="12" t="s">
        <v>6</v>
      </c>
      <c r="F4" s="12" t="s">
        <v>7</v>
      </c>
      <c r="G4" s="12" t="s">
        <v>8</v>
      </c>
      <c r="H4" s="13" t="s">
        <v>544</v>
      </c>
    </row>
    <row r="5" spans="1:10" x14ac:dyDescent="0.2">
      <c r="A5" s="15"/>
      <c r="B5" s="15"/>
      <c r="C5" s="16" t="s">
        <v>9</v>
      </c>
      <c r="D5" s="15"/>
      <c r="E5" s="15"/>
      <c r="F5" s="15"/>
      <c r="G5" s="15"/>
      <c r="H5" s="17" t="s">
        <v>12</v>
      </c>
    </row>
    <row r="6" spans="1:10" x14ac:dyDescent="0.2">
      <c r="A6" s="18"/>
      <c r="B6" s="18"/>
      <c r="C6" s="19" t="s">
        <v>10</v>
      </c>
      <c r="D6" s="18"/>
      <c r="E6" s="18"/>
      <c r="F6" s="18"/>
      <c r="G6" s="18"/>
      <c r="H6" s="17" t="s">
        <v>12</v>
      </c>
    </row>
    <row r="7" spans="1:10" x14ac:dyDescent="0.2">
      <c r="A7" s="25">
        <v>1</v>
      </c>
      <c r="B7" s="26" t="s">
        <v>477</v>
      </c>
      <c r="C7" s="26" t="s">
        <v>478</v>
      </c>
      <c r="D7" s="26" t="s">
        <v>479</v>
      </c>
      <c r="E7" s="27">
        <v>4250</v>
      </c>
      <c r="F7" s="28">
        <v>82.186499999999995</v>
      </c>
      <c r="G7" s="29">
        <v>2.9996769999999999E-2</v>
      </c>
      <c r="H7" s="17" t="s">
        <v>12</v>
      </c>
    </row>
    <row r="8" spans="1:10" x14ac:dyDescent="0.2">
      <c r="A8" s="25">
        <v>2</v>
      </c>
      <c r="B8" s="26" t="s">
        <v>480</v>
      </c>
      <c r="C8" s="26" t="s">
        <v>481</v>
      </c>
      <c r="D8" s="26" t="s">
        <v>479</v>
      </c>
      <c r="E8" s="27">
        <v>4200</v>
      </c>
      <c r="F8" s="28">
        <v>60.933599999999998</v>
      </c>
      <c r="G8" s="29">
        <v>2.2239800000000001E-2</v>
      </c>
      <c r="H8" s="17" t="s">
        <v>12</v>
      </c>
    </row>
    <row r="9" spans="1:10" x14ac:dyDescent="0.2">
      <c r="A9" s="25">
        <v>3</v>
      </c>
      <c r="B9" s="26" t="s">
        <v>482</v>
      </c>
      <c r="C9" s="26" t="s">
        <v>483</v>
      </c>
      <c r="D9" s="26" t="s">
        <v>484</v>
      </c>
      <c r="E9" s="27">
        <v>3400</v>
      </c>
      <c r="F9" s="28">
        <v>49.442799999999998</v>
      </c>
      <c r="G9" s="29">
        <v>1.804584E-2</v>
      </c>
      <c r="H9" s="17" t="s">
        <v>12</v>
      </c>
    </row>
    <row r="10" spans="1:10" x14ac:dyDescent="0.2">
      <c r="A10" s="25">
        <v>4</v>
      </c>
      <c r="B10" s="26" t="s">
        <v>485</v>
      </c>
      <c r="C10" s="26" t="s">
        <v>486</v>
      </c>
      <c r="D10" s="26" t="s">
        <v>487</v>
      </c>
      <c r="E10" s="27">
        <v>2500</v>
      </c>
      <c r="F10" s="28">
        <v>46.68</v>
      </c>
      <c r="G10" s="29">
        <v>1.7037460000000001E-2</v>
      </c>
      <c r="H10" s="17" t="s">
        <v>12</v>
      </c>
    </row>
    <row r="11" spans="1:10" x14ac:dyDescent="0.2">
      <c r="A11" s="25">
        <v>5</v>
      </c>
      <c r="B11" s="26" t="s">
        <v>488</v>
      </c>
      <c r="C11" s="26" t="s">
        <v>489</v>
      </c>
      <c r="D11" s="26" t="s">
        <v>490</v>
      </c>
      <c r="E11" s="27">
        <v>1848</v>
      </c>
      <c r="F11" s="28">
        <v>31.342079999999999</v>
      </c>
      <c r="G11" s="29">
        <v>1.1439360000000001E-2</v>
      </c>
      <c r="H11" s="17" t="s">
        <v>12</v>
      </c>
    </row>
    <row r="12" spans="1:10" x14ac:dyDescent="0.2">
      <c r="A12" s="25">
        <v>6</v>
      </c>
      <c r="B12" s="26" t="s">
        <v>491</v>
      </c>
      <c r="C12" s="26" t="s">
        <v>492</v>
      </c>
      <c r="D12" s="26" t="s">
        <v>490</v>
      </c>
      <c r="E12" s="27">
        <v>1750</v>
      </c>
      <c r="F12" s="28">
        <v>28.227499999999999</v>
      </c>
      <c r="G12" s="29">
        <v>1.030259E-2</v>
      </c>
      <c r="H12" s="17" t="s">
        <v>12</v>
      </c>
    </row>
    <row r="13" spans="1:10" ht="25.5" x14ac:dyDescent="0.2">
      <c r="A13" s="64">
        <v>7</v>
      </c>
      <c r="B13" s="65" t="s">
        <v>657</v>
      </c>
      <c r="C13" s="65" t="s">
        <v>658</v>
      </c>
      <c r="D13" s="65" t="s">
        <v>659</v>
      </c>
      <c r="E13" s="66">
        <v>30000</v>
      </c>
      <c r="F13" s="67">
        <f>2499300/10^5</f>
        <v>24.992999999999999</v>
      </c>
      <c r="G13" s="68">
        <f>F13/F99</f>
        <v>9.1220491694001277E-3</v>
      </c>
      <c r="H13" s="17" t="s">
        <v>12</v>
      </c>
      <c r="J13" s="69"/>
    </row>
    <row r="14" spans="1:10" x14ac:dyDescent="0.2">
      <c r="A14" s="25">
        <v>8</v>
      </c>
      <c r="B14" s="26" t="s">
        <v>493</v>
      </c>
      <c r="C14" s="26" t="s">
        <v>494</v>
      </c>
      <c r="D14" s="26" t="s">
        <v>479</v>
      </c>
      <c r="E14" s="27">
        <v>2000</v>
      </c>
      <c r="F14" s="28">
        <v>24.181999999999999</v>
      </c>
      <c r="G14" s="29">
        <v>8.8260500000000002E-3</v>
      </c>
      <c r="H14" s="17" t="s">
        <v>12</v>
      </c>
    </row>
    <row r="15" spans="1:10" x14ac:dyDescent="0.2">
      <c r="A15" s="25">
        <v>9</v>
      </c>
      <c r="B15" s="26" t="s">
        <v>495</v>
      </c>
      <c r="C15" s="26" t="s">
        <v>496</v>
      </c>
      <c r="D15" s="26" t="s">
        <v>479</v>
      </c>
      <c r="E15" s="27">
        <v>2600</v>
      </c>
      <c r="F15" s="28">
        <v>21.0015</v>
      </c>
      <c r="G15" s="29">
        <v>7.6652200000000004E-3</v>
      </c>
      <c r="H15" s="17" t="s">
        <v>12</v>
      </c>
    </row>
    <row r="16" spans="1:10" x14ac:dyDescent="0.2">
      <c r="A16" s="25">
        <v>10</v>
      </c>
      <c r="B16" s="26" t="s">
        <v>497</v>
      </c>
      <c r="C16" s="26" t="s">
        <v>498</v>
      </c>
      <c r="D16" s="26" t="s">
        <v>499</v>
      </c>
      <c r="E16" s="27">
        <v>4000</v>
      </c>
      <c r="F16" s="28">
        <v>17.306000000000001</v>
      </c>
      <c r="G16" s="29">
        <v>6.3164199999999997E-3</v>
      </c>
      <c r="H16" s="17" t="s">
        <v>12</v>
      </c>
    </row>
    <row r="17" spans="1:8" x14ac:dyDescent="0.2">
      <c r="A17" s="25">
        <v>11</v>
      </c>
      <c r="B17" s="26" t="s">
        <v>500</v>
      </c>
      <c r="C17" s="26" t="s">
        <v>501</v>
      </c>
      <c r="D17" s="26" t="s">
        <v>484</v>
      </c>
      <c r="E17" s="27">
        <v>5000</v>
      </c>
      <c r="F17" s="28">
        <v>15.85</v>
      </c>
      <c r="G17" s="29">
        <v>5.7850000000000002E-3</v>
      </c>
      <c r="H17" s="17" t="s">
        <v>12</v>
      </c>
    </row>
    <row r="18" spans="1:8" ht="25.5" x14ac:dyDescent="0.2">
      <c r="A18" s="25">
        <v>12</v>
      </c>
      <c r="B18" s="26" t="s">
        <v>502</v>
      </c>
      <c r="C18" s="26" t="s">
        <v>503</v>
      </c>
      <c r="D18" s="26" t="s">
        <v>504</v>
      </c>
      <c r="E18" s="27">
        <v>125</v>
      </c>
      <c r="F18" s="28">
        <v>14.8675</v>
      </c>
      <c r="G18" s="29">
        <v>5.4263999999999996E-3</v>
      </c>
      <c r="H18" s="17" t="s">
        <v>12</v>
      </c>
    </row>
    <row r="19" spans="1:8" x14ac:dyDescent="0.2">
      <c r="A19" s="25">
        <v>13</v>
      </c>
      <c r="B19" s="26" t="s">
        <v>505</v>
      </c>
      <c r="C19" s="26" t="s">
        <v>506</v>
      </c>
      <c r="D19" s="26" t="s">
        <v>507</v>
      </c>
      <c r="E19" s="27">
        <v>400</v>
      </c>
      <c r="F19" s="28">
        <v>14.472799999999999</v>
      </c>
      <c r="G19" s="29">
        <v>5.28234E-3</v>
      </c>
      <c r="H19" s="17" t="s">
        <v>12</v>
      </c>
    </row>
    <row r="20" spans="1:8" ht="25.5" x14ac:dyDescent="0.2">
      <c r="A20" s="25">
        <v>14</v>
      </c>
      <c r="B20" s="26" t="s">
        <v>508</v>
      </c>
      <c r="C20" s="26" t="s">
        <v>509</v>
      </c>
      <c r="D20" s="26" t="s">
        <v>510</v>
      </c>
      <c r="E20" s="27">
        <v>2000</v>
      </c>
      <c r="F20" s="28">
        <v>14.412000000000001</v>
      </c>
      <c r="G20" s="29">
        <v>5.2601499999999999E-3</v>
      </c>
      <c r="H20" s="17" t="s">
        <v>12</v>
      </c>
    </row>
    <row r="21" spans="1:8" x14ac:dyDescent="0.2">
      <c r="A21" s="25">
        <v>15</v>
      </c>
      <c r="B21" s="26" t="s">
        <v>511</v>
      </c>
      <c r="C21" s="26" t="s">
        <v>512</v>
      </c>
      <c r="D21" s="26" t="s">
        <v>479</v>
      </c>
      <c r="E21" s="27">
        <v>675</v>
      </c>
      <c r="F21" s="28">
        <v>14.2182</v>
      </c>
      <c r="G21" s="29">
        <v>5.1894200000000001E-3</v>
      </c>
      <c r="H21" s="17" t="s">
        <v>12</v>
      </c>
    </row>
    <row r="22" spans="1:8" x14ac:dyDescent="0.2">
      <c r="A22" s="25">
        <v>16</v>
      </c>
      <c r="B22" s="26" t="s">
        <v>513</v>
      </c>
      <c r="C22" s="26" t="s">
        <v>514</v>
      </c>
      <c r="D22" s="26" t="s">
        <v>515</v>
      </c>
      <c r="E22" s="27">
        <v>900</v>
      </c>
      <c r="F22" s="28">
        <v>13.846500000000001</v>
      </c>
      <c r="G22" s="29">
        <v>5.0537500000000001E-3</v>
      </c>
      <c r="H22" s="17" t="s">
        <v>12</v>
      </c>
    </row>
    <row r="23" spans="1:8" x14ac:dyDescent="0.2">
      <c r="A23" s="25">
        <v>17</v>
      </c>
      <c r="B23" s="26" t="s">
        <v>516</v>
      </c>
      <c r="C23" s="26" t="s">
        <v>517</v>
      </c>
      <c r="D23" s="26" t="s">
        <v>518</v>
      </c>
      <c r="E23" s="27">
        <v>2000</v>
      </c>
      <c r="F23" s="28">
        <v>13.675000000000001</v>
      </c>
      <c r="G23" s="29">
        <v>4.9911599999999997E-3</v>
      </c>
      <c r="H23" s="17" t="s">
        <v>12</v>
      </c>
    </row>
    <row r="24" spans="1:8" x14ac:dyDescent="0.2">
      <c r="A24" s="25">
        <v>18</v>
      </c>
      <c r="B24" s="26" t="s">
        <v>519</v>
      </c>
      <c r="C24" s="26" t="s">
        <v>520</v>
      </c>
      <c r="D24" s="26" t="s">
        <v>521</v>
      </c>
      <c r="E24" s="27">
        <v>160</v>
      </c>
      <c r="F24" s="28">
        <v>13.3216</v>
      </c>
      <c r="G24" s="29">
        <v>4.8621699999999999E-3</v>
      </c>
      <c r="H24" s="17" t="s">
        <v>12</v>
      </c>
    </row>
    <row r="25" spans="1:8" ht="25.5" x14ac:dyDescent="0.2">
      <c r="A25" s="25">
        <v>19</v>
      </c>
      <c r="B25" s="26" t="s">
        <v>522</v>
      </c>
      <c r="C25" s="26" t="s">
        <v>523</v>
      </c>
      <c r="D25" s="26" t="s">
        <v>524</v>
      </c>
      <c r="E25" s="27">
        <v>250</v>
      </c>
      <c r="F25" s="28">
        <v>13.192500000000001</v>
      </c>
      <c r="G25" s="29">
        <v>4.8150500000000004E-3</v>
      </c>
      <c r="H25" s="17" t="s">
        <v>12</v>
      </c>
    </row>
    <row r="26" spans="1:8" x14ac:dyDescent="0.2">
      <c r="A26" s="25">
        <v>20</v>
      </c>
      <c r="B26" s="26" t="s">
        <v>525</v>
      </c>
      <c r="C26" s="26" t="s">
        <v>526</v>
      </c>
      <c r="D26" s="26" t="s">
        <v>521</v>
      </c>
      <c r="E26" s="27">
        <v>100</v>
      </c>
      <c r="F26" s="28">
        <v>12.952</v>
      </c>
      <c r="G26" s="29">
        <v>4.7272800000000004E-3</v>
      </c>
      <c r="H26" s="17" t="s">
        <v>12</v>
      </c>
    </row>
    <row r="27" spans="1:8" ht="25.5" x14ac:dyDescent="0.2">
      <c r="A27" s="25">
        <v>21</v>
      </c>
      <c r="B27" s="26" t="s">
        <v>527</v>
      </c>
      <c r="C27" s="26" t="s">
        <v>528</v>
      </c>
      <c r="D27" s="26" t="s">
        <v>504</v>
      </c>
      <c r="E27" s="27">
        <v>450</v>
      </c>
      <c r="F27" s="28">
        <v>12.711600000000001</v>
      </c>
      <c r="G27" s="29">
        <v>4.6395300000000002E-3</v>
      </c>
      <c r="H27" s="17" t="s">
        <v>12</v>
      </c>
    </row>
    <row r="28" spans="1:8" x14ac:dyDescent="0.2">
      <c r="A28" s="25">
        <v>22</v>
      </c>
      <c r="B28" s="26" t="s">
        <v>529</v>
      </c>
      <c r="C28" s="26" t="s">
        <v>530</v>
      </c>
      <c r="D28" s="26" t="s">
        <v>531</v>
      </c>
      <c r="E28" s="27">
        <v>2000</v>
      </c>
      <c r="F28" s="28">
        <v>12.26</v>
      </c>
      <c r="G28" s="29">
        <v>4.4747099999999998E-3</v>
      </c>
      <c r="H28" s="17" t="s">
        <v>12</v>
      </c>
    </row>
    <row r="29" spans="1:8" ht="25.5" x14ac:dyDescent="0.2">
      <c r="A29" s="25">
        <v>23</v>
      </c>
      <c r="B29" s="26" t="s">
        <v>532</v>
      </c>
      <c r="C29" s="26" t="s">
        <v>533</v>
      </c>
      <c r="D29" s="26" t="s">
        <v>534</v>
      </c>
      <c r="E29" s="27">
        <v>320</v>
      </c>
      <c r="F29" s="28">
        <v>11.81216</v>
      </c>
      <c r="G29" s="29">
        <v>4.31125E-3</v>
      </c>
      <c r="H29" s="17" t="s">
        <v>12</v>
      </c>
    </row>
    <row r="30" spans="1:8" x14ac:dyDescent="0.2">
      <c r="A30" s="18"/>
      <c r="B30" s="18"/>
      <c r="C30" s="19" t="s">
        <v>11</v>
      </c>
      <c r="D30" s="18"/>
      <c r="E30" s="18" t="s">
        <v>12</v>
      </c>
      <c r="F30" s="24">
        <f>SUM(F7:F29)</f>
        <v>563.88684000000001</v>
      </c>
      <c r="G30" s="21">
        <f>SUM(G7:G29)</f>
        <v>0.20580976916940005</v>
      </c>
      <c r="H30" s="17" t="s">
        <v>12</v>
      </c>
    </row>
    <row r="31" spans="1:8" x14ac:dyDescent="0.2">
      <c r="A31" s="18"/>
      <c r="B31" s="18"/>
      <c r="C31" s="22"/>
      <c r="D31" s="18"/>
      <c r="E31" s="18"/>
      <c r="F31" s="23"/>
      <c r="G31" s="23"/>
      <c r="H31" s="17" t="s">
        <v>12</v>
      </c>
    </row>
    <row r="32" spans="1:8" x14ac:dyDescent="0.2">
      <c r="A32" s="18"/>
      <c r="B32" s="18"/>
      <c r="C32" s="19" t="s">
        <v>14</v>
      </c>
      <c r="D32" s="18"/>
      <c r="E32" s="18"/>
      <c r="F32" s="18"/>
      <c r="G32" s="18"/>
      <c r="H32" s="17" t="s">
        <v>12</v>
      </c>
    </row>
    <row r="33" spans="1:8" x14ac:dyDescent="0.2">
      <c r="A33" s="18"/>
      <c r="B33" s="18"/>
      <c r="C33" s="19" t="s">
        <v>11</v>
      </c>
      <c r="D33" s="18"/>
      <c r="E33" s="18" t="s">
        <v>12</v>
      </c>
      <c r="F33" s="20" t="s">
        <v>13</v>
      </c>
      <c r="G33" s="21">
        <v>0</v>
      </c>
      <c r="H33" s="17" t="s">
        <v>12</v>
      </c>
    </row>
    <row r="34" spans="1:8" x14ac:dyDescent="0.2">
      <c r="A34" s="18"/>
      <c r="B34" s="18"/>
      <c r="C34" s="22"/>
      <c r="D34" s="18"/>
      <c r="E34" s="18"/>
      <c r="F34" s="23"/>
      <c r="G34" s="23"/>
      <c r="H34" s="17" t="s">
        <v>12</v>
      </c>
    </row>
    <row r="35" spans="1:8" x14ac:dyDescent="0.2">
      <c r="A35" s="18"/>
      <c r="B35" s="18"/>
      <c r="C35" s="19" t="s">
        <v>15</v>
      </c>
      <c r="D35" s="18"/>
      <c r="E35" s="18"/>
      <c r="F35" s="18"/>
      <c r="G35" s="18"/>
      <c r="H35" s="17" t="s">
        <v>12</v>
      </c>
    </row>
    <row r="36" spans="1:8" x14ac:dyDescent="0.2">
      <c r="A36" s="18"/>
      <c r="B36" s="18"/>
      <c r="C36" s="19" t="s">
        <v>11</v>
      </c>
      <c r="D36" s="18"/>
      <c r="E36" s="18" t="s">
        <v>12</v>
      </c>
      <c r="F36" s="20" t="s">
        <v>13</v>
      </c>
      <c r="G36" s="21">
        <v>0</v>
      </c>
      <c r="H36" s="17" t="s">
        <v>12</v>
      </c>
    </row>
    <row r="37" spans="1:8" x14ac:dyDescent="0.2">
      <c r="A37" s="18"/>
      <c r="B37" s="18"/>
      <c r="C37" s="22"/>
      <c r="D37" s="18"/>
      <c r="E37" s="18"/>
      <c r="F37" s="23"/>
      <c r="G37" s="23"/>
      <c r="H37" s="17" t="s">
        <v>12</v>
      </c>
    </row>
    <row r="38" spans="1:8" x14ac:dyDescent="0.2">
      <c r="A38" s="18"/>
      <c r="B38" s="18"/>
      <c r="C38" s="19" t="s">
        <v>16</v>
      </c>
      <c r="D38" s="18"/>
      <c r="E38" s="18"/>
      <c r="F38" s="18"/>
      <c r="G38" s="18"/>
      <c r="H38" s="17" t="s">
        <v>12</v>
      </c>
    </row>
    <row r="39" spans="1:8" x14ac:dyDescent="0.2">
      <c r="A39" s="25">
        <v>1</v>
      </c>
      <c r="B39" s="26" t="s">
        <v>535</v>
      </c>
      <c r="C39" s="26" t="s">
        <v>660</v>
      </c>
      <c r="D39" s="26" t="s">
        <v>487</v>
      </c>
      <c r="E39" s="27">
        <v>218</v>
      </c>
      <c r="F39" s="28">
        <v>3.0474220000000001</v>
      </c>
      <c r="G39" s="29">
        <v>1.1122599999999999E-3</v>
      </c>
      <c r="H39" s="17" t="s">
        <v>12</v>
      </c>
    </row>
    <row r="40" spans="1:8" x14ac:dyDescent="0.2">
      <c r="A40" s="18"/>
      <c r="B40" s="18"/>
      <c r="C40" s="19" t="s">
        <v>11</v>
      </c>
      <c r="D40" s="18"/>
      <c r="E40" s="18" t="s">
        <v>12</v>
      </c>
      <c r="F40" s="24">
        <v>3.0474220000000001</v>
      </c>
      <c r="G40" s="21">
        <v>1.1122599999999999E-3</v>
      </c>
      <c r="H40" s="17" t="s">
        <v>12</v>
      </c>
    </row>
    <row r="41" spans="1:8" x14ac:dyDescent="0.2">
      <c r="A41" s="18"/>
      <c r="B41" s="18"/>
      <c r="C41" s="22"/>
      <c r="D41" s="18"/>
      <c r="E41" s="18"/>
      <c r="F41" s="23"/>
      <c r="G41" s="23"/>
      <c r="H41" s="17" t="s">
        <v>12</v>
      </c>
    </row>
    <row r="42" spans="1:8" x14ac:dyDescent="0.2">
      <c r="A42" s="18"/>
      <c r="B42" s="18"/>
      <c r="C42" s="19" t="s">
        <v>17</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18</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19</v>
      </c>
      <c r="D48" s="18"/>
      <c r="E48" s="18"/>
      <c r="F48" s="24">
        <f>F40+F30</f>
        <v>566.93426199999999</v>
      </c>
      <c r="G48" s="21">
        <f>G40+G30</f>
        <v>0.20692202916940006</v>
      </c>
      <c r="H48" s="17" t="s">
        <v>12</v>
      </c>
    </row>
    <row r="49" spans="1:8" x14ac:dyDescent="0.2">
      <c r="A49" s="18"/>
      <c r="B49" s="18"/>
      <c r="C49" s="22"/>
      <c r="D49" s="18"/>
      <c r="E49" s="18"/>
      <c r="F49" s="23"/>
      <c r="G49" s="23"/>
      <c r="H49" s="17" t="s">
        <v>12</v>
      </c>
    </row>
    <row r="50" spans="1:8" x14ac:dyDescent="0.2">
      <c r="A50" s="18"/>
      <c r="B50" s="18"/>
      <c r="C50" s="19" t="s">
        <v>20</v>
      </c>
      <c r="D50" s="18"/>
      <c r="E50" s="18"/>
      <c r="F50" s="23"/>
      <c r="G50" s="23"/>
      <c r="H50" s="17" t="s">
        <v>12</v>
      </c>
    </row>
    <row r="51" spans="1:8" x14ac:dyDescent="0.2">
      <c r="A51" s="18"/>
      <c r="B51" s="18"/>
      <c r="C51" s="19" t="s">
        <v>10</v>
      </c>
      <c r="D51" s="18"/>
      <c r="E51" s="18"/>
      <c r="F51" s="23"/>
      <c r="G51" s="23"/>
      <c r="H51" s="17" t="s">
        <v>12</v>
      </c>
    </row>
    <row r="52" spans="1:8" x14ac:dyDescent="0.2">
      <c r="A52" s="18"/>
      <c r="B52" s="18"/>
      <c r="C52" s="19" t="s">
        <v>11</v>
      </c>
      <c r="D52" s="18"/>
      <c r="E52" s="18" t="s">
        <v>12</v>
      </c>
      <c r="F52" s="20" t="s">
        <v>13</v>
      </c>
      <c r="G52" s="21">
        <v>0</v>
      </c>
      <c r="H52" s="17" t="s">
        <v>12</v>
      </c>
    </row>
    <row r="53" spans="1:8" x14ac:dyDescent="0.2">
      <c r="A53" s="18"/>
      <c r="B53" s="18"/>
      <c r="C53" s="22"/>
      <c r="D53" s="18"/>
      <c r="E53" s="18"/>
      <c r="F53" s="23"/>
      <c r="G53" s="23"/>
      <c r="H53" s="17" t="s">
        <v>12</v>
      </c>
    </row>
    <row r="54" spans="1:8" x14ac:dyDescent="0.2">
      <c r="A54" s="18"/>
      <c r="B54" s="18"/>
      <c r="C54" s="19" t="s">
        <v>73</v>
      </c>
      <c r="D54" s="18"/>
      <c r="E54" s="18"/>
      <c r="F54" s="18"/>
      <c r="G54" s="18"/>
      <c r="H54" s="17" t="s">
        <v>12</v>
      </c>
    </row>
    <row r="55" spans="1:8" x14ac:dyDescent="0.2">
      <c r="A55" s="18"/>
      <c r="B55" s="18"/>
      <c r="C55" s="19" t="s">
        <v>11</v>
      </c>
      <c r="D55" s="18"/>
      <c r="E55" s="18" t="s">
        <v>12</v>
      </c>
      <c r="F55" s="20" t="s">
        <v>13</v>
      </c>
      <c r="G55" s="21">
        <v>0</v>
      </c>
      <c r="H55" s="17" t="s">
        <v>12</v>
      </c>
    </row>
    <row r="56" spans="1:8" x14ac:dyDescent="0.2">
      <c r="A56" s="18"/>
      <c r="B56" s="18"/>
      <c r="C56" s="22"/>
      <c r="D56" s="18"/>
      <c r="E56" s="18"/>
      <c r="F56" s="23"/>
      <c r="G56" s="23"/>
      <c r="H56" s="17" t="s">
        <v>12</v>
      </c>
    </row>
    <row r="57" spans="1:8" x14ac:dyDescent="0.2">
      <c r="A57" s="18"/>
      <c r="B57" s="18"/>
      <c r="C57" s="19" t="s">
        <v>74</v>
      </c>
      <c r="D57" s="18"/>
      <c r="E57" s="18"/>
      <c r="F57" s="18"/>
      <c r="G57" s="18"/>
      <c r="H57" s="17" t="s">
        <v>12</v>
      </c>
    </row>
    <row r="58" spans="1:8" x14ac:dyDescent="0.2">
      <c r="A58" s="25">
        <v>1</v>
      </c>
      <c r="B58" s="26" t="s">
        <v>82</v>
      </c>
      <c r="C58" s="26" t="s">
        <v>83</v>
      </c>
      <c r="D58" s="26" t="s">
        <v>77</v>
      </c>
      <c r="E58" s="27">
        <v>500000</v>
      </c>
      <c r="F58" s="28">
        <v>532.04200000000003</v>
      </c>
      <c r="G58" s="29">
        <v>0.1941869</v>
      </c>
      <c r="H58" s="17">
        <v>6.9006999999999996</v>
      </c>
    </row>
    <row r="59" spans="1:8" ht="25.5" x14ac:dyDescent="0.2">
      <c r="A59" s="25">
        <v>2</v>
      </c>
      <c r="B59" s="26" t="s">
        <v>92</v>
      </c>
      <c r="C59" s="26" t="s">
        <v>93</v>
      </c>
      <c r="D59" s="26" t="s">
        <v>77</v>
      </c>
      <c r="E59" s="27">
        <v>100000</v>
      </c>
      <c r="F59" s="28">
        <v>105.3586</v>
      </c>
      <c r="G59" s="29">
        <v>3.8454219999999997E-2</v>
      </c>
      <c r="H59" s="17">
        <v>6.4016999999999999</v>
      </c>
    </row>
    <row r="60" spans="1:8" x14ac:dyDescent="0.2">
      <c r="A60" s="18"/>
      <c r="B60" s="18"/>
      <c r="C60" s="19" t="s">
        <v>11</v>
      </c>
      <c r="D60" s="18"/>
      <c r="E60" s="18" t="s">
        <v>12</v>
      </c>
      <c r="F60" s="24">
        <v>637.40060000000005</v>
      </c>
      <c r="G60" s="21">
        <v>0.23264112000000001</v>
      </c>
      <c r="H60" s="17" t="s">
        <v>12</v>
      </c>
    </row>
    <row r="61" spans="1:8" x14ac:dyDescent="0.2">
      <c r="A61" s="18"/>
      <c r="B61" s="18"/>
      <c r="C61" s="22"/>
      <c r="D61" s="18"/>
      <c r="E61" s="18"/>
      <c r="F61" s="23"/>
      <c r="G61" s="23"/>
      <c r="H61" s="17" t="s">
        <v>12</v>
      </c>
    </row>
    <row r="62" spans="1:8" x14ac:dyDescent="0.2">
      <c r="A62" s="18"/>
      <c r="B62" s="18"/>
      <c r="C62" s="19" t="s">
        <v>94</v>
      </c>
      <c r="D62" s="18"/>
      <c r="E62" s="18"/>
      <c r="F62" s="23"/>
      <c r="G62" s="23"/>
      <c r="H62" s="17" t="s">
        <v>12</v>
      </c>
    </row>
    <row r="63" spans="1:8" x14ac:dyDescent="0.2">
      <c r="A63" s="18"/>
      <c r="B63" s="18"/>
      <c r="C63" s="19" t="s">
        <v>11</v>
      </c>
      <c r="D63" s="18"/>
      <c r="E63" s="18" t="s">
        <v>12</v>
      </c>
      <c r="F63" s="20" t="s">
        <v>13</v>
      </c>
      <c r="G63" s="21">
        <v>0</v>
      </c>
      <c r="H63" s="17" t="s">
        <v>12</v>
      </c>
    </row>
    <row r="64" spans="1:8" x14ac:dyDescent="0.2">
      <c r="A64" s="18"/>
      <c r="B64" s="18"/>
      <c r="C64" s="22"/>
      <c r="D64" s="18"/>
      <c r="E64" s="18"/>
      <c r="F64" s="23"/>
      <c r="G64" s="23"/>
      <c r="H64" s="17" t="s">
        <v>12</v>
      </c>
    </row>
    <row r="65" spans="1:8" x14ac:dyDescent="0.2">
      <c r="A65" s="18"/>
      <c r="B65" s="18"/>
      <c r="C65" s="19" t="s">
        <v>95</v>
      </c>
      <c r="D65" s="18"/>
      <c r="E65" s="18"/>
      <c r="F65" s="24">
        <v>637.40060000000005</v>
      </c>
      <c r="G65" s="21">
        <v>0.23264112000000001</v>
      </c>
      <c r="H65" s="17" t="s">
        <v>12</v>
      </c>
    </row>
    <row r="66" spans="1:8" x14ac:dyDescent="0.2">
      <c r="A66" s="18"/>
      <c r="B66" s="18"/>
      <c r="C66" s="22"/>
      <c r="D66" s="18"/>
      <c r="E66" s="18"/>
      <c r="F66" s="23"/>
      <c r="G66" s="23"/>
      <c r="H66" s="17" t="s">
        <v>12</v>
      </c>
    </row>
    <row r="67" spans="1:8" x14ac:dyDescent="0.2">
      <c r="A67" s="18"/>
      <c r="B67" s="18"/>
      <c r="C67" s="19" t="s">
        <v>96</v>
      </c>
      <c r="D67" s="18"/>
      <c r="E67" s="18"/>
      <c r="F67" s="23"/>
      <c r="G67" s="23"/>
      <c r="H67" s="17" t="s">
        <v>12</v>
      </c>
    </row>
    <row r="68" spans="1:8" x14ac:dyDescent="0.2">
      <c r="A68" s="18"/>
      <c r="B68" s="18"/>
      <c r="C68" s="19" t="s">
        <v>97</v>
      </c>
      <c r="D68" s="18"/>
      <c r="E68" s="18"/>
      <c r="F68" s="23"/>
      <c r="G68" s="23"/>
      <c r="H68" s="17" t="s">
        <v>12</v>
      </c>
    </row>
    <row r="69" spans="1:8" x14ac:dyDescent="0.2">
      <c r="A69" s="18"/>
      <c r="B69" s="18"/>
      <c r="C69" s="19" t="s">
        <v>11</v>
      </c>
      <c r="D69" s="18"/>
      <c r="E69" s="18" t="s">
        <v>12</v>
      </c>
      <c r="F69" s="20" t="s">
        <v>13</v>
      </c>
      <c r="G69" s="21">
        <v>0</v>
      </c>
      <c r="H69" s="17" t="s">
        <v>12</v>
      </c>
    </row>
    <row r="70" spans="1:8" x14ac:dyDescent="0.2">
      <c r="A70" s="18"/>
      <c r="B70" s="18"/>
      <c r="C70" s="22"/>
      <c r="D70" s="18"/>
      <c r="E70" s="18"/>
      <c r="F70" s="23"/>
      <c r="G70" s="23"/>
      <c r="H70" s="17" t="s">
        <v>12</v>
      </c>
    </row>
    <row r="71" spans="1:8" x14ac:dyDescent="0.2">
      <c r="A71" s="18"/>
      <c r="B71" s="18"/>
      <c r="C71" s="19" t="s">
        <v>98</v>
      </c>
      <c r="D71" s="18"/>
      <c r="E71" s="18"/>
      <c r="F71" s="23"/>
      <c r="G71" s="23"/>
      <c r="H71" s="17" t="s">
        <v>12</v>
      </c>
    </row>
    <row r="72" spans="1:8" x14ac:dyDescent="0.2">
      <c r="A72" s="18"/>
      <c r="B72" s="18"/>
      <c r="C72" s="19" t="s">
        <v>11</v>
      </c>
      <c r="D72" s="18"/>
      <c r="E72" s="18" t="s">
        <v>12</v>
      </c>
      <c r="F72" s="20" t="s">
        <v>13</v>
      </c>
      <c r="G72" s="21">
        <v>0</v>
      </c>
      <c r="H72" s="17" t="s">
        <v>12</v>
      </c>
    </row>
    <row r="73" spans="1:8" x14ac:dyDescent="0.2">
      <c r="A73" s="18"/>
      <c r="B73" s="18"/>
      <c r="C73" s="22"/>
      <c r="D73" s="18"/>
      <c r="E73" s="18"/>
      <c r="F73" s="23"/>
      <c r="G73" s="23"/>
      <c r="H73" s="17" t="s">
        <v>12</v>
      </c>
    </row>
    <row r="74" spans="1:8" x14ac:dyDescent="0.2">
      <c r="A74" s="18"/>
      <c r="B74" s="18"/>
      <c r="C74" s="19" t="s">
        <v>99</v>
      </c>
      <c r="D74" s="18"/>
      <c r="E74" s="18"/>
      <c r="F74" s="23"/>
      <c r="G74" s="23"/>
      <c r="H74" s="17" t="s">
        <v>12</v>
      </c>
    </row>
    <row r="75" spans="1:8" x14ac:dyDescent="0.2">
      <c r="A75" s="18"/>
      <c r="B75" s="18"/>
      <c r="C75" s="19" t="s">
        <v>11</v>
      </c>
      <c r="D75" s="18"/>
      <c r="E75" s="18" t="s">
        <v>12</v>
      </c>
      <c r="F75" s="20" t="s">
        <v>13</v>
      </c>
      <c r="G75" s="21">
        <v>0</v>
      </c>
      <c r="H75" s="17" t="s">
        <v>12</v>
      </c>
    </row>
    <row r="76" spans="1:8" x14ac:dyDescent="0.2">
      <c r="A76" s="18"/>
      <c r="B76" s="18"/>
      <c r="C76" s="22"/>
      <c r="D76" s="18"/>
      <c r="E76" s="18"/>
      <c r="F76" s="23"/>
      <c r="G76" s="23"/>
      <c r="H76" s="17" t="s">
        <v>12</v>
      </c>
    </row>
    <row r="77" spans="1:8" x14ac:dyDescent="0.2">
      <c r="A77" s="18"/>
      <c r="B77" s="18"/>
      <c r="C77" s="19" t="s">
        <v>100</v>
      </c>
      <c r="D77" s="18"/>
      <c r="E77" s="18"/>
      <c r="F77" s="23"/>
      <c r="G77" s="23"/>
      <c r="H77" s="17" t="s">
        <v>12</v>
      </c>
    </row>
    <row r="78" spans="1:8" x14ac:dyDescent="0.2">
      <c r="A78" s="25">
        <v>1</v>
      </c>
      <c r="B78" s="26"/>
      <c r="C78" s="26" t="s">
        <v>101</v>
      </c>
      <c r="D78" s="26"/>
      <c r="E78" s="30"/>
      <c r="F78" s="28">
        <v>1487.5635109929999</v>
      </c>
      <c r="G78" s="29">
        <v>0.54293712000000005</v>
      </c>
      <c r="H78" s="17">
        <v>5.69</v>
      </c>
    </row>
    <row r="79" spans="1:8" x14ac:dyDescent="0.2">
      <c r="A79" s="18"/>
      <c r="B79" s="18"/>
      <c r="C79" s="19" t="s">
        <v>11</v>
      </c>
      <c r="D79" s="18"/>
      <c r="E79" s="18" t="s">
        <v>12</v>
      </c>
      <c r="F79" s="24">
        <v>1487.5635109929999</v>
      </c>
      <c r="G79" s="21">
        <v>0.54293712000000005</v>
      </c>
      <c r="H79" s="17" t="s">
        <v>12</v>
      </c>
    </row>
    <row r="80" spans="1:8" x14ac:dyDescent="0.2">
      <c r="A80" s="18"/>
      <c r="B80" s="18"/>
      <c r="C80" s="22"/>
      <c r="D80" s="18"/>
      <c r="E80" s="18"/>
      <c r="F80" s="23"/>
      <c r="G80" s="23"/>
      <c r="H80" s="17" t="s">
        <v>12</v>
      </c>
    </row>
    <row r="81" spans="1:17" x14ac:dyDescent="0.2">
      <c r="A81" s="18"/>
      <c r="B81" s="18"/>
      <c r="C81" s="19" t="s">
        <v>102</v>
      </c>
      <c r="D81" s="18"/>
      <c r="E81" s="18"/>
      <c r="F81" s="24">
        <v>1487.5635109929999</v>
      </c>
      <c r="G81" s="21">
        <v>0.54293712000000005</v>
      </c>
      <c r="H81" s="17" t="s">
        <v>12</v>
      </c>
    </row>
    <row r="82" spans="1:17" x14ac:dyDescent="0.2">
      <c r="A82" s="18"/>
      <c r="B82" s="18"/>
      <c r="C82" s="23"/>
      <c r="D82" s="18"/>
      <c r="E82" s="18"/>
      <c r="F82" s="18"/>
      <c r="G82" s="18"/>
      <c r="H82" s="17" t="s">
        <v>12</v>
      </c>
    </row>
    <row r="83" spans="1:17" x14ac:dyDescent="0.2">
      <c r="A83" s="18"/>
      <c r="B83" s="18"/>
      <c r="C83" s="19" t="s">
        <v>103</v>
      </c>
      <c r="D83" s="18"/>
      <c r="E83" s="18"/>
      <c r="F83" s="18"/>
      <c r="G83" s="18"/>
      <c r="H83" s="17" t="s">
        <v>12</v>
      </c>
    </row>
    <row r="84" spans="1:17" x14ac:dyDescent="0.2">
      <c r="A84" s="18"/>
      <c r="B84" s="18"/>
      <c r="C84" s="19" t="s">
        <v>104</v>
      </c>
      <c r="D84" s="18"/>
      <c r="E84" s="18"/>
      <c r="F84" s="18"/>
      <c r="G84" s="18"/>
      <c r="H84" s="17" t="s">
        <v>12</v>
      </c>
    </row>
    <row r="85" spans="1:17" x14ac:dyDescent="0.2">
      <c r="A85" s="18"/>
      <c r="B85" s="18"/>
      <c r="C85" s="19" t="s">
        <v>11</v>
      </c>
      <c r="D85" s="18"/>
      <c r="E85" s="18" t="s">
        <v>12</v>
      </c>
      <c r="F85" s="20" t="s">
        <v>13</v>
      </c>
      <c r="G85" s="21">
        <v>0</v>
      </c>
      <c r="H85" s="17" t="s">
        <v>12</v>
      </c>
    </row>
    <row r="86" spans="1:17" x14ac:dyDescent="0.2">
      <c r="A86" s="15"/>
      <c r="B86" s="15"/>
      <c r="C86" s="70"/>
      <c r="D86" s="15"/>
      <c r="E86" s="15"/>
      <c r="F86" s="40"/>
      <c r="G86" s="40"/>
      <c r="H86" s="71" t="s">
        <v>12</v>
      </c>
    </row>
    <row r="87" spans="1:17" x14ac:dyDescent="0.2">
      <c r="A87" s="15"/>
      <c r="B87" s="15"/>
      <c r="C87" s="16" t="s">
        <v>549</v>
      </c>
      <c r="D87" s="15"/>
      <c r="E87" s="15"/>
      <c r="F87" s="40"/>
      <c r="G87" s="40"/>
      <c r="H87" s="67"/>
      <c r="K87" s="51"/>
      <c r="L87" s="51"/>
      <c r="M87" s="51"/>
      <c r="N87" s="51"/>
      <c r="O87" s="72"/>
      <c r="P87" s="72"/>
      <c r="Q87" s="72"/>
    </row>
    <row r="88" spans="1:17" ht="25.5" x14ac:dyDescent="0.2">
      <c r="A88" s="64">
        <v>1</v>
      </c>
      <c r="B88" s="65" t="s">
        <v>105</v>
      </c>
      <c r="C88" s="65" t="s">
        <v>106</v>
      </c>
      <c r="D88" s="65"/>
      <c r="E88" s="73">
        <v>76.796000000000006</v>
      </c>
      <c r="F88" s="67">
        <v>8.5640037010000007</v>
      </c>
      <c r="G88" s="68">
        <v>3.1257300000000002E-3</v>
      </c>
      <c r="H88" s="71"/>
    </row>
    <row r="89" spans="1:17" x14ac:dyDescent="0.2">
      <c r="A89" s="15"/>
      <c r="B89" s="15"/>
      <c r="C89" s="16" t="s">
        <v>11</v>
      </c>
      <c r="D89" s="15"/>
      <c r="E89" s="15" t="s">
        <v>12</v>
      </c>
      <c r="F89" s="74">
        <f>SUM(F88)</f>
        <v>8.5640037010000007</v>
      </c>
      <c r="G89" s="75">
        <f>SUM(G88)</f>
        <v>3.1257300000000002E-3</v>
      </c>
      <c r="H89" s="71" t="s">
        <v>12</v>
      </c>
    </row>
    <row r="90" spans="1:17" x14ac:dyDescent="0.2">
      <c r="A90" s="18"/>
      <c r="B90" s="18"/>
      <c r="C90" s="22"/>
      <c r="D90" s="18"/>
      <c r="E90" s="18"/>
      <c r="F90" s="23"/>
      <c r="G90" s="23"/>
      <c r="H90" s="17" t="s">
        <v>12</v>
      </c>
    </row>
    <row r="91" spans="1:17" x14ac:dyDescent="0.2">
      <c r="A91" s="18"/>
      <c r="B91" s="18"/>
      <c r="C91" s="19" t="s">
        <v>107</v>
      </c>
      <c r="D91" s="18"/>
      <c r="E91" s="18"/>
      <c r="F91" s="18"/>
      <c r="G91" s="18"/>
      <c r="H91" s="17" t="s">
        <v>12</v>
      </c>
    </row>
    <row r="92" spans="1:17" x14ac:dyDescent="0.2">
      <c r="A92" s="18"/>
      <c r="B92" s="18"/>
      <c r="C92" s="19" t="s">
        <v>108</v>
      </c>
      <c r="D92" s="18"/>
      <c r="E92" s="18"/>
      <c r="F92" s="18"/>
      <c r="G92" s="18"/>
      <c r="H92" s="17" t="s">
        <v>12</v>
      </c>
    </row>
    <row r="93" spans="1:17" x14ac:dyDescent="0.2">
      <c r="A93" s="18"/>
      <c r="B93" s="18"/>
      <c r="C93" s="19" t="s">
        <v>11</v>
      </c>
      <c r="D93" s="18"/>
      <c r="E93" s="18" t="s">
        <v>12</v>
      </c>
      <c r="F93" s="20" t="s">
        <v>13</v>
      </c>
      <c r="G93" s="21">
        <v>0</v>
      </c>
      <c r="H93" s="17" t="s">
        <v>12</v>
      </c>
    </row>
    <row r="94" spans="1:17" x14ac:dyDescent="0.2">
      <c r="A94" s="18"/>
      <c r="B94" s="18"/>
      <c r="C94" s="22"/>
      <c r="D94" s="18"/>
      <c r="E94" s="18"/>
      <c r="F94" s="23"/>
      <c r="G94" s="23"/>
      <c r="H94" s="17" t="s">
        <v>12</v>
      </c>
    </row>
    <row r="95" spans="1:17" x14ac:dyDescent="0.2">
      <c r="A95" s="18"/>
      <c r="B95" s="18"/>
      <c r="C95" s="19" t="s">
        <v>109</v>
      </c>
      <c r="D95" s="18"/>
      <c r="E95" s="18"/>
      <c r="F95" s="23"/>
      <c r="G95" s="23"/>
      <c r="H95" s="17" t="s">
        <v>12</v>
      </c>
    </row>
    <row r="96" spans="1:17" x14ac:dyDescent="0.2">
      <c r="A96" s="18"/>
      <c r="B96" s="18"/>
      <c r="C96" s="19" t="s">
        <v>11</v>
      </c>
      <c r="D96" s="18"/>
      <c r="E96" s="18" t="s">
        <v>12</v>
      </c>
      <c r="F96" s="20" t="s">
        <v>13</v>
      </c>
      <c r="G96" s="21">
        <v>0</v>
      </c>
      <c r="H96" s="17" t="s">
        <v>12</v>
      </c>
    </row>
    <row r="97" spans="1:8" x14ac:dyDescent="0.2">
      <c r="A97" s="18"/>
      <c r="B97" s="18"/>
      <c r="C97" s="22"/>
      <c r="D97" s="18"/>
      <c r="E97" s="18"/>
      <c r="F97" s="23"/>
      <c r="G97" s="23"/>
      <c r="H97" s="17" t="s">
        <v>12</v>
      </c>
    </row>
    <row r="98" spans="1:8" x14ac:dyDescent="0.2">
      <c r="A98" s="30"/>
      <c r="B98" s="26"/>
      <c r="C98" s="26" t="s">
        <v>110</v>
      </c>
      <c r="D98" s="26"/>
      <c r="E98" s="30"/>
      <c r="F98" s="28">
        <v>39.382534890000002</v>
      </c>
      <c r="G98" s="29">
        <v>1.4374E-2</v>
      </c>
      <c r="H98" s="17" t="s">
        <v>12</v>
      </c>
    </row>
    <row r="99" spans="1:8" x14ac:dyDescent="0.2">
      <c r="A99" s="22"/>
      <c r="B99" s="22"/>
      <c r="C99" s="19" t="s">
        <v>111</v>
      </c>
      <c r="D99" s="23"/>
      <c r="E99" s="23"/>
      <c r="F99" s="24">
        <f>F98+F89+F81+F65+F48</f>
        <v>2739.8449115840003</v>
      </c>
      <c r="G99" s="31">
        <f>G98+G89+G81+G65+G48</f>
        <v>0.99999999916940019</v>
      </c>
      <c r="H99" s="17" t="s">
        <v>12</v>
      </c>
    </row>
    <row r="100" spans="1:8" x14ac:dyDescent="0.2">
      <c r="A100" s="32"/>
      <c r="B100" s="32"/>
      <c r="C100" s="32"/>
      <c r="D100" s="33"/>
      <c r="E100" s="33"/>
      <c r="F100" s="33"/>
      <c r="G100" s="33"/>
    </row>
    <row r="101" spans="1:8" x14ac:dyDescent="0.2">
      <c r="A101" s="34"/>
      <c r="B101" s="148" t="s">
        <v>545</v>
      </c>
      <c r="C101" s="148"/>
      <c r="D101" s="148"/>
      <c r="E101" s="148"/>
      <c r="F101" s="148"/>
      <c r="G101" s="148"/>
      <c r="H101" s="148"/>
    </row>
    <row r="102" spans="1:8" x14ac:dyDescent="0.2">
      <c r="A102" s="34"/>
      <c r="B102" s="148" t="s">
        <v>546</v>
      </c>
      <c r="C102" s="148"/>
      <c r="D102" s="148"/>
      <c r="E102" s="148"/>
      <c r="F102" s="148"/>
      <c r="G102" s="148"/>
      <c r="H102" s="148"/>
    </row>
    <row r="103" spans="1:8" x14ac:dyDescent="0.2">
      <c r="A103" s="34"/>
      <c r="B103" s="148" t="s">
        <v>547</v>
      </c>
      <c r="C103" s="148"/>
      <c r="D103" s="148"/>
      <c r="E103" s="148"/>
      <c r="F103" s="148"/>
      <c r="G103" s="148"/>
      <c r="H103" s="148"/>
    </row>
    <row r="104" spans="1:8" x14ac:dyDescent="0.2">
      <c r="A104" s="36"/>
      <c r="B104" s="36"/>
      <c r="C104" s="36"/>
      <c r="D104" s="37"/>
      <c r="E104" s="37"/>
      <c r="F104" s="37"/>
      <c r="G104" s="37"/>
    </row>
    <row r="105" spans="1:8" x14ac:dyDescent="0.2">
      <c r="A105" s="34"/>
      <c r="B105" s="150" t="s">
        <v>112</v>
      </c>
      <c r="C105" s="151"/>
      <c r="D105" s="152"/>
      <c r="E105" s="38"/>
      <c r="F105" s="39"/>
      <c r="G105" s="39"/>
    </row>
    <row r="106" spans="1:8" ht="25.5" x14ac:dyDescent="0.2">
      <c r="A106" s="34"/>
      <c r="B106" s="153" t="s">
        <v>113</v>
      </c>
      <c r="C106" s="154"/>
      <c r="D106" s="16" t="s">
        <v>634</v>
      </c>
      <c r="E106" s="38"/>
      <c r="F106" s="39"/>
      <c r="G106" s="39"/>
    </row>
    <row r="107" spans="1:8" x14ac:dyDescent="0.2">
      <c r="A107" s="34"/>
      <c r="B107" s="153" t="s">
        <v>115</v>
      </c>
      <c r="C107" s="154"/>
      <c r="D107" s="16" t="s">
        <v>114</v>
      </c>
      <c r="E107" s="38"/>
      <c r="F107" s="39"/>
      <c r="G107" s="39"/>
    </row>
    <row r="108" spans="1:8" x14ac:dyDescent="0.2">
      <c r="A108" s="34"/>
      <c r="B108" s="153" t="s">
        <v>116</v>
      </c>
      <c r="C108" s="154"/>
      <c r="D108" s="40" t="s">
        <v>12</v>
      </c>
      <c r="E108" s="38"/>
      <c r="F108" s="39"/>
      <c r="G108" s="39"/>
    </row>
    <row r="109" spans="1:8" x14ac:dyDescent="0.2">
      <c r="A109" s="41"/>
      <c r="B109" s="42" t="s">
        <v>12</v>
      </c>
      <c r="C109" s="42" t="s">
        <v>548</v>
      </c>
      <c r="D109" s="42" t="s">
        <v>117</v>
      </c>
      <c r="E109" s="41"/>
      <c r="F109" s="41"/>
      <c r="G109" s="41"/>
    </row>
    <row r="110" spans="1:8" x14ac:dyDescent="0.2">
      <c r="A110" s="41"/>
      <c r="B110" s="43" t="s">
        <v>118</v>
      </c>
      <c r="C110" s="44">
        <v>45777</v>
      </c>
      <c r="D110" s="44">
        <v>45792</v>
      </c>
      <c r="E110" s="41"/>
      <c r="F110" s="41"/>
      <c r="G110" s="41"/>
    </row>
    <row r="111" spans="1:8" x14ac:dyDescent="0.2">
      <c r="A111" s="45"/>
      <c r="B111" s="26" t="s">
        <v>119</v>
      </c>
      <c r="C111" s="46">
        <v>32.6464</v>
      </c>
      <c r="D111" s="46">
        <v>32.817799999999998</v>
      </c>
      <c r="E111" s="45"/>
      <c r="F111" s="47"/>
      <c r="G111" s="48"/>
    </row>
    <row r="112" spans="1:8" ht="25.5" x14ac:dyDescent="0.2">
      <c r="A112" s="45"/>
      <c r="B112" s="26" t="s">
        <v>673</v>
      </c>
      <c r="C112" s="46">
        <v>13.754200000000001</v>
      </c>
      <c r="D112" s="46">
        <v>13.8264</v>
      </c>
      <c r="E112" s="45"/>
      <c r="F112" s="47"/>
      <c r="G112" s="48"/>
    </row>
    <row r="113" spans="1:18" ht="25.5" x14ac:dyDescent="0.2">
      <c r="A113" s="45"/>
      <c r="B113" s="26" t="s">
        <v>674</v>
      </c>
      <c r="C113" s="46">
        <v>21.489699999999999</v>
      </c>
      <c r="D113" s="46">
        <v>21.602499999999999</v>
      </c>
      <c r="E113" s="45"/>
      <c r="F113" s="47"/>
      <c r="G113" s="48"/>
    </row>
    <row r="114" spans="1:18" ht="25.5" x14ac:dyDescent="0.2">
      <c r="A114" s="45"/>
      <c r="B114" s="26" t="s">
        <v>675</v>
      </c>
      <c r="C114" s="46">
        <v>21.394300000000001</v>
      </c>
      <c r="D114" s="46">
        <v>21.506599999999999</v>
      </c>
      <c r="E114" s="45"/>
      <c r="F114" s="47"/>
      <c r="G114" s="48"/>
    </row>
    <row r="115" spans="1:18" x14ac:dyDescent="0.2">
      <c r="A115" s="45"/>
      <c r="B115" s="26" t="s">
        <v>120</v>
      </c>
      <c r="C115" s="46">
        <v>29.6693</v>
      </c>
      <c r="D115" s="46">
        <v>29.812899999999999</v>
      </c>
      <c r="E115" s="45"/>
      <c r="F115" s="47"/>
      <c r="G115" s="48"/>
    </row>
    <row r="116" spans="1:18" ht="25.5" x14ac:dyDescent="0.2">
      <c r="A116" s="45"/>
      <c r="B116" s="26" t="s">
        <v>677</v>
      </c>
      <c r="C116" s="46">
        <v>13.6105</v>
      </c>
      <c r="D116" s="46">
        <v>13.676399999999999</v>
      </c>
      <c r="E116" s="45"/>
      <c r="F116" s="47"/>
      <c r="G116" s="48"/>
    </row>
    <row r="117" spans="1:18" ht="25.5" x14ac:dyDescent="0.2">
      <c r="A117" s="45"/>
      <c r="B117" s="26" t="s">
        <v>648</v>
      </c>
      <c r="C117" s="46">
        <v>19.415700000000001</v>
      </c>
      <c r="D117" s="46">
        <v>19.509599999999999</v>
      </c>
      <c r="E117" s="45"/>
      <c r="F117" s="47"/>
      <c r="G117" s="48"/>
    </row>
    <row r="118" spans="1:18" ht="25.5" x14ac:dyDescent="0.2">
      <c r="A118" s="45"/>
      <c r="B118" s="26" t="s">
        <v>678</v>
      </c>
      <c r="C118" s="46">
        <v>19.247499999999999</v>
      </c>
      <c r="D118" s="46">
        <v>19.340599999999998</v>
      </c>
      <c r="E118" s="45"/>
      <c r="F118" s="47"/>
      <c r="G118" s="48"/>
    </row>
    <row r="119" spans="1:18" x14ac:dyDescent="0.2">
      <c r="A119" s="45"/>
      <c r="B119" s="45"/>
      <c r="C119" s="45"/>
      <c r="D119" s="45"/>
      <c r="E119" s="45"/>
      <c r="F119" s="45"/>
      <c r="G119" s="45"/>
    </row>
    <row r="120" spans="1:18" x14ac:dyDescent="0.2">
      <c r="A120" s="45"/>
      <c r="B120" s="155" t="s">
        <v>649</v>
      </c>
      <c r="C120" s="156"/>
      <c r="D120" s="16" t="s">
        <v>114</v>
      </c>
      <c r="E120" s="45"/>
      <c r="F120" s="45"/>
      <c r="G120" s="45"/>
    </row>
    <row r="121" spans="1:18" x14ac:dyDescent="0.2">
      <c r="A121" s="45"/>
      <c r="B121" s="49"/>
      <c r="C121" s="49"/>
      <c r="D121" s="49"/>
      <c r="E121" s="45"/>
      <c r="F121" s="45"/>
      <c r="G121" s="45"/>
    </row>
    <row r="122" spans="1:18" x14ac:dyDescent="0.2">
      <c r="A122" s="41"/>
      <c r="B122" s="153" t="s">
        <v>121</v>
      </c>
      <c r="C122" s="154"/>
      <c r="D122" s="16" t="s">
        <v>114</v>
      </c>
      <c r="E122" s="50"/>
      <c r="F122" s="41"/>
      <c r="G122" s="41"/>
      <c r="J122" s="14"/>
    </row>
    <row r="123" spans="1:18" x14ac:dyDescent="0.2">
      <c r="A123" s="41"/>
      <c r="B123" s="153" t="s">
        <v>122</v>
      </c>
      <c r="C123" s="154"/>
      <c r="D123" s="16" t="s">
        <v>114</v>
      </c>
      <c r="E123" s="50"/>
      <c r="F123" s="41"/>
      <c r="G123" s="41"/>
      <c r="J123" s="14"/>
    </row>
    <row r="124" spans="1:18" x14ac:dyDescent="0.2">
      <c r="A124" s="41"/>
      <c r="B124" s="153" t="s">
        <v>550</v>
      </c>
      <c r="C124" s="154"/>
      <c r="D124" s="16" t="s">
        <v>114</v>
      </c>
      <c r="E124" s="50"/>
      <c r="F124" s="41"/>
      <c r="G124" s="41"/>
      <c r="J124" s="14"/>
    </row>
    <row r="125" spans="1:18" x14ac:dyDescent="0.2">
      <c r="A125" s="49"/>
      <c r="B125" s="49"/>
      <c r="C125" s="49"/>
      <c r="D125" s="49"/>
      <c r="E125" s="49"/>
      <c r="F125" s="49"/>
      <c r="G125" s="49"/>
      <c r="J125" s="14"/>
    </row>
    <row r="126" spans="1:18" s="52" customFormat="1" x14ac:dyDescent="0.2">
      <c r="B126" s="157" t="s">
        <v>551</v>
      </c>
      <c r="C126" s="158"/>
      <c r="D126" s="159"/>
      <c r="I126"/>
      <c r="J126" s="14"/>
      <c r="K126" s="51"/>
      <c r="L126" s="51"/>
      <c r="M126" s="51"/>
      <c r="N126" s="51"/>
      <c r="O126"/>
      <c r="R126"/>
    </row>
    <row r="127" spans="1:18" s="52" customFormat="1" ht="38.25" x14ac:dyDescent="0.2">
      <c r="B127" s="149" t="s">
        <v>552</v>
      </c>
      <c r="C127" s="149"/>
      <c r="D127" s="54" t="s">
        <v>476</v>
      </c>
      <c r="I127"/>
      <c r="J127" s="14"/>
      <c r="K127" s="51"/>
      <c r="L127" s="51"/>
      <c r="M127" s="51"/>
      <c r="N127" s="51"/>
      <c r="O127"/>
      <c r="R127"/>
    </row>
    <row r="128" spans="1:18" s="52" customFormat="1" x14ac:dyDescent="0.2">
      <c r="B128" s="145" t="s">
        <v>553</v>
      </c>
      <c r="C128" s="145"/>
      <c r="D128" s="55"/>
      <c r="I128"/>
      <c r="J128" s="14"/>
      <c r="K128" s="51"/>
      <c r="L128" s="51"/>
      <c r="M128" s="51"/>
      <c r="N128" s="51"/>
      <c r="O128"/>
      <c r="R128"/>
    </row>
    <row r="129" spans="2:16" s="52" customFormat="1" x14ac:dyDescent="0.2">
      <c r="B129" s="145"/>
      <c r="C129" s="145"/>
      <c r="D129" s="56"/>
      <c r="I129"/>
      <c r="J129" s="14"/>
      <c r="K129" s="51"/>
      <c r="L129" s="51"/>
      <c r="M129" s="51"/>
      <c r="N129" s="51"/>
      <c r="O129"/>
    </row>
    <row r="130" spans="2:16" s="52" customFormat="1" x14ac:dyDescent="0.2">
      <c r="B130" s="145" t="s">
        <v>554</v>
      </c>
      <c r="C130" s="145"/>
      <c r="D130" s="57">
        <v>6.0448999813119544</v>
      </c>
      <c r="I130"/>
      <c r="J130" s="14"/>
      <c r="K130" s="51"/>
      <c r="L130" s="51"/>
      <c r="M130" s="51"/>
      <c r="N130" s="51"/>
      <c r="O130"/>
    </row>
    <row r="131" spans="2:16" s="52" customFormat="1" x14ac:dyDescent="0.2">
      <c r="B131" s="145"/>
      <c r="C131" s="145"/>
      <c r="D131" s="56"/>
      <c r="I131"/>
      <c r="J131" s="14"/>
      <c r="K131" s="51"/>
      <c r="L131" s="51"/>
      <c r="M131" s="51"/>
      <c r="N131" s="51"/>
      <c r="O131"/>
    </row>
    <row r="132" spans="2:16" s="52" customFormat="1" x14ac:dyDescent="0.2">
      <c r="B132" s="145" t="s">
        <v>661</v>
      </c>
      <c r="C132" s="145"/>
      <c r="D132" s="57">
        <v>3.4622515582843132</v>
      </c>
      <c r="I132"/>
      <c r="J132" s="14"/>
      <c r="K132" s="51"/>
      <c r="L132" s="51"/>
      <c r="M132" s="51"/>
      <c r="N132" s="51"/>
      <c r="O132"/>
    </row>
    <row r="133" spans="2:16" s="52" customFormat="1" x14ac:dyDescent="0.2">
      <c r="B133" s="145" t="s">
        <v>662</v>
      </c>
      <c r="C133" s="145"/>
      <c r="D133" s="57">
        <v>7.5424552872286288</v>
      </c>
      <c r="I133"/>
      <c r="J133" s="14"/>
      <c r="K133" s="51"/>
      <c r="L133" s="51"/>
      <c r="M133" s="51"/>
      <c r="N133" s="51"/>
      <c r="O133"/>
    </row>
    <row r="134" spans="2:16" s="52" customFormat="1" x14ac:dyDescent="0.2">
      <c r="B134" s="145"/>
      <c r="C134" s="145"/>
      <c r="D134" s="56"/>
      <c r="I134"/>
      <c r="J134" s="14"/>
      <c r="K134" s="51"/>
      <c r="L134" s="51"/>
      <c r="M134" s="51"/>
      <c r="N134" s="51"/>
      <c r="O134"/>
    </row>
    <row r="135" spans="2:16" s="52" customFormat="1" x14ac:dyDescent="0.2">
      <c r="B135" s="145" t="s">
        <v>557</v>
      </c>
      <c r="C135" s="145"/>
      <c r="D135" s="76" t="s">
        <v>680</v>
      </c>
      <c r="I135"/>
      <c r="J135" s="14"/>
      <c r="K135" s="51"/>
      <c r="L135" s="51"/>
      <c r="M135" s="51"/>
      <c r="N135" s="51"/>
      <c r="O135"/>
    </row>
    <row r="136" spans="2:16" s="52" customFormat="1" x14ac:dyDescent="0.2">
      <c r="B136" s="143" t="s">
        <v>558</v>
      </c>
      <c r="C136" s="146"/>
      <c r="D136" s="144"/>
      <c r="I136"/>
      <c r="J136" s="14"/>
      <c r="K136" s="51"/>
      <c r="L136" s="51"/>
      <c r="M136" s="51"/>
      <c r="N136" s="51"/>
      <c r="O136"/>
    </row>
    <row r="137" spans="2:16" x14ac:dyDescent="0.2">
      <c r="J137" s="14"/>
    </row>
    <row r="138" spans="2:16" ht="13.5" x14ac:dyDescent="0.2">
      <c r="B138" s="213" t="s">
        <v>684</v>
      </c>
      <c r="C138" s="213"/>
      <c r="D138" s="213"/>
      <c r="E138" s="213"/>
      <c r="F138" s="213"/>
      <c r="G138" s="213"/>
      <c r="H138" s="213"/>
      <c r="I138" s="51"/>
      <c r="J138" s="14"/>
      <c r="K138" s="51"/>
      <c r="L138" s="51"/>
      <c r="M138" s="51"/>
      <c r="N138" s="51"/>
      <c r="O138" s="51"/>
      <c r="P138" s="51"/>
    </row>
    <row r="139" spans="2:16" s="53" customFormat="1" ht="26.25" customHeight="1" x14ac:dyDescent="0.2">
      <c r="B139" s="77" t="s">
        <v>574</v>
      </c>
      <c r="C139" s="77" t="s">
        <v>575</v>
      </c>
      <c r="D139" s="180" t="s">
        <v>663</v>
      </c>
      <c r="E139" s="180"/>
      <c r="F139" s="180"/>
      <c r="G139" s="179" t="s">
        <v>577</v>
      </c>
      <c r="H139" s="179"/>
      <c r="J139" s="14"/>
      <c r="K139" s="79"/>
      <c r="L139" s="79"/>
      <c r="M139" s="79"/>
      <c r="N139" s="79"/>
      <c r="O139" s="79"/>
      <c r="P139" s="79"/>
    </row>
    <row r="140" spans="2:16" ht="27" x14ac:dyDescent="0.25">
      <c r="B140" s="80" t="s">
        <v>615</v>
      </c>
      <c r="C140" s="81" t="s">
        <v>664</v>
      </c>
      <c r="D140" s="181">
        <v>0</v>
      </c>
      <c r="E140" s="181"/>
      <c r="F140" s="181"/>
      <c r="G140" s="181">
        <v>0</v>
      </c>
      <c r="H140" s="181"/>
      <c r="J140" s="14"/>
      <c r="K140" s="51"/>
      <c r="L140" s="51"/>
      <c r="M140" s="51"/>
      <c r="N140" s="51"/>
      <c r="O140" s="51"/>
      <c r="P140" s="51"/>
    </row>
    <row r="141" spans="2:16" ht="13.5" x14ac:dyDescent="0.25">
      <c r="B141" s="82"/>
      <c r="C141" s="82"/>
      <c r="D141" s="182"/>
      <c r="E141" s="182"/>
      <c r="F141" s="182"/>
      <c r="G141" s="182"/>
      <c r="H141" s="182"/>
      <c r="J141" s="14"/>
      <c r="K141" s="51"/>
      <c r="L141" s="51"/>
      <c r="M141" s="51"/>
      <c r="N141" s="51"/>
      <c r="O141" s="51"/>
      <c r="P141" s="51"/>
    </row>
    <row r="142" spans="2:16" ht="13.5" x14ac:dyDescent="0.25">
      <c r="B142" s="183" t="s">
        <v>584</v>
      </c>
      <c r="C142" s="183"/>
      <c r="D142" s="183"/>
      <c r="E142" s="183"/>
      <c r="F142" s="183"/>
      <c r="G142" s="183"/>
      <c r="H142" s="183"/>
      <c r="J142" s="14"/>
      <c r="K142" s="51"/>
      <c r="L142" s="51"/>
      <c r="M142" s="51"/>
      <c r="N142" s="51"/>
      <c r="O142" s="51"/>
      <c r="P142" s="51"/>
    </row>
    <row r="143" spans="2:16" ht="13.5" customHeight="1" x14ac:dyDescent="0.2">
      <c r="B143" s="179" t="s">
        <v>574</v>
      </c>
      <c r="C143" s="179" t="s">
        <v>575</v>
      </c>
      <c r="D143" s="179" t="s">
        <v>618</v>
      </c>
      <c r="E143" s="179"/>
      <c r="F143" s="179"/>
      <c r="G143" s="179"/>
      <c r="H143" s="180" t="s">
        <v>665</v>
      </c>
      <c r="I143" s="180" t="s">
        <v>666</v>
      </c>
      <c r="J143" s="180" t="s">
        <v>621</v>
      </c>
      <c r="K143" s="51"/>
      <c r="L143" s="51"/>
      <c r="M143" s="51"/>
      <c r="N143" s="51"/>
      <c r="O143" s="51"/>
      <c r="P143" s="51"/>
    </row>
    <row r="144" spans="2:16" ht="121.5" x14ac:dyDescent="0.2">
      <c r="B144" s="179"/>
      <c r="C144" s="179"/>
      <c r="D144" s="78" t="s">
        <v>622</v>
      </c>
      <c r="E144" s="78" t="s">
        <v>623</v>
      </c>
      <c r="F144" s="78" t="s">
        <v>624</v>
      </c>
      <c r="G144" s="78" t="s">
        <v>654</v>
      </c>
      <c r="H144" s="180"/>
      <c r="I144" s="180"/>
      <c r="J144" s="180"/>
      <c r="K144" s="51"/>
      <c r="L144" s="51"/>
      <c r="M144" s="51"/>
      <c r="N144" s="51"/>
      <c r="O144" s="51"/>
    </row>
    <row r="145" spans="2:16" ht="27" x14ac:dyDescent="0.25">
      <c r="B145" s="82" t="s">
        <v>615</v>
      </c>
      <c r="C145" s="81" t="s">
        <v>667</v>
      </c>
      <c r="D145" s="84">
        <v>500</v>
      </c>
      <c r="E145" s="84">
        <v>9.9405737999999992</v>
      </c>
      <c r="F145" s="85">
        <v>16.00737140547945</v>
      </c>
      <c r="G145" s="84">
        <v>525.94794520547941</v>
      </c>
      <c r="H145" s="2">
        <v>233.40679</v>
      </c>
      <c r="I145" s="2">
        <v>4.01</v>
      </c>
      <c r="J145" s="86">
        <f>H145+I145</f>
        <v>237.41678999999999</v>
      </c>
      <c r="K145" s="51"/>
      <c r="L145" s="51"/>
      <c r="M145" s="51"/>
      <c r="N145" s="51"/>
      <c r="O145" s="51"/>
      <c r="P145" s="51"/>
    </row>
    <row r="146" spans="2:16" x14ac:dyDescent="0.2">
      <c r="J146" s="14"/>
      <c r="P146" s="51"/>
    </row>
    <row r="147" spans="2:16" x14ac:dyDescent="0.2">
      <c r="J147" s="14"/>
      <c r="K147" s="51"/>
      <c r="L147" s="51"/>
      <c r="M147" s="51"/>
      <c r="N147" s="51"/>
      <c r="O147" s="51"/>
      <c r="P147" s="51"/>
    </row>
    <row r="148" spans="2:16" ht="13.5" x14ac:dyDescent="0.25">
      <c r="B148" s="87" t="s">
        <v>604</v>
      </c>
      <c r="J148" s="14"/>
      <c r="K148" s="51"/>
      <c r="L148" s="51"/>
      <c r="M148" s="51"/>
      <c r="N148" s="51"/>
      <c r="O148" s="51"/>
      <c r="P148" s="51"/>
    </row>
    <row r="149" spans="2:16" x14ac:dyDescent="0.2">
      <c r="B149" s="51"/>
      <c r="C149" s="51"/>
      <c r="D149" s="51"/>
      <c r="E149" s="51"/>
      <c r="F149" s="51"/>
      <c r="G149" s="51"/>
      <c r="H149" s="51"/>
      <c r="J149" s="14"/>
      <c r="K149" s="51"/>
      <c r="L149" s="51"/>
      <c r="M149" s="51"/>
      <c r="N149" s="51"/>
      <c r="O149" s="51"/>
      <c r="P149" s="51"/>
    </row>
    <row r="150" spans="2:16" x14ac:dyDescent="0.2">
      <c r="B150" s="88" t="s">
        <v>605</v>
      </c>
      <c r="C150" s="51"/>
      <c r="D150" s="51"/>
      <c r="E150" s="51"/>
      <c r="F150" s="51"/>
      <c r="G150" s="51"/>
      <c r="H150" s="51"/>
      <c r="J150" s="14"/>
      <c r="K150" s="51"/>
      <c r="L150" s="51"/>
      <c r="M150" s="51"/>
      <c r="N150" s="51"/>
      <c r="O150" s="51"/>
      <c r="P150" s="51"/>
    </row>
    <row r="151" spans="2:16" x14ac:dyDescent="0.2">
      <c r="B151" s="51"/>
      <c r="C151" s="51"/>
      <c r="D151" s="51"/>
      <c r="E151" s="51"/>
      <c r="F151" s="51"/>
      <c r="G151" s="51"/>
      <c r="H151" s="51"/>
      <c r="J151" s="14"/>
      <c r="K151" s="51"/>
      <c r="L151" s="51"/>
      <c r="M151" s="51"/>
      <c r="N151" s="51"/>
      <c r="O151" s="51"/>
      <c r="P151" s="51"/>
    </row>
    <row r="152" spans="2:16" x14ac:dyDescent="0.2">
      <c r="B152" s="88" t="s">
        <v>606</v>
      </c>
      <c r="C152" s="51"/>
      <c r="D152" s="51"/>
      <c r="E152" s="51"/>
      <c r="F152" s="51"/>
      <c r="G152" s="51"/>
      <c r="H152" s="51"/>
      <c r="J152" s="14"/>
      <c r="K152" s="51"/>
      <c r="L152" s="51"/>
      <c r="M152" s="51"/>
      <c r="N152" s="51"/>
      <c r="O152" s="51"/>
      <c r="P152" s="51"/>
    </row>
    <row r="153" spans="2:16" x14ac:dyDescent="0.2">
      <c r="J153" s="14"/>
      <c r="K153" s="51"/>
      <c r="L153" s="51"/>
      <c r="M153" s="51"/>
      <c r="N153" s="51"/>
      <c r="O153" s="51"/>
    </row>
    <row r="154" spans="2:16" x14ac:dyDescent="0.2">
      <c r="B154" s="88" t="s">
        <v>607</v>
      </c>
      <c r="J154" s="14"/>
      <c r="K154" s="51"/>
      <c r="L154" s="51"/>
      <c r="M154" s="51"/>
      <c r="N154" s="51"/>
      <c r="O154" s="51"/>
    </row>
    <row r="155" spans="2:16" x14ac:dyDescent="0.2">
      <c r="J155" s="14"/>
    </row>
    <row r="156" spans="2:16" ht="25.5" x14ac:dyDescent="0.2">
      <c r="B156" s="61" t="s">
        <v>559</v>
      </c>
    </row>
    <row r="158" spans="2:16" ht="153.75" customHeight="1" x14ac:dyDescent="0.2"/>
    <row r="161" spans="2:10" x14ac:dyDescent="0.2">
      <c r="B161" s="62" t="s">
        <v>560</v>
      </c>
      <c r="C161" s="63"/>
      <c r="D161" s="62"/>
    </row>
    <row r="162" spans="2:10" x14ac:dyDescent="0.2">
      <c r="B162" s="62" t="s">
        <v>668</v>
      </c>
      <c r="D162" s="62"/>
    </row>
    <row r="163" spans="2:10" ht="165" customHeight="1" x14ac:dyDescent="0.2"/>
    <row r="165" spans="2:10" x14ac:dyDescent="0.2">
      <c r="J165" s="14"/>
    </row>
    <row r="166" spans="2:10" x14ac:dyDescent="0.2">
      <c r="J166" s="14"/>
    </row>
    <row r="167" spans="2:10" x14ac:dyDescent="0.2">
      <c r="J167" s="14"/>
    </row>
    <row r="168" spans="2:10" x14ac:dyDescent="0.2">
      <c r="J168" s="14"/>
    </row>
    <row r="169" spans="2:10" x14ac:dyDescent="0.2">
      <c r="J169" s="14"/>
    </row>
  </sheetData>
  <mergeCells count="39">
    <mergeCell ref="B127:C127"/>
    <mergeCell ref="B128:C128"/>
    <mergeCell ref="B120:C120"/>
    <mergeCell ref="B124:C124"/>
    <mergeCell ref="B122:C122"/>
    <mergeCell ref="B123:C123"/>
    <mergeCell ref="B126:D126"/>
    <mergeCell ref="B103:H103"/>
    <mergeCell ref="B105:D105"/>
    <mergeCell ref="B106:C106"/>
    <mergeCell ref="B107:C107"/>
    <mergeCell ref="B108:C108"/>
    <mergeCell ref="A1:H1"/>
    <mergeCell ref="A3:H3"/>
    <mergeCell ref="A2:H2"/>
    <mergeCell ref="B101:H101"/>
    <mergeCell ref="B102:H102"/>
    <mergeCell ref="B129:C129"/>
    <mergeCell ref="B130:C130"/>
    <mergeCell ref="B131:C131"/>
    <mergeCell ref="B132:C132"/>
    <mergeCell ref="B133:C133"/>
    <mergeCell ref="B134:C134"/>
    <mergeCell ref="B135:C135"/>
    <mergeCell ref="B136:D136"/>
    <mergeCell ref="B138:H138"/>
    <mergeCell ref="D139:F139"/>
    <mergeCell ref="G139:H139"/>
    <mergeCell ref="D140:F140"/>
    <mergeCell ref="G140:H140"/>
    <mergeCell ref="D141:F141"/>
    <mergeCell ref="G141:H141"/>
    <mergeCell ref="B142:H142"/>
    <mergeCell ref="J143:J144"/>
    <mergeCell ref="B143:B144"/>
    <mergeCell ref="C143:C144"/>
    <mergeCell ref="D143:G143"/>
    <mergeCell ref="H143:H144"/>
    <mergeCell ref="I143:I144"/>
  </mergeCells>
  <hyperlinks>
    <hyperlink ref="I1" location="Index!B2" display="Index" xr:uid="{916EF6A2-8F8C-4B5D-BF39-F69D0D258347}"/>
    <hyperlink ref="B150" r:id="rId1" xr:uid="{8DA90393-EB62-48FA-AC21-04B9FE8A9DAC}"/>
    <hyperlink ref="B152" r:id="rId2" xr:uid="{0924ED90-6B32-4933-BDB8-CF435F894333}"/>
    <hyperlink ref="B154" r:id="rId3" xr:uid="{3F195D22-BC31-4F19-899A-4D645D6C1B1A}"/>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F9E4-FEBF-45AC-ACED-5A66B1308223}">
  <sheetPr>
    <outlinePr summaryBelow="0" summaryRight="0"/>
  </sheetPr>
  <dimension ref="A1:U117"/>
  <sheetViews>
    <sheetView showGridLines="0" workbookViewId="0">
      <selection activeCell="M28" sqref="M28"/>
    </sheetView>
  </sheetViews>
  <sheetFormatPr defaultRowHeight="12.75" x14ac:dyDescent="0.2"/>
  <cols>
    <col min="1" max="1" width="5.85546875" bestFit="1" customWidth="1"/>
    <col min="2" max="2" width="21.42578125" customWidth="1"/>
    <col min="3" max="3" width="39.140625" bestFit="1" customWidth="1"/>
    <col min="4" max="4" width="11.42578125" bestFit="1" customWidth="1"/>
    <col min="5" max="5" width="8.7109375" bestFit="1" customWidth="1"/>
    <col min="6" max="6" width="10.140625" bestFit="1" customWidth="1"/>
    <col min="7" max="7" width="14" bestFit="1" customWidth="1"/>
    <col min="8" max="8" width="10.28515625" customWidth="1"/>
    <col min="9" max="9" width="5.7109375" bestFit="1" customWidth="1"/>
  </cols>
  <sheetData>
    <row r="1" spans="1:9" ht="15" x14ac:dyDescent="0.2">
      <c r="A1" s="147" t="s">
        <v>0</v>
      </c>
      <c r="B1" s="147"/>
      <c r="C1" s="147"/>
      <c r="D1" s="147"/>
      <c r="E1" s="147"/>
      <c r="F1" s="147"/>
      <c r="G1" s="147"/>
      <c r="H1" s="147"/>
      <c r="I1" s="1" t="s">
        <v>543</v>
      </c>
    </row>
    <row r="2" spans="1:9" ht="15" x14ac:dyDescent="0.2">
      <c r="A2" s="147" t="s">
        <v>536</v>
      </c>
      <c r="B2" s="147"/>
      <c r="C2" s="147"/>
      <c r="D2" s="147"/>
      <c r="E2" s="147"/>
      <c r="F2" s="147"/>
      <c r="G2" s="147"/>
      <c r="H2" s="147"/>
    </row>
    <row r="3" spans="1:9" ht="15" x14ac:dyDescent="0.2">
      <c r="A3" s="147" t="s">
        <v>542</v>
      </c>
      <c r="B3" s="147"/>
      <c r="C3" s="147"/>
      <c r="D3" s="147"/>
      <c r="E3" s="147"/>
      <c r="F3" s="147"/>
      <c r="G3" s="147"/>
      <c r="H3" s="147"/>
    </row>
    <row r="4" spans="1:9" s="14" customFormat="1" ht="30" x14ac:dyDescent="0.2">
      <c r="A4" s="12" t="s">
        <v>2</v>
      </c>
      <c r="B4" s="12" t="s">
        <v>3</v>
      </c>
      <c r="C4" s="12" t="s">
        <v>4</v>
      </c>
      <c r="D4" s="12" t="s">
        <v>5</v>
      </c>
      <c r="E4" s="12" t="s">
        <v>6</v>
      </c>
      <c r="F4" s="12" t="s">
        <v>7</v>
      </c>
      <c r="G4" s="12" t="s">
        <v>8</v>
      </c>
      <c r="H4" s="13" t="s">
        <v>541</v>
      </c>
    </row>
    <row r="5" spans="1:9" x14ac:dyDescent="0.2">
      <c r="A5" s="15"/>
      <c r="B5" s="15"/>
      <c r="C5" s="16" t="s">
        <v>9</v>
      </c>
      <c r="D5" s="15"/>
      <c r="E5" s="15"/>
      <c r="F5" s="15"/>
      <c r="G5" s="15"/>
      <c r="H5" s="17" t="s">
        <v>12</v>
      </c>
    </row>
    <row r="6" spans="1:9" x14ac:dyDescent="0.2">
      <c r="A6" s="18"/>
      <c r="B6" s="18"/>
      <c r="C6" s="19" t="s">
        <v>10</v>
      </c>
      <c r="D6" s="18"/>
      <c r="E6" s="18"/>
      <c r="F6" s="18"/>
      <c r="G6" s="18"/>
      <c r="H6" s="17" t="s">
        <v>12</v>
      </c>
    </row>
    <row r="7" spans="1:9" x14ac:dyDescent="0.2">
      <c r="A7" s="18"/>
      <c r="B7" s="18"/>
      <c r="C7" s="19" t="s">
        <v>11</v>
      </c>
      <c r="D7" s="18"/>
      <c r="E7" s="18" t="s">
        <v>12</v>
      </c>
      <c r="F7" s="20" t="s">
        <v>13</v>
      </c>
      <c r="G7" s="21">
        <v>0</v>
      </c>
      <c r="H7" s="17" t="s">
        <v>12</v>
      </c>
    </row>
    <row r="8" spans="1:9" x14ac:dyDescent="0.2">
      <c r="A8" s="18"/>
      <c r="B8" s="18"/>
      <c r="C8" s="22"/>
      <c r="D8" s="18"/>
      <c r="E8" s="18"/>
      <c r="F8" s="23"/>
      <c r="G8" s="23"/>
      <c r="H8" s="17" t="s">
        <v>12</v>
      </c>
    </row>
    <row r="9" spans="1:9" x14ac:dyDescent="0.2">
      <c r="A9" s="18"/>
      <c r="B9" s="18"/>
      <c r="C9" s="19" t="s">
        <v>14</v>
      </c>
      <c r="D9" s="18"/>
      <c r="E9" s="18"/>
      <c r="F9" s="18"/>
      <c r="G9" s="18"/>
      <c r="H9" s="17" t="s">
        <v>12</v>
      </c>
    </row>
    <row r="10" spans="1:9" x14ac:dyDescent="0.2">
      <c r="A10" s="18"/>
      <c r="B10" s="18"/>
      <c r="C10" s="19" t="s">
        <v>11</v>
      </c>
      <c r="D10" s="18"/>
      <c r="E10" s="18" t="s">
        <v>12</v>
      </c>
      <c r="F10" s="20" t="s">
        <v>13</v>
      </c>
      <c r="G10" s="21">
        <v>0</v>
      </c>
      <c r="H10" s="17" t="s">
        <v>12</v>
      </c>
    </row>
    <row r="11" spans="1:9" x14ac:dyDescent="0.2">
      <c r="A11" s="18"/>
      <c r="B11" s="18"/>
      <c r="C11" s="22"/>
      <c r="D11" s="18"/>
      <c r="E11" s="18"/>
      <c r="F11" s="23"/>
      <c r="G11" s="23"/>
      <c r="H11" s="17" t="s">
        <v>12</v>
      </c>
    </row>
    <row r="12" spans="1:9" x14ac:dyDescent="0.2">
      <c r="A12" s="18"/>
      <c r="B12" s="18"/>
      <c r="C12" s="19" t="s">
        <v>15</v>
      </c>
      <c r="D12" s="18"/>
      <c r="E12" s="18"/>
      <c r="F12" s="18"/>
      <c r="G12" s="18"/>
      <c r="H12" s="17" t="s">
        <v>12</v>
      </c>
    </row>
    <row r="13" spans="1:9" x14ac:dyDescent="0.2">
      <c r="A13" s="18"/>
      <c r="B13" s="18"/>
      <c r="C13" s="19" t="s">
        <v>11</v>
      </c>
      <c r="D13" s="18"/>
      <c r="E13" s="18" t="s">
        <v>12</v>
      </c>
      <c r="F13" s="20" t="s">
        <v>13</v>
      </c>
      <c r="G13" s="21">
        <v>0</v>
      </c>
      <c r="H13" s="17" t="s">
        <v>12</v>
      </c>
    </row>
    <row r="14" spans="1:9" x14ac:dyDescent="0.2">
      <c r="A14" s="18"/>
      <c r="B14" s="18"/>
      <c r="C14" s="22"/>
      <c r="D14" s="18"/>
      <c r="E14" s="18"/>
      <c r="F14" s="23"/>
      <c r="G14" s="23"/>
      <c r="H14" s="17" t="s">
        <v>12</v>
      </c>
    </row>
    <row r="15" spans="1:9" x14ac:dyDescent="0.2">
      <c r="A15" s="18"/>
      <c r="B15" s="18"/>
      <c r="C15" s="19" t="s">
        <v>16</v>
      </c>
      <c r="D15" s="18"/>
      <c r="E15" s="18"/>
      <c r="F15" s="18"/>
      <c r="G15" s="18"/>
      <c r="H15" s="17" t="s">
        <v>12</v>
      </c>
    </row>
    <row r="16" spans="1:9" x14ac:dyDescent="0.2">
      <c r="A16" s="18"/>
      <c r="B16" s="18"/>
      <c r="C16" s="19" t="s">
        <v>11</v>
      </c>
      <c r="D16" s="18"/>
      <c r="E16" s="18" t="s">
        <v>12</v>
      </c>
      <c r="F16" s="20" t="s">
        <v>13</v>
      </c>
      <c r="G16" s="21">
        <v>0</v>
      </c>
      <c r="H16" s="17" t="s">
        <v>12</v>
      </c>
    </row>
    <row r="17" spans="1:8" x14ac:dyDescent="0.2">
      <c r="A17" s="18"/>
      <c r="B17" s="18"/>
      <c r="C17" s="22"/>
      <c r="D17" s="18"/>
      <c r="E17" s="18"/>
      <c r="F17" s="23"/>
      <c r="G17" s="23"/>
      <c r="H17" s="17" t="s">
        <v>12</v>
      </c>
    </row>
    <row r="18" spans="1:8" x14ac:dyDescent="0.2">
      <c r="A18" s="18"/>
      <c r="B18" s="18"/>
      <c r="C18" s="19" t="s">
        <v>17</v>
      </c>
      <c r="D18" s="18"/>
      <c r="E18" s="18"/>
      <c r="F18" s="23"/>
      <c r="G18" s="23"/>
      <c r="H18" s="17" t="s">
        <v>12</v>
      </c>
    </row>
    <row r="19" spans="1:8" x14ac:dyDescent="0.2">
      <c r="A19" s="18"/>
      <c r="B19" s="18"/>
      <c r="C19" s="19" t="s">
        <v>11</v>
      </c>
      <c r="D19" s="18"/>
      <c r="E19" s="18" t="s">
        <v>12</v>
      </c>
      <c r="F19" s="20" t="s">
        <v>13</v>
      </c>
      <c r="G19" s="21">
        <v>0</v>
      </c>
      <c r="H19" s="17" t="s">
        <v>12</v>
      </c>
    </row>
    <row r="20" spans="1:8" x14ac:dyDescent="0.2">
      <c r="A20" s="18"/>
      <c r="B20" s="18"/>
      <c r="C20" s="22"/>
      <c r="D20" s="18"/>
      <c r="E20" s="18"/>
      <c r="F20" s="23"/>
      <c r="G20" s="23"/>
      <c r="H20" s="17" t="s">
        <v>12</v>
      </c>
    </row>
    <row r="21" spans="1:8" x14ac:dyDescent="0.2">
      <c r="A21" s="18"/>
      <c r="B21" s="18"/>
      <c r="C21" s="19" t="s">
        <v>18</v>
      </c>
      <c r="D21" s="18"/>
      <c r="E21" s="18"/>
      <c r="F21" s="23"/>
      <c r="G21" s="23"/>
      <c r="H21" s="17" t="s">
        <v>12</v>
      </c>
    </row>
    <row r="22" spans="1:8" x14ac:dyDescent="0.2">
      <c r="A22" s="18"/>
      <c r="B22" s="18"/>
      <c r="C22" s="19" t="s">
        <v>11</v>
      </c>
      <c r="D22" s="18"/>
      <c r="E22" s="18" t="s">
        <v>12</v>
      </c>
      <c r="F22" s="20" t="s">
        <v>13</v>
      </c>
      <c r="G22" s="21">
        <v>0</v>
      </c>
      <c r="H22" s="17" t="s">
        <v>12</v>
      </c>
    </row>
    <row r="23" spans="1:8" x14ac:dyDescent="0.2">
      <c r="A23" s="18"/>
      <c r="B23" s="18"/>
      <c r="C23" s="22"/>
      <c r="D23" s="18"/>
      <c r="E23" s="18"/>
      <c r="F23" s="23"/>
      <c r="G23" s="23"/>
      <c r="H23" s="17" t="s">
        <v>12</v>
      </c>
    </row>
    <row r="24" spans="1:8" x14ac:dyDescent="0.2">
      <c r="A24" s="18"/>
      <c r="B24" s="18"/>
      <c r="C24" s="19" t="s">
        <v>19</v>
      </c>
      <c r="D24" s="18"/>
      <c r="E24" s="18"/>
      <c r="F24" s="24">
        <v>0</v>
      </c>
      <c r="G24" s="21">
        <v>0</v>
      </c>
      <c r="H24" s="17" t="s">
        <v>12</v>
      </c>
    </row>
    <row r="25" spans="1:8" x14ac:dyDescent="0.2">
      <c r="A25" s="18"/>
      <c r="B25" s="18"/>
      <c r="C25" s="22"/>
      <c r="D25" s="18"/>
      <c r="E25" s="18"/>
      <c r="F25" s="23"/>
      <c r="G25" s="23"/>
      <c r="H25" s="17" t="s">
        <v>12</v>
      </c>
    </row>
    <row r="26" spans="1:8" x14ac:dyDescent="0.2">
      <c r="A26" s="18"/>
      <c r="B26" s="18"/>
      <c r="C26" s="19" t="s">
        <v>20</v>
      </c>
      <c r="D26" s="18"/>
      <c r="E26" s="18"/>
      <c r="F26" s="23"/>
      <c r="G26" s="23"/>
      <c r="H26" s="17" t="s">
        <v>12</v>
      </c>
    </row>
    <row r="27" spans="1:8" x14ac:dyDescent="0.2">
      <c r="A27" s="18"/>
      <c r="B27" s="18"/>
      <c r="C27" s="19" t="s">
        <v>10</v>
      </c>
      <c r="D27" s="18"/>
      <c r="E27" s="18"/>
      <c r="F27" s="23"/>
      <c r="G27" s="23"/>
      <c r="H27" s="17" t="s">
        <v>12</v>
      </c>
    </row>
    <row r="28" spans="1:8" x14ac:dyDescent="0.2">
      <c r="A28" s="18"/>
      <c r="B28" s="18"/>
      <c r="C28" s="19" t="s">
        <v>11</v>
      </c>
      <c r="D28" s="18"/>
      <c r="E28" s="18" t="s">
        <v>12</v>
      </c>
      <c r="F28" s="20" t="s">
        <v>13</v>
      </c>
      <c r="G28" s="21">
        <v>0</v>
      </c>
      <c r="H28" s="17" t="s">
        <v>12</v>
      </c>
    </row>
    <row r="29" spans="1:8" x14ac:dyDescent="0.2">
      <c r="A29" s="18"/>
      <c r="B29" s="18"/>
      <c r="C29" s="22"/>
      <c r="D29" s="18"/>
      <c r="E29" s="18"/>
      <c r="F29" s="23"/>
      <c r="G29" s="23"/>
      <c r="H29" s="17" t="s">
        <v>12</v>
      </c>
    </row>
    <row r="30" spans="1:8" x14ac:dyDescent="0.2">
      <c r="A30" s="18"/>
      <c r="B30" s="18"/>
      <c r="C30" s="19" t="s">
        <v>73</v>
      </c>
      <c r="D30" s="18"/>
      <c r="E30" s="18"/>
      <c r="F30" s="18"/>
      <c r="G30" s="18"/>
      <c r="H30" s="17" t="s">
        <v>12</v>
      </c>
    </row>
    <row r="31" spans="1:8" x14ac:dyDescent="0.2">
      <c r="A31" s="18"/>
      <c r="B31" s="18"/>
      <c r="C31" s="19" t="s">
        <v>11</v>
      </c>
      <c r="D31" s="18"/>
      <c r="E31" s="18" t="s">
        <v>12</v>
      </c>
      <c r="F31" s="20" t="s">
        <v>13</v>
      </c>
      <c r="G31" s="21">
        <v>0</v>
      </c>
      <c r="H31" s="17" t="s">
        <v>12</v>
      </c>
    </row>
    <row r="32" spans="1:8" x14ac:dyDescent="0.2">
      <c r="A32" s="18"/>
      <c r="B32" s="18"/>
      <c r="C32" s="22"/>
      <c r="D32" s="18"/>
      <c r="E32" s="18"/>
      <c r="F32" s="23"/>
      <c r="G32" s="23"/>
      <c r="H32" s="17" t="s">
        <v>12</v>
      </c>
    </row>
    <row r="33" spans="1:8" x14ac:dyDescent="0.2">
      <c r="A33" s="18"/>
      <c r="B33" s="18"/>
      <c r="C33" s="19" t="s">
        <v>74</v>
      </c>
      <c r="D33" s="18"/>
      <c r="E33" s="18"/>
      <c r="F33" s="18"/>
      <c r="G33" s="18"/>
      <c r="H33" s="17" t="s">
        <v>12</v>
      </c>
    </row>
    <row r="34" spans="1:8" x14ac:dyDescent="0.2">
      <c r="A34" s="18"/>
      <c r="B34" s="18"/>
      <c r="C34" s="19" t="s">
        <v>11</v>
      </c>
      <c r="D34" s="18"/>
      <c r="E34" s="18" t="s">
        <v>12</v>
      </c>
      <c r="F34" s="20" t="s">
        <v>13</v>
      </c>
      <c r="G34" s="21">
        <v>0</v>
      </c>
      <c r="H34" s="17" t="s">
        <v>12</v>
      </c>
    </row>
    <row r="35" spans="1:8" x14ac:dyDescent="0.2">
      <c r="A35" s="18"/>
      <c r="B35" s="18"/>
      <c r="C35" s="22"/>
      <c r="D35" s="18"/>
      <c r="E35" s="18"/>
      <c r="F35" s="23"/>
      <c r="G35" s="23"/>
      <c r="H35" s="17" t="s">
        <v>12</v>
      </c>
    </row>
    <row r="36" spans="1:8" x14ac:dyDescent="0.2">
      <c r="A36" s="18"/>
      <c r="B36" s="18"/>
      <c r="C36" s="19" t="s">
        <v>94</v>
      </c>
      <c r="D36" s="18"/>
      <c r="E36" s="18"/>
      <c r="F36" s="23"/>
      <c r="G36" s="23"/>
      <c r="H36" s="17" t="s">
        <v>12</v>
      </c>
    </row>
    <row r="37" spans="1:8" x14ac:dyDescent="0.2">
      <c r="A37" s="18"/>
      <c r="B37" s="18"/>
      <c r="C37" s="19" t="s">
        <v>11</v>
      </c>
      <c r="D37" s="18"/>
      <c r="E37" s="18" t="s">
        <v>12</v>
      </c>
      <c r="F37" s="20" t="s">
        <v>13</v>
      </c>
      <c r="G37" s="21">
        <v>0</v>
      </c>
      <c r="H37" s="17" t="s">
        <v>12</v>
      </c>
    </row>
    <row r="38" spans="1:8" x14ac:dyDescent="0.2">
      <c r="A38" s="18"/>
      <c r="B38" s="18"/>
      <c r="C38" s="22"/>
      <c r="D38" s="18"/>
      <c r="E38" s="18"/>
      <c r="F38" s="23"/>
      <c r="G38" s="23"/>
      <c r="H38" s="17" t="s">
        <v>12</v>
      </c>
    </row>
    <row r="39" spans="1:8" x14ac:dyDescent="0.2">
      <c r="A39" s="18"/>
      <c r="B39" s="18"/>
      <c r="C39" s="19" t="s">
        <v>95</v>
      </c>
      <c r="D39" s="18"/>
      <c r="E39" s="18"/>
      <c r="F39" s="24">
        <v>0</v>
      </c>
      <c r="G39" s="21">
        <v>0</v>
      </c>
      <c r="H39" s="17" t="s">
        <v>12</v>
      </c>
    </row>
    <row r="40" spans="1:8" x14ac:dyDescent="0.2">
      <c r="A40" s="18"/>
      <c r="B40" s="18"/>
      <c r="C40" s="22"/>
      <c r="D40" s="18"/>
      <c r="E40" s="18"/>
      <c r="F40" s="23"/>
      <c r="G40" s="23"/>
      <c r="H40" s="17" t="s">
        <v>12</v>
      </c>
    </row>
    <row r="41" spans="1:8" x14ac:dyDescent="0.2">
      <c r="A41" s="18"/>
      <c r="B41" s="18"/>
      <c r="C41" s="19" t="s">
        <v>96</v>
      </c>
      <c r="D41" s="18"/>
      <c r="E41" s="18"/>
      <c r="F41" s="23"/>
      <c r="G41" s="23"/>
      <c r="H41" s="17" t="s">
        <v>12</v>
      </c>
    </row>
    <row r="42" spans="1:8" x14ac:dyDescent="0.2">
      <c r="A42" s="18"/>
      <c r="B42" s="18"/>
      <c r="C42" s="19" t="s">
        <v>97</v>
      </c>
      <c r="D42" s="18"/>
      <c r="E42" s="18"/>
      <c r="F42" s="23"/>
      <c r="G42" s="23"/>
      <c r="H42" s="17" t="s">
        <v>12</v>
      </c>
    </row>
    <row r="43" spans="1:8" x14ac:dyDescent="0.2">
      <c r="A43" s="18"/>
      <c r="B43" s="18"/>
      <c r="C43" s="19" t="s">
        <v>11</v>
      </c>
      <c r="D43" s="18"/>
      <c r="E43" s="18" t="s">
        <v>12</v>
      </c>
      <c r="F43" s="20" t="s">
        <v>13</v>
      </c>
      <c r="G43" s="21">
        <v>0</v>
      </c>
      <c r="H43" s="17" t="s">
        <v>12</v>
      </c>
    </row>
    <row r="44" spans="1:8" x14ac:dyDescent="0.2">
      <c r="A44" s="18"/>
      <c r="B44" s="18"/>
      <c r="C44" s="22"/>
      <c r="D44" s="18"/>
      <c r="E44" s="18"/>
      <c r="F44" s="23"/>
      <c r="G44" s="23"/>
      <c r="H44" s="17" t="s">
        <v>12</v>
      </c>
    </row>
    <row r="45" spans="1:8" x14ac:dyDescent="0.2">
      <c r="A45" s="18"/>
      <c r="B45" s="18"/>
      <c r="C45" s="19" t="s">
        <v>98</v>
      </c>
      <c r="D45" s="18"/>
      <c r="E45" s="18"/>
      <c r="F45" s="23"/>
      <c r="G45" s="23"/>
      <c r="H45" s="17" t="s">
        <v>12</v>
      </c>
    </row>
    <row r="46" spans="1:8" x14ac:dyDescent="0.2">
      <c r="A46" s="18"/>
      <c r="B46" s="18"/>
      <c r="C46" s="19" t="s">
        <v>11</v>
      </c>
      <c r="D46" s="18"/>
      <c r="E46" s="18" t="s">
        <v>12</v>
      </c>
      <c r="F46" s="20" t="s">
        <v>13</v>
      </c>
      <c r="G46" s="21">
        <v>0</v>
      </c>
      <c r="H46" s="17" t="s">
        <v>12</v>
      </c>
    </row>
    <row r="47" spans="1:8" x14ac:dyDescent="0.2">
      <c r="A47" s="18"/>
      <c r="B47" s="18"/>
      <c r="C47" s="22"/>
      <c r="D47" s="18"/>
      <c r="E47" s="18"/>
      <c r="F47" s="23"/>
      <c r="G47" s="23"/>
      <c r="H47" s="17" t="s">
        <v>12</v>
      </c>
    </row>
    <row r="48" spans="1:8" x14ac:dyDescent="0.2">
      <c r="A48" s="18"/>
      <c r="B48" s="18"/>
      <c r="C48" s="19" t="s">
        <v>99</v>
      </c>
      <c r="D48" s="18"/>
      <c r="E48" s="18"/>
      <c r="F48" s="23"/>
      <c r="G48" s="23"/>
      <c r="H48" s="17" t="s">
        <v>12</v>
      </c>
    </row>
    <row r="49" spans="1:8" x14ac:dyDescent="0.2">
      <c r="A49" s="25">
        <v>1</v>
      </c>
      <c r="B49" s="26" t="s">
        <v>537</v>
      </c>
      <c r="C49" s="26" t="s">
        <v>538</v>
      </c>
      <c r="D49" s="26" t="s">
        <v>77</v>
      </c>
      <c r="E49" s="27">
        <v>1500000</v>
      </c>
      <c r="F49" s="28">
        <v>1495.2645</v>
      </c>
      <c r="G49" s="29">
        <v>1.2353070000000001E-2</v>
      </c>
      <c r="H49" s="17">
        <v>5.7797999999999998</v>
      </c>
    </row>
    <row r="50" spans="1:8" x14ac:dyDescent="0.2">
      <c r="A50" s="25">
        <v>2</v>
      </c>
      <c r="B50" s="26" t="s">
        <v>539</v>
      </c>
      <c r="C50" s="26" t="s">
        <v>540</v>
      </c>
      <c r="D50" s="26" t="s">
        <v>77</v>
      </c>
      <c r="E50" s="27">
        <v>1500000</v>
      </c>
      <c r="F50" s="28">
        <v>1493.5889999999999</v>
      </c>
      <c r="G50" s="29">
        <v>1.233923E-2</v>
      </c>
      <c r="H50" s="17">
        <v>5.8015999999999996</v>
      </c>
    </row>
    <row r="51" spans="1:8" x14ac:dyDescent="0.2">
      <c r="A51" s="25">
        <v>3</v>
      </c>
      <c r="B51" s="26" t="s">
        <v>412</v>
      </c>
      <c r="C51" s="26" t="s">
        <v>413</v>
      </c>
      <c r="D51" s="26" t="s">
        <v>77</v>
      </c>
      <c r="E51" s="27">
        <v>1000000</v>
      </c>
      <c r="F51" s="28">
        <v>997.78</v>
      </c>
      <c r="G51" s="29">
        <v>8.2431199999999996E-3</v>
      </c>
      <c r="H51" s="17">
        <v>5.8</v>
      </c>
    </row>
    <row r="52" spans="1:8" x14ac:dyDescent="0.2">
      <c r="A52" s="18"/>
      <c r="B52" s="18"/>
      <c r="C52" s="19" t="s">
        <v>11</v>
      </c>
      <c r="D52" s="18"/>
      <c r="E52" s="18" t="s">
        <v>12</v>
      </c>
      <c r="F52" s="24">
        <v>3986.6334999999999</v>
      </c>
      <c r="G52" s="21">
        <v>3.293542E-2</v>
      </c>
      <c r="H52" s="17" t="s">
        <v>12</v>
      </c>
    </row>
    <row r="53" spans="1:8" x14ac:dyDescent="0.2">
      <c r="A53" s="18"/>
      <c r="B53" s="18"/>
      <c r="C53" s="22"/>
      <c r="D53" s="18"/>
      <c r="E53" s="18"/>
      <c r="F53" s="23"/>
      <c r="G53" s="23"/>
      <c r="H53" s="17" t="s">
        <v>12</v>
      </c>
    </row>
    <row r="54" spans="1:8" x14ac:dyDescent="0.2">
      <c r="A54" s="18"/>
      <c r="B54" s="18"/>
      <c r="C54" s="19" t="s">
        <v>100</v>
      </c>
      <c r="D54" s="18"/>
      <c r="E54" s="18"/>
      <c r="F54" s="23"/>
      <c r="G54" s="23"/>
      <c r="H54" s="17" t="s">
        <v>12</v>
      </c>
    </row>
    <row r="55" spans="1:8" x14ac:dyDescent="0.2">
      <c r="A55" s="25">
        <v>1</v>
      </c>
      <c r="B55" s="26"/>
      <c r="C55" s="26" t="s">
        <v>101</v>
      </c>
      <c r="D55" s="26"/>
      <c r="E55" s="30"/>
      <c r="F55" s="28">
        <v>71151.048624902993</v>
      </c>
      <c r="G55" s="29">
        <v>0.58781174999999997</v>
      </c>
      <c r="H55" s="17">
        <v>5.69</v>
      </c>
    </row>
    <row r="56" spans="1:8" x14ac:dyDescent="0.2">
      <c r="A56" s="25">
        <v>2</v>
      </c>
      <c r="B56" s="26"/>
      <c r="C56" s="26" t="s">
        <v>414</v>
      </c>
      <c r="D56" s="26"/>
      <c r="E56" s="30"/>
      <c r="F56" s="28">
        <v>47107.428095800002</v>
      </c>
      <c r="G56" s="29">
        <v>0.38917626999999999</v>
      </c>
      <c r="H56" s="17">
        <v>5.78</v>
      </c>
    </row>
    <row r="57" spans="1:8" x14ac:dyDescent="0.2">
      <c r="A57" s="18"/>
      <c r="B57" s="18"/>
      <c r="C57" s="19" t="s">
        <v>11</v>
      </c>
      <c r="D57" s="18"/>
      <c r="E57" s="18" t="s">
        <v>12</v>
      </c>
      <c r="F57" s="24">
        <v>118258.47672070299</v>
      </c>
      <c r="G57" s="21">
        <v>0.97698801999999996</v>
      </c>
      <c r="H57" s="17" t="s">
        <v>12</v>
      </c>
    </row>
    <row r="58" spans="1:8" x14ac:dyDescent="0.2">
      <c r="A58" s="18"/>
      <c r="B58" s="18"/>
      <c r="C58" s="22"/>
      <c r="D58" s="18"/>
      <c r="E58" s="18"/>
      <c r="F58" s="23"/>
      <c r="G58" s="23"/>
      <c r="H58" s="17" t="s">
        <v>12</v>
      </c>
    </row>
    <row r="59" spans="1:8" x14ac:dyDescent="0.2">
      <c r="A59" s="18"/>
      <c r="B59" s="18"/>
      <c r="C59" s="19" t="s">
        <v>102</v>
      </c>
      <c r="D59" s="18"/>
      <c r="E59" s="18"/>
      <c r="F59" s="24">
        <v>122245.11022070301</v>
      </c>
      <c r="G59" s="21">
        <v>1.0099234399999999</v>
      </c>
      <c r="H59" s="17" t="s">
        <v>12</v>
      </c>
    </row>
    <row r="60" spans="1:8" x14ac:dyDescent="0.2">
      <c r="A60" s="18"/>
      <c r="B60" s="18"/>
      <c r="C60" s="23"/>
      <c r="D60" s="18"/>
      <c r="E60" s="18"/>
      <c r="F60" s="18"/>
      <c r="G60" s="18"/>
      <c r="H60" s="17" t="s">
        <v>12</v>
      </c>
    </row>
    <row r="61" spans="1:8" x14ac:dyDescent="0.2">
      <c r="A61" s="18"/>
      <c r="B61" s="18"/>
      <c r="C61" s="19" t="s">
        <v>103</v>
      </c>
      <c r="D61" s="18"/>
      <c r="E61" s="18"/>
      <c r="F61" s="18"/>
      <c r="G61" s="18"/>
      <c r="H61" s="17" t="s">
        <v>12</v>
      </c>
    </row>
    <row r="62" spans="1:8" x14ac:dyDescent="0.2">
      <c r="A62" s="18"/>
      <c r="B62" s="18"/>
      <c r="C62" s="19" t="s">
        <v>104</v>
      </c>
      <c r="D62" s="18"/>
      <c r="E62" s="18"/>
      <c r="F62" s="18"/>
      <c r="G62" s="18"/>
      <c r="H62" s="17" t="s">
        <v>12</v>
      </c>
    </row>
    <row r="63" spans="1:8" x14ac:dyDescent="0.2">
      <c r="A63" s="18"/>
      <c r="B63" s="18"/>
      <c r="C63" s="19" t="s">
        <v>11</v>
      </c>
      <c r="D63" s="18"/>
      <c r="E63" s="18" t="s">
        <v>12</v>
      </c>
      <c r="F63" s="20" t="s">
        <v>13</v>
      </c>
      <c r="G63" s="21">
        <v>0</v>
      </c>
      <c r="H63" s="17" t="s">
        <v>12</v>
      </c>
    </row>
    <row r="64" spans="1:8" x14ac:dyDescent="0.2">
      <c r="A64" s="18"/>
      <c r="B64" s="18"/>
      <c r="C64" s="22"/>
      <c r="D64" s="18"/>
      <c r="E64" s="18"/>
      <c r="F64" s="23"/>
      <c r="G64" s="23"/>
      <c r="H64" s="17" t="s">
        <v>12</v>
      </c>
    </row>
    <row r="65" spans="1:8" x14ac:dyDescent="0.2">
      <c r="A65" s="18"/>
      <c r="B65" s="18"/>
      <c r="C65" s="19" t="s">
        <v>107</v>
      </c>
      <c r="D65" s="18"/>
      <c r="E65" s="18"/>
      <c r="F65" s="18"/>
      <c r="G65" s="18"/>
      <c r="H65" s="17" t="s">
        <v>12</v>
      </c>
    </row>
    <row r="66" spans="1:8" x14ac:dyDescent="0.2">
      <c r="A66" s="18"/>
      <c r="B66" s="18"/>
      <c r="C66" s="19" t="s">
        <v>108</v>
      </c>
      <c r="D66" s="18"/>
      <c r="E66" s="18"/>
      <c r="F66" s="18"/>
      <c r="G66" s="18"/>
      <c r="H66" s="17" t="s">
        <v>12</v>
      </c>
    </row>
    <row r="67" spans="1:8" x14ac:dyDescent="0.2">
      <c r="A67" s="18"/>
      <c r="B67" s="18"/>
      <c r="C67" s="19" t="s">
        <v>11</v>
      </c>
      <c r="D67" s="18"/>
      <c r="E67" s="18" t="s">
        <v>12</v>
      </c>
      <c r="F67" s="20" t="s">
        <v>13</v>
      </c>
      <c r="G67" s="21">
        <v>0</v>
      </c>
      <c r="H67" s="17" t="s">
        <v>12</v>
      </c>
    </row>
    <row r="68" spans="1:8" x14ac:dyDescent="0.2">
      <c r="A68" s="18"/>
      <c r="B68" s="18"/>
      <c r="C68" s="22"/>
      <c r="D68" s="18"/>
      <c r="E68" s="18"/>
      <c r="F68" s="23"/>
      <c r="G68" s="23"/>
      <c r="H68" s="17" t="s">
        <v>12</v>
      </c>
    </row>
    <row r="69" spans="1:8" x14ac:dyDescent="0.2">
      <c r="A69" s="18"/>
      <c r="B69" s="18"/>
      <c r="C69" s="19" t="s">
        <v>109</v>
      </c>
      <c r="D69" s="18"/>
      <c r="E69" s="18"/>
      <c r="F69" s="23"/>
      <c r="G69" s="23"/>
      <c r="H69" s="17" t="s">
        <v>12</v>
      </c>
    </row>
    <row r="70" spans="1:8" x14ac:dyDescent="0.2">
      <c r="A70" s="18"/>
      <c r="B70" s="18"/>
      <c r="C70" s="19" t="s">
        <v>11</v>
      </c>
      <c r="D70" s="18"/>
      <c r="E70" s="18" t="s">
        <v>12</v>
      </c>
      <c r="F70" s="20" t="s">
        <v>13</v>
      </c>
      <c r="G70" s="21">
        <v>0</v>
      </c>
      <c r="H70" s="17" t="s">
        <v>12</v>
      </c>
    </row>
    <row r="71" spans="1:8" x14ac:dyDescent="0.2">
      <c r="A71" s="18"/>
      <c r="B71" s="26"/>
      <c r="C71" s="26"/>
      <c r="D71" s="19"/>
      <c r="E71" s="18"/>
      <c r="F71" s="26"/>
      <c r="G71" s="30"/>
      <c r="H71" s="17" t="s">
        <v>12</v>
      </c>
    </row>
    <row r="72" spans="1:8" x14ac:dyDescent="0.2">
      <c r="A72" s="30"/>
      <c r="B72" s="26"/>
      <c r="C72" s="26" t="s">
        <v>110</v>
      </c>
      <c r="D72" s="26"/>
      <c r="E72" s="30"/>
      <c r="F72" s="28">
        <v>-1201.1724370500001</v>
      </c>
      <c r="G72" s="29">
        <v>-9.9234400000000004E-3</v>
      </c>
      <c r="H72" s="17" t="s">
        <v>12</v>
      </c>
    </row>
    <row r="73" spans="1:8" x14ac:dyDescent="0.2">
      <c r="A73" s="22"/>
      <c r="B73" s="22"/>
      <c r="C73" s="19" t="s">
        <v>111</v>
      </c>
      <c r="D73" s="23"/>
      <c r="E73" s="23"/>
      <c r="F73" s="24">
        <v>121043.937783653</v>
      </c>
      <c r="G73" s="31">
        <v>1</v>
      </c>
      <c r="H73" s="17" t="s">
        <v>12</v>
      </c>
    </row>
    <row r="74" spans="1:8" x14ac:dyDescent="0.2">
      <c r="A74" s="32"/>
      <c r="B74" s="32"/>
      <c r="C74" s="32"/>
      <c r="D74" s="33"/>
      <c r="E74" s="33"/>
      <c r="F74" s="33"/>
      <c r="G74" s="33"/>
    </row>
    <row r="75" spans="1:8" x14ac:dyDescent="0.2">
      <c r="A75" s="34"/>
      <c r="B75" s="148" t="s">
        <v>545</v>
      </c>
      <c r="C75" s="148"/>
      <c r="D75" s="148"/>
      <c r="E75" s="148"/>
      <c r="F75" s="148"/>
      <c r="G75" s="148"/>
      <c r="H75" s="148"/>
    </row>
    <row r="76" spans="1:8" x14ac:dyDescent="0.2">
      <c r="A76" s="34"/>
      <c r="B76" s="148" t="s">
        <v>546</v>
      </c>
      <c r="C76" s="148"/>
      <c r="D76" s="148"/>
      <c r="E76" s="148"/>
      <c r="F76" s="148"/>
      <c r="G76" s="148"/>
      <c r="H76" s="148"/>
    </row>
    <row r="77" spans="1:8" x14ac:dyDescent="0.2">
      <c r="A77" s="34"/>
      <c r="B77" s="148" t="s">
        <v>547</v>
      </c>
      <c r="C77" s="148"/>
      <c r="D77" s="148"/>
      <c r="E77" s="148"/>
      <c r="F77" s="148"/>
      <c r="G77" s="148"/>
      <c r="H77" s="148"/>
    </row>
    <row r="78" spans="1:8" x14ac:dyDescent="0.2">
      <c r="A78" s="36"/>
      <c r="B78" s="36"/>
      <c r="C78" s="36"/>
      <c r="D78" s="37"/>
      <c r="E78" s="37"/>
      <c r="F78" s="37"/>
      <c r="G78" s="37"/>
    </row>
    <row r="79" spans="1:8" x14ac:dyDescent="0.2">
      <c r="A79" s="34"/>
      <c r="B79" s="150" t="s">
        <v>112</v>
      </c>
      <c r="C79" s="151"/>
      <c r="D79" s="152"/>
      <c r="E79" s="38"/>
      <c r="F79" s="39"/>
      <c r="G79" s="39"/>
    </row>
    <row r="80" spans="1:8" x14ac:dyDescent="0.2">
      <c r="A80" s="34"/>
      <c r="B80" s="153" t="s">
        <v>113</v>
      </c>
      <c r="C80" s="154"/>
      <c r="D80" s="16" t="s">
        <v>114</v>
      </c>
      <c r="E80" s="38"/>
      <c r="F80" s="39"/>
      <c r="G80" s="39"/>
    </row>
    <row r="81" spans="1:21" x14ac:dyDescent="0.2">
      <c r="A81" s="34"/>
      <c r="B81" s="153" t="s">
        <v>115</v>
      </c>
      <c r="C81" s="154"/>
      <c r="D81" s="16" t="s">
        <v>114</v>
      </c>
      <c r="E81" s="38"/>
      <c r="F81" s="39"/>
      <c r="G81" s="39"/>
    </row>
    <row r="82" spans="1:21" x14ac:dyDescent="0.2">
      <c r="A82" s="34"/>
      <c r="B82" s="153" t="s">
        <v>116</v>
      </c>
      <c r="C82" s="154"/>
      <c r="D82" s="40" t="s">
        <v>12</v>
      </c>
      <c r="E82" s="38"/>
      <c r="F82" s="39"/>
      <c r="G82" s="39"/>
    </row>
    <row r="83" spans="1:21" x14ac:dyDescent="0.2">
      <c r="A83" s="41"/>
      <c r="B83" s="42" t="s">
        <v>12</v>
      </c>
      <c r="C83" s="42" t="s">
        <v>548</v>
      </c>
      <c r="D83" s="42" t="s">
        <v>117</v>
      </c>
      <c r="E83" s="41"/>
      <c r="F83" s="41"/>
      <c r="G83" s="41"/>
    </row>
    <row r="84" spans="1:21" x14ac:dyDescent="0.2">
      <c r="A84" s="41"/>
      <c r="B84" s="43" t="s">
        <v>118</v>
      </c>
      <c r="C84" s="44">
        <v>45777</v>
      </c>
      <c r="D84" s="44">
        <v>45792</v>
      </c>
      <c r="E84" s="41"/>
      <c r="F84" s="41"/>
      <c r="G84" s="41"/>
    </row>
    <row r="85" spans="1:21" x14ac:dyDescent="0.2">
      <c r="A85" s="45"/>
      <c r="B85" s="26" t="s">
        <v>119</v>
      </c>
      <c r="C85" s="46">
        <v>1363.2288000000001</v>
      </c>
      <c r="D85" s="46">
        <v>1366.4508000000001</v>
      </c>
      <c r="E85" s="45"/>
      <c r="F85" s="47"/>
      <c r="G85" s="48"/>
    </row>
    <row r="86" spans="1:21" ht="25.5" x14ac:dyDescent="0.2">
      <c r="A86" s="45"/>
      <c r="B86" s="26" t="s">
        <v>673</v>
      </c>
      <c r="C86" s="46">
        <v>1044.5081</v>
      </c>
      <c r="D86" s="46">
        <v>1046.9772</v>
      </c>
      <c r="E86" s="45"/>
      <c r="F86" s="47"/>
      <c r="G86" s="48"/>
    </row>
    <row r="87" spans="1:21" x14ac:dyDescent="0.2">
      <c r="A87" s="45"/>
      <c r="B87" s="26" t="s">
        <v>120</v>
      </c>
      <c r="C87" s="46">
        <v>1355.0889999999999</v>
      </c>
      <c r="D87" s="46">
        <v>1358.2358999999999</v>
      </c>
      <c r="E87" s="45"/>
      <c r="F87" s="47"/>
      <c r="G87" s="48"/>
    </row>
    <row r="88" spans="1:21" ht="25.5" x14ac:dyDescent="0.2">
      <c r="A88" s="45"/>
      <c r="B88" s="26" t="s">
        <v>677</v>
      </c>
      <c r="C88" s="46">
        <v>1040.7447999999999</v>
      </c>
      <c r="D88" s="46">
        <v>1043.1613</v>
      </c>
      <c r="E88" s="45"/>
      <c r="F88" s="47"/>
      <c r="G88" s="48"/>
    </row>
    <row r="89" spans="1:21" x14ac:dyDescent="0.2">
      <c r="A89" s="45"/>
      <c r="B89" s="45"/>
      <c r="C89" s="45"/>
      <c r="D89" s="45"/>
      <c r="E89" s="45"/>
      <c r="F89" s="45"/>
      <c r="G89" s="45"/>
    </row>
    <row r="90" spans="1:21" x14ac:dyDescent="0.2">
      <c r="A90" s="45"/>
      <c r="B90" s="155" t="s">
        <v>649</v>
      </c>
      <c r="C90" s="156"/>
      <c r="D90" s="16" t="s">
        <v>114</v>
      </c>
      <c r="E90" s="45"/>
      <c r="F90" s="45"/>
      <c r="G90" s="45"/>
    </row>
    <row r="91" spans="1:21" x14ac:dyDescent="0.2">
      <c r="A91" s="45"/>
      <c r="B91" s="49"/>
      <c r="C91" s="49"/>
      <c r="D91" s="49"/>
      <c r="E91" s="45"/>
      <c r="F91" s="45"/>
      <c r="G91" s="45"/>
    </row>
    <row r="92" spans="1:21" ht="28.5" customHeight="1" x14ac:dyDescent="0.2">
      <c r="A92" s="41"/>
      <c r="B92" s="153" t="s">
        <v>121</v>
      </c>
      <c r="C92" s="154"/>
      <c r="D92" s="16" t="s">
        <v>114</v>
      </c>
      <c r="E92" s="50"/>
      <c r="F92" s="41"/>
      <c r="G92" s="41"/>
    </row>
    <row r="93" spans="1:21" ht="30.75" customHeight="1" x14ac:dyDescent="0.2">
      <c r="A93" s="41"/>
      <c r="B93" s="153" t="s">
        <v>122</v>
      </c>
      <c r="C93" s="154"/>
      <c r="D93" s="16" t="s">
        <v>114</v>
      </c>
      <c r="E93" s="50"/>
      <c r="F93" s="41"/>
      <c r="G93" s="41"/>
    </row>
    <row r="94" spans="1:21" x14ac:dyDescent="0.2">
      <c r="A94" s="41"/>
      <c r="B94" s="153" t="s">
        <v>550</v>
      </c>
      <c r="C94" s="154"/>
      <c r="D94" s="16" t="s">
        <v>114</v>
      </c>
      <c r="E94" s="50"/>
      <c r="F94" s="41"/>
      <c r="G94" s="41"/>
      <c r="I94" s="51"/>
    </row>
    <row r="95" spans="1:21" x14ac:dyDescent="0.2">
      <c r="A95" s="49"/>
      <c r="B95" s="49"/>
      <c r="C95" s="49"/>
      <c r="D95" s="49"/>
      <c r="E95" s="49"/>
      <c r="F95" s="49"/>
      <c r="G95" s="49"/>
      <c r="I95" s="51"/>
    </row>
    <row r="96" spans="1:21" s="52" customFormat="1" x14ac:dyDescent="0.2">
      <c r="B96" s="157" t="s">
        <v>551</v>
      </c>
      <c r="C96" s="158"/>
      <c r="D96" s="159"/>
      <c r="I96" s="51"/>
      <c r="J96"/>
      <c r="K96" s="51"/>
      <c r="L96" s="51"/>
      <c r="M96" s="51"/>
      <c r="N96" s="53"/>
      <c r="Q96"/>
      <c r="R96"/>
      <c r="S96"/>
      <c r="T96"/>
      <c r="U96"/>
    </row>
    <row r="97" spans="2:21" s="52" customFormat="1" ht="38.25" x14ac:dyDescent="0.2">
      <c r="B97" s="149" t="s">
        <v>552</v>
      </c>
      <c r="C97" s="149"/>
      <c r="D97" s="54" t="s">
        <v>536</v>
      </c>
      <c r="I97" s="51"/>
      <c r="J97"/>
      <c r="K97" s="51"/>
      <c r="L97" s="51"/>
      <c r="M97" s="51"/>
      <c r="N97" s="53"/>
      <c r="Q97"/>
      <c r="R97"/>
      <c r="S97"/>
      <c r="T97"/>
      <c r="U97"/>
    </row>
    <row r="98" spans="2:21" s="52" customFormat="1" x14ac:dyDescent="0.2">
      <c r="B98" s="145" t="s">
        <v>553</v>
      </c>
      <c r="C98" s="145"/>
      <c r="D98" s="55"/>
      <c r="I98" s="51"/>
      <c r="J98"/>
      <c r="K98" s="51"/>
      <c r="L98" s="51"/>
      <c r="M98" s="51"/>
      <c r="N98" s="53"/>
    </row>
    <row r="99" spans="2:21" s="52" customFormat="1" x14ac:dyDescent="0.2">
      <c r="B99" s="145"/>
      <c r="C99" s="145"/>
      <c r="D99" s="56"/>
      <c r="I99"/>
      <c r="J99"/>
      <c r="K99" s="51"/>
      <c r="L99" s="51"/>
      <c r="M99" s="51"/>
      <c r="N99" s="53"/>
    </row>
    <row r="100" spans="2:21" s="52" customFormat="1" x14ac:dyDescent="0.2">
      <c r="B100" s="145" t="s">
        <v>554</v>
      </c>
      <c r="C100" s="145"/>
      <c r="D100" s="57">
        <v>5.7116065960674236</v>
      </c>
      <c r="I100"/>
      <c r="J100"/>
      <c r="K100" s="51"/>
      <c r="L100" s="51"/>
      <c r="M100" s="51"/>
      <c r="N100" s="53"/>
    </row>
    <row r="101" spans="2:21" s="52" customFormat="1" x14ac:dyDescent="0.2">
      <c r="B101" s="145"/>
      <c r="C101" s="145"/>
      <c r="D101" s="56"/>
      <c r="I101"/>
      <c r="J101"/>
      <c r="K101" s="51"/>
      <c r="L101" s="51"/>
      <c r="M101" s="51"/>
      <c r="N101" s="53"/>
    </row>
    <row r="102" spans="2:21" s="52" customFormat="1" x14ac:dyDescent="0.2">
      <c r="B102" s="145" t="s">
        <v>669</v>
      </c>
      <c r="C102" s="145"/>
      <c r="D102" s="58">
        <v>1</v>
      </c>
      <c r="I102"/>
      <c r="J102"/>
      <c r="K102" s="51"/>
      <c r="L102" s="51"/>
      <c r="M102" s="51"/>
      <c r="N102" s="53"/>
    </row>
    <row r="103" spans="2:21" s="52" customFormat="1" x14ac:dyDescent="0.2">
      <c r="B103" s="145" t="s">
        <v>670</v>
      </c>
      <c r="C103" s="145"/>
      <c r="D103" s="58">
        <v>1</v>
      </c>
      <c r="I103"/>
      <c r="J103"/>
      <c r="K103" s="51"/>
      <c r="L103" s="51"/>
      <c r="M103" s="51"/>
      <c r="N103" s="53"/>
    </row>
    <row r="104" spans="2:21" s="52" customFormat="1" x14ac:dyDescent="0.2">
      <c r="B104" s="145"/>
      <c r="C104" s="145"/>
      <c r="D104" s="56"/>
      <c r="I104"/>
      <c r="J104"/>
      <c r="K104" s="51"/>
      <c r="L104" s="51"/>
      <c r="M104" s="51"/>
      <c r="N104" s="53"/>
    </row>
    <row r="105" spans="2:21" s="52" customFormat="1" x14ac:dyDescent="0.2">
      <c r="B105" s="145" t="s">
        <v>557</v>
      </c>
      <c r="C105" s="145"/>
      <c r="D105" s="59" t="s">
        <v>680</v>
      </c>
      <c r="I105"/>
      <c r="J105"/>
      <c r="K105" s="51"/>
      <c r="L105" s="51"/>
      <c r="M105" s="51"/>
      <c r="N105" s="53"/>
    </row>
    <row r="106" spans="2:21" s="52" customFormat="1" x14ac:dyDescent="0.2">
      <c r="B106" s="143" t="s">
        <v>558</v>
      </c>
      <c r="C106" s="146"/>
      <c r="D106" s="144"/>
      <c r="I106"/>
      <c r="J106"/>
      <c r="K106" s="51"/>
      <c r="L106" s="51"/>
      <c r="M106" s="51"/>
      <c r="N106" s="53"/>
    </row>
    <row r="107" spans="2:21" x14ac:dyDescent="0.2">
      <c r="H107" s="60"/>
    </row>
    <row r="108" spans="2:21" x14ac:dyDescent="0.2">
      <c r="B108" s="61" t="s">
        <v>559</v>
      </c>
    </row>
    <row r="109" spans="2:21" ht="7.5" customHeight="1" x14ac:dyDescent="0.2"/>
    <row r="110" spans="2:21" ht="153.75" customHeight="1" x14ac:dyDescent="0.2"/>
    <row r="113" spans="2:10" x14ac:dyDescent="0.2">
      <c r="B113" s="62" t="s">
        <v>560</v>
      </c>
      <c r="C113" s="63"/>
      <c r="D113" s="62"/>
    </row>
    <row r="114" spans="2:10" x14ac:dyDescent="0.2">
      <c r="B114" s="62" t="s">
        <v>671</v>
      </c>
      <c r="D114" s="62"/>
    </row>
    <row r="115" spans="2:10" ht="165" customHeight="1" x14ac:dyDescent="0.2"/>
    <row r="117" spans="2:10" x14ac:dyDescent="0.2">
      <c r="J117" s="14"/>
    </row>
  </sheetData>
  <mergeCells count="25">
    <mergeCell ref="B97:C97"/>
    <mergeCell ref="B98:C98"/>
    <mergeCell ref="B92:C92"/>
    <mergeCell ref="B93:C93"/>
    <mergeCell ref="B90:C90"/>
    <mergeCell ref="B94:C94"/>
    <mergeCell ref="B96:D96"/>
    <mergeCell ref="B77:H77"/>
    <mergeCell ref="B79:D79"/>
    <mergeCell ref="B80:C80"/>
    <mergeCell ref="B81:C81"/>
    <mergeCell ref="B82:C82"/>
    <mergeCell ref="A1:H1"/>
    <mergeCell ref="A3:H3"/>
    <mergeCell ref="A2:H2"/>
    <mergeCell ref="B75:H75"/>
    <mergeCell ref="B76:H76"/>
    <mergeCell ref="B104:C104"/>
    <mergeCell ref="B105:C105"/>
    <mergeCell ref="B106:D106"/>
    <mergeCell ref="B99:C99"/>
    <mergeCell ref="B100:C100"/>
    <mergeCell ref="B101:C101"/>
    <mergeCell ref="B102:C102"/>
    <mergeCell ref="B103:C103"/>
  </mergeCells>
  <hyperlinks>
    <hyperlink ref="I1" location="Index!B2" display="Index" xr:uid="{1890E8D4-82BD-436E-85E6-731814A3CD01}"/>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2025-05-16T09:52:40Z</dcterms:created>
  <dcterms:modified xsi:type="dcterms:W3CDTF">2025-05-20T06:48:03Z</dcterms:modified>
</cp:coreProperties>
</file>